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061585585\Downloads\App\"/>
    </mc:Choice>
  </mc:AlternateContent>
  <xr:revisionPtr revIDLastSave="0" documentId="8_{8D9C238B-8975-43C8-B1CB-BE7F95F1FAD9}" xr6:coauthVersionLast="47" xr6:coauthVersionMax="47" xr10:uidLastSave="{00000000-0000-0000-0000-000000000000}"/>
  <bookViews>
    <workbookView xWindow="-108" yWindow="-108" windowWidth="23256" windowHeight="12456" xr2:uid="{C772DCAB-0390-451D-88D0-CB1868920E08}"/>
  </bookViews>
  <sheets>
    <sheet name="FORECAST APP" sheetId="1" r:id="rId1"/>
    <sheet name="Planilha1" sheetId="2" r:id="rId2"/>
  </sheets>
  <externalReferences>
    <externalReference r:id="rId3"/>
  </externalReferences>
  <definedNames>
    <definedName name="_xlnm._FilterDatabase" localSheetId="0" hidden="1">'FORECAST APP'!$A$1:$V$4105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2" i="1"/>
  <c r="B40" i="2" l="1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4095" i="1"/>
  <c r="V4095" i="1" s="1"/>
  <c r="A4096" i="1"/>
  <c r="V4096" i="1" s="1"/>
  <c r="A4097" i="1"/>
  <c r="V4097" i="1" s="1"/>
  <c r="A4098" i="1"/>
  <c r="V4098" i="1" s="1"/>
  <c r="A4099" i="1"/>
  <c r="V4099" i="1" s="1"/>
  <c r="A4100" i="1"/>
  <c r="V4100" i="1" s="1"/>
  <c r="A4101" i="1"/>
  <c r="V4101" i="1" s="1"/>
  <c r="A4102" i="1"/>
  <c r="V4102" i="1" s="1"/>
  <c r="A4103" i="1"/>
  <c r="V4103" i="1" s="1"/>
  <c r="A4104" i="1"/>
  <c r="V4104" i="1" s="1"/>
  <c r="A4105" i="1"/>
  <c r="V4105" i="1" s="1"/>
  <c r="A4094" i="1"/>
  <c r="V4094" i="1" s="1"/>
  <c r="A4072" i="1" l="1"/>
  <c r="V4072" i="1" s="1"/>
  <c r="A4073" i="1"/>
  <c r="V4073" i="1" s="1"/>
  <c r="A4074" i="1"/>
  <c r="V4074" i="1" s="1"/>
  <c r="A4075" i="1"/>
  <c r="V4075" i="1" s="1"/>
  <c r="A4076" i="1"/>
  <c r="V4076" i="1" s="1"/>
  <c r="A4077" i="1"/>
  <c r="V4077" i="1" s="1"/>
  <c r="A4078" i="1"/>
  <c r="V4078" i="1" s="1"/>
  <c r="A4079" i="1"/>
  <c r="V4079" i="1" s="1"/>
  <c r="A4080" i="1"/>
  <c r="V4080" i="1" s="1"/>
  <c r="A4081" i="1"/>
  <c r="V4081" i="1" s="1"/>
  <c r="A4082" i="1"/>
  <c r="V4082" i="1" s="1"/>
  <c r="A4083" i="1"/>
  <c r="V4083" i="1" s="1"/>
  <c r="A4084" i="1"/>
  <c r="V4084" i="1" s="1"/>
  <c r="A4085" i="1"/>
  <c r="V4085" i="1" s="1"/>
  <c r="A4086" i="1"/>
  <c r="V4086" i="1" s="1"/>
  <c r="A4087" i="1"/>
  <c r="V4087" i="1" s="1"/>
  <c r="A4088" i="1"/>
  <c r="V4088" i="1" s="1"/>
  <c r="A4089" i="1"/>
  <c r="V4089" i="1" s="1"/>
  <c r="A4090" i="1"/>
  <c r="V4090" i="1" s="1"/>
  <c r="A4091" i="1"/>
  <c r="V4091" i="1" s="1"/>
  <c r="A4092" i="1"/>
  <c r="V4092" i="1" s="1"/>
  <c r="A4093" i="1"/>
  <c r="V4093" i="1" s="1"/>
  <c r="A4028" i="1"/>
  <c r="V4028" i="1" s="1"/>
  <c r="A4031" i="1"/>
  <c r="V4031" i="1" s="1"/>
  <c r="A4033" i="1"/>
  <c r="V4033" i="1" s="1"/>
  <c r="A2656" i="1"/>
  <c r="V2656" i="1" s="1"/>
  <c r="A3758" i="1"/>
  <c r="V3758" i="1" s="1"/>
  <c r="A4025" i="1"/>
  <c r="V4025" i="1" s="1"/>
  <c r="A4063" i="1"/>
  <c r="V4063" i="1" s="1"/>
  <c r="A4069" i="1"/>
  <c r="V4069" i="1" s="1"/>
  <c r="A4071" i="1"/>
  <c r="V4071" i="1" s="1"/>
  <c r="A4034" i="1"/>
  <c r="V4034" i="1" s="1"/>
  <c r="A4040" i="1"/>
  <c r="V4040" i="1" s="1"/>
  <c r="A4041" i="1"/>
  <c r="V4041" i="1" s="1"/>
  <c r="A4055" i="1"/>
  <c r="V4055" i="1" s="1"/>
  <c r="A4048" i="1"/>
  <c r="V4048" i="1" s="1"/>
  <c r="A4049" i="1"/>
  <c r="V4049" i="1" s="1"/>
  <c r="A4056" i="1"/>
  <c r="V4056" i="1" s="1"/>
  <c r="A4057" i="1"/>
  <c r="V4057" i="1" s="1"/>
  <c r="A4066" i="1"/>
  <c r="V4066" i="1" s="1"/>
  <c r="A4070" i="1"/>
  <c r="V4070" i="1" s="1"/>
  <c r="A4050" i="1"/>
  <c r="V4050" i="1" s="1"/>
  <c r="A4052" i="1"/>
  <c r="V4052" i="1" s="1"/>
  <c r="A4051" i="1"/>
  <c r="V4051" i="1" s="1"/>
  <c r="A3" i="1" l="1"/>
  <c r="V3" i="1" s="1"/>
  <c r="A3771" i="1"/>
  <c r="V3771" i="1" s="1"/>
  <c r="A4" i="1"/>
  <c r="V4" i="1" s="1"/>
  <c r="A5" i="1"/>
  <c r="V5" i="1" s="1"/>
  <c r="A6" i="1"/>
  <c r="V6" i="1" s="1"/>
  <c r="A7" i="1"/>
  <c r="V7" i="1" s="1"/>
  <c r="A8" i="1"/>
  <c r="V8" i="1" s="1"/>
  <c r="A9" i="1"/>
  <c r="V9" i="1" s="1"/>
  <c r="A10" i="1"/>
  <c r="V10" i="1" s="1"/>
  <c r="A11" i="1"/>
  <c r="V11" i="1" s="1"/>
  <c r="A12" i="1"/>
  <c r="V12" i="1" s="1"/>
  <c r="A13" i="1"/>
  <c r="V13" i="1" s="1"/>
  <c r="A14" i="1"/>
  <c r="V14" i="1" s="1"/>
  <c r="A15" i="1"/>
  <c r="V15" i="1" s="1"/>
  <c r="A16" i="1"/>
  <c r="V16" i="1" s="1"/>
  <c r="A17" i="1"/>
  <c r="V17" i="1" s="1"/>
  <c r="A18" i="1"/>
  <c r="V18" i="1" s="1"/>
  <c r="A19" i="1"/>
  <c r="V19" i="1" s="1"/>
  <c r="A20" i="1"/>
  <c r="V20" i="1" s="1"/>
  <c r="A21" i="1"/>
  <c r="V21" i="1" s="1"/>
  <c r="A22" i="1"/>
  <c r="V22" i="1" s="1"/>
  <c r="A3135" i="1"/>
  <c r="V3135" i="1" s="1"/>
  <c r="A24" i="1"/>
  <c r="V24" i="1" s="1"/>
  <c r="A25" i="1"/>
  <c r="V25" i="1" s="1"/>
  <c r="A26" i="1"/>
  <c r="V26" i="1" s="1"/>
  <c r="A3755" i="1"/>
  <c r="V3755" i="1" s="1"/>
  <c r="A27" i="1"/>
  <c r="V27" i="1" s="1"/>
  <c r="A28" i="1"/>
  <c r="V28" i="1" s="1"/>
  <c r="A29" i="1"/>
  <c r="V29" i="1" s="1"/>
  <c r="A3761" i="1"/>
  <c r="V3761" i="1" s="1"/>
  <c r="A3764" i="1"/>
  <c r="V3764" i="1" s="1"/>
  <c r="A31" i="1"/>
  <c r="V31" i="1" s="1"/>
  <c r="A32" i="1"/>
  <c r="V32" i="1" s="1"/>
  <c r="A4022" i="1"/>
  <c r="V4022" i="1" s="1"/>
  <c r="A34" i="1"/>
  <c r="V34" i="1" s="1"/>
  <c r="A35" i="1"/>
  <c r="V35" i="1" s="1"/>
  <c r="A36" i="1"/>
  <c r="V36" i="1" s="1"/>
  <c r="A4027" i="1"/>
  <c r="V4027" i="1" s="1"/>
  <c r="A37" i="1"/>
  <c r="V37" i="1" s="1"/>
  <c r="A38" i="1"/>
  <c r="V38" i="1" s="1"/>
  <c r="A4029" i="1"/>
  <c r="V4029" i="1" s="1"/>
  <c r="A40" i="1"/>
  <c r="V40" i="1" s="1"/>
  <c r="A41" i="1"/>
  <c r="V41" i="1" s="1"/>
  <c r="A42" i="1"/>
  <c r="V42" i="1" s="1"/>
  <c r="A43" i="1"/>
  <c r="V43" i="1" s="1"/>
  <c r="A44" i="1"/>
  <c r="V44" i="1" s="1"/>
  <c r="A45" i="1"/>
  <c r="V45" i="1" s="1"/>
  <c r="A46" i="1"/>
  <c r="V46" i="1" s="1"/>
  <c r="A47" i="1"/>
  <c r="V47" i="1" s="1"/>
  <c r="A48" i="1"/>
  <c r="V48" i="1" s="1"/>
  <c r="A49" i="1"/>
  <c r="V49" i="1" s="1"/>
  <c r="A50" i="1"/>
  <c r="V50" i="1" s="1"/>
  <c r="A51" i="1"/>
  <c r="V51" i="1" s="1"/>
  <c r="A52" i="1"/>
  <c r="V52" i="1" s="1"/>
  <c r="A53" i="1"/>
  <c r="V53" i="1" s="1"/>
  <c r="A4060" i="1"/>
  <c r="V4060" i="1" s="1"/>
  <c r="A54" i="1"/>
  <c r="V54" i="1" s="1"/>
  <c r="A55" i="1"/>
  <c r="V55" i="1" s="1"/>
  <c r="A56" i="1"/>
  <c r="V56" i="1" s="1"/>
  <c r="A4067" i="1"/>
  <c r="V4067" i="1" s="1"/>
  <c r="A58" i="1"/>
  <c r="V58" i="1" s="1"/>
  <c r="A59" i="1"/>
  <c r="V59" i="1" s="1"/>
  <c r="A60" i="1"/>
  <c r="V60" i="1" s="1"/>
  <c r="A61" i="1"/>
  <c r="V61" i="1" s="1"/>
  <c r="A62" i="1"/>
  <c r="V62" i="1" s="1"/>
  <c r="A23" i="1"/>
  <c r="V23" i="1" s="1"/>
  <c r="A63" i="1"/>
  <c r="V63" i="1" s="1"/>
  <c r="A64" i="1"/>
  <c r="V64" i="1" s="1"/>
  <c r="A65" i="1"/>
  <c r="V65" i="1" s="1"/>
  <c r="A66" i="1"/>
  <c r="V66" i="1" s="1"/>
  <c r="A67" i="1"/>
  <c r="V67" i="1" s="1"/>
  <c r="A68" i="1"/>
  <c r="V68" i="1" s="1"/>
  <c r="A69" i="1"/>
  <c r="V69" i="1" s="1"/>
  <c r="A70" i="1"/>
  <c r="V70" i="1" s="1"/>
  <c r="A71" i="1"/>
  <c r="V71" i="1" s="1"/>
  <c r="A72" i="1"/>
  <c r="V72" i="1" s="1"/>
  <c r="A73" i="1"/>
  <c r="V73" i="1" s="1"/>
  <c r="A74" i="1"/>
  <c r="V74" i="1" s="1"/>
  <c r="A75" i="1"/>
  <c r="V75" i="1" s="1"/>
  <c r="A76" i="1"/>
  <c r="V76" i="1" s="1"/>
  <c r="A77" i="1"/>
  <c r="V77" i="1" s="1"/>
  <c r="A78" i="1"/>
  <c r="V78" i="1" s="1"/>
  <c r="A79" i="1"/>
  <c r="V79" i="1" s="1"/>
  <c r="A80" i="1"/>
  <c r="V80" i="1" s="1"/>
  <c r="A81" i="1"/>
  <c r="V81" i="1" s="1"/>
  <c r="A82" i="1"/>
  <c r="V82" i="1" s="1"/>
  <c r="A83" i="1"/>
  <c r="V83" i="1" s="1"/>
  <c r="A84" i="1"/>
  <c r="V84" i="1" s="1"/>
  <c r="A85" i="1"/>
  <c r="V85" i="1" s="1"/>
  <c r="A86" i="1"/>
  <c r="V86" i="1" s="1"/>
  <c r="A87" i="1"/>
  <c r="V87" i="1" s="1"/>
  <c r="A88" i="1"/>
  <c r="V88" i="1" s="1"/>
  <c r="A89" i="1"/>
  <c r="V89" i="1" s="1"/>
  <c r="A90" i="1"/>
  <c r="V90" i="1" s="1"/>
  <c r="A91" i="1"/>
  <c r="V91" i="1" s="1"/>
  <c r="A92" i="1"/>
  <c r="V92" i="1" s="1"/>
  <c r="A93" i="1"/>
  <c r="V93" i="1" s="1"/>
  <c r="A33" i="1"/>
  <c r="V33" i="1" s="1"/>
  <c r="A95" i="1"/>
  <c r="V95" i="1" s="1"/>
  <c r="A96" i="1"/>
  <c r="V96" i="1" s="1"/>
  <c r="A3759" i="1"/>
  <c r="V3759" i="1" s="1"/>
  <c r="A3760" i="1"/>
  <c r="V3760" i="1" s="1"/>
  <c r="A98" i="1"/>
  <c r="V98" i="1" s="1"/>
  <c r="A99" i="1"/>
  <c r="V99" i="1" s="1"/>
  <c r="A100" i="1"/>
  <c r="V100" i="1" s="1"/>
  <c r="A101" i="1"/>
  <c r="V101" i="1" s="1"/>
  <c r="A39" i="1"/>
  <c r="V39" i="1" s="1"/>
  <c r="A102" i="1"/>
  <c r="V102" i="1" s="1"/>
  <c r="A103" i="1"/>
  <c r="V103" i="1" s="1"/>
  <c r="A104" i="1"/>
  <c r="V104" i="1" s="1"/>
  <c r="A105" i="1"/>
  <c r="V105" i="1" s="1"/>
  <c r="A106" i="1"/>
  <c r="V106" i="1" s="1"/>
  <c r="A107" i="1"/>
  <c r="V107" i="1" s="1"/>
  <c r="A108" i="1"/>
  <c r="V108" i="1" s="1"/>
  <c r="A109" i="1"/>
  <c r="V109" i="1" s="1"/>
  <c r="A110" i="1"/>
  <c r="V110" i="1" s="1"/>
  <c r="A111" i="1"/>
  <c r="V111" i="1" s="1"/>
  <c r="A112" i="1"/>
  <c r="V112" i="1" s="1"/>
  <c r="A113" i="1"/>
  <c r="V113" i="1" s="1"/>
  <c r="A114" i="1"/>
  <c r="V114" i="1" s="1"/>
  <c r="A115" i="1"/>
  <c r="V115" i="1" s="1"/>
  <c r="A116" i="1"/>
  <c r="V116" i="1" s="1"/>
  <c r="A117" i="1"/>
  <c r="V117" i="1" s="1"/>
  <c r="A118" i="1"/>
  <c r="V118" i="1" s="1"/>
  <c r="A119" i="1"/>
  <c r="V119" i="1" s="1"/>
  <c r="A57" i="1"/>
  <c r="V57" i="1" s="1"/>
  <c r="A121" i="1"/>
  <c r="V121" i="1" s="1"/>
  <c r="A122" i="1"/>
  <c r="V122" i="1" s="1"/>
  <c r="A123" i="1"/>
  <c r="V123" i="1" s="1"/>
  <c r="A124" i="1"/>
  <c r="V124" i="1" s="1"/>
  <c r="A125" i="1"/>
  <c r="V125" i="1" s="1"/>
  <c r="A126" i="1"/>
  <c r="V126" i="1" s="1"/>
  <c r="A127" i="1"/>
  <c r="V127" i="1" s="1"/>
  <c r="A128" i="1"/>
  <c r="V128" i="1" s="1"/>
  <c r="A129" i="1"/>
  <c r="V129" i="1" s="1"/>
  <c r="A130" i="1"/>
  <c r="V130" i="1" s="1"/>
  <c r="A2151" i="1"/>
  <c r="V2151" i="1" s="1"/>
  <c r="A131" i="1"/>
  <c r="V131" i="1" s="1"/>
  <c r="A132" i="1"/>
  <c r="V132" i="1" s="1"/>
  <c r="A133" i="1"/>
  <c r="V133" i="1" s="1"/>
  <c r="A134" i="1"/>
  <c r="V134" i="1" s="1"/>
  <c r="A135" i="1"/>
  <c r="V135" i="1" s="1"/>
  <c r="A136" i="1"/>
  <c r="V136" i="1" s="1"/>
  <c r="A137" i="1"/>
  <c r="V137" i="1" s="1"/>
  <c r="A138" i="1"/>
  <c r="V138" i="1" s="1"/>
  <c r="A139" i="1"/>
  <c r="V139" i="1" s="1"/>
  <c r="A140" i="1"/>
  <c r="V140" i="1" s="1"/>
  <c r="A141" i="1"/>
  <c r="V141" i="1" s="1"/>
  <c r="A94" i="1"/>
  <c r="V94" i="1" s="1"/>
  <c r="A3769" i="1"/>
  <c r="V3769" i="1" s="1"/>
  <c r="A143" i="1"/>
  <c r="V143" i="1" s="1"/>
  <c r="A144" i="1"/>
  <c r="V144" i="1" s="1"/>
  <c r="A145" i="1"/>
  <c r="V145" i="1" s="1"/>
  <c r="A146" i="1"/>
  <c r="V146" i="1" s="1"/>
  <c r="A147" i="1"/>
  <c r="V147" i="1" s="1"/>
  <c r="A148" i="1"/>
  <c r="V148" i="1" s="1"/>
  <c r="A149" i="1"/>
  <c r="V149" i="1" s="1"/>
  <c r="A150" i="1"/>
  <c r="V150" i="1" s="1"/>
  <c r="A151" i="1"/>
  <c r="V151" i="1" s="1"/>
  <c r="A152" i="1"/>
  <c r="V152" i="1" s="1"/>
  <c r="A153" i="1"/>
  <c r="V153" i="1" s="1"/>
  <c r="A154" i="1"/>
  <c r="V154" i="1" s="1"/>
  <c r="A4059" i="1"/>
  <c r="V4059" i="1" s="1"/>
  <c r="A155" i="1"/>
  <c r="V155" i="1" s="1"/>
  <c r="A156" i="1"/>
  <c r="V156" i="1" s="1"/>
  <c r="A157" i="1"/>
  <c r="V157" i="1" s="1"/>
  <c r="A158" i="1"/>
  <c r="V158" i="1" s="1"/>
  <c r="A159" i="1"/>
  <c r="V159" i="1" s="1"/>
  <c r="A160" i="1"/>
  <c r="V160" i="1" s="1"/>
  <c r="A161" i="1"/>
  <c r="V161" i="1" s="1"/>
  <c r="A162" i="1"/>
  <c r="V162" i="1" s="1"/>
  <c r="A163" i="1"/>
  <c r="V163" i="1" s="1"/>
  <c r="A164" i="1"/>
  <c r="V164" i="1" s="1"/>
  <c r="A165" i="1"/>
  <c r="V165" i="1" s="1"/>
  <c r="A166" i="1"/>
  <c r="V166" i="1" s="1"/>
  <c r="A167" i="1"/>
  <c r="V167" i="1" s="1"/>
  <c r="A168" i="1"/>
  <c r="V168" i="1" s="1"/>
  <c r="A169" i="1"/>
  <c r="V169" i="1" s="1"/>
  <c r="A170" i="1"/>
  <c r="V170" i="1" s="1"/>
  <c r="A171" i="1"/>
  <c r="V171" i="1" s="1"/>
  <c r="A172" i="1"/>
  <c r="V172" i="1" s="1"/>
  <c r="A173" i="1"/>
  <c r="V173" i="1" s="1"/>
  <c r="A174" i="1"/>
  <c r="V174" i="1" s="1"/>
  <c r="A175" i="1"/>
  <c r="V175" i="1" s="1"/>
  <c r="A176" i="1"/>
  <c r="V176" i="1" s="1"/>
  <c r="A177" i="1"/>
  <c r="V177" i="1" s="1"/>
  <c r="A178" i="1"/>
  <c r="V178" i="1" s="1"/>
  <c r="A179" i="1"/>
  <c r="V179" i="1" s="1"/>
  <c r="A180" i="1"/>
  <c r="V180" i="1" s="1"/>
  <c r="A181" i="1"/>
  <c r="V181" i="1" s="1"/>
  <c r="A182" i="1"/>
  <c r="V182" i="1" s="1"/>
  <c r="A183" i="1"/>
  <c r="V183" i="1" s="1"/>
  <c r="A184" i="1"/>
  <c r="V184" i="1" s="1"/>
  <c r="A185" i="1"/>
  <c r="V185" i="1" s="1"/>
  <c r="A186" i="1"/>
  <c r="V186" i="1" s="1"/>
  <c r="A187" i="1"/>
  <c r="V187" i="1" s="1"/>
  <c r="A188" i="1"/>
  <c r="V188" i="1" s="1"/>
  <c r="A189" i="1"/>
  <c r="V189" i="1" s="1"/>
  <c r="A190" i="1"/>
  <c r="V190" i="1" s="1"/>
  <c r="A191" i="1"/>
  <c r="V191" i="1" s="1"/>
  <c r="A192" i="1"/>
  <c r="V192" i="1" s="1"/>
  <c r="A193" i="1"/>
  <c r="V193" i="1" s="1"/>
  <c r="A194" i="1"/>
  <c r="V194" i="1" s="1"/>
  <c r="A195" i="1"/>
  <c r="V195" i="1" s="1"/>
  <c r="A196" i="1"/>
  <c r="V196" i="1" s="1"/>
  <c r="A197" i="1"/>
  <c r="V197" i="1" s="1"/>
  <c r="A198" i="1"/>
  <c r="V198" i="1" s="1"/>
  <c r="A199" i="1"/>
  <c r="V199" i="1" s="1"/>
  <c r="A200" i="1"/>
  <c r="V200" i="1" s="1"/>
  <c r="A201" i="1"/>
  <c r="V201" i="1" s="1"/>
  <c r="A202" i="1"/>
  <c r="V202" i="1" s="1"/>
  <c r="A203" i="1"/>
  <c r="V203" i="1" s="1"/>
  <c r="A204" i="1"/>
  <c r="V204" i="1" s="1"/>
  <c r="A205" i="1"/>
  <c r="V205" i="1" s="1"/>
  <c r="A206" i="1"/>
  <c r="V206" i="1" s="1"/>
  <c r="A207" i="1"/>
  <c r="V207" i="1" s="1"/>
  <c r="A208" i="1"/>
  <c r="V208" i="1" s="1"/>
  <c r="A209" i="1"/>
  <c r="V209" i="1" s="1"/>
  <c r="A210" i="1"/>
  <c r="V210" i="1" s="1"/>
  <c r="A211" i="1"/>
  <c r="V211" i="1" s="1"/>
  <c r="A212" i="1"/>
  <c r="V212" i="1" s="1"/>
  <c r="A213" i="1"/>
  <c r="V213" i="1" s="1"/>
  <c r="A214" i="1"/>
  <c r="V214" i="1" s="1"/>
  <c r="A215" i="1"/>
  <c r="V215" i="1" s="1"/>
  <c r="A216" i="1"/>
  <c r="V216" i="1" s="1"/>
  <c r="A217" i="1"/>
  <c r="V217" i="1" s="1"/>
  <c r="A218" i="1"/>
  <c r="V218" i="1" s="1"/>
  <c r="A219" i="1"/>
  <c r="V219" i="1" s="1"/>
  <c r="A220" i="1"/>
  <c r="V220" i="1" s="1"/>
  <c r="A221" i="1"/>
  <c r="V221" i="1" s="1"/>
  <c r="A222" i="1"/>
  <c r="V222" i="1" s="1"/>
  <c r="A223" i="1"/>
  <c r="V223" i="1" s="1"/>
  <c r="A224" i="1"/>
  <c r="V224" i="1" s="1"/>
  <c r="A225" i="1"/>
  <c r="V225" i="1" s="1"/>
  <c r="A226" i="1"/>
  <c r="V226" i="1" s="1"/>
  <c r="A227" i="1"/>
  <c r="V227" i="1" s="1"/>
  <c r="A228" i="1"/>
  <c r="V228" i="1" s="1"/>
  <c r="A229" i="1"/>
  <c r="V229" i="1" s="1"/>
  <c r="A230" i="1"/>
  <c r="V230" i="1" s="1"/>
  <c r="A231" i="1"/>
  <c r="V231" i="1" s="1"/>
  <c r="A232" i="1"/>
  <c r="V232" i="1" s="1"/>
  <c r="A233" i="1"/>
  <c r="V233" i="1" s="1"/>
  <c r="A234" i="1"/>
  <c r="V234" i="1" s="1"/>
  <c r="A235" i="1"/>
  <c r="V235" i="1" s="1"/>
  <c r="A236" i="1"/>
  <c r="V236" i="1" s="1"/>
  <c r="A237" i="1"/>
  <c r="V237" i="1" s="1"/>
  <c r="A238" i="1"/>
  <c r="V238" i="1" s="1"/>
  <c r="A239" i="1"/>
  <c r="V239" i="1" s="1"/>
  <c r="A240" i="1"/>
  <c r="V240" i="1" s="1"/>
  <c r="A241" i="1"/>
  <c r="V241" i="1" s="1"/>
  <c r="A242" i="1"/>
  <c r="V242" i="1" s="1"/>
  <c r="A243" i="1"/>
  <c r="V243" i="1" s="1"/>
  <c r="A244" i="1"/>
  <c r="V244" i="1" s="1"/>
  <c r="A245" i="1"/>
  <c r="V245" i="1" s="1"/>
  <c r="A246" i="1"/>
  <c r="V246" i="1" s="1"/>
  <c r="A247" i="1"/>
  <c r="V247" i="1" s="1"/>
  <c r="A248" i="1"/>
  <c r="V248" i="1" s="1"/>
  <c r="A249" i="1"/>
  <c r="V249" i="1" s="1"/>
  <c r="A250" i="1"/>
  <c r="V250" i="1" s="1"/>
  <c r="A251" i="1"/>
  <c r="V251" i="1" s="1"/>
  <c r="A252" i="1"/>
  <c r="V252" i="1" s="1"/>
  <c r="A253" i="1"/>
  <c r="V253" i="1" s="1"/>
  <c r="A254" i="1"/>
  <c r="V254" i="1" s="1"/>
  <c r="A255" i="1"/>
  <c r="V255" i="1" s="1"/>
  <c r="A256" i="1"/>
  <c r="V256" i="1" s="1"/>
  <c r="A257" i="1"/>
  <c r="V257" i="1" s="1"/>
  <c r="A258" i="1"/>
  <c r="V258" i="1" s="1"/>
  <c r="A259" i="1"/>
  <c r="V259" i="1" s="1"/>
  <c r="A260" i="1"/>
  <c r="V260" i="1" s="1"/>
  <c r="A261" i="1"/>
  <c r="V261" i="1" s="1"/>
  <c r="A262" i="1"/>
  <c r="V262" i="1" s="1"/>
  <c r="A263" i="1"/>
  <c r="V263" i="1" s="1"/>
  <c r="A264" i="1"/>
  <c r="V264" i="1" s="1"/>
  <c r="A265" i="1"/>
  <c r="V265" i="1" s="1"/>
  <c r="A266" i="1"/>
  <c r="V266" i="1" s="1"/>
  <c r="A267" i="1"/>
  <c r="V267" i="1" s="1"/>
  <c r="A268" i="1"/>
  <c r="V268" i="1" s="1"/>
  <c r="A269" i="1"/>
  <c r="V269" i="1" s="1"/>
  <c r="A270" i="1"/>
  <c r="V270" i="1" s="1"/>
  <c r="A271" i="1"/>
  <c r="V271" i="1" s="1"/>
  <c r="A272" i="1"/>
  <c r="V272" i="1" s="1"/>
  <c r="A273" i="1"/>
  <c r="V273" i="1" s="1"/>
  <c r="A274" i="1"/>
  <c r="V274" i="1" s="1"/>
  <c r="A275" i="1"/>
  <c r="V275" i="1" s="1"/>
  <c r="A276" i="1"/>
  <c r="V276" i="1" s="1"/>
  <c r="A277" i="1"/>
  <c r="V277" i="1" s="1"/>
  <c r="A278" i="1"/>
  <c r="V278" i="1" s="1"/>
  <c r="A279" i="1"/>
  <c r="V279" i="1" s="1"/>
  <c r="A280" i="1"/>
  <c r="V280" i="1" s="1"/>
  <c r="A281" i="1"/>
  <c r="V281" i="1" s="1"/>
  <c r="A282" i="1"/>
  <c r="V282" i="1" s="1"/>
  <c r="A283" i="1"/>
  <c r="V283" i="1" s="1"/>
  <c r="A284" i="1"/>
  <c r="V284" i="1" s="1"/>
  <c r="A285" i="1"/>
  <c r="V285" i="1" s="1"/>
  <c r="A286" i="1"/>
  <c r="V286" i="1" s="1"/>
  <c r="A287" i="1"/>
  <c r="V287" i="1" s="1"/>
  <c r="A288" i="1"/>
  <c r="V288" i="1" s="1"/>
  <c r="A289" i="1"/>
  <c r="V289" i="1" s="1"/>
  <c r="A290" i="1"/>
  <c r="V290" i="1" s="1"/>
  <c r="A291" i="1"/>
  <c r="V291" i="1" s="1"/>
  <c r="A292" i="1"/>
  <c r="V292" i="1" s="1"/>
  <c r="A293" i="1"/>
  <c r="V293" i="1" s="1"/>
  <c r="A294" i="1"/>
  <c r="V294" i="1" s="1"/>
  <c r="A295" i="1"/>
  <c r="V295" i="1" s="1"/>
  <c r="A296" i="1"/>
  <c r="V296" i="1" s="1"/>
  <c r="A297" i="1"/>
  <c r="V297" i="1" s="1"/>
  <c r="A298" i="1"/>
  <c r="V298" i="1" s="1"/>
  <c r="A299" i="1"/>
  <c r="V299" i="1" s="1"/>
  <c r="A300" i="1"/>
  <c r="V300" i="1" s="1"/>
  <c r="A301" i="1"/>
  <c r="V301" i="1" s="1"/>
  <c r="A302" i="1"/>
  <c r="V302" i="1" s="1"/>
  <c r="A303" i="1"/>
  <c r="V303" i="1" s="1"/>
  <c r="A304" i="1"/>
  <c r="V304" i="1" s="1"/>
  <c r="A305" i="1"/>
  <c r="V305" i="1" s="1"/>
  <c r="A306" i="1"/>
  <c r="V306" i="1" s="1"/>
  <c r="A307" i="1"/>
  <c r="V307" i="1" s="1"/>
  <c r="A308" i="1"/>
  <c r="V308" i="1" s="1"/>
  <c r="A309" i="1"/>
  <c r="V309" i="1" s="1"/>
  <c r="A310" i="1"/>
  <c r="V310" i="1" s="1"/>
  <c r="A311" i="1"/>
  <c r="V311" i="1" s="1"/>
  <c r="A312" i="1"/>
  <c r="V312" i="1" s="1"/>
  <c r="A313" i="1"/>
  <c r="V313" i="1" s="1"/>
  <c r="A314" i="1"/>
  <c r="V314" i="1" s="1"/>
  <c r="A315" i="1"/>
  <c r="V315" i="1" s="1"/>
  <c r="A316" i="1"/>
  <c r="V316" i="1" s="1"/>
  <c r="A317" i="1"/>
  <c r="V317" i="1" s="1"/>
  <c r="A318" i="1"/>
  <c r="V318" i="1" s="1"/>
  <c r="A319" i="1"/>
  <c r="V319" i="1" s="1"/>
  <c r="A320" i="1"/>
  <c r="V320" i="1" s="1"/>
  <c r="A321" i="1"/>
  <c r="V321" i="1" s="1"/>
  <c r="A322" i="1"/>
  <c r="V322" i="1" s="1"/>
  <c r="A323" i="1"/>
  <c r="V323" i="1" s="1"/>
  <c r="A324" i="1"/>
  <c r="V324" i="1" s="1"/>
  <c r="A325" i="1"/>
  <c r="V325" i="1" s="1"/>
  <c r="A326" i="1"/>
  <c r="V326" i="1" s="1"/>
  <c r="A327" i="1"/>
  <c r="V327" i="1" s="1"/>
  <c r="A328" i="1"/>
  <c r="V328" i="1" s="1"/>
  <c r="A329" i="1"/>
  <c r="V329" i="1" s="1"/>
  <c r="A330" i="1"/>
  <c r="V330" i="1" s="1"/>
  <c r="A331" i="1"/>
  <c r="V331" i="1" s="1"/>
  <c r="A332" i="1"/>
  <c r="V332" i="1" s="1"/>
  <c r="A333" i="1"/>
  <c r="V333" i="1" s="1"/>
  <c r="A334" i="1"/>
  <c r="V334" i="1" s="1"/>
  <c r="A335" i="1"/>
  <c r="V335" i="1" s="1"/>
  <c r="A336" i="1"/>
  <c r="V336" i="1" s="1"/>
  <c r="A337" i="1"/>
  <c r="V337" i="1" s="1"/>
  <c r="A338" i="1"/>
  <c r="V338" i="1" s="1"/>
  <c r="A339" i="1"/>
  <c r="V339" i="1" s="1"/>
  <c r="A340" i="1"/>
  <c r="V340" i="1" s="1"/>
  <c r="A341" i="1"/>
  <c r="V341" i="1" s="1"/>
  <c r="A342" i="1"/>
  <c r="V342" i="1" s="1"/>
  <c r="A343" i="1"/>
  <c r="V343" i="1" s="1"/>
  <c r="A344" i="1"/>
  <c r="V344" i="1" s="1"/>
  <c r="A345" i="1"/>
  <c r="V345" i="1" s="1"/>
  <c r="A346" i="1"/>
  <c r="V346" i="1" s="1"/>
  <c r="A347" i="1"/>
  <c r="V347" i="1" s="1"/>
  <c r="A348" i="1"/>
  <c r="V348" i="1" s="1"/>
  <c r="A349" i="1"/>
  <c r="V349" i="1" s="1"/>
  <c r="A350" i="1"/>
  <c r="V350" i="1" s="1"/>
  <c r="A351" i="1"/>
  <c r="V351" i="1" s="1"/>
  <c r="A352" i="1"/>
  <c r="V352" i="1" s="1"/>
  <c r="A353" i="1"/>
  <c r="V353" i="1" s="1"/>
  <c r="A354" i="1"/>
  <c r="V354" i="1" s="1"/>
  <c r="A355" i="1"/>
  <c r="V355" i="1" s="1"/>
  <c r="A356" i="1"/>
  <c r="V356" i="1" s="1"/>
  <c r="A357" i="1"/>
  <c r="V357" i="1" s="1"/>
  <c r="A358" i="1"/>
  <c r="V358" i="1" s="1"/>
  <c r="A359" i="1"/>
  <c r="V359" i="1" s="1"/>
  <c r="A360" i="1"/>
  <c r="V360" i="1" s="1"/>
  <c r="A361" i="1"/>
  <c r="V361" i="1" s="1"/>
  <c r="A362" i="1"/>
  <c r="V362" i="1" s="1"/>
  <c r="A363" i="1"/>
  <c r="V363" i="1" s="1"/>
  <c r="A364" i="1"/>
  <c r="V364" i="1" s="1"/>
  <c r="A365" i="1"/>
  <c r="V365" i="1" s="1"/>
  <c r="A366" i="1"/>
  <c r="V366" i="1" s="1"/>
  <c r="A367" i="1"/>
  <c r="V367" i="1" s="1"/>
  <c r="A368" i="1"/>
  <c r="V368" i="1" s="1"/>
  <c r="A369" i="1"/>
  <c r="V369" i="1" s="1"/>
  <c r="A370" i="1"/>
  <c r="V370" i="1" s="1"/>
  <c r="A371" i="1"/>
  <c r="V371" i="1" s="1"/>
  <c r="A372" i="1"/>
  <c r="V372" i="1" s="1"/>
  <c r="A373" i="1"/>
  <c r="V373" i="1" s="1"/>
  <c r="A374" i="1"/>
  <c r="V374" i="1" s="1"/>
  <c r="A375" i="1"/>
  <c r="V375" i="1" s="1"/>
  <c r="A376" i="1"/>
  <c r="V376" i="1" s="1"/>
  <c r="A377" i="1"/>
  <c r="V377" i="1" s="1"/>
  <c r="A378" i="1"/>
  <c r="V378" i="1" s="1"/>
  <c r="A379" i="1"/>
  <c r="V379" i="1" s="1"/>
  <c r="A380" i="1"/>
  <c r="V380" i="1" s="1"/>
  <c r="A381" i="1"/>
  <c r="V381" i="1" s="1"/>
  <c r="A382" i="1"/>
  <c r="V382" i="1" s="1"/>
  <c r="A383" i="1"/>
  <c r="V383" i="1" s="1"/>
  <c r="A384" i="1"/>
  <c r="V384" i="1" s="1"/>
  <c r="A385" i="1"/>
  <c r="V385" i="1" s="1"/>
  <c r="A386" i="1"/>
  <c r="V386" i="1" s="1"/>
  <c r="A387" i="1"/>
  <c r="V387" i="1" s="1"/>
  <c r="A388" i="1"/>
  <c r="V388" i="1" s="1"/>
  <c r="A389" i="1"/>
  <c r="V389" i="1" s="1"/>
  <c r="A390" i="1"/>
  <c r="V390" i="1" s="1"/>
  <c r="A391" i="1"/>
  <c r="V391" i="1" s="1"/>
  <c r="A392" i="1"/>
  <c r="V392" i="1" s="1"/>
  <c r="A393" i="1"/>
  <c r="V393" i="1" s="1"/>
  <c r="A394" i="1"/>
  <c r="V394" i="1" s="1"/>
  <c r="A395" i="1"/>
  <c r="V395" i="1" s="1"/>
  <c r="A396" i="1"/>
  <c r="V396" i="1" s="1"/>
  <c r="A397" i="1"/>
  <c r="V397" i="1" s="1"/>
  <c r="A398" i="1"/>
  <c r="V398" i="1" s="1"/>
  <c r="A399" i="1"/>
  <c r="V399" i="1" s="1"/>
  <c r="A400" i="1"/>
  <c r="V400" i="1" s="1"/>
  <c r="A401" i="1"/>
  <c r="V401" i="1" s="1"/>
  <c r="A402" i="1"/>
  <c r="V402" i="1" s="1"/>
  <c r="A403" i="1"/>
  <c r="V403" i="1" s="1"/>
  <c r="A404" i="1"/>
  <c r="V404" i="1" s="1"/>
  <c r="A405" i="1"/>
  <c r="V405" i="1" s="1"/>
  <c r="A406" i="1"/>
  <c r="V406" i="1" s="1"/>
  <c r="A407" i="1"/>
  <c r="V407" i="1" s="1"/>
  <c r="A408" i="1"/>
  <c r="V408" i="1" s="1"/>
  <c r="A409" i="1"/>
  <c r="V409" i="1" s="1"/>
  <c r="A410" i="1"/>
  <c r="V410" i="1" s="1"/>
  <c r="A411" i="1"/>
  <c r="V411" i="1" s="1"/>
  <c r="A412" i="1"/>
  <c r="V412" i="1" s="1"/>
  <c r="A413" i="1"/>
  <c r="V413" i="1" s="1"/>
  <c r="A414" i="1"/>
  <c r="V414" i="1" s="1"/>
  <c r="A415" i="1"/>
  <c r="V415" i="1" s="1"/>
  <c r="A416" i="1"/>
  <c r="V416" i="1" s="1"/>
  <c r="A417" i="1"/>
  <c r="V417" i="1" s="1"/>
  <c r="A418" i="1"/>
  <c r="V418" i="1" s="1"/>
  <c r="A419" i="1"/>
  <c r="V419" i="1" s="1"/>
  <c r="A420" i="1"/>
  <c r="V420" i="1" s="1"/>
  <c r="A421" i="1"/>
  <c r="V421" i="1" s="1"/>
  <c r="A422" i="1"/>
  <c r="V422" i="1" s="1"/>
  <c r="A423" i="1"/>
  <c r="V423" i="1" s="1"/>
  <c r="A424" i="1"/>
  <c r="V424" i="1" s="1"/>
  <c r="A425" i="1"/>
  <c r="V425" i="1" s="1"/>
  <c r="A426" i="1"/>
  <c r="V426" i="1" s="1"/>
  <c r="A427" i="1"/>
  <c r="V427" i="1" s="1"/>
  <c r="A428" i="1"/>
  <c r="V428" i="1" s="1"/>
  <c r="A429" i="1"/>
  <c r="V429" i="1" s="1"/>
  <c r="A430" i="1"/>
  <c r="V430" i="1" s="1"/>
  <c r="A431" i="1"/>
  <c r="V431" i="1" s="1"/>
  <c r="A432" i="1"/>
  <c r="V432" i="1" s="1"/>
  <c r="A433" i="1"/>
  <c r="V433" i="1" s="1"/>
  <c r="A434" i="1"/>
  <c r="V434" i="1" s="1"/>
  <c r="A435" i="1"/>
  <c r="V435" i="1" s="1"/>
  <c r="A436" i="1"/>
  <c r="V436" i="1" s="1"/>
  <c r="A437" i="1"/>
  <c r="V437" i="1" s="1"/>
  <c r="A438" i="1"/>
  <c r="V438" i="1" s="1"/>
  <c r="A439" i="1"/>
  <c r="V439" i="1" s="1"/>
  <c r="A440" i="1"/>
  <c r="V440" i="1" s="1"/>
  <c r="A441" i="1"/>
  <c r="V441" i="1" s="1"/>
  <c r="A442" i="1"/>
  <c r="V442" i="1" s="1"/>
  <c r="A443" i="1"/>
  <c r="V443" i="1" s="1"/>
  <c r="A444" i="1"/>
  <c r="V444" i="1" s="1"/>
  <c r="A445" i="1"/>
  <c r="V445" i="1" s="1"/>
  <c r="A446" i="1"/>
  <c r="V446" i="1" s="1"/>
  <c r="A447" i="1"/>
  <c r="V447" i="1" s="1"/>
  <c r="A448" i="1"/>
  <c r="V448" i="1" s="1"/>
  <c r="A449" i="1"/>
  <c r="V449" i="1" s="1"/>
  <c r="A450" i="1"/>
  <c r="V450" i="1" s="1"/>
  <c r="A451" i="1"/>
  <c r="V451" i="1" s="1"/>
  <c r="A452" i="1"/>
  <c r="V452" i="1" s="1"/>
  <c r="A453" i="1"/>
  <c r="V453" i="1" s="1"/>
  <c r="A454" i="1"/>
  <c r="V454" i="1" s="1"/>
  <c r="A455" i="1"/>
  <c r="V455" i="1" s="1"/>
  <c r="A456" i="1"/>
  <c r="V456" i="1" s="1"/>
  <c r="A457" i="1"/>
  <c r="V457" i="1" s="1"/>
  <c r="A458" i="1"/>
  <c r="V458" i="1" s="1"/>
  <c r="A459" i="1"/>
  <c r="V459" i="1" s="1"/>
  <c r="A460" i="1"/>
  <c r="V460" i="1" s="1"/>
  <c r="A461" i="1"/>
  <c r="V461" i="1" s="1"/>
  <c r="A462" i="1"/>
  <c r="V462" i="1" s="1"/>
  <c r="A463" i="1"/>
  <c r="V463" i="1" s="1"/>
  <c r="A464" i="1"/>
  <c r="V464" i="1" s="1"/>
  <c r="A465" i="1"/>
  <c r="V465" i="1" s="1"/>
  <c r="A466" i="1"/>
  <c r="V466" i="1" s="1"/>
  <c r="A467" i="1"/>
  <c r="V467" i="1" s="1"/>
  <c r="A468" i="1"/>
  <c r="V468" i="1" s="1"/>
  <c r="A469" i="1"/>
  <c r="V469" i="1" s="1"/>
  <c r="A470" i="1"/>
  <c r="V470" i="1" s="1"/>
  <c r="A471" i="1"/>
  <c r="V471" i="1" s="1"/>
  <c r="A472" i="1"/>
  <c r="V472" i="1" s="1"/>
  <c r="A473" i="1"/>
  <c r="V473" i="1" s="1"/>
  <c r="A474" i="1"/>
  <c r="V474" i="1" s="1"/>
  <c r="A475" i="1"/>
  <c r="V475" i="1" s="1"/>
  <c r="A476" i="1"/>
  <c r="V476" i="1" s="1"/>
  <c r="A477" i="1"/>
  <c r="V477" i="1" s="1"/>
  <c r="A478" i="1"/>
  <c r="V478" i="1" s="1"/>
  <c r="A479" i="1"/>
  <c r="V479" i="1" s="1"/>
  <c r="A480" i="1"/>
  <c r="V480" i="1" s="1"/>
  <c r="A481" i="1"/>
  <c r="V481" i="1" s="1"/>
  <c r="A482" i="1"/>
  <c r="V482" i="1" s="1"/>
  <c r="A483" i="1"/>
  <c r="V483" i="1" s="1"/>
  <c r="A484" i="1"/>
  <c r="V484" i="1" s="1"/>
  <c r="A485" i="1"/>
  <c r="V485" i="1" s="1"/>
  <c r="A486" i="1"/>
  <c r="V486" i="1" s="1"/>
  <c r="A487" i="1"/>
  <c r="V487" i="1" s="1"/>
  <c r="A488" i="1"/>
  <c r="V488" i="1" s="1"/>
  <c r="A489" i="1"/>
  <c r="V489" i="1" s="1"/>
  <c r="A490" i="1"/>
  <c r="V490" i="1" s="1"/>
  <c r="A491" i="1"/>
  <c r="V491" i="1" s="1"/>
  <c r="A492" i="1"/>
  <c r="V492" i="1" s="1"/>
  <c r="A493" i="1"/>
  <c r="V493" i="1" s="1"/>
  <c r="A494" i="1"/>
  <c r="V494" i="1" s="1"/>
  <c r="A495" i="1"/>
  <c r="V495" i="1" s="1"/>
  <c r="A496" i="1"/>
  <c r="V496" i="1" s="1"/>
  <c r="A497" i="1"/>
  <c r="V497" i="1" s="1"/>
  <c r="A498" i="1"/>
  <c r="V498" i="1" s="1"/>
  <c r="A499" i="1"/>
  <c r="V499" i="1" s="1"/>
  <c r="A500" i="1"/>
  <c r="V500" i="1" s="1"/>
  <c r="A501" i="1"/>
  <c r="V501" i="1" s="1"/>
  <c r="A502" i="1"/>
  <c r="V502" i="1" s="1"/>
  <c r="A503" i="1"/>
  <c r="V503" i="1" s="1"/>
  <c r="A504" i="1"/>
  <c r="V504" i="1" s="1"/>
  <c r="A505" i="1"/>
  <c r="V505" i="1" s="1"/>
  <c r="A506" i="1"/>
  <c r="V506" i="1" s="1"/>
  <c r="A507" i="1"/>
  <c r="V507" i="1" s="1"/>
  <c r="A508" i="1"/>
  <c r="V508" i="1" s="1"/>
  <c r="A509" i="1"/>
  <c r="V509" i="1" s="1"/>
  <c r="A510" i="1"/>
  <c r="V510" i="1" s="1"/>
  <c r="A511" i="1"/>
  <c r="V511" i="1" s="1"/>
  <c r="A512" i="1"/>
  <c r="V512" i="1" s="1"/>
  <c r="A513" i="1"/>
  <c r="V513" i="1" s="1"/>
  <c r="A514" i="1"/>
  <c r="V514" i="1" s="1"/>
  <c r="A515" i="1"/>
  <c r="V515" i="1" s="1"/>
  <c r="A516" i="1"/>
  <c r="V516" i="1" s="1"/>
  <c r="A517" i="1"/>
  <c r="V517" i="1" s="1"/>
  <c r="A518" i="1"/>
  <c r="V518" i="1" s="1"/>
  <c r="A519" i="1"/>
  <c r="V519" i="1" s="1"/>
  <c r="A520" i="1"/>
  <c r="V520" i="1" s="1"/>
  <c r="A521" i="1"/>
  <c r="V521" i="1" s="1"/>
  <c r="A522" i="1"/>
  <c r="V522" i="1" s="1"/>
  <c r="A523" i="1"/>
  <c r="V523" i="1" s="1"/>
  <c r="A524" i="1"/>
  <c r="V524" i="1" s="1"/>
  <c r="A525" i="1"/>
  <c r="V525" i="1" s="1"/>
  <c r="A526" i="1"/>
  <c r="V526" i="1" s="1"/>
  <c r="A527" i="1"/>
  <c r="V527" i="1" s="1"/>
  <c r="A528" i="1"/>
  <c r="V528" i="1" s="1"/>
  <c r="A529" i="1"/>
  <c r="V529" i="1" s="1"/>
  <c r="A530" i="1"/>
  <c r="V530" i="1" s="1"/>
  <c r="A531" i="1"/>
  <c r="V531" i="1" s="1"/>
  <c r="A532" i="1"/>
  <c r="V532" i="1" s="1"/>
  <c r="A533" i="1"/>
  <c r="V533" i="1" s="1"/>
  <c r="A534" i="1"/>
  <c r="V534" i="1" s="1"/>
  <c r="A535" i="1"/>
  <c r="V535" i="1" s="1"/>
  <c r="A536" i="1"/>
  <c r="V536" i="1" s="1"/>
  <c r="A537" i="1"/>
  <c r="V537" i="1" s="1"/>
  <c r="A538" i="1"/>
  <c r="V538" i="1" s="1"/>
  <c r="A539" i="1"/>
  <c r="V539" i="1" s="1"/>
  <c r="A540" i="1"/>
  <c r="V540" i="1" s="1"/>
  <c r="A541" i="1"/>
  <c r="V541" i="1" s="1"/>
  <c r="A542" i="1"/>
  <c r="V542" i="1" s="1"/>
  <c r="A543" i="1"/>
  <c r="V543" i="1" s="1"/>
  <c r="A544" i="1"/>
  <c r="V544" i="1" s="1"/>
  <c r="A545" i="1"/>
  <c r="V545" i="1" s="1"/>
  <c r="A546" i="1"/>
  <c r="V546" i="1" s="1"/>
  <c r="A547" i="1"/>
  <c r="V547" i="1" s="1"/>
  <c r="A548" i="1"/>
  <c r="V548" i="1" s="1"/>
  <c r="A549" i="1"/>
  <c r="V549" i="1" s="1"/>
  <c r="A550" i="1"/>
  <c r="V550" i="1" s="1"/>
  <c r="A551" i="1"/>
  <c r="V551" i="1" s="1"/>
  <c r="A552" i="1"/>
  <c r="V552" i="1" s="1"/>
  <c r="A553" i="1"/>
  <c r="V553" i="1" s="1"/>
  <c r="A554" i="1"/>
  <c r="V554" i="1" s="1"/>
  <c r="A555" i="1"/>
  <c r="V555" i="1" s="1"/>
  <c r="A556" i="1"/>
  <c r="V556" i="1" s="1"/>
  <c r="A557" i="1"/>
  <c r="V557" i="1" s="1"/>
  <c r="A558" i="1"/>
  <c r="V558" i="1" s="1"/>
  <c r="A559" i="1"/>
  <c r="V559" i="1" s="1"/>
  <c r="A560" i="1"/>
  <c r="V560" i="1" s="1"/>
  <c r="A561" i="1"/>
  <c r="V561" i="1" s="1"/>
  <c r="A562" i="1"/>
  <c r="V562" i="1" s="1"/>
  <c r="A563" i="1"/>
  <c r="V563" i="1" s="1"/>
  <c r="A564" i="1"/>
  <c r="V564" i="1" s="1"/>
  <c r="A565" i="1"/>
  <c r="V565" i="1" s="1"/>
  <c r="A566" i="1"/>
  <c r="V566" i="1" s="1"/>
  <c r="A567" i="1"/>
  <c r="V567" i="1" s="1"/>
  <c r="A568" i="1"/>
  <c r="V568" i="1" s="1"/>
  <c r="A569" i="1"/>
  <c r="V569" i="1" s="1"/>
  <c r="A570" i="1"/>
  <c r="V570" i="1" s="1"/>
  <c r="A571" i="1"/>
  <c r="V571" i="1" s="1"/>
  <c r="A572" i="1"/>
  <c r="V572" i="1" s="1"/>
  <c r="A573" i="1"/>
  <c r="V573" i="1" s="1"/>
  <c r="A574" i="1"/>
  <c r="V574" i="1" s="1"/>
  <c r="A575" i="1"/>
  <c r="V575" i="1" s="1"/>
  <c r="A576" i="1"/>
  <c r="V576" i="1" s="1"/>
  <c r="A577" i="1"/>
  <c r="V577" i="1" s="1"/>
  <c r="A578" i="1"/>
  <c r="V578" i="1" s="1"/>
  <c r="A579" i="1"/>
  <c r="V579" i="1" s="1"/>
  <c r="A580" i="1"/>
  <c r="V580" i="1" s="1"/>
  <c r="A581" i="1"/>
  <c r="V581" i="1" s="1"/>
  <c r="A582" i="1"/>
  <c r="V582" i="1" s="1"/>
  <c r="A583" i="1"/>
  <c r="V583" i="1" s="1"/>
  <c r="A584" i="1"/>
  <c r="V584" i="1" s="1"/>
  <c r="A585" i="1"/>
  <c r="V585" i="1" s="1"/>
  <c r="A586" i="1"/>
  <c r="V586" i="1" s="1"/>
  <c r="A587" i="1"/>
  <c r="V587" i="1" s="1"/>
  <c r="A588" i="1"/>
  <c r="V588" i="1" s="1"/>
  <c r="A589" i="1"/>
  <c r="V589" i="1" s="1"/>
  <c r="A590" i="1"/>
  <c r="V590" i="1" s="1"/>
  <c r="A591" i="1"/>
  <c r="V591" i="1" s="1"/>
  <c r="A592" i="1"/>
  <c r="V592" i="1" s="1"/>
  <c r="A593" i="1"/>
  <c r="V593" i="1" s="1"/>
  <c r="A594" i="1"/>
  <c r="V594" i="1" s="1"/>
  <c r="A595" i="1"/>
  <c r="V595" i="1" s="1"/>
  <c r="A596" i="1"/>
  <c r="V596" i="1" s="1"/>
  <c r="A597" i="1"/>
  <c r="V597" i="1" s="1"/>
  <c r="A598" i="1"/>
  <c r="V598" i="1" s="1"/>
  <c r="A599" i="1"/>
  <c r="V599" i="1" s="1"/>
  <c r="A600" i="1"/>
  <c r="V600" i="1" s="1"/>
  <c r="A601" i="1"/>
  <c r="V601" i="1" s="1"/>
  <c r="A602" i="1"/>
  <c r="V602" i="1" s="1"/>
  <c r="A603" i="1"/>
  <c r="V603" i="1" s="1"/>
  <c r="A604" i="1"/>
  <c r="V604" i="1" s="1"/>
  <c r="A605" i="1"/>
  <c r="V605" i="1" s="1"/>
  <c r="A606" i="1"/>
  <c r="V606" i="1" s="1"/>
  <c r="A607" i="1"/>
  <c r="V607" i="1" s="1"/>
  <c r="A608" i="1"/>
  <c r="V608" i="1" s="1"/>
  <c r="A609" i="1"/>
  <c r="V609" i="1" s="1"/>
  <c r="A610" i="1"/>
  <c r="V610" i="1" s="1"/>
  <c r="A611" i="1"/>
  <c r="V611" i="1" s="1"/>
  <c r="A612" i="1"/>
  <c r="V612" i="1" s="1"/>
  <c r="A613" i="1"/>
  <c r="V613" i="1" s="1"/>
  <c r="A614" i="1"/>
  <c r="V614" i="1" s="1"/>
  <c r="A615" i="1"/>
  <c r="V615" i="1" s="1"/>
  <c r="A616" i="1"/>
  <c r="V616" i="1" s="1"/>
  <c r="A617" i="1"/>
  <c r="V617" i="1" s="1"/>
  <c r="A618" i="1"/>
  <c r="V618" i="1" s="1"/>
  <c r="A619" i="1"/>
  <c r="V619" i="1" s="1"/>
  <c r="A620" i="1"/>
  <c r="V620" i="1" s="1"/>
  <c r="A621" i="1"/>
  <c r="V621" i="1" s="1"/>
  <c r="A622" i="1"/>
  <c r="V622" i="1" s="1"/>
  <c r="A623" i="1"/>
  <c r="V623" i="1" s="1"/>
  <c r="A624" i="1"/>
  <c r="V624" i="1" s="1"/>
  <c r="A625" i="1"/>
  <c r="V625" i="1" s="1"/>
  <c r="A626" i="1"/>
  <c r="V626" i="1" s="1"/>
  <c r="A627" i="1"/>
  <c r="V627" i="1" s="1"/>
  <c r="A628" i="1"/>
  <c r="V628" i="1" s="1"/>
  <c r="A629" i="1"/>
  <c r="V629" i="1" s="1"/>
  <c r="A630" i="1"/>
  <c r="V630" i="1" s="1"/>
  <c r="A631" i="1"/>
  <c r="V631" i="1" s="1"/>
  <c r="A632" i="1"/>
  <c r="V632" i="1" s="1"/>
  <c r="A633" i="1"/>
  <c r="V633" i="1" s="1"/>
  <c r="A634" i="1"/>
  <c r="V634" i="1" s="1"/>
  <c r="A635" i="1"/>
  <c r="V635" i="1" s="1"/>
  <c r="A636" i="1"/>
  <c r="V636" i="1" s="1"/>
  <c r="A637" i="1"/>
  <c r="V637" i="1" s="1"/>
  <c r="A638" i="1"/>
  <c r="V638" i="1" s="1"/>
  <c r="A639" i="1"/>
  <c r="V639" i="1" s="1"/>
  <c r="A640" i="1"/>
  <c r="V640" i="1" s="1"/>
  <c r="A641" i="1"/>
  <c r="V641" i="1" s="1"/>
  <c r="A642" i="1"/>
  <c r="V642" i="1" s="1"/>
  <c r="A643" i="1"/>
  <c r="V643" i="1" s="1"/>
  <c r="A644" i="1"/>
  <c r="V644" i="1" s="1"/>
  <c r="A645" i="1"/>
  <c r="V645" i="1" s="1"/>
  <c r="A646" i="1"/>
  <c r="V646" i="1" s="1"/>
  <c r="A647" i="1"/>
  <c r="V647" i="1" s="1"/>
  <c r="A648" i="1"/>
  <c r="V648" i="1" s="1"/>
  <c r="A649" i="1"/>
  <c r="V649" i="1" s="1"/>
  <c r="A650" i="1"/>
  <c r="V650" i="1" s="1"/>
  <c r="A651" i="1"/>
  <c r="V651" i="1" s="1"/>
  <c r="A652" i="1"/>
  <c r="V652" i="1" s="1"/>
  <c r="A653" i="1"/>
  <c r="V653" i="1" s="1"/>
  <c r="A654" i="1"/>
  <c r="V654" i="1" s="1"/>
  <c r="A655" i="1"/>
  <c r="V655" i="1" s="1"/>
  <c r="A656" i="1"/>
  <c r="V656" i="1" s="1"/>
  <c r="A657" i="1"/>
  <c r="V657" i="1" s="1"/>
  <c r="A658" i="1"/>
  <c r="V658" i="1" s="1"/>
  <c r="A659" i="1"/>
  <c r="V659" i="1" s="1"/>
  <c r="A660" i="1"/>
  <c r="V660" i="1" s="1"/>
  <c r="A661" i="1"/>
  <c r="V661" i="1" s="1"/>
  <c r="A662" i="1"/>
  <c r="V662" i="1" s="1"/>
  <c r="A663" i="1"/>
  <c r="V663" i="1" s="1"/>
  <c r="A664" i="1"/>
  <c r="V664" i="1" s="1"/>
  <c r="A665" i="1"/>
  <c r="V665" i="1" s="1"/>
  <c r="A666" i="1"/>
  <c r="V666" i="1" s="1"/>
  <c r="A667" i="1"/>
  <c r="V667" i="1" s="1"/>
  <c r="A668" i="1"/>
  <c r="V668" i="1" s="1"/>
  <c r="A669" i="1"/>
  <c r="V669" i="1" s="1"/>
  <c r="A670" i="1"/>
  <c r="V670" i="1" s="1"/>
  <c r="A671" i="1"/>
  <c r="V671" i="1" s="1"/>
  <c r="A672" i="1"/>
  <c r="V672" i="1" s="1"/>
  <c r="A673" i="1"/>
  <c r="V673" i="1" s="1"/>
  <c r="A674" i="1"/>
  <c r="V674" i="1" s="1"/>
  <c r="A675" i="1"/>
  <c r="V675" i="1" s="1"/>
  <c r="A676" i="1"/>
  <c r="V676" i="1" s="1"/>
  <c r="A677" i="1"/>
  <c r="V677" i="1" s="1"/>
  <c r="A678" i="1"/>
  <c r="V678" i="1" s="1"/>
  <c r="A679" i="1"/>
  <c r="V679" i="1" s="1"/>
  <c r="A680" i="1"/>
  <c r="V680" i="1" s="1"/>
  <c r="A681" i="1"/>
  <c r="V681" i="1" s="1"/>
  <c r="A682" i="1"/>
  <c r="V682" i="1" s="1"/>
  <c r="A683" i="1"/>
  <c r="V683" i="1" s="1"/>
  <c r="A684" i="1"/>
  <c r="V684" i="1" s="1"/>
  <c r="A685" i="1"/>
  <c r="V685" i="1" s="1"/>
  <c r="A686" i="1"/>
  <c r="V686" i="1" s="1"/>
  <c r="A687" i="1"/>
  <c r="V687" i="1" s="1"/>
  <c r="A688" i="1"/>
  <c r="V688" i="1" s="1"/>
  <c r="A689" i="1"/>
  <c r="V689" i="1" s="1"/>
  <c r="A690" i="1"/>
  <c r="V690" i="1" s="1"/>
  <c r="A691" i="1"/>
  <c r="V691" i="1" s="1"/>
  <c r="A692" i="1"/>
  <c r="V692" i="1" s="1"/>
  <c r="A693" i="1"/>
  <c r="V693" i="1" s="1"/>
  <c r="A694" i="1"/>
  <c r="V694" i="1" s="1"/>
  <c r="A695" i="1"/>
  <c r="V695" i="1" s="1"/>
  <c r="A696" i="1"/>
  <c r="V696" i="1" s="1"/>
  <c r="A697" i="1"/>
  <c r="V697" i="1" s="1"/>
  <c r="A698" i="1"/>
  <c r="V698" i="1" s="1"/>
  <c r="A699" i="1"/>
  <c r="V699" i="1" s="1"/>
  <c r="A700" i="1"/>
  <c r="V700" i="1" s="1"/>
  <c r="A701" i="1"/>
  <c r="V701" i="1" s="1"/>
  <c r="A702" i="1"/>
  <c r="V702" i="1" s="1"/>
  <c r="A703" i="1"/>
  <c r="V703" i="1" s="1"/>
  <c r="A704" i="1"/>
  <c r="V704" i="1" s="1"/>
  <c r="A705" i="1"/>
  <c r="V705" i="1" s="1"/>
  <c r="A706" i="1"/>
  <c r="V706" i="1" s="1"/>
  <c r="A707" i="1"/>
  <c r="V707" i="1" s="1"/>
  <c r="A708" i="1"/>
  <c r="V708" i="1" s="1"/>
  <c r="A709" i="1"/>
  <c r="V709" i="1" s="1"/>
  <c r="A710" i="1"/>
  <c r="V710" i="1" s="1"/>
  <c r="A711" i="1"/>
  <c r="V711" i="1" s="1"/>
  <c r="A712" i="1"/>
  <c r="V712" i="1" s="1"/>
  <c r="A713" i="1"/>
  <c r="V713" i="1" s="1"/>
  <c r="A714" i="1"/>
  <c r="V714" i="1" s="1"/>
  <c r="A715" i="1"/>
  <c r="V715" i="1" s="1"/>
  <c r="A716" i="1"/>
  <c r="V716" i="1" s="1"/>
  <c r="A717" i="1"/>
  <c r="V717" i="1" s="1"/>
  <c r="A718" i="1"/>
  <c r="V718" i="1" s="1"/>
  <c r="A719" i="1"/>
  <c r="V719" i="1" s="1"/>
  <c r="A720" i="1"/>
  <c r="V720" i="1" s="1"/>
  <c r="A721" i="1"/>
  <c r="V721" i="1" s="1"/>
  <c r="A722" i="1"/>
  <c r="V722" i="1" s="1"/>
  <c r="A723" i="1"/>
  <c r="V723" i="1" s="1"/>
  <c r="A724" i="1"/>
  <c r="V724" i="1" s="1"/>
  <c r="A725" i="1"/>
  <c r="V725" i="1" s="1"/>
  <c r="A726" i="1"/>
  <c r="V726" i="1" s="1"/>
  <c r="A727" i="1"/>
  <c r="V727" i="1" s="1"/>
  <c r="A728" i="1"/>
  <c r="V728" i="1" s="1"/>
  <c r="A729" i="1"/>
  <c r="V729" i="1" s="1"/>
  <c r="A730" i="1"/>
  <c r="V730" i="1" s="1"/>
  <c r="A731" i="1"/>
  <c r="V731" i="1" s="1"/>
  <c r="A732" i="1"/>
  <c r="V732" i="1" s="1"/>
  <c r="A733" i="1"/>
  <c r="V733" i="1" s="1"/>
  <c r="A734" i="1"/>
  <c r="V734" i="1" s="1"/>
  <c r="A735" i="1"/>
  <c r="V735" i="1" s="1"/>
  <c r="A736" i="1"/>
  <c r="V736" i="1" s="1"/>
  <c r="A737" i="1"/>
  <c r="V737" i="1" s="1"/>
  <c r="A738" i="1"/>
  <c r="V738" i="1" s="1"/>
  <c r="A739" i="1"/>
  <c r="V739" i="1" s="1"/>
  <c r="A740" i="1"/>
  <c r="V740" i="1" s="1"/>
  <c r="A741" i="1"/>
  <c r="V741" i="1" s="1"/>
  <c r="A742" i="1"/>
  <c r="V742" i="1" s="1"/>
  <c r="A743" i="1"/>
  <c r="V743" i="1" s="1"/>
  <c r="A744" i="1"/>
  <c r="V744" i="1" s="1"/>
  <c r="A745" i="1"/>
  <c r="V745" i="1" s="1"/>
  <c r="A746" i="1"/>
  <c r="V746" i="1" s="1"/>
  <c r="A747" i="1"/>
  <c r="V747" i="1" s="1"/>
  <c r="A748" i="1"/>
  <c r="V748" i="1" s="1"/>
  <c r="A749" i="1"/>
  <c r="V749" i="1" s="1"/>
  <c r="A750" i="1"/>
  <c r="V750" i="1" s="1"/>
  <c r="A751" i="1"/>
  <c r="V751" i="1" s="1"/>
  <c r="A752" i="1"/>
  <c r="V752" i="1" s="1"/>
  <c r="A753" i="1"/>
  <c r="V753" i="1" s="1"/>
  <c r="A754" i="1"/>
  <c r="V754" i="1" s="1"/>
  <c r="A755" i="1"/>
  <c r="V755" i="1" s="1"/>
  <c r="A756" i="1"/>
  <c r="V756" i="1" s="1"/>
  <c r="A757" i="1"/>
  <c r="V757" i="1" s="1"/>
  <c r="A758" i="1"/>
  <c r="V758" i="1" s="1"/>
  <c r="A759" i="1"/>
  <c r="V759" i="1" s="1"/>
  <c r="A760" i="1"/>
  <c r="V760" i="1" s="1"/>
  <c r="A761" i="1"/>
  <c r="V761" i="1" s="1"/>
  <c r="A762" i="1"/>
  <c r="V762" i="1" s="1"/>
  <c r="A763" i="1"/>
  <c r="V763" i="1" s="1"/>
  <c r="A764" i="1"/>
  <c r="V764" i="1" s="1"/>
  <c r="A765" i="1"/>
  <c r="V765" i="1" s="1"/>
  <c r="A766" i="1"/>
  <c r="V766" i="1" s="1"/>
  <c r="A767" i="1"/>
  <c r="V767" i="1" s="1"/>
  <c r="A768" i="1"/>
  <c r="V768" i="1" s="1"/>
  <c r="A769" i="1"/>
  <c r="V769" i="1" s="1"/>
  <c r="A770" i="1"/>
  <c r="V770" i="1" s="1"/>
  <c r="A771" i="1"/>
  <c r="V771" i="1" s="1"/>
  <c r="A772" i="1"/>
  <c r="V772" i="1" s="1"/>
  <c r="A773" i="1"/>
  <c r="V773" i="1" s="1"/>
  <c r="A774" i="1"/>
  <c r="V774" i="1" s="1"/>
  <c r="A775" i="1"/>
  <c r="V775" i="1" s="1"/>
  <c r="A776" i="1"/>
  <c r="V776" i="1" s="1"/>
  <c r="A777" i="1"/>
  <c r="V777" i="1" s="1"/>
  <c r="A778" i="1"/>
  <c r="V778" i="1" s="1"/>
  <c r="A779" i="1"/>
  <c r="V779" i="1" s="1"/>
  <c r="A780" i="1"/>
  <c r="V780" i="1" s="1"/>
  <c r="A781" i="1"/>
  <c r="V781" i="1" s="1"/>
  <c r="A782" i="1"/>
  <c r="V782" i="1" s="1"/>
  <c r="A783" i="1"/>
  <c r="V783" i="1" s="1"/>
  <c r="A784" i="1"/>
  <c r="V784" i="1" s="1"/>
  <c r="A785" i="1"/>
  <c r="V785" i="1" s="1"/>
  <c r="A786" i="1"/>
  <c r="V786" i="1" s="1"/>
  <c r="A787" i="1"/>
  <c r="V787" i="1" s="1"/>
  <c r="A788" i="1"/>
  <c r="V788" i="1" s="1"/>
  <c r="A789" i="1"/>
  <c r="V789" i="1" s="1"/>
  <c r="A790" i="1"/>
  <c r="V790" i="1" s="1"/>
  <c r="A791" i="1"/>
  <c r="V791" i="1" s="1"/>
  <c r="A792" i="1"/>
  <c r="V792" i="1" s="1"/>
  <c r="A793" i="1"/>
  <c r="V793" i="1" s="1"/>
  <c r="A794" i="1"/>
  <c r="V794" i="1" s="1"/>
  <c r="A795" i="1"/>
  <c r="V795" i="1" s="1"/>
  <c r="A796" i="1"/>
  <c r="V796" i="1" s="1"/>
  <c r="A797" i="1"/>
  <c r="V797" i="1" s="1"/>
  <c r="A798" i="1"/>
  <c r="V798" i="1" s="1"/>
  <c r="A799" i="1"/>
  <c r="V799" i="1" s="1"/>
  <c r="A800" i="1"/>
  <c r="V800" i="1" s="1"/>
  <c r="A801" i="1"/>
  <c r="V801" i="1" s="1"/>
  <c r="A802" i="1"/>
  <c r="V802" i="1" s="1"/>
  <c r="A803" i="1"/>
  <c r="V803" i="1" s="1"/>
  <c r="A804" i="1"/>
  <c r="V804" i="1" s="1"/>
  <c r="A805" i="1"/>
  <c r="V805" i="1" s="1"/>
  <c r="A806" i="1"/>
  <c r="V806" i="1" s="1"/>
  <c r="A807" i="1"/>
  <c r="V807" i="1" s="1"/>
  <c r="A808" i="1"/>
  <c r="V808" i="1" s="1"/>
  <c r="A809" i="1"/>
  <c r="V809" i="1" s="1"/>
  <c r="A810" i="1"/>
  <c r="V810" i="1" s="1"/>
  <c r="A811" i="1"/>
  <c r="V811" i="1" s="1"/>
  <c r="A812" i="1"/>
  <c r="V812" i="1" s="1"/>
  <c r="A813" i="1"/>
  <c r="V813" i="1" s="1"/>
  <c r="A814" i="1"/>
  <c r="V814" i="1" s="1"/>
  <c r="A815" i="1"/>
  <c r="V815" i="1" s="1"/>
  <c r="A816" i="1"/>
  <c r="V816" i="1" s="1"/>
  <c r="A817" i="1"/>
  <c r="V817" i="1" s="1"/>
  <c r="A818" i="1"/>
  <c r="V818" i="1" s="1"/>
  <c r="A819" i="1"/>
  <c r="V819" i="1" s="1"/>
  <c r="A820" i="1"/>
  <c r="V820" i="1" s="1"/>
  <c r="A821" i="1"/>
  <c r="V821" i="1" s="1"/>
  <c r="A822" i="1"/>
  <c r="V822" i="1" s="1"/>
  <c r="A823" i="1"/>
  <c r="V823" i="1" s="1"/>
  <c r="A824" i="1"/>
  <c r="V824" i="1" s="1"/>
  <c r="A825" i="1"/>
  <c r="V825" i="1" s="1"/>
  <c r="A826" i="1"/>
  <c r="V826" i="1" s="1"/>
  <c r="A827" i="1"/>
  <c r="V827" i="1" s="1"/>
  <c r="A828" i="1"/>
  <c r="V828" i="1" s="1"/>
  <c r="A829" i="1"/>
  <c r="V829" i="1" s="1"/>
  <c r="A830" i="1"/>
  <c r="V830" i="1" s="1"/>
  <c r="A831" i="1"/>
  <c r="V831" i="1" s="1"/>
  <c r="A832" i="1"/>
  <c r="V832" i="1" s="1"/>
  <c r="A833" i="1"/>
  <c r="V833" i="1" s="1"/>
  <c r="A834" i="1"/>
  <c r="V834" i="1" s="1"/>
  <c r="A835" i="1"/>
  <c r="V835" i="1" s="1"/>
  <c r="A836" i="1"/>
  <c r="V836" i="1" s="1"/>
  <c r="A837" i="1"/>
  <c r="V837" i="1" s="1"/>
  <c r="A838" i="1"/>
  <c r="V838" i="1" s="1"/>
  <c r="A839" i="1"/>
  <c r="V839" i="1" s="1"/>
  <c r="A840" i="1"/>
  <c r="V840" i="1" s="1"/>
  <c r="A841" i="1"/>
  <c r="V841" i="1" s="1"/>
  <c r="A842" i="1"/>
  <c r="V842" i="1" s="1"/>
  <c r="A843" i="1"/>
  <c r="V843" i="1" s="1"/>
  <c r="A844" i="1"/>
  <c r="V844" i="1" s="1"/>
  <c r="A845" i="1"/>
  <c r="V845" i="1" s="1"/>
  <c r="A846" i="1"/>
  <c r="V846" i="1" s="1"/>
  <c r="A847" i="1"/>
  <c r="V847" i="1" s="1"/>
  <c r="A848" i="1"/>
  <c r="V848" i="1" s="1"/>
  <c r="A849" i="1"/>
  <c r="V849" i="1" s="1"/>
  <c r="A850" i="1"/>
  <c r="V850" i="1" s="1"/>
  <c r="A851" i="1"/>
  <c r="V851" i="1" s="1"/>
  <c r="A852" i="1"/>
  <c r="V852" i="1" s="1"/>
  <c r="A853" i="1"/>
  <c r="V853" i="1" s="1"/>
  <c r="A854" i="1"/>
  <c r="V854" i="1" s="1"/>
  <c r="A855" i="1"/>
  <c r="V855" i="1" s="1"/>
  <c r="A856" i="1"/>
  <c r="V856" i="1" s="1"/>
  <c r="A857" i="1"/>
  <c r="V857" i="1" s="1"/>
  <c r="A858" i="1"/>
  <c r="V858" i="1" s="1"/>
  <c r="A859" i="1"/>
  <c r="V859" i="1" s="1"/>
  <c r="A860" i="1"/>
  <c r="V860" i="1" s="1"/>
  <c r="A861" i="1"/>
  <c r="V861" i="1" s="1"/>
  <c r="A862" i="1"/>
  <c r="V862" i="1" s="1"/>
  <c r="A863" i="1"/>
  <c r="V863" i="1" s="1"/>
  <c r="A864" i="1"/>
  <c r="V864" i="1" s="1"/>
  <c r="A865" i="1"/>
  <c r="V865" i="1" s="1"/>
  <c r="A866" i="1"/>
  <c r="V866" i="1" s="1"/>
  <c r="A867" i="1"/>
  <c r="V867" i="1" s="1"/>
  <c r="A868" i="1"/>
  <c r="V868" i="1" s="1"/>
  <c r="A869" i="1"/>
  <c r="V869" i="1" s="1"/>
  <c r="A870" i="1"/>
  <c r="V870" i="1" s="1"/>
  <c r="A871" i="1"/>
  <c r="V871" i="1" s="1"/>
  <c r="A872" i="1"/>
  <c r="V872" i="1" s="1"/>
  <c r="A873" i="1"/>
  <c r="V873" i="1" s="1"/>
  <c r="A874" i="1"/>
  <c r="V874" i="1" s="1"/>
  <c r="A875" i="1"/>
  <c r="V875" i="1" s="1"/>
  <c r="A876" i="1"/>
  <c r="V876" i="1" s="1"/>
  <c r="A877" i="1"/>
  <c r="V877" i="1" s="1"/>
  <c r="A878" i="1"/>
  <c r="V878" i="1" s="1"/>
  <c r="A879" i="1"/>
  <c r="V879" i="1" s="1"/>
  <c r="A880" i="1"/>
  <c r="V880" i="1" s="1"/>
  <c r="A881" i="1"/>
  <c r="V881" i="1" s="1"/>
  <c r="A882" i="1"/>
  <c r="V882" i="1" s="1"/>
  <c r="A883" i="1"/>
  <c r="V883" i="1" s="1"/>
  <c r="A884" i="1"/>
  <c r="V884" i="1" s="1"/>
  <c r="A885" i="1"/>
  <c r="V885" i="1" s="1"/>
  <c r="A886" i="1"/>
  <c r="V886" i="1" s="1"/>
  <c r="A887" i="1"/>
  <c r="V887" i="1" s="1"/>
  <c r="A888" i="1"/>
  <c r="V888" i="1" s="1"/>
  <c r="A889" i="1"/>
  <c r="V889" i="1" s="1"/>
  <c r="A890" i="1"/>
  <c r="V890" i="1" s="1"/>
  <c r="A891" i="1"/>
  <c r="V891" i="1" s="1"/>
  <c r="A892" i="1"/>
  <c r="V892" i="1" s="1"/>
  <c r="A893" i="1"/>
  <c r="V893" i="1" s="1"/>
  <c r="A894" i="1"/>
  <c r="V894" i="1" s="1"/>
  <c r="A895" i="1"/>
  <c r="V895" i="1" s="1"/>
  <c r="A896" i="1"/>
  <c r="V896" i="1" s="1"/>
  <c r="A897" i="1"/>
  <c r="V897" i="1" s="1"/>
  <c r="A898" i="1"/>
  <c r="V898" i="1" s="1"/>
  <c r="A899" i="1"/>
  <c r="V899" i="1" s="1"/>
  <c r="A900" i="1"/>
  <c r="V900" i="1" s="1"/>
  <c r="A901" i="1"/>
  <c r="V901" i="1" s="1"/>
  <c r="A902" i="1"/>
  <c r="V902" i="1" s="1"/>
  <c r="A903" i="1"/>
  <c r="V903" i="1" s="1"/>
  <c r="A904" i="1"/>
  <c r="V904" i="1" s="1"/>
  <c r="A905" i="1"/>
  <c r="V905" i="1" s="1"/>
  <c r="A906" i="1"/>
  <c r="V906" i="1" s="1"/>
  <c r="A907" i="1"/>
  <c r="V907" i="1" s="1"/>
  <c r="A908" i="1"/>
  <c r="V908" i="1" s="1"/>
  <c r="A909" i="1"/>
  <c r="V909" i="1" s="1"/>
  <c r="A910" i="1"/>
  <c r="V910" i="1" s="1"/>
  <c r="A911" i="1"/>
  <c r="V911" i="1" s="1"/>
  <c r="A912" i="1"/>
  <c r="V912" i="1" s="1"/>
  <c r="A913" i="1"/>
  <c r="V913" i="1" s="1"/>
  <c r="A914" i="1"/>
  <c r="V914" i="1" s="1"/>
  <c r="A915" i="1"/>
  <c r="V915" i="1" s="1"/>
  <c r="A916" i="1"/>
  <c r="V916" i="1" s="1"/>
  <c r="A917" i="1"/>
  <c r="V917" i="1" s="1"/>
  <c r="A918" i="1"/>
  <c r="V918" i="1" s="1"/>
  <c r="A919" i="1"/>
  <c r="V919" i="1" s="1"/>
  <c r="A920" i="1"/>
  <c r="V920" i="1" s="1"/>
  <c r="A921" i="1"/>
  <c r="V921" i="1" s="1"/>
  <c r="A922" i="1"/>
  <c r="V922" i="1" s="1"/>
  <c r="A923" i="1"/>
  <c r="V923" i="1" s="1"/>
  <c r="A924" i="1"/>
  <c r="V924" i="1" s="1"/>
  <c r="A925" i="1"/>
  <c r="V925" i="1" s="1"/>
  <c r="A926" i="1"/>
  <c r="V926" i="1" s="1"/>
  <c r="A927" i="1"/>
  <c r="V927" i="1" s="1"/>
  <c r="A928" i="1"/>
  <c r="V928" i="1" s="1"/>
  <c r="A929" i="1"/>
  <c r="V929" i="1" s="1"/>
  <c r="A930" i="1"/>
  <c r="V930" i="1" s="1"/>
  <c r="A931" i="1"/>
  <c r="V931" i="1" s="1"/>
  <c r="A932" i="1"/>
  <c r="V932" i="1" s="1"/>
  <c r="A933" i="1"/>
  <c r="V933" i="1" s="1"/>
  <c r="A934" i="1"/>
  <c r="V934" i="1" s="1"/>
  <c r="A935" i="1"/>
  <c r="V935" i="1" s="1"/>
  <c r="A936" i="1"/>
  <c r="V936" i="1" s="1"/>
  <c r="A937" i="1"/>
  <c r="V937" i="1" s="1"/>
  <c r="A938" i="1"/>
  <c r="V938" i="1" s="1"/>
  <c r="A939" i="1"/>
  <c r="V939" i="1" s="1"/>
  <c r="A940" i="1"/>
  <c r="V940" i="1" s="1"/>
  <c r="A941" i="1"/>
  <c r="V941" i="1" s="1"/>
  <c r="A942" i="1"/>
  <c r="V942" i="1" s="1"/>
  <c r="A943" i="1"/>
  <c r="V943" i="1" s="1"/>
  <c r="A944" i="1"/>
  <c r="V944" i="1" s="1"/>
  <c r="A945" i="1"/>
  <c r="V945" i="1" s="1"/>
  <c r="A946" i="1"/>
  <c r="V946" i="1" s="1"/>
  <c r="A947" i="1"/>
  <c r="V947" i="1" s="1"/>
  <c r="A948" i="1"/>
  <c r="V948" i="1" s="1"/>
  <c r="A949" i="1"/>
  <c r="V949" i="1" s="1"/>
  <c r="A950" i="1"/>
  <c r="V950" i="1" s="1"/>
  <c r="A951" i="1"/>
  <c r="V951" i="1" s="1"/>
  <c r="A952" i="1"/>
  <c r="V952" i="1" s="1"/>
  <c r="A953" i="1"/>
  <c r="V953" i="1" s="1"/>
  <c r="A954" i="1"/>
  <c r="V954" i="1" s="1"/>
  <c r="A955" i="1"/>
  <c r="V955" i="1" s="1"/>
  <c r="A956" i="1"/>
  <c r="V956" i="1" s="1"/>
  <c r="A957" i="1"/>
  <c r="V957" i="1" s="1"/>
  <c r="A958" i="1"/>
  <c r="V958" i="1" s="1"/>
  <c r="A959" i="1"/>
  <c r="V959" i="1" s="1"/>
  <c r="A960" i="1"/>
  <c r="V960" i="1" s="1"/>
  <c r="A961" i="1"/>
  <c r="V961" i="1" s="1"/>
  <c r="A962" i="1"/>
  <c r="V962" i="1" s="1"/>
  <c r="A963" i="1"/>
  <c r="V963" i="1" s="1"/>
  <c r="A964" i="1"/>
  <c r="V964" i="1" s="1"/>
  <c r="A965" i="1"/>
  <c r="V965" i="1" s="1"/>
  <c r="A966" i="1"/>
  <c r="V966" i="1" s="1"/>
  <c r="A967" i="1"/>
  <c r="V967" i="1" s="1"/>
  <c r="A968" i="1"/>
  <c r="V968" i="1" s="1"/>
  <c r="A969" i="1"/>
  <c r="V969" i="1" s="1"/>
  <c r="A970" i="1"/>
  <c r="V970" i="1" s="1"/>
  <c r="A971" i="1"/>
  <c r="V971" i="1" s="1"/>
  <c r="A972" i="1"/>
  <c r="V972" i="1" s="1"/>
  <c r="A973" i="1"/>
  <c r="V973" i="1" s="1"/>
  <c r="A974" i="1"/>
  <c r="V974" i="1" s="1"/>
  <c r="A975" i="1"/>
  <c r="V975" i="1" s="1"/>
  <c r="A976" i="1"/>
  <c r="V976" i="1" s="1"/>
  <c r="A977" i="1"/>
  <c r="V977" i="1" s="1"/>
  <c r="A978" i="1"/>
  <c r="V978" i="1" s="1"/>
  <c r="A979" i="1"/>
  <c r="V979" i="1" s="1"/>
  <c r="A980" i="1"/>
  <c r="V980" i="1" s="1"/>
  <c r="A981" i="1"/>
  <c r="V981" i="1" s="1"/>
  <c r="A982" i="1"/>
  <c r="V982" i="1" s="1"/>
  <c r="A983" i="1"/>
  <c r="V983" i="1" s="1"/>
  <c r="A984" i="1"/>
  <c r="V984" i="1" s="1"/>
  <c r="A985" i="1"/>
  <c r="V985" i="1" s="1"/>
  <c r="A986" i="1"/>
  <c r="V986" i="1" s="1"/>
  <c r="A987" i="1"/>
  <c r="V987" i="1" s="1"/>
  <c r="A988" i="1"/>
  <c r="V988" i="1" s="1"/>
  <c r="A989" i="1"/>
  <c r="V989" i="1" s="1"/>
  <c r="A990" i="1"/>
  <c r="V990" i="1" s="1"/>
  <c r="A991" i="1"/>
  <c r="V991" i="1" s="1"/>
  <c r="A992" i="1"/>
  <c r="V992" i="1" s="1"/>
  <c r="A993" i="1"/>
  <c r="V993" i="1" s="1"/>
  <c r="A994" i="1"/>
  <c r="V994" i="1" s="1"/>
  <c r="A995" i="1"/>
  <c r="V995" i="1" s="1"/>
  <c r="A996" i="1"/>
  <c r="V996" i="1" s="1"/>
  <c r="A997" i="1"/>
  <c r="V997" i="1" s="1"/>
  <c r="A998" i="1"/>
  <c r="V998" i="1" s="1"/>
  <c r="A999" i="1"/>
  <c r="V999" i="1" s="1"/>
  <c r="A1000" i="1"/>
  <c r="V1000" i="1" s="1"/>
  <c r="A1001" i="1"/>
  <c r="V1001" i="1" s="1"/>
  <c r="A1002" i="1"/>
  <c r="V1002" i="1" s="1"/>
  <c r="A1003" i="1"/>
  <c r="V1003" i="1" s="1"/>
  <c r="A1004" i="1"/>
  <c r="V1004" i="1" s="1"/>
  <c r="A1005" i="1"/>
  <c r="V1005" i="1" s="1"/>
  <c r="A1006" i="1"/>
  <c r="V1006" i="1" s="1"/>
  <c r="A1007" i="1"/>
  <c r="V1007" i="1" s="1"/>
  <c r="A1008" i="1"/>
  <c r="V1008" i="1" s="1"/>
  <c r="A1009" i="1"/>
  <c r="V1009" i="1" s="1"/>
  <c r="A1010" i="1"/>
  <c r="V1010" i="1" s="1"/>
  <c r="A1011" i="1"/>
  <c r="V1011" i="1" s="1"/>
  <c r="A1012" i="1"/>
  <c r="V1012" i="1" s="1"/>
  <c r="A1013" i="1"/>
  <c r="V1013" i="1" s="1"/>
  <c r="A1014" i="1"/>
  <c r="V1014" i="1" s="1"/>
  <c r="A1015" i="1"/>
  <c r="V1015" i="1" s="1"/>
  <c r="A1016" i="1"/>
  <c r="V1016" i="1" s="1"/>
  <c r="A1017" i="1"/>
  <c r="V1017" i="1" s="1"/>
  <c r="A1018" i="1"/>
  <c r="V1018" i="1" s="1"/>
  <c r="A1019" i="1"/>
  <c r="V1019" i="1" s="1"/>
  <c r="A1020" i="1"/>
  <c r="V1020" i="1" s="1"/>
  <c r="A1021" i="1"/>
  <c r="V1021" i="1" s="1"/>
  <c r="A1022" i="1"/>
  <c r="V1022" i="1" s="1"/>
  <c r="A1023" i="1"/>
  <c r="V1023" i="1" s="1"/>
  <c r="A1024" i="1"/>
  <c r="V1024" i="1" s="1"/>
  <c r="A1025" i="1"/>
  <c r="V1025" i="1" s="1"/>
  <c r="A1026" i="1"/>
  <c r="V1026" i="1" s="1"/>
  <c r="A1027" i="1"/>
  <c r="V1027" i="1" s="1"/>
  <c r="A1028" i="1"/>
  <c r="V1028" i="1" s="1"/>
  <c r="A1029" i="1"/>
  <c r="V1029" i="1" s="1"/>
  <c r="A1030" i="1"/>
  <c r="V1030" i="1" s="1"/>
  <c r="A1031" i="1"/>
  <c r="V1031" i="1" s="1"/>
  <c r="A1032" i="1"/>
  <c r="V1032" i="1" s="1"/>
  <c r="A1033" i="1"/>
  <c r="V1033" i="1" s="1"/>
  <c r="A1034" i="1"/>
  <c r="V1034" i="1" s="1"/>
  <c r="A1035" i="1"/>
  <c r="V1035" i="1" s="1"/>
  <c r="A1036" i="1"/>
  <c r="V1036" i="1" s="1"/>
  <c r="A1037" i="1"/>
  <c r="V1037" i="1" s="1"/>
  <c r="A1038" i="1"/>
  <c r="V1038" i="1" s="1"/>
  <c r="A1039" i="1"/>
  <c r="V1039" i="1" s="1"/>
  <c r="A1040" i="1"/>
  <c r="V1040" i="1" s="1"/>
  <c r="A1041" i="1"/>
  <c r="V1041" i="1" s="1"/>
  <c r="A1042" i="1"/>
  <c r="V1042" i="1" s="1"/>
  <c r="A1043" i="1"/>
  <c r="V1043" i="1" s="1"/>
  <c r="A1044" i="1"/>
  <c r="V1044" i="1" s="1"/>
  <c r="A1045" i="1"/>
  <c r="V1045" i="1" s="1"/>
  <c r="A1046" i="1"/>
  <c r="V1046" i="1" s="1"/>
  <c r="A1047" i="1"/>
  <c r="V1047" i="1" s="1"/>
  <c r="A1048" i="1"/>
  <c r="V1048" i="1" s="1"/>
  <c r="A1049" i="1"/>
  <c r="V1049" i="1" s="1"/>
  <c r="A1050" i="1"/>
  <c r="V1050" i="1" s="1"/>
  <c r="A1051" i="1"/>
  <c r="V1051" i="1" s="1"/>
  <c r="A1052" i="1"/>
  <c r="V1052" i="1" s="1"/>
  <c r="A1053" i="1"/>
  <c r="V1053" i="1" s="1"/>
  <c r="A1054" i="1"/>
  <c r="V1054" i="1" s="1"/>
  <c r="A1055" i="1"/>
  <c r="V1055" i="1" s="1"/>
  <c r="A1056" i="1"/>
  <c r="V1056" i="1" s="1"/>
  <c r="A1057" i="1"/>
  <c r="V1057" i="1" s="1"/>
  <c r="A1058" i="1"/>
  <c r="V1058" i="1" s="1"/>
  <c r="A1059" i="1"/>
  <c r="V1059" i="1" s="1"/>
  <c r="A1060" i="1"/>
  <c r="V1060" i="1" s="1"/>
  <c r="A1061" i="1"/>
  <c r="V1061" i="1" s="1"/>
  <c r="A1062" i="1"/>
  <c r="V1062" i="1" s="1"/>
  <c r="A1063" i="1"/>
  <c r="V1063" i="1" s="1"/>
  <c r="A1064" i="1"/>
  <c r="V1064" i="1" s="1"/>
  <c r="A1065" i="1"/>
  <c r="V1065" i="1" s="1"/>
  <c r="A1066" i="1"/>
  <c r="V1066" i="1" s="1"/>
  <c r="A1067" i="1"/>
  <c r="V1067" i="1" s="1"/>
  <c r="A1068" i="1"/>
  <c r="V1068" i="1" s="1"/>
  <c r="A1069" i="1"/>
  <c r="V1069" i="1" s="1"/>
  <c r="A1070" i="1"/>
  <c r="V1070" i="1" s="1"/>
  <c r="A1071" i="1"/>
  <c r="V1071" i="1" s="1"/>
  <c r="A1072" i="1"/>
  <c r="V1072" i="1" s="1"/>
  <c r="A1073" i="1"/>
  <c r="V1073" i="1" s="1"/>
  <c r="A1074" i="1"/>
  <c r="V1074" i="1" s="1"/>
  <c r="A1075" i="1"/>
  <c r="V1075" i="1" s="1"/>
  <c r="A1076" i="1"/>
  <c r="V1076" i="1" s="1"/>
  <c r="A1077" i="1"/>
  <c r="V1077" i="1" s="1"/>
  <c r="A1078" i="1"/>
  <c r="V1078" i="1" s="1"/>
  <c r="A1079" i="1"/>
  <c r="V1079" i="1" s="1"/>
  <c r="A1080" i="1"/>
  <c r="V1080" i="1" s="1"/>
  <c r="A1081" i="1"/>
  <c r="V1081" i="1" s="1"/>
  <c r="A1082" i="1"/>
  <c r="V1082" i="1" s="1"/>
  <c r="A1083" i="1"/>
  <c r="V1083" i="1" s="1"/>
  <c r="A1084" i="1"/>
  <c r="V1084" i="1" s="1"/>
  <c r="A1085" i="1"/>
  <c r="V1085" i="1" s="1"/>
  <c r="A1086" i="1"/>
  <c r="V1086" i="1" s="1"/>
  <c r="A1087" i="1"/>
  <c r="V1087" i="1" s="1"/>
  <c r="A1088" i="1"/>
  <c r="V1088" i="1" s="1"/>
  <c r="A1089" i="1"/>
  <c r="V1089" i="1" s="1"/>
  <c r="A1090" i="1"/>
  <c r="V1090" i="1" s="1"/>
  <c r="A1091" i="1"/>
  <c r="V1091" i="1" s="1"/>
  <c r="A1092" i="1"/>
  <c r="V1092" i="1" s="1"/>
  <c r="A1093" i="1"/>
  <c r="V1093" i="1" s="1"/>
  <c r="A1094" i="1"/>
  <c r="V1094" i="1" s="1"/>
  <c r="A1095" i="1"/>
  <c r="V1095" i="1" s="1"/>
  <c r="A1096" i="1"/>
  <c r="V1096" i="1" s="1"/>
  <c r="A1097" i="1"/>
  <c r="V1097" i="1" s="1"/>
  <c r="A1098" i="1"/>
  <c r="V1098" i="1" s="1"/>
  <c r="A1099" i="1"/>
  <c r="V1099" i="1" s="1"/>
  <c r="A1100" i="1"/>
  <c r="V1100" i="1" s="1"/>
  <c r="A1101" i="1"/>
  <c r="V1101" i="1" s="1"/>
  <c r="A1102" i="1"/>
  <c r="V1102" i="1" s="1"/>
  <c r="A1103" i="1"/>
  <c r="V1103" i="1" s="1"/>
  <c r="A1104" i="1"/>
  <c r="V1104" i="1" s="1"/>
  <c r="A1105" i="1"/>
  <c r="V1105" i="1" s="1"/>
  <c r="A1106" i="1"/>
  <c r="V1106" i="1" s="1"/>
  <c r="A1107" i="1"/>
  <c r="V1107" i="1" s="1"/>
  <c r="A1108" i="1"/>
  <c r="V1108" i="1" s="1"/>
  <c r="A1109" i="1"/>
  <c r="V1109" i="1" s="1"/>
  <c r="A1110" i="1"/>
  <c r="V1110" i="1" s="1"/>
  <c r="A1111" i="1"/>
  <c r="V1111" i="1" s="1"/>
  <c r="A1112" i="1"/>
  <c r="V1112" i="1" s="1"/>
  <c r="A1113" i="1"/>
  <c r="V1113" i="1" s="1"/>
  <c r="A1114" i="1"/>
  <c r="V1114" i="1" s="1"/>
  <c r="A1115" i="1"/>
  <c r="V1115" i="1" s="1"/>
  <c r="A1116" i="1"/>
  <c r="V1116" i="1" s="1"/>
  <c r="A1117" i="1"/>
  <c r="V1117" i="1" s="1"/>
  <c r="A1118" i="1"/>
  <c r="V1118" i="1" s="1"/>
  <c r="A1119" i="1"/>
  <c r="V1119" i="1" s="1"/>
  <c r="A1120" i="1"/>
  <c r="V1120" i="1" s="1"/>
  <c r="A1121" i="1"/>
  <c r="V1121" i="1" s="1"/>
  <c r="A1122" i="1"/>
  <c r="V1122" i="1" s="1"/>
  <c r="A1123" i="1"/>
  <c r="V1123" i="1" s="1"/>
  <c r="A1124" i="1"/>
  <c r="V1124" i="1" s="1"/>
  <c r="A1125" i="1"/>
  <c r="V1125" i="1" s="1"/>
  <c r="A1126" i="1"/>
  <c r="V1126" i="1" s="1"/>
  <c r="A1127" i="1"/>
  <c r="V1127" i="1" s="1"/>
  <c r="A1128" i="1"/>
  <c r="V1128" i="1" s="1"/>
  <c r="A1129" i="1"/>
  <c r="V1129" i="1" s="1"/>
  <c r="A1130" i="1"/>
  <c r="V1130" i="1" s="1"/>
  <c r="A1131" i="1"/>
  <c r="V1131" i="1" s="1"/>
  <c r="A1132" i="1"/>
  <c r="V1132" i="1" s="1"/>
  <c r="A1133" i="1"/>
  <c r="V1133" i="1" s="1"/>
  <c r="A1134" i="1"/>
  <c r="V1134" i="1" s="1"/>
  <c r="A1135" i="1"/>
  <c r="V1135" i="1" s="1"/>
  <c r="A1136" i="1"/>
  <c r="V1136" i="1" s="1"/>
  <c r="A1137" i="1"/>
  <c r="V1137" i="1" s="1"/>
  <c r="A1138" i="1"/>
  <c r="V1138" i="1" s="1"/>
  <c r="A1139" i="1"/>
  <c r="V1139" i="1" s="1"/>
  <c r="A1140" i="1"/>
  <c r="V1140" i="1" s="1"/>
  <c r="A1141" i="1"/>
  <c r="V1141" i="1" s="1"/>
  <c r="A1142" i="1"/>
  <c r="V1142" i="1" s="1"/>
  <c r="A1143" i="1"/>
  <c r="V1143" i="1" s="1"/>
  <c r="A1144" i="1"/>
  <c r="V1144" i="1" s="1"/>
  <c r="A1145" i="1"/>
  <c r="V1145" i="1" s="1"/>
  <c r="A1146" i="1"/>
  <c r="V1146" i="1" s="1"/>
  <c r="A1147" i="1"/>
  <c r="V1147" i="1" s="1"/>
  <c r="A1148" i="1"/>
  <c r="V1148" i="1" s="1"/>
  <c r="A1149" i="1"/>
  <c r="V1149" i="1" s="1"/>
  <c r="A1150" i="1"/>
  <c r="V1150" i="1" s="1"/>
  <c r="A1151" i="1"/>
  <c r="V1151" i="1" s="1"/>
  <c r="A1152" i="1"/>
  <c r="V1152" i="1" s="1"/>
  <c r="A1153" i="1"/>
  <c r="V1153" i="1" s="1"/>
  <c r="A1154" i="1"/>
  <c r="V1154" i="1" s="1"/>
  <c r="A1155" i="1"/>
  <c r="V1155" i="1" s="1"/>
  <c r="A1156" i="1"/>
  <c r="V1156" i="1" s="1"/>
  <c r="A1157" i="1"/>
  <c r="V1157" i="1" s="1"/>
  <c r="A1158" i="1"/>
  <c r="V1158" i="1" s="1"/>
  <c r="A1159" i="1"/>
  <c r="V1159" i="1" s="1"/>
  <c r="A1160" i="1"/>
  <c r="V1160" i="1" s="1"/>
  <c r="A1161" i="1"/>
  <c r="V1161" i="1" s="1"/>
  <c r="A1162" i="1"/>
  <c r="V1162" i="1" s="1"/>
  <c r="A1163" i="1"/>
  <c r="V1163" i="1" s="1"/>
  <c r="A1164" i="1"/>
  <c r="V1164" i="1" s="1"/>
  <c r="A1165" i="1"/>
  <c r="V1165" i="1" s="1"/>
  <c r="A1166" i="1"/>
  <c r="V1166" i="1" s="1"/>
  <c r="A1167" i="1"/>
  <c r="V1167" i="1" s="1"/>
  <c r="A1168" i="1"/>
  <c r="V1168" i="1" s="1"/>
  <c r="A1169" i="1"/>
  <c r="V1169" i="1" s="1"/>
  <c r="A1170" i="1"/>
  <c r="V1170" i="1" s="1"/>
  <c r="A1171" i="1"/>
  <c r="V1171" i="1" s="1"/>
  <c r="A1172" i="1"/>
  <c r="V1172" i="1" s="1"/>
  <c r="A1173" i="1"/>
  <c r="V1173" i="1" s="1"/>
  <c r="A1174" i="1"/>
  <c r="V1174" i="1" s="1"/>
  <c r="A1175" i="1"/>
  <c r="V1175" i="1" s="1"/>
  <c r="A1176" i="1"/>
  <c r="V1176" i="1" s="1"/>
  <c r="A1177" i="1"/>
  <c r="V1177" i="1" s="1"/>
  <c r="A1178" i="1"/>
  <c r="V1178" i="1" s="1"/>
  <c r="A1179" i="1"/>
  <c r="V1179" i="1" s="1"/>
  <c r="A1180" i="1"/>
  <c r="V1180" i="1" s="1"/>
  <c r="A1181" i="1"/>
  <c r="V1181" i="1" s="1"/>
  <c r="A1182" i="1"/>
  <c r="V1182" i="1" s="1"/>
  <c r="A1183" i="1"/>
  <c r="V1183" i="1" s="1"/>
  <c r="A1184" i="1"/>
  <c r="V1184" i="1" s="1"/>
  <c r="A1185" i="1"/>
  <c r="V1185" i="1" s="1"/>
  <c r="A1186" i="1"/>
  <c r="V1186" i="1" s="1"/>
  <c r="A1187" i="1"/>
  <c r="V1187" i="1" s="1"/>
  <c r="A1188" i="1"/>
  <c r="V1188" i="1" s="1"/>
  <c r="A1189" i="1"/>
  <c r="V1189" i="1" s="1"/>
  <c r="A1190" i="1"/>
  <c r="V1190" i="1" s="1"/>
  <c r="A1191" i="1"/>
  <c r="V1191" i="1" s="1"/>
  <c r="A1192" i="1"/>
  <c r="V1192" i="1" s="1"/>
  <c r="A1193" i="1"/>
  <c r="V1193" i="1" s="1"/>
  <c r="A1194" i="1"/>
  <c r="V1194" i="1" s="1"/>
  <c r="A1195" i="1"/>
  <c r="V1195" i="1" s="1"/>
  <c r="A1196" i="1"/>
  <c r="V1196" i="1" s="1"/>
  <c r="A1197" i="1"/>
  <c r="V1197" i="1" s="1"/>
  <c r="A1198" i="1"/>
  <c r="V1198" i="1" s="1"/>
  <c r="A1199" i="1"/>
  <c r="V1199" i="1" s="1"/>
  <c r="A1200" i="1"/>
  <c r="V1200" i="1" s="1"/>
  <c r="A1201" i="1"/>
  <c r="V1201" i="1" s="1"/>
  <c r="A1202" i="1"/>
  <c r="V1202" i="1" s="1"/>
  <c r="A1203" i="1"/>
  <c r="V1203" i="1" s="1"/>
  <c r="A1204" i="1"/>
  <c r="V1204" i="1" s="1"/>
  <c r="A1205" i="1"/>
  <c r="V1205" i="1" s="1"/>
  <c r="A1206" i="1"/>
  <c r="V1206" i="1" s="1"/>
  <c r="A1207" i="1"/>
  <c r="V1207" i="1" s="1"/>
  <c r="A1208" i="1"/>
  <c r="V1208" i="1" s="1"/>
  <c r="A1209" i="1"/>
  <c r="V1209" i="1" s="1"/>
  <c r="A1210" i="1"/>
  <c r="V1210" i="1" s="1"/>
  <c r="A1211" i="1"/>
  <c r="V1211" i="1" s="1"/>
  <c r="A1212" i="1"/>
  <c r="V1212" i="1" s="1"/>
  <c r="A1213" i="1"/>
  <c r="V1213" i="1" s="1"/>
  <c r="A1214" i="1"/>
  <c r="V1214" i="1" s="1"/>
  <c r="A1215" i="1"/>
  <c r="V1215" i="1" s="1"/>
  <c r="A1216" i="1"/>
  <c r="V1216" i="1" s="1"/>
  <c r="A1217" i="1"/>
  <c r="V1217" i="1" s="1"/>
  <c r="A1218" i="1"/>
  <c r="V1218" i="1" s="1"/>
  <c r="A1219" i="1"/>
  <c r="V1219" i="1" s="1"/>
  <c r="A1220" i="1"/>
  <c r="V1220" i="1" s="1"/>
  <c r="A1221" i="1"/>
  <c r="V1221" i="1" s="1"/>
  <c r="A1222" i="1"/>
  <c r="V1222" i="1" s="1"/>
  <c r="A1223" i="1"/>
  <c r="V1223" i="1" s="1"/>
  <c r="A1224" i="1"/>
  <c r="V1224" i="1" s="1"/>
  <c r="A1225" i="1"/>
  <c r="V1225" i="1" s="1"/>
  <c r="A1226" i="1"/>
  <c r="V1226" i="1" s="1"/>
  <c r="A1227" i="1"/>
  <c r="V1227" i="1" s="1"/>
  <c r="A1228" i="1"/>
  <c r="V1228" i="1" s="1"/>
  <c r="A1229" i="1"/>
  <c r="V1229" i="1" s="1"/>
  <c r="A1230" i="1"/>
  <c r="V1230" i="1" s="1"/>
  <c r="A1231" i="1"/>
  <c r="V1231" i="1" s="1"/>
  <c r="A1232" i="1"/>
  <c r="V1232" i="1" s="1"/>
  <c r="A1233" i="1"/>
  <c r="V1233" i="1" s="1"/>
  <c r="A1234" i="1"/>
  <c r="V1234" i="1" s="1"/>
  <c r="A1235" i="1"/>
  <c r="V1235" i="1" s="1"/>
  <c r="A1236" i="1"/>
  <c r="V1236" i="1" s="1"/>
  <c r="A1237" i="1"/>
  <c r="V1237" i="1" s="1"/>
  <c r="A1238" i="1"/>
  <c r="V1238" i="1" s="1"/>
  <c r="A1239" i="1"/>
  <c r="V1239" i="1" s="1"/>
  <c r="A1240" i="1"/>
  <c r="V1240" i="1" s="1"/>
  <c r="A1241" i="1"/>
  <c r="V1241" i="1" s="1"/>
  <c r="A1242" i="1"/>
  <c r="V1242" i="1" s="1"/>
  <c r="A1243" i="1"/>
  <c r="V1243" i="1" s="1"/>
  <c r="A1244" i="1"/>
  <c r="V1244" i="1" s="1"/>
  <c r="A1245" i="1"/>
  <c r="V1245" i="1" s="1"/>
  <c r="A1246" i="1"/>
  <c r="V1246" i="1" s="1"/>
  <c r="A1247" i="1"/>
  <c r="V1247" i="1" s="1"/>
  <c r="A1248" i="1"/>
  <c r="V1248" i="1" s="1"/>
  <c r="A1249" i="1"/>
  <c r="V1249" i="1" s="1"/>
  <c r="A1250" i="1"/>
  <c r="V1250" i="1" s="1"/>
  <c r="A1251" i="1"/>
  <c r="V1251" i="1" s="1"/>
  <c r="A1252" i="1"/>
  <c r="V1252" i="1" s="1"/>
  <c r="A1253" i="1"/>
  <c r="V1253" i="1" s="1"/>
  <c r="A1254" i="1"/>
  <c r="V1254" i="1" s="1"/>
  <c r="A1255" i="1"/>
  <c r="V1255" i="1" s="1"/>
  <c r="A1256" i="1"/>
  <c r="V1256" i="1" s="1"/>
  <c r="A1257" i="1"/>
  <c r="V1257" i="1" s="1"/>
  <c r="A1258" i="1"/>
  <c r="V1258" i="1" s="1"/>
  <c r="A1259" i="1"/>
  <c r="V1259" i="1" s="1"/>
  <c r="A1260" i="1"/>
  <c r="V1260" i="1" s="1"/>
  <c r="A1261" i="1"/>
  <c r="V1261" i="1" s="1"/>
  <c r="A1262" i="1"/>
  <c r="V1262" i="1" s="1"/>
  <c r="A1263" i="1"/>
  <c r="V1263" i="1" s="1"/>
  <c r="A1264" i="1"/>
  <c r="V1264" i="1" s="1"/>
  <c r="A1265" i="1"/>
  <c r="V1265" i="1" s="1"/>
  <c r="A1266" i="1"/>
  <c r="V1266" i="1" s="1"/>
  <c r="A1267" i="1"/>
  <c r="V1267" i="1" s="1"/>
  <c r="A1268" i="1"/>
  <c r="V1268" i="1" s="1"/>
  <c r="A1269" i="1"/>
  <c r="V1269" i="1" s="1"/>
  <c r="A1270" i="1"/>
  <c r="V1270" i="1" s="1"/>
  <c r="A1271" i="1"/>
  <c r="V1271" i="1" s="1"/>
  <c r="A1272" i="1"/>
  <c r="V1272" i="1" s="1"/>
  <c r="A1273" i="1"/>
  <c r="V1273" i="1" s="1"/>
  <c r="A1274" i="1"/>
  <c r="V1274" i="1" s="1"/>
  <c r="A1275" i="1"/>
  <c r="V1275" i="1" s="1"/>
  <c r="A1276" i="1"/>
  <c r="V1276" i="1" s="1"/>
  <c r="A1277" i="1"/>
  <c r="V1277" i="1" s="1"/>
  <c r="A1278" i="1"/>
  <c r="V1278" i="1" s="1"/>
  <c r="A1279" i="1"/>
  <c r="V1279" i="1" s="1"/>
  <c r="A1280" i="1"/>
  <c r="V1280" i="1" s="1"/>
  <c r="A1281" i="1"/>
  <c r="V1281" i="1" s="1"/>
  <c r="A1282" i="1"/>
  <c r="V1282" i="1" s="1"/>
  <c r="A1283" i="1"/>
  <c r="V1283" i="1" s="1"/>
  <c r="A1284" i="1"/>
  <c r="V1284" i="1" s="1"/>
  <c r="A1285" i="1"/>
  <c r="V1285" i="1" s="1"/>
  <c r="A1286" i="1"/>
  <c r="V1286" i="1" s="1"/>
  <c r="A1287" i="1"/>
  <c r="V1287" i="1" s="1"/>
  <c r="A1288" i="1"/>
  <c r="V1288" i="1" s="1"/>
  <c r="A1289" i="1"/>
  <c r="V1289" i="1" s="1"/>
  <c r="A1290" i="1"/>
  <c r="V1290" i="1" s="1"/>
  <c r="A1291" i="1"/>
  <c r="V1291" i="1" s="1"/>
  <c r="A1292" i="1"/>
  <c r="V1292" i="1" s="1"/>
  <c r="A1293" i="1"/>
  <c r="V1293" i="1" s="1"/>
  <c r="A1294" i="1"/>
  <c r="V1294" i="1" s="1"/>
  <c r="A1295" i="1"/>
  <c r="V1295" i="1" s="1"/>
  <c r="A1296" i="1"/>
  <c r="V1296" i="1" s="1"/>
  <c r="A1297" i="1"/>
  <c r="V1297" i="1" s="1"/>
  <c r="A1298" i="1"/>
  <c r="V1298" i="1" s="1"/>
  <c r="A1299" i="1"/>
  <c r="V1299" i="1" s="1"/>
  <c r="A1300" i="1"/>
  <c r="V1300" i="1" s="1"/>
  <c r="A1301" i="1"/>
  <c r="V1301" i="1" s="1"/>
  <c r="A1302" i="1"/>
  <c r="V1302" i="1" s="1"/>
  <c r="A1303" i="1"/>
  <c r="V1303" i="1" s="1"/>
  <c r="A1304" i="1"/>
  <c r="V1304" i="1" s="1"/>
  <c r="A1305" i="1"/>
  <c r="V1305" i="1" s="1"/>
  <c r="A1306" i="1"/>
  <c r="V1306" i="1" s="1"/>
  <c r="A1307" i="1"/>
  <c r="V1307" i="1" s="1"/>
  <c r="A1308" i="1"/>
  <c r="V1308" i="1" s="1"/>
  <c r="A1309" i="1"/>
  <c r="V1309" i="1" s="1"/>
  <c r="A1310" i="1"/>
  <c r="V1310" i="1" s="1"/>
  <c r="A1311" i="1"/>
  <c r="V1311" i="1" s="1"/>
  <c r="A1312" i="1"/>
  <c r="V1312" i="1" s="1"/>
  <c r="A1313" i="1"/>
  <c r="V1313" i="1" s="1"/>
  <c r="A1314" i="1"/>
  <c r="V1314" i="1" s="1"/>
  <c r="A1315" i="1"/>
  <c r="V1315" i="1" s="1"/>
  <c r="A1316" i="1"/>
  <c r="V1316" i="1" s="1"/>
  <c r="A1317" i="1"/>
  <c r="V1317" i="1" s="1"/>
  <c r="A1318" i="1"/>
  <c r="V1318" i="1" s="1"/>
  <c r="A1319" i="1"/>
  <c r="V1319" i="1" s="1"/>
  <c r="A1320" i="1"/>
  <c r="V1320" i="1" s="1"/>
  <c r="A1321" i="1"/>
  <c r="V1321" i="1" s="1"/>
  <c r="A1322" i="1"/>
  <c r="V1322" i="1" s="1"/>
  <c r="A1323" i="1"/>
  <c r="V1323" i="1" s="1"/>
  <c r="A1324" i="1"/>
  <c r="V1324" i="1" s="1"/>
  <c r="A1325" i="1"/>
  <c r="V1325" i="1" s="1"/>
  <c r="A1326" i="1"/>
  <c r="V1326" i="1" s="1"/>
  <c r="A1327" i="1"/>
  <c r="V1327" i="1" s="1"/>
  <c r="A1328" i="1"/>
  <c r="V1328" i="1" s="1"/>
  <c r="A1329" i="1"/>
  <c r="V1329" i="1" s="1"/>
  <c r="A1330" i="1"/>
  <c r="V1330" i="1" s="1"/>
  <c r="A1331" i="1"/>
  <c r="V1331" i="1" s="1"/>
  <c r="A1332" i="1"/>
  <c r="V1332" i="1" s="1"/>
  <c r="A1333" i="1"/>
  <c r="V1333" i="1" s="1"/>
  <c r="A1334" i="1"/>
  <c r="V1334" i="1" s="1"/>
  <c r="A1335" i="1"/>
  <c r="V1335" i="1" s="1"/>
  <c r="A1336" i="1"/>
  <c r="V1336" i="1" s="1"/>
  <c r="A1337" i="1"/>
  <c r="V1337" i="1" s="1"/>
  <c r="A1338" i="1"/>
  <c r="V1338" i="1" s="1"/>
  <c r="A1339" i="1"/>
  <c r="V1339" i="1" s="1"/>
  <c r="A1340" i="1"/>
  <c r="V1340" i="1" s="1"/>
  <c r="A1341" i="1"/>
  <c r="V1341" i="1" s="1"/>
  <c r="A1342" i="1"/>
  <c r="V1342" i="1" s="1"/>
  <c r="A1343" i="1"/>
  <c r="V1343" i="1" s="1"/>
  <c r="A1344" i="1"/>
  <c r="V1344" i="1" s="1"/>
  <c r="A1345" i="1"/>
  <c r="V1345" i="1" s="1"/>
  <c r="A1346" i="1"/>
  <c r="V1346" i="1" s="1"/>
  <c r="A1347" i="1"/>
  <c r="V1347" i="1" s="1"/>
  <c r="A1348" i="1"/>
  <c r="V1348" i="1" s="1"/>
  <c r="A1349" i="1"/>
  <c r="V1349" i="1" s="1"/>
  <c r="A1350" i="1"/>
  <c r="V1350" i="1" s="1"/>
  <c r="A1351" i="1"/>
  <c r="V1351" i="1" s="1"/>
  <c r="A1352" i="1"/>
  <c r="V1352" i="1" s="1"/>
  <c r="A1353" i="1"/>
  <c r="V1353" i="1" s="1"/>
  <c r="A1354" i="1"/>
  <c r="V1354" i="1" s="1"/>
  <c r="A1355" i="1"/>
  <c r="V1355" i="1" s="1"/>
  <c r="A1356" i="1"/>
  <c r="V1356" i="1" s="1"/>
  <c r="A1357" i="1"/>
  <c r="V1357" i="1" s="1"/>
  <c r="A1358" i="1"/>
  <c r="V1358" i="1" s="1"/>
  <c r="A1359" i="1"/>
  <c r="V1359" i="1" s="1"/>
  <c r="A1360" i="1"/>
  <c r="V1360" i="1" s="1"/>
  <c r="A1361" i="1"/>
  <c r="V1361" i="1" s="1"/>
  <c r="A1362" i="1"/>
  <c r="V1362" i="1" s="1"/>
  <c r="A1363" i="1"/>
  <c r="V1363" i="1" s="1"/>
  <c r="A1364" i="1"/>
  <c r="V1364" i="1" s="1"/>
  <c r="A1365" i="1"/>
  <c r="V1365" i="1" s="1"/>
  <c r="A1366" i="1"/>
  <c r="V1366" i="1" s="1"/>
  <c r="A1367" i="1"/>
  <c r="V1367" i="1" s="1"/>
  <c r="A1368" i="1"/>
  <c r="V1368" i="1" s="1"/>
  <c r="A1369" i="1"/>
  <c r="V1369" i="1" s="1"/>
  <c r="A1370" i="1"/>
  <c r="V1370" i="1" s="1"/>
  <c r="A1371" i="1"/>
  <c r="V1371" i="1" s="1"/>
  <c r="A1372" i="1"/>
  <c r="V1372" i="1" s="1"/>
  <c r="A1373" i="1"/>
  <c r="V1373" i="1" s="1"/>
  <c r="A1374" i="1"/>
  <c r="V1374" i="1" s="1"/>
  <c r="A1375" i="1"/>
  <c r="V1375" i="1" s="1"/>
  <c r="A1376" i="1"/>
  <c r="V1376" i="1" s="1"/>
  <c r="A1377" i="1"/>
  <c r="V1377" i="1" s="1"/>
  <c r="A1378" i="1"/>
  <c r="V1378" i="1" s="1"/>
  <c r="A1379" i="1"/>
  <c r="V1379" i="1" s="1"/>
  <c r="A1380" i="1"/>
  <c r="V1380" i="1" s="1"/>
  <c r="A1381" i="1"/>
  <c r="V1381" i="1" s="1"/>
  <c r="A1382" i="1"/>
  <c r="V1382" i="1" s="1"/>
  <c r="A1383" i="1"/>
  <c r="V1383" i="1" s="1"/>
  <c r="A1384" i="1"/>
  <c r="V1384" i="1" s="1"/>
  <c r="A1385" i="1"/>
  <c r="V1385" i="1" s="1"/>
  <c r="A1386" i="1"/>
  <c r="V1386" i="1" s="1"/>
  <c r="A1387" i="1"/>
  <c r="V1387" i="1" s="1"/>
  <c r="A1388" i="1"/>
  <c r="V1388" i="1" s="1"/>
  <c r="A1389" i="1"/>
  <c r="V1389" i="1" s="1"/>
  <c r="A1390" i="1"/>
  <c r="V1390" i="1" s="1"/>
  <c r="A1391" i="1"/>
  <c r="V1391" i="1" s="1"/>
  <c r="A1392" i="1"/>
  <c r="V1392" i="1" s="1"/>
  <c r="A1393" i="1"/>
  <c r="V1393" i="1" s="1"/>
  <c r="A1394" i="1"/>
  <c r="V1394" i="1" s="1"/>
  <c r="A1395" i="1"/>
  <c r="V1395" i="1" s="1"/>
  <c r="A1396" i="1"/>
  <c r="V1396" i="1" s="1"/>
  <c r="A1397" i="1"/>
  <c r="V1397" i="1" s="1"/>
  <c r="A1398" i="1"/>
  <c r="V1398" i="1" s="1"/>
  <c r="A1399" i="1"/>
  <c r="V1399" i="1" s="1"/>
  <c r="A1400" i="1"/>
  <c r="V1400" i="1" s="1"/>
  <c r="A1401" i="1"/>
  <c r="V1401" i="1" s="1"/>
  <c r="A1402" i="1"/>
  <c r="V1402" i="1" s="1"/>
  <c r="A1403" i="1"/>
  <c r="V1403" i="1" s="1"/>
  <c r="A1404" i="1"/>
  <c r="V1404" i="1" s="1"/>
  <c r="A1405" i="1"/>
  <c r="V1405" i="1" s="1"/>
  <c r="A1406" i="1"/>
  <c r="V1406" i="1" s="1"/>
  <c r="A1407" i="1"/>
  <c r="V1407" i="1" s="1"/>
  <c r="A1408" i="1"/>
  <c r="V1408" i="1" s="1"/>
  <c r="A1409" i="1"/>
  <c r="V1409" i="1" s="1"/>
  <c r="A1410" i="1"/>
  <c r="V1410" i="1" s="1"/>
  <c r="A1411" i="1"/>
  <c r="V1411" i="1" s="1"/>
  <c r="A1412" i="1"/>
  <c r="V1412" i="1" s="1"/>
  <c r="A1413" i="1"/>
  <c r="V1413" i="1" s="1"/>
  <c r="A1414" i="1"/>
  <c r="V1414" i="1" s="1"/>
  <c r="A1415" i="1"/>
  <c r="V1415" i="1" s="1"/>
  <c r="A1416" i="1"/>
  <c r="V1416" i="1" s="1"/>
  <c r="A1417" i="1"/>
  <c r="V1417" i="1" s="1"/>
  <c r="A1418" i="1"/>
  <c r="V1418" i="1" s="1"/>
  <c r="A1419" i="1"/>
  <c r="V1419" i="1" s="1"/>
  <c r="A1420" i="1"/>
  <c r="V1420" i="1" s="1"/>
  <c r="A1421" i="1"/>
  <c r="V1421" i="1" s="1"/>
  <c r="A1422" i="1"/>
  <c r="V1422" i="1" s="1"/>
  <c r="A1423" i="1"/>
  <c r="V1423" i="1" s="1"/>
  <c r="A1424" i="1"/>
  <c r="V1424" i="1" s="1"/>
  <c r="A1425" i="1"/>
  <c r="V1425" i="1" s="1"/>
  <c r="A1426" i="1"/>
  <c r="V1426" i="1" s="1"/>
  <c r="A1427" i="1"/>
  <c r="V1427" i="1" s="1"/>
  <c r="A1428" i="1"/>
  <c r="V1428" i="1" s="1"/>
  <c r="A1429" i="1"/>
  <c r="V1429" i="1" s="1"/>
  <c r="A1430" i="1"/>
  <c r="V1430" i="1" s="1"/>
  <c r="A1431" i="1"/>
  <c r="V1431" i="1" s="1"/>
  <c r="A1432" i="1"/>
  <c r="V1432" i="1" s="1"/>
  <c r="A1433" i="1"/>
  <c r="V1433" i="1" s="1"/>
  <c r="A1434" i="1"/>
  <c r="V1434" i="1" s="1"/>
  <c r="A1435" i="1"/>
  <c r="V1435" i="1" s="1"/>
  <c r="A1436" i="1"/>
  <c r="V1436" i="1" s="1"/>
  <c r="A1437" i="1"/>
  <c r="V1437" i="1" s="1"/>
  <c r="A1438" i="1"/>
  <c r="V1438" i="1" s="1"/>
  <c r="A1439" i="1"/>
  <c r="V1439" i="1" s="1"/>
  <c r="A1440" i="1"/>
  <c r="V1440" i="1" s="1"/>
  <c r="A1441" i="1"/>
  <c r="V1441" i="1" s="1"/>
  <c r="A1442" i="1"/>
  <c r="V1442" i="1" s="1"/>
  <c r="A1443" i="1"/>
  <c r="V1443" i="1" s="1"/>
  <c r="A1444" i="1"/>
  <c r="V1444" i="1" s="1"/>
  <c r="A1445" i="1"/>
  <c r="V1445" i="1" s="1"/>
  <c r="A1446" i="1"/>
  <c r="V1446" i="1" s="1"/>
  <c r="A1447" i="1"/>
  <c r="V1447" i="1" s="1"/>
  <c r="A1448" i="1"/>
  <c r="V1448" i="1" s="1"/>
  <c r="A1449" i="1"/>
  <c r="V1449" i="1" s="1"/>
  <c r="A1450" i="1"/>
  <c r="V1450" i="1" s="1"/>
  <c r="A1451" i="1"/>
  <c r="V1451" i="1" s="1"/>
  <c r="A1452" i="1"/>
  <c r="V1452" i="1" s="1"/>
  <c r="A1453" i="1"/>
  <c r="V1453" i="1" s="1"/>
  <c r="A1454" i="1"/>
  <c r="V1454" i="1" s="1"/>
  <c r="A1455" i="1"/>
  <c r="V1455" i="1" s="1"/>
  <c r="A1456" i="1"/>
  <c r="V1456" i="1" s="1"/>
  <c r="A1457" i="1"/>
  <c r="V1457" i="1" s="1"/>
  <c r="A1458" i="1"/>
  <c r="V1458" i="1" s="1"/>
  <c r="A1459" i="1"/>
  <c r="V1459" i="1" s="1"/>
  <c r="A1460" i="1"/>
  <c r="V1460" i="1" s="1"/>
  <c r="A1461" i="1"/>
  <c r="V1461" i="1" s="1"/>
  <c r="A1462" i="1"/>
  <c r="V1462" i="1" s="1"/>
  <c r="A1463" i="1"/>
  <c r="V1463" i="1" s="1"/>
  <c r="A1464" i="1"/>
  <c r="V1464" i="1" s="1"/>
  <c r="A1465" i="1"/>
  <c r="V1465" i="1" s="1"/>
  <c r="A1466" i="1"/>
  <c r="V1466" i="1" s="1"/>
  <c r="A1467" i="1"/>
  <c r="V1467" i="1" s="1"/>
  <c r="A1468" i="1"/>
  <c r="V1468" i="1" s="1"/>
  <c r="A1469" i="1"/>
  <c r="V1469" i="1" s="1"/>
  <c r="A1470" i="1"/>
  <c r="V1470" i="1" s="1"/>
  <c r="A1471" i="1"/>
  <c r="V1471" i="1" s="1"/>
  <c r="A1472" i="1"/>
  <c r="V1472" i="1" s="1"/>
  <c r="A1473" i="1"/>
  <c r="V1473" i="1" s="1"/>
  <c r="A1474" i="1"/>
  <c r="V1474" i="1" s="1"/>
  <c r="A1475" i="1"/>
  <c r="V1475" i="1" s="1"/>
  <c r="A1476" i="1"/>
  <c r="V1476" i="1" s="1"/>
  <c r="A1477" i="1"/>
  <c r="V1477" i="1" s="1"/>
  <c r="A1478" i="1"/>
  <c r="V1478" i="1" s="1"/>
  <c r="A1479" i="1"/>
  <c r="V1479" i="1" s="1"/>
  <c r="A1480" i="1"/>
  <c r="V1480" i="1" s="1"/>
  <c r="A1481" i="1"/>
  <c r="V1481" i="1" s="1"/>
  <c r="A1482" i="1"/>
  <c r="V1482" i="1" s="1"/>
  <c r="A1483" i="1"/>
  <c r="V1483" i="1" s="1"/>
  <c r="A1484" i="1"/>
  <c r="V1484" i="1" s="1"/>
  <c r="A1485" i="1"/>
  <c r="V1485" i="1" s="1"/>
  <c r="A1486" i="1"/>
  <c r="V1486" i="1" s="1"/>
  <c r="A3773" i="1"/>
  <c r="V3773" i="1" s="1"/>
  <c r="A1488" i="1"/>
  <c r="V1488" i="1" s="1"/>
  <c r="A1489" i="1"/>
  <c r="V1489" i="1" s="1"/>
  <c r="A1490" i="1"/>
  <c r="V1490" i="1" s="1"/>
  <c r="A1491" i="1"/>
  <c r="V1491" i="1" s="1"/>
  <c r="A1492" i="1"/>
  <c r="V1492" i="1" s="1"/>
  <c r="A1493" i="1"/>
  <c r="V1493" i="1" s="1"/>
  <c r="A1494" i="1"/>
  <c r="V1494" i="1" s="1"/>
  <c r="A1495" i="1"/>
  <c r="V1495" i="1" s="1"/>
  <c r="A1496" i="1"/>
  <c r="V1496" i="1" s="1"/>
  <c r="A1497" i="1"/>
  <c r="V1497" i="1" s="1"/>
  <c r="A1498" i="1"/>
  <c r="V1498" i="1" s="1"/>
  <c r="A1499" i="1"/>
  <c r="V1499" i="1" s="1"/>
  <c r="A1500" i="1"/>
  <c r="V1500" i="1" s="1"/>
  <c r="A1501" i="1"/>
  <c r="V1501" i="1" s="1"/>
  <c r="A1502" i="1"/>
  <c r="V1502" i="1" s="1"/>
  <c r="A1503" i="1"/>
  <c r="V1503" i="1" s="1"/>
  <c r="A1504" i="1"/>
  <c r="V1504" i="1" s="1"/>
  <c r="A1505" i="1"/>
  <c r="V1505" i="1" s="1"/>
  <c r="A1506" i="1"/>
  <c r="V1506" i="1" s="1"/>
  <c r="A97" i="1"/>
  <c r="V97" i="1" s="1"/>
  <c r="A1507" i="1"/>
  <c r="V1507" i="1" s="1"/>
  <c r="A1508" i="1"/>
  <c r="V1508" i="1" s="1"/>
  <c r="A1509" i="1"/>
  <c r="V1509" i="1" s="1"/>
  <c r="A1510" i="1"/>
  <c r="V1510" i="1" s="1"/>
  <c r="A1511" i="1"/>
  <c r="V1511" i="1" s="1"/>
  <c r="A1512" i="1"/>
  <c r="V1512" i="1" s="1"/>
  <c r="A1513" i="1"/>
  <c r="V1513" i="1" s="1"/>
  <c r="A1514" i="1"/>
  <c r="V1514" i="1" s="1"/>
  <c r="A1515" i="1"/>
  <c r="V1515" i="1" s="1"/>
  <c r="A1516" i="1"/>
  <c r="V1516" i="1" s="1"/>
  <c r="A1517" i="1"/>
  <c r="V1517" i="1" s="1"/>
  <c r="A1518" i="1"/>
  <c r="V1518" i="1" s="1"/>
  <c r="A1519" i="1"/>
  <c r="V1519" i="1" s="1"/>
  <c r="A1520" i="1"/>
  <c r="V1520" i="1" s="1"/>
  <c r="A1521" i="1"/>
  <c r="V1521" i="1" s="1"/>
  <c r="A1522" i="1"/>
  <c r="V1522" i="1" s="1"/>
  <c r="A1523" i="1"/>
  <c r="V1523" i="1" s="1"/>
  <c r="A1524" i="1"/>
  <c r="V1524" i="1" s="1"/>
  <c r="A1525" i="1"/>
  <c r="V1525" i="1" s="1"/>
  <c r="A3766" i="1"/>
  <c r="V3766" i="1" s="1"/>
  <c r="A1527" i="1"/>
  <c r="V1527" i="1" s="1"/>
  <c r="A1528" i="1"/>
  <c r="V1528" i="1" s="1"/>
  <c r="A1529" i="1"/>
  <c r="V1529" i="1" s="1"/>
  <c r="A1530" i="1"/>
  <c r="V1530" i="1" s="1"/>
  <c r="A1531" i="1"/>
  <c r="V1531" i="1" s="1"/>
  <c r="A1532" i="1"/>
  <c r="V1532" i="1" s="1"/>
  <c r="A1533" i="1"/>
  <c r="V1533" i="1" s="1"/>
  <c r="A1534" i="1"/>
  <c r="V1534" i="1" s="1"/>
  <c r="A1535" i="1"/>
  <c r="V1535" i="1" s="1"/>
  <c r="A1536" i="1"/>
  <c r="V1536" i="1" s="1"/>
  <c r="A1537" i="1"/>
  <c r="V1537" i="1" s="1"/>
  <c r="A1538" i="1"/>
  <c r="V1538" i="1" s="1"/>
  <c r="A1539" i="1"/>
  <c r="V1539" i="1" s="1"/>
  <c r="A1540" i="1"/>
  <c r="V1540" i="1" s="1"/>
  <c r="A1541" i="1"/>
  <c r="V1541" i="1" s="1"/>
  <c r="A1542" i="1"/>
  <c r="V1542" i="1" s="1"/>
  <c r="A1543" i="1"/>
  <c r="V1543" i="1" s="1"/>
  <c r="A1544" i="1"/>
  <c r="V1544" i="1" s="1"/>
  <c r="A1545" i="1"/>
  <c r="V1545" i="1" s="1"/>
  <c r="A1546" i="1"/>
  <c r="V1546" i="1" s="1"/>
  <c r="A1547" i="1"/>
  <c r="V1547" i="1" s="1"/>
  <c r="A1548" i="1"/>
  <c r="V1548" i="1" s="1"/>
  <c r="A1549" i="1"/>
  <c r="V1549" i="1" s="1"/>
  <c r="A1550" i="1"/>
  <c r="V1550" i="1" s="1"/>
  <c r="A1551" i="1"/>
  <c r="V1551" i="1" s="1"/>
  <c r="A3765" i="1"/>
  <c r="V3765" i="1" s="1"/>
  <c r="A1552" i="1"/>
  <c r="V1552" i="1" s="1"/>
  <c r="A1553" i="1"/>
  <c r="V1553" i="1" s="1"/>
  <c r="A1554" i="1"/>
  <c r="V1554" i="1" s="1"/>
  <c r="A1555" i="1"/>
  <c r="V1555" i="1" s="1"/>
  <c r="A1556" i="1"/>
  <c r="V1556" i="1" s="1"/>
  <c r="A1557" i="1"/>
  <c r="V1557" i="1" s="1"/>
  <c r="A1558" i="1"/>
  <c r="V1558" i="1" s="1"/>
  <c r="A1559" i="1"/>
  <c r="V1559" i="1" s="1"/>
  <c r="A1560" i="1"/>
  <c r="V1560" i="1" s="1"/>
  <c r="A1561" i="1"/>
  <c r="V1561" i="1" s="1"/>
  <c r="A1562" i="1"/>
  <c r="V1562" i="1" s="1"/>
  <c r="A1563" i="1"/>
  <c r="V1563" i="1" s="1"/>
  <c r="A1564" i="1"/>
  <c r="V1564" i="1" s="1"/>
  <c r="A1565" i="1"/>
  <c r="V1565" i="1" s="1"/>
  <c r="A1566" i="1"/>
  <c r="V1566" i="1" s="1"/>
  <c r="A1567" i="1"/>
  <c r="V1567" i="1" s="1"/>
  <c r="A1568" i="1"/>
  <c r="V1568" i="1" s="1"/>
  <c r="A1569" i="1"/>
  <c r="V1569" i="1" s="1"/>
  <c r="A1570" i="1"/>
  <c r="V1570" i="1" s="1"/>
  <c r="A1571" i="1"/>
  <c r="V1571" i="1" s="1"/>
  <c r="A1572" i="1"/>
  <c r="V1572" i="1" s="1"/>
  <c r="A1573" i="1"/>
  <c r="V1573" i="1" s="1"/>
  <c r="A1574" i="1"/>
  <c r="V1574" i="1" s="1"/>
  <c r="A1575" i="1"/>
  <c r="V1575" i="1" s="1"/>
  <c r="A1576" i="1"/>
  <c r="V1576" i="1" s="1"/>
  <c r="A1578" i="1"/>
  <c r="V1578" i="1" s="1"/>
  <c r="A1579" i="1"/>
  <c r="V1579" i="1" s="1"/>
  <c r="A1580" i="1"/>
  <c r="V1580" i="1" s="1"/>
  <c r="A1581" i="1"/>
  <c r="V1581" i="1" s="1"/>
  <c r="A1582" i="1"/>
  <c r="V1582" i="1" s="1"/>
  <c r="A1583" i="1"/>
  <c r="V1583" i="1" s="1"/>
  <c r="A1584" i="1"/>
  <c r="V1584" i="1" s="1"/>
  <c r="A1585" i="1"/>
  <c r="V1585" i="1" s="1"/>
  <c r="A1586" i="1"/>
  <c r="V1586" i="1" s="1"/>
  <c r="A1587" i="1"/>
  <c r="V1587" i="1" s="1"/>
  <c r="A1588" i="1"/>
  <c r="V1588" i="1" s="1"/>
  <c r="A1589" i="1"/>
  <c r="V1589" i="1" s="1"/>
  <c r="A1590" i="1"/>
  <c r="V1590" i="1" s="1"/>
  <c r="A1591" i="1"/>
  <c r="V1591" i="1" s="1"/>
  <c r="A1592" i="1"/>
  <c r="V1592" i="1" s="1"/>
  <c r="A1593" i="1"/>
  <c r="V1593" i="1" s="1"/>
  <c r="A1594" i="1"/>
  <c r="V1594" i="1" s="1"/>
  <c r="A1595" i="1"/>
  <c r="V1595" i="1" s="1"/>
  <c r="A1596" i="1"/>
  <c r="V1596" i="1" s="1"/>
  <c r="A1597" i="1"/>
  <c r="V1597" i="1" s="1"/>
  <c r="A1598" i="1"/>
  <c r="V1598" i="1" s="1"/>
  <c r="A1599" i="1"/>
  <c r="V1599" i="1" s="1"/>
  <c r="A1600" i="1"/>
  <c r="V1600" i="1" s="1"/>
  <c r="A1601" i="1"/>
  <c r="V1601" i="1" s="1"/>
  <c r="A1602" i="1"/>
  <c r="V1602" i="1" s="1"/>
  <c r="A1603" i="1"/>
  <c r="V1603" i="1" s="1"/>
  <c r="A1604" i="1"/>
  <c r="V1604" i="1" s="1"/>
  <c r="A1605" i="1"/>
  <c r="V1605" i="1" s="1"/>
  <c r="A1606" i="1"/>
  <c r="V1606" i="1" s="1"/>
  <c r="A1607" i="1"/>
  <c r="V1607" i="1" s="1"/>
  <c r="A1608" i="1"/>
  <c r="V1608" i="1" s="1"/>
  <c r="A1609" i="1"/>
  <c r="V1609" i="1" s="1"/>
  <c r="A1610" i="1"/>
  <c r="V1610" i="1" s="1"/>
  <c r="A1611" i="1"/>
  <c r="V1611" i="1" s="1"/>
  <c r="A1612" i="1"/>
  <c r="V1612" i="1" s="1"/>
  <c r="A1613" i="1"/>
  <c r="V1613" i="1" s="1"/>
  <c r="A1614" i="1"/>
  <c r="V1614" i="1" s="1"/>
  <c r="A1615" i="1"/>
  <c r="V1615" i="1" s="1"/>
  <c r="A1616" i="1"/>
  <c r="V1616" i="1" s="1"/>
  <c r="A1617" i="1"/>
  <c r="V1617" i="1" s="1"/>
  <c r="A1618" i="1"/>
  <c r="V1618" i="1" s="1"/>
  <c r="A1619" i="1"/>
  <c r="V1619" i="1" s="1"/>
  <c r="A1620" i="1"/>
  <c r="V1620" i="1" s="1"/>
  <c r="A1621" i="1"/>
  <c r="V1621" i="1" s="1"/>
  <c r="A1622" i="1"/>
  <c r="V1622" i="1" s="1"/>
  <c r="A1623" i="1"/>
  <c r="V1623" i="1" s="1"/>
  <c r="A1624" i="1"/>
  <c r="V1624" i="1" s="1"/>
  <c r="A1625" i="1"/>
  <c r="V1625" i="1" s="1"/>
  <c r="A1626" i="1"/>
  <c r="V1626" i="1" s="1"/>
  <c r="A1627" i="1"/>
  <c r="V1627" i="1" s="1"/>
  <c r="A1628" i="1"/>
  <c r="V1628" i="1" s="1"/>
  <c r="A1629" i="1"/>
  <c r="V1629" i="1" s="1"/>
  <c r="A1630" i="1"/>
  <c r="V1630" i="1" s="1"/>
  <c r="A1631" i="1"/>
  <c r="V1631" i="1" s="1"/>
  <c r="A1632" i="1"/>
  <c r="V1632" i="1" s="1"/>
  <c r="A1633" i="1"/>
  <c r="V1633" i="1" s="1"/>
  <c r="A1634" i="1"/>
  <c r="V1634" i="1" s="1"/>
  <c r="A1635" i="1"/>
  <c r="V1635" i="1" s="1"/>
  <c r="A1636" i="1"/>
  <c r="V1636" i="1" s="1"/>
  <c r="A1637" i="1"/>
  <c r="V1637" i="1" s="1"/>
  <c r="A1638" i="1"/>
  <c r="V1638" i="1" s="1"/>
  <c r="A1639" i="1"/>
  <c r="V1639" i="1" s="1"/>
  <c r="A1640" i="1"/>
  <c r="V1640" i="1" s="1"/>
  <c r="A1641" i="1"/>
  <c r="V1641" i="1" s="1"/>
  <c r="A1642" i="1"/>
  <c r="V1642" i="1" s="1"/>
  <c r="A1643" i="1"/>
  <c r="V1643" i="1" s="1"/>
  <c r="A1644" i="1"/>
  <c r="V1644" i="1" s="1"/>
  <c r="A1645" i="1"/>
  <c r="V1645" i="1" s="1"/>
  <c r="A1646" i="1"/>
  <c r="V1646" i="1" s="1"/>
  <c r="A1647" i="1"/>
  <c r="V1647" i="1" s="1"/>
  <c r="A1648" i="1"/>
  <c r="V1648" i="1" s="1"/>
  <c r="A1649" i="1"/>
  <c r="V1649" i="1" s="1"/>
  <c r="A1650" i="1"/>
  <c r="V1650" i="1" s="1"/>
  <c r="A1651" i="1"/>
  <c r="V1651" i="1" s="1"/>
  <c r="A1652" i="1"/>
  <c r="V1652" i="1" s="1"/>
  <c r="A1653" i="1"/>
  <c r="V1653" i="1" s="1"/>
  <c r="A1654" i="1"/>
  <c r="V1654" i="1" s="1"/>
  <c r="A1655" i="1"/>
  <c r="V1655" i="1" s="1"/>
  <c r="A1656" i="1"/>
  <c r="V1656" i="1" s="1"/>
  <c r="A1657" i="1"/>
  <c r="V1657" i="1" s="1"/>
  <c r="A1658" i="1"/>
  <c r="V1658" i="1" s="1"/>
  <c r="A1659" i="1"/>
  <c r="V1659" i="1" s="1"/>
  <c r="A1660" i="1"/>
  <c r="V1660" i="1" s="1"/>
  <c r="A1661" i="1"/>
  <c r="V1661" i="1" s="1"/>
  <c r="A1662" i="1"/>
  <c r="V1662" i="1" s="1"/>
  <c r="A1663" i="1"/>
  <c r="V1663" i="1" s="1"/>
  <c r="A1664" i="1"/>
  <c r="V1664" i="1" s="1"/>
  <c r="A1665" i="1"/>
  <c r="V1665" i="1" s="1"/>
  <c r="A1666" i="1"/>
  <c r="V1666" i="1" s="1"/>
  <c r="A1667" i="1"/>
  <c r="V1667" i="1" s="1"/>
  <c r="A1668" i="1"/>
  <c r="V1668" i="1" s="1"/>
  <c r="A1669" i="1"/>
  <c r="V1669" i="1" s="1"/>
  <c r="A1670" i="1"/>
  <c r="V1670" i="1" s="1"/>
  <c r="A1671" i="1"/>
  <c r="V1671" i="1" s="1"/>
  <c r="A1672" i="1"/>
  <c r="V1672" i="1" s="1"/>
  <c r="A1673" i="1"/>
  <c r="V1673" i="1" s="1"/>
  <c r="A1674" i="1"/>
  <c r="V1674" i="1" s="1"/>
  <c r="A1675" i="1"/>
  <c r="V1675" i="1" s="1"/>
  <c r="A1676" i="1"/>
  <c r="V1676" i="1" s="1"/>
  <c r="A1677" i="1"/>
  <c r="V1677" i="1" s="1"/>
  <c r="A1678" i="1"/>
  <c r="V1678" i="1" s="1"/>
  <c r="A1679" i="1"/>
  <c r="V1679" i="1" s="1"/>
  <c r="A1680" i="1"/>
  <c r="V1680" i="1" s="1"/>
  <c r="A1681" i="1"/>
  <c r="V1681" i="1" s="1"/>
  <c r="A1682" i="1"/>
  <c r="V1682" i="1" s="1"/>
  <c r="A1683" i="1"/>
  <c r="V1683" i="1" s="1"/>
  <c r="A1684" i="1"/>
  <c r="V1684" i="1" s="1"/>
  <c r="A1685" i="1"/>
  <c r="V1685" i="1" s="1"/>
  <c r="A1686" i="1"/>
  <c r="V1686" i="1" s="1"/>
  <c r="A1687" i="1"/>
  <c r="V1687" i="1" s="1"/>
  <c r="A1688" i="1"/>
  <c r="V1688" i="1" s="1"/>
  <c r="A1689" i="1"/>
  <c r="V1689" i="1" s="1"/>
  <c r="A1690" i="1"/>
  <c r="V1690" i="1" s="1"/>
  <c r="A1691" i="1"/>
  <c r="V1691" i="1" s="1"/>
  <c r="A1692" i="1"/>
  <c r="V1692" i="1" s="1"/>
  <c r="A1693" i="1"/>
  <c r="V1693" i="1" s="1"/>
  <c r="A1694" i="1"/>
  <c r="V1694" i="1" s="1"/>
  <c r="A1695" i="1"/>
  <c r="V1695" i="1" s="1"/>
  <c r="A1696" i="1"/>
  <c r="V1696" i="1" s="1"/>
  <c r="A1697" i="1"/>
  <c r="V1697" i="1" s="1"/>
  <c r="A1698" i="1"/>
  <c r="V1698" i="1" s="1"/>
  <c r="A1699" i="1"/>
  <c r="V1699" i="1" s="1"/>
  <c r="A1700" i="1"/>
  <c r="V1700" i="1" s="1"/>
  <c r="A1701" i="1"/>
  <c r="V1701" i="1" s="1"/>
  <c r="A1702" i="1"/>
  <c r="V1702" i="1" s="1"/>
  <c r="A1703" i="1"/>
  <c r="V1703" i="1" s="1"/>
  <c r="A1704" i="1"/>
  <c r="V1704" i="1" s="1"/>
  <c r="A1705" i="1"/>
  <c r="V1705" i="1" s="1"/>
  <c r="A1706" i="1"/>
  <c r="V1706" i="1" s="1"/>
  <c r="A1707" i="1"/>
  <c r="V1707" i="1" s="1"/>
  <c r="A1708" i="1"/>
  <c r="V1708" i="1" s="1"/>
  <c r="A1709" i="1"/>
  <c r="V1709" i="1" s="1"/>
  <c r="A1710" i="1"/>
  <c r="V1710" i="1" s="1"/>
  <c r="A1711" i="1"/>
  <c r="V1711" i="1" s="1"/>
  <c r="A1712" i="1"/>
  <c r="V1712" i="1" s="1"/>
  <c r="A1713" i="1"/>
  <c r="V1713" i="1" s="1"/>
  <c r="A1714" i="1"/>
  <c r="V1714" i="1" s="1"/>
  <c r="A1715" i="1"/>
  <c r="V1715" i="1" s="1"/>
  <c r="A1716" i="1"/>
  <c r="V1716" i="1" s="1"/>
  <c r="A1717" i="1"/>
  <c r="V1717" i="1" s="1"/>
  <c r="A1718" i="1"/>
  <c r="V1718" i="1" s="1"/>
  <c r="A1719" i="1"/>
  <c r="V1719" i="1" s="1"/>
  <c r="A1720" i="1"/>
  <c r="V1720" i="1" s="1"/>
  <c r="A1721" i="1"/>
  <c r="V1721" i="1" s="1"/>
  <c r="A1722" i="1"/>
  <c r="V1722" i="1" s="1"/>
  <c r="A1723" i="1"/>
  <c r="V1723" i="1" s="1"/>
  <c r="A1724" i="1"/>
  <c r="V1724" i="1" s="1"/>
  <c r="A1725" i="1"/>
  <c r="V1725" i="1" s="1"/>
  <c r="A1726" i="1"/>
  <c r="V1726" i="1" s="1"/>
  <c r="A1727" i="1"/>
  <c r="V1727" i="1" s="1"/>
  <c r="A1728" i="1"/>
  <c r="V1728" i="1" s="1"/>
  <c r="A1729" i="1"/>
  <c r="V1729" i="1" s="1"/>
  <c r="A1730" i="1"/>
  <c r="V1730" i="1" s="1"/>
  <c r="A1731" i="1"/>
  <c r="V1731" i="1" s="1"/>
  <c r="A1732" i="1"/>
  <c r="V1732" i="1" s="1"/>
  <c r="A1733" i="1"/>
  <c r="V1733" i="1" s="1"/>
  <c r="A1734" i="1"/>
  <c r="V1734" i="1" s="1"/>
  <c r="A1735" i="1"/>
  <c r="V1735" i="1" s="1"/>
  <c r="A1736" i="1"/>
  <c r="V1736" i="1" s="1"/>
  <c r="A1737" i="1"/>
  <c r="V1737" i="1" s="1"/>
  <c r="A1738" i="1"/>
  <c r="V1738" i="1" s="1"/>
  <c r="A1739" i="1"/>
  <c r="V1739" i="1" s="1"/>
  <c r="A1740" i="1"/>
  <c r="V1740" i="1" s="1"/>
  <c r="A1741" i="1"/>
  <c r="V1741" i="1" s="1"/>
  <c r="A1742" i="1"/>
  <c r="V1742" i="1" s="1"/>
  <c r="A1743" i="1"/>
  <c r="V1743" i="1" s="1"/>
  <c r="A1744" i="1"/>
  <c r="V1744" i="1" s="1"/>
  <c r="A1745" i="1"/>
  <c r="V1745" i="1" s="1"/>
  <c r="A1746" i="1"/>
  <c r="V1746" i="1" s="1"/>
  <c r="A1747" i="1"/>
  <c r="V1747" i="1" s="1"/>
  <c r="A1748" i="1"/>
  <c r="V1748" i="1" s="1"/>
  <c r="A1749" i="1"/>
  <c r="V1749" i="1" s="1"/>
  <c r="A1750" i="1"/>
  <c r="V1750" i="1" s="1"/>
  <c r="A1751" i="1"/>
  <c r="V1751" i="1" s="1"/>
  <c r="A1752" i="1"/>
  <c r="V1752" i="1" s="1"/>
  <c r="A1753" i="1"/>
  <c r="V1753" i="1" s="1"/>
  <c r="A1754" i="1"/>
  <c r="V1754" i="1" s="1"/>
  <c r="A1755" i="1"/>
  <c r="V1755" i="1" s="1"/>
  <c r="A1756" i="1"/>
  <c r="V1756" i="1" s="1"/>
  <c r="A1757" i="1"/>
  <c r="V1757" i="1" s="1"/>
  <c r="A1758" i="1"/>
  <c r="V1758" i="1" s="1"/>
  <c r="A1759" i="1"/>
  <c r="V1759" i="1" s="1"/>
  <c r="A1760" i="1"/>
  <c r="V1760" i="1" s="1"/>
  <c r="A1761" i="1"/>
  <c r="V1761" i="1" s="1"/>
  <c r="A1762" i="1"/>
  <c r="V1762" i="1" s="1"/>
  <c r="A1763" i="1"/>
  <c r="V1763" i="1" s="1"/>
  <c r="A1764" i="1"/>
  <c r="V1764" i="1" s="1"/>
  <c r="A1765" i="1"/>
  <c r="V1765" i="1" s="1"/>
  <c r="A1766" i="1"/>
  <c r="V1766" i="1" s="1"/>
  <c r="A1767" i="1"/>
  <c r="V1767" i="1" s="1"/>
  <c r="A1768" i="1"/>
  <c r="V1768" i="1" s="1"/>
  <c r="A1769" i="1"/>
  <c r="V1769" i="1" s="1"/>
  <c r="A1770" i="1"/>
  <c r="V1770" i="1" s="1"/>
  <c r="A1771" i="1"/>
  <c r="V1771" i="1" s="1"/>
  <c r="A1772" i="1"/>
  <c r="V1772" i="1" s="1"/>
  <c r="A1773" i="1"/>
  <c r="V1773" i="1" s="1"/>
  <c r="A1774" i="1"/>
  <c r="V1774" i="1" s="1"/>
  <c r="A1775" i="1"/>
  <c r="V1775" i="1" s="1"/>
  <c r="A1776" i="1"/>
  <c r="V1776" i="1" s="1"/>
  <c r="A1777" i="1"/>
  <c r="V1777" i="1" s="1"/>
  <c r="A1778" i="1"/>
  <c r="V1778" i="1" s="1"/>
  <c r="A1779" i="1"/>
  <c r="V1779" i="1" s="1"/>
  <c r="A1780" i="1"/>
  <c r="V1780" i="1" s="1"/>
  <c r="A1781" i="1"/>
  <c r="V1781" i="1" s="1"/>
  <c r="A1782" i="1"/>
  <c r="V1782" i="1" s="1"/>
  <c r="A1783" i="1"/>
  <c r="V1783" i="1" s="1"/>
  <c r="A1784" i="1"/>
  <c r="V1784" i="1" s="1"/>
  <c r="A1785" i="1"/>
  <c r="V1785" i="1" s="1"/>
  <c r="A1786" i="1"/>
  <c r="V1786" i="1" s="1"/>
  <c r="A1787" i="1"/>
  <c r="V1787" i="1" s="1"/>
  <c r="A1788" i="1"/>
  <c r="V1788" i="1" s="1"/>
  <c r="A1789" i="1"/>
  <c r="V1789" i="1" s="1"/>
  <c r="A1790" i="1"/>
  <c r="V1790" i="1" s="1"/>
  <c r="A1791" i="1"/>
  <c r="V1791" i="1" s="1"/>
  <c r="A1792" i="1"/>
  <c r="V1792" i="1" s="1"/>
  <c r="A1793" i="1"/>
  <c r="V1793" i="1" s="1"/>
  <c r="A1794" i="1"/>
  <c r="V1794" i="1" s="1"/>
  <c r="A1795" i="1"/>
  <c r="V1795" i="1" s="1"/>
  <c r="A1796" i="1"/>
  <c r="V1796" i="1" s="1"/>
  <c r="A1797" i="1"/>
  <c r="V1797" i="1" s="1"/>
  <c r="A1798" i="1"/>
  <c r="V1798" i="1" s="1"/>
  <c r="A1799" i="1"/>
  <c r="V1799" i="1" s="1"/>
  <c r="A1800" i="1"/>
  <c r="V1800" i="1" s="1"/>
  <c r="A1801" i="1"/>
  <c r="V1801" i="1" s="1"/>
  <c r="A1802" i="1"/>
  <c r="V1802" i="1" s="1"/>
  <c r="A1803" i="1"/>
  <c r="V1803" i="1" s="1"/>
  <c r="A1804" i="1"/>
  <c r="V1804" i="1" s="1"/>
  <c r="A1805" i="1"/>
  <c r="V1805" i="1" s="1"/>
  <c r="A1806" i="1"/>
  <c r="V1806" i="1" s="1"/>
  <c r="A1807" i="1"/>
  <c r="V1807" i="1" s="1"/>
  <c r="A1808" i="1"/>
  <c r="V1808" i="1" s="1"/>
  <c r="A1809" i="1"/>
  <c r="V1809" i="1" s="1"/>
  <c r="A1810" i="1"/>
  <c r="V1810" i="1" s="1"/>
  <c r="A1811" i="1"/>
  <c r="V1811" i="1" s="1"/>
  <c r="A1812" i="1"/>
  <c r="V1812" i="1" s="1"/>
  <c r="A1813" i="1"/>
  <c r="V1813" i="1" s="1"/>
  <c r="A1814" i="1"/>
  <c r="V1814" i="1" s="1"/>
  <c r="A1815" i="1"/>
  <c r="V1815" i="1" s="1"/>
  <c r="A1816" i="1"/>
  <c r="V1816" i="1" s="1"/>
  <c r="A1817" i="1"/>
  <c r="V1817" i="1" s="1"/>
  <c r="A1818" i="1"/>
  <c r="V1818" i="1" s="1"/>
  <c r="A1819" i="1"/>
  <c r="V1819" i="1" s="1"/>
  <c r="A1820" i="1"/>
  <c r="V1820" i="1" s="1"/>
  <c r="A1821" i="1"/>
  <c r="V1821" i="1" s="1"/>
  <c r="A1822" i="1"/>
  <c r="V1822" i="1" s="1"/>
  <c r="A1823" i="1"/>
  <c r="V1823" i="1" s="1"/>
  <c r="A1824" i="1"/>
  <c r="V1824" i="1" s="1"/>
  <c r="A1825" i="1"/>
  <c r="V1825" i="1" s="1"/>
  <c r="A1826" i="1"/>
  <c r="V1826" i="1" s="1"/>
  <c r="A1827" i="1"/>
  <c r="V1827" i="1" s="1"/>
  <c r="A1828" i="1"/>
  <c r="V1828" i="1" s="1"/>
  <c r="A1829" i="1"/>
  <c r="V1829" i="1" s="1"/>
  <c r="A1830" i="1"/>
  <c r="V1830" i="1" s="1"/>
  <c r="A1831" i="1"/>
  <c r="V1831" i="1" s="1"/>
  <c r="A1832" i="1"/>
  <c r="V1832" i="1" s="1"/>
  <c r="A1833" i="1"/>
  <c r="V1833" i="1" s="1"/>
  <c r="A1834" i="1"/>
  <c r="V1834" i="1" s="1"/>
  <c r="A1835" i="1"/>
  <c r="V1835" i="1" s="1"/>
  <c r="A1836" i="1"/>
  <c r="V1836" i="1" s="1"/>
  <c r="A1837" i="1"/>
  <c r="V1837" i="1" s="1"/>
  <c r="A1838" i="1"/>
  <c r="V1838" i="1" s="1"/>
  <c r="A1839" i="1"/>
  <c r="V1839" i="1" s="1"/>
  <c r="A1840" i="1"/>
  <c r="V1840" i="1" s="1"/>
  <c r="A1841" i="1"/>
  <c r="V1841" i="1" s="1"/>
  <c r="A1842" i="1"/>
  <c r="V1842" i="1" s="1"/>
  <c r="A1843" i="1"/>
  <c r="V1843" i="1" s="1"/>
  <c r="A1844" i="1"/>
  <c r="V1844" i="1" s="1"/>
  <c r="A1845" i="1"/>
  <c r="V1845" i="1" s="1"/>
  <c r="A1846" i="1"/>
  <c r="V1846" i="1" s="1"/>
  <c r="A1847" i="1"/>
  <c r="V1847" i="1" s="1"/>
  <c r="A1848" i="1"/>
  <c r="V1848" i="1" s="1"/>
  <c r="A1849" i="1"/>
  <c r="V1849" i="1" s="1"/>
  <c r="A1850" i="1"/>
  <c r="V1850" i="1" s="1"/>
  <c r="A1851" i="1"/>
  <c r="V1851" i="1" s="1"/>
  <c r="A1852" i="1"/>
  <c r="V1852" i="1" s="1"/>
  <c r="A1853" i="1"/>
  <c r="V1853" i="1" s="1"/>
  <c r="A1854" i="1"/>
  <c r="V1854" i="1" s="1"/>
  <c r="A1855" i="1"/>
  <c r="V1855" i="1" s="1"/>
  <c r="A1856" i="1"/>
  <c r="V1856" i="1" s="1"/>
  <c r="A1857" i="1"/>
  <c r="V1857" i="1" s="1"/>
  <c r="A1858" i="1"/>
  <c r="V1858" i="1" s="1"/>
  <c r="A1859" i="1"/>
  <c r="V1859" i="1" s="1"/>
  <c r="A1860" i="1"/>
  <c r="V1860" i="1" s="1"/>
  <c r="A1861" i="1"/>
  <c r="V1861" i="1" s="1"/>
  <c r="A1862" i="1"/>
  <c r="V1862" i="1" s="1"/>
  <c r="A1863" i="1"/>
  <c r="V1863" i="1" s="1"/>
  <c r="A1864" i="1"/>
  <c r="V1864" i="1" s="1"/>
  <c r="A1865" i="1"/>
  <c r="V1865" i="1" s="1"/>
  <c r="A1866" i="1"/>
  <c r="V1866" i="1" s="1"/>
  <c r="A1867" i="1"/>
  <c r="V1867" i="1" s="1"/>
  <c r="A1868" i="1"/>
  <c r="V1868" i="1" s="1"/>
  <c r="A1869" i="1"/>
  <c r="V1869" i="1" s="1"/>
  <c r="A1870" i="1"/>
  <c r="V1870" i="1" s="1"/>
  <c r="A1871" i="1"/>
  <c r="V1871" i="1" s="1"/>
  <c r="A1872" i="1"/>
  <c r="V1872" i="1" s="1"/>
  <c r="A1873" i="1"/>
  <c r="V1873" i="1" s="1"/>
  <c r="A1874" i="1"/>
  <c r="V1874" i="1" s="1"/>
  <c r="A1875" i="1"/>
  <c r="V1875" i="1" s="1"/>
  <c r="A1876" i="1"/>
  <c r="V1876" i="1" s="1"/>
  <c r="A1877" i="1"/>
  <c r="V1877" i="1" s="1"/>
  <c r="A1878" i="1"/>
  <c r="V1878" i="1" s="1"/>
  <c r="A1879" i="1"/>
  <c r="V1879" i="1" s="1"/>
  <c r="A1880" i="1"/>
  <c r="V1880" i="1" s="1"/>
  <c r="A1881" i="1"/>
  <c r="V1881" i="1" s="1"/>
  <c r="A1882" i="1"/>
  <c r="V1882" i="1" s="1"/>
  <c r="A1883" i="1"/>
  <c r="V1883" i="1" s="1"/>
  <c r="A1884" i="1"/>
  <c r="V1884" i="1" s="1"/>
  <c r="A1885" i="1"/>
  <c r="V1885" i="1" s="1"/>
  <c r="A1886" i="1"/>
  <c r="V1886" i="1" s="1"/>
  <c r="A1887" i="1"/>
  <c r="V1887" i="1" s="1"/>
  <c r="A1888" i="1"/>
  <c r="V1888" i="1" s="1"/>
  <c r="A1889" i="1"/>
  <c r="V1889" i="1" s="1"/>
  <c r="A1890" i="1"/>
  <c r="V1890" i="1" s="1"/>
  <c r="A1891" i="1"/>
  <c r="V1891" i="1" s="1"/>
  <c r="A1892" i="1"/>
  <c r="V1892" i="1" s="1"/>
  <c r="A1893" i="1"/>
  <c r="V1893" i="1" s="1"/>
  <c r="A1894" i="1"/>
  <c r="V1894" i="1" s="1"/>
  <c r="A1895" i="1"/>
  <c r="V1895" i="1" s="1"/>
  <c r="A1896" i="1"/>
  <c r="V1896" i="1" s="1"/>
  <c r="A1897" i="1"/>
  <c r="V1897" i="1" s="1"/>
  <c r="A1898" i="1"/>
  <c r="V1898" i="1" s="1"/>
  <c r="A1899" i="1"/>
  <c r="V1899" i="1" s="1"/>
  <c r="A1900" i="1"/>
  <c r="V1900" i="1" s="1"/>
  <c r="A1901" i="1"/>
  <c r="V1901" i="1" s="1"/>
  <c r="A1902" i="1"/>
  <c r="V1902" i="1" s="1"/>
  <c r="A1903" i="1"/>
  <c r="V1903" i="1" s="1"/>
  <c r="A1904" i="1"/>
  <c r="V1904" i="1" s="1"/>
  <c r="A1905" i="1"/>
  <c r="V1905" i="1" s="1"/>
  <c r="A1906" i="1"/>
  <c r="V1906" i="1" s="1"/>
  <c r="A1907" i="1"/>
  <c r="V1907" i="1" s="1"/>
  <c r="A1908" i="1"/>
  <c r="V1908" i="1" s="1"/>
  <c r="A1909" i="1"/>
  <c r="V1909" i="1" s="1"/>
  <c r="A1910" i="1"/>
  <c r="V1910" i="1" s="1"/>
  <c r="A1911" i="1"/>
  <c r="V1911" i="1" s="1"/>
  <c r="A1912" i="1"/>
  <c r="V1912" i="1" s="1"/>
  <c r="A1913" i="1"/>
  <c r="V1913" i="1" s="1"/>
  <c r="A1914" i="1"/>
  <c r="V1914" i="1" s="1"/>
  <c r="A1915" i="1"/>
  <c r="V1915" i="1" s="1"/>
  <c r="A1916" i="1"/>
  <c r="V1916" i="1" s="1"/>
  <c r="A1917" i="1"/>
  <c r="V1917" i="1" s="1"/>
  <c r="A1918" i="1"/>
  <c r="V1918" i="1" s="1"/>
  <c r="A1919" i="1"/>
  <c r="V1919" i="1" s="1"/>
  <c r="A1920" i="1"/>
  <c r="V1920" i="1" s="1"/>
  <c r="A1921" i="1"/>
  <c r="V1921" i="1" s="1"/>
  <c r="A1922" i="1"/>
  <c r="V1922" i="1" s="1"/>
  <c r="A1923" i="1"/>
  <c r="V1923" i="1" s="1"/>
  <c r="A1924" i="1"/>
  <c r="V1924" i="1" s="1"/>
  <c r="A1925" i="1"/>
  <c r="V1925" i="1" s="1"/>
  <c r="A1926" i="1"/>
  <c r="V1926" i="1" s="1"/>
  <c r="A1927" i="1"/>
  <c r="V1927" i="1" s="1"/>
  <c r="A1928" i="1"/>
  <c r="V1928" i="1" s="1"/>
  <c r="A1929" i="1"/>
  <c r="V1929" i="1" s="1"/>
  <c r="A1930" i="1"/>
  <c r="V1930" i="1" s="1"/>
  <c r="A1931" i="1"/>
  <c r="V1931" i="1" s="1"/>
  <c r="A1932" i="1"/>
  <c r="V1932" i="1" s="1"/>
  <c r="A1933" i="1"/>
  <c r="V1933" i="1" s="1"/>
  <c r="A1934" i="1"/>
  <c r="V1934" i="1" s="1"/>
  <c r="A1935" i="1"/>
  <c r="V1935" i="1" s="1"/>
  <c r="A1936" i="1"/>
  <c r="V1936" i="1" s="1"/>
  <c r="A1937" i="1"/>
  <c r="V1937" i="1" s="1"/>
  <c r="A1938" i="1"/>
  <c r="V1938" i="1" s="1"/>
  <c r="A1939" i="1"/>
  <c r="V1939" i="1" s="1"/>
  <c r="A1940" i="1"/>
  <c r="V1940" i="1" s="1"/>
  <c r="A1941" i="1"/>
  <c r="V1941" i="1" s="1"/>
  <c r="A1942" i="1"/>
  <c r="V1942" i="1" s="1"/>
  <c r="A1943" i="1"/>
  <c r="V1943" i="1" s="1"/>
  <c r="A1944" i="1"/>
  <c r="V1944" i="1" s="1"/>
  <c r="A1945" i="1"/>
  <c r="V1945" i="1" s="1"/>
  <c r="A1946" i="1"/>
  <c r="V1946" i="1" s="1"/>
  <c r="A1947" i="1"/>
  <c r="V1947" i="1" s="1"/>
  <c r="A1948" i="1"/>
  <c r="V1948" i="1" s="1"/>
  <c r="A1949" i="1"/>
  <c r="V1949" i="1" s="1"/>
  <c r="A1950" i="1"/>
  <c r="V1950" i="1" s="1"/>
  <c r="A1951" i="1"/>
  <c r="V1951" i="1" s="1"/>
  <c r="A1952" i="1"/>
  <c r="V1952" i="1" s="1"/>
  <c r="A1953" i="1"/>
  <c r="V1953" i="1" s="1"/>
  <c r="A1954" i="1"/>
  <c r="V1954" i="1" s="1"/>
  <c r="A1955" i="1"/>
  <c r="V1955" i="1" s="1"/>
  <c r="A1956" i="1"/>
  <c r="V1956" i="1" s="1"/>
  <c r="A1957" i="1"/>
  <c r="V1957" i="1" s="1"/>
  <c r="A1958" i="1"/>
  <c r="V1958" i="1" s="1"/>
  <c r="A1959" i="1"/>
  <c r="V1959" i="1" s="1"/>
  <c r="A1960" i="1"/>
  <c r="V1960" i="1" s="1"/>
  <c r="A1961" i="1"/>
  <c r="V1961" i="1" s="1"/>
  <c r="A1962" i="1"/>
  <c r="V1962" i="1" s="1"/>
  <c r="A1963" i="1"/>
  <c r="V1963" i="1" s="1"/>
  <c r="A1964" i="1"/>
  <c r="V1964" i="1" s="1"/>
  <c r="A1965" i="1"/>
  <c r="V1965" i="1" s="1"/>
  <c r="A1966" i="1"/>
  <c r="V1966" i="1" s="1"/>
  <c r="A1967" i="1"/>
  <c r="V1967" i="1" s="1"/>
  <c r="A1968" i="1"/>
  <c r="V1968" i="1" s="1"/>
  <c r="A1969" i="1"/>
  <c r="V1969" i="1" s="1"/>
  <c r="A1970" i="1"/>
  <c r="V1970" i="1" s="1"/>
  <c r="A1971" i="1"/>
  <c r="V1971" i="1" s="1"/>
  <c r="A1972" i="1"/>
  <c r="V1972" i="1" s="1"/>
  <c r="A1973" i="1"/>
  <c r="V1973" i="1" s="1"/>
  <c r="A1974" i="1"/>
  <c r="V1974" i="1" s="1"/>
  <c r="A1975" i="1"/>
  <c r="V1975" i="1" s="1"/>
  <c r="A1976" i="1"/>
  <c r="V1976" i="1" s="1"/>
  <c r="A1977" i="1"/>
  <c r="V1977" i="1" s="1"/>
  <c r="A1978" i="1"/>
  <c r="V1978" i="1" s="1"/>
  <c r="A1979" i="1"/>
  <c r="V1979" i="1" s="1"/>
  <c r="A1980" i="1"/>
  <c r="V1980" i="1" s="1"/>
  <c r="A1981" i="1"/>
  <c r="V1981" i="1" s="1"/>
  <c r="A1982" i="1"/>
  <c r="V1982" i="1" s="1"/>
  <c r="A1983" i="1"/>
  <c r="V1983" i="1" s="1"/>
  <c r="A1984" i="1"/>
  <c r="V1984" i="1" s="1"/>
  <c r="A1985" i="1"/>
  <c r="V1985" i="1" s="1"/>
  <c r="A1986" i="1"/>
  <c r="V1986" i="1" s="1"/>
  <c r="A1987" i="1"/>
  <c r="V1987" i="1" s="1"/>
  <c r="A1988" i="1"/>
  <c r="V1988" i="1" s="1"/>
  <c r="A1989" i="1"/>
  <c r="V1989" i="1" s="1"/>
  <c r="A1990" i="1"/>
  <c r="V1990" i="1" s="1"/>
  <c r="A1991" i="1"/>
  <c r="V1991" i="1" s="1"/>
  <c r="A1992" i="1"/>
  <c r="V1992" i="1" s="1"/>
  <c r="A1993" i="1"/>
  <c r="V1993" i="1" s="1"/>
  <c r="A1994" i="1"/>
  <c r="V1994" i="1" s="1"/>
  <c r="A1995" i="1"/>
  <c r="V1995" i="1" s="1"/>
  <c r="A1996" i="1"/>
  <c r="V1996" i="1" s="1"/>
  <c r="A1997" i="1"/>
  <c r="V1997" i="1" s="1"/>
  <c r="A1998" i="1"/>
  <c r="V1998" i="1" s="1"/>
  <c r="A1999" i="1"/>
  <c r="V1999" i="1" s="1"/>
  <c r="A2000" i="1"/>
  <c r="V2000" i="1" s="1"/>
  <c r="A2001" i="1"/>
  <c r="V2001" i="1" s="1"/>
  <c r="A2002" i="1"/>
  <c r="V2002" i="1" s="1"/>
  <c r="A2003" i="1"/>
  <c r="V2003" i="1" s="1"/>
  <c r="A2004" i="1"/>
  <c r="V2004" i="1" s="1"/>
  <c r="A2005" i="1"/>
  <c r="V2005" i="1" s="1"/>
  <c r="A2006" i="1"/>
  <c r="V2006" i="1" s="1"/>
  <c r="A2007" i="1"/>
  <c r="V2007" i="1" s="1"/>
  <c r="A2008" i="1"/>
  <c r="V2008" i="1" s="1"/>
  <c r="A2009" i="1"/>
  <c r="V2009" i="1" s="1"/>
  <c r="A2010" i="1"/>
  <c r="V2010" i="1" s="1"/>
  <c r="A2011" i="1"/>
  <c r="V2011" i="1" s="1"/>
  <c r="A2012" i="1"/>
  <c r="V2012" i="1" s="1"/>
  <c r="A2013" i="1"/>
  <c r="V2013" i="1" s="1"/>
  <c r="A2014" i="1"/>
  <c r="V2014" i="1" s="1"/>
  <c r="A2015" i="1"/>
  <c r="V2015" i="1" s="1"/>
  <c r="A2016" i="1"/>
  <c r="V2016" i="1" s="1"/>
  <c r="A2017" i="1"/>
  <c r="V2017" i="1" s="1"/>
  <c r="A2018" i="1"/>
  <c r="V2018" i="1" s="1"/>
  <c r="A2019" i="1"/>
  <c r="V2019" i="1" s="1"/>
  <c r="A2020" i="1"/>
  <c r="V2020" i="1" s="1"/>
  <c r="A2021" i="1"/>
  <c r="V2021" i="1" s="1"/>
  <c r="A2022" i="1"/>
  <c r="V2022" i="1" s="1"/>
  <c r="A2023" i="1"/>
  <c r="V2023" i="1" s="1"/>
  <c r="A2024" i="1"/>
  <c r="V2024" i="1" s="1"/>
  <c r="A2025" i="1"/>
  <c r="V2025" i="1" s="1"/>
  <c r="A2026" i="1"/>
  <c r="V2026" i="1" s="1"/>
  <c r="A2027" i="1"/>
  <c r="V2027" i="1" s="1"/>
  <c r="A2028" i="1"/>
  <c r="V2028" i="1" s="1"/>
  <c r="A2029" i="1"/>
  <c r="V2029" i="1" s="1"/>
  <c r="A2030" i="1"/>
  <c r="V2030" i="1" s="1"/>
  <c r="A2031" i="1"/>
  <c r="V2031" i="1" s="1"/>
  <c r="A2032" i="1"/>
  <c r="V2032" i="1" s="1"/>
  <c r="A2033" i="1"/>
  <c r="V2033" i="1" s="1"/>
  <c r="A2034" i="1"/>
  <c r="V2034" i="1" s="1"/>
  <c r="A2035" i="1"/>
  <c r="V2035" i="1" s="1"/>
  <c r="A2036" i="1"/>
  <c r="V2036" i="1" s="1"/>
  <c r="A2037" i="1"/>
  <c r="V2037" i="1" s="1"/>
  <c r="A2038" i="1"/>
  <c r="V2038" i="1" s="1"/>
  <c r="A2039" i="1"/>
  <c r="V2039" i="1" s="1"/>
  <c r="A2040" i="1"/>
  <c r="V2040" i="1" s="1"/>
  <c r="A2041" i="1"/>
  <c r="V2041" i="1" s="1"/>
  <c r="A2042" i="1"/>
  <c r="V2042" i="1" s="1"/>
  <c r="A2043" i="1"/>
  <c r="V2043" i="1" s="1"/>
  <c r="A2044" i="1"/>
  <c r="V2044" i="1" s="1"/>
  <c r="A2045" i="1"/>
  <c r="V2045" i="1" s="1"/>
  <c r="A2046" i="1"/>
  <c r="V2046" i="1" s="1"/>
  <c r="A2047" i="1"/>
  <c r="V2047" i="1" s="1"/>
  <c r="A2048" i="1"/>
  <c r="V2048" i="1" s="1"/>
  <c r="A2049" i="1"/>
  <c r="V2049" i="1" s="1"/>
  <c r="A2050" i="1"/>
  <c r="V2050" i="1" s="1"/>
  <c r="A2051" i="1"/>
  <c r="V2051" i="1" s="1"/>
  <c r="A2052" i="1"/>
  <c r="V2052" i="1" s="1"/>
  <c r="A2053" i="1"/>
  <c r="V2053" i="1" s="1"/>
  <c r="A2054" i="1"/>
  <c r="V2054" i="1" s="1"/>
  <c r="A2055" i="1"/>
  <c r="V2055" i="1" s="1"/>
  <c r="A2056" i="1"/>
  <c r="V2056" i="1" s="1"/>
  <c r="A2057" i="1"/>
  <c r="V2057" i="1" s="1"/>
  <c r="A2058" i="1"/>
  <c r="V2058" i="1" s="1"/>
  <c r="A2059" i="1"/>
  <c r="V2059" i="1" s="1"/>
  <c r="A2060" i="1"/>
  <c r="V2060" i="1" s="1"/>
  <c r="A2061" i="1"/>
  <c r="V2061" i="1" s="1"/>
  <c r="A2062" i="1"/>
  <c r="V2062" i="1" s="1"/>
  <c r="A2063" i="1"/>
  <c r="V2063" i="1" s="1"/>
  <c r="A2064" i="1"/>
  <c r="V2064" i="1" s="1"/>
  <c r="A2065" i="1"/>
  <c r="V2065" i="1" s="1"/>
  <c r="A2066" i="1"/>
  <c r="V2066" i="1" s="1"/>
  <c r="A2067" i="1"/>
  <c r="V2067" i="1" s="1"/>
  <c r="A2068" i="1"/>
  <c r="V2068" i="1" s="1"/>
  <c r="A2069" i="1"/>
  <c r="V2069" i="1" s="1"/>
  <c r="A2070" i="1"/>
  <c r="V2070" i="1" s="1"/>
  <c r="A2071" i="1"/>
  <c r="V2071" i="1" s="1"/>
  <c r="A2072" i="1"/>
  <c r="V2072" i="1" s="1"/>
  <c r="A2073" i="1"/>
  <c r="V2073" i="1" s="1"/>
  <c r="A2074" i="1"/>
  <c r="V2074" i="1" s="1"/>
  <c r="A2075" i="1"/>
  <c r="V2075" i="1" s="1"/>
  <c r="A2076" i="1"/>
  <c r="V2076" i="1" s="1"/>
  <c r="A2077" i="1"/>
  <c r="V2077" i="1" s="1"/>
  <c r="A2078" i="1"/>
  <c r="V2078" i="1" s="1"/>
  <c r="A2079" i="1"/>
  <c r="V2079" i="1" s="1"/>
  <c r="A2080" i="1"/>
  <c r="V2080" i="1" s="1"/>
  <c r="A2081" i="1"/>
  <c r="V2081" i="1" s="1"/>
  <c r="A2082" i="1"/>
  <c r="V2082" i="1" s="1"/>
  <c r="A2083" i="1"/>
  <c r="V2083" i="1" s="1"/>
  <c r="A2084" i="1"/>
  <c r="V2084" i="1" s="1"/>
  <c r="A2085" i="1"/>
  <c r="V2085" i="1" s="1"/>
  <c r="A2086" i="1"/>
  <c r="V2086" i="1" s="1"/>
  <c r="A2087" i="1"/>
  <c r="V2087" i="1" s="1"/>
  <c r="A2088" i="1"/>
  <c r="V2088" i="1" s="1"/>
  <c r="A2089" i="1"/>
  <c r="V2089" i="1" s="1"/>
  <c r="A2090" i="1"/>
  <c r="V2090" i="1" s="1"/>
  <c r="A2091" i="1"/>
  <c r="V2091" i="1" s="1"/>
  <c r="A2092" i="1"/>
  <c r="V2092" i="1" s="1"/>
  <c r="A2093" i="1"/>
  <c r="V2093" i="1" s="1"/>
  <c r="A2094" i="1"/>
  <c r="V2094" i="1" s="1"/>
  <c r="A2095" i="1"/>
  <c r="V2095" i="1" s="1"/>
  <c r="A2096" i="1"/>
  <c r="V2096" i="1" s="1"/>
  <c r="A2097" i="1"/>
  <c r="V2097" i="1" s="1"/>
  <c r="A2098" i="1"/>
  <c r="V2098" i="1" s="1"/>
  <c r="A2099" i="1"/>
  <c r="V2099" i="1" s="1"/>
  <c r="A2100" i="1"/>
  <c r="V2100" i="1" s="1"/>
  <c r="A2101" i="1"/>
  <c r="V2101" i="1" s="1"/>
  <c r="A2102" i="1"/>
  <c r="V2102" i="1" s="1"/>
  <c r="A2103" i="1"/>
  <c r="V2103" i="1" s="1"/>
  <c r="A2104" i="1"/>
  <c r="V2104" i="1" s="1"/>
  <c r="A2105" i="1"/>
  <c r="V2105" i="1" s="1"/>
  <c r="A2106" i="1"/>
  <c r="V2106" i="1" s="1"/>
  <c r="A2107" i="1"/>
  <c r="V2107" i="1" s="1"/>
  <c r="A2108" i="1"/>
  <c r="V2108" i="1" s="1"/>
  <c r="A2109" i="1"/>
  <c r="V2109" i="1" s="1"/>
  <c r="A2110" i="1"/>
  <c r="V2110" i="1" s="1"/>
  <c r="A2111" i="1"/>
  <c r="V2111" i="1" s="1"/>
  <c r="A2112" i="1"/>
  <c r="V2112" i="1" s="1"/>
  <c r="A2113" i="1"/>
  <c r="V2113" i="1" s="1"/>
  <c r="A2114" i="1"/>
  <c r="V2114" i="1" s="1"/>
  <c r="A2115" i="1"/>
  <c r="V2115" i="1" s="1"/>
  <c r="A2116" i="1"/>
  <c r="V2116" i="1" s="1"/>
  <c r="A2117" i="1"/>
  <c r="V2117" i="1" s="1"/>
  <c r="A2118" i="1"/>
  <c r="V2118" i="1" s="1"/>
  <c r="A2119" i="1"/>
  <c r="V2119" i="1" s="1"/>
  <c r="A2120" i="1"/>
  <c r="V2120" i="1" s="1"/>
  <c r="A2121" i="1"/>
  <c r="V2121" i="1" s="1"/>
  <c r="A2122" i="1"/>
  <c r="V2122" i="1" s="1"/>
  <c r="A2123" i="1"/>
  <c r="V2123" i="1" s="1"/>
  <c r="A2124" i="1"/>
  <c r="V2124" i="1" s="1"/>
  <c r="A2125" i="1"/>
  <c r="V2125" i="1" s="1"/>
  <c r="A2126" i="1"/>
  <c r="V2126" i="1" s="1"/>
  <c r="A2127" i="1"/>
  <c r="V2127" i="1" s="1"/>
  <c r="A2128" i="1"/>
  <c r="V2128" i="1" s="1"/>
  <c r="A2129" i="1"/>
  <c r="V2129" i="1" s="1"/>
  <c r="A2130" i="1"/>
  <c r="V2130" i="1" s="1"/>
  <c r="A2131" i="1"/>
  <c r="V2131" i="1" s="1"/>
  <c r="A2132" i="1"/>
  <c r="V2132" i="1" s="1"/>
  <c r="A2133" i="1"/>
  <c r="V2133" i="1" s="1"/>
  <c r="A2134" i="1"/>
  <c r="V2134" i="1" s="1"/>
  <c r="A2135" i="1"/>
  <c r="V2135" i="1" s="1"/>
  <c r="A2136" i="1"/>
  <c r="V2136" i="1" s="1"/>
  <c r="A2137" i="1"/>
  <c r="V2137" i="1" s="1"/>
  <c r="A2138" i="1"/>
  <c r="V2138" i="1" s="1"/>
  <c r="A4053" i="1"/>
  <c r="V4053" i="1" s="1"/>
  <c r="A2139" i="1"/>
  <c r="V2139" i="1" s="1"/>
  <c r="A2140" i="1"/>
  <c r="V2140" i="1" s="1"/>
  <c r="A2141" i="1"/>
  <c r="V2141" i="1" s="1"/>
  <c r="A2142" i="1"/>
  <c r="V2142" i="1" s="1"/>
  <c r="A2143" i="1"/>
  <c r="V2143" i="1" s="1"/>
  <c r="A2144" i="1"/>
  <c r="V2144" i="1" s="1"/>
  <c r="A2145" i="1"/>
  <c r="V2145" i="1" s="1"/>
  <c r="A2146" i="1"/>
  <c r="V2146" i="1" s="1"/>
  <c r="A2147" i="1"/>
  <c r="V2147" i="1" s="1"/>
  <c r="A2148" i="1"/>
  <c r="V2148" i="1" s="1"/>
  <c r="A2149" i="1"/>
  <c r="V2149" i="1" s="1"/>
  <c r="A2150" i="1"/>
  <c r="V2150" i="1" s="1"/>
  <c r="A30" i="1"/>
  <c r="V30" i="1" s="1"/>
  <c r="A2152" i="1"/>
  <c r="V2152" i="1" s="1"/>
  <c r="A2153" i="1"/>
  <c r="V2153" i="1" s="1"/>
  <c r="A2154" i="1"/>
  <c r="V2154" i="1" s="1"/>
  <c r="A2155" i="1"/>
  <c r="V2155" i="1" s="1"/>
  <c r="A2156" i="1"/>
  <c r="V2156" i="1" s="1"/>
  <c r="A2157" i="1"/>
  <c r="V2157" i="1" s="1"/>
  <c r="A2158" i="1"/>
  <c r="V2158" i="1" s="1"/>
  <c r="A2159" i="1"/>
  <c r="V2159" i="1" s="1"/>
  <c r="A2160" i="1"/>
  <c r="V2160" i="1" s="1"/>
  <c r="A2161" i="1"/>
  <c r="V2161" i="1" s="1"/>
  <c r="A2162" i="1"/>
  <c r="V2162" i="1" s="1"/>
  <c r="A2163" i="1"/>
  <c r="V2163" i="1" s="1"/>
  <c r="A120" i="1"/>
  <c r="V120" i="1" s="1"/>
  <c r="A2164" i="1"/>
  <c r="V2164" i="1" s="1"/>
  <c r="A2165" i="1"/>
  <c r="V2165" i="1" s="1"/>
  <c r="A2166" i="1"/>
  <c r="V2166" i="1" s="1"/>
  <c r="A2167" i="1"/>
  <c r="V2167" i="1" s="1"/>
  <c r="A2168" i="1"/>
  <c r="V2168" i="1" s="1"/>
  <c r="A2169" i="1"/>
  <c r="V2169" i="1" s="1"/>
  <c r="A2170" i="1"/>
  <c r="V2170" i="1" s="1"/>
  <c r="A2171" i="1"/>
  <c r="V2171" i="1" s="1"/>
  <c r="A2172" i="1"/>
  <c r="V2172" i="1" s="1"/>
  <c r="A2173" i="1"/>
  <c r="V2173" i="1" s="1"/>
  <c r="A2174" i="1"/>
  <c r="V2174" i="1" s="1"/>
  <c r="A2175" i="1"/>
  <c r="V2175" i="1" s="1"/>
  <c r="A2176" i="1"/>
  <c r="V2176" i="1" s="1"/>
  <c r="A2177" i="1"/>
  <c r="V2177" i="1" s="1"/>
  <c r="A2178" i="1"/>
  <c r="V2178" i="1" s="1"/>
  <c r="A2179" i="1"/>
  <c r="V2179" i="1" s="1"/>
  <c r="A2180" i="1"/>
  <c r="V2180" i="1" s="1"/>
  <c r="A2181" i="1"/>
  <c r="V2181" i="1" s="1"/>
  <c r="A2182" i="1"/>
  <c r="V2182" i="1" s="1"/>
  <c r="A2183" i="1"/>
  <c r="V2183" i="1" s="1"/>
  <c r="A4021" i="1"/>
  <c r="V4021" i="1" s="1"/>
  <c r="A2185" i="1"/>
  <c r="V2185" i="1" s="1"/>
  <c r="A2186" i="1"/>
  <c r="V2186" i="1" s="1"/>
  <c r="A2187" i="1"/>
  <c r="V2187" i="1" s="1"/>
  <c r="A2188" i="1"/>
  <c r="V2188" i="1" s="1"/>
  <c r="A2189" i="1"/>
  <c r="V2189" i="1" s="1"/>
  <c r="A2190" i="1"/>
  <c r="V2190" i="1" s="1"/>
  <c r="A2191" i="1"/>
  <c r="V2191" i="1" s="1"/>
  <c r="A2192" i="1"/>
  <c r="V2192" i="1" s="1"/>
  <c r="A2193" i="1"/>
  <c r="V2193" i="1" s="1"/>
  <c r="A2194" i="1"/>
  <c r="V2194" i="1" s="1"/>
  <c r="A2195" i="1"/>
  <c r="V2195" i="1" s="1"/>
  <c r="A2196" i="1"/>
  <c r="V2196" i="1" s="1"/>
  <c r="A2197" i="1"/>
  <c r="V2197" i="1" s="1"/>
  <c r="A2198" i="1"/>
  <c r="V2198" i="1" s="1"/>
  <c r="A2199" i="1"/>
  <c r="V2199" i="1" s="1"/>
  <c r="A2200" i="1"/>
  <c r="V2200" i="1" s="1"/>
  <c r="A2201" i="1"/>
  <c r="V2201" i="1" s="1"/>
  <c r="A2202" i="1"/>
  <c r="V2202" i="1" s="1"/>
  <c r="A2203" i="1"/>
  <c r="V2203" i="1" s="1"/>
  <c r="A2204" i="1"/>
  <c r="V2204" i="1" s="1"/>
  <c r="A2205" i="1"/>
  <c r="V2205" i="1" s="1"/>
  <c r="A2206" i="1"/>
  <c r="V2206" i="1" s="1"/>
  <c r="A2207" i="1"/>
  <c r="V2207" i="1" s="1"/>
  <c r="A2208" i="1"/>
  <c r="V2208" i="1" s="1"/>
  <c r="A2209" i="1"/>
  <c r="V2209" i="1" s="1"/>
  <c r="A2210" i="1"/>
  <c r="V2210" i="1" s="1"/>
  <c r="A2211" i="1"/>
  <c r="V2211" i="1" s="1"/>
  <c r="A2212" i="1"/>
  <c r="V2212" i="1" s="1"/>
  <c r="A2213" i="1"/>
  <c r="V2213" i="1" s="1"/>
  <c r="A2214" i="1"/>
  <c r="V2214" i="1" s="1"/>
  <c r="A2215" i="1"/>
  <c r="V2215" i="1" s="1"/>
  <c r="A2216" i="1"/>
  <c r="V2216" i="1" s="1"/>
  <c r="A2217" i="1"/>
  <c r="V2217" i="1" s="1"/>
  <c r="A4065" i="1"/>
  <c r="V4065" i="1" s="1"/>
  <c r="A2218" i="1"/>
  <c r="V2218" i="1" s="1"/>
  <c r="A2219" i="1"/>
  <c r="V2219" i="1" s="1"/>
  <c r="A2220" i="1"/>
  <c r="V2220" i="1" s="1"/>
  <c r="A2221" i="1"/>
  <c r="V2221" i="1" s="1"/>
  <c r="A2222" i="1"/>
  <c r="V2222" i="1" s="1"/>
  <c r="A2223" i="1"/>
  <c r="V2223" i="1" s="1"/>
  <c r="A142" i="1"/>
  <c r="V142" i="1" s="1"/>
  <c r="A2225" i="1"/>
  <c r="V2225" i="1" s="1"/>
  <c r="A2226" i="1"/>
  <c r="V2226" i="1" s="1"/>
  <c r="A2227" i="1"/>
  <c r="V2227" i="1" s="1"/>
  <c r="A2228" i="1"/>
  <c r="V2228" i="1" s="1"/>
  <c r="A2229" i="1"/>
  <c r="V2229" i="1" s="1"/>
  <c r="A2230" i="1"/>
  <c r="V2230" i="1" s="1"/>
  <c r="A2231" i="1"/>
  <c r="V2231" i="1" s="1"/>
  <c r="A2232" i="1"/>
  <c r="V2232" i="1" s="1"/>
  <c r="A2233" i="1"/>
  <c r="V2233" i="1" s="1"/>
  <c r="A2234" i="1"/>
  <c r="V2234" i="1" s="1"/>
  <c r="A2235" i="1"/>
  <c r="V2235" i="1" s="1"/>
  <c r="A2236" i="1"/>
  <c r="V2236" i="1" s="1"/>
  <c r="A2237" i="1"/>
  <c r="V2237" i="1" s="1"/>
  <c r="A2238" i="1"/>
  <c r="V2238" i="1" s="1"/>
  <c r="A2239" i="1"/>
  <c r="V2239" i="1" s="1"/>
  <c r="A2240" i="1"/>
  <c r="V2240" i="1" s="1"/>
  <c r="A2241" i="1"/>
  <c r="V2241" i="1" s="1"/>
  <c r="A2242" i="1"/>
  <c r="V2242" i="1" s="1"/>
  <c r="A2243" i="1"/>
  <c r="V2243" i="1" s="1"/>
  <c r="A2244" i="1"/>
  <c r="V2244" i="1" s="1"/>
  <c r="A2245" i="1"/>
  <c r="V2245" i="1" s="1"/>
  <c r="A2246" i="1"/>
  <c r="V2246" i="1" s="1"/>
  <c r="A2247" i="1"/>
  <c r="V2247" i="1" s="1"/>
  <c r="A2248" i="1"/>
  <c r="V2248" i="1" s="1"/>
  <c r="A2249" i="1"/>
  <c r="V2249" i="1" s="1"/>
  <c r="A2250" i="1"/>
  <c r="V2250" i="1" s="1"/>
  <c r="A2251" i="1"/>
  <c r="V2251" i="1" s="1"/>
  <c r="A2252" i="1"/>
  <c r="V2252" i="1" s="1"/>
  <c r="A2253" i="1"/>
  <c r="V2253" i="1" s="1"/>
  <c r="A2254" i="1"/>
  <c r="V2254" i="1" s="1"/>
  <c r="A4068" i="1"/>
  <c r="V4068" i="1" s="1"/>
  <c r="A2255" i="1"/>
  <c r="V2255" i="1" s="1"/>
  <c r="A2256" i="1"/>
  <c r="V2256" i="1" s="1"/>
  <c r="A2257" i="1"/>
  <c r="V2257" i="1" s="1"/>
  <c r="A2258" i="1"/>
  <c r="V2258" i="1" s="1"/>
  <c r="A2259" i="1"/>
  <c r="V2259" i="1" s="1"/>
  <c r="A2260" i="1"/>
  <c r="V2260" i="1" s="1"/>
  <c r="A2261" i="1"/>
  <c r="V2261" i="1" s="1"/>
  <c r="A2262" i="1"/>
  <c r="V2262" i="1" s="1"/>
  <c r="A2263" i="1"/>
  <c r="V2263" i="1" s="1"/>
  <c r="A2264" i="1"/>
  <c r="V2264" i="1" s="1"/>
  <c r="A2265" i="1"/>
  <c r="V2265" i="1" s="1"/>
  <c r="A2266" i="1"/>
  <c r="V2266" i="1" s="1"/>
  <c r="A2267" i="1"/>
  <c r="V2267" i="1" s="1"/>
  <c r="A2268" i="1"/>
  <c r="V2268" i="1" s="1"/>
  <c r="A2269" i="1"/>
  <c r="V2269" i="1" s="1"/>
  <c r="A2270" i="1"/>
  <c r="V2270" i="1" s="1"/>
  <c r="A2271" i="1"/>
  <c r="V2271" i="1" s="1"/>
  <c r="A2272" i="1"/>
  <c r="V2272" i="1" s="1"/>
  <c r="A2273" i="1"/>
  <c r="V2273" i="1" s="1"/>
  <c r="A2274" i="1"/>
  <c r="V2274" i="1" s="1"/>
  <c r="A4061" i="1"/>
  <c r="V4061" i="1" s="1"/>
  <c r="A2276" i="1"/>
  <c r="V2276" i="1" s="1"/>
  <c r="A2277" i="1"/>
  <c r="V2277" i="1" s="1"/>
  <c r="A2278" i="1"/>
  <c r="V2278" i="1" s="1"/>
  <c r="A2279" i="1"/>
  <c r="V2279" i="1" s="1"/>
  <c r="A2280" i="1"/>
  <c r="V2280" i="1" s="1"/>
  <c r="A2281" i="1"/>
  <c r="V2281" i="1" s="1"/>
  <c r="A2282" i="1"/>
  <c r="V2282" i="1" s="1"/>
  <c r="A2283" i="1"/>
  <c r="V2283" i="1" s="1"/>
  <c r="A2284" i="1"/>
  <c r="V2284" i="1" s="1"/>
  <c r="A2285" i="1"/>
  <c r="V2285" i="1" s="1"/>
  <c r="A2286" i="1"/>
  <c r="V2286" i="1" s="1"/>
  <c r="A2287" i="1"/>
  <c r="V2287" i="1" s="1"/>
  <c r="A2288" i="1"/>
  <c r="V2288" i="1" s="1"/>
  <c r="A2289" i="1"/>
  <c r="V2289" i="1" s="1"/>
  <c r="A1487" i="1"/>
  <c r="V1487" i="1" s="1"/>
  <c r="A2290" i="1"/>
  <c r="V2290" i="1" s="1"/>
  <c r="A2291" i="1"/>
  <c r="V2291" i="1" s="1"/>
  <c r="A2292" i="1"/>
  <c r="V2292" i="1" s="1"/>
  <c r="A2293" i="1"/>
  <c r="V2293" i="1" s="1"/>
  <c r="A2294" i="1"/>
  <c r="V2294" i="1" s="1"/>
  <c r="A4062" i="1"/>
  <c r="V4062" i="1" s="1"/>
  <c r="A2296" i="1"/>
  <c r="V2296" i="1" s="1"/>
  <c r="A2297" i="1"/>
  <c r="V2297" i="1" s="1"/>
  <c r="A2298" i="1"/>
  <c r="V2298" i="1" s="1"/>
  <c r="A2299" i="1"/>
  <c r="V2299" i="1" s="1"/>
  <c r="A2300" i="1"/>
  <c r="V2300" i="1" s="1"/>
  <c r="A2301" i="1"/>
  <c r="V2301" i="1" s="1"/>
  <c r="A2302" i="1"/>
  <c r="V2302" i="1" s="1"/>
  <c r="A2303" i="1"/>
  <c r="V2303" i="1" s="1"/>
  <c r="A2304" i="1"/>
  <c r="V2304" i="1" s="1"/>
  <c r="A2305" i="1"/>
  <c r="V2305" i="1" s="1"/>
  <c r="A2306" i="1"/>
  <c r="V2306" i="1" s="1"/>
  <c r="A2307" i="1"/>
  <c r="V2307" i="1" s="1"/>
  <c r="A2308" i="1"/>
  <c r="V2308" i="1" s="1"/>
  <c r="A2309" i="1"/>
  <c r="V2309" i="1" s="1"/>
  <c r="A2310" i="1"/>
  <c r="V2310" i="1" s="1"/>
  <c r="A2311" i="1"/>
  <c r="V2311" i="1" s="1"/>
  <c r="A2312" i="1"/>
  <c r="V2312" i="1" s="1"/>
  <c r="A2313" i="1"/>
  <c r="V2313" i="1" s="1"/>
  <c r="A2314" i="1"/>
  <c r="V2314" i="1" s="1"/>
  <c r="A2315" i="1"/>
  <c r="V2315" i="1" s="1"/>
  <c r="A2316" i="1"/>
  <c r="V2316" i="1" s="1"/>
  <c r="A2317" i="1"/>
  <c r="V2317" i="1" s="1"/>
  <c r="A2318" i="1"/>
  <c r="V2318" i="1" s="1"/>
  <c r="A2319" i="1"/>
  <c r="V2319" i="1" s="1"/>
  <c r="A2320" i="1"/>
  <c r="V2320" i="1" s="1"/>
  <c r="A2321" i="1"/>
  <c r="V2321" i="1" s="1"/>
  <c r="A2322" i="1"/>
  <c r="V2322" i="1" s="1"/>
  <c r="A4054" i="1"/>
  <c r="V4054" i="1" s="1"/>
  <c r="A2323" i="1"/>
  <c r="V2323" i="1" s="1"/>
  <c r="A2324" i="1"/>
  <c r="V2324" i="1" s="1"/>
  <c r="A2325" i="1"/>
  <c r="V2325" i="1" s="1"/>
  <c r="A2326" i="1"/>
  <c r="V2326" i="1" s="1"/>
  <c r="A2327" i="1"/>
  <c r="V2327" i="1" s="1"/>
  <c r="A2328" i="1"/>
  <c r="V2328" i="1" s="1"/>
  <c r="A2329" i="1"/>
  <c r="V2329" i="1" s="1"/>
  <c r="A2330" i="1"/>
  <c r="V2330" i="1" s="1"/>
  <c r="A2331" i="1"/>
  <c r="V2331" i="1" s="1"/>
  <c r="A2332" i="1"/>
  <c r="V2332" i="1" s="1"/>
  <c r="A2333" i="1"/>
  <c r="V2333" i="1" s="1"/>
  <c r="A2334" i="1"/>
  <c r="V2334" i="1" s="1"/>
  <c r="A2335" i="1"/>
  <c r="V2335" i="1" s="1"/>
  <c r="A2336" i="1"/>
  <c r="V2336" i="1" s="1"/>
  <c r="A2337" i="1"/>
  <c r="V2337" i="1" s="1"/>
  <c r="A2338" i="1"/>
  <c r="V2338" i="1" s="1"/>
  <c r="A2339" i="1"/>
  <c r="V2339" i="1" s="1"/>
  <c r="A2340" i="1"/>
  <c r="V2340" i="1" s="1"/>
  <c r="A2341" i="1"/>
  <c r="V2341" i="1" s="1"/>
  <c r="A2342" i="1"/>
  <c r="V2342" i="1" s="1"/>
  <c r="A2343" i="1"/>
  <c r="V2343" i="1" s="1"/>
  <c r="A2344" i="1"/>
  <c r="V2344" i="1" s="1"/>
  <c r="A2345" i="1"/>
  <c r="V2345" i="1" s="1"/>
  <c r="A2346" i="1"/>
  <c r="V2346" i="1" s="1"/>
  <c r="A2347" i="1"/>
  <c r="V2347" i="1" s="1"/>
  <c r="A2348" i="1"/>
  <c r="V2348" i="1" s="1"/>
  <c r="A2349" i="1"/>
  <c r="V2349" i="1" s="1"/>
  <c r="A2350" i="1"/>
  <c r="V2350" i="1" s="1"/>
  <c r="A2351" i="1"/>
  <c r="V2351" i="1" s="1"/>
  <c r="A2352" i="1"/>
  <c r="V2352" i="1" s="1"/>
  <c r="A2353" i="1"/>
  <c r="V2353" i="1" s="1"/>
  <c r="A2354" i="1"/>
  <c r="V2354" i="1" s="1"/>
  <c r="A2355" i="1"/>
  <c r="V2355" i="1" s="1"/>
  <c r="A2356" i="1"/>
  <c r="V2356" i="1" s="1"/>
  <c r="A2357" i="1"/>
  <c r="V2357" i="1" s="1"/>
  <c r="A2358" i="1"/>
  <c r="V2358" i="1" s="1"/>
  <c r="A2359" i="1"/>
  <c r="V2359" i="1" s="1"/>
  <c r="A2360" i="1"/>
  <c r="V2360" i="1" s="1"/>
  <c r="A2361" i="1"/>
  <c r="V2361" i="1" s="1"/>
  <c r="A2362" i="1"/>
  <c r="V2362" i="1" s="1"/>
  <c r="A2363" i="1"/>
  <c r="V2363" i="1" s="1"/>
  <c r="A2364" i="1"/>
  <c r="V2364" i="1" s="1"/>
  <c r="A2365" i="1"/>
  <c r="V2365" i="1" s="1"/>
  <c r="A2366" i="1"/>
  <c r="V2366" i="1" s="1"/>
  <c r="A2367" i="1"/>
  <c r="V2367" i="1" s="1"/>
  <c r="A2368" i="1"/>
  <c r="V2368" i="1" s="1"/>
  <c r="A2369" i="1"/>
  <c r="V2369" i="1" s="1"/>
  <c r="A2370" i="1"/>
  <c r="V2370" i="1" s="1"/>
  <c r="A2371" i="1"/>
  <c r="V2371" i="1" s="1"/>
  <c r="A2372" i="1"/>
  <c r="V2372" i="1" s="1"/>
  <c r="A2373" i="1"/>
  <c r="V2373" i="1" s="1"/>
  <c r="A2374" i="1"/>
  <c r="V2374" i="1" s="1"/>
  <c r="A2375" i="1"/>
  <c r="V2375" i="1" s="1"/>
  <c r="A2376" i="1"/>
  <c r="V2376" i="1" s="1"/>
  <c r="A2377" i="1"/>
  <c r="V2377" i="1" s="1"/>
  <c r="A2378" i="1"/>
  <c r="V2378" i="1" s="1"/>
  <c r="A2379" i="1"/>
  <c r="V2379" i="1" s="1"/>
  <c r="A2380" i="1"/>
  <c r="V2380" i="1" s="1"/>
  <c r="A2381" i="1"/>
  <c r="V2381" i="1" s="1"/>
  <c r="A2382" i="1"/>
  <c r="V2382" i="1" s="1"/>
  <c r="A2383" i="1"/>
  <c r="V2383" i="1" s="1"/>
  <c r="A2384" i="1"/>
  <c r="V2384" i="1" s="1"/>
  <c r="A2385" i="1"/>
  <c r="V2385" i="1" s="1"/>
  <c r="A2386" i="1"/>
  <c r="V2386" i="1" s="1"/>
  <c r="A2387" i="1"/>
  <c r="V2387" i="1" s="1"/>
  <c r="A2388" i="1"/>
  <c r="V2388" i="1" s="1"/>
  <c r="A2389" i="1"/>
  <c r="V2389" i="1" s="1"/>
  <c r="A2390" i="1"/>
  <c r="V2390" i="1" s="1"/>
  <c r="A2391" i="1"/>
  <c r="V2391" i="1" s="1"/>
  <c r="A2392" i="1"/>
  <c r="V2392" i="1" s="1"/>
  <c r="A2393" i="1"/>
  <c r="V2393" i="1" s="1"/>
  <c r="A2394" i="1"/>
  <c r="V2394" i="1" s="1"/>
  <c r="A2395" i="1"/>
  <c r="V2395" i="1" s="1"/>
  <c r="A2396" i="1"/>
  <c r="V2396" i="1" s="1"/>
  <c r="A2397" i="1"/>
  <c r="V2397" i="1" s="1"/>
  <c r="A2398" i="1"/>
  <c r="V2398" i="1" s="1"/>
  <c r="A2399" i="1"/>
  <c r="V2399" i="1" s="1"/>
  <c r="A2400" i="1"/>
  <c r="V2400" i="1" s="1"/>
  <c r="A2401" i="1"/>
  <c r="V2401" i="1" s="1"/>
  <c r="A2402" i="1"/>
  <c r="V2402" i="1" s="1"/>
  <c r="A2403" i="1"/>
  <c r="V2403" i="1" s="1"/>
  <c r="A2404" i="1"/>
  <c r="V2404" i="1" s="1"/>
  <c r="A2405" i="1"/>
  <c r="V2405" i="1" s="1"/>
  <c r="A2406" i="1"/>
  <c r="V2406" i="1" s="1"/>
  <c r="A2407" i="1"/>
  <c r="V2407" i="1" s="1"/>
  <c r="A2408" i="1"/>
  <c r="V2408" i="1" s="1"/>
  <c r="A2409" i="1"/>
  <c r="V2409" i="1" s="1"/>
  <c r="A2410" i="1"/>
  <c r="V2410" i="1" s="1"/>
  <c r="A2411" i="1"/>
  <c r="V2411" i="1" s="1"/>
  <c r="A2412" i="1"/>
  <c r="V2412" i="1" s="1"/>
  <c r="A4039" i="1"/>
  <c r="V4039" i="1" s="1"/>
  <c r="A2413" i="1"/>
  <c r="V2413" i="1" s="1"/>
  <c r="A2414" i="1"/>
  <c r="V2414" i="1" s="1"/>
  <c r="A2415" i="1"/>
  <c r="V2415" i="1" s="1"/>
  <c r="A2416" i="1"/>
  <c r="V2416" i="1" s="1"/>
  <c r="A2417" i="1"/>
  <c r="V2417" i="1" s="1"/>
  <c r="A2418" i="1"/>
  <c r="V2418" i="1" s="1"/>
  <c r="A2419" i="1"/>
  <c r="V2419" i="1" s="1"/>
  <c r="A2420" i="1"/>
  <c r="V2420" i="1" s="1"/>
  <c r="A2421" i="1"/>
  <c r="V2421" i="1" s="1"/>
  <c r="A2422" i="1"/>
  <c r="V2422" i="1" s="1"/>
  <c r="A2423" i="1"/>
  <c r="V2423" i="1" s="1"/>
  <c r="A2424" i="1"/>
  <c r="V2424" i="1" s="1"/>
  <c r="A2425" i="1"/>
  <c r="V2425" i="1" s="1"/>
  <c r="A2426" i="1"/>
  <c r="V2426" i="1" s="1"/>
  <c r="A2427" i="1"/>
  <c r="V2427" i="1" s="1"/>
  <c r="A2428" i="1"/>
  <c r="V2428" i="1" s="1"/>
  <c r="A2429" i="1"/>
  <c r="V2429" i="1" s="1"/>
  <c r="A2430" i="1"/>
  <c r="V2430" i="1" s="1"/>
  <c r="A2431" i="1"/>
  <c r="V2431" i="1" s="1"/>
  <c r="A2432" i="1"/>
  <c r="V2432" i="1" s="1"/>
  <c r="A2433" i="1"/>
  <c r="V2433" i="1" s="1"/>
  <c r="A2434" i="1"/>
  <c r="V2434" i="1" s="1"/>
  <c r="A2435" i="1"/>
  <c r="V2435" i="1" s="1"/>
  <c r="A2436" i="1"/>
  <c r="V2436" i="1" s="1"/>
  <c r="A2437" i="1"/>
  <c r="V2437" i="1" s="1"/>
  <c r="A2438" i="1"/>
  <c r="V2438" i="1" s="1"/>
  <c r="A2439" i="1"/>
  <c r="V2439" i="1" s="1"/>
  <c r="A2440" i="1"/>
  <c r="V2440" i="1" s="1"/>
  <c r="A2441" i="1"/>
  <c r="V2441" i="1" s="1"/>
  <c r="A2442" i="1"/>
  <c r="V2442" i="1" s="1"/>
  <c r="A2443" i="1"/>
  <c r="V2443" i="1" s="1"/>
  <c r="A2444" i="1"/>
  <c r="V2444" i="1" s="1"/>
  <c r="A2445" i="1"/>
  <c r="V2445" i="1" s="1"/>
  <c r="A2446" i="1"/>
  <c r="V2446" i="1" s="1"/>
  <c r="A2447" i="1"/>
  <c r="V2447" i="1" s="1"/>
  <c r="A2448" i="1"/>
  <c r="V2448" i="1" s="1"/>
  <c r="A2449" i="1"/>
  <c r="V2449" i="1" s="1"/>
  <c r="A2450" i="1"/>
  <c r="V2450" i="1" s="1"/>
  <c r="A2451" i="1"/>
  <c r="V2451" i="1" s="1"/>
  <c r="A2452" i="1"/>
  <c r="V2452" i="1" s="1"/>
  <c r="A2453" i="1"/>
  <c r="V2453" i="1" s="1"/>
  <c r="A2454" i="1"/>
  <c r="V2454" i="1" s="1"/>
  <c r="A2455" i="1"/>
  <c r="V2455" i="1" s="1"/>
  <c r="A2456" i="1"/>
  <c r="V2456" i="1" s="1"/>
  <c r="A2457" i="1"/>
  <c r="V2457" i="1" s="1"/>
  <c r="A2458" i="1"/>
  <c r="V2458" i="1" s="1"/>
  <c r="A2459" i="1"/>
  <c r="V2459" i="1" s="1"/>
  <c r="A2460" i="1"/>
  <c r="V2460" i="1" s="1"/>
  <c r="A2461" i="1"/>
  <c r="V2461" i="1" s="1"/>
  <c r="A2462" i="1"/>
  <c r="V2462" i="1" s="1"/>
  <c r="A2463" i="1"/>
  <c r="V2463" i="1" s="1"/>
  <c r="A2464" i="1"/>
  <c r="V2464" i="1" s="1"/>
  <c r="A2465" i="1"/>
  <c r="V2465" i="1" s="1"/>
  <c r="A2466" i="1"/>
  <c r="V2466" i="1" s="1"/>
  <c r="A2467" i="1"/>
  <c r="V2467" i="1" s="1"/>
  <c r="A2468" i="1"/>
  <c r="V2468" i="1" s="1"/>
  <c r="A2469" i="1"/>
  <c r="V2469" i="1" s="1"/>
  <c r="A2470" i="1"/>
  <c r="V2470" i="1" s="1"/>
  <c r="A2471" i="1"/>
  <c r="V2471" i="1" s="1"/>
  <c r="A2472" i="1"/>
  <c r="V2472" i="1" s="1"/>
  <c r="A2473" i="1"/>
  <c r="V2473" i="1" s="1"/>
  <c r="A2474" i="1"/>
  <c r="V2474" i="1" s="1"/>
  <c r="A2475" i="1"/>
  <c r="V2475" i="1" s="1"/>
  <c r="A2476" i="1"/>
  <c r="V2476" i="1" s="1"/>
  <c r="A2477" i="1"/>
  <c r="V2477" i="1" s="1"/>
  <c r="A2478" i="1"/>
  <c r="V2478" i="1" s="1"/>
  <c r="A2479" i="1"/>
  <c r="V2479" i="1" s="1"/>
  <c r="A2480" i="1"/>
  <c r="V2480" i="1" s="1"/>
  <c r="A2481" i="1"/>
  <c r="V2481" i="1" s="1"/>
  <c r="A2482" i="1"/>
  <c r="V2482" i="1" s="1"/>
  <c r="A2483" i="1"/>
  <c r="V2483" i="1" s="1"/>
  <c r="A2484" i="1"/>
  <c r="V2484" i="1" s="1"/>
  <c r="A2485" i="1"/>
  <c r="V2485" i="1" s="1"/>
  <c r="A2486" i="1"/>
  <c r="V2486" i="1" s="1"/>
  <c r="A2487" i="1"/>
  <c r="V2487" i="1" s="1"/>
  <c r="A2488" i="1"/>
  <c r="V2488" i="1" s="1"/>
  <c r="A2489" i="1"/>
  <c r="V2489" i="1" s="1"/>
  <c r="A2490" i="1"/>
  <c r="V2490" i="1" s="1"/>
  <c r="A2491" i="1"/>
  <c r="V2491" i="1" s="1"/>
  <c r="A2492" i="1"/>
  <c r="V2492" i="1" s="1"/>
  <c r="A2493" i="1"/>
  <c r="V2493" i="1" s="1"/>
  <c r="A2494" i="1"/>
  <c r="V2494" i="1" s="1"/>
  <c r="A2495" i="1"/>
  <c r="V2495" i="1" s="1"/>
  <c r="A2496" i="1"/>
  <c r="V2496" i="1" s="1"/>
  <c r="A2497" i="1"/>
  <c r="V2497" i="1" s="1"/>
  <c r="A2498" i="1"/>
  <c r="V2498" i="1" s="1"/>
  <c r="A2499" i="1"/>
  <c r="V2499" i="1" s="1"/>
  <c r="A2500" i="1"/>
  <c r="V2500" i="1" s="1"/>
  <c r="A2501" i="1"/>
  <c r="V2501" i="1" s="1"/>
  <c r="A2502" i="1"/>
  <c r="V2502" i="1" s="1"/>
  <c r="A2503" i="1"/>
  <c r="V2503" i="1" s="1"/>
  <c r="A2504" i="1"/>
  <c r="V2504" i="1" s="1"/>
  <c r="A2505" i="1"/>
  <c r="V2505" i="1" s="1"/>
  <c r="A2506" i="1"/>
  <c r="V2506" i="1" s="1"/>
  <c r="A2507" i="1"/>
  <c r="V2507" i="1" s="1"/>
  <c r="A2508" i="1"/>
  <c r="V2508" i="1" s="1"/>
  <c r="A2509" i="1"/>
  <c r="V2509" i="1" s="1"/>
  <c r="A2510" i="1"/>
  <c r="V2510" i="1" s="1"/>
  <c r="A2511" i="1"/>
  <c r="V2511" i="1" s="1"/>
  <c r="A2512" i="1"/>
  <c r="V2512" i="1" s="1"/>
  <c r="A2513" i="1"/>
  <c r="V2513" i="1" s="1"/>
  <c r="A2514" i="1"/>
  <c r="V2514" i="1" s="1"/>
  <c r="A2515" i="1"/>
  <c r="V2515" i="1" s="1"/>
  <c r="A2516" i="1"/>
  <c r="V2516" i="1" s="1"/>
  <c r="A2517" i="1"/>
  <c r="V2517" i="1" s="1"/>
  <c r="A2518" i="1"/>
  <c r="V2518" i="1" s="1"/>
  <c r="A2519" i="1"/>
  <c r="V2519" i="1" s="1"/>
  <c r="A2520" i="1"/>
  <c r="V2520" i="1" s="1"/>
  <c r="A2521" i="1"/>
  <c r="V2521" i="1" s="1"/>
  <c r="A2522" i="1"/>
  <c r="V2522" i="1" s="1"/>
  <c r="A2523" i="1"/>
  <c r="V2523" i="1" s="1"/>
  <c r="A2524" i="1"/>
  <c r="V2524" i="1" s="1"/>
  <c r="A2525" i="1"/>
  <c r="V2525" i="1" s="1"/>
  <c r="A2526" i="1"/>
  <c r="V2526" i="1" s="1"/>
  <c r="A2527" i="1"/>
  <c r="V2527" i="1" s="1"/>
  <c r="A2528" i="1"/>
  <c r="V2528" i="1" s="1"/>
  <c r="A2529" i="1"/>
  <c r="V2529" i="1" s="1"/>
  <c r="A2530" i="1"/>
  <c r="V2530" i="1" s="1"/>
  <c r="A2531" i="1"/>
  <c r="V2531" i="1" s="1"/>
  <c r="A2532" i="1"/>
  <c r="V2532" i="1" s="1"/>
  <c r="A2533" i="1"/>
  <c r="V2533" i="1" s="1"/>
  <c r="A2534" i="1"/>
  <c r="V2534" i="1" s="1"/>
  <c r="A2535" i="1"/>
  <c r="V2535" i="1" s="1"/>
  <c r="A2536" i="1"/>
  <c r="V2536" i="1" s="1"/>
  <c r="A2537" i="1"/>
  <c r="V2537" i="1" s="1"/>
  <c r="A2538" i="1"/>
  <c r="V2538" i="1" s="1"/>
  <c r="A2539" i="1"/>
  <c r="V2539" i="1" s="1"/>
  <c r="A2540" i="1"/>
  <c r="V2540" i="1" s="1"/>
  <c r="A2541" i="1"/>
  <c r="V2541" i="1" s="1"/>
  <c r="A2542" i="1"/>
  <c r="V2542" i="1" s="1"/>
  <c r="A2543" i="1"/>
  <c r="V2543" i="1" s="1"/>
  <c r="A2544" i="1"/>
  <c r="V2544" i="1" s="1"/>
  <c r="A2545" i="1"/>
  <c r="V2545" i="1" s="1"/>
  <c r="A2546" i="1"/>
  <c r="V2546" i="1" s="1"/>
  <c r="A2547" i="1"/>
  <c r="V2547" i="1" s="1"/>
  <c r="A2548" i="1"/>
  <c r="V2548" i="1" s="1"/>
  <c r="A2549" i="1"/>
  <c r="V2549" i="1" s="1"/>
  <c r="A2550" i="1"/>
  <c r="V2550" i="1" s="1"/>
  <c r="A2551" i="1"/>
  <c r="V2551" i="1" s="1"/>
  <c r="A2552" i="1"/>
  <c r="V2552" i="1" s="1"/>
  <c r="A2553" i="1"/>
  <c r="V2553" i="1" s="1"/>
  <c r="A2554" i="1"/>
  <c r="V2554" i="1" s="1"/>
  <c r="A2555" i="1"/>
  <c r="V2555" i="1" s="1"/>
  <c r="A2556" i="1"/>
  <c r="V2556" i="1" s="1"/>
  <c r="A2557" i="1"/>
  <c r="V2557" i="1" s="1"/>
  <c r="A2558" i="1"/>
  <c r="V2558" i="1" s="1"/>
  <c r="A2559" i="1"/>
  <c r="V2559" i="1" s="1"/>
  <c r="A2560" i="1"/>
  <c r="V2560" i="1" s="1"/>
  <c r="A2561" i="1"/>
  <c r="V2561" i="1" s="1"/>
  <c r="A2562" i="1"/>
  <c r="V2562" i="1" s="1"/>
  <c r="A2563" i="1"/>
  <c r="V2563" i="1" s="1"/>
  <c r="A2564" i="1"/>
  <c r="V2564" i="1" s="1"/>
  <c r="A2565" i="1"/>
  <c r="V2565" i="1" s="1"/>
  <c r="A2566" i="1"/>
  <c r="V2566" i="1" s="1"/>
  <c r="A2567" i="1"/>
  <c r="V2567" i="1" s="1"/>
  <c r="A2568" i="1"/>
  <c r="V2568" i="1" s="1"/>
  <c r="A2569" i="1"/>
  <c r="V2569" i="1" s="1"/>
  <c r="A2570" i="1"/>
  <c r="V2570" i="1" s="1"/>
  <c r="A2571" i="1"/>
  <c r="V2571" i="1" s="1"/>
  <c r="A2572" i="1"/>
  <c r="V2572" i="1" s="1"/>
  <c r="A2573" i="1"/>
  <c r="V2573" i="1" s="1"/>
  <c r="A2574" i="1"/>
  <c r="V2574" i="1" s="1"/>
  <c r="A2575" i="1"/>
  <c r="V2575" i="1" s="1"/>
  <c r="A2576" i="1"/>
  <c r="V2576" i="1" s="1"/>
  <c r="A2577" i="1"/>
  <c r="V2577" i="1" s="1"/>
  <c r="A2578" i="1"/>
  <c r="V2578" i="1" s="1"/>
  <c r="A2579" i="1"/>
  <c r="V2579" i="1" s="1"/>
  <c r="A2580" i="1"/>
  <c r="V2580" i="1" s="1"/>
  <c r="A2581" i="1"/>
  <c r="V2581" i="1" s="1"/>
  <c r="A2582" i="1"/>
  <c r="V2582" i="1" s="1"/>
  <c r="A2583" i="1"/>
  <c r="V2583" i="1" s="1"/>
  <c r="A2584" i="1"/>
  <c r="V2584" i="1" s="1"/>
  <c r="A2585" i="1"/>
  <c r="V2585" i="1" s="1"/>
  <c r="A2586" i="1"/>
  <c r="V2586" i="1" s="1"/>
  <c r="A2587" i="1"/>
  <c r="V2587" i="1" s="1"/>
  <c r="A2588" i="1"/>
  <c r="V2588" i="1" s="1"/>
  <c r="A2589" i="1"/>
  <c r="V2589" i="1" s="1"/>
  <c r="A2590" i="1"/>
  <c r="V2590" i="1" s="1"/>
  <c r="A2591" i="1"/>
  <c r="V2591" i="1" s="1"/>
  <c r="A2592" i="1"/>
  <c r="V2592" i="1" s="1"/>
  <c r="A2593" i="1"/>
  <c r="V2593" i="1" s="1"/>
  <c r="A2594" i="1"/>
  <c r="V2594" i="1" s="1"/>
  <c r="A2595" i="1"/>
  <c r="V2595" i="1" s="1"/>
  <c r="A2596" i="1"/>
  <c r="V2596" i="1" s="1"/>
  <c r="A2597" i="1"/>
  <c r="V2597" i="1" s="1"/>
  <c r="A2598" i="1"/>
  <c r="V2598" i="1" s="1"/>
  <c r="A2599" i="1"/>
  <c r="V2599" i="1" s="1"/>
  <c r="A2600" i="1"/>
  <c r="V2600" i="1" s="1"/>
  <c r="A2601" i="1"/>
  <c r="V2601" i="1" s="1"/>
  <c r="A2602" i="1"/>
  <c r="V2602" i="1" s="1"/>
  <c r="A2603" i="1"/>
  <c r="V2603" i="1" s="1"/>
  <c r="A2604" i="1"/>
  <c r="V2604" i="1" s="1"/>
  <c r="A2605" i="1"/>
  <c r="V2605" i="1" s="1"/>
  <c r="A2606" i="1"/>
  <c r="V2606" i="1" s="1"/>
  <c r="A2607" i="1"/>
  <c r="V2607" i="1" s="1"/>
  <c r="A2608" i="1"/>
  <c r="V2608" i="1" s="1"/>
  <c r="A2609" i="1"/>
  <c r="V2609" i="1" s="1"/>
  <c r="A2610" i="1"/>
  <c r="V2610" i="1" s="1"/>
  <c r="A2611" i="1"/>
  <c r="V2611" i="1" s="1"/>
  <c r="A2612" i="1"/>
  <c r="V2612" i="1" s="1"/>
  <c r="A2613" i="1"/>
  <c r="V2613" i="1" s="1"/>
  <c r="A2614" i="1"/>
  <c r="V2614" i="1" s="1"/>
  <c r="A2615" i="1"/>
  <c r="V2615" i="1" s="1"/>
  <c r="A2616" i="1"/>
  <c r="V2616" i="1" s="1"/>
  <c r="A2617" i="1"/>
  <c r="V2617" i="1" s="1"/>
  <c r="A2618" i="1"/>
  <c r="V2618" i="1" s="1"/>
  <c r="A2619" i="1"/>
  <c r="V2619" i="1" s="1"/>
  <c r="A2620" i="1"/>
  <c r="V2620" i="1" s="1"/>
  <c r="A2621" i="1"/>
  <c r="V2621" i="1" s="1"/>
  <c r="A2622" i="1"/>
  <c r="V2622" i="1" s="1"/>
  <c r="A2623" i="1"/>
  <c r="V2623" i="1" s="1"/>
  <c r="A2624" i="1"/>
  <c r="V2624" i="1" s="1"/>
  <c r="A2625" i="1"/>
  <c r="V2625" i="1" s="1"/>
  <c r="A2626" i="1"/>
  <c r="V2626" i="1" s="1"/>
  <c r="A2627" i="1"/>
  <c r="V2627" i="1" s="1"/>
  <c r="A2628" i="1"/>
  <c r="V2628" i="1" s="1"/>
  <c r="A2629" i="1"/>
  <c r="V2629" i="1" s="1"/>
  <c r="A2630" i="1"/>
  <c r="V2630" i="1" s="1"/>
  <c r="A2631" i="1"/>
  <c r="V2631" i="1" s="1"/>
  <c r="A2632" i="1"/>
  <c r="V2632" i="1" s="1"/>
  <c r="A2633" i="1"/>
  <c r="V2633" i="1" s="1"/>
  <c r="A2634" i="1"/>
  <c r="V2634" i="1" s="1"/>
  <c r="A2635" i="1"/>
  <c r="V2635" i="1" s="1"/>
  <c r="A2636" i="1"/>
  <c r="V2636" i="1" s="1"/>
  <c r="A2637" i="1"/>
  <c r="V2637" i="1" s="1"/>
  <c r="A2638" i="1"/>
  <c r="V2638" i="1" s="1"/>
  <c r="A2639" i="1"/>
  <c r="V2639" i="1" s="1"/>
  <c r="A2640" i="1"/>
  <c r="V2640" i="1" s="1"/>
  <c r="A2641" i="1"/>
  <c r="V2641" i="1" s="1"/>
  <c r="A2642" i="1"/>
  <c r="V2642" i="1" s="1"/>
  <c r="A2643" i="1"/>
  <c r="V2643" i="1" s="1"/>
  <c r="A2644" i="1"/>
  <c r="V2644" i="1" s="1"/>
  <c r="A2645" i="1"/>
  <c r="V2645" i="1" s="1"/>
  <c r="A2646" i="1"/>
  <c r="V2646" i="1" s="1"/>
  <c r="A2647" i="1"/>
  <c r="V2647" i="1" s="1"/>
  <c r="A2648" i="1"/>
  <c r="V2648" i="1" s="1"/>
  <c r="A2649" i="1"/>
  <c r="V2649" i="1" s="1"/>
  <c r="A2650" i="1"/>
  <c r="V2650" i="1" s="1"/>
  <c r="A2651" i="1"/>
  <c r="V2651" i="1" s="1"/>
  <c r="A2652" i="1"/>
  <c r="V2652" i="1" s="1"/>
  <c r="A2653" i="1"/>
  <c r="V2653" i="1" s="1"/>
  <c r="A2654" i="1"/>
  <c r="V2654" i="1" s="1"/>
  <c r="A2655" i="1"/>
  <c r="V2655" i="1" s="1"/>
  <c r="A1526" i="1"/>
  <c r="V1526" i="1" s="1"/>
  <c r="A2657" i="1"/>
  <c r="V2657" i="1" s="1"/>
  <c r="A2658" i="1"/>
  <c r="V2658" i="1" s="1"/>
  <c r="A2659" i="1"/>
  <c r="V2659" i="1" s="1"/>
  <c r="A2660" i="1"/>
  <c r="V2660" i="1" s="1"/>
  <c r="A2661" i="1"/>
  <c r="V2661" i="1" s="1"/>
  <c r="A2662" i="1"/>
  <c r="V2662" i="1" s="1"/>
  <c r="A2663" i="1"/>
  <c r="V2663" i="1" s="1"/>
  <c r="A2664" i="1"/>
  <c r="V2664" i="1" s="1"/>
  <c r="A2665" i="1"/>
  <c r="V2665" i="1" s="1"/>
  <c r="A2666" i="1"/>
  <c r="V2666" i="1" s="1"/>
  <c r="A2667" i="1"/>
  <c r="V2667" i="1" s="1"/>
  <c r="A2668" i="1"/>
  <c r="V2668" i="1" s="1"/>
  <c r="A2669" i="1"/>
  <c r="V2669" i="1" s="1"/>
  <c r="A2670" i="1"/>
  <c r="V2670" i="1" s="1"/>
  <c r="A2671" i="1"/>
  <c r="V2671" i="1" s="1"/>
  <c r="A2672" i="1"/>
  <c r="V2672" i="1" s="1"/>
  <c r="A2673" i="1"/>
  <c r="V2673" i="1" s="1"/>
  <c r="A2674" i="1"/>
  <c r="V2674" i="1" s="1"/>
  <c r="A2675" i="1"/>
  <c r="V2675" i="1" s="1"/>
  <c r="A2676" i="1"/>
  <c r="V2676" i="1" s="1"/>
  <c r="A2677" i="1"/>
  <c r="V2677" i="1" s="1"/>
  <c r="A2678" i="1"/>
  <c r="V2678" i="1" s="1"/>
  <c r="A2679" i="1"/>
  <c r="V2679" i="1" s="1"/>
  <c r="A2680" i="1"/>
  <c r="V2680" i="1" s="1"/>
  <c r="A2681" i="1"/>
  <c r="V2681" i="1" s="1"/>
  <c r="A2682" i="1"/>
  <c r="V2682" i="1" s="1"/>
  <c r="A2683" i="1"/>
  <c r="V2683" i="1" s="1"/>
  <c r="A2684" i="1"/>
  <c r="V2684" i="1" s="1"/>
  <c r="A2685" i="1"/>
  <c r="V2685" i="1" s="1"/>
  <c r="A2686" i="1"/>
  <c r="V2686" i="1" s="1"/>
  <c r="A2687" i="1"/>
  <c r="V2687" i="1" s="1"/>
  <c r="A2688" i="1"/>
  <c r="V2688" i="1" s="1"/>
  <c r="A2689" i="1"/>
  <c r="V2689" i="1" s="1"/>
  <c r="A2690" i="1"/>
  <c r="V2690" i="1" s="1"/>
  <c r="A2691" i="1"/>
  <c r="V2691" i="1" s="1"/>
  <c r="A2692" i="1"/>
  <c r="V2692" i="1" s="1"/>
  <c r="A2693" i="1"/>
  <c r="V2693" i="1" s="1"/>
  <c r="A2694" i="1"/>
  <c r="V2694" i="1" s="1"/>
  <c r="A2695" i="1"/>
  <c r="V2695" i="1" s="1"/>
  <c r="A2696" i="1"/>
  <c r="V2696" i="1" s="1"/>
  <c r="A2697" i="1"/>
  <c r="V2697" i="1" s="1"/>
  <c r="A2698" i="1"/>
  <c r="V2698" i="1" s="1"/>
  <c r="A2699" i="1"/>
  <c r="V2699" i="1" s="1"/>
  <c r="A2700" i="1"/>
  <c r="V2700" i="1" s="1"/>
  <c r="A2701" i="1"/>
  <c r="V2701" i="1" s="1"/>
  <c r="A2702" i="1"/>
  <c r="V2702" i="1" s="1"/>
  <c r="A2703" i="1"/>
  <c r="V2703" i="1" s="1"/>
  <c r="A2704" i="1"/>
  <c r="V2704" i="1" s="1"/>
  <c r="A2705" i="1"/>
  <c r="V2705" i="1" s="1"/>
  <c r="A2706" i="1"/>
  <c r="V2706" i="1" s="1"/>
  <c r="A2707" i="1"/>
  <c r="V2707" i="1" s="1"/>
  <c r="A2708" i="1"/>
  <c r="V2708" i="1" s="1"/>
  <c r="A2709" i="1"/>
  <c r="V2709" i="1" s="1"/>
  <c r="A2710" i="1"/>
  <c r="V2710" i="1" s="1"/>
  <c r="A2711" i="1"/>
  <c r="V2711" i="1" s="1"/>
  <c r="A2712" i="1"/>
  <c r="V2712" i="1" s="1"/>
  <c r="A2713" i="1"/>
  <c r="V2713" i="1" s="1"/>
  <c r="A2714" i="1"/>
  <c r="V2714" i="1" s="1"/>
  <c r="A2715" i="1"/>
  <c r="V2715" i="1" s="1"/>
  <c r="A2716" i="1"/>
  <c r="V2716" i="1" s="1"/>
  <c r="A2717" i="1"/>
  <c r="V2717" i="1" s="1"/>
  <c r="A2718" i="1"/>
  <c r="V2718" i="1" s="1"/>
  <c r="A2719" i="1"/>
  <c r="V2719" i="1" s="1"/>
  <c r="A2720" i="1"/>
  <c r="V2720" i="1" s="1"/>
  <c r="A2721" i="1"/>
  <c r="V2721" i="1" s="1"/>
  <c r="A2722" i="1"/>
  <c r="V2722" i="1" s="1"/>
  <c r="A2723" i="1"/>
  <c r="V2723" i="1" s="1"/>
  <c r="A2724" i="1"/>
  <c r="V2724" i="1" s="1"/>
  <c r="A2725" i="1"/>
  <c r="V2725" i="1" s="1"/>
  <c r="A2726" i="1"/>
  <c r="V2726" i="1" s="1"/>
  <c r="A2727" i="1"/>
  <c r="V2727" i="1" s="1"/>
  <c r="A2728" i="1"/>
  <c r="V2728" i="1" s="1"/>
  <c r="A2729" i="1"/>
  <c r="V2729" i="1" s="1"/>
  <c r="A2730" i="1"/>
  <c r="V2730" i="1" s="1"/>
  <c r="A2731" i="1"/>
  <c r="V2731" i="1" s="1"/>
  <c r="A2732" i="1"/>
  <c r="V2732" i="1" s="1"/>
  <c r="A2733" i="1"/>
  <c r="V2733" i="1" s="1"/>
  <c r="A2734" i="1"/>
  <c r="V2734" i="1" s="1"/>
  <c r="A2735" i="1"/>
  <c r="V2735" i="1" s="1"/>
  <c r="A2736" i="1"/>
  <c r="V2736" i="1" s="1"/>
  <c r="A2737" i="1"/>
  <c r="V2737" i="1" s="1"/>
  <c r="A2738" i="1"/>
  <c r="V2738" i="1" s="1"/>
  <c r="A2739" i="1"/>
  <c r="V2739" i="1" s="1"/>
  <c r="A2740" i="1"/>
  <c r="V2740" i="1" s="1"/>
  <c r="A2741" i="1"/>
  <c r="V2741" i="1" s="1"/>
  <c r="A2742" i="1"/>
  <c r="V2742" i="1" s="1"/>
  <c r="A2743" i="1"/>
  <c r="V2743" i="1" s="1"/>
  <c r="A2744" i="1"/>
  <c r="V2744" i="1" s="1"/>
  <c r="A2745" i="1"/>
  <c r="V2745" i="1" s="1"/>
  <c r="A2746" i="1"/>
  <c r="V2746" i="1" s="1"/>
  <c r="A2747" i="1"/>
  <c r="V2747" i="1" s="1"/>
  <c r="A2748" i="1"/>
  <c r="V2748" i="1" s="1"/>
  <c r="A2749" i="1"/>
  <c r="V2749" i="1" s="1"/>
  <c r="A2750" i="1"/>
  <c r="V2750" i="1" s="1"/>
  <c r="A2751" i="1"/>
  <c r="V2751" i="1" s="1"/>
  <c r="A2752" i="1"/>
  <c r="V2752" i="1" s="1"/>
  <c r="A2753" i="1"/>
  <c r="V2753" i="1" s="1"/>
  <c r="A2754" i="1"/>
  <c r="V2754" i="1" s="1"/>
  <c r="A2755" i="1"/>
  <c r="V2755" i="1" s="1"/>
  <c r="A2756" i="1"/>
  <c r="V2756" i="1" s="1"/>
  <c r="A2757" i="1"/>
  <c r="V2757" i="1" s="1"/>
  <c r="A2758" i="1"/>
  <c r="V2758" i="1" s="1"/>
  <c r="A2759" i="1"/>
  <c r="V2759" i="1" s="1"/>
  <c r="A2760" i="1"/>
  <c r="V2760" i="1" s="1"/>
  <c r="A2761" i="1"/>
  <c r="V2761" i="1" s="1"/>
  <c r="A2762" i="1"/>
  <c r="V2762" i="1" s="1"/>
  <c r="A2763" i="1"/>
  <c r="V2763" i="1" s="1"/>
  <c r="A2764" i="1"/>
  <c r="V2764" i="1" s="1"/>
  <c r="A2765" i="1"/>
  <c r="V2765" i="1" s="1"/>
  <c r="A2766" i="1"/>
  <c r="V2766" i="1" s="1"/>
  <c r="A2767" i="1"/>
  <c r="V2767" i="1" s="1"/>
  <c r="A2768" i="1"/>
  <c r="V2768" i="1" s="1"/>
  <c r="A2769" i="1"/>
  <c r="V2769" i="1" s="1"/>
  <c r="A2770" i="1"/>
  <c r="V2770" i="1" s="1"/>
  <c r="A2771" i="1"/>
  <c r="V2771" i="1" s="1"/>
  <c r="A2772" i="1"/>
  <c r="V2772" i="1" s="1"/>
  <c r="A2773" i="1"/>
  <c r="V2773" i="1" s="1"/>
  <c r="A2774" i="1"/>
  <c r="V2774" i="1" s="1"/>
  <c r="A2775" i="1"/>
  <c r="V2775" i="1" s="1"/>
  <c r="A2776" i="1"/>
  <c r="V2776" i="1" s="1"/>
  <c r="A2777" i="1"/>
  <c r="V2777" i="1" s="1"/>
  <c r="A2778" i="1"/>
  <c r="V2778" i="1" s="1"/>
  <c r="A2779" i="1"/>
  <c r="V2779" i="1" s="1"/>
  <c r="A2780" i="1"/>
  <c r="V2780" i="1" s="1"/>
  <c r="A2781" i="1"/>
  <c r="V2781" i="1" s="1"/>
  <c r="A2782" i="1"/>
  <c r="V2782" i="1" s="1"/>
  <c r="A2783" i="1"/>
  <c r="V2783" i="1" s="1"/>
  <c r="A2784" i="1"/>
  <c r="V2784" i="1" s="1"/>
  <c r="A2785" i="1"/>
  <c r="V2785" i="1" s="1"/>
  <c r="A2786" i="1"/>
  <c r="V2786" i="1" s="1"/>
  <c r="A2787" i="1"/>
  <c r="V2787" i="1" s="1"/>
  <c r="A2788" i="1"/>
  <c r="V2788" i="1" s="1"/>
  <c r="A2789" i="1"/>
  <c r="V2789" i="1" s="1"/>
  <c r="A2790" i="1"/>
  <c r="V2790" i="1" s="1"/>
  <c r="A2791" i="1"/>
  <c r="V2791" i="1" s="1"/>
  <c r="A2792" i="1"/>
  <c r="V2792" i="1" s="1"/>
  <c r="A2793" i="1"/>
  <c r="V2793" i="1" s="1"/>
  <c r="A2794" i="1"/>
  <c r="V2794" i="1" s="1"/>
  <c r="A2795" i="1"/>
  <c r="V2795" i="1" s="1"/>
  <c r="A2796" i="1"/>
  <c r="V2796" i="1" s="1"/>
  <c r="A2797" i="1"/>
  <c r="V2797" i="1" s="1"/>
  <c r="A2798" i="1"/>
  <c r="V2798" i="1" s="1"/>
  <c r="A2799" i="1"/>
  <c r="V2799" i="1" s="1"/>
  <c r="A2800" i="1"/>
  <c r="V2800" i="1" s="1"/>
  <c r="A2801" i="1"/>
  <c r="V2801" i="1" s="1"/>
  <c r="A2802" i="1"/>
  <c r="V2802" i="1" s="1"/>
  <c r="A2803" i="1"/>
  <c r="V2803" i="1" s="1"/>
  <c r="A2804" i="1"/>
  <c r="V2804" i="1" s="1"/>
  <c r="A2805" i="1"/>
  <c r="V2805" i="1" s="1"/>
  <c r="A2806" i="1"/>
  <c r="V2806" i="1" s="1"/>
  <c r="A2807" i="1"/>
  <c r="V2807" i="1" s="1"/>
  <c r="A2808" i="1"/>
  <c r="V2808" i="1" s="1"/>
  <c r="A2809" i="1"/>
  <c r="V2809" i="1" s="1"/>
  <c r="A2810" i="1"/>
  <c r="V2810" i="1" s="1"/>
  <c r="A2811" i="1"/>
  <c r="V2811" i="1" s="1"/>
  <c r="A2812" i="1"/>
  <c r="V2812" i="1" s="1"/>
  <c r="A2813" i="1"/>
  <c r="V2813" i="1" s="1"/>
  <c r="A2814" i="1"/>
  <c r="V2814" i="1" s="1"/>
  <c r="A2815" i="1"/>
  <c r="V2815" i="1" s="1"/>
  <c r="A2816" i="1"/>
  <c r="V2816" i="1" s="1"/>
  <c r="A2817" i="1"/>
  <c r="V2817" i="1" s="1"/>
  <c r="A2818" i="1"/>
  <c r="V2818" i="1" s="1"/>
  <c r="A2819" i="1"/>
  <c r="V2819" i="1" s="1"/>
  <c r="A2820" i="1"/>
  <c r="V2820" i="1" s="1"/>
  <c r="A2821" i="1"/>
  <c r="V2821" i="1" s="1"/>
  <c r="A2822" i="1"/>
  <c r="V2822" i="1" s="1"/>
  <c r="A2823" i="1"/>
  <c r="V2823" i="1" s="1"/>
  <c r="A2824" i="1"/>
  <c r="V2824" i="1" s="1"/>
  <c r="A2825" i="1"/>
  <c r="V2825" i="1" s="1"/>
  <c r="A2826" i="1"/>
  <c r="V2826" i="1" s="1"/>
  <c r="A2827" i="1"/>
  <c r="V2827" i="1" s="1"/>
  <c r="A2828" i="1"/>
  <c r="V2828" i="1" s="1"/>
  <c r="A2829" i="1"/>
  <c r="V2829" i="1" s="1"/>
  <c r="A2830" i="1"/>
  <c r="V2830" i="1" s="1"/>
  <c r="A2831" i="1"/>
  <c r="V2831" i="1" s="1"/>
  <c r="A2832" i="1"/>
  <c r="V2832" i="1" s="1"/>
  <c r="A2833" i="1"/>
  <c r="V2833" i="1" s="1"/>
  <c r="A2834" i="1"/>
  <c r="V2834" i="1" s="1"/>
  <c r="A2835" i="1"/>
  <c r="V2835" i="1" s="1"/>
  <c r="A2836" i="1"/>
  <c r="V2836" i="1" s="1"/>
  <c r="A2837" i="1"/>
  <c r="V2837" i="1" s="1"/>
  <c r="A2838" i="1"/>
  <c r="V2838" i="1" s="1"/>
  <c r="A2839" i="1"/>
  <c r="V2839" i="1" s="1"/>
  <c r="A2840" i="1"/>
  <c r="V2840" i="1" s="1"/>
  <c r="A2841" i="1"/>
  <c r="V2841" i="1" s="1"/>
  <c r="A2842" i="1"/>
  <c r="V2842" i="1" s="1"/>
  <c r="A2843" i="1"/>
  <c r="V2843" i="1" s="1"/>
  <c r="A2844" i="1"/>
  <c r="V2844" i="1" s="1"/>
  <c r="A2845" i="1"/>
  <c r="V2845" i="1" s="1"/>
  <c r="A2846" i="1"/>
  <c r="V2846" i="1" s="1"/>
  <c r="A2847" i="1"/>
  <c r="V2847" i="1" s="1"/>
  <c r="A2848" i="1"/>
  <c r="V2848" i="1" s="1"/>
  <c r="A2849" i="1"/>
  <c r="V2849" i="1" s="1"/>
  <c r="A2850" i="1"/>
  <c r="V2850" i="1" s="1"/>
  <c r="A2851" i="1"/>
  <c r="V2851" i="1" s="1"/>
  <c r="A2852" i="1"/>
  <c r="V2852" i="1" s="1"/>
  <c r="A2853" i="1"/>
  <c r="V2853" i="1" s="1"/>
  <c r="A2854" i="1"/>
  <c r="V2854" i="1" s="1"/>
  <c r="A2855" i="1"/>
  <c r="V2855" i="1" s="1"/>
  <c r="A2856" i="1"/>
  <c r="V2856" i="1" s="1"/>
  <c r="A2857" i="1"/>
  <c r="V2857" i="1" s="1"/>
  <c r="A2858" i="1"/>
  <c r="V2858" i="1" s="1"/>
  <c r="A2859" i="1"/>
  <c r="V2859" i="1" s="1"/>
  <c r="A2860" i="1"/>
  <c r="V2860" i="1" s="1"/>
  <c r="A2861" i="1"/>
  <c r="V2861" i="1" s="1"/>
  <c r="A2862" i="1"/>
  <c r="V2862" i="1" s="1"/>
  <c r="A2863" i="1"/>
  <c r="V2863" i="1" s="1"/>
  <c r="A2864" i="1"/>
  <c r="V2864" i="1" s="1"/>
  <c r="A2865" i="1"/>
  <c r="V2865" i="1" s="1"/>
  <c r="A2866" i="1"/>
  <c r="V2866" i="1" s="1"/>
  <c r="A2867" i="1"/>
  <c r="V2867" i="1" s="1"/>
  <c r="A2868" i="1"/>
  <c r="V2868" i="1" s="1"/>
  <c r="A2869" i="1"/>
  <c r="V2869" i="1" s="1"/>
  <c r="A2870" i="1"/>
  <c r="V2870" i="1" s="1"/>
  <c r="A2871" i="1"/>
  <c r="V2871" i="1" s="1"/>
  <c r="A2872" i="1"/>
  <c r="V2872" i="1" s="1"/>
  <c r="A2873" i="1"/>
  <c r="V2873" i="1" s="1"/>
  <c r="A2874" i="1"/>
  <c r="V2874" i="1" s="1"/>
  <c r="A2875" i="1"/>
  <c r="V2875" i="1" s="1"/>
  <c r="A2876" i="1"/>
  <c r="V2876" i="1" s="1"/>
  <c r="A2877" i="1"/>
  <c r="V2877" i="1" s="1"/>
  <c r="A2878" i="1"/>
  <c r="V2878" i="1" s="1"/>
  <c r="A2879" i="1"/>
  <c r="V2879" i="1" s="1"/>
  <c r="A2880" i="1"/>
  <c r="V2880" i="1" s="1"/>
  <c r="A2881" i="1"/>
  <c r="V2881" i="1" s="1"/>
  <c r="A2882" i="1"/>
  <c r="V2882" i="1" s="1"/>
  <c r="A2883" i="1"/>
  <c r="V2883" i="1" s="1"/>
  <c r="A2884" i="1"/>
  <c r="V2884" i="1" s="1"/>
  <c r="A2885" i="1"/>
  <c r="V2885" i="1" s="1"/>
  <c r="A2886" i="1"/>
  <c r="V2886" i="1" s="1"/>
  <c r="A2887" i="1"/>
  <c r="V2887" i="1" s="1"/>
  <c r="A2888" i="1"/>
  <c r="V2888" i="1" s="1"/>
  <c r="A2889" i="1"/>
  <c r="V2889" i="1" s="1"/>
  <c r="A2890" i="1"/>
  <c r="V2890" i="1" s="1"/>
  <c r="A2891" i="1"/>
  <c r="V2891" i="1" s="1"/>
  <c r="A2892" i="1"/>
  <c r="V2892" i="1" s="1"/>
  <c r="A2893" i="1"/>
  <c r="V2893" i="1" s="1"/>
  <c r="A2894" i="1"/>
  <c r="V2894" i="1" s="1"/>
  <c r="A2895" i="1"/>
  <c r="V2895" i="1" s="1"/>
  <c r="A2896" i="1"/>
  <c r="V2896" i="1" s="1"/>
  <c r="A2897" i="1"/>
  <c r="V2897" i="1" s="1"/>
  <c r="A2898" i="1"/>
  <c r="V2898" i="1" s="1"/>
  <c r="A2899" i="1"/>
  <c r="V2899" i="1" s="1"/>
  <c r="A2900" i="1"/>
  <c r="V2900" i="1" s="1"/>
  <c r="A2901" i="1"/>
  <c r="V2901" i="1" s="1"/>
  <c r="A2902" i="1"/>
  <c r="V2902" i="1" s="1"/>
  <c r="A2903" i="1"/>
  <c r="V2903" i="1" s="1"/>
  <c r="A2904" i="1"/>
  <c r="V2904" i="1" s="1"/>
  <c r="A2905" i="1"/>
  <c r="V2905" i="1" s="1"/>
  <c r="A2906" i="1"/>
  <c r="V2906" i="1" s="1"/>
  <c r="A2907" i="1"/>
  <c r="V2907" i="1" s="1"/>
  <c r="A2908" i="1"/>
  <c r="V2908" i="1" s="1"/>
  <c r="A2909" i="1"/>
  <c r="V2909" i="1" s="1"/>
  <c r="A2910" i="1"/>
  <c r="V2910" i="1" s="1"/>
  <c r="A2911" i="1"/>
  <c r="V2911" i="1" s="1"/>
  <c r="A2912" i="1"/>
  <c r="V2912" i="1" s="1"/>
  <c r="A2913" i="1"/>
  <c r="V2913" i="1" s="1"/>
  <c r="A2914" i="1"/>
  <c r="V2914" i="1" s="1"/>
  <c r="A2915" i="1"/>
  <c r="V2915" i="1" s="1"/>
  <c r="A2916" i="1"/>
  <c r="V2916" i="1" s="1"/>
  <c r="A2917" i="1"/>
  <c r="V2917" i="1" s="1"/>
  <c r="A2918" i="1"/>
  <c r="V2918" i="1" s="1"/>
  <c r="A2919" i="1"/>
  <c r="V2919" i="1" s="1"/>
  <c r="A2920" i="1"/>
  <c r="V2920" i="1" s="1"/>
  <c r="A2921" i="1"/>
  <c r="V2921" i="1" s="1"/>
  <c r="A2922" i="1"/>
  <c r="V2922" i="1" s="1"/>
  <c r="A2923" i="1"/>
  <c r="V2923" i="1" s="1"/>
  <c r="A2924" i="1"/>
  <c r="V2924" i="1" s="1"/>
  <c r="A2925" i="1"/>
  <c r="V2925" i="1" s="1"/>
  <c r="A2926" i="1"/>
  <c r="V2926" i="1" s="1"/>
  <c r="A2927" i="1"/>
  <c r="V2927" i="1" s="1"/>
  <c r="A2928" i="1"/>
  <c r="V2928" i="1" s="1"/>
  <c r="A2929" i="1"/>
  <c r="V2929" i="1" s="1"/>
  <c r="A2930" i="1"/>
  <c r="V2930" i="1" s="1"/>
  <c r="A2931" i="1"/>
  <c r="V2931" i="1" s="1"/>
  <c r="A2932" i="1"/>
  <c r="V2932" i="1" s="1"/>
  <c r="A2933" i="1"/>
  <c r="V2933" i="1" s="1"/>
  <c r="A2934" i="1"/>
  <c r="V2934" i="1" s="1"/>
  <c r="A2935" i="1"/>
  <c r="V2935" i="1" s="1"/>
  <c r="A2936" i="1"/>
  <c r="V2936" i="1" s="1"/>
  <c r="A2937" i="1"/>
  <c r="V2937" i="1" s="1"/>
  <c r="A2938" i="1"/>
  <c r="V2938" i="1" s="1"/>
  <c r="A2939" i="1"/>
  <c r="V2939" i="1" s="1"/>
  <c r="A2940" i="1"/>
  <c r="V2940" i="1" s="1"/>
  <c r="A2941" i="1"/>
  <c r="V2941" i="1" s="1"/>
  <c r="A2942" i="1"/>
  <c r="V2942" i="1" s="1"/>
  <c r="A2943" i="1"/>
  <c r="V2943" i="1" s="1"/>
  <c r="A2944" i="1"/>
  <c r="V2944" i="1" s="1"/>
  <c r="A2945" i="1"/>
  <c r="V2945" i="1" s="1"/>
  <c r="A2946" i="1"/>
  <c r="V2946" i="1" s="1"/>
  <c r="A2947" i="1"/>
  <c r="V2947" i="1" s="1"/>
  <c r="A2948" i="1"/>
  <c r="V2948" i="1" s="1"/>
  <c r="A2949" i="1"/>
  <c r="V2949" i="1" s="1"/>
  <c r="A2950" i="1"/>
  <c r="V2950" i="1" s="1"/>
  <c r="A2951" i="1"/>
  <c r="V2951" i="1" s="1"/>
  <c r="A2952" i="1"/>
  <c r="V2952" i="1" s="1"/>
  <c r="A2953" i="1"/>
  <c r="V2953" i="1" s="1"/>
  <c r="A2954" i="1"/>
  <c r="V2954" i="1" s="1"/>
  <c r="A2955" i="1"/>
  <c r="V2955" i="1" s="1"/>
  <c r="A2956" i="1"/>
  <c r="V2956" i="1" s="1"/>
  <c r="A2957" i="1"/>
  <c r="V2957" i="1" s="1"/>
  <c r="A2958" i="1"/>
  <c r="V2958" i="1" s="1"/>
  <c r="A2959" i="1"/>
  <c r="V2959" i="1" s="1"/>
  <c r="A2960" i="1"/>
  <c r="V2960" i="1" s="1"/>
  <c r="A2961" i="1"/>
  <c r="V2961" i="1" s="1"/>
  <c r="A2962" i="1"/>
  <c r="V2962" i="1" s="1"/>
  <c r="A2963" i="1"/>
  <c r="V2963" i="1" s="1"/>
  <c r="A2964" i="1"/>
  <c r="V2964" i="1" s="1"/>
  <c r="A2965" i="1"/>
  <c r="V2965" i="1" s="1"/>
  <c r="A2966" i="1"/>
  <c r="V2966" i="1" s="1"/>
  <c r="A2967" i="1"/>
  <c r="V2967" i="1" s="1"/>
  <c r="A2968" i="1"/>
  <c r="V2968" i="1" s="1"/>
  <c r="A2969" i="1"/>
  <c r="V2969" i="1" s="1"/>
  <c r="A2970" i="1"/>
  <c r="V2970" i="1" s="1"/>
  <c r="A2971" i="1"/>
  <c r="V2971" i="1" s="1"/>
  <c r="A2972" i="1"/>
  <c r="V2972" i="1" s="1"/>
  <c r="A2973" i="1"/>
  <c r="V2973" i="1" s="1"/>
  <c r="A2974" i="1"/>
  <c r="V2974" i="1" s="1"/>
  <c r="A2975" i="1"/>
  <c r="V2975" i="1" s="1"/>
  <c r="A2976" i="1"/>
  <c r="V2976" i="1" s="1"/>
  <c r="A2977" i="1"/>
  <c r="V2977" i="1" s="1"/>
  <c r="A2978" i="1"/>
  <c r="V2978" i="1" s="1"/>
  <c r="A2979" i="1"/>
  <c r="V2979" i="1" s="1"/>
  <c r="A2980" i="1"/>
  <c r="V2980" i="1" s="1"/>
  <c r="A2981" i="1"/>
  <c r="V2981" i="1" s="1"/>
  <c r="A2982" i="1"/>
  <c r="V2982" i="1" s="1"/>
  <c r="A2983" i="1"/>
  <c r="V2983" i="1" s="1"/>
  <c r="A2984" i="1"/>
  <c r="V2984" i="1" s="1"/>
  <c r="A2985" i="1"/>
  <c r="V2985" i="1" s="1"/>
  <c r="A2986" i="1"/>
  <c r="V2986" i="1" s="1"/>
  <c r="A2987" i="1"/>
  <c r="V2987" i="1" s="1"/>
  <c r="A2988" i="1"/>
  <c r="V2988" i="1" s="1"/>
  <c r="A2989" i="1"/>
  <c r="V2989" i="1" s="1"/>
  <c r="A2990" i="1"/>
  <c r="V2990" i="1" s="1"/>
  <c r="A2991" i="1"/>
  <c r="V2991" i="1" s="1"/>
  <c r="A2992" i="1"/>
  <c r="V2992" i="1" s="1"/>
  <c r="A2993" i="1"/>
  <c r="V2993" i="1" s="1"/>
  <c r="A2994" i="1"/>
  <c r="V2994" i="1" s="1"/>
  <c r="A2995" i="1"/>
  <c r="V2995" i="1" s="1"/>
  <c r="A2996" i="1"/>
  <c r="V2996" i="1" s="1"/>
  <c r="A2997" i="1"/>
  <c r="V2997" i="1" s="1"/>
  <c r="A2998" i="1"/>
  <c r="V2998" i="1" s="1"/>
  <c r="A2999" i="1"/>
  <c r="V2999" i="1" s="1"/>
  <c r="A3000" i="1"/>
  <c r="V3000" i="1" s="1"/>
  <c r="A3001" i="1"/>
  <c r="V3001" i="1" s="1"/>
  <c r="A3002" i="1"/>
  <c r="V3002" i="1" s="1"/>
  <c r="A3003" i="1"/>
  <c r="V3003" i="1" s="1"/>
  <c r="A3004" i="1"/>
  <c r="V3004" i="1" s="1"/>
  <c r="A3005" i="1"/>
  <c r="V3005" i="1" s="1"/>
  <c r="A3006" i="1"/>
  <c r="V3006" i="1" s="1"/>
  <c r="A3007" i="1"/>
  <c r="V3007" i="1" s="1"/>
  <c r="A3008" i="1"/>
  <c r="V3008" i="1" s="1"/>
  <c r="A3009" i="1"/>
  <c r="V3009" i="1" s="1"/>
  <c r="A3010" i="1"/>
  <c r="V3010" i="1" s="1"/>
  <c r="A3011" i="1"/>
  <c r="V3011" i="1" s="1"/>
  <c r="A3012" i="1"/>
  <c r="V3012" i="1" s="1"/>
  <c r="A3013" i="1"/>
  <c r="V3013" i="1" s="1"/>
  <c r="A3014" i="1"/>
  <c r="V3014" i="1" s="1"/>
  <c r="A3015" i="1"/>
  <c r="V3015" i="1" s="1"/>
  <c r="A3016" i="1"/>
  <c r="V3016" i="1" s="1"/>
  <c r="A3017" i="1"/>
  <c r="V3017" i="1" s="1"/>
  <c r="A3018" i="1"/>
  <c r="V3018" i="1" s="1"/>
  <c r="A3019" i="1"/>
  <c r="V3019" i="1" s="1"/>
  <c r="A3020" i="1"/>
  <c r="V3020" i="1" s="1"/>
  <c r="A3021" i="1"/>
  <c r="V3021" i="1" s="1"/>
  <c r="A3022" i="1"/>
  <c r="V3022" i="1" s="1"/>
  <c r="A3023" i="1"/>
  <c r="V3023" i="1" s="1"/>
  <c r="A3024" i="1"/>
  <c r="V3024" i="1" s="1"/>
  <c r="A3025" i="1"/>
  <c r="V3025" i="1" s="1"/>
  <c r="A3026" i="1"/>
  <c r="V3026" i="1" s="1"/>
  <c r="A3027" i="1"/>
  <c r="V3027" i="1" s="1"/>
  <c r="A3028" i="1"/>
  <c r="V3028" i="1" s="1"/>
  <c r="A3029" i="1"/>
  <c r="V3029" i="1" s="1"/>
  <c r="A3030" i="1"/>
  <c r="V3030" i="1" s="1"/>
  <c r="A3031" i="1"/>
  <c r="V3031" i="1" s="1"/>
  <c r="A3032" i="1"/>
  <c r="V3032" i="1" s="1"/>
  <c r="A3033" i="1"/>
  <c r="V3033" i="1" s="1"/>
  <c r="A3034" i="1"/>
  <c r="V3034" i="1" s="1"/>
  <c r="A3035" i="1"/>
  <c r="V3035" i="1" s="1"/>
  <c r="A3036" i="1"/>
  <c r="V3036" i="1" s="1"/>
  <c r="A3037" i="1"/>
  <c r="V3037" i="1" s="1"/>
  <c r="A3038" i="1"/>
  <c r="V3038" i="1" s="1"/>
  <c r="A3039" i="1"/>
  <c r="V3039" i="1" s="1"/>
  <c r="A3040" i="1"/>
  <c r="V3040" i="1" s="1"/>
  <c r="A3041" i="1"/>
  <c r="V3041" i="1" s="1"/>
  <c r="A3042" i="1"/>
  <c r="V3042" i="1" s="1"/>
  <c r="A3043" i="1"/>
  <c r="V3043" i="1" s="1"/>
  <c r="A3044" i="1"/>
  <c r="V3044" i="1" s="1"/>
  <c r="A3045" i="1"/>
  <c r="V3045" i="1" s="1"/>
  <c r="A3046" i="1"/>
  <c r="V3046" i="1" s="1"/>
  <c r="A3047" i="1"/>
  <c r="V3047" i="1" s="1"/>
  <c r="A3048" i="1"/>
  <c r="V3048" i="1" s="1"/>
  <c r="A3049" i="1"/>
  <c r="V3049" i="1" s="1"/>
  <c r="A3050" i="1"/>
  <c r="V3050" i="1" s="1"/>
  <c r="A3051" i="1"/>
  <c r="V3051" i="1" s="1"/>
  <c r="A3052" i="1"/>
  <c r="V3052" i="1" s="1"/>
  <c r="A3053" i="1"/>
  <c r="V3053" i="1" s="1"/>
  <c r="A3054" i="1"/>
  <c r="V3054" i="1" s="1"/>
  <c r="A3055" i="1"/>
  <c r="V3055" i="1" s="1"/>
  <c r="A3056" i="1"/>
  <c r="V3056" i="1" s="1"/>
  <c r="A3057" i="1"/>
  <c r="V3057" i="1" s="1"/>
  <c r="A3058" i="1"/>
  <c r="V3058" i="1" s="1"/>
  <c r="A3059" i="1"/>
  <c r="V3059" i="1" s="1"/>
  <c r="A3060" i="1"/>
  <c r="V3060" i="1" s="1"/>
  <c r="A3061" i="1"/>
  <c r="V3061" i="1" s="1"/>
  <c r="A3062" i="1"/>
  <c r="V3062" i="1" s="1"/>
  <c r="A3063" i="1"/>
  <c r="V3063" i="1" s="1"/>
  <c r="A3064" i="1"/>
  <c r="V3064" i="1" s="1"/>
  <c r="A3065" i="1"/>
  <c r="V3065" i="1" s="1"/>
  <c r="A3066" i="1"/>
  <c r="V3066" i="1" s="1"/>
  <c r="A3067" i="1"/>
  <c r="V3067" i="1" s="1"/>
  <c r="A3068" i="1"/>
  <c r="V3068" i="1" s="1"/>
  <c r="A3069" i="1"/>
  <c r="V3069" i="1" s="1"/>
  <c r="A3070" i="1"/>
  <c r="V3070" i="1" s="1"/>
  <c r="A3071" i="1"/>
  <c r="V3071" i="1" s="1"/>
  <c r="A3072" i="1"/>
  <c r="V3072" i="1" s="1"/>
  <c r="A3073" i="1"/>
  <c r="V3073" i="1" s="1"/>
  <c r="A3074" i="1"/>
  <c r="V3074" i="1" s="1"/>
  <c r="A3075" i="1"/>
  <c r="V3075" i="1" s="1"/>
  <c r="A3076" i="1"/>
  <c r="V3076" i="1" s="1"/>
  <c r="A3077" i="1"/>
  <c r="V3077" i="1" s="1"/>
  <c r="A3078" i="1"/>
  <c r="V3078" i="1" s="1"/>
  <c r="A3079" i="1"/>
  <c r="V3079" i="1" s="1"/>
  <c r="A3080" i="1"/>
  <c r="V3080" i="1" s="1"/>
  <c r="A3081" i="1"/>
  <c r="V3081" i="1" s="1"/>
  <c r="A3082" i="1"/>
  <c r="V3082" i="1" s="1"/>
  <c r="A3083" i="1"/>
  <c r="V3083" i="1" s="1"/>
  <c r="A3084" i="1"/>
  <c r="V3084" i="1" s="1"/>
  <c r="A3085" i="1"/>
  <c r="V3085" i="1" s="1"/>
  <c r="A3086" i="1"/>
  <c r="V3086" i="1" s="1"/>
  <c r="A3087" i="1"/>
  <c r="V3087" i="1" s="1"/>
  <c r="A3088" i="1"/>
  <c r="V3088" i="1" s="1"/>
  <c r="A3089" i="1"/>
  <c r="V3089" i="1" s="1"/>
  <c r="A3090" i="1"/>
  <c r="V3090" i="1" s="1"/>
  <c r="A3091" i="1"/>
  <c r="V3091" i="1" s="1"/>
  <c r="A3092" i="1"/>
  <c r="V3092" i="1" s="1"/>
  <c r="A3093" i="1"/>
  <c r="V3093" i="1" s="1"/>
  <c r="A3094" i="1"/>
  <c r="V3094" i="1" s="1"/>
  <c r="A3095" i="1"/>
  <c r="V3095" i="1" s="1"/>
  <c r="A3096" i="1"/>
  <c r="V3096" i="1" s="1"/>
  <c r="A3097" i="1"/>
  <c r="V3097" i="1" s="1"/>
  <c r="A3098" i="1"/>
  <c r="V3098" i="1" s="1"/>
  <c r="A3099" i="1"/>
  <c r="V3099" i="1" s="1"/>
  <c r="A3100" i="1"/>
  <c r="V3100" i="1" s="1"/>
  <c r="A3101" i="1"/>
  <c r="V3101" i="1" s="1"/>
  <c r="A3102" i="1"/>
  <c r="V3102" i="1" s="1"/>
  <c r="A3103" i="1"/>
  <c r="V3103" i="1" s="1"/>
  <c r="A3104" i="1"/>
  <c r="V3104" i="1" s="1"/>
  <c r="A3105" i="1"/>
  <c r="V3105" i="1" s="1"/>
  <c r="A3106" i="1"/>
  <c r="V3106" i="1" s="1"/>
  <c r="A3107" i="1"/>
  <c r="V3107" i="1" s="1"/>
  <c r="A3108" i="1"/>
  <c r="V3108" i="1" s="1"/>
  <c r="A3109" i="1"/>
  <c r="V3109" i="1" s="1"/>
  <c r="A3110" i="1"/>
  <c r="V3110" i="1" s="1"/>
  <c r="A3111" i="1"/>
  <c r="V3111" i="1" s="1"/>
  <c r="A3112" i="1"/>
  <c r="V3112" i="1" s="1"/>
  <c r="A3113" i="1"/>
  <c r="V3113" i="1" s="1"/>
  <c r="A3114" i="1"/>
  <c r="V3114" i="1" s="1"/>
  <c r="A3115" i="1"/>
  <c r="V3115" i="1" s="1"/>
  <c r="A3116" i="1"/>
  <c r="V3116" i="1" s="1"/>
  <c r="A3117" i="1"/>
  <c r="V3117" i="1" s="1"/>
  <c r="A3118" i="1"/>
  <c r="V3118" i="1" s="1"/>
  <c r="A3119" i="1"/>
  <c r="V3119" i="1" s="1"/>
  <c r="A3120" i="1"/>
  <c r="V3120" i="1" s="1"/>
  <c r="A3121" i="1"/>
  <c r="V3121" i="1" s="1"/>
  <c r="A3122" i="1"/>
  <c r="V3122" i="1" s="1"/>
  <c r="A3123" i="1"/>
  <c r="V3123" i="1" s="1"/>
  <c r="A3124" i="1"/>
  <c r="V3124" i="1" s="1"/>
  <c r="A3125" i="1"/>
  <c r="V3125" i="1" s="1"/>
  <c r="A3126" i="1"/>
  <c r="V3126" i="1" s="1"/>
  <c r="A3127" i="1"/>
  <c r="V3127" i="1" s="1"/>
  <c r="A3128" i="1"/>
  <c r="V3128" i="1" s="1"/>
  <c r="A3129" i="1"/>
  <c r="V3129" i="1" s="1"/>
  <c r="A3130" i="1"/>
  <c r="V3130" i="1" s="1"/>
  <c r="A3131" i="1"/>
  <c r="V3131" i="1" s="1"/>
  <c r="A3132" i="1"/>
  <c r="V3132" i="1" s="1"/>
  <c r="A3133" i="1"/>
  <c r="V3133" i="1" s="1"/>
  <c r="A3134" i="1"/>
  <c r="V3134" i="1" s="1"/>
  <c r="A1577" i="1"/>
  <c r="V1577" i="1" s="1"/>
  <c r="A3136" i="1"/>
  <c r="V3136" i="1" s="1"/>
  <c r="A3137" i="1"/>
  <c r="V3137" i="1" s="1"/>
  <c r="A3138" i="1"/>
  <c r="V3138" i="1" s="1"/>
  <c r="A3139" i="1"/>
  <c r="V3139" i="1" s="1"/>
  <c r="A3140" i="1"/>
  <c r="V3140" i="1" s="1"/>
  <c r="A3141" i="1"/>
  <c r="V3141" i="1" s="1"/>
  <c r="A3142" i="1"/>
  <c r="V3142" i="1" s="1"/>
  <c r="A3143" i="1"/>
  <c r="V3143" i="1" s="1"/>
  <c r="A3144" i="1"/>
  <c r="V3144" i="1" s="1"/>
  <c r="A3145" i="1"/>
  <c r="V3145" i="1" s="1"/>
  <c r="A3146" i="1"/>
  <c r="V3146" i="1" s="1"/>
  <c r="A3147" i="1"/>
  <c r="V3147" i="1" s="1"/>
  <c r="A3148" i="1"/>
  <c r="V3148" i="1" s="1"/>
  <c r="A3149" i="1"/>
  <c r="V3149" i="1" s="1"/>
  <c r="A3150" i="1"/>
  <c r="V3150" i="1" s="1"/>
  <c r="A3151" i="1"/>
  <c r="V3151" i="1" s="1"/>
  <c r="A3152" i="1"/>
  <c r="V3152" i="1" s="1"/>
  <c r="A3153" i="1"/>
  <c r="V3153" i="1" s="1"/>
  <c r="A3154" i="1"/>
  <c r="V3154" i="1" s="1"/>
  <c r="A3155" i="1"/>
  <c r="V3155" i="1" s="1"/>
  <c r="A3156" i="1"/>
  <c r="V3156" i="1" s="1"/>
  <c r="A3157" i="1"/>
  <c r="V3157" i="1" s="1"/>
  <c r="A3158" i="1"/>
  <c r="V3158" i="1" s="1"/>
  <c r="A3159" i="1"/>
  <c r="V3159" i="1" s="1"/>
  <c r="A3160" i="1"/>
  <c r="V3160" i="1" s="1"/>
  <c r="A3161" i="1"/>
  <c r="V3161" i="1" s="1"/>
  <c r="A3162" i="1"/>
  <c r="V3162" i="1" s="1"/>
  <c r="A3163" i="1"/>
  <c r="V3163" i="1" s="1"/>
  <c r="A3164" i="1"/>
  <c r="V3164" i="1" s="1"/>
  <c r="A3165" i="1"/>
  <c r="V3165" i="1" s="1"/>
  <c r="A3166" i="1"/>
  <c r="V3166" i="1" s="1"/>
  <c r="A3167" i="1"/>
  <c r="V3167" i="1" s="1"/>
  <c r="A3168" i="1"/>
  <c r="V3168" i="1" s="1"/>
  <c r="A3169" i="1"/>
  <c r="V3169" i="1" s="1"/>
  <c r="A3170" i="1"/>
  <c r="V3170" i="1" s="1"/>
  <c r="A3171" i="1"/>
  <c r="V3171" i="1" s="1"/>
  <c r="A3172" i="1"/>
  <c r="V3172" i="1" s="1"/>
  <c r="A3173" i="1"/>
  <c r="V3173" i="1" s="1"/>
  <c r="A3174" i="1"/>
  <c r="V3174" i="1" s="1"/>
  <c r="A3175" i="1"/>
  <c r="V3175" i="1" s="1"/>
  <c r="A3176" i="1"/>
  <c r="V3176" i="1" s="1"/>
  <c r="A3177" i="1"/>
  <c r="V3177" i="1" s="1"/>
  <c r="A3178" i="1"/>
  <c r="V3178" i="1" s="1"/>
  <c r="A3179" i="1"/>
  <c r="V3179" i="1" s="1"/>
  <c r="A3180" i="1"/>
  <c r="V3180" i="1" s="1"/>
  <c r="A3181" i="1"/>
  <c r="V3181" i="1" s="1"/>
  <c r="A3182" i="1"/>
  <c r="V3182" i="1" s="1"/>
  <c r="A3183" i="1"/>
  <c r="V3183" i="1" s="1"/>
  <c r="A3184" i="1"/>
  <c r="V3184" i="1" s="1"/>
  <c r="A3185" i="1"/>
  <c r="V3185" i="1" s="1"/>
  <c r="A3186" i="1"/>
  <c r="V3186" i="1" s="1"/>
  <c r="A3187" i="1"/>
  <c r="V3187" i="1" s="1"/>
  <c r="A3188" i="1"/>
  <c r="V3188" i="1" s="1"/>
  <c r="A3189" i="1"/>
  <c r="V3189" i="1" s="1"/>
  <c r="A3190" i="1"/>
  <c r="V3190" i="1" s="1"/>
  <c r="A3191" i="1"/>
  <c r="V3191" i="1" s="1"/>
  <c r="A3192" i="1"/>
  <c r="V3192" i="1" s="1"/>
  <c r="A3193" i="1"/>
  <c r="V3193" i="1" s="1"/>
  <c r="A3194" i="1"/>
  <c r="V3194" i="1" s="1"/>
  <c r="A3195" i="1"/>
  <c r="V3195" i="1" s="1"/>
  <c r="A3196" i="1"/>
  <c r="V3196" i="1" s="1"/>
  <c r="A3197" i="1"/>
  <c r="V3197" i="1" s="1"/>
  <c r="A3198" i="1"/>
  <c r="V3198" i="1" s="1"/>
  <c r="A3199" i="1"/>
  <c r="V3199" i="1" s="1"/>
  <c r="A3200" i="1"/>
  <c r="V3200" i="1" s="1"/>
  <c r="A3201" i="1"/>
  <c r="V3201" i="1" s="1"/>
  <c r="A3202" i="1"/>
  <c r="V3202" i="1" s="1"/>
  <c r="A3203" i="1"/>
  <c r="V3203" i="1" s="1"/>
  <c r="A3204" i="1"/>
  <c r="V3204" i="1" s="1"/>
  <c r="A3205" i="1"/>
  <c r="V3205" i="1" s="1"/>
  <c r="A3206" i="1"/>
  <c r="V3206" i="1" s="1"/>
  <c r="A3207" i="1"/>
  <c r="V3207" i="1" s="1"/>
  <c r="A3208" i="1"/>
  <c r="V3208" i="1" s="1"/>
  <c r="A3209" i="1"/>
  <c r="V3209" i="1" s="1"/>
  <c r="A3210" i="1"/>
  <c r="V3210" i="1" s="1"/>
  <c r="A3211" i="1"/>
  <c r="V3211" i="1" s="1"/>
  <c r="A3212" i="1"/>
  <c r="V3212" i="1" s="1"/>
  <c r="A3213" i="1"/>
  <c r="V3213" i="1" s="1"/>
  <c r="A3214" i="1"/>
  <c r="V3214" i="1" s="1"/>
  <c r="A3215" i="1"/>
  <c r="V3215" i="1" s="1"/>
  <c r="A3216" i="1"/>
  <c r="V3216" i="1" s="1"/>
  <c r="A3217" i="1"/>
  <c r="V3217" i="1" s="1"/>
  <c r="A3218" i="1"/>
  <c r="V3218" i="1" s="1"/>
  <c r="A3219" i="1"/>
  <c r="V3219" i="1" s="1"/>
  <c r="A3220" i="1"/>
  <c r="V3220" i="1" s="1"/>
  <c r="A3221" i="1"/>
  <c r="V3221" i="1" s="1"/>
  <c r="A3222" i="1"/>
  <c r="V3222" i="1" s="1"/>
  <c r="A3223" i="1"/>
  <c r="V3223" i="1" s="1"/>
  <c r="A3224" i="1"/>
  <c r="V3224" i="1" s="1"/>
  <c r="A3225" i="1"/>
  <c r="V3225" i="1" s="1"/>
  <c r="A3226" i="1"/>
  <c r="V3226" i="1" s="1"/>
  <c r="A3227" i="1"/>
  <c r="V3227" i="1" s="1"/>
  <c r="A3228" i="1"/>
  <c r="V3228" i="1" s="1"/>
  <c r="A3229" i="1"/>
  <c r="V3229" i="1" s="1"/>
  <c r="A3230" i="1"/>
  <c r="V3230" i="1" s="1"/>
  <c r="A3231" i="1"/>
  <c r="V3231" i="1" s="1"/>
  <c r="A3232" i="1"/>
  <c r="V3232" i="1" s="1"/>
  <c r="A3233" i="1"/>
  <c r="V3233" i="1" s="1"/>
  <c r="A3234" i="1"/>
  <c r="V3234" i="1" s="1"/>
  <c r="A3235" i="1"/>
  <c r="V3235" i="1" s="1"/>
  <c r="A3236" i="1"/>
  <c r="V3236" i="1" s="1"/>
  <c r="A3237" i="1"/>
  <c r="V3237" i="1" s="1"/>
  <c r="A3238" i="1"/>
  <c r="V3238" i="1" s="1"/>
  <c r="A3239" i="1"/>
  <c r="V3239" i="1" s="1"/>
  <c r="A3240" i="1"/>
  <c r="V3240" i="1" s="1"/>
  <c r="A3241" i="1"/>
  <c r="V3241" i="1" s="1"/>
  <c r="A3242" i="1"/>
  <c r="V3242" i="1" s="1"/>
  <c r="A3243" i="1"/>
  <c r="V3243" i="1" s="1"/>
  <c r="A3244" i="1"/>
  <c r="V3244" i="1" s="1"/>
  <c r="A3245" i="1"/>
  <c r="V3245" i="1" s="1"/>
  <c r="A3246" i="1"/>
  <c r="V3246" i="1" s="1"/>
  <c r="A3247" i="1"/>
  <c r="V3247" i="1" s="1"/>
  <c r="A3248" i="1"/>
  <c r="V3248" i="1" s="1"/>
  <c r="A3249" i="1"/>
  <c r="V3249" i="1" s="1"/>
  <c r="A3250" i="1"/>
  <c r="V3250" i="1" s="1"/>
  <c r="A3251" i="1"/>
  <c r="V3251" i="1" s="1"/>
  <c r="A3252" i="1"/>
  <c r="V3252" i="1" s="1"/>
  <c r="A3253" i="1"/>
  <c r="V3253" i="1" s="1"/>
  <c r="A3254" i="1"/>
  <c r="V3254" i="1" s="1"/>
  <c r="A3255" i="1"/>
  <c r="V3255" i="1" s="1"/>
  <c r="A3256" i="1"/>
  <c r="V3256" i="1" s="1"/>
  <c r="A3257" i="1"/>
  <c r="V3257" i="1" s="1"/>
  <c r="A3258" i="1"/>
  <c r="V3258" i="1" s="1"/>
  <c r="A3259" i="1"/>
  <c r="V3259" i="1" s="1"/>
  <c r="A3260" i="1"/>
  <c r="V3260" i="1" s="1"/>
  <c r="A3261" i="1"/>
  <c r="V3261" i="1" s="1"/>
  <c r="A3262" i="1"/>
  <c r="V3262" i="1" s="1"/>
  <c r="A3263" i="1"/>
  <c r="V3263" i="1" s="1"/>
  <c r="A3264" i="1"/>
  <c r="V3264" i="1" s="1"/>
  <c r="A3265" i="1"/>
  <c r="V3265" i="1" s="1"/>
  <c r="A3266" i="1"/>
  <c r="V3266" i="1" s="1"/>
  <c r="A3267" i="1"/>
  <c r="V3267" i="1" s="1"/>
  <c r="A3268" i="1"/>
  <c r="V3268" i="1" s="1"/>
  <c r="A3269" i="1"/>
  <c r="V3269" i="1" s="1"/>
  <c r="A3270" i="1"/>
  <c r="V3270" i="1" s="1"/>
  <c r="A3271" i="1"/>
  <c r="V3271" i="1" s="1"/>
  <c r="A3272" i="1"/>
  <c r="V3272" i="1" s="1"/>
  <c r="A3273" i="1"/>
  <c r="V3273" i="1" s="1"/>
  <c r="A3274" i="1"/>
  <c r="V3274" i="1" s="1"/>
  <c r="A3275" i="1"/>
  <c r="V3275" i="1" s="1"/>
  <c r="A3276" i="1"/>
  <c r="V3276" i="1" s="1"/>
  <c r="A3277" i="1"/>
  <c r="V3277" i="1" s="1"/>
  <c r="A3278" i="1"/>
  <c r="V3278" i="1" s="1"/>
  <c r="A3279" i="1"/>
  <c r="V3279" i="1" s="1"/>
  <c r="A3280" i="1"/>
  <c r="V3280" i="1" s="1"/>
  <c r="A3281" i="1"/>
  <c r="V3281" i="1" s="1"/>
  <c r="A3282" i="1"/>
  <c r="V3282" i="1" s="1"/>
  <c r="A3283" i="1"/>
  <c r="V3283" i="1" s="1"/>
  <c r="A3284" i="1"/>
  <c r="V3284" i="1" s="1"/>
  <c r="A3285" i="1"/>
  <c r="V3285" i="1" s="1"/>
  <c r="A3286" i="1"/>
  <c r="V3286" i="1" s="1"/>
  <c r="A3287" i="1"/>
  <c r="V3287" i="1" s="1"/>
  <c r="A3288" i="1"/>
  <c r="V3288" i="1" s="1"/>
  <c r="A3289" i="1"/>
  <c r="V3289" i="1" s="1"/>
  <c r="A3290" i="1"/>
  <c r="V3290" i="1" s="1"/>
  <c r="A3291" i="1"/>
  <c r="V3291" i="1" s="1"/>
  <c r="A3292" i="1"/>
  <c r="V3292" i="1" s="1"/>
  <c r="A3293" i="1"/>
  <c r="V3293" i="1" s="1"/>
  <c r="A3294" i="1"/>
  <c r="V3294" i="1" s="1"/>
  <c r="A3295" i="1"/>
  <c r="V3295" i="1" s="1"/>
  <c r="A3296" i="1"/>
  <c r="V3296" i="1" s="1"/>
  <c r="A3297" i="1"/>
  <c r="V3297" i="1" s="1"/>
  <c r="A3298" i="1"/>
  <c r="V3298" i="1" s="1"/>
  <c r="A3299" i="1"/>
  <c r="V3299" i="1" s="1"/>
  <c r="A3300" i="1"/>
  <c r="V3300" i="1" s="1"/>
  <c r="A3301" i="1"/>
  <c r="V3301" i="1" s="1"/>
  <c r="A3302" i="1"/>
  <c r="V3302" i="1" s="1"/>
  <c r="A3303" i="1"/>
  <c r="V3303" i="1" s="1"/>
  <c r="A3304" i="1"/>
  <c r="V3304" i="1" s="1"/>
  <c r="A3305" i="1"/>
  <c r="V3305" i="1" s="1"/>
  <c r="A3306" i="1"/>
  <c r="V3306" i="1" s="1"/>
  <c r="A3307" i="1"/>
  <c r="V3307" i="1" s="1"/>
  <c r="A3308" i="1"/>
  <c r="V3308" i="1" s="1"/>
  <c r="A3309" i="1"/>
  <c r="V3309" i="1" s="1"/>
  <c r="A3310" i="1"/>
  <c r="V3310" i="1" s="1"/>
  <c r="A3311" i="1"/>
  <c r="V3311" i="1" s="1"/>
  <c r="A3312" i="1"/>
  <c r="V3312" i="1" s="1"/>
  <c r="A3313" i="1"/>
  <c r="V3313" i="1" s="1"/>
  <c r="A3314" i="1"/>
  <c r="V3314" i="1" s="1"/>
  <c r="A3315" i="1"/>
  <c r="V3315" i="1" s="1"/>
  <c r="A3316" i="1"/>
  <c r="V3316" i="1" s="1"/>
  <c r="A3317" i="1"/>
  <c r="V3317" i="1" s="1"/>
  <c r="A3318" i="1"/>
  <c r="V3318" i="1" s="1"/>
  <c r="A3319" i="1"/>
  <c r="V3319" i="1" s="1"/>
  <c r="A3320" i="1"/>
  <c r="V3320" i="1" s="1"/>
  <c r="A3321" i="1"/>
  <c r="V3321" i="1" s="1"/>
  <c r="A3322" i="1"/>
  <c r="V3322" i="1" s="1"/>
  <c r="A3323" i="1"/>
  <c r="V3323" i="1" s="1"/>
  <c r="A3324" i="1"/>
  <c r="V3324" i="1" s="1"/>
  <c r="A3325" i="1"/>
  <c r="V3325" i="1" s="1"/>
  <c r="A3326" i="1"/>
  <c r="V3326" i="1" s="1"/>
  <c r="A3327" i="1"/>
  <c r="V3327" i="1" s="1"/>
  <c r="A3328" i="1"/>
  <c r="V3328" i="1" s="1"/>
  <c r="A3329" i="1"/>
  <c r="V3329" i="1" s="1"/>
  <c r="A3330" i="1"/>
  <c r="V3330" i="1" s="1"/>
  <c r="A3331" i="1"/>
  <c r="V3331" i="1" s="1"/>
  <c r="A3332" i="1"/>
  <c r="V3332" i="1" s="1"/>
  <c r="A3333" i="1"/>
  <c r="V3333" i="1" s="1"/>
  <c r="A3334" i="1"/>
  <c r="V3334" i="1" s="1"/>
  <c r="A3335" i="1"/>
  <c r="V3335" i="1" s="1"/>
  <c r="A3336" i="1"/>
  <c r="V3336" i="1" s="1"/>
  <c r="A3337" i="1"/>
  <c r="V3337" i="1" s="1"/>
  <c r="A3338" i="1"/>
  <c r="V3338" i="1" s="1"/>
  <c r="A3339" i="1"/>
  <c r="V3339" i="1" s="1"/>
  <c r="A3340" i="1"/>
  <c r="V3340" i="1" s="1"/>
  <c r="A3341" i="1"/>
  <c r="V3341" i="1" s="1"/>
  <c r="A3342" i="1"/>
  <c r="V3342" i="1" s="1"/>
  <c r="A3343" i="1"/>
  <c r="V3343" i="1" s="1"/>
  <c r="A3344" i="1"/>
  <c r="V3344" i="1" s="1"/>
  <c r="A3345" i="1"/>
  <c r="V3345" i="1" s="1"/>
  <c r="A3346" i="1"/>
  <c r="V3346" i="1" s="1"/>
  <c r="A3347" i="1"/>
  <c r="V3347" i="1" s="1"/>
  <c r="A3348" i="1"/>
  <c r="V3348" i="1" s="1"/>
  <c r="A3349" i="1"/>
  <c r="V3349" i="1" s="1"/>
  <c r="A3350" i="1"/>
  <c r="V3350" i="1" s="1"/>
  <c r="A3351" i="1"/>
  <c r="V3351" i="1" s="1"/>
  <c r="A3352" i="1"/>
  <c r="V3352" i="1" s="1"/>
  <c r="A3353" i="1"/>
  <c r="V3353" i="1" s="1"/>
  <c r="A3354" i="1"/>
  <c r="V3354" i="1" s="1"/>
  <c r="A3355" i="1"/>
  <c r="V3355" i="1" s="1"/>
  <c r="A3356" i="1"/>
  <c r="V3356" i="1" s="1"/>
  <c r="A3357" i="1"/>
  <c r="V3357" i="1" s="1"/>
  <c r="A3358" i="1"/>
  <c r="V3358" i="1" s="1"/>
  <c r="A3359" i="1"/>
  <c r="V3359" i="1" s="1"/>
  <c r="A3360" i="1"/>
  <c r="V3360" i="1" s="1"/>
  <c r="A3361" i="1"/>
  <c r="V3361" i="1" s="1"/>
  <c r="A3362" i="1"/>
  <c r="V3362" i="1" s="1"/>
  <c r="A3363" i="1"/>
  <c r="V3363" i="1" s="1"/>
  <c r="A3364" i="1"/>
  <c r="V3364" i="1" s="1"/>
  <c r="A3365" i="1"/>
  <c r="V3365" i="1" s="1"/>
  <c r="A3366" i="1"/>
  <c r="V3366" i="1" s="1"/>
  <c r="A3367" i="1"/>
  <c r="V3367" i="1" s="1"/>
  <c r="A3368" i="1"/>
  <c r="V3368" i="1" s="1"/>
  <c r="A3369" i="1"/>
  <c r="V3369" i="1" s="1"/>
  <c r="A3370" i="1"/>
  <c r="V3370" i="1" s="1"/>
  <c r="A3371" i="1"/>
  <c r="V3371" i="1" s="1"/>
  <c r="A3372" i="1"/>
  <c r="V3372" i="1" s="1"/>
  <c r="A3373" i="1"/>
  <c r="V3373" i="1" s="1"/>
  <c r="A3374" i="1"/>
  <c r="V3374" i="1" s="1"/>
  <c r="A3375" i="1"/>
  <c r="V3375" i="1" s="1"/>
  <c r="A3376" i="1"/>
  <c r="V3376" i="1" s="1"/>
  <c r="A3377" i="1"/>
  <c r="V3377" i="1" s="1"/>
  <c r="A3378" i="1"/>
  <c r="V3378" i="1" s="1"/>
  <c r="A3379" i="1"/>
  <c r="V3379" i="1" s="1"/>
  <c r="A3380" i="1"/>
  <c r="V3380" i="1" s="1"/>
  <c r="A3381" i="1"/>
  <c r="V3381" i="1" s="1"/>
  <c r="A3382" i="1"/>
  <c r="V3382" i="1" s="1"/>
  <c r="A3383" i="1"/>
  <c r="V3383" i="1" s="1"/>
  <c r="A3384" i="1"/>
  <c r="V3384" i="1" s="1"/>
  <c r="A3385" i="1"/>
  <c r="V3385" i="1" s="1"/>
  <c r="A3386" i="1"/>
  <c r="V3386" i="1" s="1"/>
  <c r="A3387" i="1"/>
  <c r="V3387" i="1" s="1"/>
  <c r="A3388" i="1"/>
  <c r="V3388" i="1" s="1"/>
  <c r="A3389" i="1"/>
  <c r="V3389" i="1" s="1"/>
  <c r="A3390" i="1"/>
  <c r="V3390" i="1" s="1"/>
  <c r="A3391" i="1"/>
  <c r="V3391" i="1" s="1"/>
  <c r="A3392" i="1"/>
  <c r="V3392" i="1" s="1"/>
  <c r="A3393" i="1"/>
  <c r="V3393" i="1" s="1"/>
  <c r="A3394" i="1"/>
  <c r="V3394" i="1" s="1"/>
  <c r="A3395" i="1"/>
  <c r="V3395" i="1" s="1"/>
  <c r="A3396" i="1"/>
  <c r="V3396" i="1" s="1"/>
  <c r="A3397" i="1"/>
  <c r="V3397" i="1" s="1"/>
  <c r="A3398" i="1"/>
  <c r="V3398" i="1" s="1"/>
  <c r="A3399" i="1"/>
  <c r="V3399" i="1" s="1"/>
  <c r="A3400" i="1"/>
  <c r="V3400" i="1" s="1"/>
  <c r="A3401" i="1"/>
  <c r="V3401" i="1" s="1"/>
  <c r="A3402" i="1"/>
  <c r="V3402" i="1" s="1"/>
  <c r="A3403" i="1"/>
  <c r="V3403" i="1" s="1"/>
  <c r="A3404" i="1"/>
  <c r="V3404" i="1" s="1"/>
  <c r="A3405" i="1"/>
  <c r="V3405" i="1" s="1"/>
  <c r="A3406" i="1"/>
  <c r="V3406" i="1" s="1"/>
  <c r="A3407" i="1"/>
  <c r="V3407" i="1" s="1"/>
  <c r="A3408" i="1"/>
  <c r="V3408" i="1" s="1"/>
  <c r="A3409" i="1"/>
  <c r="V3409" i="1" s="1"/>
  <c r="A3410" i="1"/>
  <c r="V3410" i="1" s="1"/>
  <c r="A3411" i="1"/>
  <c r="V3411" i="1" s="1"/>
  <c r="A3412" i="1"/>
  <c r="V3412" i="1" s="1"/>
  <c r="A3413" i="1"/>
  <c r="V3413" i="1" s="1"/>
  <c r="A3414" i="1"/>
  <c r="V3414" i="1" s="1"/>
  <c r="A3415" i="1"/>
  <c r="V3415" i="1" s="1"/>
  <c r="A3416" i="1"/>
  <c r="V3416" i="1" s="1"/>
  <c r="A3417" i="1"/>
  <c r="V3417" i="1" s="1"/>
  <c r="A3418" i="1"/>
  <c r="V3418" i="1" s="1"/>
  <c r="A3419" i="1"/>
  <c r="V3419" i="1" s="1"/>
  <c r="A3420" i="1"/>
  <c r="V3420" i="1" s="1"/>
  <c r="A3421" i="1"/>
  <c r="V3421" i="1" s="1"/>
  <c r="A3422" i="1"/>
  <c r="V3422" i="1" s="1"/>
  <c r="A3423" i="1"/>
  <c r="V3423" i="1" s="1"/>
  <c r="A3424" i="1"/>
  <c r="V3424" i="1" s="1"/>
  <c r="A3425" i="1"/>
  <c r="V3425" i="1" s="1"/>
  <c r="A3426" i="1"/>
  <c r="V3426" i="1" s="1"/>
  <c r="A3427" i="1"/>
  <c r="V3427" i="1" s="1"/>
  <c r="A3428" i="1"/>
  <c r="V3428" i="1" s="1"/>
  <c r="A3429" i="1"/>
  <c r="V3429" i="1" s="1"/>
  <c r="A3430" i="1"/>
  <c r="V3430" i="1" s="1"/>
  <c r="A3431" i="1"/>
  <c r="V3431" i="1" s="1"/>
  <c r="A3432" i="1"/>
  <c r="V3432" i="1" s="1"/>
  <c r="A3433" i="1"/>
  <c r="V3433" i="1" s="1"/>
  <c r="A3434" i="1"/>
  <c r="V3434" i="1" s="1"/>
  <c r="A3435" i="1"/>
  <c r="V3435" i="1" s="1"/>
  <c r="A3436" i="1"/>
  <c r="V3436" i="1" s="1"/>
  <c r="A3437" i="1"/>
  <c r="V3437" i="1" s="1"/>
  <c r="A3438" i="1"/>
  <c r="V3438" i="1" s="1"/>
  <c r="A3439" i="1"/>
  <c r="V3439" i="1" s="1"/>
  <c r="A3440" i="1"/>
  <c r="V3440" i="1" s="1"/>
  <c r="A3441" i="1"/>
  <c r="V3441" i="1" s="1"/>
  <c r="A3442" i="1"/>
  <c r="V3442" i="1" s="1"/>
  <c r="A3443" i="1"/>
  <c r="V3443" i="1" s="1"/>
  <c r="A3444" i="1"/>
  <c r="V3444" i="1" s="1"/>
  <c r="A3445" i="1"/>
  <c r="V3445" i="1" s="1"/>
  <c r="A3446" i="1"/>
  <c r="V3446" i="1" s="1"/>
  <c r="A3447" i="1"/>
  <c r="V3447" i="1" s="1"/>
  <c r="A3448" i="1"/>
  <c r="V3448" i="1" s="1"/>
  <c r="A3449" i="1"/>
  <c r="V3449" i="1" s="1"/>
  <c r="A3450" i="1"/>
  <c r="V3450" i="1" s="1"/>
  <c r="A3451" i="1"/>
  <c r="V3451" i="1" s="1"/>
  <c r="A3452" i="1"/>
  <c r="V3452" i="1" s="1"/>
  <c r="A3453" i="1"/>
  <c r="V3453" i="1" s="1"/>
  <c r="A3454" i="1"/>
  <c r="V3454" i="1" s="1"/>
  <c r="A3455" i="1"/>
  <c r="V3455" i="1" s="1"/>
  <c r="A3456" i="1"/>
  <c r="V3456" i="1" s="1"/>
  <c r="A3457" i="1"/>
  <c r="V3457" i="1" s="1"/>
  <c r="A3458" i="1"/>
  <c r="V3458" i="1" s="1"/>
  <c r="A3459" i="1"/>
  <c r="V3459" i="1" s="1"/>
  <c r="A3460" i="1"/>
  <c r="V3460" i="1" s="1"/>
  <c r="A3461" i="1"/>
  <c r="V3461" i="1" s="1"/>
  <c r="A3462" i="1"/>
  <c r="V3462" i="1" s="1"/>
  <c r="A3463" i="1"/>
  <c r="V3463" i="1" s="1"/>
  <c r="A3464" i="1"/>
  <c r="V3464" i="1" s="1"/>
  <c r="A3465" i="1"/>
  <c r="V3465" i="1" s="1"/>
  <c r="A3466" i="1"/>
  <c r="V3466" i="1" s="1"/>
  <c r="A3467" i="1"/>
  <c r="V3467" i="1" s="1"/>
  <c r="A3468" i="1"/>
  <c r="V3468" i="1" s="1"/>
  <c r="A3469" i="1"/>
  <c r="V3469" i="1" s="1"/>
  <c r="A3470" i="1"/>
  <c r="V3470" i="1" s="1"/>
  <c r="A3471" i="1"/>
  <c r="V3471" i="1" s="1"/>
  <c r="A3472" i="1"/>
  <c r="V3472" i="1" s="1"/>
  <c r="A3473" i="1"/>
  <c r="V3473" i="1" s="1"/>
  <c r="A3474" i="1"/>
  <c r="V3474" i="1" s="1"/>
  <c r="A3475" i="1"/>
  <c r="V3475" i="1" s="1"/>
  <c r="A3476" i="1"/>
  <c r="V3476" i="1" s="1"/>
  <c r="A3477" i="1"/>
  <c r="V3477" i="1" s="1"/>
  <c r="A3478" i="1"/>
  <c r="V3478" i="1" s="1"/>
  <c r="A3479" i="1"/>
  <c r="V3479" i="1" s="1"/>
  <c r="A3480" i="1"/>
  <c r="V3480" i="1" s="1"/>
  <c r="A3481" i="1"/>
  <c r="V3481" i="1" s="1"/>
  <c r="A3482" i="1"/>
  <c r="V3482" i="1" s="1"/>
  <c r="A3483" i="1"/>
  <c r="V3483" i="1" s="1"/>
  <c r="A3484" i="1"/>
  <c r="V3484" i="1" s="1"/>
  <c r="A3485" i="1"/>
  <c r="V3485" i="1" s="1"/>
  <c r="A3486" i="1"/>
  <c r="V3486" i="1" s="1"/>
  <c r="A3487" i="1"/>
  <c r="V3487" i="1" s="1"/>
  <c r="A3488" i="1"/>
  <c r="V3488" i="1" s="1"/>
  <c r="A3489" i="1"/>
  <c r="V3489" i="1" s="1"/>
  <c r="A3490" i="1"/>
  <c r="V3490" i="1" s="1"/>
  <c r="A3491" i="1"/>
  <c r="V3491" i="1" s="1"/>
  <c r="A3492" i="1"/>
  <c r="V3492" i="1" s="1"/>
  <c r="A3493" i="1"/>
  <c r="V3493" i="1" s="1"/>
  <c r="A3494" i="1"/>
  <c r="V3494" i="1" s="1"/>
  <c r="A3495" i="1"/>
  <c r="V3495" i="1" s="1"/>
  <c r="A3496" i="1"/>
  <c r="V3496" i="1" s="1"/>
  <c r="A3497" i="1"/>
  <c r="V3497" i="1" s="1"/>
  <c r="A3498" i="1"/>
  <c r="V3498" i="1" s="1"/>
  <c r="A3499" i="1"/>
  <c r="V3499" i="1" s="1"/>
  <c r="A3500" i="1"/>
  <c r="V3500" i="1" s="1"/>
  <c r="A3501" i="1"/>
  <c r="V3501" i="1" s="1"/>
  <c r="A3502" i="1"/>
  <c r="V3502" i="1" s="1"/>
  <c r="A3503" i="1"/>
  <c r="V3503" i="1" s="1"/>
  <c r="A3504" i="1"/>
  <c r="V3504" i="1" s="1"/>
  <c r="A3505" i="1"/>
  <c r="V3505" i="1" s="1"/>
  <c r="A3506" i="1"/>
  <c r="V3506" i="1" s="1"/>
  <c r="A3507" i="1"/>
  <c r="V3507" i="1" s="1"/>
  <c r="A3508" i="1"/>
  <c r="V3508" i="1" s="1"/>
  <c r="A3509" i="1"/>
  <c r="V3509" i="1" s="1"/>
  <c r="A3510" i="1"/>
  <c r="V3510" i="1" s="1"/>
  <c r="A3511" i="1"/>
  <c r="V3511" i="1" s="1"/>
  <c r="A3512" i="1"/>
  <c r="V3512" i="1" s="1"/>
  <c r="A3513" i="1"/>
  <c r="V3513" i="1" s="1"/>
  <c r="A3514" i="1"/>
  <c r="V3514" i="1" s="1"/>
  <c r="A3515" i="1"/>
  <c r="V3515" i="1" s="1"/>
  <c r="A3516" i="1"/>
  <c r="V3516" i="1" s="1"/>
  <c r="A3517" i="1"/>
  <c r="V3517" i="1" s="1"/>
  <c r="A3518" i="1"/>
  <c r="V3518" i="1" s="1"/>
  <c r="A3519" i="1"/>
  <c r="V3519" i="1" s="1"/>
  <c r="A3520" i="1"/>
  <c r="V3520" i="1" s="1"/>
  <c r="A3521" i="1"/>
  <c r="V3521" i="1" s="1"/>
  <c r="A3522" i="1"/>
  <c r="V3522" i="1" s="1"/>
  <c r="A3523" i="1"/>
  <c r="V3523" i="1" s="1"/>
  <c r="A3524" i="1"/>
  <c r="V3524" i="1" s="1"/>
  <c r="A3525" i="1"/>
  <c r="V3525" i="1" s="1"/>
  <c r="A3526" i="1"/>
  <c r="V3526" i="1" s="1"/>
  <c r="A3527" i="1"/>
  <c r="V3527" i="1" s="1"/>
  <c r="A3528" i="1"/>
  <c r="V3528" i="1" s="1"/>
  <c r="A3529" i="1"/>
  <c r="V3529" i="1" s="1"/>
  <c r="A3530" i="1"/>
  <c r="V3530" i="1" s="1"/>
  <c r="A3531" i="1"/>
  <c r="V3531" i="1" s="1"/>
  <c r="A3532" i="1"/>
  <c r="V3532" i="1" s="1"/>
  <c r="A3533" i="1"/>
  <c r="V3533" i="1" s="1"/>
  <c r="A3534" i="1"/>
  <c r="V3534" i="1" s="1"/>
  <c r="A3535" i="1"/>
  <c r="V3535" i="1" s="1"/>
  <c r="A3536" i="1"/>
  <c r="V3536" i="1" s="1"/>
  <c r="A3537" i="1"/>
  <c r="V3537" i="1" s="1"/>
  <c r="A3538" i="1"/>
  <c r="V3538" i="1" s="1"/>
  <c r="A3539" i="1"/>
  <c r="V3539" i="1" s="1"/>
  <c r="A3540" i="1"/>
  <c r="V3540" i="1" s="1"/>
  <c r="A3541" i="1"/>
  <c r="V3541" i="1" s="1"/>
  <c r="A3542" i="1"/>
  <c r="V3542" i="1" s="1"/>
  <c r="A3543" i="1"/>
  <c r="V3543" i="1" s="1"/>
  <c r="A3544" i="1"/>
  <c r="V3544" i="1" s="1"/>
  <c r="A3545" i="1"/>
  <c r="V3545" i="1" s="1"/>
  <c r="A3546" i="1"/>
  <c r="V3546" i="1" s="1"/>
  <c r="A3547" i="1"/>
  <c r="V3547" i="1" s="1"/>
  <c r="A3548" i="1"/>
  <c r="V3548" i="1" s="1"/>
  <c r="A3549" i="1"/>
  <c r="V3549" i="1" s="1"/>
  <c r="A3550" i="1"/>
  <c r="V3550" i="1" s="1"/>
  <c r="A3551" i="1"/>
  <c r="V3551" i="1" s="1"/>
  <c r="A3552" i="1"/>
  <c r="V3552" i="1" s="1"/>
  <c r="A3553" i="1"/>
  <c r="V3553" i="1" s="1"/>
  <c r="A3554" i="1"/>
  <c r="V3554" i="1" s="1"/>
  <c r="A3555" i="1"/>
  <c r="V3555" i="1" s="1"/>
  <c r="A3556" i="1"/>
  <c r="V3556" i="1" s="1"/>
  <c r="A3557" i="1"/>
  <c r="V3557" i="1" s="1"/>
  <c r="A3558" i="1"/>
  <c r="V3558" i="1" s="1"/>
  <c r="A3559" i="1"/>
  <c r="V3559" i="1" s="1"/>
  <c r="A3560" i="1"/>
  <c r="V3560" i="1" s="1"/>
  <c r="A3561" i="1"/>
  <c r="V3561" i="1" s="1"/>
  <c r="A3562" i="1"/>
  <c r="V3562" i="1" s="1"/>
  <c r="A3563" i="1"/>
  <c r="V3563" i="1" s="1"/>
  <c r="A3564" i="1"/>
  <c r="V3564" i="1" s="1"/>
  <c r="A3565" i="1"/>
  <c r="V3565" i="1" s="1"/>
  <c r="A3566" i="1"/>
  <c r="V3566" i="1" s="1"/>
  <c r="A3567" i="1"/>
  <c r="V3567" i="1" s="1"/>
  <c r="A3568" i="1"/>
  <c r="V3568" i="1" s="1"/>
  <c r="A3569" i="1"/>
  <c r="V3569" i="1" s="1"/>
  <c r="A3570" i="1"/>
  <c r="V3570" i="1" s="1"/>
  <c r="A3571" i="1"/>
  <c r="V3571" i="1" s="1"/>
  <c r="A3572" i="1"/>
  <c r="V3572" i="1" s="1"/>
  <c r="A3573" i="1"/>
  <c r="V3573" i="1" s="1"/>
  <c r="A3574" i="1"/>
  <c r="V3574" i="1" s="1"/>
  <c r="A3575" i="1"/>
  <c r="V3575" i="1" s="1"/>
  <c r="A3576" i="1"/>
  <c r="V3576" i="1" s="1"/>
  <c r="A3577" i="1"/>
  <c r="V3577" i="1" s="1"/>
  <c r="A3578" i="1"/>
  <c r="V3578" i="1" s="1"/>
  <c r="A3579" i="1"/>
  <c r="V3579" i="1" s="1"/>
  <c r="A3580" i="1"/>
  <c r="V3580" i="1" s="1"/>
  <c r="A3581" i="1"/>
  <c r="V3581" i="1" s="1"/>
  <c r="A3582" i="1"/>
  <c r="V3582" i="1" s="1"/>
  <c r="A3583" i="1"/>
  <c r="V3583" i="1" s="1"/>
  <c r="A3584" i="1"/>
  <c r="V3584" i="1" s="1"/>
  <c r="A3585" i="1"/>
  <c r="V3585" i="1" s="1"/>
  <c r="A3586" i="1"/>
  <c r="V3586" i="1" s="1"/>
  <c r="A3587" i="1"/>
  <c r="V3587" i="1" s="1"/>
  <c r="A3588" i="1"/>
  <c r="V3588" i="1" s="1"/>
  <c r="A3589" i="1"/>
  <c r="V3589" i="1" s="1"/>
  <c r="A3590" i="1"/>
  <c r="V3590" i="1" s="1"/>
  <c r="A3591" i="1"/>
  <c r="V3591" i="1" s="1"/>
  <c r="A3592" i="1"/>
  <c r="V3592" i="1" s="1"/>
  <c r="A3593" i="1"/>
  <c r="V3593" i="1" s="1"/>
  <c r="A3594" i="1"/>
  <c r="V3594" i="1" s="1"/>
  <c r="A3595" i="1"/>
  <c r="V3595" i="1" s="1"/>
  <c r="A3596" i="1"/>
  <c r="V3596" i="1" s="1"/>
  <c r="A3597" i="1"/>
  <c r="V3597" i="1" s="1"/>
  <c r="A3598" i="1"/>
  <c r="V3598" i="1" s="1"/>
  <c r="A3599" i="1"/>
  <c r="V3599" i="1" s="1"/>
  <c r="A3600" i="1"/>
  <c r="V3600" i="1" s="1"/>
  <c r="A3601" i="1"/>
  <c r="V3601" i="1" s="1"/>
  <c r="A3602" i="1"/>
  <c r="V3602" i="1" s="1"/>
  <c r="A3603" i="1"/>
  <c r="V3603" i="1" s="1"/>
  <c r="A3604" i="1"/>
  <c r="V3604" i="1" s="1"/>
  <c r="A3605" i="1"/>
  <c r="V3605" i="1" s="1"/>
  <c r="A3744" i="1"/>
  <c r="V3744" i="1" s="1"/>
  <c r="A3606" i="1"/>
  <c r="V3606" i="1" s="1"/>
  <c r="A3607" i="1"/>
  <c r="V3607" i="1" s="1"/>
  <c r="A3608" i="1"/>
  <c r="V3608" i="1" s="1"/>
  <c r="A3609" i="1"/>
  <c r="V3609" i="1" s="1"/>
  <c r="A3610" i="1"/>
  <c r="V3610" i="1" s="1"/>
  <c r="A3611" i="1"/>
  <c r="V3611" i="1" s="1"/>
  <c r="A3612" i="1"/>
  <c r="V3612" i="1" s="1"/>
  <c r="A3613" i="1"/>
  <c r="V3613" i="1" s="1"/>
  <c r="A3614" i="1"/>
  <c r="V3614" i="1" s="1"/>
  <c r="A3615" i="1"/>
  <c r="V3615" i="1" s="1"/>
  <c r="A3616" i="1"/>
  <c r="V3616" i="1" s="1"/>
  <c r="A3617" i="1"/>
  <c r="V3617" i="1" s="1"/>
  <c r="A3618" i="1"/>
  <c r="V3618" i="1" s="1"/>
  <c r="A3619" i="1"/>
  <c r="V3619" i="1" s="1"/>
  <c r="A3620" i="1"/>
  <c r="V3620" i="1" s="1"/>
  <c r="A3621" i="1"/>
  <c r="V3621" i="1" s="1"/>
  <c r="A3622" i="1"/>
  <c r="V3622" i="1" s="1"/>
  <c r="A3623" i="1"/>
  <c r="V3623" i="1" s="1"/>
  <c r="A3624" i="1"/>
  <c r="V3624" i="1" s="1"/>
  <c r="A3625" i="1"/>
  <c r="V3625" i="1" s="1"/>
  <c r="A3626" i="1"/>
  <c r="V3626" i="1" s="1"/>
  <c r="A3627" i="1"/>
  <c r="V3627" i="1" s="1"/>
  <c r="A3628" i="1"/>
  <c r="V3628" i="1" s="1"/>
  <c r="A3629" i="1"/>
  <c r="V3629" i="1" s="1"/>
  <c r="A3630" i="1"/>
  <c r="V3630" i="1" s="1"/>
  <c r="A3631" i="1"/>
  <c r="V3631" i="1" s="1"/>
  <c r="A3632" i="1"/>
  <c r="V3632" i="1" s="1"/>
  <c r="A3633" i="1"/>
  <c r="V3633" i="1" s="1"/>
  <c r="A3634" i="1"/>
  <c r="V3634" i="1" s="1"/>
  <c r="A3635" i="1"/>
  <c r="V3635" i="1" s="1"/>
  <c r="A3636" i="1"/>
  <c r="V3636" i="1" s="1"/>
  <c r="A3637" i="1"/>
  <c r="V3637" i="1" s="1"/>
  <c r="A3638" i="1"/>
  <c r="V3638" i="1" s="1"/>
  <c r="A3639" i="1"/>
  <c r="V3639" i="1" s="1"/>
  <c r="A3640" i="1"/>
  <c r="V3640" i="1" s="1"/>
  <c r="A3641" i="1"/>
  <c r="V3641" i="1" s="1"/>
  <c r="A3642" i="1"/>
  <c r="V3642" i="1" s="1"/>
  <c r="A3643" i="1"/>
  <c r="V3643" i="1" s="1"/>
  <c r="A3644" i="1"/>
  <c r="V3644" i="1" s="1"/>
  <c r="A3645" i="1"/>
  <c r="V3645" i="1" s="1"/>
  <c r="A3646" i="1"/>
  <c r="V3646" i="1" s="1"/>
  <c r="A3647" i="1"/>
  <c r="V3647" i="1" s="1"/>
  <c r="A3648" i="1"/>
  <c r="V3648" i="1" s="1"/>
  <c r="A3649" i="1"/>
  <c r="V3649" i="1" s="1"/>
  <c r="A3650" i="1"/>
  <c r="V3650" i="1" s="1"/>
  <c r="A3651" i="1"/>
  <c r="V3651" i="1" s="1"/>
  <c r="A3652" i="1"/>
  <c r="V3652" i="1" s="1"/>
  <c r="A3653" i="1"/>
  <c r="V3653" i="1" s="1"/>
  <c r="A3654" i="1"/>
  <c r="V3654" i="1" s="1"/>
  <c r="A3655" i="1"/>
  <c r="V3655" i="1" s="1"/>
  <c r="A3656" i="1"/>
  <c r="V3656" i="1" s="1"/>
  <c r="A3657" i="1"/>
  <c r="V3657" i="1" s="1"/>
  <c r="A3658" i="1"/>
  <c r="V3658" i="1" s="1"/>
  <c r="A3659" i="1"/>
  <c r="V3659" i="1" s="1"/>
  <c r="A3660" i="1"/>
  <c r="V3660" i="1" s="1"/>
  <c r="A3661" i="1"/>
  <c r="V3661" i="1" s="1"/>
  <c r="A3662" i="1"/>
  <c r="V3662" i="1" s="1"/>
  <c r="A3663" i="1"/>
  <c r="V3663" i="1" s="1"/>
  <c r="A3664" i="1"/>
  <c r="V3664" i="1" s="1"/>
  <c r="A3665" i="1"/>
  <c r="V3665" i="1" s="1"/>
  <c r="A3666" i="1"/>
  <c r="V3666" i="1" s="1"/>
  <c r="A3667" i="1"/>
  <c r="V3667" i="1" s="1"/>
  <c r="A3668" i="1"/>
  <c r="V3668" i="1" s="1"/>
  <c r="A3669" i="1"/>
  <c r="V3669" i="1" s="1"/>
  <c r="A3670" i="1"/>
  <c r="V3670" i="1" s="1"/>
  <c r="A3671" i="1"/>
  <c r="V3671" i="1" s="1"/>
  <c r="A3672" i="1"/>
  <c r="V3672" i="1" s="1"/>
  <c r="A3673" i="1"/>
  <c r="V3673" i="1" s="1"/>
  <c r="A3674" i="1"/>
  <c r="V3674" i="1" s="1"/>
  <c r="A3675" i="1"/>
  <c r="V3675" i="1" s="1"/>
  <c r="A3676" i="1"/>
  <c r="V3676" i="1" s="1"/>
  <c r="A3677" i="1"/>
  <c r="V3677" i="1" s="1"/>
  <c r="A3678" i="1"/>
  <c r="V3678" i="1" s="1"/>
  <c r="A3679" i="1"/>
  <c r="V3679" i="1" s="1"/>
  <c r="A3680" i="1"/>
  <c r="V3680" i="1" s="1"/>
  <c r="A3681" i="1"/>
  <c r="V3681" i="1" s="1"/>
  <c r="A3682" i="1"/>
  <c r="V3682" i="1" s="1"/>
  <c r="A3683" i="1"/>
  <c r="V3683" i="1" s="1"/>
  <c r="A3684" i="1"/>
  <c r="V3684" i="1" s="1"/>
  <c r="A3685" i="1"/>
  <c r="V3685" i="1" s="1"/>
  <c r="A3686" i="1"/>
  <c r="V3686" i="1" s="1"/>
  <c r="A3687" i="1"/>
  <c r="V3687" i="1" s="1"/>
  <c r="A3688" i="1"/>
  <c r="V3688" i="1" s="1"/>
  <c r="A3689" i="1"/>
  <c r="V3689" i="1" s="1"/>
  <c r="A3690" i="1"/>
  <c r="V3690" i="1" s="1"/>
  <c r="A3691" i="1"/>
  <c r="V3691" i="1" s="1"/>
  <c r="A3692" i="1"/>
  <c r="V3692" i="1" s="1"/>
  <c r="A3693" i="1"/>
  <c r="V3693" i="1" s="1"/>
  <c r="A3694" i="1"/>
  <c r="V3694" i="1" s="1"/>
  <c r="A3695" i="1"/>
  <c r="V3695" i="1" s="1"/>
  <c r="A3696" i="1"/>
  <c r="V3696" i="1" s="1"/>
  <c r="A3697" i="1"/>
  <c r="V3697" i="1" s="1"/>
  <c r="A3698" i="1"/>
  <c r="V3698" i="1" s="1"/>
  <c r="A3699" i="1"/>
  <c r="V3699" i="1" s="1"/>
  <c r="A3700" i="1"/>
  <c r="V3700" i="1" s="1"/>
  <c r="A3701" i="1"/>
  <c r="V3701" i="1" s="1"/>
  <c r="A3702" i="1"/>
  <c r="V3702" i="1" s="1"/>
  <c r="A3703" i="1"/>
  <c r="V3703" i="1" s="1"/>
  <c r="A3704" i="1"/>
  <c r="V3704" i="1" s="1"/>
  <c r="A3705" i="1"/>
  <c r="V3705" i="1" s="1"/>
  <c r="A3706" i="1"/>
  <c r="V3706" i="1" s="1"/>
  <c r="A3707" i="1"/>
  <c r="V3707" i="1" s="1"/>
  <c r="A3708" i="1"/>
  <c r="V3708" i="1" s="1"/>
  <c r="A3709" i="1"/>
  <c r="V3709" i="1" s="1"/>
  <c r="A3710" i="1"/>
  <c r="V3710" i="1" s="1"/>
  <c r="A3711" i="1"/>
  <c r="V3711" i="1" s="1"/>
  <c r="A3712" i="1"/>
  <c r="V3712" i="1" s="1"/>
  <c r="A3713" i="1"/>
  <c r="V3713" i="1" s="1"/>
  <c r="A3714" i="1"/>
  <c r="V3714" i="1" s="1"/>
  <c r="A3715" i="1"/>
  <c r="V3715" i="1" s="1"/>
  <c r="A3716" i="1"/>
  <c r="V3716" i="1" s="1"/>
  <c r="A3717" i="1"/>
  <c r="V3717" i="1" s="1"/>
  <c r="A3718" i="1"/>
  <c r="V3718" i="1" s="1"/>
  <c r="A3719" i="1"/>
  <c r="V3719" i="1" s="1"/>
  <c r="A3720" i="1"/>
  <c r="V3720" i="1" s="1"/>
  <c r="A3721" i="1"/>
  <c r="V3721" i="1" s="1"/>
  <c r="A3722" i="1"/>
  <c r="V3722" i="1" s="1"/>
  <c r="A3723" i="1"/>
  <c r="V3723" i="1" s="1"/>
  <c r="A3724" i="1"/>
  <c r="V3724" i="1" s="1"/>
  <c r="A3725" i="1"/>
  <c r="V3725" i="1" s="1"/>
  <c r="A3726" i="1"/>
  <c r="V3726" i="1" s="1"/>
  <c r="A3727" i="1"/>
  <c r="V3727" i="1" s="1"/>
  <c r="A3728" i="1"/>
  <c r="V3728" i="1" s="1"/>
  <c r="A3729" i="1"/>
  <c r="V3729" i="1" s="1"/>
  <c r="A3730" i="1"/>
  <c r="V3730" i="1" s="1"/>
  <c r="A3731" i="1"/>
  <c r="V3731" i="1" s="1"/>
  <c r="A3732" i="1"/>
  <c r="V3732" i="1" s="1"/>
  <c r="A3733" i="1"/>
  <c r="V3733" i="1" s="1"/>
  <c r="A3734" i="1"/>
  <c r="V3734" i="1" s="1"/>
  <c r="A3735" i="1"/>
  <c r="V3735" i="1" s="1"/>
  <c r="A3736" i="1"/>
  <c r="V3736" i="1" s="1"/>
  <c r="A2184" i="1"/>
  <c r="V2184" i="1" s="1"/>
  <c r="A3738" i="1"/>
  <c r="V3738" i="1" s="1"/>
  <c r="A3739" i="1"/>
  <c r="V3739" i="1" s="1"/>
  <c r="A3740" i="1"/>
  <c r="V3740" i="1" s="1"/>
  <c r="A2224" i="1"/>
  <c r="V2224" i="1" s="1"/>
  <c r="A2275" i="1"/>
  <c r="V2275" i="1" s="1"/>
  <c r="A2295" i="1"/>
  <c r="V2295" i="1" s="1"/>
  <c r="A3737" i="1"/>
  <c r="V3737" i="1" s="1"/>
  <c r="A3741" i="1"/>
  <c r="V3741" i="1" s="1"/>
  <c r="A3742" i="1"/>
  <c r="V3742" i="1" s="1"/>
  <c r="A3743" i="1"/>
  <c r="V3743" i="1" s="1"/>
  <c r="A3745" i="1"/>
  <c r="V3745" i="1" s="1"/>
  <c r="A3746" i="1"/>
  <c r="V3746" i="1" s="1"/>
  <c r="A3756" i="1"/>
  <c r="V3756" i="1" s="1"/>
  <c r="A3757" i="1"/>
  <c r="V3757" i="1" s="1"/>
  <c r="A3762" i="1"/>
  <c r="V3762" i="1" s="1"/>
  <c r="A3747" i="1"/>
  <c r="V3747" i="1" s="1"/>
  <c r="A3748" i="1"/>
  <c r="V3748" i="1" s="1"/>
  <c r="A3749" i="1"/>
  <c r="V3749" i="1" s="1"/>
  <c r="A3750" i="1"/>
  <c r="V3750" i="1" s="1"/>
  <c r="A3751" i="1"/>
  <c r="V3751" i="1" s="1"/>
  <c r="A3752" i="1"/>
  <c r="V3752" i="1" s="1"/>
  <c r="A3753" i="1"/>
  <c r="V3753" i="1" s="1"/>
  <c r="A3754" i="1"/>
  <c r="V3754" i="1" s="1"/>
  <c r="A3763" i="1"/>
  <c r="V3763" i="1" s="1"/>
  <c r="A3767" i="1"/>
  <c r="V3767" i="1" s="1"/>
  <c r="A3768" i="1"/>
  <c r="V3768" i="1" s="1"/>
  <c r="A3770" i="1"/>
  <c r="V3770" i="1" s="1"/>
  <c r="A3772" i="1"/>
  <c r="V3772" i="1" s="1"/>
  <c r="A4023" i="1"/>
  <c r="V4023" i="1" s="1"/>
  <c r="A4024" i="1"/>
  <c r="V4024" i="1" s="1"/>
  <c r="A4026" i="1"/>
  <c r="V4026" i="1" s="1"/>
  <c r="A4030" i="1"/>
  <c r="V4030" i="1" s="1"/>
  <c r="A4032" i="1"/>
  <c r="V4032" i="1" s="1"/>
  <c r="A4035" i="1"/>
  <c r="V4035" i="1" s="1"/>
  <c r="A4036" i="1"/>
  <c r="V4036" i="1" s="1"/>
  <c r="A4037" i="1"/>
  <c r="V4037" i="1" s="1"/>
  <c r="A4038" i="1"/>
  <c r="V4038" i="1" s="1"/>
  <c r="A4042" i="1"/>
  <c r="V4042" i="1" s="1"/>
  <c r="A4043" i="1"/>
  <c r="V4043" i="1" s="1"/>
  <c r="A4044" i="1"/>
  <c r="V4044" i="1" s="1"/>
  <c r="A4045" i="1"/>
  <c r="V4045" i="1" s="1"/>
  <c r="A4046" i="1"/>
  <c r="V4046" i="1" s="1"/>
  <c r="A4047" i="1"/>
  <c r="V4047" i="1" s="1"/>
  <c r="A4058" i="1"/>
  <c r="V4058" i="1" s="1"/>
  <c r="A4064" i="1"/>
  <c r="V4064" i="1" s="1"/>
  <c r="A3774" i="1"/>
  <c r="V3774" i="1" s="1"/>
  <c r="A3775" i="1"/>
  <c r="V3775" i="1" s="1"/>
  <c r="A3776" i="1"/>
  <c r="V3776" i="1" s="1"/>
  <c r="A3777" i="1"/>
  <c r="V3777" i="1" s="1"/>
  <c r="A3778" i="1"/>
  <c r="V3778" i="1" s="1"/>
  <c r="A3779" i="1"/>
  <c r="V3779" i="1" s="1"/>
  <c r="A3780" i="1"/>
  <c r="V3780" i="1" s="1"/>
  <c r="A3781" i="1"/>
  <c r="V3781" i="1" s="1"/>
  <c r="A3782" i="1"/>
  <c r="V3782" i="1" s="1"/>
  <c r="A3783" i="1"/>
  <c r="V3783" i="1" s="1"/>
  <c r="A3784" i="1"/>
  <c r="V3784" i="1" s="1"/>
  <c r="A3785" i="1"/>
  <c r="V3785" i="1" s="1"/>
  <c r="A3786" i="1"/>
  <c r="V3786" i="1" s="1"/>
  <c r="A3787" i="1"/>
  <c r="V3787" i="1" s="1"/>
  <c r="A3788" i="1"/>
  <c r="V3788" i="1" s="1"/>
  <c r="A3789" i="1"/>
  <c r="V3789" i="1" s="1"/>
  <c r="A3790" i="1"/>
  <c r="V3790" i="1" s="1"/>
  <c r="A3791" i="1"/>
  <c r="V3791" i="1" s="1"/>
  <c r="A3792" i="1"/>
  <c r="V3792" i="1" s="1"/>
  <c r="A3793" i="1"/>
  <c r="V3793" i="1" s="1"/>
  <c r="A3794" i="1"/>
  <c r="V3794" i="1" s="1"/>
  <c r="A3795" i="1"/>
  <c r="V3795" i="1" s="1"/>
  <c r="A3796" i="1"/>
  <c r="V3796" i="1" s="1"/>
  <c r="A3797" i="1"/>
  <c r="V3797" i="1" s="1"/>
  <c r="A3798" i="1"/>
  <c r="V3798" i="1" s="1"/>
  <c r="A3799" i="1"/>
  <c r="V3799" i="1" s="1"/>
  <c r="A3800" i="1"/>
  <c r="V3800" i="1" s="1"/>
  <c r="A3801" i="1"/>
  <c r="V3801" i="1" s="1"/>
  <c r="A3802" i="1"/>
  <c r="V3802" i="1" s="1"/>
  <c r="A3803" i="1"/>
  <c r="V3803" i="1" s="1"/>
  <c r="A3804" i="1"/>
  <c r="V3804" i="1" s="1"/>
  <c r="A3805" i="1"/>
  <c r="V3805" i="1" s="1"/>
  <c r="A3806" i="1"/>
  <c r="V3806" i="1" s="1"/>
  <c r="A3807" i="1"/>
  <c r="V3807" i="1" s="1"/>
  <c r="A3808" i="1"/>
  <c r="V3808" i="1" s="1"/>
  <c r="A3809" i="1"/>
  <c r="V3809" i="1" s="1"/>
  <c r="A3810" i="1"/>
  <c r="V3810" i="1" s="1"/>
  <c r="A3811" i="1"/>
  <c r="V3811" i="1" s="1"/>
  <c r="A3812" i="1"/>
  <c r="V3812" i="1" s="1"/>
  <c r="A3813" i="1"/>
  <c r="V3813" i="1" s="1"/>
  <c r="A3814" i="1"/>
  <c r="V3814" i="1" s="1"/>
  <c r="A3815" i="1"/>
  <c r="V3815" i="1" s="1"/>
  <c r="A3816" i="1"/>
  <c r="V3816" i="1" s="1"/>
  <c r="A3817" i="1"/>
  <c r="V3817" i="1" s="1"/>
  <c r="A3818" i="1"/>
  <c r="V3818" i="1" s="1"/>
  <c r="A3819" i="1"/>
  <c r="V3819" i="1" s="1"/>
  <c r="A3820" i="1"/>
  <c r="V3820" i="1" s="1"/>
  <c r="A3821" i="1"/>
  <c r="V3821" i="1" s="1"/>
  <c r="A3822" i="1"/>
  <c r="V3822" i="1" s="1"/>
  <c r="A3823" i="1"/>
  <c r="V3823" i="1" s="1"/>
  <c r="A3824" i="1"/>
  <c r="V3824" i="1" s="1"/>
  <c r="A3825" i="1"/>
  <c r="V3825" i="1" s="1"/>
  <c r="A3826" i="1"/>
  <c r="V3826" i="1" s="1"/>
  <c r="A3827" i="1"/>
  <c r="V3827" i="1" s="1"/>
  <c r="A3828" i="1"/>
  <c r="V3828" i="1" s="1"/>
  <c r="A3829" i="1"/>
  <c r="V3829" i="1" s="1"/>
  <c r="A3830" i="1"/>
  <c r="V3830" i="1" s="1"/>
  <c r="A3831" i="1"/>
  <c r="V3831" i="1" s="1"/>
  <c r="A3832" i="1"/>
  <c r="V3832" i="1" s="1"/>
  <c r="A3833" i="1"/>
  <c r="V3833" i="1" s="1"/>
  <c r="A3834" i="1"/>
  <c r="V3834" i="1" s="1"/>
  <c r="A3835" i="1"/>
  <c r="V3835" i="1" s="1"/>
  <c r="A3836" i="1"/>
  <c r="V3836" i="1" s="1"/>
  <c r="A3837" i="1"/>
  <c r="V3837" i="1" s="1"/>
  <c r="A3838" i="1"/>
  <c r="V3838" i="1" s="1"/>
  <c r="A3839" i="1"/>
  <c r="V3839" i="1" s="1"/>
  <c r="A3840" i="1"/>
  <c r="V3840" i="1" s="1"/>
  <c r="A3841" i="1"/>
  <c r="V3841" i="1" s="1"/>
  <c r="A3842" i="1"/>
  <c r="V3842" i="1" s="1"/>
  <c r="A3843" i="1"/>
  <c r="V3843" i="1" s="1"/>
  <c r="A3844" i="1"/>
  <c r="V3844" i="1" s="1"/>
  <c r="A3845" i="1"/>
  <c r="V3845" i="1" s="1"/>
  <c r="A3846" i="1"/>
  <c r="V3846" i="1" s="1"/>
  <c r="A3847" i="1"/>
  <c r="V3847" i="1" s="1"/>
  <c r="A3848" i="1"/>
  <c r="V3848" i="1" s="1"/>
  <c r="A3849" i="1"/>
  <c r="V3849" i="1" s="1"/>
  <c r="A3850" i="1"/>
  <c r="V3850" i="1" s="1"/>
  <c r="A3851" i="1"/>
  <c r="V3851" i="1" s="1"/>
  <c r="A3852" i="1"/>
  <c r="V3852" i="1" s="1"/>
  <c r="A3853" i="1"/>
  <c r="V3853" i="1" s="1"/>
  <c r="A3854" i="1"/>
  <c r="V3854" i="1" s="1"/>
  <c r="A3855" i="1"/>
  <c r="V3855" i="1" s="1"/>
  <c r="A3856" i="1"/>
  <c r="V3856" i="1" s="1"/>
  <c r="A3857" i="1"/>
  <c r="V3857" i="1" s="1"/>
  <c r="A3858" i="1"/>
  <c r="V3858" i="1" s="1"/>
  <c r="A3859" i="1"/>
  <c r="V3859" i="1" s="1"/>
  <c r="A3860" i="1"/>
  <c r="V3860" i="1" s="1"/>
  <c r="A3861" i="1"/>
  <c r="V3861" i="1" s="1"/>
  <c r="A3862" i="1"/>
  <c r="V3862" i="1" s="1"/>
  <c r="A3863" i="1"/>
  <c r="V3863" i="1" s="1"/>
  <c r="A3864" i="1"/>
  <c r="V3864" i="1" s="1"/>
  <c r="A3865" i="1"/>
  <c r="V3865" i="1" s="1"/>
  <c r="A3866" i="1"/>
  <c r="V3866" i="1" s="1"/>
  <c r="A3867" i="1"/>
  <c r="V3867" i="1" s="1"/>
  <c r="A3868" i="1"/>
  <c r="V3868" i="1" s="1"/>
  <c r="A3869" i="1"/>
  <c r="V3869" i="1" s="1"/>
  <c r="A3870" i="1"/>
  <c r="V3870" i="1" s="1"/>
  <c r="A3871" i="1"/>
  <c r="V3871" i="1" s="1"/>
  <c r="A3872" i="1"/>
  <c r="V3872" i="1" s="1"/>
  <c r="A3873" i="1"/>
  <c r="V3873" i="1" s="1"/>
  <c r="A3874" i="1"/>
  <c r="V3874" i="1" s="1"/>
  <c r="A3875" i="1"/>
  <c r="V3875" i="1" s="1"/>
  <c r="A3876" i="1"/>
  <c r="V3876" i="1" s="1"/>
  <c r="A3877" i="1"/>
  <c r="V3877" i="1" s="1"/>
  <c r="A3878" i="1"/>
  <c r="V3878" i="1" s="1"/>
  <c r="A3879" i="1"/>
  <c r="V3879" i="1" s="1"/>
  <c r="A3880" i="1"/>
  <c r="V3880" i="1" s="1"/>
  <c r="A3881" i="1"/>
  <c r="V3881" i="1" s="1"/>
  <c r="A3882" i="1"/>
  <c r="V3882" i="1" s="1"/>
  <c r="A3883" i="1"/>
  <c r="V3883" i="1" s="1"/>
  <c r="A3884" i="1"/>
  <c r="V3884" i="1" s="1"/>
  <c r="A3885" i="1"/>
  <c r="V3885" i="1" s="1"/>
  <c r="A3886" i="1"/>
  <c r="V3886" i="1" s="1"/>
  <c r="A3887" i="1"/>
  <c r="V3887" i="1" s="1"/>
  <c r="A3888" i="1"/>
  <c r="V3888" i="1" s="1"/>
  <c r="A3889" i="1"/>
  <c r="V3889" i="1" s="1"/>
  <c r="A3890" i="1"/>
  <c r="V3890" i="1" s="1"/>
  <c r="A3891" i="1"/>
  <c r="V3891" i="1" s="1"/>
  <c r="A3892" i="1"/>
  <c r="V3892" i="1" s="1"/>
  <c r="A3893" i="1"/>
  <c r="V3893" i="1" s="1"/>
  <c r="A3894" i="1"/>
  <c r="V3894" i="1" s="1"/>
  <c r="A3895" i="1"/>
  <c r="V3895" i="1" s="1"/>
  <c r="A3896" i="1"/>
  <c r="V3896" i="1" s="1"/>
  <c r="A3897" i="1"/>
  <c r="V3897" i="1" s="1"/>
  <c r="A3898" i="1"/>
  <c r="V3898" i="1" s="1"/>
  <c r="A3899" i="1"/>
  <c r="V3899" i="1" s="1"/>
  <c r="A3900" i="1"/>
  <c r="V3900" i="1" s="1"/>
  <c r="A3901" i="1"/>
  <c r="V3901" i="1" s="1"/>
  <c r="A3902" i="1"/>
  <c r="V3902" i="1" s="1"/>
  <c r="A3903" i="1"/>
  <c r="V3903" i="1" s="1"/>
  <c r="A3904" i="1"/>
  <c r="V3904" i="1" s="1"/>
  <c r="A3905" i="1"/>
  <c r="V3905" i="1" s="1"/>
  <c r="A3906" i="1"/>
  <c r="V3906" i="1" s="1"/>
  <c r="A3907" i="1"/>
  <c r="V3907" i="1" s="1"/>
  <c r="A3908" i="1"/>
  <c r="V3908" i="1" s="1"/>
  <c r="A3909" i="1"/>
  <c r="V3909" i="1" s="1"/>
  <c r="A3910" i="1"/>
  <c r="V3910" i="1" s="1"/>
  <c r="A3911" i="1"/>
  <c r="V3911" i="1" s="1"/>
  <c r="A3912" i="1"/>
  <c r="V3912" i="1" s="1"/>
  <c r="A3913" i="1"/>
  <c r="V3913" i="1" s="1"/>
  <c r="A3914" i="1"/>
  <c r="V3914" i="1" s="1"/>
  <c r="A3915" i="1"/>
  <c r="V3915" i="1" s="1"/>
  <c r="A3916" i="1"/>
  <c r="V3916" i="1" s="1"/>
  <c r="A3917" i="1"/>
  <c r="V3917" i="1" s="1"/>
  <c r="A3918" i="1"/>
  <c r="V3918" i="1" s="1"/>
  <c r="A3919" i="1"/>
  <c r="V3919" i="1" s="1"/>
  <c r="A3920" i="1"/>
  <c r="V3920" i="1" s="1"/>
  <c r="A3921" i="1"/>
  <c r="V3921" i="1" s="1"/>
  <c r="A3922" i="1"/>
  <c r="V3922" i="1" s="1"/>
  <c r="A3923" i="1"/>
  <c r="V3923" i="1" s="1"/>
  <c r="A3924" i="1"/>
  <c r="V3924" i="1" s="1"/>
  <c r="A3925" i="1"/>
  <c r="V3925" i="1" s="1"/>
  <c r="A3926" i="1"/>
  <c r="V3926" i="1" s="1"/>
  <c r="A3927" i="1"/>
  <c r="V3927" i="1" s="1"/>
  <c r="A3928" i="1"/>
  <c r="V3928" i="1" s="1"/>
  <c r="A3929" i="1"/>
  <c r="V3929" i="1" s="1"/>
  <c r="A3930" i="1"/>
  <c r="V3930" i="1" s="1"/>
  <c r="A3931" i="1"/>
  <c r="V3931" i="1" s="1"/>
  <c r="A3932" i="1"/>
  <c r="V3932" i="1" s="1"/>
  <c r="A3933" i="1"/>
  <c r="V3933" i="1" s="1"/>
  <c r="A3934" i="1"/>
  <c r="V3934" i="1" s="1"/>
  <c r="A3935" i="1"/>
  <c r="V3935" i="1" s="1"/>
  <c r="A3936" i="1"/>
  <c r="V3936" i="1" s="1"/>
  <c r="A3937" i="1"/>
  <c r="V3937" i="1" s="1"/>
  <c r="A3938" i="1"/>
  <c r="V3938" i="1" s="1"/>
  <c r="A3939" i="1"/>
  <c r="V3939" i="1" s="1"/>
  <c r="A3940" i="1"/>
  <c r="V3940" i="1" s="1"/>
  <c r="A3941" i="1"/>
  <c r="V3941" i="1" s="1"/>
  <c r="A3942" i="1"/>
  <c r="V3942" i="1" s="1"/>
  <c r="A3943" i="1"/>
  <c r="V3943" i="1" s="1"/>
  <c r="A3944" i="1"/>
  <c r="V3944" i="1" s="1"/>
  <c r="A3945" i="1"/>
  <c r="V3945" i="1" s="1"/>
  <c r="A3946" i="1"/>
  <c r="V3946" i="1" s="1"/>
  <c r="A3947" i="1"/>
  <c r="V3947" i="1" s="1"/>
  <c r="A3948" i="1"/>
  <c r="V3948" i="1" s="1"/>
  <c r="A3949" i="1"/>
  <c r="V3949" i="1" s="1"/>
  <c r="A3950" i="1"/>
  <c r="V3950" i="1" s="1"/>
  <c r="A3951" i="1"/>
  <c r="V3951" i="1" s="1"/>
  <c r="A3952" i="1"/>
  <c r="V3952" i="1" s="1"/>
  <c r="A3953" i="1"/>
  <c r="V3953" i="1" s="1"/>
  <c r="A3954" i="1"/>
  <c r="V3954" i="1" s="1"/>
  <c r="A3955" i="1"/>
  <c r="V3955" i="1" s="1"/>
  <c r="A3956" i="1"/>
  <c r="V3956" i="1" s="1"/>
  <c r="A3957" i="1"/>
  <c r="V3957" i="1" s="1"/>
  <c r="A3958" i="1"/>
  <c r="V3958" i="1" s="1"/>
  <c r="A3959" i="1"/>
  <c r="V3959" i="1" s="1"/>
  <c r="A3960" i="1"/>
  <c r="V3960" i="1" s="1"/>
  <c r="A3961" i="1"/>
  <c r="V3961" i="1" s="1"/>
  <c r="A3962" i="1"/>
  <c r="V3962" i="1" s="1"/>
  <c r="A3963" i="1"/>
  <c r="V3963" i="1" s="1"/>
  <c r="A3964" i="1"/>
  <c r="V3964" i="1" s="1"/>
  <c r="A3965" i="1"/>
  <c r="V3965" i="1" s="1"/>
  <c r="A3966" i="1"/>
  <c r="V3966" i="1" s="1"/>
  <c r="A3967" i="1"/>
  <c r="V3967" i="1" s="1"/>
  <c r="A3968" i="1"/>
  <c r="V3968" i="1" s="1"/>
  <c r="A3969" i="1"/>
  <c r="V3969" i="1" s="1"/>
  <c r="A3970" i="1"/>
  <c r="V3970" i="1" s="1"/>
  <c r="A3971" i="1"/>
  <c r="V3971" i="1" s="1"/>
  <c r="A3972" i="1"/>
  <c r="V3972" i="1" s="1"/>
  <c r="A3973" i="1"/>
  <c r="V3973" i="1" s="1"/>
  <c r="A3974" i="1"/>
  <c r="V3974" i="1" s="1"/>
  <c r="A3975" i="1"/>
  <c r="V3975" i="1" s="1"/>
  <c r="A3976" i="1"/>
  <c r="V3976" i="1" s="1"/>
  <c r="A3977" i="1"/>
  <c r="V3977" i="1" s="1"/>
  <c r="A3978" i="1"/>
  <c r="V3978" i="1" s="1"/>
  <c r="A3979" i="1"/>
  <c r="V3979" i="1" s="1"/>
  <c r="A3980" i="1"/>
  <c r="V3980" i="1" s="1"/>
  <c r="A3981" i="1"/>
  <c r="V3981" i="1" s="1"/>
  <c r="A3982" i="1"/>
  <c r="V3982" i="1" s="1"/>
  <c r="A3983" i="1"/>
  <c r="V3983" i="1" s="1"/>
  <c r="A3984" i="1"/>
  <c r="V3984" i="1" s="1"/>
  <c r="A3985" i="1"/>
  <c r="V3985" i="1" s="1"/>
  <c r="A3986" i="1"/>
  <c r="V3986" i="1" s="1"/>
  <c r="A3987" i="1"/>
  <c r="V3987" i="1" s="1"/>
  <c r="A3988" i="1"/>
  <c r="V3988" i="1" s="1"/>
  <c r="A3989" i="1"/>
  <c r="V3989" i="1" s="1"/>
  <c r="A3990" i="1"/>
  <c r="V3990" i="1" s="1"/>
  <c r="A3991" i="1"/>
  <c r="V3991" i="1" s="1"/>
  <c r="A3992" i="1"/>
  <c r="V3992" i="1" s="1"/>
  <c r="A3993" i="1"/>
  <c r="V3993" i="1" s="1"/>
  <c r="A3994" i="1"/>
  <c r="V3994" i="1" s="1"/>
  <c r="A3995" i="1"/>
  <c r="V3995" i="1" s="1"/>
  <c r="A3996" i="1"/>
  <c r="V3996" i="1" s="1"/>
  <c r="A3997" i="1"/>
  <c r="V3997" i="1" s="1"/>
  <c r="A3998" i="1"/>
  <c r="V3998" i="1" s="1"/>
  <c r="A3999" i="1"/>
  <c r="V3999" i="1" s="1"/>
  <c r="A4000" i="1"/>
  <c r="V4000" i="1" s="1"/>
  <c r="A4001" i="1"/>
  <c r="V4001" i="1" s="1"/>
  <c r="A4002" i="1"/>
  <c r="V4002" i="1" s="1"/>
  <c r="A4003" i="1"/>
  <c r="V4003" i="1" s="1"/>
  <c r="A4004" i="1"/>
  <c r="V4004" i="1" s="1"/>
  <c r="A4005" i="1"/>
  <c r="V4005" i="1" s="1"/>
  <c r="A4006" i="1"/>
  <c r="V4006" i="1" s="1"/>
  <c r="A4007" i="1"/>
  <c r="V4007" i="1" s="1"/>
  <c r="A4008" i="1"/>
  <c r="V4008" i="1" s="1"/>
  <c r="A4009" i="1"/>
  <c r="V4009" i="1" s="1"/>
  <c r="A4010" i="1"/>
  <c r="V4010" i="1" s="1"/>
  <c r="A4011" i="1"/>
  <c r="V4011" i="1" s="1"/>
  <c r="A4012" i="1"/>
  <c r="V4012" i="1" s="1"/>
  <c r="A4013" i="1"/>
  <c r="V4013" i="1" s="1"/>
  <c r="A4014" i="1"/>
  <c r="V4014" i="1" s="1"/>
  <c r="A4015" i="1"/>
  <c r="V4015" i="1" s="1"/>
  <c r="A4016" i="1"/>
  <c r="V4016" i="1" s="1"/>
  <c r="A4017" i="1"/>
  <c r="V4017" i="1" s="1"/>
  <c r="A4018" i="1"/>
  <c r="V4018" i="1" s="1"/>
  <c r="A4019" i="1"/>
  <c r="V4019" i="1" s="1"/>
  <c r="A4020" i="1"/>
  <c r="V4020" i="1" s="1"/>
  <c r="C3974" i="1"/>
  <c r="A2" i="1" l="1"/>
  <c r="V2" i="1" s="1"/>
  <c r="C3776" i="1" l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775" i="1"/>
</calcChain>
</file>

<file path=xl/sharedStrings.xml><?xml version="1.0" encoding="utf-8"?>
<sst xmlns="http://schemas.openxmlformats.org/spreadsheetml/2006/main" count="28508" uniqueCount="1726">
  <si>
    <t>CHAVE</t>
  </si>
  <si>
    <t>GERENTE</t>
  </si>
  <si>
    <t>COORDENAÇÃO</t>
  </si>
  <si>
    <t>VENDEDOR</t>
  </si>
  <si>
    <t>CLIENTE</t>
  </si>
  <si>
    <t>UF</t>
  </si>
  <si>
    <t>CATEGORIA</t>
  </si>
  <si>
    <t>EMPRESA</t>
  </si>
  <si>
    <t>SHARE (%)</t>
  </si>
  <si>
    <t>FEVEREIRO 2025</t>
  </si>
  <si>
    <t>MÉDIA 6M</t>
  </si>
  <si>
    <t>MÉDIA 3M</t>
  </si>
  <si>
    <t>META FEVEREIRO</t>
  </si>
  <si>
    <t>SELL OUT (e-Sales)</t>
  </si>
  <si>
    <t>R+C</t>
  </si>
  <si>
    <t>ESTOQUE</t>
  </si>
  <si>
    <t>MAURICIO</t>
  </si>
  <si>
    <t>JOEL</t>
  </si>
  <si>
    <t>DLUM</t>
  </si>
  <si>
    <t>MARAJOARA INDUSTRIA DE LATICINI</t>
  </si>
  <si>
    <t>GO</t>
  </si>
  <si>
    <t>LPI 25KG</t>
  </si>
  <si>
    <t>LACTALIS</t>
  </si>
  <si>
    <t>DUAS RODAS</t>
  </si>
  <si>
    <t>DISTRIPACK DIST DE EMBALAGENS LTDA</t>
  </si>
  <si>
    <t>MG</t>
  </si>
  <si>
    <t>COMPOSTO</t>
  </si>
  <si>
    <t>ITAMBÉ</t>
  </si>
  <si>
    <t>TATIANA NITTA</t>
  </si>
  <si>
    <t>HARALD INDUSTRIA E COMERCIO ALI</t>
  </si>
  <si>
    <t>SP</t>
  </si>
  <si>
    <t>PLASTIC DISTRIBUIDORA LTDA</t>
  </si>
  <si>
    <t>ES</t>
  </si>
  <si>
    <t>LEITE CONDENSADO</t>
  </si>
  <si>
    <t>CREME UHT</t>
  </si>
  <si>
    <t>MC DAVE S INDUSTRIA DE SORVETES</t>
  </si>
  <si>
    <t>AM</t>
  </si>
  <si>
    <t>M C COMERCIO DE DOCES E</t>
  </si>
  <si>
    <t>DISPPAN DIST DE PROD PANIFICACAO</t>
  </si>
  <si>
    <t>SUSANA SALES SIQUEIRA 159179698</t>
  </si>
  <si>
    <t>BA</t>
  </si>
  <si>
    <t>FERREIRA MELO</t>
  </si>
  <si>
    <t>YAKULT SA INDUSTRIA E COMERCIO</t>
  </si>
  <si>
    <t>LPD 25KG</t>
  </si>
  <si>
    <t>HENRIQUE FERREIRA</t>
  </si>
  <si>
    <t>BIG CHURROS DE PIRACICABA LTDA</t>
  </si>
  <si>
    <t>DOCE DE LEITE</t>
  </si>
  <si>
    <t>SIBELE ALIMENTOS LTDA</t>
  </si>
  <si>
    <t>REFFEL PRODUTOS ALIMENTICIOS LT</t>
  </si>
  <si>
    <t>CRM IND E COM DE ALIMENTOS LTDA</t>
  </si>
  <si>
    <t>JAQUELINI CARDOSO COSTA DA SILV</t>
  </si>
  <si>
    <t>SECOMANDI IND E COM DE SORVETES LTD</t>
  </si>
  <si>
    <t>OF COMERCIO DE PROD ALIMENTICIOS LT</t>
  </si>
  <si>
    <t>MARCELO</t>
  </si>
  <si>
    <t>MARCELO RODRIGUES</t>
  </si>
  <si>
    <t>LIOTECNICA TECNOLOGIA</t>
  </si>
  <si>
    <t>M J SAIA E CIA LTDA ME</t>
  </si>
  <si>
    <t>COLORE INDUSTRIA E COMERCIO LTD</t>
  </si>
  <si>
    <t>PANDURATA ALIMENTOS LTDA</t>
  </si>
  <si>
    <t>DOHLER AMERICA LATINA LTDA</t>
  </si>
  <si>
    <t>MANTEIGA 5KG</t>
  </si>
  <si>
    <t>AGRANA FRUIT BRASIL IND COM IMP</t>
  </si>
  <si>
    <t>PANIBRASIL MASSAS CONGELADAS LT</t>
  </si>
  <si>
    <t>QUEIJOS</t>
  </si>
  <si>
    <t>ASTRON INDUSTRIA DE DOCES L</t>
  </si>
  <si>
    <t>SYACABA NO SORVETE LTDA</t>
  </si>
  <si>
    <t>JOEL ELEOTÉRIO</t>
  </si>
  <si>
    <t>FORNO DE MINAS ALIMENTOS SA</t>
  </si>
  <si>
    <t>BEVERAGER EQUIPAMENTOS E BEBIDA</t>
  </si>
  <si>
    <t>CROISSANT IND E COM DE SALGADOS LTDA</t>
  </si>
  <si>
    <t>IND E COM DE SORVETES FRUTAMIX LTDA</t>
  </si>
  <si>
    <t>ESPECIALI INDUSTRIA DE ALIMENTO</t>
  </si>
  <si>
    <t>SALT PIE INDUSTRIA COMERCIO</t>
  </si>
  <si>
    <t>FRUTAROM DO BRASIL IND E COM LT</t>
  </si>
  <si>
    <t>BRUXELAS INDUSTRIA E COMERCIO</t>
  </si>
  <si>
    <t>ACAITERIA EXPRESS LTDA</t>
  </si>
  <si>
    <t>FABRICA ACAI MAGNIFICO LTDA</t>
  </si>
  <si>
    <t>BASEL LACTEOS SA</t>
  </si>
  <si>
    <t>BERRY S INDUSTRIA DE SORVETES L</t>
  </si>
  <si>
    <t>KARLA CHRISTINA DE PAIVA SANTOS</t>
  </si>
  <si>
    <t>ERLAN SA EM RECUPERACAO JUDICIA</t>
  </si>
  <si>
    <t>SORVET E LANCH SABOR E ARTE LTD</t>
  </si>
  <si>
    <t>GANTE COMERCIO DE DOCES LTDA</t>
  </si>
  <si>
    <t>DISTRIBUIDORA DIEGO MORANGOS LT</t>
  </si>
  <si>
    <t>LEITE EM PÓ</t>
  </si>
  <si>
    <t>DOCES RICCO LTDA</t>
  </si>
  <si>
    <t>SCALON E CHERCHI LTDA</t>
  </si>
  <si>
    <t>SEARA ALIMENTOS LTDA</t>
  </si>
  <si>
    <t>SC</t>
  </si>
  <si>
    <t>CREME 35%</t>
  </si>
  <si>
    <t>ALVOAR LACTEOS NORDESTE SA</t>
  </si>
  <si>
    <t>CE</t>
  </si>
  <si>
    <t>MANTEIGA 25KG</t>
  </si>
  <si>
    <t>KERRY DO BRASIL LTDA</t>
  </si>
  <si>
    <t>CAFE TRES CORACOES SA</t>
  </si>
  <si>
    <t>TRES CORACOES ALIMENTOS SA</t>
  </si>
  <si>
    <t>RN</t>
  </si>
  <si>
    <t>DAN VIGOR IND E COM DE LATICINIOS L</t>
  </si>
  <si>
    <t>MDIAS BRANCO SA IND E COM DE ALIME</t>
  </si>
  <si>
    <t>FRUTAL INDUSTRIA E COMERCIO LTD</t>
  </si>
  <si>
    <t>CAPRICCHE SA</t>
  </si>
  <si>
    <t>PE</t>
  </si>
  <si>
    <t>M DIAS BRANCO SA IND E COM DE A</t>
  </si>
  <si>
    <t>RS</t>
  </si>
  <si>
    <t>VIA LACTEA INDUSTRIA E COMERCIO</t>
  </si>
  <si>
    <t>LATICINIOS REZENDE LTDA</t>
  </si>
  <si>
    <t>SE</t>
  </si>
  <si>
    <t>MAURO SIQUEIRA DE MOURA JUNIOR</t>
  </si>
  <si>
    <t>LEITE CONFIANCA IND E COMERCIO</t>
  </si>
  <si>
    <t>CARLOS GEOVANE ALMEIDA DE PAULA LTDA</t>
  </si>
  <si>
    <t>MS</t>
  </si>
  <si>
    <t>GABRIELA MACHADO MATOS</t>
  </si>
  <si>
    <t>BERTINI INDUSTRIA E COMERCIO DE</t>
  </si>
  <si>
    <t>PR</t>
  </si>
  <si>
    <t>M R G MATANO SORVETERIA ME</t>
  </si>
  <si>
    <t>JEFERSON AMARAL DA CUNHA</t>
  </si>
  <si>
    <t>JETRO CA FERREIRA ME</t>
  </si>
  <si>
    <t>LIBRAGA BRANDAO &amp; CIA LTDA</t>
  </si>
  <si>
    <t>CHALANA SORVETES LTDA ME</t>
  </si>
  <si>
    <t>SORVETERIA NORONHA LTDA</t>
  </si>
  <si>
    <t>INICIAL COM E DISTRIB DE ALIM L</t>
  </si>
  <si>
    <t>MARIA L. SOUZA FREIRE E CIA LTDA</t>
  </si>
  <si>
    <t>APARECIDO DONIZETE DOS SANTOS</t>
  </si>
  <si>
    <t>DUAS RODAS INDUSTRIAL LTDA</t>
  </si>
  <si>
    <t>ESDEL COM PRODUTOS ALIMENTARES</t>
  </si>
  <si>
    <t>MEDICINAL FARMACIA E MANIPULACAO LTDA</t>
  </si>
  <si>
    <t>LACTOJARA INDUSTRIA COM LATICINIOS LTDA</t>
  </si>
  <si>
    <t>VHS ALIMENTOS LTDA</t>
  </si>
  <si>
    <t>J A COELHO E CIA LTDA</t>
  </si>
  <si>
    <t>BEBIDAS NOVA ENGENHOCA EILERI</t>
  </si>
  <si>
    <t>DOCE ENCONTRO LTDA</t>
  </si>
  <si>
    <t>BRF SA</t>
  </si>
  <si>
    <t>MAURICIO GALLI</t>
  </si>
  <si>
    <t>POLENGHI INDUSTRIAS ALIMS LTDA</t>
  </si>
  <si>
    <t>CARMEL IND E COM DE SOBREMESAS LTDA</t>
  </si>
  <si>
    <t>POMPEIA SA INDUSTRIA E COMERCIO</t>
  </si>
  <si>
    <t>DISALLCON DIST DE DOCES LTDA</t>
  </si>
  <si>
    <t>NEUGEBAUER ALIMENTOS SA</t>
  </si>
  <si>
    <t>ALIMENTOS JANDAIA LTDA</t>
  </si>
  <si>
    <t>GEBON SORVETES LTDA</t>
  </si>
  <si>
    <t>GIRO SERVICOS E LATICINIOS LTDA</t>
  </si>
  <si>
    <t>LIGHTSWEET IND E COM DE ALIMENT</t>
  </si>
  <si>
    <t>NEVASCA ALIMENTOS LTDA ME</t>
  </si>
  <si>
    <t>Q ALIMENTARE COMERC IMPORT E EX</t>
  </si>
  <si>
    <t>JFS ALIMENTOS LTDA</t>
  </si>
  <si>
    <t>MATHEUS CASTILHO DOS SANTOS LTD</t>
  </si>
  <si>
    <t>PRM FOODS IND E COM DE ALIM LTD</t>
  </si>
  <si>
    <t>SOBASICO IND E COMERCIO DE ALIM LTD</t>
  </si>
  <si>
    <t>UNIAO LOGISTICA IMPORTACAO E EX</t>
  </si>
  <si>
    <t>PEDRO</t>
  </si>
  <si>
    <t>AMANDA</t>
  </si>
  <si>
    <t>NUTRI</t>
  </si>
  <si>
    <t>GR SA</t>
  </si>
  <si>
    <t>IOGURTES</t>
  </si>
  <si>
    <t>RJ</t>
  </si>
  <si>
    <t>RFG COMERCIO TRANSPORTES E SERVICOS</t>
  </si>
  <si>
    <t>LEITE UHT</t>
  </si>
  <si>
    <t>ESQUILOS ACAI LTDA ME</t>
  </si>
  <si>
    <t>LEVI KARKLIS 65217756934</t>
  </si>
  <si>
    <t>MEGGA MANIA SORVETES</t>
  </si>
  <si>
    <t>ACAI GRUMARI AVARE LTDA</t>
  </si>
  <si>
    <t>MEXICALETTA SORVETES LTDA</t>
  </si>
  <si>
    <t>TOTAL CREAM</t>
  </si>
  <si>
    <t>ARAUJO HECKERT EMBALAGENS LTDA</t>
  </si>
  <si>
    <t>DOREMUS ALIMENTOS LTDA</t>
  </si>
  <si>
    <t>NOSSOS SABORES IND E COM DE ALIM EI</t>
  </si>
  <si>
    <t>ATELIER DOS SABORES IND DE ALIM</t>
  </si>
  <si>
    <t>LUA NOVA IND E COM DE PROD ALIM</t>
  </si>
  <si>
    <t>LUA NOVA IND E COM DE PROD ALIM LTD</t>
  </si>
  <si>
    <t>BIMBO DO BRASIL LTDA</t>
  </si>
  <si>
    <t>UNILEVER BRASIL GELADOS LTDA</t>
  </si>
  <si>
    <t>GRANDFOOD INDUSTRIA E COMERCIO</t>
  </si>
  <si>
    <t>ARCOR DO BRASIL LTDA</t>
  </si>
  <si>
    <t>SCHREIBER FOODS BRASIL IND ALIM LTD</t>
  </si>
  <si>
    <t>CLUBE DOS SABORES IND E COM DE</t>
  </si>
  <si>
    <t>LUA NOVA IND COM PRODS ALIM LTDA</t>
  </si>
  <si>
    <t>MISTUREX COMERCIO ATACA DE ALIMENT</t>
  </si>
  <si>
    <t>CHOCONATA INDUSTRIA E COM DE AL</t>
  </si>
  <si>
    <t>BRIGADEIRO INDUSTRIA E COMERCIO</t>
  </si>
  <si>
    <t>ZAQUI E ZAQUI IND E COM BEBIDAS</t>
  </si>
  <si>
    <t>BISCOTTINI &amp; PANI DI FIORE LTDA</t>
  </si>
  <si>
    <t>IBAE IND BRASILEIRA DE ALI ESP</t>
  </si>
  <si>
    <t>M SANTOS IANSEN SORVETERIA</t>
  </si>
  <si>
    <t>CAPODIFOGLIO E CIA LTDA</t>
  </si>
  <si>
    <t>HARALD IND E COM DE ALIMENTOS L</t>
  </si>
  <si>
    <t>R D R P RESTAURANTE E SORVETERI</t>
  </si>
  <si>
    <t>AMANDA CARVALHO</t>
  </si>
  <si>
    <t>SUPERMERCADO JACOMAR LTDA</t>
  </si>
  <si>
    <t>CIA BEAL DE ALIMENTOS</t>
  </si>
  <si>
    <t>MADERO INDUSTRIA E COMERCIO SA</t>
  </si>
  <si>
    <t>PSG COMERCIO DE ALIMENTOS LTDA ME</t>
  </si>
  <si>
    <t>PIMENTA VERDE ALIMENTOS LTDA</t>
  </si>
  <si>
    <t>UNICA COMERCIO E DISTRIBUICAO L</t>
  </si>
  <si>
    <t>MAGAZZINO DIST DE ALIMENTOS LTD</t>
  </si>
  <si>
    <t>CAMARADA ADM DE RESTAURANTES</t>
  </si>
  <si>
    <t>PARMESÃO</t>
  </si>
  <si>
    <t>CAFE PACIFICO LTDA</t>
  </si>
  <si>
    <t>BERTONI DOCES LTDA</t>
  </si>
  <si>
    <t>SAPORE SA</t>
  </si>
  <si>
    <t>BLISTER</t>
  </si>
  <si>
    <t>GR SERVICOS E ALIMENTACAO LTDA</t>
  </si>
  <si>
    <t>MARIANGELA BUFFET LTDA</t>
  </si>
  <si>
    <t>GOMES E ANTUNES REFEICOES COLET</t>
  </si>
  <si>
    <t>MARIA ANTONIETA PAD E CONFEITAR</t>
  </si>
  <si>
    <t>MASSIMA SOLUCOES EM ALIMENTACAO</t>
  </si>
  <si>
    <t>GRAN SAPORE BR BRASIL SA</t>
  </si>
  <si>
    <t>C L N  SOLUCOES EM ALIM LTDA EP</t>
  </si>
  <si>
    <t>LATURAN SUCOS E ALIMENTOS LTDA ME</t>
  </si>
  <si>
    <t>EJE CONFEITARIA FRANCESA LTDA</t>
  </si>
  <si>
    <t>HM REFEICAO CORPORATIVA LTDA</t>
  </si>
  <si>
    <t>ANA MENIQUETE</t>
  </si>
  <si>
    <t>GATE GOURMET LTDA</t>
  </si>
  <si>
    <t>SERVCATER INTERNACIONAL LTDA</t>
  </si>
  <si>
    <t>GATE GOURMET LT</t>
  </si>
  <si>
    <t>MARTINS DA COSTA E CIA LTDA</t>
  </si>
  <si>
    <t>NEWREST BRASIL S A AO T AEREO LTDA</t>
  </si>
  <si>
    <t>MILANO COM VAREJ DE ALIMENTOS S</t>
  </si>
  <si>
    <t>NEWREST BR SERV AUX AO TRANS AEREO</t>
  </si>
  <si>
    <t>PLATLOG IMPORTACAO LOG DIST LTDA</t>
  </si>
  <si>
    <t>PLATLOG IMPORTACAO LOGISTICA E DIST</t>
  </si>
  <si>
    <t>BK BRASIL OPERACAO E ASSESSOR A RES</t>
  </si>
  <si>
    <t>EL CAMINO FOODS SA</t>
  </si>
  <si>
    <t>BK BRASIL OPERACAO E ASSESSOR A</t>
  </si>
  <si>
    <t>RODOLUKI COMERCIO LOGISTICA</t>
  </si>
  <si>
    <t>RODOLUKI COMERCIO LOGISTICA E D</t>
  </si>
  <si>
    <t>MILANO COMERCIO VAREJISTA DE ALIM SA</t>
  </si>
  <si>
    <t>RODRIGO</t>
  </si>
  <si>
    <t>ALEXANDRO</t>
  </si>
  <si>
    <t>ALEXANDRO RODRIGUES</t>
  </si>
  <si>
    <t>DINIZ COM ATAC DE PROD ALIM LTDA</t>
  </si>
  <si>
    <t>MERC + AROM</t>
  </si>
  <si>
    <t>EMMANUEL FRANCISCO</t>
  </si>
  <si>
    <t>CHOCOLIDER COM EMBALAGENS LTDA EPP</t>
  </si>
  <si>
    <t>CLUBE DO CONFEITEIRO LTDA</t>
  </si>
  <si>
    <t>BOCAO COMERCIO DE DOCES LTDA</t>
  </si>
  <si>
    <t>PLANETA DOCES E ALIMENTICIOS EIRELI</t>
  </si>
  <si>
    <t>HAVANA COMERCIO DE BEBIDAS LTDA</t>
  </si>
  <si>
    <t>DM MERCADO LTDA</t>
  </si>
  <si>
    <t>ATACADISTA SAO PAULO COM E IMP LTDA</t>
  </si>
  <si>
    <t>J S COMERCIAL DE ALIMENTOS LTDA</t>
  </si>
  <si>
    <t>MECANO PACK EMBALAGENS SA</t>
  </si>
  <si>
    <t>PLATANUS LATICINIOS LTDA</t>
  </si>
  <si>
    <t>MERCANTIL SANTA PAULA LTDA</t>
  </si>
  <si>
    <t>EMPORIO MEGA 100 COMERCIO DE ALIM S</t>
  </si>
  <si>
    <t>CG FOOD S DISTRIBUIDORA DE ALIM LTD</t>
  </si>
  <si>
    <t>STOQ V E V ALIMENTOS LTDA</t>
  </si>
  <si>
    <t>FENIX FOODS ALIMENTOS LTDA</t>
  </si>
  <si>
    <t>CAUE SUPRIMENTOS COM E SERVICOS</t>
  </si>
  <si>
    <t>SOLANGE TENORIO DOS SANTOS CONFEITA</t>
  </si>
  <si>
    <t>PAULIMAR INDUSTRIA DISTRIBUIDOR</t>
  </si>
  <si>
    <t>LANCHONETE JOIA DO BRAS LTDA</t>
  </si>
  <si>
    <t>48284083 WELLINGTON B FARIAS</t>
  </si>
  <si>
    <t>MICA CHOCOLATES LTDA</t>
  </si>
  <si>
    <t>DEVILLE HOTEIS E TURISMO LTDA</t>
  </si>
  <si>
    <t>ASS CULTURAL NSA SENHORA DE FAT</t>
  </si>
  <si>
    <t>BONJARDIM PAULISTA COM DE ALIM LTDA</t>
  </si>
  <si>
    <t>MORUMBY HOTEIS LTDA</t>
  </si>
  <si>
    <t>MELIA BRASIL ADMIN HOTELEIRA E COML</t>
  </si>
  <si>
    <t>ASSOC PRI I DE F DE D PONTIF ARA DO</t>
  </si>
  <si>
    <t>ATLANTICA HOTELS INTERNATIONAL</t>
  </si>
  <si>
    <t>VIVIANE BUZZO RODRIGUES</t>
  </si>
  <si>
    <t>CONFEITARIA 4 DE DEZEMBRO LTDA</t>
  </si>
  <si>
    <t>MELHOR BOCADO ALIMENTOS LTDA</t>
  </si>
  <si>
    <t>SUPER QUENTE LANCHES E RESTAURANTE</t>
  </si>
  <si>
    <t>BISTECA D OURO LANCHES LTDA</t>
  </si>
  <si>
    <t>ITAIPUGRIL BAR E RESTAURANTE LTDA</t>
  </si>
  <si>
    <t>BEM ME QUER LANCHES LTDA</t>
  </si>
  <si>
    <t>MACEIO 64 H LANCHES E RESTAURANTE L</t>
  </si>
  <si>
    <t>BEM QUER LANCHES LTDA</t>
  </si>
  <si>
    <t>FASTBURGUER LANCHES E RESTAURANTE L</t>
  </si>
  <si>
    <t>RESTAURANTE SANTA JULIA LTDA</t>
  </si>
  <si>
    <t>BAR DO ALEMAO DE SP CONSULAD DE ITU</t>
  </si>
  <si>
    <t>HOTELARIA ACCOR BRASIL SA</t>
  </si>
  <si>
    <t>ANDALUZA COM DE SOBREMESAS FINAS</t>
  </si>
  <si>
    <t>STRULLER E RULLER RESTAURANTE LT</t>
  </si>
  <si>
    <t>NOVA ROTINA PARTIC EMPREEND LTDA</t>
  </si>
  <si>
    <t>PADARIA E LOJA DE CONVENIENCIA</t>
  </si>
  <si>
    <t>LIFRAN CONFEITARIA LTDA ME</t>
  </si>
  <si>
    <t>SUPRA ALIMENTOS E BEBIDAS LTDA</t>
  </si>
  <si>
    <t>FINA FARINHA PAES E DOCES EIRELI</t>
  </si>
  <si>
    <t>MR BAKER SUPERFOODS PANIFICADORA LT</t>
  </si>
  <si>
    <t>CHUCRE CHURROS GOURMET LTDA</t>
  </si>
  <si>
    <t>FAMILIA DALLOGIO ROTISSERIE LTDA ME</t>
  </si>
  <si>
    <t>MARIA DANIELA TRUJILLO MENEGHINI EP</t>
  </si>
  <si>
    <t>A J DULLER COM DE FRIOS E DER L</t>
  </si>
  <si>
    <t>HOTELARIA ACCORINVEST BRASIL SA</t>
  </si>
  <si>
    <t>PADARIA ARTESANAL MEDITERRAIN LTDA</t>
  </si>
  <si>
    <t>GANSARAL CASA DA CULTURA LTDA</t>
  </si>
  <si>
    <t>PAO E TALHO SANDUICHERIA LTDA M</t>
  </si>
  <si>
    <t>BOLO A TOA LOJA DE BOLOS LTDA</t>
  </si>
  <si>
    <t>JOANA DARK MARQUES DA SILVEIRA</t>
  </si>
  <si>
    <t>FP3 FABRICACAO DE PROD DE PAN LTDA</t>
  </si>
  <si>
    <t>BOLO DA FAZENDA LTDA ME</t>
  </si>
  <si>
    <t>CAGIESSE COMERCIO EIRELI</t>
  </si>
  <si>
    <t>YANAGI CAFETERIA EIRELI</t>
  </si>
  <si>
    <t>HTL SP PARTICIPACOES SA</t>
  </si>
  <si>
    <t>ACADEMIA DO PAO EIRELI</t>
  </si>
  <si>
    <t>SOU PRATICO HORTIFRUTI LTDA</t>
  </si>
  <si>
    <t>DANIELA SPRENGER SILVA</t>
  </si>
  <si>
    <t>FERNANDO ESTANISLAU DO AMARAL DE AR</t>
  </si>
  <si>
    <t>LUISA MARIA OKRETIC GARBARINO</t>
  </si>
  <si>
    <t>GONCALVES E FREIRE PAES ARTESANAIS</t>
  </si>
  <si>
    <t>REVO MANUFACTORY LTDA</t>
  </si>
  <si>
    <t>ZESTZING PAD E COZINHA ARTESANAL LT</t>
  </si>
  <si>
    <t>O PACHA EMPORIO E ASSESSORIA EIRELI</t>
  </si>
  <si>
    <t>B E T COMERCIO DE ALIMENTOS E BEB</t>
  </si>
  <si>
    <t>DOCERIA ZUCKER FABRICA LTDA</t>
  </si>
  <si>
    <t>BANCO DE INV CREDIT SUISSE BRASIL S</t>
  </si>
  <si>
    <t>TERRAS ALTAS EMP HOT LAZER LTDA</t>
  </si>
  <si>
    <t>MELIA BRASIL ADM HOTEL COML LTDA</t>
  </si>
  <si>
    <t>CESAR MOMO LANCHONETE LTDA</t>
  </si>
  <si>
    <t>RESTAURANTE ALTO D OURO LTDA ME</t>
  </si>
  <si>
    <t>P 3 ADM EM COMPLEXOS IMOBILIARIOS</t>
  </si>
  <si>
    <t>SONDEQ IND DE SONDAS E EQUIP LTDA</t>
  </si>
  <si>
    <t>ELETRO LIGA H5 LTDA</t>
  </si>
  <si>
    <t>DU JOUR CHOCOLATE LTDA</t>
  </si>
  <si>
    <t>MELIA BRASIL ADM HOTELEIRA E COML L</t>
  </si>
  <si>
    <t>NEW SPACE PROCESSAMENTO</t>
  </si>
  <si>
    <t>MELIA BRASIL ADMINISTR HOTELEIRA C</t>
  </si>
  <si>
    <t>BWIB CONFEITARIA LTDA</t>
  </si>
  <si>
    <t>MOTI CONFEITARIA EIRELI</t>
  </si>
  <si>
    <t>ATRIO HOTEIS SA</t>
  </si>
  <si>
    <t>MALOU COMERCIO LTDA</t>
  </si>
  <si>
    <t>ANSC REFEICOES LTDA</t>
  </si>
  <si>
    <t>RJR ALIMENTACOES LTDA</t>
  </si>
  <si>
    <t>THE BAKER FACTORY PANIF E CONF LTDA</t>
  </si>
  <si>
    <t>KATO PRODUTOS DE PANIFICACAO LTDA</t>
  </si>
  <si>
    <t>42210730 CRISTINE CARVALHO LUST</t>
  </si>
  <si>
    <t>CHARLES REFEICOES LTDA</t>
  </si>
  <si>
    <t>DC DA SILVA ATACADO E VAREJO DE DOC</t>
  </si>
  <si>
    <t>SAKA CAFETERIA LTDA</t>
  </si>
  <si>
    <t>BTK PINHEIROS COM DE ALM E BEB LTDA</t>
  </si>
  <si>
    <t>SANTU PANIFICACAO LTDA</t>
  </si>
  <si>
    <t>BELLI GOURMET COMERCIO DE BOLOS E S</t>
  </si>
  <si>
    <t>MOTI MOTI CAKE SHOP COM DE ALM LTDA</t>
  </si>
  <si>
    <t>LETOZZI GASTRONOMIA LTDA</t>
  </si>
  <si>
    <t>TRE BIMBI IND E COM DE ALIM LTDA</t>
  </si>
  <si>
    <t>THAINA DUARTE BRASIL 4738314980</t>
  </si>
  <si>
    <t>TERAPIA CAFE LTDA</t>
  </si>
  <si>
    <t>NS MAZZA ALIMENTOS LTDA</t>
  </si>
  <si>
    <t>SBC PADARIA E CONFEITARIA ARTESANAL</t>
  </si>
  <si>
    <t>51219832 SHARON FRIZAO GUARDIA SAND</t>
  </si>
  <si>
    <t>50756346 ANDRE DE SOUZA GUERRA</t>
  </si>
  <si>
    <t>48622073 PAULO BRANDAO WHITAKER</t>
  </si>
  <si>
    <t>GOODSERVICE PROMOE EVENTOS LTDA</t>
  </si>
  <si>
    <t>ROGER BAKERY CONFEITARIA LTDA</t>
  </si>
  <si>
    <t>BTK JARDINS BAR E RESTAURANTE L</t>
  </si>
  <si>
    <t>MAXIMA ADMINISTRACAO DE HOTEIS LTDA</t>
  </si>
  <si>
    <t>CAORLE PIZZAS ARTESANAIS LTDA</t>
  </si>
  <si>
    <t>CRC COMPANHIA DE RESTAURANTES CORPO</t>
  </si>
  <si>
    <t>ANA LUCIA MEDEIROS DE SOUZA 054</t>
  </si>
  <si>
    <t>FORNU PAES ARTESANAIS LTDA</t>
  </si>
  <si>
    <t>BES COFFEE DESSERTS LTDA</t>
  </si>
  <si>
    <t>T I SERVICO DE ALIMENTACAO LTDA</t>
  </si>
  <si>
    <t>SOLO DUE PROMOCOES DE VENDAS E</t>
  </si>
  <si>
    <t>INSTITUTO LARIAMOR</t>
  </si>
  <si>
    <t>ANCAIS2 REFEICOES LTDA</t>
  </si>
  <si>
    <t>RCP RESTAURANTE LTDA</t>
  </si>
  <si>
    <t>40037382 VALTER KAORU SATO</t>
  </si>
  <si>
    <t>PADANG CAFETERIA LTDA</t>
  </si>
  <si>
    <t>ZUCKER BISTRO 1 LTDA</t>
  </si>
  <si>
    <t>PAULA RENATA CASTRO CURTOLO DE</t>
  </si>
  <si>
    <t>CAMINHO DA FAZENDA COM DE PROD ALIM LTDA</t>
  </si>
  <si>
    <t>MINIMALISTA PAO ARTESANAL LTDA</t>
  </si>
  <si>
    <t>RKWSP PATISSERIE LTDA</t>
  </si>
  <si>
    <t>40511051 JONAS JUNG</t>
  </si>
  <si>
    <t>MICH MICH PADARIA ARTESANAL LTD</t>
  </si>
  <si>
    <t>LLG PADARIA ARTESANAL LTDA</t>
  </si>
  <si>
    <t>SALT BAKERY LTDA</t>
  </si>
  <si>
    <t>BLUE BAKERY LTDA</t>
  </si>
  <si>
    <t>STERCI E STERCI RESTAURANTE LTD</t>
  </si>
  <si>
    <t>PAN PADARIA ARTESANAL LTDA</t>
  </si>
  <si>
    <t>LE JOUR LA NUIT CUISINE BISTRO</t>
  </si>
  <si>
    <t>BAR E RESTAURANTE BAR ABERTO LT</t>
  </si>
  <si>
    <t>PEDRO HENRIQUE COSTA SEDRIM</t>
  </si>
  <si>
    <t>POMAR DO NORTE C DE P AL E B LT</t>
  </si>
  <si>
    <t>GRANO NOSTRO PAN E COM DE AL LT</t>
  </si>
  <si>
    <t>NEXO CAFE LTDA</t>
  </si>
  <si>
    <t>JNR TRANSPORTES E LOGISTICA LTDA</t>
  </si>
  <si>
    <t>CHIENI COMERCIO DE ALIMENTOS LT</t>
  </si>
  <si>
    <t>CHIENI COMERCIO DE ALIMENTOS LTDA</t>
  </si>
  <si>
    <t>REST KAZU FOOD SERVICE LTDA</t>
  </si>
  <si>
    <t>RENATA RODRIGUES ANTONELLI ME</t>
  </si>
  <si>
    <t>CAFE E RESTAURANTE BERLIN LTDA</t>
  </si>
  <si>
    <t>EMPORIO DO VELHINHO LTDA</t>
  </si>
  <si>
    <t>DELICIOUS DOCERIA</t>
  </si>
  <si>
    <t>STA RESTAURANTE E COM DE ALIM LTDA</t>
  </si>
  <si>
    <t>TFGS ALIMENTOS E CONFEITARIA LTDA</t>
  </si>
  <si>
    <t>GMO CAFE COMERCIO DE ALIMENTOS LTDA</t>
  </si>
  <si>
    <t>SLAVIERO EMPREEND  HOTELEIROS LTDA</t>
  </si>
  <si>
    <t>GELATERIE LOFORESE 1922 LTDA</t>
  </si>
  <si>
    <t>VITORIA HOTEIS LTDA</t>
  </si>
  <si>
    <t>DOCERIA MIRABELLA LTDA</t>
  </si>
  <si>
    <t>AUGURI SORVETES EIRELI</t>
  </si>
  <si>
    <t>GOURMET EXPRESS ALIMENTACAO LTD</t>
  </si>
  <si>
    <t>HOTEL PANAMBY LTDA</t>
  </si>
  <si>
    <t>RESTAURANTE LILLO LTDA</t>
  </si>
  <si>
    <t>EXCELLENCE BAR E RESTAURANTE LTDA</t>
  </si>
  <si>
    <t>JOEL ANGRISANI JUNIOR ME</t>
  </si>
  <si>
    <t>ATLANTICO INN APART HOTEL</t>
  </si>
  <si>
    <t>MARI MARIA LANCHONETE LTDA</t>
  </si>
  <si>
    <t>ESCOLA DE EDUC INFANTIL SAUDE LTDA</t>
  </si>
  <si>
    <t>PITA SANDWICHES LTDA ME</t>
  </si>
  <si>
    <t>DAMA COMERCIO DE ALIM E PROMO LTDA</t>
  </si>
  <si>
    <t>WK COMERCIO DE DOCES E SALGADOS EIR</t>
  </si>
  <si>
    <t>IACAO NOSSA SENHORA DO PARI</t>
  </si>
  <si>
    <t>BLACK RIVER CAFE LTDA</t>
  </si>
  <si>
    <t>NOVA ITALIA RESTAURANTE LTDA</t>
  </si>
  <si>
    <t>JUST CUPCAKES CONFEITARIA E CAFETER</t>
  </si>
  <si>
    <t>NVC COMERCIO DE ALIMENTOS LTDA</t>
  </si>
  <si>
    <t>RESTAURANTE VICOLO NOSTRO LTDA</t>
  </si>
  <si>
    <t>FAS CE FAB E COM DE SORVETES LTDA</t>
  </si>
  <si>
    <t>GILMAR SOARES DE SANTANA</t>
  </si>
  <si>
    <t>LANCHONETE LAGOA TROPICAL LTDA ME</t>
  </si>
  <si>
    <t>AEROMATE 1 LANCHES LTDA</t>
  </si>
  <si>
    <t>L R REST E LANC</t>
  </si>
  <si>
    <t>HOKKAIDO COMERCIO DE ALIMENTOS LTDA</t>
  </si>
  <si>
    <t>RDG KAVE ALIMENTOS LTDA ME</t>
  </si>
  <si>
    <t>RENATA KIMIE ARASSIRO ME</t>
  </si>
  <si>
    <t>PIZZARIA FRANCISCA JULIA LTDA</t>
  </si>
  <si>
    <t>HENRI S CREPERIA ARTESANAL EIRELI M</t>
  </si>
  <si>
    <t>KID BEERUTA BUFFET LTDA ME</t>
  </si>
  <si>
    <t>RDG CIDADE ALIMENTOS LTDA</t>
  </si>
  <si>
    <t>ERICK ALEXANDRE PASSARELLI</t>
  </si>
  <si>
    <t>EMPORIO PORTUGUES LTDA</t>
  </si>
  <si>
    <t>SABOR DA INFANCIA DOCERIA LTDA</t>
  </si>
  <si>
    <t>HACHI CREPE E CAFE LTDA</t>
  </si>
  <si>
    <t>MARSELHESA CAFE LTDA</t>
  </si>
  <si>
    <t>LDP JARDINS RESTAURANTE LTDA</t>
  </si>
  <si>
    <t>PAULINO RESTAURANTE LTDA</t>
  </si>
  <si>
    <t>LANCHONETE MEGA SUCO LTDA</t>
  </si>
  <si>
    <t>CROQUETERIA SP LTDA</t>
  </si>
  <si>
    <t>UBAIA CAFE LTDA</t>
  </si>
  <si>
    <t>CHEF MARCELO MARQUES PANIFICAC</t>
  </si>
  <si>
    <t>TIMBIRAS PALACE HOTEL LTDA</t>
  </si>
  <si>
    <t>CANDY STORE COM DE DOCES E PRES LTD</t>
  </si>
  <si>
    <t>EMPORIOS CAFE PORTUGUAL EIRELI</t>
  </si>
  <si>
    <t>CAPITAL CAFE LTDA</t>
  </si>
  <si>
    <t>OSMAR ROMANO PEREIRA 16996602807</t>
  </si>
  <si>
    <t>TOR ALIMENTOS E COMERCIO LTDA</t>
  </si>
  <si>
    <t>CURSI E ALBIERI CONF CAFE E CONVEN</t>
  </si>
  <si>
    <t>GRESPANETTO COMERCIO DE ALIMENTOS L</t>
  </si>
  <si>
    <t>NANO CAFETERIA EIRELI</t>
  </si>
  <si>
    <t>PASTICCERIA INTERNAZIONALE LTDA</t>
  </si>
  <si>
    <t>OBLATOS DE MARIA IMACULADA</t>
  </si>
  <si>
    <t>PANIFICADORA DOM BOSCO LTDA</t>
  </si>
  <si>
    <t>REFRIO ARMAZENS GERAIS LTDA</t>
  </si>
  <si>
    <t>NUTRI LINE REF LTDA</t>
  </si>
  <si>
    <t>SAO PAULO GOLF CLUB</t>
  </si>
  <si>
    <t>SOCIEDADE HARMONIA DE TENIS</t>
  </si>
  <si>
    <t>MARIA MARIA LANCHONETE LTDA ME</t>
  </si>
  <si>
    <t>CARMO DRINKS E LANCHES LTDA</t>
  </si>
  <si>
    <t>DERPAC SILK INDUSTRIA E COMERCIO EI</t>
  </si>
  <si>
    <t>INTERCOLOR IND E COM DE PLAST LT</t>
  </si>
  <si>
    <t>ITAL BRONZE LTDA</t>
  </si>
  <si>
    <t>GIRADINO PIZZARIA LTDA ME</t>
  </si>
  <si>
    <t>REFRICON MERCANTIL LTDA</t>
  </si>
  <si>
    <t>BAR E LANCHES SERINGUEIRAS LTDA</t>
  </si>
  <si>
    <t>LEO CONFEITARIA E SORVETERIA LTDA</t>
  </si>
  <si>
    <t>PALADIO CAFE</t>
  </si>
  <si>
    <t>RDG TOP ALIMENTOS EIRELI</t>
  </si>
  <si>
    <t>DELIVERY PARIS LTDA</t>
  </si>
  <si>
    <t>LMDR COMERCIO DE ALIMENTOS LTDA</t>
  </si>
  <si>
    <t>MC RESTAURANTE COM DE ALIM LTDA</t>
  </si>
  <si>
    <t>PLENA SAUDE SA</t>
  </si>
  <si>
    <t>CEPAM PANIFICADORA E RESTAURANTE LT</t>
  </si>
  <si>
    <t>LMDR 2 COMERCIO DE ALIMENTOS LTDA</t>
  </si>
  <si>
    <t>CVN VAREJO DE ALIMENTOS UNIPESSOAL</t>
  </si>
  <si>
    <t>DELICATTO GASTRONOM ROTISSER CO</t>
  </si>
  <si>
    <t>SENSACAO DE SABORES CONFEITARIA GOU</t>
  </si>
  <si>
    <t>P GASTRONOMIA LTDA</t>
  </si>
  <si>
    <t>HOTEL DOWNTOWN SAO PAULO LTDA</t>
  </si>
  <si>
    <t>JMR VAREJO DE ALIMENTOS LTDA</t>
  </si>
  <si>
    <t>W RODRIGUES REFEICOES LTDA</t>
  </si>
  <si>
    <t>HOTEL MONREALE GUARULHOS LTDA</t>
  </si>
  <si>
    <t>CBX CAFE IMIGRANTES LTDA</t>
  </si>
  <si>
    <t>ALBIERI E CURSI CONFEITARIA CAF</t>
  </si>
  <si>
    <t>RDG EBPARK ALIMENTOS LTDA</t>
  </si>
  <si>
    <t>MH CAFETERIA E SERV DE ALIMENTO</t>
  </si>
  <si>
    <t>MICAFE CAF E SERV DE ALIMENTOS</t>
  </si>
  <si>
    <t>VICENTE DE OLIVEIRA ALMEIDA 265</t>
  </si>
  <si>
    <t>COFFE BY BIA AROMA E GRAOS COME</t>
  </si>
  <si>
    <t>COM DE PROD ALIM BELA PEDRA LTD</t>
  </si>
  <si>
    <t>BEV ALIMENTOS E BEBIDAS LTDA</t>
  </si>
  <si>
    <t>CAFETERIA COFFEE BY BIA LTDA</t>
  </si>
  <si>
    <t>CENTAURO INDUSTRIA E COMERCIO L</t>
  </si>
  <si>
    <t>MATHEUS TORRES CONFEITARIA LTDA</t>
  </si>
  <si>
    <t>KOHI CAFETERIA LTDA</t>
  </si>
  <si>
    <t>LANCHONETE JOTAKA LTDA</t>
  </si>
  <si>
    <t>LA PERLE PATISSERIE LTDA</t>
  </si>
  <si>
    <t>CAFE FRATELLI FRANQUEADORA LTDA</t>
  </si>
  <si>
    <t>MARTINETTO COM DE ALIMENTOS LTD</t>
  </si>
  <si>
    <t>PRIME UP COM DE FRUTAS E DOCES</t>
  </si>
  <si>
    <t>AKIRA ORGANIZACAO COMERCIO DE</t>
  </si>
  <si>
    <t>MORUMBY COMERCIO DE ALIMENT</t>
  </si>
  <si>
    <t>AEROMATE DISTRIBUIDORA LTDA</t>
  </si>
  <si>
    <t>NUNEKI ALIMENTOS LTDA</t>
  </si>
  <si>
    <t>CAFE DAS ARTES E SERV DE ALIMEN</t>
  </si>
  <si>
    <t>GRAND FINALE ATELIE DE DOCES</t>
  </si>
  <si>
    <t>CONFEITARIA SOIDA LTDA</t>
  </si>
  <si>
    <t>BREAD 4 U COMERCIO DE ALIMENTOS</t>
  </si>
  <si>
    <t>PASTIFICIO CARASI COMERCIO DE A</t>
  </si>
  <si>
    <t>SELO VERDE IND TEXTIL LT</t>
  </si>
  <si>
    <t>P 1 ADM EM COMPLEXOS IMOBILIARIOS L</t>
  </si>
  <si>
    <t>MINI MERCADO FLOR DE MOEMA LTDA</t>
  </si>
  <si>
    <t>CONFEITARIA LA BASSANI LTDA</t>
  </si>
  <si>
    <t>THYANACRIS HARA SCUOTEGUAZZA</t>
  </si>
  <si>
    <t>ADLM SERVICOS MEDICOS LTDA</t>
  </si>
  <si>
    <t>HBR 33 INVESTIMENTOS IMOBILIARIOS L</t>
  </si>
  <si>
    <t>QUINTAL NAT EMPORIO DE ALIM ORG</t>
  </si>
  <si>
    <t>LE JAZZ BOULANGERIE BAR E RESTAUR L</t>
  </si>
  <si>
    <t>NICOLE CRISTINE DE BRUIJN COMERCIO</t>
  </si>
  <si>
    <t>CAFE DO SABOR E DAS ARTES LTDA</t>
  </si>
  <si>
    <t>ZHF RESTAURANTE</t>
  </si>
  <si>
    <t>ADRIANO L OLIVEIRA</t>
  </si>
  <si>
    <t>FEDERACAO ESPIRITA DO ESTADO DO</t>
  </si>
  <si>
    <t>DANIELE ALVES SUENAGA 22492509877</t>
  </si>
  <si>
    <t>ACZ CAFE EXPRESSO LTDA</t>
  </si>
  <si>
    <t>ROYAL TOWERS S A</t>
  </si>
  <si>
    <t>RESTAURANTE LELLIS TRATTORIA LT</t>
  </si>
  <si>
    <t>CATERING FOOD LTDA</t>
  </si>
  <si>
    <t>TH RESTAURANTES E EVENTOS LTDA</t>
  </si>
  <si>
    <t>OF RESTAURANTE LTDA</t>
  </si>
  <si>
    <t>NWH RESTAURANTES LTDA</t>
  </si>
  <si>
    <t>MARIGOT ALIMENTACAO LTDA</t>
  </si>
  <si>
    <t>SAO LUIS 84 EVENTOS LTDA</t>
  </si>
  <si>
    <t>ACOMODACOES BRASIL LTDA</t>
  </si>
  <si>
    <t>LANCHONETE TORRE DO SOL LTDA</t>
  </si>
  <si>
    <t>DNA GASTRONOMIA LTDA</t>
  </si>
  <si>
    <t>VILAREJO DA BRITES LTDA</t>
  </si>
  <si>
    <t>LUCHIARI E FERRAZ I E COM D ALI</t>
  </si>
  <si>
    <t>MULTLAZER POUSADA LTDA</t>
  </si>
  <si>
    <t>ATHENAS ROQUE LANCHES LTDA</t>
  </si>
  <si>
    <t>41224939 EDJACKSON DA CRUZ DE C</t>
  </si>
  <si>
    <t>SAGRADO R DE ED PBSCJ P BR S C</t>
  </si>
  <si>
    <t>GABEN FERNANDEZ HOTEL LTDA</t>
  </si>
  <si>
    <t>GRAN RIO HOTEL DAN INN LTDA</t>
  </si>
  <si>
    <t>KAROLINA KAESTNER WINTERINK SER</t>
  </si>
  <si>
    <t>SKW SERVICOS DE BUFFET LTDA</t>
  </si>
  <si>
    <t>KESS BUFFET LTDA</t>
  </si>
  <si>
    <t>LUA NOSSA DOCES LTD</t>
  </si>
  <si>
    <t>FREAK CAFES ESPECIAIS LTDA</t>
  </si>
  <si>
    <t>COSTELARIA TOKUNFOME LTDA</t>
  </si>
  <si>
    <t>FERNANDO RODRIGUES P COM DE ALI</t>
  </si>
  <si>
    <t>MOOCA BUNS LTDA</t>
  </si>
  <si>
    <t>BASSANO HL RESTAU E EVENT LTDA</t>
  </si>
  <si>
    <t>MERCEARIA E RESTAURANTE POINT LTDA</t>
  </si>
  <si>
    <t>LANCHONETE MORENO LTDA</t>
  </si>
  <si>
    <t>EMPORIO MC MINI MERCADO E PAD L</t>
  </si>
  <si>
    <t>RVG COMERCIO DE PROD ALIM E BEB</t>
  </si>
  <si>
    <t>SABIA DO PARQUE ALIMENTOS LTDA</t>
  </si>
  <si>
    <t>COSTA ALIMENTOS LTDA</t>
  </si>
  <si>
    <t>PAMIJUCA ALIMENTACAO LTDA</t>
  </si>
  <si>
    <t>JON PIL LEE 04161454694</t>
  </si>
  <si>
    <t>GNTP PIZ TRATORIA E RESTAURANTE</t>
  </si>
  <si>
    <t>GIOVANA G RONDON E SILVA 48468438820</t>
  </si>
  <si>
    <t>OBRAS SOCIAIS N SENHORA AQUIROP</t>
  </si>
  <si>
    <t>ATEMPORAL ALIMENTOS LTDA</t>
  </si>
  <si>
    <t>JOH GASTRONOMIA LTDA</t>
  </si>
  <si>
    <t>DOM MAITRE BUFFET E EVENTOS LTD</t>
  </si>
  <si>
    <t>BROWNIE DA MINHA MAE DOCERIA LT</t>
  </si>
  <si>
    <t>M I S MEKARO DOCERIA</t>
  </si>
  <si>
    <t>A K GOIA DOCERIA LTDA</t>
  </si>
  <si>
    <t>FIORETTA COMERCIO DE PRODUTOS ALIME</t>
  </si>
  <si>
    <t>DOCES SONHOS DE COTIA DOCERIA LTDA</t>
  </si>
  <si>
    <t>ASSOCIACAO ESCOLA GRADUADA DE SP</t>
  </si>
  <si>
    <t>MADE BY NINA CAFE E DOCERIA LTDA ME</t>
  </si>
  <si>
    <t>BOIA FRIA ALIM CONGELADOS E REFRIGE</t>
  </si>
  <si>
    <t>A CONFITERIA IND E COM DE ALIM LTDA</t>
  </si>
  <si>
    <t>CARAMAPPLE COMERCIAL DE ALIM LTDA M</t>
  </si>
  <si>
    <t>SENHOR PUDIM SOBREMESAS LTDA</t>
  </si>
  <si>
    <t>PREMIUM BREAD INDUST DE PANIFICACAO</t>
  </si>
  <si>
    <t>EMPORIO GOURMET COM DE ALIM EIRELI</t>
  </si>
  <si>
    <t>MARIA DAS GRACAS AVANCE 03906557839</t>
  </si>
  <si>
    <t>QUI O QUA PASTICCIOTTERIA LTDA</t>
  </si>
  <si>
    <t>ALMENAT EXTENSAO CORPORATIVA LTDA</t>
  </si>
  <si>
    <t>FORLI COM ALIM BEBIDAS LTDA</t>
  </si>
  <si>
    <t>L B C P COMERCIAL LTDA ME</t>
  </si>
  <si>
    <t>CBB FARIA L ADM HOTEL E COMERCIAL</t>
  </si>
  <si>
    <t>GRAEX LOJA DE CONVENIENCIA LTDA</t>
  </si>
  <si>
    <t>SAN JUAN SAO PAULO HOTEL LT</t>
  </si>
  <si>
    <t>CARLOTA ALIMENTOS LTDA</t>
  </si>
  <si>
    <t>J E F E RSTAURANTE</t>
  </si>
  <si>
    <t>BORIS RESTAURANTE E EVENTOS SOCIEDA</t>
  </si>
  <si>
    <t>CREPE DE PARIS RESTAURANTE LTDA</t>
  </si>
  <si>
    <t>PREMIER RESIDENCE HOSPITAL LTDA</t>
  </si>
  <si>
    <t>BARRA FUNDA HOTELARIA LTDA</t>
  </si>
  <si>
    <t>REPITA COMIDA ARABE LTDA ME</t>
  </si>
  <si>
    <t>CHURRASCARIA DO BOSQUE LTDA</t>
  </si>
  <si>
    <t>FLAVIO AUD CATEB EVENTOS</t>
  </si>
  <si>
    <t>RJR GASTRONOMIA EVENTOS LTDA ME</t>
  </si>
  <si>
    <t>EMPORIO M E L COM DE ALIM E BEBIDAS</t>
  </si>
  <si>
    <t>AILTON SANTOS LEITE REST EIRELI ME</t>
  </si>
  <si>
    <t>MEJI ASSISTENCIA MEDICA LTDA</t>
  </si>
  <si>
    <t>KOMAH RESTAURANTE TREINAMENTO E</t>
  </si>
  <si>
    <t>3MS JL CAFE BISTRO LTDA</t>
  </si>
  <si>
    <t>SABORES DO CACAU CHOCOLATE</t>
  </si>
  <si>
    <t>CACAU TALENTO CHOCOL E CAFE LTDA EP</t>
  </si>
  <si>
    <t>FUTURO REFEITORIO LTDA</t>
  </si>
  <si>
    <t>DMX BOLOS DA VOVO LTDA</t>
  </si>
  <si>
    <t>TOGETHER AGENCIA DE VIAGEM TURISMO</t>
  </si>
  <si>
    <t>CERBAIA PROM DE EVENTOS</t>
  </si>
  <si>
    <t>ELETROX HOTEIS LTDA</t>
  </si>
  <si>
    <t>TEA CONECTION COMERCIO DE ALIMENTOS</t>
  </si>
  <si>
    <t>PRISCILA SIZUKO KANASHIRO</t>
  </si>
  <si>
    <t>PRIME ONE CAFETERIA LTDA</t>
  </si>
  <si>
    <t>MEC DOCES E BOLOS LTDA ME</t>
  </si>
  <si>
    <t>PADOCA DO MANI ALIMENTOS LTDA</t>
  </si>
  <si>
    <t>TKS CAFE LTDA</t>
  </si>
  <si>
    <t>CACAU DO OESTE COM DE C E CAFE LTDA</t>
  </si>
  <si>
    <t>INTEGRAL NUTTRI ALIM E SERV LTD</t>
  </si>
  <si>
    <t>MARCOS PAULO VALE</t>
  </si>
  <si>
    <t>AAP CASTRO E FERNANDES LTDA</t>
  </si>
  <si>
    <t>BELLA BOLOS FINOS LTDA</t>
  </si>
  <si>
    <t>LILLY COMERCIO DE BOLOS EIRELI</t>
  </si>
  <si>
    <t>LACTICINIOS DO VELHINHO LTDA ME</t>
  </si>
  <si>
    <t>LANCH BAR FINESSE LTDA</t>
  </si>
  <si>
    <t>COLEGIO ALBERT SABIN LTDA</t>
  </si>
  <si>
    <t>PIZZARIA E CHURR NOVA MACEDO LTDA E</t>
  </si>
  <si>
    <t>MELIA BRASIL ADM HOT E COM LTDA</t>
  </si>
  <si>
    <t>ASSOCIACAO MET DE ACAO SOCIAL AMAS</t>
  </si>
  <si>
    <t>SAO PAULO NIKKEY PALACE HOTEL</t>
  </si>
  <si>
    <t>INST VISITACAO DE STA MARIA</t>
  </si>
  <si>
    <t>ART IMAGE IND E COM LTDA</t>
  </si>
  <si>
    <t>CENTRO DE ASSISTENCIA SOCIAL</t>
  </si>
  <si>
    <t>NOVO HAMBURGER LANCHONETE LTDA</t>
  </si>
  <si>
    <t>HOTEL ROJAS LTDA ME</t>
  </si>
  <si>
    <t>ING COMERCIO DE ALIMENTOS LTDA</t>
  </si>
  <si>
    <t>SIND TRAB IND DE PANIFICAC CONF AFI</t>
  </si>
  <si>
    <t>BOCADINHO ALIMENTOS LTDA ME</t>
  </si>
  <si>
    <t>ASSOC FEMININA DE ESTUDOS SOC E UNI</t>
  </si>
  <si>
    <t>URCA COMERCIO DE PAES EIRELI</t>
  </si>
  <si>
    <t>VIVIANE H V MENDOLA PATISSIERE LTDA</t>
  </si>
  <si>
    <t>PROTTI CONFEITARIA E CAFETERIA LTDA</t>
  </si>
  <si>
    <t>ECULLY GASTRONOMIA E EVENTOS LTDA</t>
  </si>
  <si>
    <t>THE WAFFLE FACTORY EMPORIO E CAFE L</t>
  </si>
  <si>
    <t>FEITO A MAO PAD ART SAO PAULO LTDA</t>
  </si>
  <si>
    <t>BOUTIQUE DE PAES YESCAKES EIRELI</t>
  </si>
  <si>
    <t>ROCKAFE ARRUDA BOTELHO LTDA</t>
  </si>
  <si>
    <t>JULIA NUSSBACHER</t>
  </si>
  <si>
    <t>UNIFLAVOR FROZEN YOGURT DO BRASIL L</t>
  </si>
  <si>
    <t>FLAVORATI ALIMENTOS LTDA</t>
  </si>
  <si>
    <t>FELIPE SALGUEIRO DE ARAUJO 42551622</t>
  </si>
  <si>
    <t>ALME NUTRICAO PERSONALIZADA LTDA</t>
  </si>
  <si>
    <t>SARTORATTO MORETO INDUSTRIA DE ALIM</t>
  </si>
  <si>
    <t>GUARUJA MOTEL LTDA</t>
  </si>
  <si>
    <t>CONCAVO E CONVEXO EMPRESA DE TURISM</t>
  </si>
  <si>
    <t>DANIELA CRISTINA DE OLIVEIRA MU</t>
  </si>
  <si>
    <t>EDVAN SANTOS SOUZA BRITO 3195643987</t>
  </si>
  <si>
    <t>CHEZ ROBERTA PRODUTOS ALIMENTARES A</t>
  </si>
  <si>
    <t>49021054 DEBORA S DE ALCANTARA OKAM</t>
  </si>
  <si>
    <t>RJR GASTRONOMIA EVENTOS LTDA</t>
  </si>
  <si>
    <t>ANA MARTINS DOCERIA LTDA</t>
  </si>
  <si>
    <t>RESTAURANTE MANIOCA FARIA LIMA LTDA</t>
  </si>
  <si>
    <t>CUCINA TUTTO PRONTO COMERCIO DE ALI</t>
  </si>
  <si>
    <t>FAUSTOLLO HAMBURGUERIA LTDA</t>
  </si>
  <si>
    <t>R C M COMERCIO DE BOLOS E DOCES</t>
  </si>
  <si>
    <t>ORLANDO C M PAES E DOCES ARTESANAIS</t>
  </si>
  <si>
    <t>RODOLFO BEGALI CAMPOS 11452272603</t>
  </si>
  <si>
    <t>VERMMER RESTAURANTES E EVENTOS LTDA</t>
  </si>
  <si>
    <t>ESM ALIMENTACAO ESCOLAR LTDA</t>
  </si>
  <si>
    <t>A C SILVEIRA CONSULTORIA E REPR</t>
  </si>
  <si>
    <t>JA SAUDE ANIMAL AS</t>
  </si>
  <si>
    <t>REFUGIO COMERCIO DE ALIMENTOS E</t>
  </si>
  <si>
    <t>STI IND E COM DE PROD ALIM LTD</t>
  </si>
  <si>
    <t>RESTAURANTE MANIOCA FARIA LIMA</t>
  </si>
  <si>
    <t>KOMAH DELIVERY E SERV DE ALIM L</t>
  </si>
  <si>
    <t>SPORT CLUB CORINTHIANS PAULISTA</t>
  </si>
  <si>
    <t>R&amp;R COMERCIO DE CHOCOLATES LTDA</t>
  </si>
  <si>
    <t>BRASKOP COMERCIO DE ALIMENTOS L</t>
  </si>
  <si>
    <t>PIRAPORA COMERCIO DE CHOCOLATES</t>
  </si>
  <si>
    <t>CENTER NORTE HOTELARIA SA</t>
  </si>
  <si>
    <t>FOOD SOCIETY HG VOLANO LTDA</t>
  </si>
  <si>
    <t>JUJUBA COMERCIO DE ALIMENTOS LT</t>
  </si>
  <si>
    <t>CONFEITARIA MAUA LTDA</t>
  </si>
  <si>
    <t>JJC CONFEITARIA LTDA</t>
  </si>
  <si>
    <t>FEITO A MAO ITAIM LTDA</t>
  </si>
  <si>
    <t>TUAREG COMERCIO E RESTAURANTE L</t>
  </si>
  <si>
    <t>AHTO PATISSERIE LTDA</t>
  </si>
  <si>
    <t>TWF EMPORIO E CAFE LTDA</t>
  </si>
  <si>
    <t>KAREN DOS SANTOS SILVA 45883036</t>
  </si>
  <si>
    <t>ROASTED COFFEE CAFETERIA LTDA</t>
  </si>
  <si>
    <t>O A DE FRANCA BEBIDAS</t>
  </si>
  <si>
    <t>EMPORIO DEL GROSSI LTDA</t>
  </si>
  <si>
    <t>TEJU BAKERY LTDA</t>
  </si>
  <si>
    <t>CRUSTO MICROPADARIA ARTESANAL LTDA</t>
  </si>
  <si>
    <t>RDG LAGO 58 ALIMENTOS LTDA</t>
  </si>
  <si>
    <t>RDG LAGO 64 ALIMENTOS LTDA</t>
  </si>
  <si>
    <t>COELHO BRANCO CAFE SECRETO E CIA LTDA</t>
  </si>
  <si>
    <t>VALDINEI DE OLIVEIRA PANIFICADO</t>
  </si>
  <si>
    <t>BOTELHO E KRONEMBERG EVENTOS LT</t>
  </si>
  <si>
    <t>LEVAIN DE CASA PANIFICADORA LTD</t>
  </si>
  <si>
    <t>PANIFICADORA ARTESANAL DE SERRA</t>
  </si>
  <si>
    <t>44986618 MARCIO BEZERRA MENDONCA</t>
  </si>
  <si>
    <t>COB EVENTOS CAFE E CIA LTDA</t>
  </si>
  <si>
    <t>NEXO PADARIA ARTESANAL LTDA</t>
  </si>
  <si>
    <t>ROGER COM E DIST DE PROD ALIM LTDA</t>
  </si>
  <si>
    <t>NPEREIRA IMPORTACAO E COMERCIO</t>
  </si>
  <si>
    <t>ALIMENTOS PORTIOLI LTDA</t>
  </si>
  <si>
    <t>RGGR COMERCIAL EIRELI</t>
  </si>
  <si>
    <t>SM FERREIRA COMERCIO DE ALIMENT</t>
  </si>
  <si>
    <t>ROST GUIMARAES DIST E TRANSPORT</t>
  </si>
  <si>
    <t>GEA COMERCIAL LTDA</t>
  </si>
  <si>
    <t>GUILHERME NASCIMENTO</t>
  </si>
  <si>
    <t>COM LOURO DE FRIOS E SALGADOS LTDA</t>
  </si>
  <si>
    <t>SVP COMERCIO DE ALIMENTOS LTDA</t>
  </si>
  <si>
    <t>SPAN VALE COM DE PROD ALIM LTDA</t>
  </si>
  <si>
    <t>SIRLEI MENDES DE OLIVEIRA</t>
  </si>
  <si>
    <t>WEA COM DE PROD DE PANIF LTDA</t>
  </si>
  <si>
    <t>COPROSUL COMERCIO IMPORT E EXPO</t>
  </si>
  <si>
    <t>MACPAN COM E DIST DE PROD ALIM LT M</t>
  </si>
  <si>
    <t>CONFESPAN COMERCIO E DISTRIBUICAO L</t>
  </si>
  <si>
    <t>CDI BARRA PROD IMP E EXPORTACAO LTD</t>
  </si>
  <si>
    <t>AROUMAR DISTRIB DE PRODUTOS ALIM LT</t>
  </si>
  <si>
    <t>CASA DE BOLOS DIST LTDA EPP</t>
  </si>
  <si>
    <t>FUNCHAL IND COM DE PAPEIS LT</t>
  </si>
  <si>
    <t>HENDUPAN COM DE PROD CON LTDA</t>
  </si>
  <si>
    <t>ATOS PAN COM DE PROD ALIM EIRELI</t>
  </si>
  <si>
    <t>DEPOSITO DE DOCES MALU LTDA</t>
  </si>
  <si>
    <t>G A R DE LUCENA</t>
  </si>
  <si>
    <t>PAMA COM DE GENEROS ALIMENTICIOS LT</t>
  </si>
  <si>
    <t>INTERFRIOS COM FRIOS LATCINIOS</t>
  </si>
  <si>
    <t>JMW FOODS DISTRIBUIDORA DE ALIM LTD</t>
  </si>
  <si>
    <t>LAT LUSO BRASILEIRO LTDA</t>
  </si>
  <si>
    <t>HCN COMERCIO DE PRODUTOS PARA C</t>
  </si>
  <si>
    <t>LANCH E REST BAMBARAS LTDA</t>
  </si>
  <si>
    <t>ATRIA PRODUTOS ALIMENTICIOS LTD</t>
  </si>
  <si>
    <t>CELIO MARTINS</t>
  </si>
  <si>
    <t>COM E REPRESENTACOES CECOTI LTDA</t>
  </si>
  <si>
    <t>COMERCIO E REPRESENTACOES CECOT</t>
  </si>
  <si>
    <t>CELIO/MARANATHA</t>
  </si>
  <si>
    <t>OESA COMERCIO E REPRESENTACOES</t>
  </si>
  <si>
    <t>OESA COMERCIO E REPRESENTACOES SA</t>
  </si>
  <si>
    <t>MARCELO SILVA</t>
  </si>
  <si>
    <t>SOLAR DAS FESTAS LTDA</t>
  </si>
  <si>
    <t>NUTRIFAZ CESTA LTDA EPP</t>
  </si>
  <si>
    <t>DESCARTEL DISTRIBUIDORA LTDA ME</t>
  </si>
  <si>
    <t>SPB PAD E COM LTDA</t>
  </si>
  <si>
    <t>TOP CESTA DE ALIMENTOS LTDA</t>
  </si>
  <si>
    <t>COOK EMPREENDIMENTOS EM ALIM COLETI</t>
  </si>
  <si>
    <t>ORGANIZACAO BARAT E BALTAZAR LTDA</t>
  </si>
  <si>
    <t>DOZE DISTRIBUIDORA LTDA</t>
  </si>
  <si>
    <t>INTEGRA PRODUTOS PARA PANIF LTD</t>
  </si>
  <si>
    <t>DISPROPAN LTDA</t>
  </si>
  <si>
    <t>BRASILPLAST EMB E DESCARTAVEIS LTDA</t>
  </si>
  <si>
    <t>R S TOLEDO MIX</t>
  </si>
  <si>
    <t>LUCIANA APARECIDA CORREA TOLEDO</t>
  </si>
  <si>
    <t>HJA DISTRIBUIDORA E ATACADISTA LTDA</t>
  </si>
  <si>
    <t>ORGANIZACOES BRAZALMEIDA COMERCIO D</t>
  </si>
  <si>
    <t>CENTRAL MIX LTDA</t>
  </si>
  <si>
    <t>IDEAL CESTAS DE ALIMENTOS LTDA</t>
  </si>
  <si>
    <t>CAPITAL DAS CESTAS LTDA</t>
  </si>
  <si>
    <t>JESSICA</t>
  </si>
  <si>
    <t>CLAUDIO JORGE</t>
  </si>
  <si>
    <t>CCN COMERCIO CENTRO NORTE ALIM LT</t>
  </si>
  <si>
    <t>CCN COMERCIO CENTRO NORTE ALIM LTDA</t>
  </si>
  <si>
    <t>JESSICA CARLA</t>
  </si>
  <si>
    <t>RIO QUALITY COMERCIO DE ALIMENTOS</t>
  </si>
  <si>
    <t>TOP ALTO PARTICIPACOES E COM LTDA</t>
  </si>
  <si>
    <t>JESSICA CARLA/JULIANA</t>
  </si>
  <si>
    <t>J ARAUJO DISTRIBUIDORA IMP E EXP SA</t>
  </si>
  <si>
    <t>HAND BAKER DIST DE PROD P PANIF EIR</t>
  </si>
  <si>
    <t>BOX 81 DISTR DE PRODS ALIMENT</t>
  </si>
  <si>
    <t>VALENTE E CASTRO DIST DE ALIMENTOS</t>
  </si>
  <si>
    <t>LEONARDO RODRIGO SILVA SANTOS M</t>
  </si>
  <si>
    <t>PORTEFRIO DISTRIBUIDORA DE GENEROS</t>
  </si>
  <si>
    <t>PARADELA DIST DE ALIMENTOS LTDA</t>
  </si>
  <si>
    <t>LUCIANA MARTINS</t>
  </si>
  <si>
    <t>IRMAOS BENASSI PROD E DIST DE F</t>
  </si>
  <si>
    <t>NECHIO COMERCIO DISTRIB DE ALIMENT</t>
  </si>
  <si>
    <t>NOBREDO COMERCIO E LOGISTICA LTDA</t>
  </si>
  <si>
    <t>SUPER VINHOS DISTRIBUIDORA S A</t>
  </si>
  <si>
    <t>NOBREDO COMERCIO E LOGISTICA LT</t>
  </si>
  <si>
    <t>COMERCIAL ATACADISTA NECHIO LTD</t>
  </si>
  <si>
    <t>MARCELO DUARTE</t>
  </si>
  <si>
    <t>COMERCIAL DISKPAN LTDA</t>
  </si>
  <si>
    <t>S P PRODUTOS LTDA</t>
  </si>
  <si>
    <t>M C MORAES ME</t>
  </si>
  <si>
    <t>F L EMBALAGENS LTDA</t>
  </si>
  <si>
    <t>LAURO DELEVEDOVE</t>
  </si>
  <si>
    <t>MEGA PAN DISTRIBUIDORA ALIMENTI</t>
  </si>
  <si>
    <t>BOZZETTI COMERCIO DE DOCES LTDA</t>
  </si>
  <si>
    <t>ZANEPAN COM ATAC DE GENEROS ALIM EI</t>
  </si>
  <si>
    <t>SORVEDOCES IND E COM DE PROD ALIM L</t>
  </si>
  <si>
    <t>V C F BOM DOCE LTDA</t>
  </si>
  <si>
    <t>MIX TUDO COMERCIO E SERVICOS EI</t>
  </si>
  <si>
    <t>CANELA VERDE DIST E TRANSP LTDA ME</t>
  </si>
  <si>
    <t>VR BUZIM COMERCIO PROD ALIMENTICIOS</t>
  </si>
  <si>
    <t>PILLAR DOCES E EMBALAGENS LTDA</t>
  </si>
  <si>
    <t>GURIRI EMBALAGENS LTDA ME</t>
  </si>
  <si>
    <t>E E MODOLO ME</t>
  </si>
  <si>
    <t>COLORADO FESTAS LTDA</t>
  </si>
  <si>
    <t>CASA DAS EMBALAGENS E DOCES</t>
  </si>
  <si>
    <t>CASABLANCA CAFES LTDA</t>
  </si>
  <si>
    <t>CAMPO GRANDE C DE P ALIMENTICIOS LT</t>
  </si>
  <si>
    <t>DADALTO E SILVA LTDA</t>
  </si>
  <si>
    <t>SORVETOP COMERCIO LTDA</t>
  </si>
  <si>
    <t>MARCO AURELIO</t>
  </si>
  <si>
    <t>CASA DO SACHET LTDA</t>
  </si>
  <si>
    <t>FRUTT CENTER DDE P DE FRUTAS E F LT</t>
  </si>
  <si>
    <t>UNIPAN COMERCIO DE PROD ALIM LT</t>
  </si>
  <si>
    <t>DF</t>
  </si>
  <si>
    <t>NT INDSUTRIA E COM DE PANIFICAC</t>
  </si>
  <si>
    <t>GP EMBALAGENS EIRELI EPP</t>
  </si>
  <si>
    <t>AMORIX ALIMENTOS LTDA</t>
  </si>
  <si>
    <t>SORVEPANI COMERCIAL E DISTRIBUIDORA</t>
  </si>
  <si>
    <t>ROMAPAN ALIMENTOS LTDA</t>
  </si>
  <si>
    <t>LORENZ COMERCIO E DIST DE ALIM LTDA</t>
  </si>
  <si>
    <t>GARRA COMERCIO ATACADISTA DE ALIM L</t>
  </si>
  <si>
    <t>ARTPAN COMERCIO DE ALIMENTOS LTDA</t>
  </si>
  <si>
    <t>CLAUDIO JORGE/MARIA LAURA</t>
  </si>
  <si>
    <t>STA DISTRIBUIDORA DE ALIMENTOS LTDA</t>
  </si>
  <si>
    <t>TC REPRESENTAÇÕES</t>
  </si>
  <si>
    <t>LOGUI DISTRIBUICAO LTDA</t>
  </si>
  <si>
    <t>PA</t>
  </si>
  <si>
    <t>RAQUEL BARBOSA</t>
  </si>
  <si>
    <t>LUCAS ANDRADE</t>
  </si>
  <si>
    <t>JCA FOODS COM DE PROD ALIM LTDA</t>
  </si>
  <si>
    <t>ROCHA PAN INDUSTRIA E COMERCIO LTDA</t>
  </si>
  <si>
    <t>DORIVALI COM DIST DE PROD ALIM LTDA</t>
  </si>
  <si>
    <t>FESTPAN ALIM IMP E EXPORT LTDA</t>
  </si>
  <si>
    <t>TEGEDA COM E DIST LTDA</t>
  </si>
  <si>
    <t>MERCANTIL PRIMAR LTDA</t>
  </si>
  <si>
    <t>FERPEREZ COMERCIO DE ALIMENTOS</t>
  </si>
  <si>
    <t>GRANO NICOLETTI COM ALIM LTDA</t>
  </si>
  <si>
    <t>CASA DO PADEIRO COM DE PROD ALIM LT</t>
  </si>
  <si>
    <t>T T F ALIMENTOS SOROCABA LTDA</t>
  </si>
  <si>
    <t>GAPEIXOTO DIST DE PROD ALIM LTD</t>
  </si>
  <si>
    <t>FUNCHAL IND E COM DE PAPEIS LTD</t>
  </si>
  <si>
    <t>VUPI ALIMENTOS LTDA</t>
  </si>
  <si>
    <t>DISTRIBUIDORA E IMP IRMAOS AVELINO</t>
  </si>
  <si>
    <t>NOVA MEGA G ATACADISTA DE ALIM SA</t>
  </si>
  <si>
    <t>DISTRIB E IMPORT IRMAOS AVELINO</t>
  </si>
  <si>
    <t>VAGO NORDESTE</t>
  </si>
  <si>
    <t>MAFRIOS DIST E IMPORTADORA LTDA</t>
  </si>
  <si>
    <t>AL</t>
  </si>
  <si>
    <t>ESPACO CHEF COMERCIO E DIST LTD</t>
  </si>
  <si>
    <t>PADEIRAO COMERCIO PROD PARA PANI LT</t>
  </si>
  <si>
    <t>FORMAGGIO DISTRIBUICAO AL</t>
  </si>
  <si>
    <t>DIA DISTRIBUICAO E IMPORTACAO AFOGA</t>
  </si>
  <si>
    <t>PANCRISTAL LTDA</t>
  </si>
  <si>
    <t>DISTRIBUIDORA JJ DE ALIM E COSM LTD</t>
  </si>
  <si>
    <t>O MUNDO DOS CHOCOLATES LTDA</t>
  </si>
  <si>
    <t>CLAUDIO JORGE/AMANDA SANDS</t>
  </si>
  <si>
    <t>DISPAN DISTRIBUIDORA DE ALIMENTOS</t>
  </si>
  <si>
    <t>PADEIRAO COM DE PROD PARA PANIF</t>
  </si>
  <si>
    <t>PB</t>
  </si>
  <si>
    <t>DIGMA REPR LTDA</t>
  </si>
  <si>
    <t>UP DIST DE PRODS DESCARTAVEIS LTDA</t>
  </si>
  <si>
    <t>TARGUZ COMERCIO LTDA</t>
  </si>
  <si>
    <t>KARIS FOOD / LUIZ</t>
  </si>
  <si>
    <t>GA INDUSTRIA E COMERCIO DE ALIM</t>
  </si>
  <si>
    <t xml:space="preserve">KARIS FOOD / LUIZ </t>
  </si>
  <si>
    <t>SOST IND E COM DE ALIMENTOS EIRELI</t>
  </si>
  <si>
    <t>TAPIOCARIA DE ITAPUA LTDA ME</t>
  </si>
  <si>
    <t>TRIGAL IMP EXP PROD ALIM LTDA</t>
  </si>
  <si>
    <t>TUFFUS</t>
  </si>
  <si>
    <t>A B GUIMARAES BRANDAO VILAR</t>
  </si>
  <si>
    <t>ARMAZEM TOP ALTO LTDA</t>
  </si>
  <si>
    <t>SAUIPE SA</t>
  </si>
  <si>
    <t>GANACHE DOCERIA LTDA</t>
  </si>
  <si>
    <t>WCN COM E REPRESENTACAO DE ALIM LTD</t>
  </si>
  <si>
    <t>BFS DISTRIB DE PRODUT ALIMENTIC</t>
  </si>
  <si>
    <t>HIPER PAN DISTDE PROD DE PAN LT</t>
  </si>
  <si>
    <t>ALEGRO ALIMENTOS LTDA</t>
  </si>
  <si>
    <t>CANTINHO GOURMET FAB DE ALIM CO</t>
  </si>
  <si>
    <t>FABRICACAO DE PRODUTOS DE PADAR</t>
  </si>
  <si>
    <t>GELA GOURMET LTDA</t>
  </si>
  <si>
    <t>HARUS FOOD BAHIA LTDA</t>
  </si>
  <si>
    <t>HOSPITAL MATER DEI SA</t>
  </si>
  <si>
    <t>FORTE DIST DE GENERO ALIM DES E LIM</t>
  </si>
  <si>
    <t>GELATO LUCE COMERCIO LTDA</t>
  </si>
  <si>
    <t>LATIT 13 CAFES ESP COM CAF E AC</t>
  </si>
  <si>
    <t>BANOFFERIA SALVADOR LTDA</t>
  </si>
  <si>
    <t>WGS COMERCIO DE PROD ALIMENTICI</t>
  </si>
  <si>
    <t>WH FOOD SERVICE CE</t>
  </si>
  <si>
    <t>SOLMAR DIST DE ALIMENTOS LTDA</t>
  </si>
  <si>
    <t>FORTALI DIST DE ALIMENTOS LTDA</t>
  </si>
  <si>
    <t>OMEGA DISTR DE PROD ALIM LTDA</t>
  </si>
  <si>
    <t>FORPAN FORTALEZA PAO LTDA</t>
  </si>
  <si>
    <t>I S M GOMES DE MATTOS LTDA</t>
  </si>
  <si>
    <t>ESPACO CHEF COM PROD ALIM DOM LTDA</t>
  </si>
  <si>
    <t>DOCA COMERCIO DE PROD ALIM LTDA</t>
  </si>
  <si>
    <t>EJP COMERCIO DE ALIMENTOS LTDA</t>
  </si>
  <si>
    <t>G S LIMA ALIMENTOS</t>
  </si>
  <si>
    <t>IMAC INDUSTRIA DE MASSAS CONGEL</t>
  </si>
  <si>
    <t>DOCA COM DE EMB LTDA</t>
  </si>
  <si>
    <t>HARUS COM VAREJ DE COSM LTDA</t>
  </si>
  <si>
    <t>DOCA COME DE PROD ALIMEN LTDA</t>
  </si>
  <si>
    <t>DISTRIBUIDORA JJ DE ALIMENTOS</t>
  </si>
  <si>
    <t>FRANCISCO C LIMA DISTRIB DE ALI</t>
  </si>
  <si>
    <t>THIAGO MAGNO SILVERIO DA FONSEC</t>
  </si>
  <si>
    <t>AMIV COMERCIO DE PRODUTOS</t>
  </si>
  <si>
    <t>VAGO SP - INTERIOR</t>
  </si>
  <si>
    <t>ESTORIL SOL FESTAS E DOCES LTDA</t>
  </si>
  <si>
    <t>EMBALEME COM EMB DESCARTAVEIS LTDA</t>
  </si>
  <si>
    <t>SANNA COMERCIO DE ALIMENTOS LTDA</t>
  </si>
  <si>
    <t>RODRIGO FITZGERALD LUPIANHES</t>
  </si>
  <si>
    <t>ADRIPAN PRODUTOS PARA PANIFICACAO L</t>
  </si>
  <si>
    <t>ALLPAN COM DE PROD ALIMENTICIOS LTD</t>
  </si>
  <si>
    <t>CHOKDOCE COM PROD ALIMENTICIOS</t>
  </si>
  <si>
    <t>RIBERFOODS PRODUTOS ALIMENTICIOS LT</t>
  </si>
  <si>
    <t>HARUS INDUSTRIA E COM DE ALIM L</t>
  </si>
  <si>
    <t>VAGO SUL</t>
  </si>
  <si>
    <t>ANTÔNIO SOUZA</t>
  </si>
  <si>
    <t>ROTTA DISTRI DE ALIMENTOS LTDA</t>
  </si>
  <si>
    <t>DAVIPAN DIST GENEROS ALIM LTDA</t>
  </si>
  <si>
    <t>CENTRO COMERCIAL DE ALIMENTOS LTDA</t>
  </si>
  <si>
    <t>DIST DE ALIMENTOS DEQUECH LTDA</t>
  </si>
  <si>
    <t>CASA DA PANI COM DE PROD PARA PANI</t>
  </si>
  <si>
    <t>CUNHAPAN DIST DE PROD P PANIF LTDA</t>
  </si>
  <si>
    <t>PENNACCHI E CIA LTDA</t>
  </si>
  <si>
    <t>GOLD INDUSTRIA E COMERCIO LTDA</t>
  </si>
  <si>
    <t>FERMISUL FERMENTOSE PROD PARA PANIF</t>
  </si>
  <si>
    <t>GILBERTO KAJEVSKI &amp; CIA LTDA EPP</t>
  </si>
  <si>
    <t>BONOTTO E COSTA COM ALIMENTOS L</t>
  </si>
  <si>
    <t>J C CASAROTTO MORO E CIA LTDA</t>
  </si>
  <si>
    <t>JACOMASSO COMERCIO DE BOLOS LTDA</t>
  </si>
  <si>
    <t>NATURA IND E COM DE ALIMENTOS L</t>
  </si>
  <si>
    <t>KOB COMERCIAL LTDA</t>
  </si>
  <si>
    <t>OFICINA DO SORVETE LTDA</t>
  </si>
  <si>
    <t>FERRARIPAN DIST DE PROD ALIM LTDA</t>
  </si>
  <si>
    <t>STAMPA PET E FOOD LTDA</t>
  </si>
  <si>
    <t>PENIEL DIST DE MEDICAMENTOS E A</t>
  </si>
  <si>
    <t>JADE COM ATAC DE PROD EM SACHES LTD</t>
  </si>
  <si>
    <t>MP MARTINS ALIMENTOS LTDA</t>
  </si>
  <si>
    <t>DISTRIBUIDORA DE DOCES CORREA</t>
  </si>
  <si>
    <t>RIBERPAN COMERCIO DE ALIMENTOS LTDA</t>
  </si>
  <si>
    <t>MEIRE F P LOURENCO ME</t>
  </si>
  <si>
    <t>SOS ALIMENTOS E TRANSPORTES LTDA</t>
  </si>
  <si>
    <t>LEVE BOLOS CONFEITARIA LTDA</t>
  </si>
  <si>
    <t>FC DISTRIBUIDORA DE CHOCOLATES LTDA</t>
  </si>
  <si>
    <t>POINT DO FIFO MERCADO LTDA</t>
  </si>
  <si>
    <t>PANIFICADORA E CONFEITARIA SANTELMO</t>
  </si>
  <si>
    <t>A F MURER  MEL CACAU CHOCOLATES</t>
  </si>
  <si>
    <t>CENTER COMERCIO DE EMBALAGENS L</t>
  </si>
  <si>
    <t>AKS ALIMENTOS LTDA ME</t>
  </si>
  <si>
    <t>ARILU DISTRIBUIDORA SA</t>
  </si>
  <si>
    <t>FEITO CHOCOLATE LTDA</t>
  </si>
  <si>
    <t>DIHELO ALIMENTOS LTDA</t>
  </si>
  <si>
    <t>SORVEMIX COMERCIO DE ALIM LTDA</t>
  </si>
  <si>
    <t>T M L DA SILVA EIRELI</t>
  </si>
  <si>
    <t>SEMENTINHA PRODUTOS DE SORVETES</t>
  </si>
  <si>
    <t>CRAF BRASIL IND E COM ALIM LTDA</t>
  </si>
  <si>
    <t>MARIA CHOCOLATE LTDA</t>
  </si>
  <si>
    <t>SPREADS</t>
  </si>
  <si>
    <t>REFFEL PRODUTOS ALIMENTICIOS LTDA</t>
  </si>
  <si>
    <t>PARMEZAO INDUSTRIA E COM DE ALIM LT</t>
  </si>
  <si>
    <t>COLORE INDUSTRIA E COMERCIO LTDA EP</t>
  </si>
  <si>
    <t>SELECIONATA IND ALIM</t>
  </si>
  <si>
    <t>SLOOP IND COM DE ALIM LTDA</t>
  </si>
  <si>
    <t>ARACAGY SORVETES LTDA ME</t>
  </si>
  <si>
    <t>INDUSTRIA E COMERCIO VILLA CAFE LTD</t>
  </si>
  <si>
    <t>SEC INDUSTRIA E COMERCIO LTDA</t>
  </si>
  <si>
    <t>NUTRISANTOS ALIMENTACAO ANIMAL</t>
  </si>
  <si>
    <t>57988235 JULIO CESAR QUEIROZ</t>
  </si>
  <si>
    <t>SORVETES DO VALE LTDA</t>
  </si>
  <si>
    <t>LALLEMAND SOLUCOES BIOLOGICAS L</t>
  </si>
  <si>
    <t>SORVETES JUNDIA INDU E COM LTDA</t>
  </si>
  <si>
    <t>COOP AGROPECUARIA PETROPOLIS LT</t>
  </si>
  <si>
    <t>MAROMA IND E COM DE SORVETES LTDA E</t>
  </si>
  <si>
    <t>M DIAS BRANCO SA IND COM ALIM</t>
  </si>
  <si>
    <t>FRONERI BRASIL DIST DE SORV E CONG</t>
  </si>
  <si>
    <t>LATICINIOS SANTA RITA LTDA</t>
  </si>
  <si>
    <t>COOPERATIVA AGRICOLA MISTA DE MARAN</t>
  </si>
  <si>
    <t>GRIFFOOD BRASIL ALIMENTOS SA</t>
  </si>
  <si>
    <t>T R KLEINCIA LTDA</t>
  </si>
  <si>
    <t>NR FOODS INDUSTRIA E COMERCIO L</t>
  </si>
  <si>
    <t>SUPERMIX NUTRICAO ANIMAL LTDA</t>
  </si>
  <si>
    <t>M DIAS BRANCO S A</t>
  </si>
  <si>
    <t>TANGARA IMPORTADORA E EXPORTADO</t>
  </si>
  <si>
    <t>ALTO ALEGRE COMERCIAL LTDA</t>
  </si>
  <si>
    <t>MA</t>
  </si>
  <si>
    <t>DISTRAL DISTRIB DE ALIM SLU LTD</t>
  </si>
  <si>
    <t>COMERCIO DE GEN ALIMENT MATHESCH LT</t>
  </si>
  <si>
    <t>SORVEMIX COMERCIO DE ALIMENTOS LTDA</t>
  </si>
  <si>
    <t>JULIO YOKIO DEMIZU</t>
  </si>
  <si>
    <t>INDUSTRIA DE SORVETES GELUY LTD</t>
  </si>
  <si>
    <t>BATISTA E IZEPE LTDA</t>
  </si>
  <si>
    <t>DUTRA SORVETES E PICOLES LTDA</t>
  </si>
  <si>
    <t>PLUMA SORVETES LTDA</t>
  </si>
  <si>
    <t>BJ COMERCIO E INDUSTRIA DE SORV</t>
  </si>
  <si>
    <t>DN SHAKES COMERCIO DE ALIM LTDA</t>
  </si>
  <si>
    <t>P S DISTRIBUIDORA LTDA</t>
  </si>
  <si>
    <t>BRASIL ARARAJUBA LTDA</t>
  </si>
  <si>
    <t>UNICANDIE DISTRIBUIDORA DE DOCE</t>
  </si>
  <si>
    <t>SORVETERIA PINETTO LTDA</t>
  </si>
  <si>
    <t>ERCILIO ROSA</t>
  </si>
  <si>
    <t>GELATI INDUSTRIA E COM DE SORVETES LTDA</t>
  </si>
  <si>
    <t>41043363 THAINARA ROSCAMP KAMIN</t>
  </si>
  <si>
    <t>DR OETKER BRASIL LTDA</t>
  </si>
  <si>
    <t>COCARI COOPERATIVA AGROPECUARIA</t>
  </si>
  <si>
    <t>G ACTION IND E COM DE SUP ALIM LTDA</t>
  </si>
  <si>
    <t>AROMITALIA DO BRASIL LTDA</t>
  </si>
  <si>
    <t>VITAO ALIMENTOS LTDA</t>
  </si>
  <si>
    <t>SR PAO PANIFICACAO ALIM CONGELADOS</t>
  </si>
  <si>
    <t>LATICINIOS TIROLEZ LTDA</t>
  </si>
  <si>
    <t>SORVESAN IND E COM DE SORV LTDA</t>
  </si>
  <si>
    <t>DOIS IRMAOS IND E COM DE SORV L</t>
  </si>
  <si>
    <t>CARINO INGREDIENTES LTDA</t>
  </si>
  <si>
    <t>DNFA COMERCIO LTDA</t>
  </si>
  <si>
    <t>COOPERATIVA AGRO PECUARIA VALE</t>
  </si>
  <si>
    <t>ALMEIDA MERC COM DISTR E IMP LT</t>
  </si>
  <si>
    <t>C VALE COOPERATIVA AGROINDUSTRIAL</t>
  </si>
  <si>
    <t>FRIMESA COOPERATIVA CENTRAL</t>
  </si>
  <si>
    <t>ULTRASUCAR LTDA</t>
  </si>
  <si>
    <t>COOP REG DE COM DO EXT OESTE CO</t>
  </si>
  <si>
    <t>RFG COMERCIOTRANSP E SERVICOS LTDA</t>
  </si>
  <si>
    <t>SORVETES</t>
  </si>
  <si>
    <t>R E M COM DE PROD ALIM E ART PA</t>
  </si>
  <si>
    <t>MABE ALIMENTOS LTDA</t>
  </si>
  <si>
    <t>C HENRIQUE MOREIRA SOUZA</t>
  </si>
  <si>
    <t>SORVETERIA NOVO SABOR LTDA</t>
  </si>
  <si>
    <t>CANTTY GELLY DOIS LTDA</t>
  </si>
  <si>
    <t>COOPERATIVA AGROINDUSTRIAL SERRAMAR</t>
  </si>
  <si>
    <t>ALIBEY INDUSTRIA COM ALIMENTOS</t>
  </si>
  <si>
    <t>ANDRADE E FILGUEIRAS ROTISSERIE</t>
  </si>
  <si>
    <t>HERSHEY DO BRASIL LTDA</t>
  </si>
  <si>
    <t>VEP FROZEN FOODS IMPORT E EXPORT LT</t>
  </si>
  <si>
    <t>USINA DE LATICINIOS JUSSARA SA</t>
  </si>
  <si>
    <t>LUA NOVA IND E COM PROD ALIM LT</t>
  </si>
  <si>
    <t>INDUSTRIA DE SORVETES CAMAGIVA LTDA</t>
  </si>
  <si>
    <t>NUTRIALIMENTAR INDUSTRIA LTDA</t>
  </si>
  <si>
    <t>HUGO JOSE DE FREITAS 0977326160</t>
  </si>
  <si>
    <t>BRF</t>
  </si>
  <si>
    <t>SERVIÇO TIROL</t>
  </si>
  <si>
    <t>LACTICINIOS TIROL LTDA</t>
  </si>
  <si>
    <t>COMFRIO FOOD SERVICE LTDA</t>
  </si>
  <si>
    <t>MASSIMA ALIMENTACAO SA</t>
  </si>
  <si>
    <t>G PIEROTTI SHIP SUPPLIER LTDA</t>
  </si>
  <si>
    <t>SOPHINSKI SUCOS E ALIMENTOS LTD</t>
  </si>
  <si>
    <t>LC ADMINISTRACAO DE REST LTDA</t>
  </si>
  <si>
    <t>KISTON RESTAURANTES LTDA</t>
  </si>
  <si>
    <t>GIRASSOL DOCES LTDA</t>
  </si>
  <si>
    <t>COMERCIAL AZEVEDO LTDA</t>
  </si>
  <si>
    <t>PLIMAX IMP E EXP EIRELI</t>
  </si>
  <si>
    <t>JESSICA SILVA</t>
  </si>
  <si>
    <t>IRMAOS BENASSI PROD DIST DE FRUTAS</t>
  </si>
  <si>
    <t>JME RAUTA COM DIST LTDA</t>
  </si>
  <si>
    <t>JME RAUTA COMERCIAL DISTRIBUIDORA</t>
  </si>
  <si>
    <t>MON CHOU COM IMP E EXP LTDA</t>
  </si>
  <si>
    <t>MON CHOU COM IMPORTACAO E EXPOR</t>
  </si>
  <si>
    <t>MULTPEL COM DE PAPEIS E EMBALAG</t>
  </si>
  <si>
    <t>ATACADO E DISTRIBUIDORA MARITER</t>
  </si>
  <si>
    <t>SORVETUDO COM PROD DE SORVETE LTDA</t>
  </si>
  <si>
    <t>CARNIELLI DISTRIBUIDORA EIRELI EPP</t>
  </si>
  <si>
    <t>MIX TUDO COM ALIMENTOS E SERVICOS L</t>
  </si>
  <si>
    <t>M A DA SILVA COMERCIO</t>
  </si>
  <si>
    <t>GP SORVETERIA DISTRIBUIDORA LTDA</t>
  </si>
  <si>
    <t>UNIPAN COMERCIO DE PRODUTOS ALIM LT</t>
  </si>
  <si>
    <t>ARTE TRIGO INDUSTRIAL LTDA ME</t>
  </si>
  <si>
    <t>TVL FOODS E DISTRIBUICAO EIRELI</t>
  </si>
  <si>
    <t>VAGO CO</t>
  </si>
  <si>
    <t>MAIS FESTA ARTIGOS PARA FESTAS LTDA</t>
  </si>
  <si>
    <t>E V COMERCIO DE ALIMENTOS LTDA</t>
  </si>
  <si>
    <t>ATACAMAX IMPORTADORA DE ALIMENTOS L</t>
  </si>
  <si>
    <t>EBANO DISTRIBUIDORA DE ALIMENTOS LT</t>
  </si>
  <si>
    <t>TUFFUS COMERCIO DE ALIMENTOS LTDA M</t>
  </si>
  <si>
    <t>ODAIR JOSE DA SILVA COUTO 88212</t>
  </si>
  <si>
    <t>DOCE VERAO LTDA</t>
  </si>
  <si>
    <t>CERVINO E MARTINEZ LTDA</t>
  </si>
  <si>
    <t>ACAI LITORAL NORTE INDUSTRIA E</t>
  </si>
  <si>
    <t>GELADOM SORVETES LTDA</t>
  </si>
  <si>
    <t>ACAI MAIS INDUSTRIA E COMERCIO</t>
  </si>
  <si>
    <t>SCALONA ALIMENTOS LTDA</t>
  </si>
  <si>
    <t>DSA COMERCIAL DE ALIMENTOS LTDA</t>
  </si>
  <si>
    <t>ADL COMERCIO DE ALIMENTOS LTDA</t>
  </si>
  <si>
    <t>MILFRIOS DISTR DE PROD ALIM LTDA</t>
  </si>
  <si>
    <t>MONTE CARLO COMERCIO DE ALIMENTOS L</t>
  </si>
  <si>
    <t>GULA COM DE REF E BEB LTDA</t>
  </si>
  <si>
    <t>ALEXANDRO / EMMANUEL</t>
  </si>
  <si>
    <t>BONNA CESTA CAMPS COM ALIM LTDA</t>
  </si>
  <si>
    <t>OTTIMA ALIMENTOS BASICOS LT</t>
  </si>
  <si>
    <t>PLATINA ESTOQUE ONLINE ALIMENTO</t>
  </si>
  <si>
    <t>CESTA SILCO LTDA</t>
  </si>
  <si>
    <t>CASA FLORA LTDA</t>
  </si>
  <si>
    <t>FLAC REPRESENTACAO E COMERCIO LTDA</t>
  </si>
  <si>
    <t>COMPRARE COM ATACADISTA DE ALIM LTD</t>
  </si>
  <si>
    <t>FORTUNA RESTAURANTES E BUFFET LTDA</t>
  </si>
  <si>
    <t>SUPER GRILL EXPRESS GUARU CHURR LTD</t>
  </si>
  <si>
    <t>SUPER GRILL EXPRESS MORUMBI ALI</t>
  </si>
  <si>
    <t>SOLUTION ADM DE HOTEIS E RESORTS LT</t>
  </si>
  <si>
    <t>SUPER GRILL EX PAULISTA REST LT</t>
  </si>
  <si>
    <t>LUCCAS E THIAGO PRODUTOS ALIM LTDA</t>
  </si>
  <si>
    <t>RISOTOLANDIA SERVICOS DE ALIMEN</t>
  </si>
  <si>
    <t>MELIA ADM HOTELEIRA E COMERCIAL LTD</t>
  </si>
  <si>
    <t>SAINT PATRICK BAR RESTAURANTE L</t>
  </si>
  <si>
    <t>NEW SPACE PROCESSAMENTO E SISTEMAS</t>
  </si>
  <si>
    <t>MARIA DA VILLA ITAQUERA REST LT</t>
  </si>
  <si>
    <t>ANA P MESSORE CARPINELLI 1764832981</t>
  </si>
  <si>
    <t>EMPORIO E ROTISSERIE FLORENCA LTDA</t>
  </si>
  <si>
    <t>BMZ ALIMENTOS LTDA</t>
  </si>
  <si>
    <t>RAF MERCADO SAUDAVEL LTDA</t>
  </si>
  <si>
    <t>MARIA DA VILLA INTERLAGOS RESTA</t>
  </si>
  <si>
    <t>KIT FESTA ARCO IRIS MP LTDA</t>
  </si>
  <si>
    <t>BOTANIKAFE LTDA</t>
  </si>
  <si>
    <t>THE VIEW BAR RESTAURANTES E EVENTOS LTDA</t>
  </si>
  <si>
    <t>MARIA DA VILLA ARICANDUVA RESTA</t>
  </si>
  <si>
    <t>NATHALIA PRODUTOS ALIMENTICIOS LTDA</t>
  </si>
  <si>
    <t>PALACIO GASTRONOMICO LTDA</t>
  </si>
  <si>
    <t>CONFEITARIA PRAZERES DA DEGUSTA</t>
  </si>
  <si>
    <t>RLC RESTAURANTE LTDA</t>
  </si>
  <si>
    <t>52983134 REMITON COELHO VIEIRA</t>
  </si>
  <si>
    <t>ALLAMANDA 223 PAES E DOCES ARTE</t>
  </si>
  <si>
    <t>SABOR IDEAL SERVICOS DE ALIMENT</t>
  </si>
  <si>
    <t>CAFETERIA BERRINI LTDA</t>
  </si>
  <si>
    <t>M H DE ANDRADE TAVEIRA DA GAMA REST</t>
  </si>
  <si>
    <t>HOTELARIA ACCORINVEST BRASIL S A</t>
  </si>
  <si>
    <t>A REFINARIA GOURMET LTDA</t>
  </si>
  <si>
    <t>CASA DE BOLO E CAFETERIA ACLIMACAO</t>
  </si>
  <si>
    <t>INTEGRAL ALIM COM E SERVICOS LT</t>
  </si>
  <si>
    <t>MAXI FOOD REFEICOES IND EIRELI</t>
  </si>
  <si>
    <t>MENDES E FERRARINI IND DE BEBIDAS L</t>
  </si>
  <si>
    <t>PANDAREU RESTAURANTE LTDA</t>
  </si>
  <si>
    <t>SORVETERIA ERATURF AICILED LTDA</t>
  </si>
  <si>
    <t>W D RIBEIRO CONFEITARIA LTDA</t>
  </si>
  <si>
    <t>D E G COMERCIO DE ALIMENTOS LTDA</t>
  </si>
  <si>
    <t>JAU PIZZA BAR TERREO LTDA</t>
  </si>
  <si>
    <t>CHURRASCARIA PONTEIO LTDA</t>
  </si>
  <si>
    <t>FRUTARIA PITAYA RESTAURANTE LTDA</t>
  </si>
  <si>
    <t>2MAR IND COM DE GELADOS AFINS LT ME</t>
  </si>
  <si>
    <t>PITAYA DELIVERY E COMERCIO DE ALIME</t>
  </si>
  <si>
    <t>FERNANDO PEREIRA DOS SANTOS 3639985</t>
  </si>
  <si>
    <t>RESTAURANTE PAND LTDA</t>
  </si>
  <si>
    <t>FLORENCA MASSAS ITALIANAS LTDA</t>
  </si>
  <si>
    <t>SORVETERIA IMPERA LEOPOLDINA LT</t>
  </si>
  <si>
    <t>JJ GELATOS LTDA</t>
  </si>
  <si>
    <t>40992865 CAMILA ALMEIDA C COELH</t>
  </si>
  <si>
    <t>GODOY PROD E DIST DE SORVETES L</t>
  </si>
  <si>
    <t>LAGO DOS SONHOS POUS E REST LTD</t>
  </si>
  <si>
    <t>TXC CAFE LTDA</t>
  </si>
  <si>
    <t>ASSOCIACAO HOSPITALAR PLATINUM</t>
  </si>
  <si>
    <t>JJ MARKET LTDA</t>
  </si>
  <si>
    <t>HOTEL GRAN CORONA LTDA</t>
  </si>
  <si>
    <t>TUDO TORTAS COM SOBREMESAS LTDA ME</t>
  </si>
  <si>
    <t>PEQUENAS DELICIAS DOCERIA LTDA</t>
  </si>
  <si>
    <t>JOSE MARIO GALLI DESIDERATO</t>
  </si>
  <si>
    <t>FF CAFE EXPRESSO LTDA</t>
  </si>
  <si>
    <t>PINA RESTAURANTE EIRELI</t>
  </si>
  <si>
    <t>FOTOPOULOS COMIDA GREGA LTDA</t>
  </si>
  <si>
    <t>SAGRADA MASSA COMERCIO ALIMENTICIO</t>
  </si>
  <si>
    <t>ROAD BISTRO STEAK HOUSE LTDA</t>
  </si>
  <si>
    <t>MINI MERCADO INAJAR LTDA</t>
  </si>
  <si>
    <t>SAMPA GERAIS COM DE CAFE E ALIM</t>
  </si>
  <si>
    <t>SWEET SHOT ATELIER DE CONF E DOCES</t>
  </si>
  <si>
    <t>40921299 JEANE DIAS DA SILVA</t>
  </si>
  <si>
    <t>MELIA BRASIL ADM HOTELARIA C LTDA</t>
  </si>
  <si>
    <t>OFERTA EXPRESSA DISTRIBUIDORA DE AL</t>
  </si>
  <si>
    <t>DON MARCHE SERVICOS DE ALIMENTACAO</t>
  </si>
  <si>
    <t>NEWTON PLAZA HOTEL LTDA</t>
  </si>
  <si>
    <t>SP GRILL LANCHONETE E REST LTDA</t>
  </si>
  <si>
    <t>SANTO GRAO ITAIM LTDA</t>
  </si>
  <si>
    <t>SIGTELY REST E FORN DE REFEICOES LT</t>
  </si>
  <si>
    <t>JUICE E JUICE SUCOS E LANCHES LTDA</t>
  </si>
  <si>
    <t>GELATO D AMORE MMS VAREJO E DELIVER</t>
  </si>
  <si>
    <t>GROSELHA COMERCIO DE ALIM EIRELI</t>
  </si>
  <si>
    <t>BAR E LANCHES SILVEIRAS</t>
  </si>
  <si>
    <t>ESPACO TRANSATLANTICO REST E EVENT</t>
  </si>
  <si>
    <t>AZEDINHA COMERCIO DE ALIM LTDA</t>
  </si>
  <si>
    <t>KOMAH DELIVERY E SERVICOS DE ALIMEN</t>
  </si>
  <si>
    <t>TEA HARMONIA COMERCIO DE ALIMENTOS</t>
  </si>
  <si>
    <t>DAUDT SOLUCOES EM CONFEITARIA LTDA</t>
  </si>
  <si>
    <t>TEA CENTAURO ITAIM COMERCIO DE ALIM</t>
  </si>
  <si>
    <t>DE SEGUNDA RESTAURANTE LTDA</t>
  </si>
  <si>
    <t>TRIVENTO RESTAURANTE E ROTISSER</t>
  </si>
  <si>
    <t>DE FRENTE BAR E BRASA LTDA</t>
  </si>
  <si>
    <t>NORMA DE OLIVEIRA BROWN 59932716715</t>
  </si>
  <si>
    <t>GIRO VILA OLIMPIA COMERCIO DE ALIME</t>
  </si>
  <si>
    <t>GW BOLOS E DOCES LTDA</t>
  </si>
  <si>
    <t>ASCENSAO COMERCIO DE BOLOS E DOCE</t>
  </si>
  <si>
    <t>EXPANSAO COMERCIO DE BOLOS E DO</t>
  </si>
  <si>
    <t>SEVEN COMERCIO DE BOLOS E DOCES</t>
  </si>
  <si>
    <t>KYOTO CAFES ESPECIAIS SOC EMPRES LT</t>
  </si>
  <si>
    <t>GHR RESTAURANTE LTDA</t>
  </si>
  <si>
    <t>SUNBAEE RESTAURANTE EVENTOS TRE</t>
  </si>
  <si>
    <t>47068565 DANIEL SALVATTE DE OLI</t>
  </si>
  <si>
    <t>JOSE J SASSON BINDSEIL 00396272</t>
  </si>
  <si>
    <t>SSL CAFETERIA LTDA</t>
  </si>
  <si>
    <t>49336873 ANDRESSA MARQUES CORTO</t>
  </si>
  <si>
    <t>ST WICH SANDUICHERIA LTDA</t>
  </si>
  <si>
    <t>CONEXAO COMERCIO DE BOLOS E DOC</t>
  </si>
  <si>
    <t>EMPORIO MIQUELINA LTDA</t>
  </si>
  <si>
    <t>CESTA BASICA BRASIL COMERCIO ALIM E</t>
  </si>
  <si>
    <t>TRUFATTI INDUSTRIA E COM DE ALIM LT</t>
  </si>
  <si>
    <t>SORVETERIA PABLO E ROSELI LTDA</t>
  </si>
  <si>
    <t>ICY GELATO DO BRASIL LTDA</t>
  </si>
  <si>
    <t>FELIPE LOPES TEXEIRA GOMES</t>
  </si>
  <si>
    <t>CAFETERIA QUIOSQUE GODIVA</t>
  </si>
  <si>
    <t>DOORMAN ROCHA DE PROD ALIM LTDA</t>
  </si>
  <si>
    <t>CONFEITARIA E CAFETERIA AMERICA</t>
  </si>
  <si>
    <t>ICY GELATO DE AMERICANA LTDA</t>
  </si>
  <si>
    <t>HOTEL NACIONAL DUTRA LTDA</t>
  </si>
  <si>
    <t>GF4 PARTICIPACOES LTDA</t>
  </si>
  <si>
    <t>MENDES ARMAZEM E HORTIFRUTI LTD</t>
  </si>
  <si>
    <t>MERCADINHO LESSA LTDA</t>
  </si>
  <si>
    <t>CENTRAL OSASCO DIST ALIM E BEBIDAS</t>
  </si>
  <si>
    <t>BOCAO COMERCIO DE DOCES DIGITAL</t>
  </si>
  <si>
    <t>COML IMP LAT NAPOLITANO DO ABC</t>
  </si>
  <si>
    <t>DUMIL PRODUTOS ALIMENTICIOS LTDA</t>
  </si>
  <si>
    <t>RIZZO IMPORT LTDA</t>
  </si>
  <si>
    <t>CARELLI GROUP LTDA</t>
  </si>
  <si>
    <t>V. ANDRADE DA SILVA PROMO DE VE</t>
  </si>
  <si>
    <t>SOAZA COM PROD ALIMENTICIOS LTD</t>
  </si>
  <si>
    <t>GUILHERME RODRIGUES</t>
  </si>
  <si>
    <t>CATHITA COM E DIST ALIMENTOS EIRELI</t>
  </si>
  <si>
    <t>MEQSO FRANGO COM DE PROD ALIM L</t>
  </si>
  <si>
    <t>SORVDOCE COMERCIAL ALIM LTDA</t>
  </si>
  <si>
    <t>MARIA LUIZA SLOMPO RIBEIRO</t>
  </si>
  <si>
    <t>PDA DISTRIBUIDORA DE ALIM LTDA</t>
  </si>
  <si>
    <t>BONFIM E BUENO LTDA</t>
  </si>
  <si>
    <t>BATEL GRILL FRANGO CARNES MASSA</t>
  </si>
  <si>
    <t>CARDOSO COM VAREJISTA DE BOLOS</t>
  </si>
  <si>
    <t>SUNNY INTERNATIONAL FOOD COMERCIO A</t>
  </si>
  <si>
    <t>CS FABRICACAO DE ALIMENTOS</t>
  </si>
  <si>
    <t>AGRO COMERCIAL DA VARGEM LTDA</t>
  </si>
  <si>
    <t>JOSIMAR COMERCIO DE DOCES LTDA</t>
  </si>
  <si>
    <t>JULIANA CORDEIRO</t>
  </si>
  <si>
    <t>WWW BIGSTORE COM DE MINIATURAS</t>
  </si>
  <si>
    <t>TAVERNA DE MINAS D E ENG DE BEB</t>
  </si>
  <si>
    <t>BONATTI IND E COM DE SORVETES LTDA</t>
  </si>
  <si>
    <t>CRISTINA ZUNTINI SANTOS</t>
  </si>
  <si>
    <t>TAUA HOTEL E CONVNTION ATIBAIA</t>
  </si>
  <si>
    <t>CB BH COMERCIO DE ALIMENTOS LTD</t>
  </si>
  <si>
    <t>SORVEPEL LTDA EPP</t>
  </si>
  <si>
    <t>SORVESHOPES COMERCIAL LTDA</t>
  </si>
  <si>
    <t>GABRIEL SECCHIM DA SILVA SORV E DIS</t>
  </si>
  <si>
    <t>MARIA ISABEL TOMICH DUARTE 0150</t>
  </si>
  <si>
    <t>OESA COMERCIO E REPRESENTACOES S A</t>
  </si>
  <si>
    <t>MT</t>
  </si>
  <si>
    <t>ITAMARATY INDUSTRIA E COMERCIO S/A</t>
  </si>
  <si>
    <t>H E D ALIMENTOS LTDA</t>
  </si>
  <si>
    <t>CB JUNDIAI COMERCIO DE ALIMEN L</t>
  </si>
  <si>
    <t>DIEGO CESAR GOMES DA SILVA</t>
  </si>
  <si>
    <t>BELLA COMERCIO DE EMBALAGENS LT</t>
  </si>
  <si>
    <t>COMERCIO DE ALIM NOVA PITOKO LT</t>
  </si>
  <si>
    <t>DENGO CHOCOLATES SA</t>
  </si>
  <si>
    <t>ACAI NO KILO INDUS E COME DE AL</t>
  </si>
  <si>
    <t>BONALIMENT ALIMENTACAO LTDA</t>
  </si>
  <si>
    <t>34318363 CLAUDETE SILVA DE OLIVEIRA</t>
  </si>
  <si>
    <t>PIERRE DISTRIBUICAO LTDA</t>
  </si>
  <si>
    <t>COLORADO COMERCIO DE SORVETES LTDA</t>
  </si>
  <si>
    <t>JOSAPAR JOAQUIM OLIVEIRA SA PAR</t>
  </si>
  <si>
    <t>LPATSA ALIM TERC DE SERV ADMIN</t>
  </si>
  <si>
    <t>R A B PEREIRA IND E COM DE P AL</t>
  </si>
  <si>
    <t>L F S COM E IMP DE ALIM LTDA</t>
  </si>
  <si>
    <t>SANTOS FESTAS E EMBALAGENS LTDA</t>
  </si>
  <si>
    <t>CB PORTO ALEGRE COMERCIO DE ALI</t>
  </si>
  <si>
    <t>MERPAN COMERCIAL LTDA</t>
  </si>
  <si>
    <t>CAMARA TRADE NEG INTERNACIONAIS LTD</t>
  </si>
  <si>
    <t>CAMILLOZZI DISTRIBUIÇÃO</t>
  </si>
  <si>
    <t>44589456 JOSE FRANCISCO DE MELO</t>
  </si>
  <si>
    <t>RODRIGO COELHO 33292675855</t>
  </si>
  <si>
    <t>ANDRE REGIANI</t>
  </si>
  <si>
    <t>VALE DO ACO EMBALAGENS EIRELI</t>
  </si>
  <si>
    <t>DISTRIBUIDORA J V LTDA</t>
  </si>
  <si>
    <t>GELATERIA ANTARTICA LTDA</t>
  </si>
  <si>
    <t>CB ANAPOLIS COMER DE ALIME LTDA</t>
  </si>
  <si>
    <t>LINAZA HALE DO BRASIL IND DE PR</t>
  </si>
  <si>
    <t>GILSON PIMENTEL DA SILVA SORVETERIA</t>
  </si>
  <si>
    <t>CANELA E CIA RESTAURANTE LTDA</t>
  </si>
  <si>
    <t>ALICE QUINDINS DOCERIA LTD</t>
  </si>
  <si>
    <t>MATEUS FOOD LTDA</t>
  </si>
  <si>
    <t>COMERCIAL REAL DE ALIMENTOS LTD</t>
  </si>
  <si>
    <t>CB LONDRINA COM DE ALIMENTOS LT</t>
  </si>
  <si>
    <t>SELECTO CACAU IND E COM PR ALIM</t>
  </si>
  <si>
    <t>SORVETERIA SANTIAGO LTDA</t>
  </si>
  <si>
    <t>COMERCIAL AGRICOLA ANHUMAI LTDA</t>
  </si>
  <si>
    <t>SERGIO DO CARMO BRIONE</t>
  </si>
  <si>
    <t>FRUTTO DA TERRA COMERCIO LTDA ME</t>
  </si>
  <si>
    <t>ROMABEL ALIMENTOS EIRELI</t>
  </si>
  <si>
    <t>LATICINIOS SAO JOAO S/A</t>
  </si>
  <si>
    <t>T F RESTAURANTE LTDA</t>
  </si>
  <si>
    <t>REDE COMERCIO E DISTRIB DE ALIM</t>
  </si>
  <si>
    <t>CB UBERLANDIA COMERCIO DE ALIME</t>
  </si>
  <si>
    <t>ATLANTICO GOLDEN APART HOTEL LTDA</t>
  </si>
  <si>
    <t>MEIRE ELOISE TREVISAN SIQUEIRA</t>
  </si>
  <si>
    <t>DELICIOUS EVENTOS LTDA</t>
  </si>
  <si>
    <t>TANGARA DESENVOLVIMENTO IMOBILIARIO</t>
  </si>
  <si>
    <t>IMPERATRIZ ALIMENTOS BEBIDAS LTDA</t>
  </si>
  <si>
    <t>TOP ARABE RESTAURANTE LTDA</t>
  </si>
  <si>
    <t>NORAC DO BRASIL IND E COM DE PROD A</t>
  </si>
  <si>
    <t>BRASIL NUTRI AMBIENTAL LTDA</t>
  </si>
  <si>
    <t>CASA DA OMA IND E COM DE ALIM L</t>
  </si>
  <si>
    <t>CTTBRN ALIMENTOS E BEBIDAS LTDA</t>
  </si>
  <si>
    <t>AMARAL E NICOLAU HOT E CONS ADM</t>
  </si>
  <si>
    <t>SAX HOTEIS LTDA</t>
  </si>
  <si>
    <t>DI VENETO ALIMENTOS LTDA</t>
  </si>
  <si>
    <t>GREMIO RECREATIVOFORMTAP</t>
  </si>
  <si>
    <t>MILANO COMERCIO VAREJISTA DE ALIM S</t>
  </si>
  <si>
    <t>JULES PANIFICADORA E CONFEITARIA EI</t>
  </si>
  <si>
    <t>RALSKI RESTAURANTES LTDA</t>
  </si>
  <si>
    <t>CAUCASUS RESTAURANTES LTDA</t>
  </si>
  <si>
    <t>RS DISTRIBUIDORA LTDA</t>
  </si>
  <si>
    <t>NUTRIWAY FOODS INDUSTRIA</t>
  </si>
  <si>
    <t>LIVANTTO RESTAURANTE LTDA</t>
  </si>
  <si>
    <t>CAKE SWEET AND SUGAR ATELIE DE DOC</t>
  </si>
  <si>
    <t>SGCJ COM DE PRODUTOS ALIMENT LT</t>
  </si>
  <si>
    <t>BRUMINSKI SUCOS E ALIMENTOS LTD</t>
  </si>
  <si>
    <t>37682711 FILIPE DE VILHENA OLIV</t>
  </si>
  <si>
    <t>ARGELIO ADELINO FARIA LTDA</t>
  </si>
  <si>
    <t>BONA PETIT LTDA</t>
  </si>
  <si>
    <t>EMBRARE REFEICOES E SERVICOS LTDA M</t>
  </si>
  <si>
    <t>CASA DOS PAES LTDA</t>
  </si>
  <si>
    <t>IANONI E MENDES REST LTDA</t>
  </si>
  <si>
    <t>NATULIGHT ALIMENTOS LTDA ME</t>
  </si>
  <si>
    <t>P W CAFE E LANCHES LTDA</t>
  </si>
  <si>
    <t>GMENDES HOTEIS E PARTICIPACOES LTDA</t>
  </si>
  <si>
    <t>DOMENICA CAFE ALIMENTOS EIRELE</t>
  </si>
  <si>
    <t>ZUNZAL COMERCIO DE ALIMENTOS LTDA</t>
  </si>
  <si>
    <t>PAN PIZZAS E REFEICOES RAPIDAS LTDA</t>
  </si>
  <si>
    <t>CESTAS SOFISTICADAS ALIM E PRESENT</t>
  </si>
  <si>
    <t>A BRANDI POUSADA LTDALI</t>
  </si>
  <si>
    <t>SANTO DEUS LANCHONETE LTDA ME</t>
  </si>
  <si>
    <t>MONTE PASCOAL COM DE ALIM EIRELI</t>
  </si>
  <si>
    <t>MARTS RESTAURANTE E CAFETERIA LTDA</t>
  </si>
  <si>
    <t>JOSE ROBERTO NESTORIO SORVET BO</t>
  </si>
  <si>
    <t>AILSON COSTA AGUIAR ME</t>
  </si>
  <si>
    <t>CARLOS VALERIO DORNELLES BRITO 2059</t>
  </si>
  <si>
    <t>TOQUE DE AMOR RESTAURANTE LTDA ME</t>
  </si>
  <si>
    <t>KVIL LANCHES LTDA ME</t>
  </si>
  <si>
    <t>S2FT COMERCIO DE BOLOS E CAFE LTDA</t>
  </si>
  <si>
    <t>PEP COMERCIO LTDA</t>
  </si>
  <si>
    <t>MARINA DO NASCIMENTO SILVA</t>
  </si>
  <si>
    <t>LMB INDUST E COMERC DE PROD LACTEOS LTDA</t>
  </si>
  <si>
    <t>L ALLEGRO REST LTDA</t>
  </si>
  <si>
    <t>FLAC REPRESENTACAO E COMERCIO L</t>
  </si>
  <si>
    <t>IBIRAPUERA PARK HOTEL LTDA</t>
  </si>
  <si>
    <t>LILOCA S SUCOS LTDA</t>
  </si>
  <si>
    <t>ALEXANDRE ANSELMO ME</t>
  </si>
  <si>
    <t>IND DE PANIFICACAO PAO D OURO LT</t>
  </si>
  <si>
    <t>MADIA COM DE REFEICOES LTDA</t>
  </si>
  <si>
    <t>PRET A MANGER COM ALIM LTDA ME</t>
  </si>
  <si>
    <t>BM EMPREENDIMENTOS E PARTICIPACOES</t>
  </si>
  <si>
    <t>FAMILIA SOARES LATICINIOS LTDA</t>
  </si>
  <si>
    <t>CAFETERIA WISARD LTDA</t>
  </si>
  <si>
    <t>LATICINIO MARIANNA LTDA</t>
  </si>
  <si>
    <t>FUTURA GASTRONOMIA S A</t>
  </si>
  <si>
    <t>MARQUES FABRICACAO E COMERC ALIM LT</t>
  </si>
  <si>
    <t>VANDERLEY P LEANDRO 30991388860</t>
  </si>
  <si>
    <t>L GUEIROS LOMEU LATICINIOS LTDA</t>
  </si>
  <si>
    <t>ROTAMA SALGADOS LTDA</t>
  </si>
  <si>
    <t>ESCATULA VERGA SUCOS TAMBORE LTDA</t>
  </si>
  <si>
    <t>LAGHETTO HOTEIS LTDA</t>
  </si>
  <si>
    <t>ELIZABETH SANTOS FERREIRA 191892618</t>
  </si>
  <si>
    <t>ATOL CONFEITARIA LTDA</t>
  </si>
  <si>
    <t>SNF EVENTOS LTDA</t>
  </si>
  <si>
    <t>CONDOMINIO EDIFICIO PAULISTA CO</t>
  </si>
  <si>
    <t>51078089 ANA CLAUDIA MERCADO LEBRAO</t>
  </si>
  <si>
    <t>HELIOS REFEICOES LTDA</t>
  </si>
  <si>
    <t>HOTEL INTERNACIONAL GUARULHOS L</t>
  </si>
  <si>
    <t>NC ALAMEDA SANTOS COMERCIO DE A</t>
  </si>
  <si>
    <t>CANAA COMERCIO DE FRIOS E PAES LTDA</t>
  </si>
  <si>
    <t>ATLANTICA HOTELS INTER BRASIL LTDA</t>
  </si>
  <si>
    <t>KIO BAKEHOUSE PANIFIC ARTESANAL</t>
  </si>
  <si>
    <t>COM DE ALIM TOP PRECOS DE DIA L</t>
  </si>
  <si>
    <t>DIST NORD DE CONFEIT E PANIF LT</t>
  </si>
  <si>
    <t>BEATRIZ N PILLON VIZIOLLI 33371</t>
  </si>
  <si>
    <t>40578980 THAIS ROMANO AZEVEDO R</t>
  </si>
  <si>
    <t>LE JAZZ BAR E RESTAURANTE LTDA</t>
  </si>
  <si>
    <t>LE MELLOW JAZZ BAR E RESTAURANT</t>
  </si>
  <si>
    <t>LE JAZZ BOULEVARD BAR E RESTAUR</t>
  </si>
  <si>
    <t>LE JAZZ HIGIENOPOLIS BAR E REST</t>
  </si>
  <si>
    <t>NONNA MARIANA COMERCIO DE ALIME</t>
  </si>
  <si>
    <t>52861029 ALINE RODRIGUES DA SIL</t>
  </si>
  <si>
    <t>KEZ BAGEL 3 RESTAURANTE E LANCHONET</t>
  </si>
  <si>
    <t>DEZATO GELATO LTDA</t>
  </si>
  <si>
    <t>AQUI TEM SAGRADA MASSA COMERCIO</t>
  </si>
  <si>
    <t>NGA ALIMENTACAO E SERVICOS LTD</t>
  </si>
  <si>
    <t>MARIAS RESTAURANTE LTDA</t>
  </si>
  <si>
    <t>OSTUNI ADMINIST HOTELEIRA LTDA</t>
  </si>
  <si>
    <t>TREVI RESTAURANTE LTDA</t>
  </si>
  <si>
    <t>WINK BLINK BAKEHOUSE PAD ART LT</t>
  </si>
  <si>
    <t>HOTEL LIDO PLAZA LTDA</t>
  </si>
  <si>
    <t>NEFROSTAR CLIN MEDICA DE NEFROL</t>
  </si>
  <si>
    <t>TROPICAL SORVETES LTDA</t>
  </si>
  <si>
    <t>SWEET SHOT CONFEITARIA GOURMET</t>
  </si>
  <si>
    <t>CASA MARICOTA RESTAURANTE E EVE</t>
  </si>
  <si>
    <t>CPQ PAULISTANO COM DE P A LTDA</t>
  </si>
  <si>
    <t>CRP JOAO CACHOEIRA COMERCIO DE</t>
  </si>
  <si>
    <t>GJ FUNCHAL LTDA</t>
  </si>
  <si>
    <t>GREENJOY RESTAURANTES LTDA</t>
  </si>
  <si>
    <t>CRP KINOPLEX 77 LTDA</t>
  </si>
  <si>
    <t>SAMUEL OLIVEIRA</t>
  </si>
  <si>
    <t>CONDOMINIO EDIFICIO FLAT PAULIS</t>
  </si>
  <si>
    <t>VITAMINA D LANCHONETE LTDA</t>
  </si>
  <si>
    <t>M ISHIKAVA LTDA</t>
  </si>
  <si>
    <t>RESTAURANTE VISTA AO PARQUE LTD</t>
  </si>
  <si>
    <t>37048076 DAIANA ARAUJO DOURADO</t>
  </si>
  <si>
    <t>GO TWO MKT LTDA</t>
  </si>
  <si>
    <t>RICH DO BRASIL LTDA</t>
  </si>
  <si>
    <t>BIANCA MORO GALUPPO SILVEIRA 11</t>
  </si>
  <si>
    <t>LC COFFEE E SNACKS LTDA</t>
  </si>
  <si>
    <t>59100275 ALEXANDRE COLETE SILVA</t>
  </si>
  <si>
    <t>SORVETES MELO LTDA</t>
  </si>
  <si>
    <t>CORA PATISSERIE LTDA</t>
  </si>
  <si>
    <t>FORNERIA BIGLIA PANIFIC E CONFE</t>
  </si>
  <si>
    <t>THE WISH FACTORY LTDA</t>
  </si>
  <si>
    <t>54760991 MAURISTELLA GOMES DO N</t>
  </si>
  <si>
    <t>JESSICA TORRES 35866196859</t>
  </si>
  <si>
    <t>VOOOPT COMERCIO DE ALIMENTOS LTDA</t>
  </si>
  <si>
    <t>FMZ FABRICA DE PAES E DERIVADOS</t>
  </si>
  <si>
    <t>SB COMERCIO E DISTRIB DE PROD A</t>
  </si>
  <si>
    <t>AGAFEL RESTAURANTE LTDA</t>
  </si>
  <si>
    <t>CAFE PACIFICO SA</t>
  </si>
  <si>
    <t>AM COFFEE E CO LTDA</t>
  </si>
  <si>
    <t>LEO CAFE LTDA</t>
  </si>
  <si>
    <t>COM CIDADE DE SP BAR E TRATORIA</t>
  </si>
  <si>
    <t>BUFFET ESPACO RAFAH LTDA</t>
  </si>
  <si>
    <t>PANEVINI PANIFICACAO ARTESANAL LTDA</t>
  </si>
  <si>
    <t>CHURRASCARIA JAGUARE 07 LTDA</t>
  </si>
  <si>
    <t>BR NUTRI ADM DE REST E SERVICOS LTD</t>
  </si>
  <si>
    <t>CORTESIA SERVICOS DE CONCRETAGE</t>
  </si>
  <si>
    <t>COMERCIAL DE ALIMENTOS VIVA NOV</t>
  </si>
  <si>
    <t>LEILA RESTAURANTES LTDA</t>
  </si>
  <si>
    <t>JANETI PIZZATO BARNABE COM E SE</t>
  </si>
  <si>
    <t>MARY LUCI PIZZATO ANGI COM E SE</t>
  </si>
  <si>
    <t>FERRARA CAFE LTDA</t>
  </si>
  <si>
    <t>ATRIO HOTEIS S A</t>
  </si>
  <si>
    <t>PITAYA EXPRESS SANTANA LTDA</t>
  </si>
  <si>
    <t>LUCAS BON APPETIT COMERCIO LTDA</t>
  </si>
  <si>
    <t>SANTU ITAIM PANIFICACAO LTDA</t>
  </si>
  <si>
    <t>PATRICIA ARONI 39560531840</t>
  </si>
  <si>
    <t>FP4 PRODUTOS DE PANIFICACAO LTD</t>
  </si>
  <si>
    <t>SUPERLAC INDUSTRIA E COME DE ALIMEN</t>
  </si>
  <si>
    <t>SALT E PEPE RESTAURANTE LTDA</t>
  </si>
  <si>
    <t>LANCHONETE BIL BURGER LTDA</t>
  </si>
  <si>
    <t>CONFEAT INDUSTRIA E COMERCIO DE ALI</t>
  </si>
  <si>
    <t>ICELON INDUSTRIA E COMERCIO DE</t>
  </si>
  <si>
    <t>SD BOLOS E DOCES LTDA</t>
  </si>
  <si>
    <t>BISA COME VAREJ DE CAFE E UTILI DOM</t>
  </si>
  <si>
    <t>OSNIR HAMBURGER LTDA</t>
  </si>
  <si>
    <t>ACPEN COMERCIO DE PRODUTOS ALIM</t>
  </si>
  <si>
    <t>COFFEE BREAK MANDU LTDA</t>
  </si>
  <si>
    <t>RESTAURANTE E PIZZARIA BERLIM L</t>
  </si>
  <si>
    <t>MARIA ELENI MOCIM MONDINI LTDA</t>
  </si>
  <si>
    <t>STANQUINI COMERCIO E SERVICOS L</t>
  </si>
  <si>
    <t>JOSE ZITO DA SILVEIRA CONVENIEN</t>
  </si>
  <si>
    <t>VAM REFEICOES E EVENTOS LTDA</t>
  </si>
  <si>
    <t>BENAS PADARIA ARTESANAL LTDA</t>
  </si>
  <si>
    <t>PDO ALIMENTOS E COME SOCIE EMPR</t>
  </si>
  <si>
    <t>MIMADA RESTAURANTE LTDA</t>
  </si>
  <si>
    <t>BELLA MARIE BISTRO LTDA</t>
  </si>
  <si>
    <t>63303709 MARIA DO CARMO ROZENDO</t>
  </si>
  <si>
    <t>KATIA DOS SANTOS SILVA</t>
  </si>
  <si>
    <t>BLUX AMERICA DO SUL COM DIST E IMP</t>
  </si>
  <si>
    <t>CONCORDIA FRIOS E LATICINIOS LT</t>
  </si>
  <si>
    <t>FRANCE PANIFICACAO LTDA</t>
  </si>
  <si>
    <t>ALGARVE PAES DOCES</t>
  </si>
  <si>
    <t>FORMENTON ATACADISTA DE FRIOS L</t>
  </si>
  <si>
    <t>57739361 PAULO GUILH MIRANDA DA CRU</t>
  </si>
  <si>
    <t>PADRISSIMO RESTAURANTE E BUFFET</t>
  </si>
  <si>
    <t>63428871 ISMAEL FERREIRA DOS SA</t>
  </si>
  <si>
    <t>REDE INTEGRADA COM DE PROD ALIM LTD</t>
  </si>
  <si>
    <t>FLEIPAN LTDA</t>
  </si>
  <si>
    <t>BARONIN IND E COM DE SORVETES LTDA</t>
  </si>
  <si>
    <t>DOCEMEL ALIMENTOS</t>
  </si>
  <si>
    <t>ANGELICA CORREA DE SOUZA</t>
  </si>
  <si>
    <t>HSBL COMERCIO DE DESCARTAVEIS EIREL</t>
  </si>
  <si>
    <t>LEITE CONFIANCA IND E COMERCIO LTDA</t>
  </si>
  <si>
    <t>EDUARDO DA COSTA M E CIA LTDA</t>
  </si>
  <si>
    <t>NOVA ERA COMERCIAL DE ALIMEN LTDA</t>
  </si>
  <si>
    <t>MEL INDUSTRIA ALIMENTICIA DE DO</t>
  </si>
  <si>
    <t>40027537 DANIELE FERNANDA MARTINS PIZA</t>
  </si>
  <si>
    <t>GERSON HILARIO ANDRUCHO</t>
  </si>
  <si>
    <t>C D A DISTRIBUIDORA DE ALIMENTO</t>
  </si>
  <si>
    <t>CASA DO SORVETEIRO LTDA</t>
  </si>
  <si>
    <t>DOMICILI IND COM DE ALIMENTOS LTDA</t>
  </si>
  <si>
    <t>MARCELA PEREIRA RODRIGUES</t>
  </si>
  <si>
    <t>CBP COMERCIAL E DISTRIBUIDORA LTDA</t>
  </si>
  <si>
    <t>ANNA E DALVA PRODUTOS ALIMENTICIOS</t>
  </si>
  <si>
    <t>SOCRATES PIZZA BAR LTDA</t>
  </si>
  <si>
    <t>COTOXO PIZZA BAR LTDA</t>
  </si>
  <si>
    <t>CESAR MOMO COMERCIO DE ALIMENT</t>
  </si>
  <si>
    <t>MARCIO ROMANI DIAS</t>
  </si>
  <si>
    <t>BEZERRA COMER DE PRODU ALIMEN E</t>
  </si>
  <si>
    <t>SORVETERIA SOL DE LEOPOLDINA LT</t>
  </si>
  <si>
    <t>NOVAMIX FOOD SERVICE COM DE ALIM LT</t>
  </si>
  <si>
    <t>CATUABA INDUSTRIA DE BEBIDAS SA</t>
  </si>
  <si>
    <t>AZ ALIMENTOS SAUDAVEIS LTDA</t>
  </si>
  <si>
    <t>BMC COMERCIO VAREJISTA DE DOCES</t>
  </si>
  <si>
    <t>CLAUDIA DE ANDRADE LENTE 1538767082</t>
  </si>
  <si>
    <t>HOTEL VILLAGIO EMBU LTDA</t>
  </si>
  <si>
    <t>SCANIA LATIN AMERICA LTDA</t>
  </si>
  <si>
    <t>REAL FOOD ALIMENTACAO LTDA</t>
  </si>
  <si>
    <t>LIGA COMERCIO DE PRODUTOS PARA</t>
  </si>
  <si>
    <t>NATHALYA DE MOURA SANTOS</t>
  </si>
  <si>
    <t>HOTELARIA BRASIL LTDA</t>
  </si>
  <si>
    <t>NUTRI ALIMENTOS COMERCIO LTDA</t>
  </si>
  <si>
    <t>VITHINSKI SUCOS E ALIMENTOS LTDA ME</t>
  </si>
  <si>
    <t>H G DE CAMPOS CARDOSO ME</t>
  </si>
  <si>
    <t>ELCASYAS SUCOS E ALIMENTO EIRELI</t>
  </si>
  <si>
    <t>CASARIA COM DE ALIMENTOS E BEB</t>
  </si>
  <si>
    <t>ALEXSANDRA PATRICIA FERREIRA 21</t>
  </si>
  <si>
    <t>ZM COMERCIO E ADM HOTELAR LTDA</t>
  </si>
  <si>
    <t>C L N SOLUCOES EM ALIM LTDA</t>
  </si>
  <si>
    <t>JOWI SUCOS LTDA</t>
  </si>
  <si>
    <t>IC ADMINISTRADORA HOTELEIRA LTDA</t>
  </si>
  <si>
    <t>LLINEA SERVICOS E ALIMENTACAO L</t>
  </si>
  <si>
    <t>TRINO LISTENING BAR LTDA</t>
  </si>
  <si>
    <t>A CASA DE ANTONIA COM DE ALIM E BEB</t>
  </si>
  <si>
    <t>TRIX PREMIUM ALIMENTACAO ESCOLA</t>
  </si>
  <si>
    <t>SCHOOL ALIMENTACAO ESCOLAR LTDA</t>
  </si>
  <si>
    <t>RUBI RESTAURANTE E EVENTOS LTDA</t>
  </si>
  <si>
    <t>LIFTOM CAFES ESPECIAIS LTDA</t>
  </si>
  <si>
    <t>CRP FARIA LIMA 77 COMERCIO DE A</t>
  </si>
  <si>
    <t>CESARS ALIMENTACAO LTDA</t>
  </si>
  <si>
    <t>RESTAURANTE GRAND PEKIN LTDA</t>
  </si>
  <si>
    <t>RESTAURANTE PIZZARIA E DISTRI A</t>
  </si>
  <si>
    <t>WRAPPD ALIMENTO SAUDAVEL LTDA</t>
  </si>
  <si>
    <t>K2 EVENTOS E PRODUCOES LTDA</t>
  </si>
  <si>
    <t>RENAL PLUS SA</t>
  </si>
  <si>
    <t>30488312 PAULA PEREIRA COQUEIRO</t>
  </si>
  <si>
    <t>EMPORIO MAIS PAES LTDA</t>
  </si>
  <si>
    <t>A T OLIVEIRA E CIA LTDA ME</t>
  </si>
  <si>
    <t>MARQUISE EMPREENDIMENTOS SA</t>
  </si>
  <si>
    <t>FAGS COMERCIO LTDA</t>
  </si>
  <si>
    <t>SCHPANSKI SERVICOS DE ALIMENTAC</t>
  </si>
  <si>
    <t>BASF SA</t>
  </si>
  <si>
    <t>SORVETERIA RIBEIRA LTDA</t>
  </si>
  <si>
    <t>WD VENDING MACHINE LTDA</t>
  </si>
  <si>
    <t>AMORIX ALIMENTOS EIRELI</t>
  </si>
  <si>
    <t>COML EURO BR DIST DE ALIMENTOS</t>
  </si>
  <si>
    <t>ASSOCIAC BENEF PROJETO POVO DA PERI</t>
  </si>
  <si>
    <t>PROJETO POVO DA PERIFERIA</t>
  </si>
  <si>
    <t>TATIANA SIMAO MILIAN ME</t>
  </si>
  <si>
    <t>PRISCILA APARECIDA DA SILVA 2153572</t>
  </si>
  <si>
    <t>33152550 ALINE DOS SANTOS SCHAM</t>
  </si>
  <si>
    <t>DISTRIBUID NORDEST DE CONFE E P</t>
  </si>
  <si>
    <t>MAX PAO LAS VEGAS PAES E DOCES</t>
  </si>
  <si>
    <t>CAFE ITAPEVA LTDA</t>
  </si>
  <si>
    <t>CLUBE ATLETICO MONTE LIBANO</t>
  </si>
  <si>
    <t>AFFARI ALIMENTACAO LTDA</t>
  </si>
  <si>
    <t>T E R GOUVEIA VAREJO DE ALIMENT</t>
  </si>
  <si>
    <t>ALTOKOP COMERCIO DE CHOCOLATES</t>
  </si>
  <si>
    <t>SMAK COMERCIO E SERVICOS LTDA</t>
  </si>
  <si>
    <t>AVIVA DISTRIBUIDORA DE PAES LTDA</t>
  </si>
  <si>
    <t>PADARIA ARTESANAL PAN DINIZ LTDA</t>
  </si>
  <si>
    <t>V BARNABE COMERCIO E SERVICOS DE AL</t>
  </si>
  <si>
    <t>BELLAS MASSAS COMERCIO DE ALIMENTOS</t>
  </si>
  <si>
    <t>PAES E DOCES SENNA DE G LTDA</t>
  </si>
  <si>
    <t>VRT CERVEJARIA LTDA</t>
  </si>
  <si>
    <t>FC BOLOS E DOCES LTDA</t>
  </si>
  <si>
    <t>Não Atribuído</t>
  </si>
  <si>
    <t>ALIBEY IND E COM DE ALIM E LTDA</t>
  </si>
  <si>
    <t>INDUSTRIA E COM DE PROD ALIM GELONI</t>
  </si>
  <si>
    <t>L GONZAGA MIX AMBIENTAL</t>
  </si>
  <si>
    <t>MISTER DISTRIBUIDORA LTDA</t>
  </si>
  <si>
    <t>SAO FRANCISCO IND DE ALIMENTOS</t>
  </si>
  <si>
    <t>HACHIMITSU ATELIER DE DELICIAS LTDA</t>
  </si>
  <si>
    <t>IND COM IMP EXPORT ALIMENT MULT</t>
  </si>
  <si>
    <t>MOINHO PETINHO INDUSTRIA E COME</t>
  </si>
  <si>
    <t>CB VILA VELHA COM ALIMENTOS LTD</t>
  </si>
  <si>
    <t>CB IGUATEMI FORTALEZA COM DE AL</t>
  </si>
  <si>
    <t>SEM LIMITE DIST DE ALIMENTOS LT</t>
  </si>
  <si>
    <t>CB PORTO ALEGRE COM DE ALIMENT</t>
  </si>
  <si>
    <t>CB CONCEITO BH COM DE ALIM LTDA</t>
  </si>
  <si>
    <t>RC PADARIA E CONFEITARIA LTDA</t>
  </si>
  <si>
    <t>RESTAURANTE NONNA ROSA LTDA</t>
  </si>
  <si>
    <t>30899034 MARCUS VINICIUS SINHOR</t>
  </si>
  <si>
    <t>RATIONAL BRASIL COMERCIO E DISTRIBU</t>
  </si>
  <si>
    <t>DE ASIATICO RESTAURANTE LTDA</t>
  </si>
  <si>
    <t>PLANAR CONSULTORIA E INVESTIMEN</t>
  </si>
  <si>
    <t>57073522 VIVIANA MARISOL SANCHE</t>
  </si>
  <si>
    <t>EUROPANE IND E COM DE PROD E PA</t>
  </si>
  <si>
    <t>TRASTEVERI RESTAURANTE LTDA</t>
  </si>
  <si>
    <t>HFW INFORMATICA TECNOLOGIA LTDA</t>
  </si>
  <si>
    <t>LIVIA CARVALHO PRESTES 52969530</t>
  </si>
  <si>
    <t>17358842 VITOR SILVA PARANHOS</t>
  </si>
  <si>
    <t>60193602 ANGELA MARIA SILVA DOS SAN</t>
  </si>
  <si>
    <t>NIPOTE GASTROBAR LTDA</t>
  </si>
  <si>
    <t>PAOCITO PAES ARTESANAIS LTDA</t>
  </si>
  <si>
    <t>COMERCIO DE ALIMENTOS NOVO MEXIC</t>
  </si>
  <si>
    <t>SENHOR EMPADAO LTDA ME</t>
  </si>
  <si>
    <t>TASTY AND FRESH PROD DE ALIM E</t>
  </si>
  <si>
    <t>INTERBRANDS FOODS LTDA</t>
  </si>
  <si>
    <t>GRACA DI NAPOLLI PIZZ E REST LT</t>
  </si>
  <si>
    <t>MUNIR ABDALLA KASSEM</t>
  </si>
  <si>
    <t>PORTOROSE PIZZARIA E RESTAURANT</t>
  </si>
  <si>
    <t>CASUALE ALIMENTOS LTDA</t>
  </si>
  <si>
    <t>FL COMERCIO DE ALIMENTOS LTDA</t>
  </si>
  <si>
    <t>REXPAR RESTAURANTES LTDA</t>
  </si>
  <si>
    <t>CLUBE ALTO DE PINHEIROS</t>
  </si>
  <si>
    <t>RAINER E RAINER ARMAZEM LTDA ME</t>
  </si>
  <si>
    <t>LATICINIOS E FRIOS BRITANI LTDA</t>
  </si>
  <si>
    <t>DBOA COMERCIO DE ALIMENTOS LTDA</t>
  </si>
  <si>
    <t>MARCIO HENRIQUE GILIOLI 0426382</t>
  </si>
  <si>
    <t>RIO BRANCO ALIMENTOS SA</t>
  </si>
  <si>
    <t>DAN VIGOR IND E COM LATICINIOS</t>
  </si>
  <si>
    <t>GU LANCHONETE LTDA ME</t>
  </si>
  <si>
    <t>HOTEL E RESTAURANTE WZ JARDINS 1 LT</t>
  </si>
  <si>
    <t>LA TAMBOUILLE COM DE REFEICOES RAPI</t>
  </si>
  <si>
    <t>OSE APARECIDO GONCALVES DE MAT</t>
  </si>
  <si>
    <t>BRUXELAS COMERCIO DE ALIMENTOS</t>
  </si>
  <si>
    <t>FRUTO NOVO ALIMENTOS LT</t>
  </si>
  <si>
    <t>EPCA EMPRESA PAULISTA DE CESTA</t>
  </si>
  <si>
    <t>EGP COMERCIO DE ALIMENTOS LTDA</t>
  </si>
  <si>
    <t>PADARIA ARTESANAL ORGANICA LTDA</t>
  </si>
  <si>
    <t>TUDO NA BRASA RESTAURANTE DELIV</t>
  </si>
  <si>
    <t>COLUMBIA RESTAURANTES LTDA</t>
  </si>
  <si>
    <t>GALERIA PAULISTA GRILL E LANCHE</t>
  </si>
  <si>
    <t>PIZZARIA JULIA VILLAGE DE FR LT</t>
  </si>
  <si>
    <t>BACO DIVINO COM DE BEBIDAS LTDA</t>
  </si>
  <si>
    <t>JT INDUSTRIA E COM DE ALIM LTDA</t>
  </si>
  <si>
    <t>LUCIMAR FRANCISCO MARQUES 18870</t>
  </si>
  <si>
    <t>MARCOS NUNES DOS SANTOS ITU</t>
  </si>
  <si>
    <t>RB HAMBURGUERIA CENTRO LTDA</t>
  </si>
  <si>
    <t>MARCOS E LUIS PIZZARIA LTDA</t>
  </si>
  <si>
    <t>54202034 KETLEN CRISTINA JACINT</t>
  </si>
  <si>
    <t>VILLA ITALIA ROTISSERIA LTDA</t>
  </si>
  <si>
    <t>MAIROCA ALIMENTACAO LTDA</t>
  </si>
  <si>
    <t>LATICINIOS RUBI EIRELI</t>
  </si>
  <si>
    <t>EDSON BATISTA DA SILVA GUARULHOS</t>
  </si>
  <si>
    <t>DIESO BOLOS SALGADOS E CONFEITA</t>
  </si>
  <si>
    <t>COMERCIAL DE ALIMENTOS FINESSE LTDA</t>
  </si>
  <si>
    <t>LATICINIOS SAO CARLOS LTDA</t>
  </si>
  <si>
    <t>50866262 MARIA CAROLINA TOBAR MARIU</t>
  </si>
  <si>
    <t>CANELLE HEALTHY E CO LTDA</t>
  </si>
  <si>
    <t>KEZ PADARIA LTDA</t>
  </si>
  <si>
    <t>PADARIA E CONFEITARIA ERICS BAK</t>
  </si>
  <si>
    <t>DEFAL COMERCIO ATACADISTA DE BE</t>
  </si>
  <si>
    <t>MAIS LEVE C DE ALIMENTOS SAUDAV</t>
  </si>
  <si>
    <t>PROREGI IND COM E IMPORT LTDA</t>
  </si>
  <si>
    <t>BPM IND E COM DE ALIMENTOS S A</t>
  </si>
  <si>
    <t>EMPORIO ANDALUZIA LTDA</t>
  </si>
  <si>
    <t>REVIV COM DE ALIM LTDA</t>
  </si>
  <si>
    <t>TDC RESTAURANTE DELIVERY LTDA</t>
  </si>
  <si>
    <t>FAZENDA DOS PAES CONVENIENCIAS LTDA</t>
  </si>
  <si>
    <t>BAKEBUN BAKERY IND E COM LTDA</t>
  </si>
  <si>
    <t>OPERA PADARIA E CONFEITARIA LTD</t>
  </si>
  <si>
    <t>INSTITUTO DAS IRMAS DA SANTA CR</t>
  </si>
  <si>
    <t>NOVA ERA COMERCIAL DE ALIMEN LT</t>
  </si>
  <si>
    <t>SPADER DISTRIBUIDORA DE ALIMENTOS L</t>
  </si>
  <si>
    <t>60658972 RAFAEL ARAUJO DE OLIVE</t>
  </si>
  <si>
    <t>55639593 LUIZ CLEYTON MACEDO AL</t>
  </si>
  <si>
    <t>61818384 MAYANNA VICTO DE OLIVE</t>
  </si>
  <si>
    <t>62497836 MARCELO CARNEIRO</t>
  </si>
  <si>
    <t>NA</t>
  </si>
  <si>
    <t>COCO BAMBU SUL PIZZARIA LTDA</t>
  </si>
  <si>
    <t>DOM PASTEL ALIMENTOS LTDA</t>
  </si>
  <si>
    <t>IBAC INDUSTRIA BRASILEIRA DE ALIM C</t>
  </si>
  <si>
    <t>PECCIN S A</t>
  </si>
  <si>
    <t>BAKERY AND MUSIC BOUTIQUE DE PAES L</t>
  </si>
  <si>
    <t>DAMAIS GELATUS F DE SORVETES E D LT</t>
  </si>
  <si>
    <t>ANTONIO ROBERTO M DOS SANTOS ME</t>
  </si>
  <si>
    <t>N ZEPPONE E CIA LTDA</t>
  </si>
  <si>
    <t>SORVETERIA AVENIDA LTDA</t>
  </si>
  <si>
    <t>BAKELS BRASIL INGRED PARA PANIF</t>
  </si>
  <si>
    <t>CARDEAL COM DE PROD ALIM EIRELI EPP</t>
  </si>
  <si>
    <t>CINDERELA SORVETES LTDA ME</t>
  </si>
  <si>
    <t>MISTER SHAKE COM SORVETES E EQU</t>
  </si>
  <si>
    <t>TATIANA</t>
  </si>
  <si>
    <t>TATI</t>
  </si>
  <si>
    <t>(vazio)</t>
  </si>
  <si>
    <t>LEITESOL</t>
  </si>
  <si>
    <t>#N/D</t>
  </si>
  <si>
    <t>IBAE IND BRASILEIRA DE ALI ESP LTDA</t>
  </si>
  <si>
    <t>FRUTT CENTER DIST P FRUTAS FRIOS EI</t>
  </si>
  <si>
    <t>VEP ALIMENTOS LTDA</t>
  </si>
  <si>
    <t>BIG CHURROS KENNEDY LTDA</t>
  </si>
  <si>
    <t>CENTRAL OSASCO DIST ALIM E BEBI</t>
  </si>
  <si>
    <t>C B BRASILIA COM DE ALIMENTOS LTDA</t>
  </si>
  <si>
    <t>CBX CG COMERCIO DE ALIMENTOS LT</t>
  </si>
  <si>
    <t>CB VITORIA COMERCIO DE ALIMENTO</t>
  </si>
  <si>
    <t>CB CAMPINAS COM DE ALIMEN LTDA</t>
  </si>
  <si>
    <t>CB GUARULHOS COMER DE ALIMEN LT</t>
  </si>
  <si>
    <t>CB OSASCO COMERCIO DE ALIMENTOS</t>
  </si>
  <si>
    <t>CB SOROCABA COMERCIO DE ALIMENT</t>
  </si>
  <si>
    <t>CB RIO NITEROI COMER DE ALIM LT</t>
  </si>
  <si>
    <t>COCO BAMBU PIZZARIA LTDA</t>
  </si>
  <si>
    <t>CB CUIABA COMERCIO DE ALIMENT L</t>
  </si>
  <si>
    <t>FGF ALIMENTOS LTDA</t>
  </si>
  <si>
    <t>CB AGUAS CLARAS COM DE ALIM LTDA</t>
  </si>
  <si>
    <t>CB AGUAS CLARAS COM DE ALIMENTO</t>
  </si>
  <si>
    <t>CB LAGO SUL COMERCIO DE ALIMEN</t>
  </si>
  <si>
    <t>CB PARK SHOPPING COMER DE ALIM</t>
  </si>
  <si>
    <t>HENRIQUE</t>
  </si>
  <si>
    <t>CHOCOLATES GAROTO LTDA</t>
  </si>
  <si>
    <t>IND MATSUBARA DE PROD ALIMENTICIOS</t>
  </si>
  <si>
    <t>DAMAY CAFE E CONFEITARIA LTDA</t>
  </si>
  <si>
    <t>CAMPO VERDE ALIMENTOS LTDA</t>
  </si>
  <si>
    <t>MARQUES E MIRANDA COMERCIAL E D</t>
  </si>
  <si>
    <t>ML FLAVORS COMERCIO</t>
  </si>
  <si>
    <t>VSG DISTRIBUIDORA LTDA</t>
  </si>
  <si>
    <t>ISRAEL YAMANISHI DOS REIS</t>
  </si>
  <si>
    <t>SUAVE SABOR DOCERIA LTDA</t>
  </si>
  <si>
    <t>DINAMARCA INDUSTRIA E  COM  DE ALIMENTOS LTDA</t>
  </si>
  <si>
    <t>DUBALY INDUSTRIA E COMERCIO</t>
  </si>
  <si>
    <t>MBF IND E COM DE ALIMENTOS LTDA</t>
  </si>
  <si>
    <t>RDF REPRES</t>
  </si>
  <si>
    <t>ATACADAO NORTE MIX LTDA</t>
  </si>
  <si>
    <t>ACAI ISLAND COMERCIO E DISTRIBU</t>
  </si>
  <si>
    <t>FRATONI ALIMENTOS LTDA</t>
  </si>
  <si>
    <t>SUPERMERCADO BELLADORA LTDA</t>
  </si>
  <si>
    <t>SPUMEL SORVETERIA LTDA</t>
  </si>
  <si>
    <t>WS REPRESENTAÇAO</t>
  </si>
  <si>
    <t>SERIDOPLAST ATACADISTA LTDA</t>
  </si>
  <si>
    <t>HENRIQUE WAGNER</t>
  </si>
  <si>
    <t>INDUSTRIA DE SORVETES E GELO PIMPOLHO</t>
  </si>
  <si>
    <t>BRASIL FOOD LTDA</t>
  </si>
  <si>
    <t>CBAF COMERCIO DE ALIMENTOS LTDA</t>
  </si>
  <si>
    <t>CB RECIFE RESTAURANTE E ALIMENT</t>
  </si>
  <si>
    <t>CB MARKET PLACE COM DE ALI LTDA</t>
  </si>
  <si>
    <t>CB SANTO ANDRE COMERCIO DE ALIM</t>
  </si>
  <si>
    <t>CB SAO JOSE DO RIO PRETO COM DE</t>
  </si>
  <si>
    <t>CB SP MARKET COMERCIO DE ALIMEN</t>
  </si>
  <si>
    <t>CB RIO NORTE SHOP COM DE ALI LT</t>
  </si>
  <si>
    <t>COCO BAMBU SL COMER DE ALIM LTD</t>
  </si>
  <si>
    <t>CB CONCEITO MARINGA COM DE ALI</t>
  </si>
  <si>
    <t>COCO BAMBU F DO M COM DE AL LTD</t>
  </si>
  <si>
    <t>COCO BAMBU GOIANIA COM DE ALIM</t>
  </si>
  <si>
    <t>CB MINAS COMERCIO DE ALIM LTDA</t>
  </si>
  <si>
    <t>CB RIO VOLTA REDONDA COM DE AL</t>
  </si>
  <si>
    <t>ITHALA MONIQUE OLIVEIRA</t>
  </si>
  <si>
    <t>TRIX ALIMENTACAO LTDA</t>
  </si>
  <si>
    <t>CONCORDE LOGISTICA E DISTRIBUICAO</t>
  </si>
  <si>
    <t>WEPROTEIN COMERCIO LTDA</t>
  </si>
  <si>
    <t>KEZ BAGEL 2 RESTAURANTE E LANCH</t>
  </si>
  <si>
    <t>CLIFOR</t>
  </si>
  <si>
    <t>MARGEM/KG</t>
  </si>
  <si>
    <t>RESUMO FORECAST SEMANAL - JAN/26</t>
  </si>
  <si>
    <t>Não atribuído</t>
  </si>
  <si>
    <t>CHAVE 2</t>
  </si>
  <si>
    <t>CLIENTE FLAC</t>
  </si>
  <si>
    <t>FORECAST 02</t>
  </si>
  <si>
    <t>FORECAST 16</t>
  </si>
  <si>
    <t>FORECAST 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</si>
</sst>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3" fontId="2" fillId="2" borderId="1" xfId="0" quotePrefix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3" fontId="0" fillId="0" borderId="1" xfId="0" applyNumberFormat="1" applyBorder="1" applyAlignment="1">
      <alignment horizontal="right"/>
    </xf>
    <xf numFmtId="3" fontId="0" fillId="0" borderId="1" xfId="0" applyNumberFormat="1" applyBorder="1"/>
    <xf numFmtId="3" fontId="2" fillId="3" borderId="1" xfId="0" quotePrefix="1" applyNumberFormat="1" applyFont="1" applyFill="1" applyBorder="1" applyAlignment="1">
      <alignment horizontal="center" vertical="center"/>
    </xf>
    <xf numFmtId="164" fontId="2" fillId="3" borderId="1" xfId="1" quotePrefix="1" applyNumberFormat="1" applyFont="1" applyFill="1" applyBorder="1" applyAlignment="1">
      <alignment horizontal="center" vertical="center"/>
    </xf>
    <xf numFmtId="44" fontId="2" fillId="2" borderId="1" xfId="2" quotePrefix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/>
    <xf numFmtId="0" fontId="3" fillId="4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Local/Microsoft/Olk/Attachments/ooa-0547cff6-cc88-49e3-a1c4-1385f4f5f33f/fb61a9530067dc2f9a5e9d97b1c2036e12c0815f0a6a2b6f2c8726acdd4dd31e/Painel%20Food%20e%20Ingredients%20&#8211;%20LdB%20&amp;%20ITB.xlsb" TargetMode="External"/><Relationship Id="rId2" Type="http://schemas.openxmlformats.org/officeDocument/2006/relationships/externalLinkPath" Target="file:///C:\Users\061585585\AppData\Local\Microsoft\Olk\Attachments\ooa-0547cff6-cc88-49e3-a1c4-1385f4f5f33f\fb61a9530067dc2f9a5e9d97b1c2036e12c0815f0a6a2b6f2c8726acdd4dd31e\Painel%20Food%20e%20Ingredients%20&#8211;%20LdB%20&amp;%20ITB.xlsb" TargetMode="External"/><Relationship Id="rId1" Type="http://schemas.openxmlformats.org/officeDocument/2006/relationships/externalLinkPath" Target="/Users/061585585/AppData/Local/Microsoft/Olk/Attachments/ooa-0547cff6-cc88-49e3-a1c4-1385f4f5f33f/fb61a9530067dc2f9a5e9d97b1c2036e12c0815f0a6a2b6f2c8726acdd4dd31e/Painel%20Food%20e%20Ingredients%20&#8211;%20LdB%20&amp;%20ITB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as"/>
      <sheetName val="Enviar Emails"/>
      <sheetName val="Painel"/>
      <sheetName val="DINÂMICA PAINEL"/>
      <sheetName val="DEPARA FOOD"/>
      <sheetName val="Planilha1"/>
      <sheetName val="Planilha2"/>
      <sheetName val="Análise PM"/>
    </sheetNames>
    <sheetDataSet>
      <sheetData sheetId="0"/>
      <sheetData sheetId="1"/>
      <sheetData sheetId="2"/>
      <sheetData sheetId="3"/>
      <sheetData sheetId="4">
        <row r="1">
          <cell r="B1" t="str">
            <v>Cliente</v>
          </cell>
          <cell r="C1" t="str">
            <v>Cliente_Descr</v>
          </cell>
          <cell r="D1" t="str">
            <v>OrgV</v>
          </cell>
          <cell r="E1" t="str">
            <v>EscrV</v>
          </cell>
          <cell r="F1" t="str">
            <v>IdCanalDistribuição</v>
          </cell>
          <cell r="G1" t="str">
            <v>UF</v>
          </cell>
          <cell r="H1" t="str">
            <v>Segmento antigo</v>
          </cell>
          <cell r="I1" t="str">
            <v>Segmento</v>
          </cell>
          <cell r="J1" t="str">
            <v>Vendedor</v>
          </cell>
          <cell r="K1" t="str">
            <v>Empresa</v>
          </cell>
          <cell r="L1" t="str">
            <v>GERENTE</v>
          </cell>
          <cell r="M1" t="str">
            <v>COORDENAÇÃO</v>
          </cell>
        </row>
        <row r="2">
          <cell r="B2">
            <v>5099014</v>
          </cell>
          <cell r="C2" t="str">
            <v>20641272 LUCIANA GABRIEL DA SILVA DAMASC</v>
          </cell>
          <cell r="D2">
            <v>4001</v>
          </cell>
          <cell r="E2" t="str">
            <v>0455</v>
          </cell>
          <cell r="F2" t="str">
            <v>C1</v>
          </cell>
          <cell r="G2" t="str">
            <v>PR</v>
          </cell>
          <cell r="H2" t="str">
            <v>INGREDIENTS</v>
          </cell>
          <cell r="I2" t="str">
            <v>INGREDIENTS</v>
          </cell>
          <cell r="J2" t="str">
            <v>MARCELO RODRIGUES</v>
          </cell>
          <cell r="K2" t="str">
            <v>LACTALIS</v>
          </cell>
          <cell r="L2" t="str">
            <v>MAURICIO</v>
          </cell>
          <cell r="M2" t="str">
            <v>MARCELO</v>
          </cell>
        </row>
        <row r="3">
          <cell r="B3">
            <v>5332205</v>
          </cell>
          <cell r="C3" t="str">
            <v>22998481 GISLAINE APARECIDA SIL</v>
          </cell>
          <cell r="D3">
            <v>7001</v>
          </cell>
          <cell r="E3" t="str">
            <v>0749</v>
          </cell>
          <cell r="F3" t="str">
            <v>C5</v>
          </cell>
          <cell r="G3" t="str">
            <v>SP</v>
          </cell>
          <cell r="H3" t="str">
            <v>DISTRIBUIÇÃO</v>
          </cell>
          <cell r="I3" t="str">
            <v>FOOD SERVICE</v>
          </cell>
          <cell r="J3" t="str">
            <v>FLAC 4</v>
          </cell>
          <cell r="K3" t="str">
            <v>LACTALIS</v>
          </cell>
          <cell r="L3" t="str">
            <v>RODRIGO</v>
          </cell>
          <cell r="M3" t="str">
            <v>ALEXANDRO</v>
          </cell>
        </row>
        <row r="4">
          <cell r="B4">
            <v>5333365</v>
          </cell>
          <cell r="C4" t="str">
            <v>28765412 ANA PAULA DAL BELLO</v>
          </cell>
          <cell r="D4">
            <v>7001</v>
          </cell>
          <cell r="E4" t="str">
            <v>0749</v>
          </cell>
          <cell r="F4" t="str">
            <v>C5</v>
          </cell>
          <cell r="G4" t="str">
            <v>SP</v>
          </cell>
          <cell r="H4" t="str">
            <v>DISTRIBUIÇÃO</v>
          </cell>
          <cell r="I4" t="str">
            <v>FOOD SERVICE</v>
          </cell>
          <cell r="J4" t="str">
            <v>FLAC 4</v>
          </cell>
          <cell r="K4" t="str">
            <v>LACTALIS</v>
          </cell>
          <cell r="L4" t="str">
            <v>RODRIGO</v>
          </cell>
          <cell r="M4" t="str">
            <v>ALEXANDRO</v>
          </cell>
        </row>
        <row r="5">
          <cell r="B5">
            <v>5307383</v>
          </cell>
          <cell r="C5" t="str">
            <v>2MAR IND COM DE GELADOS AFINS LT ME</v>
          </cell>
          <cell r="D5">
            <v>7001</v>
          </cell>
          <cell r="E5" t="str">
            <v>0749</v>
          </cell>
          <cell r="F5" t="str">
            <v>C5</v>
          </cell>
          <cell r="G5" t="str">
            <v>SP</v>
          </cell>
          <cell r="H5" t="str">
            <v>DISTRIBUIÇÃO</v>
          </cell>
          <cell r="I5" t="str">
            <v>FOOD SERVICE</v>
          </cell>
          <cell r="J5" t="str">
            <v>FLAC 3</v>
          </cell>
          <cell r="K5" t="str">
            <v>LACTALIS</v>
          </cell>
          <cell r="L5" t="str">
            <v>RODRIGO</v>
          </cell>
          <cell r="M5" t="str">
            <v>ALEXANDRO</v>
          </cell>
        </row>
        <row r="6">
          <cell r="B6">
            <v>5320712</v>
          </cell>
          <cell r="C6" t="str">
            <v>3 BRASSEURS RESET CERV ARTESANAL LT</v>
          </cell>
          <cell r="D6">
            <v>7001</v>
          </cell>
          <cell r="E6" t="str">
            <v>0749</v>
          </cell>
          <cell r="F6" t="str">
            <v>C5</v>
          </cell>
          <cell r="G6" t="str">
            <v>SP</v>
          </cell>
          <cell r="H6" t="str">
            <v>DISTRIBUIÇÃO</v>
          </cell>
          <cell r="I6" t="str">
            <v>FOOD SERVICE</v>
          </cell>
          <cell r="J6" t="str">
            <v>FLAC 4</v>
          </cell>
          <cell r="K6" t="str">
            <v>LACTALIS</v>
          </cell>
          <cell r="L6" t="str">
            <v>RODRIGO</v>
          </cell>
          <cell r="M6" t="str">
            <v>ALEXANDRO</v>
          </cell>
        </row>
        <row r="7">
          <cell r="B7">
            <v>5320715</v>
          </cell>
          <cell r="C7" t="str">
            <v>3 BRASSEURS RESTAURANTE E CERVEJARI</v>
          </cell>
          <cell r="D7">
            <v>7001</v>
          </cell>
          <cell r="E7" t="str">
            <v>0749</v>
          </cell>
          <cell r="F7" t="str">
            <v>C5</v>
          </cell>
          <cell r="G7" t="str">
            <v>SP</v>
          </cell>
          <cell r="H7" t="str">
            <v>DISTRIBUIÇÃO</v>
          </cell>
          <cell r="I7" t="str">
            <v>FOOD SERVICE</v>
          </cell>
          <cell r="J7" t="str">
            <v>FLAC 4</v>
          </cell>
          <cell r="K7" t="str">
            <v>LACTALIS</v>
          </cell>
          <cell r="L7" t="str">
            <v>RODRIGO</v>
          </cell>
          <cell r="M7" t="str">
            <v>ALEXANDRO</v>
          </cell>
        </row>
        <row r="8">
          <cell r="B8">
            <v>5334262</v>
          </cell>
          <cell r="C8" t="str">
            <v>30899034 MARCUS VINICIUS SINHOR</v>
          </cell>
          <cell r="D8">
            <v>7001</v>
          </cell>
          <cell r="E8" t="str">
            <v>0749</v>
          </cell>
          <cell r="F8" t="str">
            <v>C5</v>
          </cell>
          <cell r="G8" t="str">
            <v>SP</v>
          </cell>
          <cell r="H8" t="str">
            <v>DISTRIBUIÇÃO</v>
          </cell>
          <cell r="I8" t="str">
            <v>FOOD SERVICE</v>
          </cell>
          <cell r="J8" t="str">
            <v>FLAC 6</v>
          </cell>
          <cell r="K8" t="str">
            <v>LACTALIS</v>
          </cell>
          <cell r="L8" t="str">
            <v>RODRIGO</v>
          </cell>
          <cell r="M8" t="str">
            <v>ALEXANDRO</v>
          </cell>
        </row>
        <row r="9">
          <cell r="B9">
            <v>5227730</v>
          </cell>
          <cell r="C9" t="str">
            <v>37682711 FILIPE DE VILHENA OLIV</v>
          </cell>
          <cell r="D9">
            <v>7001</v>
          </cell>
          <cell r="E9" t="str">
            <v>0749</v>
          </cell>
          <cell r="F9" t="str">
            <v>C5</v>
          </cell>
          <cell r="G9" t="str">
            <v>SP</v>
          </cell>
          <cell r="H9" t="str">
            <v>DISTRIBUIÇÃO</v>
          </cell>
          <cell r="I9" t="str">
            <v>FOOD SERVICE</v>
          </cell>
          <cell r="J9" t="str">
            <v>FLAC 8</v>
          </cell>
          <cell r="K9" t="str">
            <v>LACTALIS</v>
          </cell>
          <cell r="L9" t="str">
            <v>RODRIGO</v>
          </cell>
          <cell r="M9" t="str">
            <v>ALEXANDRO</v>
          </cell>
        </row>
        <row r="10">
          <cell r="B10">
            <v>5336804</v>
          </cell>
          <cell r="C10" t="str">
            <v>3GX COMERCIO DE ALIMENTOS LTDA</v>
          </cell>
          <cell r="D10">
            <v>7001</v>
          </cell>
          <cell r="E10" t="str">
            <v>0722</v>
          </cell>
          <cell r="F10" t="str">
            <v>C1</v>
          </cell>
          <cell r="G10" t="str">
            <v>SP</v>
          </cell>
          <cell r="H10" t="str">
            <v>DISTRIBUIÇÃO</v>
          </cell>
          <cell r="I10" t="str">
            <v>FOOD SERVICE</v>
          </cell>
          <cell r="J10" t="str">
            <v>LUCAS ANDRADE</v>
          </cell>
          <cell r="K10" t="str">
            <v>LACTALIS</v>
          </cell>
          <cell r="L10" t="str">
            <v>RODRIGO</v>
          </cell>
          <cell r="M10" t="str">
            <v>RAQUEL BARBOSA</v>
          </cell>
        </row>
        <row r="11">
          <cell r="B11">
            <v>5262129</v>
          </cell>
          <cell r="C11" t="str">
            <v>3MS JL CAFE BISTRO LTDA</v>
          </cell>
          <cell r="D11">
            <v>7001</v>
          </cell>
          <cell r="E11" t="str">
            <v>0749</v>
          </cell>
          <cell r="F11" t="str">
            <v>C5</v>
          </cell>
          <cell r="G11" t="str">
            <v>SP</v>
          </cell>
          <cell r="H11" t="str">
            <v>DISTRIBUIÇÃO</v>
          </cell>
          <cell r="I11" t="str">
            <v>FOOD SERVICE</v>
          </cell>
          <cell r="J11" t="str">
            <v>FLAC 6</v>
          </cell>
          <cell r="K11" t="str">
            <v>LACTALIS</v>
          </cell>
          <cell r="L11" t="str">
            <v>RODRIGO</v>
          </cell>
          <cell r="M11" t="str">
            <v>ALEXANDRO</v>
          </cell>
        </row>
        <row r="12">
          <cell r="B12">
            <v>5331644</v>
          </cell>
          <cell r="C12" t="str">
            <v>3MS JL CAFE BISTRO LTDA</v>
          </cell>
          <cell r="D12">
            <v>7001</v>
          </cell>
          <cell r="E12" t="str">
            <v>0749</v>
          </cell>
          <cell r="F12" t="str">
            <v>C5</v>
          </cell>
          <cell r="G12" t="str">
            <v>SP</v>
          </cell>
          <cell r="H12" t="str">
            <v>DISTRIBUIÇÃO</v>
          </cell>
          <cell r="I12" t="str">
            <v>FOOD SERVICE</v>
          </cell>
          <cell r="J12" t="str">
            <v>FLAC 6</v>
          </cell>
          <cell r="K12" t="str">
            <v>LACTALIS</v>
          </cell>
          <cell r="L12" t="str">
            <v>RODRIGO</v>
          </cell>
          <cell r="M12" t="str">
            <v>ALEXANDRO</v>
          </cell>
        </row>
        <row r="13">
          <cell r="B13">
            <v>5335359</v>
          </cell>
          <cell r="C13" t="str">
            <v>40037382 VALTER KAORU SATO</v>
          </cell>
          <cell r="D13">
            <v>7001</v>
          </cell>
          <cell r="E13" t="str">
            <v>0749</v>
          </cell>
          <cell r="F13" t="str">
            <v>C5</v>
          </cell>
          <cell r="G13" t="str">
            <v>SP</v>
          </cell>
          <cell r="H13" t="str">
            <v>DISTRIBUIÇÃO</v>
          </cell>
          <cell r="I13" t="str">
            <v>FOOD SERVICE</v>
          </cell>
          <cell r="J13" t="str">
            <v>FLAC 2</v>
          </cell>
          <cell r="K13" t="str">
            <v>LACTALIS</v>
          </cell>
          <cell r="L13" t="str">
            <v>RODRIGO</v>
          </cell>
          <cell r="M13" t="str">
            <v>ALEXANDRO</v>
          </cell>
        </row>
        <row r="14">
          <cell r="B14">
            <v>5332357</v>
          </cell>
          <cell r="C14" t="str">
            <v>40578980 THAIS ROMANO AZEVEDO R</v>
          </cell>
          <cell r="D14">
            <v>7001</v>
          </cell>
          <cell r="E14" t="str">
            <v>0749</v>
          </cell>
          <cell r="F14" t="str">
            <v>C5</v>
          </cell>
          <cell r="G14" t="str">
            <v>SP</v>
          </cell>
          <cell r="H14" t="str">
            <v>DISTRIBUIÇÃO</v>
          </cell>
          <cell r="I14" t="str">
            <v>FOOD SERVICE</v>
          </cell>
          <cell r="J14" t="str">
            <v>FLAC 2</v>
          </cell>
          <cell r="K14" t="str">
            <v>LACTALIS</v>
          </cell>
          <cell r="L14" t="str">
            <v>RODRIGO</v>
          </cell>
          <cell r="M14" t="str">
            <v>ALEXANDRO</v>
          </cell>
        </row>
        <row r="15">
          <cell r="B15">
            <v>5222492</v>
          </cell>
          <cell r="C15" t="str">
            <v>40921299 JEANE DIAS DA SILVA</v>
          </cell>
          <cell r="D15">
            <v>7001</v>
          </cell>
          <cell r="E15" t="str">
            <v>0749</v>
          </cell>
          <cell r="F15" t="str">
            <v>C5</v>
          </cell>
          <cell r="G15" t="str">
            <v>SP</v>
          </cell>
          <cell r="H15" t="str">
            <v>DISTRIBUIÇÃO</v>
          </cell>
          <cell r="I15" t="str">
            <v>FOOD SERVICE</v>
          </cell>
          <cell r="J15" t="str">
            <v>FLAC 6</v>
          </cell>
          <cell r="K15" t="str">
            <v>LACTALIS</v>
          </cell>
          <cell r="L15" t="str">
            <v>RODRIGO</v>
          </cell>
          <cell r="M15" t="str">
            <v>ALEXANDRO</v>
          </cell>
        </row>
        <row r="16">
          <cell r="B16">
            <v>5099047</v>
          </cell>
          <cell r="C16" t="str">
            <v>41043363 THAINARA ROSCAMP KAMIN</v>
          </cell>
          <cell r="D16">
            <v>4001</v>
          </cell>
          <cell r="E16" t="str">
            <v>0455</v>
          </cell>
          <cell r="F16" t="str">
            <v>C1</v>
          </cell>
          <cell r="G16" t="str">
            <v>PR</v>
          </cell>
          <cell r="H16" t="str">
            <v>INGREDIENTS</v>
          </cell>
          <cell r="I16" t="str">
            <v>INGREDIENTS</v>
          </cell>
          <cell r="J16" t="str">
            <v>MARCELO RODRIGUES</v>
          </cell>
          <cell r="K16" t="str">
            <v>LACTALIS</v>
          </cell>
          <cell r="L16" t="str">
            <v>MAURICIO</v>
          </cell>
          <cell r="M16" t="str">
            <v>MARCELO</v>
          </cell>
        </row>
        <row r="17">
          <cell r="B17">
            <v>5292947</v>
          </cell>
          <cell r="C17" t="str">
            <v>42210730 CRISTINE CARVALHO LUST</v>
          </cell>
          <cell r="D17">
            <v>7001</v>
          </cell>
          <cell r="E17" t="str">
            <v>0749</v>
          </cell>
          <cell r="F17" t="str">
            <v>C5</v>
          </cell>
          <cell r="G17" t="str">
            <v>SP</v>
          </cell>
          <cell r="H17" t="str">
            <v>DISTRIBUIÇÃO</v>
          </cell>
          <cell r="I17" t="str">
            <v>FOOD SERVICE</v>
          </cell>
          <cell r="J17" t="str">
            <v>FLAC 2</v>
          </cell>
          <cell r="K17" t="str">
            <v>LACTALIS</v>
          </cell>
          <cell r="L17" t="str">
            <v>RODRIGO</v>
          </cell>
          <cell r="M17" t="str">
            <v>ALEXANDRO</v>
          </cell>
        </row>
        <row r="18">
          <cell r="B18">
            <v>5326812</v>
          </cell>
          <cell r="C18" t="str">
            <v>47068565 DANIEL SALVATTE DE OLI</v>
          </cell>
          <cell r="D18">
            <v>7001</v>
          </cell>
          <cell r="E18" t="str">
            <v>0749</v>
          </cell>
          <cell r="F18" t="str">
            <v>C5</v>
          </cell>
          <cell r="G18" t="str">
            <v>SP</v>
          </cell>
          <cell r="H18" t="str">
            <v>DISTRIBUIÇÃO</v>
          </cell>
          <cell r="I18" t="str">
            <v>FOOD SERVICE</v>
          </cell>
          <cell r="J18" t="str">
            <v>FLAC 6</v>
          </cell>
          <cell r="K18" t="str">
            <v>LACTALIS</v>
          </cell>
          <cell r="L18" t="str">
            <v>RODRIGO</v>
          </cell>
          <cell r="M18" t="str">
            <v>ALEXANDRO</v>
          </cell>
        </row>
        <row r="19">
          <cell r="B19">
            <v>5320669</v>
          </cell>
          <cell r="C19" t="str">
            <v>48622073 PAULO BRANDAO WHITAKER</v>
          </cell>
          <cell r="D19">
            <v>7001</v>
          </cell>
          <cell r="E19" t="str">
            <v>0749</v>
          </cell>
          <cell r="F19" t="str">
            <v>C5</v>
          </cell>
          <cell r="G19" t="str">
            <v>SP</v>
          </cell>
          <cell r="H19" t="str">
            <v>DISTRIBUIÇÃO</v>
          </cell>
          <cell r="I19" t="str">
            <v>FOOD SERVICE</v>
          </cell>
          <cell r="J19" t="str">
            <v>FLAC 2</v>
          </cell>
          <cell r="K19" t="str">
            <v>LACTALIS</v>
          </cell>
          <cell r="L19" t="str">
            <v>RODRIGO</v>
          </cell>
          <cell r="M19" t="str">
            <v>ALEXANDRO</v>
          </cell>
        </row>
        <row r="20">
          <cell r="B20">
            <v>5311652</v>
          </cell>
          <cell r="C20" t="str">
            <v>49021054 DEBORA S DE ALCANTARA OKAM</v>
          </cell>
          <cell r="D20">
            <v>7001</v>
          </cell>
          <cell r="E20" t="str">
            <v>0749</v>
          </cell>
          <cell r="F20" t="str">
            <v>C5</v>
          </cell>
          <cell r="G20" t="str">
            <v>SP</v>
          </cell>
          <cell r="H20" t="str">
            <v>DISTRIBUIÇÃO</v>
          </cell>
          <cell r="I20" t="str">
            <v>FOOD SERVICE</v>
          </cell>
          <cell r="J20" t="str">
            <v>FLAC 6</v>
          </cell>
          <cell r="K20" t="str">
            <v>LACTALIS</v>
          </cell>
          <cell r="L20" t="str">
            <v>RODRIGO</v>
          </cell>
          <cell r="M20" t="str">
            <v>ALEXANDRO</v>
          </cell>
        </row>
        <row r="21">
          <cell r="B21">
            <v>5336119</v>
          </cell>
          <cell r="C21" t="str">
            <v>49336873 ANDRESSA MARQUES CORTO</v>
          </cell>
          <cell r="D21">
            <v>7001</v>
          </cell>
          <cell r="E21" t="str">
            <v>0749</v>
          </cell>
          <cell r="F21" t="str">
            <v>C5</v>
          </cell>
          <cell r="G21" t="str">
            <v>SP</v>
          </cell>
          <cell r="H21" t="str">
            <v>DISTRIBUIÇÃO</v>
          </cell>
          <cell r="I21" t="str">
            <v>FOOD SERVICE</v>
          </cell>
          <cell r="J21" t="str">
            <v>FLAC 6</v>
          </cell>
          <cell r="K21" t="str">
            <v>LACTALIS</v>
          </cell>
          <cell r="L21" t="str">
            <v>RODRIGO</v>
          </cell>
          <cell r="M21" t="str">
            <v>ALEXANDRO</v>
          </cell>
        </row>
        <row r="22">
          <cell r="B22">
            <v>5322020</v>
          </cell>
          <cell r="C22" t="str">
            <v>49970761 RODRIGO MELO CRUZ</v>
          </cell>
          <cell r="D22">
            <v>7001</v>
          </cell>
          <cell r="E22" t="str">
            <v>0749</v>
          </cell>
          <cell r="F22" t="str">
            <v>C5</v>
          </cell>
          <cell r="G22" t="str">
            <v>SP</v>
          </cell>
          <cell r="H22" t="str">
            <v>DISTRIBUIÇÃO</v>
          </cell>
          <cell r="I22" t="str">
            <v>FOOD SERVICE</v>
          </cell>
          <cell r="J22" t="str">
            <v>FLAC 2</v>
          </cell>
          <cell r="K22" t="str">
            <v>LACTALIS</v>
          </cell>
          <cell r="L22" t="str">
            <v>RODRIGO</v>
          </cell>
          <cell r="M22" t="str">
            <v>ALEXANDRO</v>
          </cell>
        </row>
        <row r="23">
          <cell r="B23">
            <v>5272234</v>
          </cell>
          <cell r="C23" t="str">
            <v>4F DISTRIBUIDORA DE ALIM EIRELI</v>
          </cell>
          <cell r="D23">
            <v>7001</v>
          </cell>
          <cell r="E23" t="str">
            <v>0749</v>
          </cell>
          <cell r="F23" t="str">
            <v>C5</v>
          </cell>
          <cell r="G23" t="str">
            <v>SP</v>
          </cell>
          <cell r="H23" t="str">
            <v>DISTRIBUIÇÃO</v>
          </cell>
          <cell r="I23" t="str">
            <v>FOOD SERVICE</v>
          </cell>
          <cell r="J23" t="str">
            <v>FLAC 1</v>
          </cell>
          <cell r="K23" t="str">
            <v>LACTALIS</v>
          </cell>
          <cell r="L23" t="str">
            <v>RODRIGO</v>
          </cell>
          <cell r="M23" t="str">
            <v>ALEXANDRO</v>
          </cell>
        </row>
        <row r="24">
          <cell r="B24">
            <v>5320667</v>
          </cell>
          <cell r="C24" t="str">
            <v>50756346 ANDRE DE SOUZA GUERRA</v>
          </cell>
          <cell r="D24">
            <v>7001</v>
          </cell>
          <cell r="E24" t="str">
            <v>0749</v>
          </cell>
          <cell r="F24" t="str">
            <v>C5</v>
          </cell>
          <cell r="G24" t="str">
            <v>SP</v>
          </cell>
          <cell r="H24" t="str">
            <v>DISTRIBUIÇÃO</v>
          </cell>
          <cell r="I24" t="str">
            <v>FOOD SERVICE</v>
          </cell>
          <cell r="J24" t="str">
            <v>FLAC 2</v>
          </cell>
          <cell r="K24" t="str">
            <v>LACTALIS</v>
          </cell>
          <cell r="L24" t="str">
            <v>RODRIGO</v>
          </cell>
          <cell r="M24" t="str">
            <v>ALEXANDRO</v>
          </cell>
        </row>
        <row r="25">
          <cell r="B25">
            <v>5316163</v>
          </cell>
          <cell r="C25" t="str">
            <v>50866262 MARIA CAROLINA TOBAR MARIU</v>
          </cell>
          <cell r="D25">
            <v>7001</v>
          </cell>
          <cell r="E25" t="str">
            <v>0749</v>
          </cell>
          <cell r="F25" t="str">
            <v>C5</v>
          </cell>
          <cell r="G25" t="str">
            <v>SP</v>
          </cell>
          <cell r="H25" t="str">
            <v>DISTRIBUIÇÃO</v>
          </cell>
          <cell r="I25" t="str">
            <v>FOOD SERVICE</v>
          </cell>
          <cell r="J25" t="str">
            <v>FLAC 6</v>
          </cell>
          <cell r="K25" t="str">
            <v>LACTALIS</v>
          </cell>
          <cell r="L25" t="str">
            <v>RODRIGO</v>
          </cell>
          <cell r="M25" t="str">
            <v>ALEXANDRO</v>
          </cell>
        </row>
        <row r="26">
          <cell r="B26">
            <v>5318638</v>
          </cell>
          <cell r="C26" t="str">
            <v>51065160 TIAGO DOS SANTOS PAFUME</v>
          </cell>
          <cell r="D26">
            <v>7001</v>
          </cell>
          <cell r="E26" t="str">
            <v>0749</v>
          </cell>
          <cell r="F26" t="str">
            <v>C5</v>
          </cell>
          <cell r="G26" t="str">
            <v>SP</v>
          </cell>
          <cell r="H26" t="str">
            <v>DISTRIBUIÇÃO</v>
          </cell>
          <cell r="I26" t="str">
            <v>FOOD SERVICE</v>
          </cell>
          <cell r="J26" t="str">
            <v>FLAC 2</v>
          </cell>
          <cell r="K26" t="str">
            <v>LACTALIS</v>
          </cell>
          <cell r="L26" t="str">
            <v>RODRIGO</v>
          </cell>
          <cell r="M26" t="str">
            <v>ALEXANDRO</v>
          </cell>
        </row>
        <row r="27">
          <cell r="B27">
            <v>5319061</v>
          </cell>
          <cell r="C27" t="str">
            <v>51219832 SHARON FRIZAO GUARDIA SAND</v>
          </cell>
          <cell r="D27">
            <v>7001</v>
          </cell>
          <cell r="E27" t="str">
            <v>0749</v>
          </cell>
          <cell r="F27" t="str">
            <v>C5</v>
          </cell>
          <cell r="G27" t="str">
            <v>SP</v>
          </cell>
          <cell r="H27" t="str">
            <v>DISTRIBUIÇÃO</v>
          </cell>
          <cell r="I27" t="str">
            <v>FOOD SERVICE</v>
          </cell>
          <cell r="J27" t="str">
            <v>FLAC 2</v>
          </cell>
          <cell r="K27" t="str">
            <v>LACTALIS</v>
          </cell>
          <cell r="L27" t="str">
            <v>RODRIGO</v>
          </cell>
          <cell r="M27" t="str">
            <v>ALEXANDRO</v>
          </cell>
        </row>
        <row r="28">
          <cell r="B28">
            <v>5334780</v>
          </cell>
          <cell r="C28" t="str">
            <v>51278787 ERIC FERNANDO MEIER</v>
          </cell>
          <cell r="D28">
            <v>7001</v>
          </cell>
          <cell r="E28" t="str">
            <v>0749</v>
          </cell>
          <cell r="F28" t="str">
            <v>C5</v>
          </cell>
          <cell r="G28" t="str">
            <v>SP</v>
          </cell>
          <cell r="H28" t="str">
            <v>DISTRIBUIÇÃO</v>
          </cell>
          <cell r="I28" t="str">
            <v>FOOD SERVICE</v>
          </cell>
          <cell r="J28" t="str">
            <v>FLAC 2</v>
          </cell>
          <cell r="K28" t="str">
            <v>LACTALIS</v>
          </cell>
          <cell r="L28" t="str">
            <v>RODRIGO</v>
          </cell>
          <cell r="M28" t="str">
            <v>ALEXANDRO</v>
          </cell>
        </row>
        <row r="29">
          <cell r="B29">
            <v>5320963</v>
          </cell>
          <cell r="C29" t="str">
            <v>51745868 RITA DE C FERNANDINO GARCI</v>
          </cell>
          <cell r="D29">
            <v>7001</v>
          </cell>
          <cell r="E29" t="str">
            <v>0749</v>
          </cell>
          <cell r="F29" t="str">
            <v>C5</v>
          </cell>
          <cell r="G29" t="str">
            <v>SP</v>
          </cell>
          <cell r="H29" t="str">
            <v>DISTRIBUIÇÃO</v>
          </cell>
          <cell r="I29" t="str">
            <v>FOOD SERVICE</v>
          </cell>
          <cell r="J29" t="str">
            <v>FLAC 3</v>
          </cell>
          <cell r="K29" t="str">
            <v>LACTALIS</v>
          </cell>
          <cell r="L29" t="str">
            <v>RODRIGO</v>
          </cell>
          <cell r="M29" t="str">
            <v>ALEXANDRO</v>
          </cell>
        </row>
        <row r="30">
          <cell r="B30">
            <v>5184940</v>
          </cell>
          <cell r="C30" t="str">
            <v>A A FRUTOS DO BRASIL LTDA ME</v>
          </cell>
          <cell r="D30">
            <v>3001</v>
          </cell>
          <cell r="E30" t="str">
            <v>0127</v>
          </cell>
          <cell r="F30" t="str">
            <v>C1</v>
          </cell>
          <cell r="G30" t="str">
            <v>PE</v>
          </cell>
          <cell r="H30" t="str">
            <v>DISTRIBUIÇÃO</v>
          </cell>
          <cell r="I30" t="str">
            <v>FOOD SERVICE</v>
          </cell>
          <cell r="J30" t="str">
            <v>CLAUDIO JORGE</v>
          </cell>
          <cell r="K30" t="str">
            <v>ITAMBÉ</v>
          </cell>
          <cell r="L30" t="str">
            <v>RODRIGO</v>
          </cell>
          <cell r="M30" t="str">
            <v>VAGO NORDESTE</v>
          </cell>
        </row>
        <row r="31">
          <cell r="B31">
            <v>5118035</v>
          </cell>
          <cell r="C31" t="str">
            <v>A B GUIMARAES BRANDAO VILAR</v>
          </cell>
          <cell r="D31">
            <v>3001</v>
          </cell>
          <cell r="E31" t="str">
            <v>0127</v>
          </cell>
          <cell r="F31" t="str">
            <v>C1</v>
          </cell>
          <cell r="G31" t="str">
            <v>BA</v>
          </cell>
          <cell r="H31" t="str">
            <v>DISTRIBUIÇÃO</v>
          </cell>
          <cell r="I31" t="str">
            <v>FOOD SERVICE</v>
          </cell>
          <cell r="J31" t="str">
            <v xml:space="preserve">KARIS FOOD / LUIZ </v>
          </cell>
          <cell r="K31" t="str">
            <v>ITAMBÉ</v>
          </cell>
          <cell r="L31" t="str">
            <v>RODRIGO</v>
          </cell>
          <cell r="M31" t="str">
            <v>VAGO NORDESTE</v>
          </cell>
        </row>
        <row r="32">
          <cell r="B32">
            <v>5327252</v>
          </cell>
          <cell r="C32" t="str">
            <v>A C SILVEIRA CONSULTORIA E REPR</v>
          </cell>
          <cell r="D32">
            <v>7001</v>
          </cell>
          <cell r="E32" t="str">
            <v>0749</v>
          </cell>
          <cell r="F32" t="str">
            <v>C5</v>
          </cell>
          <cell r="G32" t="str">
            <v>SP</v>
          </cell>
          <cell r="H32" t="str">
            <v>DISTRIBUIÇÃO</v>
          </cell>
          <cell r="I32" t="str">
            <v>FOOD SERVICE</v>
          </cell>
          <cell r="J32" t="str">
            <v>FLAC 6</v>
          </cell>
          <cell r="K32" t="str">
            <v>LACTALIS</v>
          </cell>
          <cell r="L32" t="str">
            <v>RODRIGO</v>
          </cell>
          <cell r="M32" t="str">
            <v>ALEXANDRO</v>
          </cell>
        </row>
        <row r="33">
          <cell r="B33">
            <v>5320673</v>
          </cell>
          <cell r="C33" t="str">
            <v>A CASA DE ANTONIA COM DE ALIM E BEB</v>
          </cell>
          <cell r="D33">
            <v>7001</v>
          </cell>
          <cell r="E33" t="str">
            <v>0749</v>
          </cell>
          <cell r="F33" t="str">
            <v>C5</v>
          </cell>
          <cell r="G33" t="str">
            <v>SP</v>
          </cell>
          <cell r="H33" t="str">
            <v>DISTRIBUIÇÃO</v>
          </cell>
          <cell r="I33" t="str">
            <v>FOOD SERVICE</v>
          </cell>
          <cell r="J33" t="str">
            <v>FLAC 6</v>
          </cell>
          <cell r="K33" t="str">
            <v>LACTALIS</v>
          </cell>
          <cell r="L33" t="str">
            <v>RODRIGO</v>
          </cell>
          <cell r="M33" t="str">
            <v>ALEXANDRO</v>
          </cell>
        </row>
        <row r="34">
          <cell r="B34">
            <v>5166366</v>
          </cell>
          <cell r="C34" t="str">
            <v>A CONFITERIA IND E COM DE ALIM LTDA</v>
          </cell>
          <cell r="D34">
            <v>7001</v>
          </cell>
          <cell r="E34" t="str">
            <v>0749</v>
          </cell>
          <cell r="F34" t="str">
            <v>C5</v>
          </cell>
          <cell r="G34" t="str">
            <v>SP</v>
          </cell>
          <cell r="H34" t="str">
            <v>DISTRIBUIÇÃO</v>
          </cell>
          <cell r="I34" t="str">
            <v>FOOD SERVICE</v>
          </cell>
          <cell r="J34" t="str">
            <v>FLAC 6</v>
          </cell>
          <cell r="K34" t="str">
            <v>LACTALIS</v>
          </cell>
          <cell r="L34" t="str">
            <v>RODRIGO</v>
          </cell>
          <cell r="M34" t="str">
            <v>ALEXANDRO</v>
          </cell>
        </row>
        <row r="35">
          <cell r="B35">
            <v>5261915</v>
          </cell>
          <cell r="C35" t="str">
            <v>A J DULLER COM DE FRIOS E DER L</v>
          </cell>
          <cell r="D35">
            <v>7001</v>
          </cell>
          <cell r="E35" t="str">
            <v>0749</v>
          </cell>
          <cell r="F35" t="str">
            <v>C5</v>
          </cell>
          <cell r="G35" t="str">
            <v>SP</v>
          </cell>
          <cell r="H35" t="str">
            <v>DISTRIBUIÇÃO</v>
          </cell>
          <cell r="I35" t="str">
            <v>FOOD SERVICE</v>
          </cell>
          <cell r="J35" t="str">
            <v>FLAC 2</v>
          </cell>
          <cell r="K35" t="str">
            <v>LACTALIS</v>
          </cell>
          <cell r="L35" t="str">
            <v>RODRIGO</v>
          </cell>
          <cell r="M35" t="str">
            <v>ALEXANDRO</v>
          </cell>
        </row>
        <row r="36">
          <cell r="B36">
            <v>5040718</v>
          </cell>
          <cell r="C36" t="str">
            <v>A K GOIA DOCERIA LTDA</v>
          </cell>
          <cell r="D36">
            <v>7001</v>
          </cell>
          <cell r="E36" t="str">
            <v>0749</v>
          </cell>
          <cell r="F36" t="str">
            <v>C5</v>
          </cell>
          <cell r="G36" t="str">
            <v>SP</v>
          </cell>
          <cell r="H36" t="str">
            <v>DISTRIBUIÇÃO</v>
          </cell>
          <cell r="I36" t="str">
            <v>FOOD SERVICE</v>
          </cell>
          <cell r="J36" t="str">
            <v>FLAC 6</v>
          </cell>
          <cell r="K36" t="str">
            <v>LACTALIS</v>
          </cell>
          <cell r="L36" t="str">
            <v>RODRIGO</v>
          </cell>
          <cell r="M36" t="str">
            <v>ALEXANDRO</v>
          </cell>
        </row>
        <row r="37">
          <cell r="B37">
            <v>5323543</v>
          </cell>
          <cell r="C37" t="str">
            <v>A M E O COMERCIO DE PRODUTOS ALIMENTICIO</v>
          </cell>
          <cell r="D37">
            <v>3001</v>
          </cell>
          <cell r="E37" t="str">
            <v>0127</v>
          </cell>
          <cell r="F37" t="str">
            <v>C1</v>
          </cell>
          <cell r="G37" t="str">
            <v>BA</v>
          </cell>
          <cell r="H37" t="str">
            <v>DISTRIBUIÇÃO</v>
          </cell>
          <cell r="I37" t="str">
            <v>FOOD SERVICE</v>
          </cell>
          <cell r="J37" t="str">
            <v xml:space="preserve">KARIS FOOD / LUIZ </v>
          </cell>
          <cell r="K37" t="str">
            <v>ITAMBÉ</v>
          </cell>
          <cell r="L37" t="str">
            <v>RODRIGO</v>
          </cell>
          <cell r="M37" t="str">
            <v>VAGO NORDESTE</v>
          </cell>
        </row>
        <row r="38">
          <cell r="B38">
            <v>5172394</v>
          </cell>
          <cell r="C38" t="str">
            <v>A REFINARIA GOURMET LTDA</v>
          </cell>
          <cell r="D38">
            <v>7001</v>
          </cell>
          <cell r="E38" t="str">
            <v>0749</v>
          </cell>
          <cell r="F38" t="str">
            <v>C5</v>
          </cell>
          <cell r="G38" t="str">
            <v>SP</v>
          </cell>
          <cell r="H38" t="str">
            <v>DISTRIBUIÇÃO</v>
          </cell>
          <cell r="I38" t="str">
            <v>FOOD SERVICE</v>
          </cell>
          <cell r="J38" t="str">
            <v>FLAC 3</v>
          </cell>
          <cell r="K38" t="str">
            <v>LACTALIS</v>
          </cell>
          <cell r="L38" t="str">
            <v>RODRIGO</v>
          </cell>
          <cell r="M38" t="str">
            <v>ALEXANDRO</v>
          </cell>
        </row>
        <row r="39">
          <cell r="B39">
            <v>5273270</v>
          </cell>
          <cell r="C39" t="str">
            <v>AAP CASTRO E FERNANDES LTDA</v>
          </cell>
          <cell r="D39">
            <v>7001</v>
          </cell>
          <cell r="E39" t="str">
            <v>0749</v>
          </cell>
          <cell r="F39" t="str">
            <v>C5</v>
          </cell>
          <cell r="G39" t="str">
            <v>SP</v>
          </cell>
          <cell r="H39" t="str">
            <v>DISTRIBUIÇÃO</v>
          </cell>
          <cell r="I39" t="str">
            <v>FOOD SERVICE</v>
          </cell>
          <cell r="J39" t="str">
            <v>FLAC 6</v>
          </cell>
          <cell r="K39" t="str">
            <v>LACTALIS</v>
          </cell>
          <cell r="L39" t="str">
            <v>RODRIGO</v>
          </cell>
          <cell r="M39" t="str">
            <v>ALEXANDRO</v>
          </cell>
        </row>
        <row r="40">
          <cell r="B40">
            <v>5313368</v>
          </cell>
          <cell r="C40" t="str">
            <v>AC FOODS COMPANY LLC</v>
          </cell>
          <cell r="D40">
            <v>3001</v>
          </cell>
          <cell r="E40" t="str">
            <v>0062</v>
          </cell>
          <cell r="F40" t="str">
            <v>C1</v>
          </cell>
          <cell r="G40" t="str">
            <v>FL</v>
          </cell>
          <cell r="H40" t="str">
            <v>OUTROS</v>
          </cell>
          <cell r="I40" t="str">
            <v>OUTROS</v>
          </cell>
          <cell r="J40" t="str">
            <v>ITAMBE - EXPORTACAO</v>
          </cell>
          <cell r="K40" t="str">
            <v>OUTROS</v>
          </cell>
          <cell r="L40" t="str">
            <v>OUTROS</v>
          </cell>
          <cell r="M40" t="str">
            <v>EXPORTAÇÃO</v>
          </cell>
        </row>
        <row r="41">
          <cell r="B41">
            <v>5264241</v>
          </cell>
          <cell r="C41" t="str">
            <v>ACADEMIA DO PAO EIRELI</v>
          </cell>
          <cell r="D41">
            <v>7001</v>
          </cell>
          <cell r="E41" t="str">
            <v>0749</v>
          </cell>
          <cell r="F41" t="str">
            <v>C5</v>
          </cell>
          <cell r="G41" t="str">
            <v>SP</v>
          </cell>
          <cell r="H41" t="str">
            <v>DISTRIBUIÇÃO</v>
          </cell>
          <cell r="I41" t="str">
            <v>FOOD SERVICE</v>
          </cell>
          <cell r="J41" t="str">
            <v>FLAC 2</v>
          </cell>
          <cell r="K41" t="str">
            <v>LACTALIS</v>
          </cell>
          <cell r="L41" t="str">
            <v>RODRIGO</v>
          </cell>
          <cell r="M41" t="str">
            <v>ALEXANDRO</v>
          </cell>
        </row>
        <row r="42">
          <cell r="B42">
            <v>5317846</v>
          </cell>
          <cell r="C42" t="str">
            <v>ACAI GRUMARI AVARE LTDA</v>
          </cell>
          <cell r="D42">
            <v>3001</v>
          </cell>
          <cell r="E42" t="str">
            <v>0028</v>
          </cell>
          <cell r="F42" t="str">
            <v>C1</v>
          </cell>
          <cell r="G42" t="str">
            <v>RJ</v>
          </cell>
          <cell r="H42" t="str">
            <v>INGREDIENTS</v>
          </cell>
          <cell r="I42" t="str">
            <v>INGREDIENTS</v>
          </cell>
          <cell r="J42" t="str">
            <v>DUAS RODAS</v>
          </cell>
          <cell r="K42" t="str">
            <v>ITAMBÉ</v>
          </cell>
          <cell r="L42" t="str">
            <v>MAURICIO</v>
          </cell>
          <cell r="M42" t="str">
            <v>TATIANA NITTA</v>
          </cell>
        </row>
        <row r="43">
          <cell r="B43">
            <v>5314201</v>
          </cell>
          <cell r="C43" t="str">
            <v>ACAI MAIS INDUSTRIA E COMERCIO LTDA</v>
          </cell>
          <cell r="D43">
            <v>3001</v>
          </cell>
          <cell r="E43" t="str">
            <v>0127</v>
          </cell>
          <cell r="F43" t="str">
            <v>C1</v>
          </cell>
          <cell r="G43" t="str">
            <v>BA</v>
          </cell>
          <cell r="H43" t="str">
            <v>DISTRIBUIÇÃO</v>
          </cell>
          <cell r="I43" t="str">
            <v>FOOD SERVICE</v>
          </cell>
          <cell r="J43" t="str">
            <v xml:space="preserve">KARIS FOOD / LUIZ </v>
          </cell>
          <cell r="K43" t="str">
            <v>ITAMBÉ</v>
          </cell>
          <cell r="L43" t="str">
            <v>RODRIGO</v>
          </cell>
          <cell r="M43" t="str">
            <v>VAGO NORDESTE</v>
          </cell>
        </row>
        <row r="44">
          <cell r="B44">
            <v>5227283</v>
          </cell>
          <cell r="C44" t="str">
            <v>ACAITERIA EXPRESS LTDA</v>
          </cell>
          <cell r="D44">
            <v>3001</v>
          </cell>
          <cell r="E44" t="str">
            <v>0122</v>
          </cell>
          <cell r="F44" t="str">
            <v>C1</v>
          </cell>
          <cell r="G44" t="str">
            <v>MG</v>
          </cell>
          <cell r="H44" t="str">
            <v>INGREDIENTS</v>
          </cell>
          <cell r="I44" t="str">
            <v>INGREDIENTS</v>
          </cell>
          <cell r="J44" t="str">
            <v>HENRIQUE FERREIRA</v>
          </cell>
          <cell r="K44" t="str">
            <v>ITAMBÉ</v>
          </cell>
          <cell r="L44" t="str">
            <v>MAURICIO</v>
          </cell>
          <cell r="M44" t="str">
            <v>JOEL</v>
          </cell>
        </row>
        <row r="45">
          <cell r="B45">
            <v>5314126</v>
          </cell>
          <cell r="C45" t="str">
            <v>ACZ CAFE EXPRESSO LTDA</v>
          </cell>
          <cell r="D45">
            <v>7001</v>
          </cell>
          <cell r="E45" t="str">
            <v>0749</v>
          </cell>
          <cell r="F45" t="str">
            <v>C5</v>
          </cell>
          <cell r="G45" t="str">
            <v>SP</v>
          </cell>
          <cell r="H45" t="str">
            <v>DISTRIBUIÇÃO</v>
          </cell>
          <cell r="I45" t="str">
            <v>FOOD SERVICE</v>
          </cell>
          <cell r="J45" t="str">
            <v>FLAC 5</v>
          </cell>
          <cell r="K45" t="str">
            <v>LACTALIS</v>
          </cell>
          <cell r="L45" t="str">
            <v>RODRIGO</v>
          </cell>
          <cell r="M45" t="str">
            <v>ALEXANDRO</v>
          </cell>
        </row>
        <row r="46">
          <cell r="B46">
            <v>5314523</v>
          </cell>
          <cell r="C46" t="str">
            <v>ACZ CAFE EXPRESSO LTDA</v>
          </cell>
          <cell r="D46">
            <v>7001</v>
          </cell>
          <cell r="E46" t="str">
            <v>0749</v>
          </cell>
          <cell r="F46" t="str">
            <v>C5</v>
          </cell>
          <cell r="G46" t="str">
            <v>SP</v>
          </cell>
          <cell r="H46" t="str">
            <v>DISTRIBUIÇÃO</v>
          </cell>
          <cell r="I46" t="str">
            <v>FOOD SERVICE</v>
          </cell>
          <cell r="J46" t="str">
            <v>FLAC 4</v>
          </cell>
          <cell r="K46" t="str">
            <v>LACTALIS</v>
          </cell>
          <cell r="L46" t="str">
            <v>RODRIGO</v>
          </cell>
          <cell r="M46" t="str">
            <v>ALEXANDRO</v>
          </cell>
        </row>
        <row r="47">
          <cell r="B47">
            <v>5083008</v>
          </cell>
          <cell r="C47" t="str">
            <v>ADRIPAN PRODUTOS PARA PANIFICACAO L</v>
          </cell>
          <cell r="D47">
            <v>6001</v>
          </cell>
          <cell r="E47" t="str">
            <v>6125</v>
          </cell>
          <cell r="F47" t="str">
            <v>C1</v>
          </cell>
          <cell r="G47" t="str">
            <v>SP</v>
          </cell>
          <cell r="H47" t="str">
            <v>DISTRIBUIÇÃO</v>
          </cell>
          <cell r="I47" t="str">
            <v>FOOD SERVICE</v>
          </cell>
          <cell r="J47" t="str">
            <v>EMMANUEL FRANCISCO</v>
          </cell>
          <cell r="K47" t="str">
            <v>ITAMBÉ</v>
          </cell>
          <cell r="L47" t="str">
            <v>RODRIGO</v>
          </cell>
          <cell r="M47" t="str">
            <v>VAGO SP - INTERIOR</v>
          </cell>
        </row>
        <row r="48">
          <cell r="B48">
            <v>5311596</v>
          </cell>
          <cell r="C48" t="str">
            <v>AEROMATE 1 LANCHES LTDA</v>
          </cell>
          <cell r="D48">
            <v>7001</v>
          </cell>
          <cell r="E48" t="str">
            <v>0749</v>
          </cell>
          <cell r="F48" t="str">
            <v>C5</v>
          </cell>
          <cell r="G48" t="str">
            <v>SP</v>
          </cell>
          <cell r="H48" t="str">
            <v>DISTRIBUIÇÃO</v>
          </cell>
          <cell r="I48" t="str">
            <v>FOOD SERVICE</v>
          </cell>
          <cell r="J48" t="str">
            <v>FLAC 3</v>
          </cell>
          <cell r="K48" t="str">
            <v>LACTALIS</v>
          </cell>
          <cell r="L48" t="str">
            <v>RODRIGO</v>
          </cell>
          <cell r="M48" t="str">
            <v>ALEXANDRO</v>
          </cell>
        </row>
        <row r="49">
          <cell r="B49">
            <v>5262339</v>
          </cell>
          <cell r="C49" t="str">
            <v>AEROMATE 1 LANCHES LTDA</v>
          </cell>
          <cell r="D49">
            <v>7001</v>
          </cell>
          <cell r="E49" t="str">
            <v>0749</v>
          </cell>
          <cell r="F49" t="str">
            <v>C5</v>
          </cell>
          <cell r="G49" t="str">
            <v>SP</v>
          </cell>
          <cell r="H49" t="str">
            <v>DISTRIBUIÇÃO</v>
          </cell>
          <cell r="I49" t="str">
            <v>FOOD SERVICE</v>
          </cell>
          <cell r="J49" t="str">
            <v>FLAC 3</v>
          </cell>
          <cell r="K49" t="str">
            <v>LACTALIS</v>
          </cell>
          <cell r="L49" t="str">
            <v>RODRIGO</v>
          </cell>
          <cell r="M49" t="str">
            <v>ALEXANDRO</v>
          </cell>
        </row>
        <row r="50">
          <cell r="B50">
            <v>5311594</v>
          </cell>
          <cell r="C50" t="str">
            <v>AEROMATE 1 LANCHES LTDA</v>
          </cell>
          <cell r="D50">
            <v>7001</v>
          </cell>
          <cell r="E50" t="str">
            <v>0749</v>
          </cell>
          <cell r="F50" t="str">
            <v>C5</v>
          </cell>
          <cell r="G50" t="str">
            <v>SP</v>
          </cell>
          <cell r="H50" t="str">
            <v>DISTRIBUIÇÃO</v>
          </cell>
          <cell r="I50" t="str">
            <v>FOOD SERVICE</v>
          </cell>
          <cell r="J50" t="str">
            <v>FLAC 3</v>
          </cell>
          <cell r="K50" t="str">
            <v>LACTALIS</v>
          </cell>
          <cell r="L50" t="str">
            <v>RODRIGO</v>
          </cell>
          <cell r="M50" t="str">
            <v>ALEXANDRO</v>
          </cell>
        </row>
        <row r="51">
          <cell r="B51">
            <v>5311595</v>
          </cell>
          <cell r="C51" t="str">
            <v>AEROMATE 1 LANCHES LTDA</v>
          </cell>
          <cell r="D51">
            <v>7001</v>
          </cell>
          <cell r="E51" t="str">
            <v>0749</v>
          </cell>
          <cell r="F51" t="str">
            <v>C5</v>
          </cell>
          <cell r="G51" t="str">
            <v>SP</v>
          </cell>
          <cell r="H51" t="str">
            <v>DISTRIBUIÇÃO</v>
          </cell>
          <cell r="I51" t="str">
            <v>FOOD SERVICE</v>
          </cell>
          <cell r="J51" t="str">
            <v>FLAC 3</v>
          </cell>
          <cell r="K51" t="str">
            <v>LACTALIS</v>
          </cell>
          <cell r="L51" t="str">
            <v>RODRIGO</v>
          </cell>
          <cell r="M51" t="str">
            <v>ALEXANDRO</v>
          </cell>
        </row>
        <row r="52">
          <cell r="B52">
            <v>5185313</v>
          </cell>
          <cell r="C52" t="str">
            <v>AGATA RESTAURANTE LTDA</v>
          </cell>
          <cell r="D52">
            <v>3001</v>
          </cell>
          <cell r="E52" t="str">
            <v>0122</v>
          </cell>
          <cell r="F52" t="str">
            <v>C1</v>
          </cell>
          <cell r="G52" t="str">
            <v>MG</v>
          </cell>
          <cell r="H52" t="str">
            <v>DISTRIBUIÇÃO</v>
          </cell>
          <cell r="I52" t="str">
            <v>FOOD SERVICE</v>
          </cell>
          <cell r="J52" t="str">
            <v>MARCELO SILVA</v>
          </cell>
          <cell r="K52" t="str">
            <v>ITAMBÉ</v>
          </cell>
          <cell r="L52" t="str">
            <v>RODRIGO</v>
          </cell>
          <cell r="M52" t="str">
            <v>CELIO MARTINS</v>
          </cell>
        </row>
        <row r="53">
          <cell r="B53">
            <v>5315586</v>
          </cell>
          <cell r="C53" t="str">
            <v xml:space="preserve">AGR FOODS COMERCIO DE ALIMENTOS </v>
          </cell>
          <cell r="D53">
            <v>7001</v>
          </cell>
          <cell r="E53" t="str">
            <v>0722</v>
          </cell>
          <cell r="F53" t="str">
            <v>C1</v>
          </cell>
          <cell r="G53" t="str">
            <v>SP</v>
          </cell>
          <cell r="H53" t="str">
            <v>DISTRIBUIÇÃO</v>
          </cell>
          <cell r="I53" t="str">
            <v>FOOD SERVICE</v>
          </cell>
          <cell r="J53" t="str">
            <v>GUILHERME NASCIMENTO</v>
          </cell>
          <cell r="K53" t="str">
            <v>LACTALIS</v>
          </cell>
          <cell r="L53" t="str">
            <v>RODRIGO</v>
          </cell>
          <cell r="M53" t="str">
            <v>ALEXANDRO</v>
          </cell>
        </row>
        <row r="54">
          <cell r="B54">
            <v>5166253</v>
          </cell>
          <cell r="C54" t="str">
            <v>AGRANA FRUIT BRASIL IND COM IMP</v>
          </cell>
          <cell r="D54">
            <v>6001</v>
          </cell>
          <cell r="E54" t="str">
            <v>6125</v>
          </cell>
          <cell r="F54" t="str">
            <v>C1</v>
          </cell>
          <cell r="G54" t="str">
            <v>SP</v>
          </cell>
          <cell r="H54" t="str">
            <v>INGREDIENTS</v>
          </cell>
          <cell r="I54" t="str">
            <v>INGREDIENTS</v>
          </cell>
          <cell r="J54" t="str">
            <v>HENRIQUE FERREIRA</v>
          </cell>
          <cell r="K54" t="str">
            <v>ITAMBÉ</v>
          </cell>
          <cell r="L54" t="str">
            <v>MAURICIO</v>
          </cell>
          <cell r="M54" t="str">
            <v>JOEL</v>
          </cell>
        </row>
        <row r="55">
          <cell r="B55">
            <v>5262779</v>
          </cell>
          <cell r="C55" t="str">
            <v>AILSON COSTA AGUIAR ME</v>
          </cell>
          <cell r="D55">
            <v>7001</v>
          </cell>
          <cell r="E55" t="str">
            <v>0749</v>
          </cell>
          <cell r="F55" t="str">
            <v>C5</v>
          </cell>
          <cell r="G55" t="str">
            <v>SP</v>
          </cell>
          <cell r="H55" t="str">
            <v>DISTRIBUIÇÃO</v>
          </cell>
          <cell r="I55" t="str">
            <v>FOOD SERVICE</v>
          </cell>
          <cell r="J55" t="str">
            <v>FLAC 3</v>
          </cell>
          <cell r="K55" t="str">
            <v>LACTALIS</v>
          </cell>
          <cell r="L55" t="str">
            <v>RODRIGO</v>
          </cell>
          <cell r="M55" t="str">
            <v>ALEXANDRO</v>
          </cell>
        </row>
        <row r="56">
          <cell r="B56">
            <v>5261641</v>
          </cell>
          <cell r="C56" t="str">
            <v>AILTON SANTOS LEITE REST EIRELI ME</v>
          </cell>
          <cell r="D56">
            <v>7001</v>
          </cell>
          <cell r="E56" t="str">
            <v>0749</v>
          </cell>
          <cell r="F56" t="str">
            <v>C5</v>
          </cell>
          <cell r="G56" t="str">
            <v>SP</v>
          </cell>
          <cell r="H56" t="str">
            <v>DISTRIBUIÇÃO</v>
          </cell>
          <cell r="I56" t="str">
            <v>FOOD SERVICE</v>
          </cell>
          <cell r="J56" t="str">
            <v>FLAC 6</v>
          </cell>
          <cell r="K56" t="str">
            <v>LACTALIS</v>
          </cell>
          <cell r="L56" t="str">
            <v>RODRIGO</v>
          </cell>
          <cell r="M56" t="str">
            <v>ALEXANDRO</v>
          </cell>
        </row>
        <row r="57">
          <cell r="B57">
            <v>5179089</v>
          </cell>
          <cell r="C57" t="str">
            <v>AJR IND E COMERCIO DE SORVETES LTDA</v>
          </cell>
          <cell r="D57">
            <v>3001</v>
          </cell>
          <cell r="E57" t="str">
            <v>0127</v>
          </cell>
          <cell r="F57" t="str">
            <v>C1</v>
          </cell>
          <cell r="G57" t="str">
            <v>PE</v>
          </cell>
          <cell r="H57" t="str">
            <v>DISTRIBUIÇÃO</v>
          </cell>
          <cell r="I57" t="str">
            <v>FOOD SERVICE</v>
          </cell>
          <cell r="J57" t="str">
            <v>CLAUDIO JORGE</v>
          </cell>
          <cell r="K57" t="str">
            <v>ITAMBÉ</v>
          </cell>
          <cell r="L57" t="str">
            <v>RODRIGO</v>
          </cell>
          <cell r="M57" t="str">
            <v>VAGO NORDESTE</v>
          </cell>
        </row>
        <row r="58">
          <cell r="B58">
            <v>5330353</v>
          </cell>
          <cell r="C58" t="str">
            <v>ALBIERI E CURSI CONFEITARIA CAF</v>
          </cell>
          <cell r="D58">
            <v>7001</v>
          </cell>
          <cell r="E58" t="str">
            <v>0749</v>
          </cell>
          <cell r="F58" t="str">
            <v>C5</v>
          </cell>
          <cell r="G58" t="str">
            <v>SP</v>
          </cell>
          <cell r="H58" t="str">
            <v>DISTRIBUIÇÃO</v>
          </cell>
          <cell r="I58" t="str">
            <v>FOOD SERVICE</v>
          </cell>
          <cell r="J58" t="str">
            <v>FLAC 3</v>
          </cell>
          <cell r="K58" t="str">
            <v>LACTALIS</v>
          </cell>
          <cell r="L58" t="str">
            <v>RODRIGO</v>
          </cell>
          <cell r="M58" t="str">
            <v>ALEXANDRO</v>
          </cell>
        </row>
        <row r="59">
          <cell r="B59">
            <v>5194510</v>
          </cell>
          <cell r="C59" t="str">
            <v>ALEGRO ALIMENTOS LTDA EPP</v>
          </cell>
          <cell r="D59">
            <v>3001</v>
          </cell>
          <cell r="E59" t="str">
            <v>0127</v>
          </cell>
          <cell r="F59" t="str">
            <v>C1</v>
          </cell>
          <cell r="G59" t="str">
            <v>BA</v>
          </cell>
          <cell r="H59" t="str">
            <v>DISTRIBUIÇÃO</v>
          </cell>
          <cell r="I59" t="str">
            <v>FOOD SERVICE</v>
          </cell>
          <cell r="J59" t="str">
            <v xml:space="preserve">KARIS FOOD / LUIZ </v>
          </cell>
          <cell r="K59" t="str">
            <v>ITAMBÉ</v>
          </cell>
          <cell r="L59" t="str">
            <v>RODRIGO</v>
          </cell>
          <cell r="M59" t="str">
            <v>VAGO NORDESTE</v>
          </cell>
        </row>
        <row r="60">
          <cell r="B60">
            <v>5286570</v>
          </cell>
          <cell r="C60" t="str">
            <v>ALEXANDRE ANSELMO ME</v>
          </cell>
          <cell r="D60">
            <v>7001</v>
          </cell>
          <cell r="E60" t="str">
            <v>0749</v>
          </cell>
          <cell r="F60" t="str">
            <v>C5</v>
          </cell>
          <cell r="G60" t="str">
            <v>SP</v>
          </cell>
          <cell r="H60" t="str">
            <v>DISTRIBUIÇÃO</v>
          </cell>
          <cell r="I60" t="str">
            <v>FOOD SERVICE</v>
          </cell>
          <cell r="J60" t="str">
            <v>FLAC 6</v>
          </cell>
          <cell r="K60" t="str">
            <v>LACTALIS</v>
          </cell>
          <cell r="L60" t="str">
            <v>RODRIGO</v>
          </cell>
          <cell r="M60" t="str">
            <v>ALEXANDRO</v>
          </cell>
        </row>
        <row r="61">
          <cell r="B61">
            <v>5269815</v>
          </cell>
          <cell r="C61" t="str">
            <v>ALEXANDRE BEM MARIOTTO 27922579</v>
          </cell>
          <cell r="D61">
            <v>7001</v>
          </cell>
          <cell r="E61" t="str">
            <v>0749</v>
          </cell>
          <cell r="F61" t="str">
            <v>C5</v>
          </cell>
          <cell r="G61" t="str">
            <v>SP</v>
          </cell>
          <cell r="H61" t="str">
            <v>DISTRIBUIÇÃO</v>
          </cell>
          <cell r="I61" t="str">
            <v>FOOD SERVICE</v>
          </cell>
          <cell r="J61" t="str">
            <v>FLAC 6</v>
          </cell>
          <cell r="K61" t="str">
            <v>LACTALIS</v>
          </cell>
          <cell r="L61" t="str">
            <v>RODRIGO</v>
          </cell>
          <cell r="M61" t="str">
            <v>ALEXANDRO</v>
          </cell>
        </row>
        <row r="62">
          <cell r="B62">
            <v>5320686</v>
          </cell>
          <cell r="C62" t="str">
            <v>ALF BOUTIQUE DE ALIMENTOS E BEBIDAS</v>
          </cell>
          <cell r="D62">
            <v>7001</v>
          </cell>
          <cell r="E62" t="str">
            <v>0749</v>
          </cell>
          <cell r="F62" t="str">
            <v>C5</v>
          </cell>
          <cell r="G62" t="str">
            <v>SP</v>
          </cell>
          <cell r="H62" t="str">
            <v>DISTRIBUIÇÃO</v>
          </cell>
          <cell r="I62" t="str">
            <v>FOOD SERVICE</v>
          </cell>
          <cell r="J62" t="str">
            <v>FLAC 3</v>
          </cell>
          <cell r="K62" t="str">
            <v>LACTALIS</v>
          </cell>
          <cell r="L62" t="str">
            <v>RODRIGO</v>
          </cell>
          <cell r="M62" t="str">
            <v>ALEXANDRO</v>
          </cell>
        </row>
        <row r="63">
          <cell r="B63">
            <v>5099074</v>
          </cell>
          <cell r="C63" t="str">
            <v>ALIBEY INDUSTRIA COM ALIMENTOS ESPECI LTDA</v>
          </cell>
          <cell r="D63">
            <v>7001</v>
          </cell>
          <cell r="E63" t="str">
            <v>0737</v>
          </cell>
          <cell r="F63" t="str">
            <v>C1</v>
          </cell>
          <cell r="G63" t="str">
            <v>SP</v>
          </cell>
          <cell r="H63" t="str">
            <v>INGREDIENTS</v>
          </cell>
          <cell r="I63" t="str">
            <v>INGREDIENTS</v>
          </cell>
          <cell r="J63" t="str">
            <v>TATIANA NITTA</v>
          </cell>
          <cell r="K63" t="str">
            <v>LACTALIS</v>
          </cell>
          <cell r="L63" t="str">
            <v>MAURICIO</v>
          </cell>
          <cell r="M63" t="str">
            <v>TATIANA NITTA</v>
          </cell>
        </row>
        <row r="64">
          <cell r="B64">
            <v>5099074</v>
          </cell>
          <cell r="C64" t="str">
            <v>ALIBEY INDUSTRIA COM ALIMENTOS ESPECI LTDA</v>
          </cell>
          <cell r="D64">
            <v>4001</v>
          </cell>
          <cell r="E64" t="str">
            <v>0445</v>
          </cell>
          <cell r="F64" t="str">
            <v>C7</v>
          </cell>
          <cell r="G64" t="str">
            <v>SP</v>
          </cell>
          <cell r="H64" t="str">
            <v>INGREDIENTS</v>
          </cell>
          <cell r="I64" t="str">
            <v>INGREDIENTS</v>
          </cell>
          <cell r="J64" t="str">
            <v>TATIANA NITTA</v>
          </cell>
          <cell r="K64" t="str">
            <v>LACTALIS</v>
          </cell>
          <cell r="L64" t="str">
            <v>MAURICIO</v>
          </cell>
          <cell r="M64" t="str">
            <v>TATIANA NITTA</v>
          </cell>
        </row>
        <row r="65">
          <cell r="B65">
            <v>5227311</v>
          </cell>
          <cell r="C65" t="str">
            <v>ALIMENTOS JANDAIA LTDA</v>
          </cell>
          <cell r="D65">
            <v>4001</v>
          </cell>
          <cell r="E65" t="str">
            <v>0455</v>
          </cell>
          <cell r="F65" t="str">
            <v>C1</v>
          </cell>
          <cell r="G65" t="str">
            <v>PR</v>
          </cell>
          <cell r="H65" t="str">
            <v>INGREDIENTS</v>
          </cell>
          <cell r="I65" t="str">
            <v>INGREDIENTS</v>
          </cell>
          <cell r="J65" t="str">
            <v>MARCELO RODRIGUES</v>
          </cell>
          <cell r="K65" t="str">
            <v>LACTALIS</v>
          </cell>
          <cell r="L65" t="str">
            <v>MAURICIO</v>
          </cell>
          <cell r="M65" t="str">
            <v>MARCELO</v>
          </cell>
        </row>
        <row r="66">
          <cell r="B66">
            <v>5173776</v>
          </cell>
          <cell r="C66" t="str">
            <v>ALIMENTOS N BONN LTDA</v>
          </cell>
          <cell r="D66">
            <v>3001</v>
          </cell>
          <cell r="E66" t="str">
            <v>0126</v>
          </cell>
          <cell r="F66" t="str">
            <v>C1</v>
          </cell>
          <cell r="G66" t="str">
            <v>PR</v>
          </cell>
          <cell r="H66" t="str">
            <v>INGREDIENTS</v>
          </cell>
          <cell r="I66" t="str">
            <v>INGREDIENTS</v>
          </cell>
          <cell r="J66" t="str">
            <v>DUAS RODAS</v>
          </cell>
          <cell r="K66" t="str">
            <v>ITAMBÉ</v>
          </cell>
          <cell r="L66" t="str">
            <v>MAURICIO</v>
          </cell>
          <cell r="M66" t="str">
            <v>MARCELO</v>
          </cell>
        </row>
        <row r="67">
          <cell r="B67">
            <v>5184851</v>
          </cell>
          <cell r="C67" t="str">
            <v>ALLPAN COM DE PROD ALIMENTICIOS LTD</v>
          </cell>
          <cell r="D67">
            <v>6001</v>
          </cell>
          <cell r="E67" t="str">
            <v>6125</v>
          </cell>
          <cell r="F67" t="str">
            <v>C1</v>
          </cell>
          <cell r="G67" t="str">
            <v>SP</v>
          </cell>
          <cell r="H67" t="str">
            <v>DISTRIBUIÇÃO</v>
          </cell>
          <cell r="I67" t="str">
            <v>FOOD SERVICE</v>
          </cell>
          <cell r="J67" t="str">
            <v>EMMANUEL FRANCISCO</v>
          </cell>
          <cell r="K67" t="str">
            <v>ITAMBÉ</v>
          </cell>
          <cell r="L67" t="str">
            <v>RODRIGO</v>
          </cell>
          <cell r="M67" t="str">
            <v>VAGO SP - INTERIOR</v>
          </cell>
        </row>
        <row r="68">
          <cell r="B68">
            <v>5303461</v>
          </cell>
          <cell r="C68" t="str">
            <v>ALME NUTRICAO PERSONALIZADA LTDA</v>
          </cell>
          <cell r="D68">
            <v>7001</v>
          </cell>
          <cell r="E68" t="str">
            <v>0749</v>
          </cell>
          <cell r="F68" t="str">
            <v>C5</v>
          </cell>
          <cell r="G68" t="str">
            <v>SP</v>
          </cell>
          <cell r="H68" t="str">
            <v>DISTRIBUIÇÃO</v>
          </cell>
          <cell r="I68" t="str">
            <v>FOOD SERVICE</v>
          </cell>
          <cell r="J68" t="str">
            <v>FLAC 6</v>
          </cell>
          <cell r="K68" t="str">
            <v>LACTALIS</v>
          </cell>
          <cell r="L68" t="str">
            <v>RODRIGO</v>
          </cell>
          <cell r="M68" t="str">
            <v>ALEXANDRO</v>
          </cell>
        </row>
        <row r="69">
          <cell r="B69">
            <v>5247513</v>
          </cell>
          <cell r="C69" t="str">
            <v>ALMENAT EXTENSAO CORPORATIVA LTDA</v>
          </cell>
          <cell r="D69">
            <v>7001</v>
          </cell>
          <cell r="E69" t="str">
            <v>0749</v>
          </cell>
          <cell r="F69" t="str">
            <v>C5</v>
          </cell>
          <cell r="G69" t="str">
            <v>SP</v>
          </cell>
          <cell r="H69" t="str">
            <v>DISTRIBUIÇÃO</v>
          </cell>
          <cell r="I69" t="str">
            <v>FOOD SERVICE</v>
          </cell>
          <cell r="J69" t="str">
            <v>FLAC 6</v>
          </cell>
          <cell r="K69" t="str">
            <v>LACTALIS</v>
          </cell>
          <cell r="L69" t="str">
            <v>RODRIGO</v>
          </cell>
          <cell r="M69" t="str">
            <v>ALEXANDRO</v>
          </cell>
        </row>
        <row r="70">
          <cell r="B70">
            <v>5248591</v>
          </cell>
          <cell r="C70" t="str">
            <v>AMARAL E NICOLAU HOT E CONS ADM</v>
          </cell>
          <cell r="D70">
            <v>7001</v>
          </cell>
          <cell r="E70" t="str">
            <v>0749</v>
          </cell>
          <cell r="F70" t="str">
            <v>C5</v>
          </cell>
          <cell r="G70" t="str">
            <v>SP</v>
          </cell>
          <cell r="H70" t="str">
            <v>DISTRIBUIÇÃO</v>
          </cell>
          <cell r="I70" t="str">
            <v>FOOD SERVICE</v>
          </cell>
          <cell r="J70" t="str">
            <v>FLAC 5</v>
          </cell>
          <cell r="K70" t="str">
            <v>LACTALIS</v>
          </cell>
          <cell r="L70" t="str">
            <v>RODRIGO</v>
          </cell>
          <cell r="M70" t="str">
            <v>ALEXANDRO</v>
          </cell>
        </row>
        <row r="71">
          <cell r="B71">
            <v>5068929</v>
          </cell>
          <cell r="C71" t="str">
            <v>AMERIPAN PROD P A PANIFICACAO LTDA</v>
          </cell>
          <cell r="D71">
            <v>6001</v>
          </cell>
          <cell r="E71" t="str">
            <v>6125</v>
          </cell>
          <cell r="F71" t="str">
            <v>C1</v>
          </cell>
          <cell r="G71" t="str">
            <v>SP</v>
          </cell>
          <cell r="H71" t="str">
            <v>DISTRIBUIÇÃO</v>
          </cell>
          <cell r="I71" t="str">
            <v>FOOD SERVICE</v>
          </cell>
          <cell r="J71" t="str">
            <v>LUCAS ANDRADE</v>
          </cell>
          <cell r="K71" t="str">
            <v>ITAMBÉ</v>
          </cell>
          <cell r="L71" t="str">
            <v>RODRIGO</v>
          </cell>
          <cell r="M71" t="str">
            <v>RAQUEL BARBOSA</v>
          </cell>
        </row>
        <row r="72">
          <cell r="B72">
            <v>5332247</v>
          </cell>
          <cell r="C72" t="str">
            <v>AMIV COMERCIO DE PRODUTOS</v>
          </cell>
          <cell r="D72">
            <v>3001</v>
          </cell>
          <cell r="E72" t="str">
            <v>0127</v>
          </cell>
          <cell r="F72" t="str">
            <v>C1</v>
          </cell>
          <cell r="G72" t="str">
            <v>CE</v>
          </cell>
          <cell r="H72" t="str">
            <v>DISTRIBUIÇÃO</v>
          </cell>
          <cell r="I72" t="str">
            <v>FOOD SERVICE</v>
          </cell>
          <cell r="J72" t="str">
            <v>WH FOOD SERVICE CE</v>
          </cell>
          <cell r="K72" t="str">
            <v>ITAMBÉ</v>
          </cell>
          <cell r="L72" t="str">
            <v>RODRIGO</v>
          </cell>
          <cell r="M72" t="str">
            <v>VAGO NORDESTE</v>
          </cell>
        </row>
        <row r="73">
          <cell r="B73">
            <v>5206921</v>
          </cell>
          <cell r="C73" t="str">
            <v>AMOR GOURMET CONFEITARIA LTDA</v>
          </cell>
          <cell r="D73">
            <v>6001</v>
          </cell>
          <cell r="E73" t="str">
            <v>6125</v>
          </cell>
          <cell r="F73" t="str">
            <v>C1</v>
          </cell>
          <cell r="G73" t="str">
            <v>SP</v>
          </cell>
          <cell r="H73" t="str">
            <v>DISTRIBUIÇÃO</v>
          </cell>
          <cell r="I73" t="str">
            <v>FOOD SERVICE</v>
          </cell>
          <cell r="J73" t="str">
            <v>ALEXANDRO RODRIGUES</v>
          </cell>
          <cell r="K73" t="str">
            <v>ITAMBÉ</v>
          </cell>
          <cell r="L73" t="str">
            <v>RODRIGO</v>
          </cell>
          <cell r="M73" t="str">
            <v>ALEXANDRO</v>
          </cell>
        </row>
        <row r="74">
          <cell r="B74">
            <v>5182828</v>
          </cell>
          <cell r="C74" t="str">
            <v>AMORIX ALIMENTOS EIRELI</v>
          </cell>
          <cell r="D74">
            <v>3001</v>
          </cell>
          <cell r="E74" t="str">
            <v>0123</v>
          </cell>
          <cell r="F74" t="str">
            <v>C1</v>
          </cell>
          <cell r="G74" t="str">
            <v>GO</v>
          </cell>
          <cell r="H74" t="str">
            <v>DISTRIBUIÇÃO</v>
          </cell>
          <cell r="I74" t="str">
            <v>FOOD SERVICE</v>
          </cell>
          <cell r="J74" t="str">
            <v>CLAUDIO JORGE</v>
          </cell>
          <cell r="K74" t="str">
            <v>ITAMBÉ</v>
          </cell>
          <cell r="L74" t="str">
            <v>RODRIGO</v>
          </cell>
          <cell r="M74" t="str">
            <v>MARCO AURELIO</v>
          </cell>
        </row>
        <row r="75">
          <cell r="B75">
            <v>5328479</v>
          </cell>
          <cell r="C75" t="str">
            <v>ANA LUCIA MEDEIROS DE SOUZA 054</v>
          </cell>
          <cell r="D75">
            <v>7001</v>
          </cell>
          <cell r="E75" t="str">
            <v>0749</v>
          </cell>
          <cell r="F75" t="str">
            <v>C5</v>
          </cell>
          <cell r="G75" t="str">
            <v>SP</v>
          </cell>
          <cell r="H75" t="str">
            <v>DISTRIBUIÇÃO</v>
          </cell>
          <cell r="I75" t="str">
            <v>FOOD SERVICE</v>
          </cell>
          <cell r="J75" t="str">
            <v>FLAC 2</v>
          </cell>
          <cell r="K75" t="str">
            <v>LACTALIS</v>
          </cell>
          <cell r="L75" t="str">
            <v>RODRIGO</v>
          </cell>
          <cell r="M75" t="str">
            <v>ALEXANDRO</v>
          </cell>
        </row>
        <row r="76">
          <cell r="B76">
            <v>5291285</v>
          </cell>
          <cell r="C76" t="str">
            <v>ANA P MESSORE CARPINELLI 1764832981</v>
          </cell>
          <cell r="D76">
            <v>7001</v>
          </cell>
          <cell r="E76" t="str">
            <v>0749</v>
          </cell>
          <cell r="F76" t="str">
            <v>C5</v>
          </cell>
          <cell r="G76" t="str">
            <v>SP</v>
          </cell>
          <cell r="H76" t="str">
            <v>DISTRIBUIÇÃO</v>
          </cell>
          <cell r="I76" t="str">
            <v>FOOD SERVICE</v>
          </cell>
          <cell r="J76" t="str">
            <v>FLAC 2</v>
          </cell>
          <cell r="K76" t="str">
            <v>LACTALIS</v>
          </cell>
          <cell r="L76" t="str">
            <v>RODRIGO</v>
          </cell>
          <cell r="M76" t="str">
            <v>ALEXANDRO</v>
          </cell>
        </row>
        <row r="77">
          <cell r="B77">
            <v>5183692</v>
          </cell>
          <cell r="C77" t="str">
            <v>ANAP DISTRIBUIDORA LTDA</v>
          </cell>
          <cell r="D77">
            <v>3001</v>
          </cell>
          <cell r="E77" t="str">
            <v>0126</v>
          </cell>
          <cell r="F77" t="str">
            <v>C1</v>
          </cell>
          <cell r="G77" t="str">
            <v>PR</v>
          </cell>
          <cell r="H77" t="str">
            <v>DISTRIBUIÇÃO</v>
          </cell>
          <cell r="I77" t="str">
            <v>FOOD SERVICE</v>
          </cell>
          <cell r="J77" t="str">
            <v>ANTÔNIO SOUZA</v>
          </cell>
          <cell r="K77" t="str">
            <v>ITAMBÉ</v>
          </cell>
          <cell r="L77" t="str">
            <v>RODRIGO</v>
          </cell>
          <cell r="M77" t="str">
            <v>VAGO SUL</v>
          </cell>
        </row>
        <row r="78">
          <cell r="B78">
            <v>5262771</v>
          </cell>
          <cell r="C78" t="str">
            <v>ANATOLIE SOROKO ME</v>
          </cell>
          <cell r="D78">
            <v>7001</v>
          </cell>
          <cell r="E78" t="str">
            <v>0749</v>
          </cell>
          <cell r="F78" t="str">
            <v>C5</v>
          </cell>
          <cell r="G78" t="str">
            <v>SP</v>
          </cell>
          <cell r="H78" t="str">
            <v>DISTRIBUIÇÃO</v>
          </cell>
          <cell r="I78" t="str">
            <v>FOOD SERVICE</v>
          </cell>
          <cell r="J78" t="str">
            <v>FLAC 4</v>
          </cell>
          <cell r="K78" t="str">
            <v>LACTALIS</v>
          </cell>
          <cell r="L78" t="str">
            <v>RODRIGO</v>
          </cell>
          <cell r="M78" t="str">
            <v>ALEXANDRO</v>
          </cell>
        </row>
        <row r="79">
          <cell r="B79">
            <v>5333626</v>
          </cell>
          <cell r="C79" t="str">
            <v>ANCAIS2 REFEICOES LTDA</v>
          </cell>
          <cell r="D79">
            <v>7001</v>
          </cell>
          <cell r="E79" t="str">
            <v>0749</v>
          </cell>
          <cell r="F79" t="str">
            <v>C5</v>
          </cell>
          <cell r="G79" t="str">
            <v>SP</v>
          </cell>
          <cell r="H79" t="str">
            <v>DISTRIBUIÇÃO</v>
          </cell>
          <cell r="I79" t="str">
            <v>FOOD SERVICE</v>
          </cell>
          <cell r="J79" t="str">
            <v>FLAC 2</v>
          </cell>
          <cell r="K79" t="str">
            <v>LACTALIS</v>
          </cell>
          <cell r="L79" t="str">
            <v>RODRIGO</v>
          </cell>
          <cell r="M79" t="str">
            <v>ALEXANDRO</v>
          </cell>
        </row>
        <row r="80">
          <cell r="B80">
            <v>5252873</v>
          </cell>
          <cell r="C80" t="str">
            <v>ANDALUZA COM DE SOBREMESAS FINAS</v>
          </cell>
          <cell r="D80">
            <v>7001</v>
          </cell>
          <cell r="E80" t="str">
            <v>0749</v>
          </cell>
          <cell r="F80" t="str">
            <v>C5</v>
          </cell>
          <cell r="G80" t="str">
            <v>SP</v>
          </cell>
          <cell r="H80" t="str">
            <v>DISTRIBUIÇÃO</v>
          </cell>
          <cell r="I80" t="str">
            <v>FOOD SERVICE</v>
          </cell>
          <cell r="J80" t="str">
            <v>FLAC 2</v>
          </cell>
          <cell r="K80" t="str">
            <v>LACTALIS</v>
          </cell>
          <cell r="L80" t="str">
            <v>RODRIGO</v>
          </cell>
          <cell r="M80" t="str">
            <v>ALEXANDRO</v>
          </cell>
        </row>
        <row r="81">
          <cell r="B81">
            <v>5035780</v>
          </cell>
          <cell r="C81" t="str">
            <v>ANDRE CAVALCANTI CASA DE LANCHES</v>
          </cell>
          <cell r="D81">
            <v>3001</v>
          </cell>
          <cell r="E81" t="str">
            <v>0122</v>
          </cell>
          <cell r="F81" t="str">
            <v>C1</v>
          </cell>
          <cell r="G81" t="str">
            <v>MG</v>
          </cell>
          <cell r="H81" t="str">
            <v>DISTRIBUIÇÃO</v>
          </cell>
          <cell r="I81" t="str">
            <v>FOOD SERVICE</v>
          </cell>
          <cell r="J81" t="str">
            <v>MARCELO SILVA</v>
          </cell>
          <cell r="K81" t="str">
            <v>ITAMBÉ</v>
          </cell>
          <cell r="L81" t="str">
            <v>RODRIGO</v>
          </cell>
          <cell r="M81" t="str">
            <v>CELIO MARTINS</v>
          </cell>
        </row>
        <row r="82">
          <cell r="B82">
            <v>5290059</v>
          </cell>
          <cell r="C82" t="str">
            <v>ANDRE MEILER</v>
          </cell>
          <cell r="D82">
            <v>7001</v>
          </cell>
          <cell r="E82" t="str">
            <v>0749</v>
          </cell>
          <cell r="F82" t="str">
            <v>C5</v>
          </cell>
          <cell r="G82" t="str">
            <v>SP</v>
          </cell>
          <cell r="H82" t="str">
            <v>DISTRIBUIÇÃO</v>
          </cell>
          <cell r="I82" t="str">
            <v>FOOD SERVICE</v>
          </cell>
          <cell r="J82" t="str">
            <v>FLAC 2</v>
          </cell>
          <cell r="K82" t="str">
            <v>LACTALIS</v>
          </cell>
          <cell r="L82" t="str">
            <v>RODRIGO</v>
          </cell>
          <cell r="M82" t="str">
            <v>ALEXANDRO</v>
          </cell>
        </row>
        <row r="83">
          <cell r="B83">
            <v>5252403</v>
          </cell>
          <cell r="C83" t="str">
            <v>ANNA E DALVA PRODUTOS ALIMENTIC</v>
          </cell>
          <cell r="D83">
            <v>7001</v>
          </cell>
          <cell r="E83" t="str">
            <v>0749</v>
          </cell>
          <cell r="F83" t="str">
            <v>C5</v>
          </cell>
          <cell r="G83" t="str">
            <v>SP</v>
          </cell>
          <cell r="H83" t="str">
            <v>DISTRIBUIÇÃO</v>
          </cell>
          <cell r="I83" t="str">
            <v>FOOD SERVICE</v>
          </cell>
          <cell r="J83" t="str">
            <v>FLAC 2</v>
          </cell>
          <cell r="K83" t="str">
            <v>LACTALIS</v>
          </cell>
          <cell r="L83" t="str">
            <v>RODRIGO</v>
          </cell>
          <cell r="M83" t="str">
            <v>ALEXANDRO</v>
          </cell>
        </row>
        <row r="84">
          <cell r="B84">
            <v>5292048</v>
          </cell>
          <cell r="C84" t="str">
            <v>ANSC REFEICOES LTDA</v>
          </cell>
          <cell r="D84">
            <v>7001</v>
          </cell>
          <cell r="E84" t="str">
            <v>0749</v>
          </cell>
          <cell r="F84" t="str">
            <v>C5</v>
          </cell>
          <cell r="G84" t="str">
            <v>SP</v>
          </cell>
          <cell r="H84" t="str">
            <v>DISTRIBUIÇÃO</v>
          </cell>
          <cell r="I84" t="str">
            <v>FOOD SERVICE</v>
          </cell>
          <cell r="J84" t="str">
            <v>FLAC 2</v>
          </cell>
          <cell r="K84" t="str">
            <v>LACTALIS</v>
          </cell>
          <cell r="L84" t="str">
            <v>RODRIGO</v>
          </cell>
          <cell r="M84" t="str">
            <v>ALEXANDRO</v>
          </cell>
        </row>
        <row r="85">
          <cell r="B85">
            <v>5170056</v>
          </cell>
          <cell r="C85" t="str">
            <v>ANTONIO ROBERTO M DOS SANTOS ME</v>
          </cell>
          <cell r="D85">
            <v>4001</v>
          </cell>
          <cell r="E85" t="str">
            <v>0455</v>
          </cell>
          <cell r="F85" t="str">
            <v>C1</v>
          </cell>
          <cell r="G85" t="str">
            <v>SP</v>
          </cell>
          <cell r="H85" t="str">
            <v>INGREDIENTS</v>
          </cell>
          <cell r="I85" t="str">
            <v>INGREDIENTS</v>
          </cell>
          <cell r="J85" t="str">
            <v>MARCELO RODRIGUES</v>
          </cell>
          <cell r="K85" t="str">
            <v>LACTALIS</v>
          </cell>
          <cell r="L85" t="str">
            <v>MAURICIO</v>
          </cell>
          <cell r="M85" t="str">
            <v>MARCELO</v>
          </cell>
        </row>
        <row r="86">
          <cell r="B86">
            <v>5200026</v>
          </cell>
          <cell r="C86" t="str">
            <v>APETIT SERVICOS DE ALIMENTACAO</v>
          </cell>
          <cell r="D86">
            <v>3001</v>
          </cell>
          <cell r="E86" t="str">
            <v>0123</v>
          </cell>
          <cell r="F86" t="str">
            <v>C1</v>
          </cell>
          <cell r="G86" t="str">
            <v>MT</v>
          </cell>
          <cell r="H86" t="str">
            <v>QSR</v>
          </cell>
          <cell r="I86" t="str">
            <v>FOOD SERVICE</v>
          </cell>
          <cell r="J86" t="str">
            <v>NUTRI</v>
          </cell>
          <cell r="K86" t="str">
            <v>ITAMBÉ</v>
          </cell>
          <cell r="L86" t="str">
            <v>PEDRO</v>
          </cell>
          <cell r="M86" t="str">
            <v>AMANDA</v>
          </cell>
        </row>
        <row r="87">
          <cell r="B87">
            <v>5173434</v>
          </cell>
          <cell r="C87" t="str">
            <v>ARACAGY SORVETES LTDA ME</v>
          </cell>
          <cell r="D87">
            <v>3001</v>
          </cell>
          <cell r="E87" t="str">
            <v>0122</v>
          </cell>
          <cell r="F87" t="str">
            <v>C1</v>
          </cell>
          <cell r="G87" t="str">
            <v>MG</v>
          </cell>
          <cell r="H87" t="str">
            <v>INGREDIENTS</v>
          </cell>
          <cell r="I87" t="str">
            <v>INGREDIENTS</v>
          </cell>
          <cell r="J87" t="str">
            <v>HENRIQUE FERREIRA</v>
          </cell>
          <cell r="K87" t="str">
            <v>ITAMBÉ</v>
          </cell>
          <cell r="L87" t="str">
            <v>MAURICIO</v>
          </cell>
          <cell r="M87" t="str">
            <v>JOEL</v>
          </cell>
        </row>
        <row r="88">
          <cell r="B88">
            <v>5173305</v>
          </cell>
          <cell r="C88" t="str">
            <v>ARCOR DO BRASIL LTDA</v>
          </cell>
          <cell r="D88">
            <v>3001</v>
          </cell>
          <cell r="E88" t="str">
            <v>0028</v>
          </cell>
          <cell r="F88" t="str">
            <v>C1</v>
          </cell>
          <cell r="G88" t="str">
            <v>SP</v>
          </cell>
          <cell r="H88" t="str">
            <v>INGREDIENTS</v>
          </cell>
          <cell r="I88" t="str">
            <v>INGREDIENTS</v>
          </cell>
          <cell r="J88" t="str">
            <v>TATIANA NITTA</v>
          </cell>
          <cell r="K88" t="str">
            <v>ITAMBÉ</v>
          </cell>
          <cell r="L88" t="str">
            <v>MAURICIO</v>
          </cell>
          <cell r="M88" t="str">
            <v>TATIANA NITTA</v>
          </cell>
        </row>
        <row r="89">
          <cell r="B89">
            <v>5173305</v>
          </cell>
          <cell r="C89" t="str">
            <v>ARCOR DO BRASIL LTDA</v>
          </cell>
          <cell r="D89">
            <v>6001</v>
          </cell>
          <cell r="E89" t="str">
            <v>6125</v>
          </cell>
          <cell r="F89" t="str">
            <v>C1</v>
          </cell>
          <cell r="G89" t="str">
            <v>SP</v>
          </cell>
          <cell r="H89" t="str">
            <v>INGREDIENTS</v>
          </cell>
          <cell r="I89" t="str">
            <v>INGREDIENTS</v>
          </cell>
          <cell r="J89" t="str">
            <v>TATIANA NITTA</v>
          </cell>
          <cell r="K89" t="str">
            <v>ITAMBÉ</v>
          </cell>
          <cell r="L89" t="str">
            <v>MAURICIO</v>
          </cell>
          <cell r="M89" t="str">
            <v>TATIANA NITTA</v>
          </cell>
        </row>
        <row r="90">
          <cell r="B90">
            <v>5337583</v>
          </cell>
          <cell r="C90" t="str">
            <v>ARKEO FOODS ALIMENTOS LTDA</v>
          </cell>
          <cell r="D90">
            <v>3001</v>
          </cell>
          <cell r="E90" t="str">
            <v>0028</v>
          </cell>
          <cell r="F90" t="str">
            <v>C1</v>
          </cell>
          <cell r="G90" t="str">
            <v>MG</v>
          </cell>
          <cell r="H90" t="str">
            <v>INGREDIENTS</v>
          </cell>
          <cell r="I90" t="str">
            <v>INGREDIENTS</v>
          </cell>
          <cell r="J90" t="str">
            <v>HENRIQUE FERREIRA</v>
          </cell>
          <cell r="K90" t="str">
            <v>ITAMBÉ</v>
          </cell>
          <cell r="L90" t="str">
            <v>MAURICIO</v>
          </cell>
          <cell r="M90" t="str">
            <v>JOEL</v>
          </cell>
        </row>
        <row r="91">
          <cell r="B91">
            <v>5128707</v>
          </cell>
          <cell r="C91" t="str">
            <v>ARMAZEM TOP ALTO LTDA</v>
          </cell>
          <cell r="D91">
            <v>3001</v>
          </cell>
          <cell r="E91" t="str">
            <v>0127</v>
          </cell>
          <cell r="F91" t="str">
            <v>C1</v>
          </cell>
          <cell r="G91" t="str">
            <v>BA</v>
          </cell>
          <cell r="H91" t="str">
            <v>DISTRIBUIÇÃO</v>
          </cell>
          <cell r="I91" t="str">
            <v>FOOD SERVICE</v>
          </cell>
          <cell r="J91" t="str">
            <v xml:space="preserve">KARIS FOOD / LUIZ </v>
          </cell>
          <cell r="K91" t="str">
            <v>ITAMBÉ</v>
          </cell>
          <cell r="L91" t="str">
            <v>RODRIGO</v>
          </cell>
          <cell r="M91" t="str">
            <v>VAGO NORDESTE</v>
          </cell>
        </row>
        <row r="92">
          <cell r="B92">
            <v>5138292</v>
          </cell>
          <cell r="C92" t="str">
            <v>AROMITALIA DO BRASIL LTDA</v>
          </cell>
          <cell r="D92">
            <v>3001</v>
          </cell>
          <cell r="E92" t="str">
            <v>0126</v>
          </cell>
          <cell r="F92" t="str">
            <v>C1</v>
          </cell>
          <cell r="G92" t="str">
            <v>SC</v>
          </cell>
          <cell r="H92" t="str">
            <v>INGREDIENTS</v>
          </cell>
          <cell r="I92" t="str">
            <v>INGREDIENTS</v>
          </cell>
          <cell r="J92" t="str">
            <v>MARCELO RODRIGUES</v>
          </cell>
          <cell r="K92" t="str">
            <v>ITAMBÉ</v>
          </cell>
          <cell r="L92" t="str">
            <v>MAURICIO</v>
          </cell>
          <cell r="M92" t="str">
            <v>MARCELO</v>
          </cell>
        </row>
        <row r="93">
          <cell r="B93">
            <v>5149985</v>
          </cell>
          <cell r="C93" t="str">
            <v>AROUMAR DISTRIB DE PRODUTOS ALIM LT</v>
          </cell>
          <cell r="D93">
            <v>6001</v>
          </cell>
          <cell r="E93" t="str">
            <v>6125</v>
          </cell>
          <cell r="F93" t="str">
            <v>C1</v>
          </cell>
          <cell r="G93" t="str">
            <v>SP</v>
          </cell>
          <cell r="H93" t="str">
            <v>DISTRIBUIÇÃO</v>
          </cell>
          <cell r="I93" t="str">
            <v>FOOD SERVICE</v>
          </cell>
          <cell r="J93" t="str">
            <v>GUILHERME NASCIMENTO</v>
          </cell>
          <cell r="K93" t="str">
            <v>ITAMBÉ</v>
          </cell>
          <cell r="L93" t="str">
            <v>RODRIGO</v>
          </cell>
          <cell r="M93" t="str">
            <v>ALEXANDRO</v>
          </cell>
        </row>
        <row r="94">
          <cell r="B94">
            <v>5226225</v>
          </cell>
          <cell r="C94" t="str">
            <v>ARS REFEICOES E SERVICOS LTDA</v>
          </cell>
          <cell r="D94">
            <v>7001</v>
          </cell>
          <cell r="E94" t="str">
            <v>0749</v>
          </cell>
          <cell r="F94" t="str">
            <v>C5</v>
          </cell>
          <cell r="G94" t="str">
            <v>SP</v>
          </cell>
          <cell r="H94" t="str">
            <v>DISTRIBUIÇÃO</v>
          </cell>
          <cell r="I94" t="str">
            <v>FOOD SERVICE</v>
          </cell>
          <cell r="J94" t="str">
            <v>FLAC 3</v>
          </cell>
          <cell r="K94" t="str">
            <v>LACTALIS</v>
          </cell>
          <cell r="L94" t="str">
            <v>RODRIGO</v>
          </cell>
          <cell r="M94" t="str">
            <v>ALEXANDRO</v>
          </cell>
        </row>
        <row r="95">
          <cell r="B95">
            <v>5302316</v>
          </cell>
          <cell r="C95" t="str">
            <v>ART FINAL ALIMENTOS LTDA</v>
          </cell>
          <cell r="D95">
            <v>7001</v>
          </cell>
          <cell r="E95" t="str">
            <v>0749</v>
          </cell>
          <cell r="F95" t="str">
            <v>C5</v>
          </cell>
          <cell r="G95" t="str">
            <v>SP</v>
          </cell>
          <cell r="H95" t="str">
            <v>DISTRIBUIÇÃO</v>
          </cell>
          <cell r="I95" t="str">
            <v>FOOD SERVICE</v>
          </cell>
          <cell r="J95" t="str">
            <v>FLAC 6</v>
          </cell>
          <cell r="K95" t="str">
            <v>LACTALIS</v>
          </cell>
          <cell r="L95" t="str">
            <v>RODRIGO</v>
          </cell>
          <cell r="M95" t="str">
            <v>ALEXANDRO</v>
          </cell>
        </row>
        <row r="96">
          <cell r="B96">
            <v>5282224</v>
          </cell>
          <cell r="C96" t="str">
            <v>ART IMAGE IND E COM LTDA</v>
          </cell>
          <cell r="D96">
            <v>7001</v>
          </cell>
          <cell r="E96" t="str">
            <v>0749</v>
          </cell>
          <cell r="F96" t="str">
            <v>C5</v>
          </cell>
          <cell r="G96" t="str">
            <v>SP</v>
          </cell>
          <cell r="H96" t="str">
            <v>DISTRIBUIÇÃO</v>
          </cell>
          <cell r="I96" t="str">
            <v>FOOD SERVICE</v>
          </cell>
          <cell r="J96" t="str">
            <v>FLAC 6</v>
          </cell>
          <cell r="K96" t="str">
            <v>LACTALIS</v>
          </cell>
          <cell r="L96" t="str">
            <v>RODRIGO</v>
          </cell>
          <cell r="M96" t="str">
            <v>ALEXANDRO</v>
          </cell>
        </row>
        <row r="97">
          <cell r="B97">
            <v>5190715</v>
          </cell>
          <cell r="C97" t="str">
            <v>ARTE TRIGO INDUSTRIAL LTDA ME</v>
          </cell>
          <cell r="D97">
            <v>3001</v>
          </cell>
          <cell r="E97" t="str">
            <v>0123</v>
          </cell>
          <cell r="F97" t="str">
            <v>C1</v>
          </cell>
          <cell r="G97" t="str">
            <v>GO</v>
          </cell>
          <cell r="H97" t="str">
            <v>DISTRIBUIÇÃO</v>
          </cell>
          <cell r="I97" t="str">
            <v>FOOD SERVICE</v>
          </cell>
          <cell r="J97" t="str">
            <v>CLAUDIO JORGE</v>
          </cell>
          <cell r="K97" t="str">
            <v>ITAMBÉ</v>
          </cell>
          <cell r="L97" t="str">
            <v>RODRIGO</v>
          </cell>
          <cell r="M97" t="str">
            <v>MARCO AURELIO</v>
          </cell>
        </row>
        <row r="98">
          <cell r="B98">
            <v>5329327</v>
          </cell>
          <cell r="C98" t="str">
            <v>ARTENO COMERCIO DE PAES LTDA</v>
          </cell>
          <cell r="D98">
            <v>7001</v>
          </cell>
          <cell r="E98" t="str">
            <v>0749</v>
          </cell>
          <cell r="F98" t="str">
            <v>C5</v>
          </cell>
          <cell r="G98" t="str">
            <v>SP</v>
          </cell>
          <cell r="H98" t="str">
            <v>DISTRIBUIÇÃO</v>
          </cell>
          <cell r="I98" t="str">
            <v>FOOD SERVICE</v>
          </cell>
          <cell r="J98" t="str">
            <v>FLAC 6</v>
          </cell>
          <cell r="K98" t="str">
            <v>LACTALIS</v>
          </cell>
          <cell r="L98" t="str">
            <v>RODRIGO</v>
          </cell>
          <cell r="M98" t="str">
            <v>ALEXANDRO</v>
          </cell>
        </row>
        <row r="99">
          <cell r="B99">
            <v>5043238</v>
          </cell>
          <cell r="C99" t="str">
            <v>ARTPAN COMERCIO DE ALIMENTOS LT</v>
          </cell>
          <cell r="D99">
            <v>3001</v>
          </cell>
          <cell r="E99" t="str">
            <v>0123</v>
          </cell>
          <cell r="F99" t="str">
            <v>C1</v>
          </cell>
          <cell r="G99" t="str">
            <v>MS</v>
          </cell>
          <cell r="H99" t="str">
            <v>DISTRIBUIÇÃO</v>
          </cell>
          <cell r="I99" t="str">
            <v>FOOD SERVICE</v>
          </cell>
          <cell r="J99" t="str">
            <v>CLAUDIO JORGE</v>
          </cell>
          <cell r="K99" t="str">
            <v>ITAMBÉ</v>
          </cell>
          <cell r="L99" t="str">
            <v>RODRIGO</v>
          </cell>
          <cell r="M99" t="str">
            <v>MARCO AURELIO</v>
          </cell>
        </row>
        <row r="100">
          <cell r="B100">
            <v>5310560</v>
          </cell>
          <cell r="C100" t="str">
            <v>ARTPAN COMERCIO DE ALIMENTOS LTDA</v>
          </cell>
          <cell r="D100">
            <v>3001</v>
          </cell>
          <cell r="E100" t="str">
            <v>0123</v>
          </cell>
          <cell r="F100" t="str">
            <v>C1</v>
          </cell>
          <cell r="G100" t="str">
            <v>MS</v>
          </cell>
          <cell r="H100" t="str">
            <v>DISTRIBUIÇÃO</v>
          </cell>
          <cell r="I100" t="str">
            <v>FOOD SERVICE</v>
          </cell>
          <cell r="J100" t="str">
            <v>CLAUDIO JORGE</v>
          </cell>
          <cell r="K100" t="str">
            <v>ITAMBÉ</v>
          </cell>
          <cell r="L100" t="str">
            <v>RODRIGO</v>
          </cell>
          <cell r="M100" t="str">
            <v>MARCO AURELIO</v>
          </cell>
        </row>
        <row r="101">
          <cell r="B101">
            <v>5318912</v>
          </cell>
          <cell r="C101" t="str">
            <v>ASCENSAO COMERCIO DE BOLOS E DOCE</v>
          </cell>
          <cell r="D101">
            <v>7001</v>
          </cell>
          <cell r="E101" t="str">
            <v>0749</v>
          </cell>
          <cell r="F101" t="str">
            <v>C5</v>
          </cell>
          <cell r="G101" t="str">
            <v>SP</v>
          </cell>
          <cell r="H101" t="str">
            <v>DISTRIBUIÇÃO</v>
          </cell>
          <cell r="I101" t="str">
            <v>FOOD SERVICE</v>
          </cell>
          <cell r="J101" t="str">
            <v>FLAC 6</v>
          </cell>
          <cell r="K101" t="str">
            <v>LACTALIS</v>
          </cell>
          <cell r="L101" t="str">
            <v>RODRIGO</v>
          </cell>
          <cell r="M101" t="str">
            <v>ALEXANDRO</v>
          </cell>
        </row>
        <row r="102">
          <cell r="B102">
            <v>5111194</v>
          </cell>
          <cell r="C102" t="str">
            <v>ASSET ATIVIDADES HOTELEIRAS LT</v>
          </cell>
          <cell r="D102">
            <v>7001</v>
          </cell>
          <cell r="E102" t="str">
            <v>0749</v>
          </cell>
          <cell r="F102" t="str">
            <v>C5</v>
          </cell>
          <cell r="G102" t="str">
            <v>SP</v>
          </cell>
          <cell r="H102" t="str">
            <v>DISTRIBUIÇÃO</v>
          </cell>
          <cell r="I102" t="str">
            <v>FOOD SERVICE</v>
          </cell>
          <cell r="J102" t="str">
            <v>FLAC 4</v>
          </cell>
          <cell r="K102" t="str">
            <v>LACTALIS</v>
          </cell>
          <cell r="L102" t="str">
            <v>RODRIGO</v>
          </cell>
          <cell r="M102" t="str">
            <v>ALEXANDRO</v>
          </cell>
        </row>
        <row r="103">
          <cell r="B103">
            <v>5286846</v>
          </cell>
          <cell r="C103" t="str">
            <v>ASSOC FEMININA DE ESTUDOS SOC E UNI</v>
          </cell>
          <cell r="D103">
            <v>7001</v>
          </cell>
          <cell r="E103" t="str">
            <v>0749</v>
          </cell>
          <cell r="F103" t="str">
            <v>C5</v>
          </cell>
          <cell r="G103" t="str">
            <v>SP</v>
          </cell>
          <cell r="H103" t="str">
            <v>DISTRIBUIÇÃO</v>
          </cell>
          <cell r="I103" t="str">
            <v>FOOD SERVICE</v>
          </cell>
          <cell r="J103" t="str">
            <v>FLAC 6</v>
          </cell>
          <cell r="K103" t="str">
            <v>LACTALIS</v>
          </cell>
          <cell r="L103" t="str">
            <v>RODRIGO</v>
          </cell>
          <cell r="M103" t="str">
            <v>ALEXANDRO</v>
          </cell>
        </row>
        <row r="104">
          <cell r="B104">
            <v>5261531</v>
          </cell>
          <cell r="C104" t="str">
            <v>ASSOCIAC BENEF PROJETO POVO DA PERI</v>
          </cell>
          <cell r="D104">
            <v>7001</v>
          </cell>
          <cell r="E104" t="str">
            <v>0749</v>
          </cell>
          <cell r="F104" t="str">
            <v>C5</v>
          </cell>
          <cell r="G104" t="str">
            <v>SP</v>
          </cell>
          <cell r="H104" t="str">
            <v>DISTRIBUIÇÃO</v>
          </cell>
          <cell r="I104" t="str">
            <v>FOOD SERVICE</v>
          </cell>
          <cell r="J104" t="str">
            <v>FLAC 6</v>
          </cell>
          <cell r="K104" t="str">
            <v>LACTALIS</v>
          </cell>
          <cell r="L104" t="str">
            <v>RODRIGO</v>
          </cell>
          <cell r="M104" t="str">
            <v>ALEXANDRO</v>
          </cell>
        </row>
        <row r="105">
          <cell r="B105">
            <v>5127405</v>
          </cell>
          <cell r="C105" t="str">
            <v>ASSOCIACAO ESCOLA GRADUADA DE SP</v>
          </cell>
          <cell r="D105">
            <v>7001</v>
          </cell>
          <cell r="E105" t="str">
            <v>0749</v>
          </cell>
          <cell r="F105" t="str">
            <v>C5</v>
          </cell>
          <cell r="G105" t="str">
            <v>SP</v>
          </cell>
          <cell r="H105" t="str">
            <v>DISTRIBUIÇÃO</v>
          </cell>
          <cell r="I105" t="str">
            <v>FOOD SERVICE</v>
          </cell>
          <cell r="J105" t="str">
            <v>FLAC 6</v>
          </cell>
          <cell r="K105" t="str">
            <v>LACTALIS</v>
          </cell>
          <cell r="L105" t="str">
            <v>RODRIGO</v>
          </cell>
          <cell r="M105" t="str">
            <v>ALEXANDRO</v>
          </cell>
        </row>
        <row r="106">
          <cell r="B106">
            <v>5281095</v>
          </cell>
          <cell r="C106" t="str">
            <v>ASSOCIACAO MET DE ACAO SOCIAL AMAS</v>
          </cell>
          <cell r="D106">
            <v>7001</v>
          </cell>
          <cell r="E106" t="str">
            <v>0749</v>
          </cell>
          <cell r="F106" t="str">
            <v>C5</v>
          </cell>
          <cell r="G106" t="str">
            <v>SP</v>
          </cell>
          <cell r="H106" t="str">
            <v>DISTRIBUIÇÃO</v>
          </cell>
          <cell r="I106" t="str">
            <v>FOOD SERVICE</v>
          </cell>
          <cell r="J106" t="str">
            <v>FLAC 6</v>
          </cell>
          <cell r="K106" t="str">
            <v>LACTALIS</v>
          </cell>
          <cell r="L106" t="str">
            <v>RODRIGO</v>
          </cell>
          <cell r="M106" t="str">
            <v>ALEXANDRO</v>
          </cell>
        </row>
        <row r="107">
          <cell r="B107">
            <v>5217728</v>
          </cell>
          <cell r="C107" t="str">
            <v>ATACADISTA KINGFOOD PROD ALIM L</v>
          </cell>
          <cell r="D107">
            <v>7001</v>
          </cell>
          <cell r="E107" t="str">
            <v>0749</v>
          </cell>
          <cell r="F107" t="str">
            <v>C5</v>
          </cell>
          <cell r="G107" t="str">
            <v>SP</v>
          </cell>
          <cell r="H107" t="str">
            <v>DISTRIBUIÇÃO</v>
          </cell>
          <cell r="I107" t="str">
            <v>FOOD SERVICE</v>
          </cell>
          <cell r="J107" t="str">
            <v>FLAC 1</v>
          </cell>
          <cell r="K107" t="str">
            <v>LACTALIS</v>
          </cell>
          <cell r="L107" t="str">
            <v>RODRIGO</v>
          </cell>
          <cell r="M107" t="str">
            <v>ALEXANDRO</v>
          </cell>
        </row>
        <row r="108">
          <cell r="B108">
            <v>5012643</v>
          </cell>
          <cell r="C108" t="str">
            <v>ATACADISTA SAO PAULO COM E IMP LTDA</v>
          </cell>
          <cell r="D108">
            <v>7001</v>
          </cell>
          <cell r="E108" t="str">
            <v>0749</v>
          </cell>
          <cell r="F108" t="str">
            <v>C5</v>
          </cell>
          <cell r="G108" t="str">
            <v>SP</v>
          </cell>
          <cell r="H108" t="str">
            <v>DISTRIBUIÇÃO</v>
          </cell>
          <cell r="I108" t="str">
            <v>FOOD SERVICE</v>
          </cell>
          <cell r="J108" t="str">
            <v>FLAC 1</v>
          </cell>
          <cell r="K108" t="str">
            <v>LACTALIS</v>
          </cell>
          <cell r="L108" t="str">
            <v>RODRIGO</v>
          </cell>
          <cell r="M108" t="str">
            <v>ALEXANDRO</v>
          </cell>
        </row>
        <row r="109">
          <cell r="B109">
            <v>5020855</v>
          </cell>
          <cell r="C109" t="str">
            <v>ATACAMAX IMPORTADORA DE ALIMENTOS L</v>
          </cell>
          <cell r="D109">
            <v>3001</v>
          </cell>
          <cell r="E109" t="str">
            <v>0127</v>
          </cell>
          <cell r="F109" t="str">
            <v>C1</v>
          </cell>
          <cell r="G109" t="str">
            <v>PE</v>
          </cell>
          <cell r="H109" t="str">
            <v>DISTRIBUIÇÃO</v>
          </cell>
          <cell r="I109" t="str">
            <v>FOOD SERVICE</v>
          </cell>
          <cell r="J109" t="str">
            <v>CLAUDIO JORGE</v>
          </cell>
          <cell r="K109" t="str">
            <v>ITAMBÉ</v>
          </cell>
          <cell r="L109" t="str">
            <v>RODRIGO</v>
          </cell>
          <cell r="M109" t="str">
            <v>VAGO NORDESTE</v>
          </cell>
        </row>
        <row r="110">
          <cell r="B110">
            <v>5301548</v>
          </cell>
          <cell r="C110" t="str">
            <v>ATIPICO BAR EIRELI</v>
          </cell>
          <cell r="D110">
            <v>7001</v>
          </cell>
          <cell r="E110" t="str">
            <v>0749</v>
          </cell>
          <cell r="F110" t="str">
            <v>C5</v>
          </cell>
          <cell r="G110" t="str">
            <v>SP</v>
          </cell>
          <cell r="H110" t="str">
            <v>DISTRIBUIÇÃO</v>
          </cell>
          <cell r="I110" t="str">
            <v>FOOD SERVICE</v>
          </cell>
          <cell r="J110" t="str">
            <v>FLAC 6</v>
          </cell>
          <cell r="K110" t="str">
            <v>LACTALIS</v>
          </cell>
          <cell r="L110" t="str">
            <v>RODRIGO</v>
          </cell>
          <cell r="M110" t="str">
            <v>ALEXANDRO</v>
          </cell>
        </row>
        <row r="111">
          <cell r="B111">
            <v>5191810</v>
          </cell>
          <cell r="C111" t="str">
            <v>ATLANTICA HOTELS INTER BRASIL LTDA</v>
          </cell>
          <cell r="D111">
            <v>7001</v>
          </cell>
          <cell r="E111" t="str">
            <v>0749</v>
          </cell>
          <cell r="F111" t="str">
            <v>C5</v>
          </cell>
          <cell r="G111" t="str">
            <v>SP</v>
          </cell>
          <cell r="H111" t="str">
            <v>DISTRIBUIÇÃO</v>
          </cell>
          <cell r="I111" t="str">
            <v>FOOD SERVICE</v>
          </cell>
          <cell r="J111" t="str">
            <v>FLAC 4</v>
          </cell>
          <cell r="K111" t="str">
            <v>LACTALIS</v>
          </cell>
          <cell r="L111" t="str">
            <v>RODRIGO</v>
          </cell>
          <cell r="M111" t="str">
            <v>ALEXANDRO</v>
          </cell>
        </row>
        <row r="112">
          <cell r="B112">
            <v>5325580</v>
          </cell>
          <cell r="C112" t="str">
            <v>ATLANTICA HOTELS INTER BRASIL LTDA</v>
          </cell>
          <cell r="D112">
            <v>7001</v>
          </cell>
          <cell r="E112" t="str">
            <v>0749</v>
          </cell>
          <cell r="F112" t="str">
            <v>C5</v>
          </cell>
          <cell r="G112" t="str">
            <v>SP</v>
          </cell>
          <cell r="H112" t="str">
            <v>DISTRIBUIÇÃO</v>
          </cell>
          <cell r="I112" t="str">
            <v>FOOD SERVICE</v>
          </cell>
          <cell r="J112" t="str">
            <v>FLAC 2</v>
          </cell>
          <cell r="K112" t="str">
            <v>LACTALIS</v>
          </cell>
          <cell r="L112" t="str">
            <v>RODRIGO</v>
          </cell>
          <cell r="M112" t="str">
            <v>ALEXANDRO</v>
          </cell>
        </row>
        <row r="113">
          <cell r="B113">
            <v>5123633</v>
          </cell>
          <cell r="C113" t="str">
            <v>ATLANTICA HOTELS INTERNATIONAL BRA</v>
          </cell>
          <cell r="D113">
            <v>3001</v>
          </cell>
          <cell r="E113" t="str">
            <v>0122</v>
          </cell>
          <cell r="F113" t="str">
            <v>C1</v>
          </cell>
          <cell r="G113" t="str">
            <v>MG</v>
          </cell>
          <cell r="H113" t="str">
            <v>DISTRIBUIÇÃO</v>
          </cell>
          <cell r="I113" t="str">
            <v>FOOD SERVICE</v>
          </cell>
          <cell r="J113" t="str">
            <v>MARCELO SILVA</v>
          </cell>
          <cell r="K113" t="str">
            <v>ITAMBÉ</v>
          </cell>
          <cell r="L113" t="str">
            <v>RODRIGO</v>
          </cell>
          <cell r="M113" t="str">
            <v>CELIO MARTINS</v>
          </cell>
        </row>
        <row r="114">
          <cell r="B114">
            <v>5185436</v>
          </cell>
          <cell r="C114" t="str">
            <v>ATLANTICO GOLDEN APART HOTEL LTDA</v>
          </cell>
          <cell r="D114">
            <v>7001</v>
          </cell>
          <cell r="E114" t="str">
            <v>0749</v>
          </cell>
          <cell r="F114" t="str">
            <v>C5</v>
          </cell>
          <cell r="G114" t="str">
            <v>SP</v>
          </cell>
          <cell r="H114" t="str">
            <v>DISTRIBUIÇÃO</v>
          </cell>
          <cell r="I114" t="str">
            <v>FOOD SERVICE</v>
          </cell>
          <cell r="J114" t="str">
            <v>FLAC 3</v>
          </cell>
          <cell r="K114" t="str">
            <v>LACTALIS</v>
          </cell>
          <cell r="L114" t="str">
            <v>RODRIGO</v>
          </cell>
          <cell r="M114" t="str">
            <v>ALEXANDRO</v>
          </cell>
        </row>
        <row r="115">
          <cell r="B115">
            <v>5249406</v>
          </cell>
          <cell r="C115" t="str">
            <v>ATLANTICO INN APART HOTEL</v>
          </cell>
          <cell r="D115">
            <v>7001</v>
          </cell>
          <cell r="E115" t="str">
            <v>0749</v>
          </cell>
          <cell r="F115" t="str">
            <v>C5</v>
          </cell>
          <cell r="G115" t="str">
            <v>SP</v>
          </cell>
          <cell r="H115" t="str">
            <v>DISTRIBUIÇÃO</v>
          </cell>
          <cell r="I115" t="str">
            <v>FOOD SERVICE</v>
          </cell>
          <cell r="J115" t="str">
            <v>FLAC 3</v>
          </cell>
          <cell r="K115" t="str">
            <v>LACTALIS</v>
          </cell>
          <cell r="L115" t="str">
            <v>RODRIGO</v>
          </cell>
          <cell r="M115" t="str">
            <v>ALEXANDRO</v>
          </cell>
        </row>
        <row r="116">
          <cell r="B116">
            <v>5172699</v>
          </cell>
          <cell r="C116" t="str">
            <v>ATOS PAN COM DE PROD ALIM EIRELI</v>
          </cell>
          <cell r="D116">
            <v>6001</v>
          </cell>
          <cell r="E116" t="str">
            <v>6125</v>
          </cell>
          <cell r="F116" t="str">
            <v>C1</v>
          </cell>
          <cell r="G116" t="str">
            <v>SP</v>
          </cell>
          <cell r="H116" t="str">
            <v>DISTRIBUIÇÃO</v>
          </cell>
          <cell r="I116" t="str">
            <v>FOOD SERVICE</v>
          </cell>
          <cell r="J116" t="str">
            <v>GUILHERME NASCIMENTO</v>
          </cell>
          <cell r="K116" t="str">
            <v>ITAMBÉ</v>
          </cell>
          <cell r="L116" t="str">
            <v>RODRIGO</v>
          </cell>
          <cell r="M116" t="str">
            <v>ALEXANDRO</v>
          </cell>
        </row>
        <row r="117">
          <cell r="B117">
            <v>5340656</v>
          </cell>
          <cell r="C117" t="str">
            <v>ATRIA PRODUTOS ALIMENTICIOS LTD</v>
          </cell>
          <cell r="D117">
            <v>6001</v>
          </cell>
          <cell r="E117" t="str">
            <v>6125</v>
          </cell>
          <cell r="F117" t="str">
            <v>C1</v>
          </cell>
          <cell r="G117" t="str">
            <v>SP</v>
          </cell>
          <cell r="H117" t="str">
            <v>DISTRIBUIÇÃO</v>
          </cell>
          <cell r="I117" t="str">
            <v>FOOD SERVICE</v>
          </cell>
          <cell r="J117" t="str">
            <v>GUILHERME NASCIMENTO</v>
          </cell>
          <cell r="K117" t="str">
            <v>ITAMBÉ</v>
          </cell>
          <cell r="L117" t="str">
            <v>RODRIGO</v>
          </cell>
          <cell r="M117" t="str">
            <v>ALEXANDRO</v>
          </cell>
        </row>
        <row r="118">
          <cell r="B118">
            <v>5288963</v>
          </cell>
          <cell r="C118" t="str">
            <v>ATRIO HOTEIS SA</v>
          </cell>
          <cell r="D118">
            <v>7001</v>
          </cell>
          <cell r="E118" t="str">
            <v>0749</v>
          </cell>
          <cell r="F118" t="str">
            <v>C5</v>
          </cell>
          <cell r="G118" t="str">
            <v>SP</v>
          </cell>
          <cell r="H118" t="str">
            <v>DISTRIBUIÇÃO</v>
          </cell>
          <cell r="I118" t="str">
            <v>FOOD SERVICE</v>
          </cell>
          <cell r="J118" t="str">
            <v>FLAC 2</v>
          </cell>
          <cell r="K118" t="str">
            <v>LACTALIS</v>
          </cell>
          <cell r="L118" t="str">
            <v>RODRIGO</v>
          </cell>
          <cell r="M118" t="str">
            <v>ALEXANDRO</v>
          </cell>
        </row>
        <row r="119">
          <cell r="B119">
            <v>5221085</v>
          </cell>
          <cell r="C119" t="str">
            <v>AUGURI SORVETES EIRELI</v>
          </cell>
          <cell r="D119">
            <v>7001</v>
          </cell>
          <cell r="E119" t="str">
            <v>0749</v>
          </cell>
          <cell r="F119" t="str">
            <v>C5</v>
          </cell>
          <cell r="G119" t="str">
            <v>SP</v>
          </cell>
          <cell r="H119" t="str">
            <v>DISTRIBUIÇÃO</v>
          </cell>
          <cell r="I119" t="str">
            <v>FOOD SERVICE</v>
          </cell>
          <cell r="J119" t="str">
            <v>FLAC 3</v>
          </cell>
          <cell r="K119" t="str">
            <v>LACTALIS</v>
          </cell>
          <cell r="L119" t="str">
            <v>RODRIGO</v>
          </cell>
          <cell r="M119" t="str">
            <v>ALEXANDRO</v>
          </cell>
        </row>
        <row r="120">
          <cell r="B120">
            <v>5288872</v>
          </cell>
          <cell r="C120" t="str">
            <v>AZEDINHA COMERCIO DE ALIM LTDA</v>
          </cell>
          <cell r="D120">
            <v>7001</v>
          </cell>
          <cell r="E120" t="str">
            <v>0749</v>
          </cell>
          <cell r="F120" t="str">
            <v>C5</v>
          </cell>
          <cell r="G120" t="str">
            <v>SP</v>
          </cell>
          <cell r="H120" t="str">
            <v>DISTRIBUIÇÃO</v>
          </cell>
          <cell r="I120" t="str">
            <v>FOOD SERVICE</v>
          </cell>
          <cell r="J120" t="str">
            <v>FLAC 6</v>
          </cell>
          <cell r="K120" t="str">
            <v>LACTALIS</v>
          </cell>
          <cell r="L120" t="str">
            <v>RODRIGO</v>
          </cell>
          <cell r="M120" t="str">
            <v>ALEXANDRO</v>
          </cell>
        </row>
        <row r="121">
          <cell r="B121">
            <v>5273958</v>
          </cell>
          <cell r="C121" t="str">
            <v>B E T COMERCIO DE ALIMENTOS E BEB</v>
          </cell>
          <cell r="D121">
            <v>7001</v>
          </cell>
          <cell r="E121" t="str">
            <v>0749</v>
          </cell>
          <cell r="F121" t="str">
            <v>C5</v>
          </cell>
          <cell r="G121" t="str">
            <v>SP</v>
          </cell>
          <cell r="H121" t="str">
            <v>DISTRIBUIÇÃO</v>
          </cell>
          <cell r="I121" t="str">
            <v>FOOD SERVICE</v>
          </cell>
          <cell r="J121" t="str">
            <v>FLAC 2</v>
          </cell>
          <cell r="K121" t="str">
            <v>LACTALIS</v>
          </cell>
          <cell r="L121" t="str">
            <v>RODRIGO</v>
          </cell>
          <cell r="M121" t="str">
            <v>ALEXANDRO</v>
          </cell>
        </row>
        <row r="122">
          <cell r="B122">
            <v>5176053</v>
          </cell>
          <cell r="C122" t="str">
            <v>BAKELS BRASIL INGREDIENT PARA P</v>
          </cell>
          <cell r="D122">
            <v>6001</v>
          </cell>
          <cell r="E122" t="str">
            <v>6125</v>
          </cell>
          <cell r="F122" t="str">
            <v>C1</v>
          </cell>
          <cell r="G122" t="str">
            <v>SP</v>
          </cell>
          <cell r="H122" t="str">
            <v>INGREDIENTS</v>
          </cell>
          <cell r="I122" t="str">
            <v>INGREDIENTS</v>
          </cell>
          <cell r="J122" t="str">
            <v>TATIANA NITTA</v>
          </cell>
          <cell r="K122" t="str">
            <v>ITAMBÉ</v>
          </cell>
          <cell r="L122" t="str">
            <v>MAURICIO</v>
          </cell>
          <cell r="M122" t="str">
            <v>TATIANA NITTA</v>
          </cell>
        </row>
        <row r="123">
          <cell r="B123">
            <v>5176053</v>
          </cell>
          <cell r="C123" t="str">
            <v>BAKELS BRASIL INGREDIENT PARA P</v>
          </cell>
          <cell r="D123">
            <v>4001</v>
          </cell>
          <cell r="E123" t="str">
            <v>0437</v>
          </cell>
          <cell r="F123" t="str">
            <v>C1</v>
          </cell>
          <cell r="G123" t="str">
            <v>SP</v>
          </cell>
          <cell r="H123" t="str">
            <v>INGREDIENTS</v>
          </cell>
          <cell r="I123" t="str">
            <v>INGREDIENTS</v>
          </cell>
          <cell r="J123" t="str">
            <v>TATIANA NITTA</v>
          </cell>
          <cell r="K123" t="str">
            <v>LACTALIS</v>
          </cell>
          <cell r="L123" t="str">
            <v>MAURICIO</v>
          </cell>
          <cell r="M123" t="str">
            <v>TATIANA NITTA</v>
          </cell>
        </row>
        <row r="124">
          <cell r="B124">
            <v>5337552</v>
          </cell>
          <cell r="C124" t="str">
            <v>BANACO DISTRIBUIDORA E MERCADO</v>
          </cell>
          <cell r="D124">
            <v>7001</v>
          </cell>
          <cell r="E124" t="str">
            <v>0749</v>
          </cell>
          <cell r="F124" t="str">
            <v>C5</v>
          </cell>
          <cell r="G124" t="str">
            <v>SP</v>
          </cell>
          <cell r="H124" t="str">
            <v>DISTRIBUIÇÃO</v>
          </cell>
          <cell r="I124" t="str">
            <v>FOOD SERVICE</v>
          </cell>
          <cell r="J124" t="str">
            <v>FLAC 4</v>
          </cell>
          <cell r="K124" t="str">
            <v>LACTALIS</v>
          </cell>
          <cell r="L124" t="str">
            <v>RODRIGO</v>
          </cell>
          <cell r="M124" t="str">
            <v>ALEXANDRO</v>
          </cell>
        </row>
        <row r="125">
          <cell r="B125">
            <v>5325640</v>
          </cell>
          <cell r="C125" t="str">
            <v>BANANA COM DE ALIM E BEBIDAS LTDA</v>
          </cell>
          <cell r="D125">
            <v>7001</v>
          </cell>
          <cell r="E125" t="str">
            <v>0749</v>
          </cell>
          <cell r="F125" t="str">
            <v>C5</v>
          </cell>
          <cell r="G125" t="str">
            <v>SP</v>
          </cell>
          <cell r="H125" t="str">
            <v>DISTRIBUIÇÃO</v>
          </cell>
          <cell r="I125" t="str">
            <v>FOOD SERVICE</v>
          </cell>
          <cell r="J125" t="str">
            <v>FLAC 3</v>
          </cell>
          <cell r="K125" t="str">
            <v>LACTALIS</v>
          </cell>
          <cell r="L125" t="str">
            <v>RODRIGO</v>
          </cell>
          <cell r="M125" t="str">
            <v>ALEXANDRO</v>
          </cell>
        </row>
        <row r="126">
          <cell r="B126">
            <v>5274522</v>
          </cell>
          <cell r="C126" t="str">
            <v>BANCO DE INV CREDIT SUISSE BRASIL S</v>
          </cell>
          <cell r="D126">
            <v>7001</v>
          </cell>
          <cell r="E126" t="str">
            <v>0749</v>
          </cell>
          <cell r="F126" t="str">
            <v>C5</v>
          </cell>
          <cell r="G126" t="str">
            <v>SP</v>
          </cell>
          <cell r="H126" t="str">
            <v>DISTRIBUIÇÃO</v>
          </cell>
          <cell r="I126" t="str">
            <v>FOOD SERVICE</v>
          </cell>
          <cell r="J126" t="str">
            <v>FLAC 2</v>
          </cell>
          <cell r="K126" t="str">
            <v>LACTALIS</v>
          </cell>
          <cell r="L126" t="str">
            <v>RODRIGO</v>
          </cell>
          <cell r="M126" t="str">
            <v>ALEXANDRO</v>
          </cell>
        </row>
        <row r="127">
          <cell r="B127">
            <v>5250969</v>
          </cell>
          <cell r="C127" t="str">
            <v>BAR DO ALEMAO DE SP CONSULAD DE ITU</v>
          </cell>
          <cell r="D127">
            <v>7001</v>
          </cell>
          <cell r="E127" t="str">
            <v>0749</v>
          </cell>
          <cell r="F127" t="str">
            <v>C5</v>
          </cell>
          <cell r="G127" t="str">
            <v>SP</v>
          </cell>
          <cell r="H127" t="str">
            <v>DISTRIBUIÇÃO</v>
          </cell>
          <cell r="I127" t="str">
            <v>FOOD SERVICE</v>
          </cell>
          <cell r="J127" t="str">
            <v>FLAC 2</v>
          </cell>
          <cell r="K127" t="str">
            <v>LACTALIS</v>
          </cell>
          <cell r="L127" t="str">
            <v>RODRIGO</v>
          </cell>
          <cell r="M127" t="str">
            <v>ALEXANDRO</v>
          </cell>
        </row>
        <row r="128">
          <cell r="B128">
            <v>5286042</v>
          </cell>
          <cell r="C128" t="str">
            <v>BAR E LANCHES SERINGUEIRAS LTDA</v>
          </cell>
          <cell r="D128">
            <v>7001</v>
          </cell>
          <cell r="E128" t="str">
            <v>0749</v>
          </cell>
          <cell r="F128" t="str">
            <v>C5</v>
          </cell>
          <cell r="G128" t="str">
            <v>SP</v>
          </cell>
          <cell r="H128" t="str">
            <v>DISTRIBUIÇÃO</v>
          </cell>
          <cell r="I128" t="str">
            <v>FOOD SERVICE</v>
          </cell>
          <cell r="J128" t="str">
            <v>FLAC 3</v>
          </cell>
          <cell r="K128" t="str">
            <v>LACTALIS</v>
          </cell>
          <cell r="L128" t="str">
            <v>RODRIGO</v>
          </cell>
          <cell r="M128" t="str">
            <v>ALEXANDRO</v>
          </cell>
        </row>
        <row r="129">
          <cell r="B129">
            <v>5282678</v>
          </cell>
          <cell r="C129" t="str">
            <v>BAR E LANCHES SILVEIRAS</v>
          </cell>
          <cell r="D129">
            <v>7001</v>
          </cell>
          <cell r="E129" t="str">
            <v>0749</v>
          </cell>
          <cell r="F129" t="str">
            <v>C5</v>
          </cell>
          <cell r="G129" t="str">
            <v>SP</v>
          </cell>
          <cell r="H129" t="str">
            <v>DISTRIBUIÇÃO</v>
          </cell>
          <cell r="I129" t="str">
            <v>FOOD SERVICE</v>
          </cell>
          <cell r="J129" t="str">
            <v>FLAC 6</v>
          </cell>
          <cell r="K129" t="str">
            <v>LACTALIS</v>
          </cell>
          <cell r="L129" t="str">
            <v>RODRIGO</v>
          </cell>
          <cell r="M129" t="str">
            <v>ALEXANDRO</v>
          </cell>
        </row>
        <row r="130">
          <cell r="B130">
            <v>5320341</v>
          </cell>
          <cell r="C130" t="str">
            <v>BAR E RESTAURANTE BEIRUTE LTDA</v>
          </cell>
          <cell r="D130">
            <v>7001</v>
          </cell>
          <cell r="E130" t="str">
            <v>0749</v>
          </cell>
          <cell r="F130" t="str">
            <v>C5</v>
          </cell>
          <cell r="G130" t="str">
            <v>SP</v>
          </cell>
          <cell r="H130" t="str">
            <v>DISTRIBUIÇÃO</v>
          </cell>
          <cell r="I130" t="str">
            <v>FOOD SERVICE</v>
          </cell>
          <cell r="J130" t="str">
            <v>FLAC 4</v>
          </cell>
          <cell r="K130" t="str">
            <v>LACTALIS</v>
          </cell>
          <cell r="L130" t="str">
            <v>RODRIGO</v>
          </cell>
          <cell r="M130" t="str">
            <v>ALEXANDRO</v>
          </cell>
        </row>
        <row r="131">
          <cell r="B131">
            <v>5278420</v>
          </cell>
          <cell r="C131" t="str">
            <v>BAR REST LEISHE LTDA ME</v>
          </cell>
          <cell r="D131">
            <v>7001</v>
          </cell>
          <cell r="E131" t="str">
            <v>0749</v>
          </cell>
          <cell r="F131" t="str">
            <v>C5</v>
          </cell>
          <cell r="G131" t="str">
            <v>SP</v>
          </cell>
          <cell r="H131" t="str">
            <v>DISTRIBUIÇÃO</v>
          </cell>
          <cell r="I131" t="str">
            <v>FOOD SERVICE</v>
          </cell>
          <cell r="J131" t="str">
            <v>FLAC 4</v>
          </cell>
          <cell r="K131" t="str">
            <v>LACTALIS</v>
          </cell>
          <cell r="L131" t="str">
            <v>RODRIGO</v>
          </cell>
          <cell r="M131" t="str">
            <v>ALEXANDRO</v>
          </cell>
        </row>
        <row r="132">
          <cell r="B132">
            <v>5256555</v>
          </cell>
          <cell r="C132" t="str">
            <v>BARRA FUNDA HOTELARIA LTDA</v>
          </cell>
          <cell r="D132">
            <v>7001</v>
          </cell>
          <cell r="E132" t="str">
            <v>0749</v>
          </cell>
          <cell r="F132" t="str">
            <v>C5</v>
          </cell>
          <cell r="G132" t="str">
            <v>SP</v>
          </cell>
          <cell r="H132" t="str">
            <v>DISTRIBUIÇÃO</v>
          </cell>
          <cell r="I132" t="str">
            <v>FOOD SERVICE</v>
          </cell>
          <cell r="J132" t="str">
            <v>FLAC 6</v>
          </cell>
          <cell r="K132" t="str">
            <v>LACTALIS</v>
          </cell>
          <cell r="L132" t="str">
            <v>RODRIGO</v>
          </cell>
          <cell r="M132" t="str">
            <v>ALEXANDRO</v>
          </cell>
        </row>
        <row r="133">
          <cell r="B133">
            <v>5260909</v>
          </cell>
          <cell r="C133" t="str">
            <v>BASEL LACTEOS SA</v>
          </cell>
          <cell r="D133">
            <v>3001</v>
          </cell>
          <cell r="E133" t="str">
            <v>0122</v>
          </cell>
          <cell r="F133" t="str">
            <v>C1</v>
          </cell>
          <cell r="G133" t="str">
            <v>MG</v>
          </cell>
          <cell r="H133" t="str">
            <v>INGREDIENTS</v>
          </cell>
          <cell r="I133" t="str">
            <v>INGREDIENTS</v>
          </cell>
          <cell r="J133" t="str">
            <v>HENRIQUE FERREIRA</v>
          </cell>
          <cell r="K133" t="str">
            <v>ITAMBÉ</v>
          </cell>
          <cell r="L133" t="str">
            <v>MAURICIO</v>
          </cell>
          <cell r="M133" t="str">
            <v>JOEL</v>
          </cell>
        </row>
        <row r="134">
          <cell r="B134">
            <v>5009420</v>
          </cell>
          <cell r="C134" t="str">
            <v>BASF SA</v>
          </cell>
          <cell r="D134">
            <v>6001</v>
          </cell>
          <cell r="E134" t="str">
            <v>6125</v>
          </cell>
          <cell r="F134" t="str">
            <v>C1</v>
          </cell>
          <cell r="G134" t="str">
            <v>SP</v>
          </cell>
          <cell r="H134" t="str">
            <v>INGREDIENTS</v>
          </cell>
          <cell r="I134" t="str">
            <v>INGREDIENTS</v>
          </cell>
          <cell r="J134" t="str">
            <v>HENRIQUE FERREIRA</v>
          </cell>
          <cell r="K134" t="str">
            <v>ITAMBÉ</v>
          </cell>
          <cell r="L134" t="str">
            <v>MAURICIO</v>
          </cell>
          <cell r="M134" t="str">
            <v>JOEL</v>
          </cell>
        </row>
        <row r="135">
          <cell r="B135">
            <v>5208856</v>
          </cell>
          <cell r="C135" t="str">
            <v>BATISTA E IZEPE LTDA</v>
          </cell>
          <cell r="D135">
            <v>3001</v>
          </cell>
          <cell r="E135" t="str">
            <v>0126</v>
          </cell>
          <cell r="F135" t="str">
            <v>C1</v>
          </cell>
          <cell r="G135" t="str">
            <v>PR</v>
          </cell>
          <cell r="H135" t="str">
            <v>INGREDIENTS</v>
          </cell>
          <cell r="I135" t="str">
            <v>INGREDIENTS</v>
          </cell>
          <cell r="J135" t="str">
            <v>DUAS RODAS</v>
          </cell>
          <cell r="K135" t="str">
            <v>ITAMBÉ</v>
          </cell>
          <cell r="L135" t="str">
            <v>MAURICIO</v>
          </cell>
          <cell r="M135" t="str">
            <v>MARCELO</v>
          </cell>
        </row>
        <row r="136">
          <cell r="B136">
            <v>5274577</v>
          </cell>
          <cell r="C136" t="str">
            <v>BELLA BOLOS FINOS LTDA</v>
          </cell>
          <cell r="D136">
            <v>7001</v>
          </cell>
          <cell r="E136" t="str">
            <v>0749</v>
          </cell>
          <cell r="F136" t="str">
            <v>C5</v>
          </cell>
          <cell r="G136" t="str">
            <v>SP</v>
          </cell>
          <cell r="H136" t="str">
            <v>DISTRIBUIÇÃO</v>
          </cell>
          <cell r="I136" t="str">
            <v>FOOD SERVICE</v>
          </cell>
          <cell r="J136" t="str">
            <v>FLAC 6</v>
          </cell>
          <cell r="K136" t="str">
            <v>LACTALIS</v>
          </cell>
          <cell r="L136" t="str">
            <v>RODRIGO</v>
          </cell>
          <cell r="M136" t="str">
            <v>ALEXANDRO</v>
          </cell>
        </row>
        <row r="137">
          <cell r="B137">
            <v>5298021</v>
          </cell>
          <cell r="C137" t="str">
            <v>BELLI GOURMET COMERCIO DE BOLOS E S</v>
          </cell>
          <cell r="D137">
            <v>7001</v>
          </cell>
          <cell r="E137" t="str">
            <v>0749</v>
          </cell>
          <cell r="F137" t="str">
            <v>C5</v>
          </cell>
          <cell r="G137" t="str">
            <v>SP</v>
          </cell>
          <cell r="H137" t="str">
            <v>DISTRIBUIÇÃO</v>
          </cell>
          <cell r="I137" t="str">
            <v>FOOD SERVICE</v>
          </cell>
          <cell r="J137" t="str">
            <v>FLAC 2</v>
          </cell>
          <cell r="K137" t="str">
            <v>LACTALIS</v>
          </cell>
          <cell r="L137" t="str">
            <v>RODRIGO</v>
          </cell>
          <cell r="M137" t="str">
            <v>ALEXANDRO</v>
          </cell>
        </row>
        <row r="138">
          <cell r="B138">
            <v>5235438</v>
          </cell>
          <cell r="C138" t="str">
            <v>BEM ME QUER LANCHES LTDA</v>
          </cell>
          <cell r="D138">
            <v>7001</v>
          </cell>
          <cell r="E138" t="str">
            <v>0749</v>
          </cell>
          <cell r="F138" t="str">
            <v>C5</v>
          </cell>
          <cell r="G138" t="str">
            <v>SP</v>
          </cell>
          <cell r="H138" t="str">
            <v>DISTRIBUIÇÃO</v>
          </cell>
          <cell r="I138" t="str">
            <v>FOOD SERVICE</v>
          </cell>
          <cell r="J138" t="str">
            <v>FLAC 2</v>
          </cell>
          <cell r="K138" t="str">
            <v>LACTALIS</v>
          </cell>
          <cell r="L138" t="str">
            <v>RODRIGO</v>
          </cell>
          <cell r="M138" t="str">
            <v>ALEXANDRO</v>
          </cell>
        </row>
        <row r="139">
          <cell r="B139">
            <v>5235440</v>
          </cell>
          <cell r="C139" t="str">
            <v>BEM QUER LANCHES LTDA</v>
          </cell>
          <cell r="D139">
            <v>7001</v>
          </cell>
          <cell r="E139" t="str">
            <v>0749</v>
          </cell>
          <cell r="F139" t="str">
            <v>C5</v>
          </cell>
          <cell r="G139" t="str">
            <v>SP</v>
          </cell>
          <cell r="H139" t="str">
            <v>DISTRIBUIÇÃO</v>
          </cell>
          <cell r="I139" t="str">
            <v>FOOD SERVICE</v>
          </cell>
          <cell r="J139" t="str">
            <v>FLAC 2</v>
          </cell>
          <cell r="K139" t="str">
            <v>LACTALIS</v>
          </cell>
          <cell r="L139" t="str">
            <v>RODRIGO</v>
          </cell>
          <cell r="M139" t="str">
            <v>ALEXANDRO</v>
          </cell>
        </row>
        <row r="140">
          <cell r="B140">
            <v>5335146</v>
          </cell>
          <cell r="C140" t="str">
            <v>BERRY S INDUSTRIA DE SORVETES L</v>
          </cell>
          <cell r="D140">
            <v>3001</v>
          </cell>
          <cell r="E140" t="str">
            <v>0122</v>
          </cell>
          <cell r="F140" t="str">
            <v>C1</v>
          </cell>
          <cell r="G140" t="str">
            <v>MG</v>
          </cell>
          <cell r="H140" t="str">
            <v>INGREDIENTS</v>
          </cell>
          <cell r="I140" t="str">
            <v>INGREDIENTS</v>
          </cell>
          <cell r="J140" t="str">
            <v>HENRIQUE FERREIRA</v>
          </cell>
          <cell r="K140" t="str">
            <v>ITAMBÉ</v>
          </cell>
          <cell r="L140" t="str">
            <v>MAURICIO</v>
          </cell>
          <cell r="M140" t="str">
            <v>JOEL</v>
          </cell>
        </row>
        <row r="141">
          <cell r="B141">
            <v>5186822</v>
          </cell>
          <cell r="C141" t="str">
            <v>BERTINI INDUSTRIA E COMERCIO DE</v>
          </cell>
          <cell r="D141">
            <v>3001</v>
          </cell>
          <cell r="E141" t="str">
            <v>0028</v>
          </cell>
          <cell r="F141" t="str">
            <v>C1</v>
          </cell>
          <cell r="G141" t="str">
            <v>PR</v>
          </cell>
          <cell r="H141" t="str">
            <v>INGREDIENTS</v>
          </cell>
          <cell r="I141" t="str">
            <v>INGREDIENTS</v>
          </cell>
          <cell r="J141" t="str">
            <v>DUAS RODAS</v>
          </cell>
          <cell r="K141" t="str">
            <v>ITAMBÉ</v>
          </cell>
          <cell r="L141" t="str">
            <v>MAURICIO</v>
          </cell>
          <cell r="M141" t="str">
            <v>MARCELO</v>
          </cell>
        </row>
        <row r="142">
          <cell r="B142">
            <v>5330471</v>
          </cell>
          <cell r="C142" t="str">
            <v>BES COFFEE DESSERTS LTDA</v>
          </cell>
          <cell r="D142">
            <v>7001</v>
          </cell>
          <cell r="E142" t="str">
            <v>0749</v>
          </cell>
          <cell r="F142" t="str">
            <v>C5</v>
          </cell>
          <cell r="G142" t="str">
            <v>SP</v>
          </cell>
          <cell r="H142" t="str">
            <v>DISTRIBUIÇÃO</v>
          </cell>
          <cell r="I142" t="str">
            <v>FOOD SERVICE</v>
          </cell>
          <cell r="J142" t="str">
            <v>FLAC 2</v>
          </cell>
          <cell r="K142" t="str">
            <v>LACTALIS</v>
          </cell>
          <cell r="L142" t="str">
            <v>RODRIGO</v>
          </cell>
          <cell r="M142" t="str">
            <v>ALEXANDRO</v>
          </cell>
        </row>
        <row r="143">
          <cell r="B143">
            <v>5341209</v>
          </cell>
          <cell r="C143" t="str">
            <v>BEV ALIMENTOS E BEBIDAS LTDA</v>
          </cell>
          <cell r="D143">
            <v>7001</v>
          </cell>
          <cell r="E143" t="str">
            <v>0749</v>
          </cell>
          <cell r="F143" t="str">
            <v>C5</v>
          </cell>
          <cell r="G143" t="str">
            <v>SP</v>
          </cell>
          <cell r="H143" t="str">
            <v>DISTRIBUIÇÃO</v>
          </cell>
          <cell r="I143" t="str">
            <v>FOOD SERVICE</v>
          </cell>
          <cell r="J143" t="str">
            <v>FLAC 3</v>
          </cell>
          <cell r="K143" t="str">
            <v>LACTALIS</v>
          </cell>
          <cell r="L143" t="str">
            <v>RODRIGO</v>
          </cell>
          <cell r="M143" t="str">
            <v>ALEXANDRO</v>
          </cell>
        </row>
        <row r="144">
          <cell r="B144">
            <v>5194641</v>
          </cell>
          <cell r="C144" t="str">
            <v>BEVERAGER EQUIPAMENTOS E BEBIDA</v>
          </cell>
          <cell r="D144">
            <v>3001</v>
          </cell>
          <cell r="E144" t="str">
            <v>0122</v>
          </cell>
          <cell r="F144" t="str">
            <v>C1</v>
          </cell>
          <cell r="G144" t="str">
            <v>MG</v>
          </cell>
          <cell r="H144" t="str">
            <v>INGREDIENTS</v>
          </cell>
          <cell r="I144" t="str">
            <v>INGREDIENTS</v>
          </cell>
          <cell r="J144" t="str">
            <v>HENRIQUE FERREIRA</v>
          </cell>
          <cell r="K144" t="str">
            <v>ITAMBÉ</v>
          </cell>
          <cell r="L144" t="str">
            <v>MAURICIO</v>
          </cell>
          <cell r="M144" t="str">
            <v>JOEL</v>
          </cell>
        </row>
        <row r="145">
          <cell r="B145">
            <v>5192123</v>
          </cell>
          <cell r="C145" t="str">
            <v>BFR DE MENDONCA IND E COM DE C EIRE</v>
          </cell>
          <cell r="D145">
            <v>3001</v>
          </cell>
          <cell r="E145" t="str">
            <v>0127</v>
          </cell>
          <cell r="F145" t="str">
            <v>C1</v>
          </cell>
          <cell r="G145" t="str">
            <v>PE</v>
          </cell>
          <cell r="H145" t="str">
            <v>DISTRIBUIÇÃO</v>
          </cell>
          <cell r="I145" t="str">
            <v>FOOD SERVICE</v>
          </cell>
          <cell r="J145" t="str">
            <v>CLAUDIO JORGE</v>
          </cell>
          <cell r="K145" t="str">
            <v>ITAMBÉ</v>
          </cell>
          <cell r="L145" t="str">
            <v>RODRIGO</v>
          </cell>
          <cell r="M145" t="str">
            <v>VAGO NORDESTE</v>
          </cell>
        </row>
        <row r="146">
          <cell r="B146">
            <v>5177629</v>
          </cell>
          <cell r="C146" t="str">
            <v>BFS DISTRIB DE PRODUT ALIMENTIC</v>
          </cell>
          <cell r="D146">
            <v>3001</v>
          </cell>
          <cell r="E146" t="str">
            <v>0127</v>
          </cell>
          <cell r="F146" t="str">
            <v>C1</v>
          </cell>
          <cell r="G146" t="str">
            <v>BA</v>
          </cell>
          <cell r="H146" t="str">
            <v>DISTRIBUIÇÃO</v>
          </cell>
          <cell r="I146" t="str">
            <v>FOOD SERVICE</v>
          </cell>
          <cell r="J146" t="str">
            <v xml:space="preserve">KARIS FOOD / LUIZ </v>
          </cell>
          <cell r="K146" t="str">
            <v>ITAMBÉ</v>
          </cell>
          <cell r="L146" t="str">
            <v>RODRIGO</v>
          </cell>
          <cell r="M146" t="str">
            <v>VAGO NORDESTE</v>
          </cell>
        </row>
        <row r="147">
          <cell r="B147">
            <v>5234801</v>
          </cell>
          <cell r="C147" t="str">
            <v>BIANCA SOUZA PAES BOLOS FIT</v>
          </cell>
          <cell r="D147">
            <v>6001</v>
          </cell>
          <cell r="E147" t="str">
            <v>6125</v>
          </cell>
          <cell r="F147" t="str">
            <v>C1</v>
          </cell>
          <cell r="G147" t="str">
            <v>SP</v>
          </cell>
          <cell r="H147" t="str">
            <v>DISTRIBUIÇÃO</v>
          </cell>
          <cell r="I147" t="str">
            <v>FOOD SERVICE</v>
          </cell>
          <cell r="J147" t="str">
            <v>ALEXANDRO RODRIGUES</v>
          </cell>
          <cell r="K147" t="str">
            <v>ITAMBÉ</v>
          </cell>
          <cell r="L147" t="str">
            <v>RODRIGO</v>
          </cell>
          <cell r="M147" t="str">
            <v>ALEXANDRO</v>
          </cell>
        </row>
        <row r="148">
          <cell r="B148">
            <v>5019640</v>
          </cell>
          <cell r="C148" t="str">
            <v>BIG CHURROS DE PIRACICABA LTDA</v>
          </cell>
          <cell r="D148">
            <v>6001</v>
          </cell>
          <cell r="E148" t="str">
            <v>6125</v>
          </cell>
          <cell r="F148" t="str">
            <v>C1</v>
          </cell>
          <cell r="G148" t="str">
            <v>SP</v>
          </cell>
          <cell r="H148" t="str">
            <v>INGREDIENTS</v>
          </cell>
          <cell r="I148" t="str">
            <v>INGREDIENTS</v>
          </cell>
          <cell r="J148" t="str">
            <v>HENRIQUE FERREIRA</v>
          </cell>
          <cell r="K148" t="str">
            <v>ITAMBÉ</v>
          </cell>
          <cell r="L148" t="str">
            <v>MAURICIO</v>
          </cell>
          <cell r="M148" t="str">
            <v>JOEL</v>
          </cell>
        </row>
        <row r="149">
          <cell r="B149">
            <v>5000443</v>
          </cell>
          <cell r="C149" t="str">
            <v>BIG TE LANCHES LTDA ME</v>
          </cell>
          <cell r="D149">
            <v>3001</v>
          </cell>
          <cell r="E149" t="str">
            <v>0122</v>
          </cell>
          <cell r="F149" t="str">
            <v>C1</v>
          </cell>
          <cell r="G149" t="str">
            <v>MG</v>
          </cell>
          <cell r="H149" t="str">
            <v>INGREDIENTS</v>
          </cell>
          <cell r="I149" t="str">
            <v>INGREDIENTS</v>
          </cell>
          <cell r="J149" t="str">
            <v>HENRIQUE FERREIRA</v>
          </cell>
          <cell r="K149" t="str">
            <v>ITAMBÉ</v>
          </cell>
          <cell r="L149" t="str">
            <v>MAURICIO</v>
          </cell>
          <cell r="M149" t="str">
            <v>JOEL</v>
          </cell>
        </row>
        <row r="150">
          <cell r="B150">
            <v>5111905</v>
          </cell>
          <cell r="C150" t="str">
            <v>BIMBETTO ALIMENTOS LTDA</v>
          </cell>
          <cell r="D150">
            <v>3001</v>
          </cell>
          <cell r="E150" t="str">
            <v>0126</v>
          </cell>
          <cell r="F150" t="str">
            <v>C1</v>
          </cell>
          <cell r="G150" t="str">
            <v>PR</v>
          </cell>
          <cell r="H150" t="str">
            <v>DISTRIBUIÇÃO</v>
          </cell>
          <cell r="I150" t="str">
            <v>FOOD SERVICE</v>
          </cell>
          <cell r="J150" t="str">
            <v>ANTÔNIO SOUZA</v>
          </cell>
          <cell r="K150" t="str">
            <v>ITAMBÉ</v>
          </cell>
          <cell r="L150" t="str">
            <v>RODRIGO</v>
          </cell>
          <cell r="M150" t="str">
            <v>VAGO SUL</v>
          </cell>
        </row>
        <row r="151">
          <cell r="B151">
            <v>5337942</v>
          </cell>
          <cell r="C151" t="str">
            <v>BIOCAMP LABORATORIOS LT</v>
          </cell>
          <cell r="D151">
            <v>4001</v>
          </cell>
          <cell r="E151" t="str">
            <v>0455</v>
          </cell>
          <cell r="F151" t="str">
            <v>C1</v>
          </cell>
          <cell r="G151" t="str">
            <v>SP</v>
          </cell>
          <cell r="H151" t="str">
            <v>INGREDIENTS</v>
          </cell>
          <cell r="I151" t="str">
            <v>INGREDIENTS</v>
          </cell>
          <cell r="J151" t="str">
            <v>MARCELO RODRIGUES</v>
          </cell>
          <cell r="K151" t="str">
            <v>LACTALIS</v>
          </cell>
          <cell r="L151" t="str">
            <v>MAURICIO</v>
          </cell>
          <cell r="M151" t="str">
            <v>MARCELO</v>
          </cell>
        </row>
        <row r="152">
          <cell r="B152">
            <v>5337375</v>
          </cell>
          <cell r="C152" t="str">
            <v>BISCOTTINI &amp; PANI DI FIORE LTDA</v>
          </cell>
          <cell r="D152">
            <v>7001</v>
          </cell>
          <cell r="E152" t="str">
            <v>0737</v>
          </cell>
          <cell r="F152" t="str">
            <v>C1</v>
          </cell>
          <cell r="G152" t="str">
            <v>SP</v>
          </cell>
          <cell r="H152" t="str">
            <v>INGREDIENTS</v>
          </cell>
          <cell r="I152" t="str">
            <v>INGREDIENTS</v>
          </cell>
          <cell r="J152" t="str">
            <v>TATIANA NITTA</v>
          </cell>
          <cell r="K152" t="str">
            <v>LACTALIS</v>
          </cell>
          <cell r="L152" t="str">
            <v>MAURICIO</v>
          </cell>
          <cell r="M152" t="str">
            <v>TATIANA NITTA</v>
          </cell>
        </row>
        <row r="153">
          <cell r="B153">
            <v>5235393</v>
          </cell>
          <cell r="C153" t="str">
            <v>BISTECA D OURO LANCHES LTDA</v>
          </cell>
          <cell r="D153">
            <v>7001</v>
          </cell>
          <cell r="E153" t="str">
            <v>0749</v>
          </cell>
          <cell r="F153" t="str">
            <v>C5</v>
          </cell>
          <cell r="G153" t="str">
            <v>SP</v>
          </cell>
          <cell r="H153" t="str">
            <v>DISTRIBUIÇÃO</v>
          </cell>
          <cell r="I153" t="str">
            <v>FOOD SERVICE</v>
          </cell>
          <cell r="J153" t="str">
            <v>FLAC 2</v>
          </cell>
          <cell r="K153" t="str">
            <v>LACTALIS</v>
          </cell>
          <cell r="L153" t="str">
            <v>RODRIGO</v>
          </cell>
          <cell r="M153" t="str">
            <v>ALEXANDRO</v>
          </cell>
        </row>
        <row r="154">
          <cell r="B154">
            <v>5285840</v>
          </cell>
          <cell r="C154" t="str">
            <v>BK BRASIL OPERACAO E ASSESSOR A</v>
          </cell>
          <cell r="D154">
            <v>7001</v>
          </cell>
          <cell r="E154" t="str">
            <v>0722</v>
          </cell>
          <cell r="F154" t="str">
            <v>C1</v>
          </cell>
          <cell r="G154" t="str">
            <v>SP</v>
          </cell>
          <cell r="H154" t="str">
            <v>QSR</v>
          </cell>
          <cell r="I154" t="str">
            <v>FOOD SERVICE</v>
          </cell>
          <cell r="J154" t="str">
            <v>ANA MENIQUETE</v>
          </cell>
          <cell r="K154" t="str">
            <v>LACTALIS</v>
          </cell>
          <cell r="L154" t="str">
            <v>PEDRO</v>
          </cell>
          <cell r="M154" t="str">
            <v>ANA MENIQUETE</v>
          </cell>
        </row>
        <row r="155">
          <cell r="B155">
            <v>5263174</v>
          </cell>
          <cell r="C155" t="str">
            <v>BK BRASIL OPERACAO E ASSESSOR A RES</v>
          </cell>
          <cell r="D155">
            <v>7001</v>
          </cell>
          <cell r="E155" t="str">
            <v>0722</v>
          </cell>
          <cell r="F155" t="str">
            <v>C1</v>
          </cell>
          <cell r="G155" t="str">
            <v>SP</v>
          </cell>
          <cell r="H155" t="str">
            <v>QSR</v>
          </cell>
          <cell r="I155" t="str">
            <v>FOOD SERVICE</v>
          </cell>
          <cell r="J155" t="str">
            <v>ANA MENIQUETE</v>
          </cell>
          <cell r="K155" t="str">
            <v>LACTALIS</v>
          </cell>
          <cell r="L155" t="str">
            <v>PEDRO</v>
          </cell>
          <cell r="M155" t="str">
            <v>ANA MENIQUETE</v>
          </cell>
        </row>
        <row r="156">
          <cell r="B156">
            <v>5177226</v>
          </cell>
          <cell r="C156" t="str">
            <v>BL IMPORTADORA E DISTRIBU</v>
          </cell>
          <cell r="D156">
            <v>3001</v>
          </cell>
          <cell r="E156" t="str">
            <v>0127</v>
          </cell>
          <cell r="F156" t="str">
            <v>C1</v>
          </cell>
          <cell r="G156" t="str">
            <v>PB</v>
          </cell>
          <cell r="H156" t="str">
            <v>DISTRIBUIÇÃO</v>
          </cell>
          <cell r="I156" t="str">
            <v>FOOD SERVICE</v>
          </cell>
          <cell r="J156" t="str">
            <v>CLAUDIO JORGE</v>
          </cell>
          <cell r="K156" t="str">
            <v>ITAMBÉ</v>
          </cell>
          <cell r="L156" t="str">
            <v>RODRIGO</v>
          </cell>
          <cell r="M156" t="str">
            <v>VAGO NORDESTE</v>
          </cell>
        </row>
        <row r="157">
          <cell r="B157">
            <v>5254974</v>
          </cell>
          <cell r="C157" t="str">
            <v>BLACK RIVER CAFE LTDA</v>
          </cell>
          <cell r="D157">
            <v>7001</v>
          </cell>
          <cell r="E157" t="str">
            <v>0749</v>
          </cell>
          <cell r="F157" t="str">
            <v>C5</v>
          </cell>
          <cell r="G157" t="str">
            <v>SP</v>
          </cell>
          <cell r="H157" t="str">
            <v>DISTRIBUIÇÃO</v>
          </cell>
          <cell r="I157" t="str">
            <v>FOOD SERVICE</v>
          </cell>
          <cell r="J157" t="str">
            <v>FLAC 3</v>
          </cell>
          <cell r="K157" t="str">
            <v>LACTALIS</v>
          </cell>
          <cell r="L157" t="str">
            <v>RODRIGO</v>
          </cell>
          <cell r="M157" t="str">
            <v>ALEXANDRO</v>
          </cell>
        </row>
        <row r="158">
          <cell r="B158">
            <v>5327881</v>
          </cell>
          <cell r="C158" t="str">
            <v>BLACK RIVER CAFE LTDA</v>
          </cell>
          <cell r="D158">
            <v>7001</v>
          </cell>
          <cell r="E158" t="str">
            <v>0749</v>
          </cell>
          <cell r="F158" t="str">
            <v>C5</v>
          </cell>
          <cell r="G158" t="str">
            <v>SP</v>
          </cell>
          <cell r="H158" t="str">
            <v>DISTRIBUIÇÃO</v>
          </cell>
          <cell r="I158" t="str">
            <v>FOOD SERVICE</v>
          </cell>
          <cell r="J158" t="str">
            <v>FLAC 3</v>
          </cell>
          <cell r="K158" t="str">
            <v>LACTALIS</v>
          </cell>
          <cell r="L158" t="str">
            <v>RODRIGO</v>
          </cell>
          <cell r="M158" t="str">
            <v>ALEXANDRO</v>
          </cell>
        </row>
        <row r="159">
          <cell r="B159">
            <v>5294903</v>
          </cell>
          <cell r="C159" t="str">
            <v>BM EMPREENDIMENTOS E PARTICIPACOES</v>
          </cell>
          <cell r="D159">
            <v>7001</v>
          </cell>
          <cell r="E159" t="str">
            <v>0749</v>
          </cell>
          <cell r="F159" t="str">
            <v>C5</v>
          </cell>
          <cell r="G159" t="str">
            <v>SP</v>
          </cell>
          <cell r="H159" t="str">
            <v>DISTRIBUIÇÃO</v>
          </cell>
          <cell r="I159" t="str">
            <v>FOOD SERVICE</v>
          </cell>
          <cell r="J159" t="str">
            <v>FLAC 2</v>
          </cell>
          <cell r="K159" t="str">
            <v>LACTALIS</v>
          </cell>
          <cell r="L159" t="str">
            <v>RODRIGO</v>
          </cell>
          <cell r="M159" t="str">
            <v>ALEXANDRO</v>
          </cell>
        </row>
        <row r="160">
          <cell r="B160">
            <v>5209410</v>
          </cell>
          <cell r="C160" t="str">
            <v>BMC COMERCIO VAREJISTA DE DOCES</v>
          </cell>
          <cell r="D160">
            <v>7001</v>
          </cell>
          <cell r="E160" t="str">
            <v>0749</v>
          </cell>
          <cell r="F160" t="str">
            <v>C5</v>
          </cell>
          <cell r="G160" t="str">
            <v>SP</v>
          </cell>
          <cell r="H160" t="str">
            <v>DISTRIBUIÇÃO</v>
          </cell>
          <cell r="I160" t="str">
            <v>FOOD SERVICE</v>
          </cell>
          <cell r="J160" t="str">
            <v>FLAC 3</v>
          </cell>
          <cell r="K160" t="str">
            <v>LACTALIS</v>
          </cell>
          <cell r="L160" t="str">
            <v>RODRIGO</v>
          </cell>
          <cell r="M160" t="str">
            <v>ALEXANDRO</v>
          </cell>
        </row>
        <row r="161">
          <cell r="B161">
            <v>5292469</v>
          </cell>
          <cell r="C161" t="str">
            <v>BMZ ALIMENTOS LTDA</v>
          </cell>
          <cell r="D161">
            <v>7001</v>
          </cell>
          <cell r="E161" t="str">
            <v>0749</v>
          </cell>
          <cell r="F161" t="str">
            <v>C5</v>
          </cell>
          <cell r="G161" t="str">
            <v>SP</v>
          </cell>
          <cell r="H161" t="str">
            <v>DISTRIBUIÇÃO</v>
          </cell>
          <cell r="I161" t="str">
            <v>FOOD SERVICE</v>
          </cell>
          <cell r="J161" t="str">
            <v>FLAC 2</v>
          </cell>
          <cell r="K161" t="str">
            <v>LACTALIS</v>
          </cell>
          <cell r="L161" t="str">
            <v>RODRIGO</v>
          </cell>
          <cell r="M161" t="str">
            <v>ALEXANDRO</v>
          </cell>
        </row>
        <row r="162">
          <cell r="B162">
            <v>5286104</v>
          </cell>
          <cell r="C162" t="str">
            <v>BOCADINHO ALIMENTOS LTDA ME</v>
          </cell>
          <cell r="D162">
            <v>7001</v>
          </cell>
          <cell r="E162" t="str">
            <v>0749</v>
          </cell>
          <cell r="F162" t="str">
            <v>C5</v>
          </cell>
          <cell r="G162" t="str">
            <v>SP</v>
          </cell>
          <cell r="H162" t="str">
            <v>DISTRIBUIÇÃO</v>
          </cell>
          <cell r="I162" t="str">
            <v>FOOD SERVICE</v>
          </cell>
          <cell r="J162" t="str">
            <v>FLAC 6</v>
          </cell>
          <cell r="K162" t="str">
            <v>LACTALIS</v>
          </cell>
          <cell r="L162" t="str">
            <v>RODRIGO</v>
          </cell>
          <cell r="M162" t="str">
            <v>ALEXANDRO</v>
          </cell>
        </row>
        <row r="163">
          <cell r="B163">
            <v>5204977</v>
          </cell>
          <cell r="C163" t="str">
            <v>BOCAO COMERCIO DE DOCES DIGITAL</v>
          </cell>
          <cell r="D163">
            <v>6001</v>
          </cell>
          <cell r="E163" t="str">
            <v>6125</v>
          </cell>
          <cell r="F163" t="str">
            <v>C1</v>
          </cell>
          <cell r="G163" t="str">
            <v>SP</v>
          </cell>
          <cell r="H163" t="str">
            <v>DISTRIBUIÇÃO</v>
          </cell>
          <cell r="I163" t="str">
            <v>FOOD SERVICE</v>
          </cell>
          <cell r="J163" t="str">
            <v>EMMANUEL FRANCISCO</v>
          </cell>
          <cell r="K163" t="str">
            <v>ITAMBÉ</v>
          </cell>
          <cell r="L163" t="str">
            <v>RODRIGO</v>
          </cell>
          <cell r="M163" t="str">
            <v>ALEXANDRO</v>
          </cell>
        </row>
        <row r="164">
          <cell r="B164">
            <v>5189644</v>
          </cell>
          <cell r="C164" t="str">
            <v>BOCAO COMERCIO DE DOCES LTDA</v>
          </cell>
          <cell r="D164">
            <v>6001</v>
          </cell>
          <cell r="E164" t="str">
            <v>6125</v>
          </cell>
          <cell r="F164" t="str">
            <v>C1</v>
          </cell>
          <cell r="G164" t="str">
            <v>SP</v>
          </cell>
          <cell r="H164" t="str">
            <v>DISTRIBUIÇÃO</v>
          </cell>
          <cell r="I164" t="str">
            <v>FOOD SERVICE</v>
          </cell>
          <cell r="J164" t="str">
            <v>EMMANUEL FRANCISCO</v>
          </cell>
          <cell r="K164" t="str">
            <v>ITAMBÉ</v>
          </cell>
          <cell r="L164" t="str">
            <v>RODRIGO</v>
          </cell>
          <cell r="M164" t="str">
            <v>ALEXANDRO</v>
          </cell>
        </row>
        <row r="165">
          <cell r="B165">
            <v>5156987</v>
          </cell>
          <cell r="C165" t="str">
            <v>BOIA FRIA ALIM CONGELADOS E REFRIGE</v>
          </cell>
          <cell r="D165">
            <v>7001</v>
          </cell>
          <cell r="E165" t="str">
            <v>0749</v>
          </cell>
          <cell r="F165" t="str">
            <v>C5</v>
          </cell>
          <cell r="G165" t="str">
            <v>SP</v>
          </cell>
          <cell r="H165" t="str">
            <v>DISTRIBUIÇÃO</v>
          </cell>
          <cell r="I165" t="str">
            <v>FOOD SERVICE</v>
          </cell>
          <cell r="J165" t="str">
            <v>FLAC 6</v>
          </cell>
          <cell r="K165" t="str">
            <v>LACTALIS</v>
          </cell>
          <cell r="L165" t="str">
            <v>RODRIGO</v>
          </cell>
          <cell r="M165" t="str">
            <v>ALEXANDRO</v>
          </cell>
        </row>
        <row r="166">
          <cell r="B166">
            <v>5263652</v>
          </cell>
          <cell r="C166" t="str">
            <v>BOLO DA FAZENDA LTDA ME</v>
          </cell>
          <cell r="D166">
            <v>7001</v>
          </cell>
          <cell r="E166" t="str">
            <v>0749</v>
          </cell>
          <cell r="F166" t="str">
            <v>C5</v>
          </cell>
          <cell r="G166" t="str">
            <v>SP</v>
          </cell>
          <cell r="H166" t="str">
            <v>DISTRIBUIÇÃO</v>
          </cell>
          <cell r="I166" t="str">
            <v>FOOD SERVICE</v>
          </cell>
          <cell r="J166" t="str">
            <v>FLAC 2</v>
          </cell>
          <cell r="K166" t="str">
            <v>LACTALIS</v>
          </cell>
          <cell r="L166" t="str">
            <v>RODRIGO</v>
          </cell>
          <cell r="M166" t="str">
            <v>ALEXANDRO</v>
          </cell>
        </row>
        <row r="167">
          <cell r="B167">
            <v>5185627</v>
          </cell>
          <cell r="C167" t="str">
            <v>BOLOS DA DINDA EIRELI</v>
          </cell>
          <cell r="D167">
            <v>6001</v>
          </cell>
          <cell r="E167" t="str">
            <v>6125</v>
          </cell>
          <cell r="F167" t="str">
            <v>C1</v>
          </cell>
          <cell r="G167" t="str">
            <v>SP</v>
          </cell>
          <cell r="H167" t="str">
            <v>INGREDIENTS</v>
          </cell>
          <cell r="I167" t="str">
            <v>INGREDIENTS</v>
          </cell>
          <cell r="J167" t="str">
            <v>HENRIQUE FERREIRA</v>
          </cell>
          <cell r="K167" t="str">
            <v>ITAMBÉ</v>
          </cell>
          <cell r="L167" t="str">
            <v>MAURICIO</v>
          </cell>
          <cell r="M167" t="str">
            <v>JOEL</v>
          </cell>
        </row>
        <row r="168">
          <cell r="B168">
            <v>5319279</v>
          </cell>
          <cell r="C168" t="str">
            <v>BOLOS FLORIPA LTDA</v>
          </cell>
          <cell r="D168">
            <v>3001</v>
          </cell>
          <cell r="E168" t="str">
            <v>0126</v>
          </cell>
          <cell r="F168" t="str">
            <v>C1</v>
          </cell>
          <cell r="G168" t="str">
            <v>SC</v>
          </cell>
          <cell r="H168" t="str">
            <v>DISTRIBUIÇÃO</v>
          </cell>
          <cell r="I168" t="str">
            <v>FOOD SERVICE</v>
          </cell>
          <cell r="J168" t="str">
            <v>ANTÔNIO SOUZA</v>
          </cell>
          <cell r="K168" t="str">
            <v>ITAMBÉ</v>
          </cell>
          <cell r="L168" t="str">
            <v>RODRIGO</v>
          </cell>
          <cell r="M168" t="str">
            <v>VAGO SUL</v>
          </cell>
        </row>
        <row r="169">
          <cell r="B169">
            <v>5233959</v>
          </cell>
          <cell r="C169" t="str">
            <v>BONA PETIT LTDA</v>
          </cell>
          <cell r="D169">
            <v>7001</v>
          </cell>
          <cell r="E169" t="str">
            <v>0749</v>
          </cell>
          <cell r="F169" t="str">
            <v>C5</v>
          </cell>
          <cell r="G169" t="str">
            <v>SP</v>
          </cell>
          <cell r="H169" t="str">
            <v>DISTRIBUIÇÃO</v>
          </cell>
          <cell r="I169" t="str">
            <v>FOOD SERVICE</v>
          </cell>
          <cell r="J169" t="str">
            <v>FLAC 6</v>
          </cell>
          <cell r="K169" t="str">
            <v>LACTALIS</v>
          </cell>
          <cell r="L169" t="str">
            <v>RODRIGO</v>
          </cell>
          <cell r="M169" t="str">
            <v>ALEXANDRO</v>
          </cell>
        </row>
        <row r="170">
          <cell r="B170">
            <v>5059693</v>
          </cell>
          <cell r="C170" t="str">
            <v>BONALIMENT ALIMENTACAO LTDA</v>
          </cell>
          <cell r="D170">
            <v>7001</v>
          </cell>
          <cell r="E170" t="str">
            <v>0749</v>
          </cell>
          <cell r="F170" t="str">
            <v>C5</v>
          </cell>
          <cell r="G170" t="str">
            <v>SP</v>
          </cell>
          <cell r="H170" t="str">
            <v>DISTRIBUIÇÃO</v>
          </cell>
          <cell r="I170" t="str">
            <v>FOOD SERVICE</v>
          </cell>
          <cell r="J170" t="str">
            <v>FLAC 6</v>
          </cell>
          <cell r="K170" t="str">
            <v>LACTALIS</v>
          </cell>
          <cell r="L170" t="str">
            <v>RODRIGO</v>
          </cell>
          <cell r="M170" t="str">
            <v>ALEXANDRO</v>
          </cell>
        </row>
        <row r="171">
          <cell r="B171">
            <v>5166529</v>
          </cell>
          <cell r="C171" t="str">
            <v>BONJARDIM PAULISTA COM DE ALIM LTDA</v>
          </cell>
          <cell r="D171">
            <v>7001</v>
          </cell>
          <cell r="E171" t="str">
            <v>0749</v>
          </cell>
          <cell r="F171" t="str">
            <v>C5</v>
          </cell>
          <cell r="G171" t="str">
            <v>SP</v>
          </cell>
          <cell r="H171" t="str">
            <v>DISTRIBUIÇÃO</v>
          </cell>
          <cell r="I171" t="str">
            <v>FOOD SERVICE</v>
          </cell>
          <cell r="J171" t="str">
            <v>FLAC 2</v>
          </cell>
          <cell r="K171" t="str">
            <v>LACTALIS</v>
          </cell>
          <cell r="L171" t="str">
            <v>RODRIGO</v>
          </cell>
          <cell r="M171" t="str">
            <v>ALEXANDRO</v>
          </cell>
        </row>
        <row r="172">
          <cell r="B172">
            <v>5084421</v>
          </cell>
          <cell r="C172" t="str">
            <v>BONOTTO E COSTA COM ALIMENTOS L</v>
          </cell>
          <cell r="D172">
            <v>3001</v>
          </cell>
          <cell r="E172" t="str">
            <v>0126</v>
          </cell>
          <cell r="F172" t="str">
            <v>C1</v>
          </cell>
          <cell r="G172" t="str">
            <v>RS</v>
          </cell>
          <cell r="H172" t="str">
            <v>DISTRIBUIÇÃO</v>
          </cell>
          <cell r="I172" t="str">
            <v>FOOD SERVICE</v>
          </cell>
          <cell r="J172" t="str">
            <v>ANTÔNIO SOUZA</v>
          </cell>
          <cell r="K172" t="str">
            <v>ITAMBÉ</v>
          </cell>
          <cell r="L172" t="str">
            <v>RODRIGO</v>
          </cell>
          <cell r="M172" t="str">
            <v>VAGO SUL</v>
          </cell>
        </row>
        <row r="173">
          <cell r="B173">
            <v>5253698</v>
          </cell>
          <cell r="C173" t="str">
            <v>BORIS RESTAURANTE E EVENTOS SOCIEDA</v>
          </cell>
          <cell r="D173">
            <v>7001</v>
          </cell>
          <cell r="E173" t="str">
            <v>0749</v>
          </cell>
          <cell r="F173" t="str">
            <v>C5</v>
          </cell>
          <cell r="G173" t="str">
            <v>SP</v>
          </cell>
          <cell r="H173" t="str">
            <v>DISTRIBUIÇÃO</v>
          </cell>
          <cell r="I173" t="str">
            <v>FOOD SERVICE</v>
          </cell>
          <cell r="J173" t="str">
            <v>FLAC 6</v>
          </cell>
          <cell r="K173" t="str">
            <v>LACTALIS</v>
          </cell>
          <cell r="L173" t="str">
            <v>RODRIGO</v>
          </cell>
          <cell r="M173" t="str">
            <v>ALEXANDRO</v>
          </cell>
        </row>
        <row r="174">
          <cell r="B174">
            <v>5326435</v>
          </cell>
          <cell r="C174" t="str">
            <v>BOTANIKAFE LTDA</v>
          </cell>
          <cell r="D174">
            <v>7001</v>
          </cell>
          <cell r="E174" t="str">
            <v>0749</v>
          </cell>
          <cell r="F174" t="str">
            <v>C5</v>
          </cell>
          <cell r="G174" t="str">
            <v>SP</v>
          </cell>
          <cell r="H174" t="str">
            <v>DISTRIBUIÇÃO</v>
          </cell>
          <cell r="I174" t="str">
            <v>FOOD SERVICE</v>
          </cell>
          <cell r="J174" t="str">
            <v>FLAC 2</v>
          </cell>
          <cell r="K174" t="str">
            <v>LACTALIS</v>
          </cell>
          <cell r="L174" t="str">
            <v>RODRIGO</v>
          </cell>
          <cell r="M174" t="str">
            <v>ALEXANDRO</v>
          </cell>
        </row>
        <row r="175">
          <cell r="B175">
            <v>5314863</v>
          </cell>
          <cell r="C175" t="str">
            <v>BOTELHO E KRONEMBERG EVENTOS LTDA</v>
          </cell>
          <cell r="D175">
            <v>7001</v>
          </cell>
          <cell r="E175" t="str">
            <v>0749</v>
          </cell>
          <cell r="F175" t="str">
            <v>C5</v>
          </cell>
          <cell r="G175" t="str">
            <v>SP</v>
          </cell>
          <cell r="H175" t="str">
            <v>DISTRIBUIÇÃO</v>
          </cell>
          <cell r="I175" t="str">
            <v>FOOD SERVICE</v>
          </cell>
          <cell r="J175" t="str">
            <v>FLAC 4</v>
          </cell>
          <cell r="K175" t="str">
            <v>LACTALIS</v>
          </cell>
          <cell r="L175" t="str">
            <v>RODRIGO</v>
          </cell>
          <cell r="M175" t="str">
            <v>ALEXANDRO</v>
          </cell>
        </row>
        <row r="176">
          <cell r="B176">
            <v>5294651</v>
          </cell>
          <cell r="C176" t="str">
            <v>BOUTIQUE DE PAES YESCAKES EIRELI</v>
          </cell>
          <cell r="D176">
            <v>7001</v>
          </cell>
          <cell r="E176" t="str">
            <v>0749</v>
          </cell>
          <cell r="F176" t="str">
            <v>C5</v>
          </cell>
          <cell r="G176" t="str">
            <v>SP</v>
          </cell>
          <cell r="H176" t="str">
            <v>DISTRIBUIÇÃO</v>
          </cell>
          <cell r="I176" t="str">
            <v>FOOD SERVICE</v>
          </cell>
          <cell r="J176" t="str">
            <v>FLAC 6</v>
          </cell>
          <cell r="K176" t="str">
            <v>LACTALIS</v>
          </cell>
          <cell r="L176" t="str">
            <v>RODRIGO</v>
          </cell>
          <cell r="M176" t="str">
            <v>ALEXANDRO</v>
          </cell>
        </row>
        <row r="177">
          <cell r="B177">
            <v>5161504</v>
          </cell>
          <cell r="C177" t="str">
            <v>BOX 34 COMERCIO DE PROD ALIMENT LTDA EPP</v>
          </cell>
          <cell r="D177">
            <v>3001</v>
          </cell>
          <cell r="E177" t="str">
            <v>0169</v>
          </cell>
          <cell r="F177" t="str">
            <v>C1</v>
          </cell>
          <cell r="G177" t="str">
            <v>RJ</v>
          </cell>
          <cell r="H177" t="str">
            <v>DISTRIBUIÇÃO</v>
          </cell>
          <cell r="I177" t="str">
            <v>FOOD SERVICE</v>
          </cell>
          <cell r="J177" t="str">
            <v>JULIANA CORDEIRO</v>
          </cell>
          <cell r="K177" t="str">
            <v>ITAMBÉ</v>
          </cell>
          <cell r="L177" t="str">
            <v>RODRIGO</v>
          </cell>
          <cell r="M177" t="str">
            <v>JESSICA</v>
          </cell>
        </row>
        <row r="178">
          <cell r="B178">
            <v>5191804</v>
          </cell>
          <cell r="C178" t="str">
            <v>BOX 81 DISTR DE PRODS ALIMENT</v>
          </cell>
          <cell r="D178">
            <v>3001</v>
          </cell>
          <cell r="E178" t="str">
            <v>0169</v>
          </cell>
          <cell r="F178" t="str">
            <v>C1</v>
          </cell>
          <cell r="G178" t="str">
            <v>RJ</v>
          </cell>
          <cell r="H178" t="str">
            <v>DISTRIBUIÇÃO</v>
          </cell>
          <cell r="I178" t="str">
            <v>FOOD SERVICE</v>
          </cell>
          <cell r="J178" t="str">
            <v>JULIANA CORDEIRO</v>
          </cell>
          <cell r="K178" t="str">
            <v>ITAMBÉ</v>
          </cell>
          <cell r="L178" t="str">
            <v>RODRIGO</v>
          </cell>
          <cell r="M178" t="str">
            <v>JESSICA</v>
          </cell>
        </row>
        <row r="179">
          <cell r="B179">
            <v>5159508</v>
          </cell>
          <cell r="C179" t="str">
            <v>BRASILPLAST EMB E DESCARTAVEIS LTDA</v>
          </cell>
          <cell r="D179">
            <v>3001</v>
          </cell>
          <cell r="E179" t="str">
            <v>0122</v>
          </cell>
          <cell r="F179" t="str">
            <v>C1</v>
          </cell>
          <cell r="G179" t="str">
            <v>MG</v>
          </cell>
          <cell r="H179" t="str">
            <v>DISTRIBUIÇÃO</v>
          </cell>
          <cell r="I179" t="str">
            <v>FOOD SERVICE</v>
          </cell>
          <cell r="J179" t="str">
            <v>MARCELO SILVA</v>
          </cell>
          <cell r="K179" t="str">
            <v>ITAMBÉ</v>
          </cell>
          <cell r="L179" t="str">
            <v>RODRIGO</v>
          </cell>
          <cell r="M179" t="str">
            <v>CELIO MARTINS</v>
          </cell>
        </row>
        <row r="180">
          <cell r="B180">
            <v>5099031</v>
          </cell>
          <cell r="C180" t="str">
            <v>BRASPEC BIOTECNOLOGIA LTDA</v>
          </cell>
          <cell r="D180">
            <v>4001</v>
          </cell>
          <cell r="E180" t="str">
            <v>0455</v>
          </cell>
          <cell r="F180" t="str">
            <v>C1</v>
          </cell>
          <cell r="G180" t="str">
            <v>PR</v>
          </cell>
          <cell r="H180" t="str">
            <v>INGREDIENTS</v>
          </cell>
          <cell r="I180" t="str">
            <v>INGREDIENTS</v>
          </cell>
          <cell r="J180" t="str">
            <v>MARCELO RODRIGUES</v>
          </cell>
          <cell r="K180" t="str">
            <v>LACTALIS</v>
          </cell>
          <cell r="L180" t="str">
            <v>MAURICIO</v>
          </cell>
          <cell r="M180" t="str">
            <v>MARCELO</v>
          </cell>
        </row>
        <row r="181">
          <cell r="B181">
            <v>5338692</v>
          </cell>
          <cell r="C181" t="str">
            <v>BREAD 4 U COMERCIO DE ALIMENTOS</v>
          </cell>
          <cell r="D181">
            <v>7001</v>
          </cell>
          <cell r="E181" t="str">
            <v>0749</v>
          </cell>
          <cell r="F181" t="str">
            <v>C5</v>
          </cell>
          <cell r="G181" t="str">
            <v>SP</v>
          </cell>
          <cell r="H181" t="str">
            <v>DISTRIBUIÇÃO</v>
          </cell>
          <cell r="I181" t="str">
            <v>FOOD SERVICE</v>
          </cell>
          <cell r="J181" t="str">
            <v>FLAC 4</v>
          </cell>
          <cell r="K181" t="str">
            <v>LACTALIS</v>
          </cell>
          <cell r="L181" t="str">
            <v>RODRIGO</v>
          </cell>
          <cell r="M181" t="str">
            <v>ALEXANDRO</v>
          </cell>
        </row>
        <row r="182">
          <cell r="B182">
            <v>5165804</v>
          </cell>
          <cell r="C182" t="str">
            <v>BRF SA</v>
          </cell>
          <cell r="D182">
            <v>3001</v>
          </cell>
          <cell r="E182" t="str">
            <v>0028</v>
          </cell>
          <cell r="F182" t="str">
            <v>C1</v>
          </cell>
          <cell r="G182" t="str">
            <v>RS</v>
          </cell>
          <cell r="H182" t="str">
            <v>INGREDIENTS</v>
          </cell>
          <cell r="I182" t="str">
            <v>INGREDIENTS</v>
          </cell>
          <cell r="J182" t="str">
            <v>MARCELO RODRIGUES</v>
          </cell>
          <cell r="K182" t="str">
            <v>ITAMBÉ</v>
          </cell>
          <cell r="L182" t="str">
            <v>MAURICIO</v>
          </cell>
          <cell r="M182" t="str">
            <v>MARCELO</v>
          </cell>
        </row>
        <row r="183">
          <cell r="B183">
            <v>5162046</v>
          </cell>
          <cell r="C183" t="str">
            <v>BRF SA</v>
          </cell>
          <cell r="D183">
            <v>3001</v>
          </cell>
          <cell r="E183" t="str">
            <v>0028</v>
          </cell>
          <cell r="F183" t="str">
            <v>C1</v>
          </cell>
          <cell r="G183" t="str">
            <v>PR</v>
          </cell>
          <cell r="H183" t="str">
            <v>INGREDIENTS</v>
          </cell>
          <cell r="I183" t="str">
            <v>INGREDIENTS</v>
          </cell>
          <cell r="J183" t="str">
            <v>MARCELO RODRIGUES</v>
          </cell>
          <cell r="K183" t="str">
            <v>ITAMBÉ</v>
          </cell>
          <cell r="L183" t="str">
            <v>MAURICIO</v>
          </cell>
          <cell r="M183" t="str">
            <v>MARCELO</v>
          </cell>
        </row>
        <row r="184">
          <cell r="B184">
            <v>5168007</v>
          </cell>
          <cell r="C184" t="str">
            <v>BRF SA</v>
          </cell>
          <cell r="D184">
            <v>3001</v>
          </cell>
          <cell r="E184" t="str">
            <v>0028</v>
          </cell>
          <cell r="F184" t="str">
            <v>C1</v>
          </cell>
          <cell r="G184" t="str">
            <v>MG</v>
          </cell>
          <cell r="H184" t="str">
            <v>INGREDIENTS</v>
          </cell>
          <cell r="I184" t="str">
            <v>INGREDIENTS</v>
          </cell>
          <cell r="J184" t="str">
            <v>MARCELO RODRIGUES</v>
          </cell>
          <cell r="K184" t="str">
            <v>ITAMBÉ</v>
          </cell>
          <cell r="L184" t="str">
            <v>MAURICIO</v>
          </cell>
          <cell r="M184" t="str">
            <v>MARCELO</v>
          </cell>
        </row>
        <row r="185">
          <cell r="B185">
            <v>5298973</v>
          </cell>
          <cell r="C185" t="str">
            <v>BRF SA</v>
          </cell>
          <cell r="D185">
            <v>4001</v>
          </cell>
          <cell r="E185" t="str">
            <v>0437</v>
          </cell>
          <cell r="F185" t="str">
            <v>C1</v>
          </cell>
          <cell r="G185" t="str">
            <v>GO</v>
          </cell>
          <cell r="H185" t="str">
            <v>OUTROS</v>
          </cell>
          <cell r="I185" t="str">
            <v>OUTROS</v>
          </cell>
          <cell r="J185" t="str">
            <v>BRF</v>
          </cell>
          <cell r="K185" t="str">
            <v>OUTROS</v>
          </cell>
          <cell r="L185" t="str">
            <v>OUTROS</v>
          </cell>
          <cell r="M185" t="str">
            <v>BRF SA</v>
          </cell>
        </row>
        <row r="186">
          <cell r="B186">
            <v>5258906</v>
          </cell>
          <cell r="C186" t="str">
            <v>BRF SA</v>
          </cell>
          <cell r="D186">
            <v>4001</v>
          </cell>
          <cell r="E186" t="str">
            <v>0456</v>
          </cell>
          <cell r="F186" t="str">
            <v>C1</v>
          </cell>
          <cell r="G186" t="str">
            <v>SC</v>
          </cell>
          <cell r="H186" t="str">
            <v>OUTROS</v>
          </cell>
          <cell r="I186" t="str">
            <v>OUTROS</v>
          </cell>
          <cell r="J186" t="str">
            <v>BRF</v>
          </cell>
          <cell r="K186" t="str">
            <v>OUTROS</v>
          </cell>
          <cell r="L186" t="str">
            <v>OUTROS</v>
          </cell>
          <cell r="M186" t="str">
            <v>BRF SA</v>
          </cell>
        </row>
        <row r="187">
          <cell r="B187">
            <v>5166052</v>
          </cell>
          <cell r="C187" t="str">
            <v>BRF SA</v>
          </cell>
          <cell r="D187">
            <v>3001</v>
          </cell>
          <cell r="E187" t="str">
            <v>0028</v>
          </cell>
          <cell r="F187" t="str">
            <v>C1</v>
          </cell>
          <cell r="G187" t="str">
            <v>SC</v>
          </cell>
          <cell r="H187" t="str">
            <v>INGREDIENTS</v>
          </cell>
          <cell r="I187" t="str">
            <v>INGREDIENTS</v>
          </cell>
          <cell r="J187" t="str">
            <v>MARCELO RODRIGUES</v>
          </cell>
          <cell r="K187" t="str">
            <v>ITAMBÉ</v>
          </cell>
          <cell r="L187" t="str">
            <v>MAURICIO</v>
          </cell>
          <cell r="M187" t="str">
            <v>MARCELO</v>
          </cell>
        </row>
        <row r="188">
          <cell r="B188">
            <v>5168007</v>
          </cell>
          <cell r="C188" t="str">
            <v>BRF SA</v>
          </cell>
          <cell r="D188">
            <v>3001</v>
          </cell>
          <cell r="E188" t="str">
            <v>0122</v>
          </cell>
          <cell r="F188" t="str">
            <v>C1</v>
          </cell>
          <cell r="G188" t="str">
            <v>MG</v>
          </cell>
          <cell r="H188" t="str">
            <v>INGREDIENTS</v>
          </cell>
          <cell r="I188" t="str">
            <v>INGREDIENTS</v>
          </cell>
          <cell r="J188" t="str">
            <v>MARCELO RODRIGUES</v>
          </cell>
          <cell r="K188" t="str">
            <v>ITAMBÉ</v>
          </cell>
          <cell r="L188" t="str">
            <v>MAURICIO</v>
          </cell>
          <cell r="M188" t="str">
            <v>MARCELO</v>
          </cell>
        </row>
        <row r="189">
          <cell r="B189">
            <v>5161273</v>
          </cell>
          <cell r="C189" t="str">
            <v>BRF SA</v>
          </cell>
          <cell r="D189">
            <v>4001</v>
          </cell>
          <cell r="E189" t="str">
            <v>0437</v>
          </cell>
          <cell r="F189" t="str">
            <v>C1</v>
          </cell>
          <cell r="G189" t="str">
            <v>SP</v>
          </cell>
          <cell r="H189" t="str">
            <v>OUTROS</v>
          </cell>
          <cell r="I189" t="str">
            <v>OUTROS</v>
          </cell>
          <cell r="J189" t="str">
            <v>BRF</v>
          </cell>
          <cell r="K189" t="str">
            <v>OUTROS</v>
          </cell>
          <cell r="L189" t="str">
            <v>OUTROS</v>
          </cell>
          <cell r="M189" t="str">
            <v>BRF SA</v>
          </cell>
        </row>
        <row r="190">
          <cell r="B190">
            <v>5168007</v>
          </cell>
          <cell r="C190" t="str">
            <v>BRF SA</v>
          </cell>
          <cell r="D190">
            <v>4001</v>
          </cell>
          <cell r="E190" t="str">
            <v>0458</v>
          </cell>
          <cell r="F190" t="str">
            <v>C1</v>
          </cell>
          <cell r="G190" t="str">
            <v>MG</v>
          </cell>
          <cell r="H190" t="str">
            <v>INGREDIENTS</v>
          </cell>
          <cell r="I190" t="str">
            <v>INGREDIENTS</v>
          </cell>
          <cell r="J190" t="str">
            <v>MARCELO RODRIGUES</v>
          </cell>
          <cell r="K190" t="str">
            <v>LACTALIS</v>
          </cell>
          <cell r="L190" t="str">
            <v>MAURICIO</v>
          </cell>
          <cell r="M190" t="str">
            <v>MARCELO</v>
          </cell>
        </row>
        <row r="191">
          <cell r="B191">
            <v>5250288</v>
          </cell>
          <cell r="C191" t="str">
            <v>BRF SA</v>
          </cell>
          <cell r="D191">
            <v>4001</v>
          </cell>
          <cell r="E191" t="str">
            <v>0455</v>
          </cell>
          <cell r="F191" t="str">
            <v>C1</v>
          </cell>
          <cell r="G191" t="str">
            <v>PR</v>
          </cell>
          <cell r="H191" t="str">
            <v>INGREDIENTS</v>
          </cell>
          <cell r="I191" t="str">
            <v>INGREDIENTS</v>
          </cell>
          <cell r="J191" t="str">
            <v>MARCELO RODRIGUES</v>
          </cell>
          <cell r="K191" t="str">
            <v>LACTALIS</v>
          </cell>
          <cell r="L191" t="str">
            <v>MAURICIO</v>
          </cell>
          <cell r="M191" t="str">
            <v>MARCELO</v>
          </cell>
        </row>
        <row r="192">
          <cell r="B192">
            <v>5253978</v>
          </cell>
          <cell r="C192" t="str">
            <v>BRF SA</v>
          </cell>
          <cell r="D192">
            <v>4001</v>
          </cell>
          <cell r="E192" t="str">
            <v>0437</v>
          </cell>
          <cell r="F192" t="str">
            <v>C1</v>
          </cell>
          <cell r="G192" t="str">
            <v>SP</v>
          </cell>
          <cell r="H192" t="str">
            <v>INGREDIENTS</v>
          </cell>
          <cell r="I192" t="str">
            <v>INGREDIENTS</v>
          </cell>
          <cell r="J192" t="str">
            <v>MARCELO RODRIGUES</v>
          </cell>
          <cell r="K192" t="str">
            <v>LACTALIS</v>
          </cell>
          <cell r="L192" t="str">
            <v>MAURICIO</v>
          </cell>
          <cell r="M192" t="str">
            <v>MARCELO</v>
          </cell>
        </row>
        <row r="193">
          <cell r="B193">
            <v>5162046</v>
          </cell>
          <cell r="C193" t="str">
            <v>BRF SA</v>
          </cell>
          <cell r="D193">
            <v>3001</v>
          </cell>
          <cell r="E193" t="str">
            <v>0126</v>
          </cell>
          <cell r="F193" t="str">
            <v>C1</v>
          </cell>
          <cell r="G193" t="str">
            <v>PR</v>
          </cell>
          <cell r="H193" t="str">
            <v>INGREDIENTS</v>
          </cell>
          <cell r="I193" t="str">
            <v>INGREDIENTS</v>
          </cell>
          <cell r="J193" t="str">
            <v>MARCELO RODRIGUES</v>
          </cell>
          <cell r="K193" t="str">
            <v>ITAMBÉ</v>
          </cell>
          <cell r="L193" t="str">
            <v>MAURICIO</v>
          </cell>
          <cell r="M193" t="str">
            <v>MARCELO</v>
          </cell>
        </row>
        <row r="194">
          <cell r="B194">
            <v>5165804</v>
          </cell>
          <cell r="C194" t="str">
            <v>BRF SA</v>
          </cell>
          <cell r="D194">
            <v>3001</v>
          </cell>
          <cell r="E194" t="str">
            <v>0126</v>
          </cell>
          <cell r="F194" t="str">
            <v>C1</v>
          </cell>
          <cell r="G194" t="str">
            <v>RS</v>
          </cell>
          <cell r="H194" t="str">
            <v>INGREDIENTS</v>
          </cell>
          <cell r="I194" t="str">
            <v>INGREDIENTS</v>
          </cell>
          <cell r="J194" t="str">
            <v>MARCELO RODRIGUES</v>
          </cell>
          <cell r="K194" t="str">
            <v>ITAMBÉ</v>
          </cell>
          <cell r="L194" t="str">
            <v>MAURICIO</v>
          </cell>
          <cell r="M194" t="str">
            <v>MARCELO</v>
          </cell>
        </row>
        <row r="195">
          <cell r="B195">
            <v>5166052</v>
          </cell>
          <cell r="C195" t="str">
            <v>BRF SA</v>
          </cell>
          <cell r="D195">
            <v>3001</v>
          </cell>
          <cell r="E195" t="str">
            <v>0126</v>
          </cell>
          <cell r="F195" t="str">
            <v>C1</v>
          </cell>
          <cell r="G195" t="str">
            <v>SC</v>
          </cell>
          <cell r="H195" t="str">
            <v>INGREDIENTS</v>
          </cell>
          <cell r="I195" t="str">
            <v>INGREDIENTS</v>
          </cell>
          <cell r="J195" t="str">
            <v>MARCELO RODRIGUES</v>
          </cell>
          <cell r="K195" t="str">
            <v>ITAMBÉ</v>
          </cell>
          <cell r="L195" t="str">
            <v>MAURICIO</v>
          </cell>
          <cell r="M195" t="str">
            <v>MARCELO</v>
          </cell>
        </row>
        <row r="196">
          <cell r="B196">
            <v>5165804</v>
          </cell>
          <cell r="C196" t="str">
            <v>BRF SA</v>
          </cell>
          <cell r="D196">
            <v>4001</v>
          </cell>
          <cell r="E196" t="str">
            <v>0455</v>
          </cell>
          <cell r="F196" t="str">
            <v>C1</v>
          </cell>
          <cell r="G196" t="str">
            <v>RS</v>
          </cell>
          <cell r="H196" t="str">
            <v>INGREDIENTS</v>
          </cell>
          <cell r="I196" t="str">
            <v>INGREDIENTS</v>
          </cell>
          <cell r="J196" t="str">
            <v>MARCELO RODRIGUES</v>
          </cell>
          <cell r="K196" t="str">
            <v>LACTALIS</v>
          </cell>
          <cell r="L196" t="str">
            <v>MAURICIO</v>
          </cell>
          <cell r="M196" t="str">
            <v>MARCELO</v>
          </cell>
        </row>
        <row r="197">
          <cell r="B197">
            <v>5166052</v>
          </cell>
          <cell r="C197" t="str">
            <v>BRF SA</v>
          </cell>
          <cell r="D197">
            <v>4001</v>
          </cell>
          <cell r="E197" t="str">
            <v>0456</v>
          </cell>
          <cell r="F197" t="str">
            <v>C1</v>
          </cell>
          <cell r="G197" t="str">
            <v>SC</v>
          </cell>
          <cell r="H197" t="str">
            <v>INGREDIENTS</v>
          </cell>
          <cell r="I197" t="str">
            <v>INGREDIENTS</v>
          </cell>
          <cell r="J197" t="str">
            <v>MARCELO RODRIGUES</v>
          </cell>
          <cell r="K197" t="str">
            <v>LACTALIS</v>
          </cell>
          <cell r="L197" t="str">
            <v>MAURICIO</v>
          </cell>
          <cell r="M197" t="str">
            <v>MARCELO</v>
          </cell>
        </row>
        <row r="198">
          <cell r="B198">
            <v>5301082</v>
          </cell>
          <cell r="C198" t="str">
            <v>BRF SA</v>
          </cell>
          <cell r="D198">
            <v>4001</v>
          </cell>
          <cell r="E198" t="str">
            <v>0455</v>
          </cell>
          <cell r="F198" t="str">
            <v>C1</v>
          </cell>
          <cell r="G198" t="str">
            <v>PR</v>
          </cell>
          <cell r="H198" t="str">
            <v>OUTROS</v>
          </cell>
          <cell r="I198" t="str">
            <v>OUTROS</v>
          </cell>
          <cell r="J198" t="str">
            <v>BRF</v>
          </cell>
          <cell r="K198" t="str">
            <v>OUTROS</v>
          </cell>
          <cell r="L198" t="str">
            <v>OUTROS</v>
          </cell>
          <cell r="M198" t="str">
            <v>BRF SA</v>
          </cell>
        </row>
        <row r="199">
          <cell r="B199">
            <v>5324121</v>
          </cell>
          <cell r="C199" t="str">
            <v>BRQ INDUSTRIA DE ALIMENTOS AS</v>
          </cell>
          <cell r="D199">
            <v>4001</v>
          </cell>
          <cell r="E199" t="str">
            <v>0437</v>
          </cell>
          <cell r="F199" t="str">
            <v>C1</v>
          </cell>
          <cell r="G199" t="str">
            <v>RS</v>
          </cell>
          <cell r="H199" t="str">
            <v>INGREDIENTS</v>
          </cell>
          <cell r="I199" t="str">
            <v>INGREDIENTS</v>
          </cell>
          <cell r="J199" t="str">
            <v>MARCELO RODRIGUES</v>
          </cell>
          <cell r="K199" t="str">
            <v>LACTALIS</v>
          </cell>
          <cell r="L199" t="str">
            <v>MAURICIO</v>
          </cell>
          <cell r="M199" t="str">
            <v>MARCELO</v>
          </cell>
        </row>
        <row r="200">
          <cell r="B200">
            <v>5261412</v>
          </cell>
          <cell r="C200" t="str">
            <v>BRUMINSKI SUCOS E ALIMENTOS LTD</v>
          </cell>
          <cell r="D200">
            <v>7001</v>
          </cell>
          <cell r="E200" t="str">
            <v>0722</v>
          </cell>
          <cell r="F200" t="str">
            <v>C1</v>
          </cell>
          <cell r="G200" t="str">
            <v>SP</v>
          </cell>
          <cell r="H200" t="str">
            <v>QSR</v>
          </cell>
          <cell r="I200" t="str">
            <v>FOOD SERVICE</v>
          </cell>
          <cell r="J200" t="str">
            <v>NUTRI</v>
          </cell>
          <cell r="K200" t="str">
            <v>LACTALIS</v>
          </cell>
          <cell r="L200" t="str">
            <v>PEDRO</v>
          </cell>
          <cell r="M200" t="str">
            <v>AMANDA</v>
          </cell>
        </row>
        <row r="201">
          <cell r="B201">
            <v>5261412</v>
          </cell>
          <cell r="C201" t="str">
            <v>BRUMINSKI SUCOS E ALIMENTOS LTD</v>
          </cell>
          <cell r="D201">
            <v>7001</v>
          </cell>
          <cell r="E201" t="str">
            <v>0749</v>
          </cell>
          <cell r="F201" t="str">
            <v>C5</v>
          </cell>
          <cell r="G201" t="str">
            <v>SP</v>
          </cell>
          <cell r="H201" t="str">
            <v>QSR</v>
          </cell>
          <cell r="I201" t="str">
            <v>FOOD SERVICE</v>
          </cell>
          <cell r="J201" t="str">
            <v>NUTRI</v>
          </cell>
          <cell r="K201" t="str">
            <v>LACTALIS</v>
          </cell>
          <cell r="L201" t="str">
            <v>PEDRO</v>
          </cell>
          <cell r="M201" t="str">
            <v>AMANDA</v>
          </cell>
        </row>
        <row r="202">
          <cell r="B202">
            <v>5269686</v>
          </cell>
          <cell r="C202" t="str">
            <v>BRUXELAS COMERCIO DE ALIMENTOS</v>
          </cell>
          <cell r="D202">
            <v>4001</v>
          </cell>
          <cell r="E202" t="str">
            <v>0455</v>
          </cell>
          <cell r="F202" t="str">
            <v>C1</v>
          </cell>
          <cell r="G202" t="str">
            <v>PR</v>
          </cell>
          <cell r="H202" t="str">
            <v>INGREDIENTS</v>
          </cell>
          <cell r="I202" t="str">
            <v>INGREDIENTS</v>
          </cell>
          <cell r="J202" t="str">
            <v>HENRIQUE FERREIRA</v>
          </cell>
          <cell r="K202" t="str">
            <v>LACTALIS</v>
          </cell>
          <cell r="L202" t="str">
            <v>MAURICIO</v>
          </cell>
          <cell r="M202" t="str">
            <v>JOEL</v>
          </cell>
        </row>
        <row r="203">
          <cell r="B203">
            <v>5224055</v>
          </cell>
          <cell r="C203" t="str">
            <v>BRUXELAS INDUSTRIA E COMERCIO</v>
          </cell>
          <cell r="D203">
            <v>6001</v>
          </cell>
          <cell r="E203" t="str">
            <v>6125</v>
          </cell>
          <cell r="F203" t="str">
            <v>C1</v>
          </cell>
          <cell r="G203" t="str">
            <v>SP</v>
          </cell>
          <cell r="H203" t="str">
            <v>INGREDIENTS</v>
          </cell>
          <cell r="I203" t="str">
            <v>INGREDIENTS</v>
          </cell>
          <cell r="J203" t="str">
            <v>HENRIQUE FERREIRA</v>
          </cell>
          <cell r="K203" t="str">
            <v>ITAMBÉ</v>
          </cell>
          <cell r="L203" t="str">
            <v>MAURICIO</v>
          </cell>
          <cell r="M203" t="str">
            <v>JOEL</v>
          </cell>
        </row>
        <row r="204">
          <cell r="B204">
            <v>5319065</v>
          </cell>
          <cell r="C204" t="str">
            <v>BRW ADMINISTRACAO DE BENS LTDA</v>
          </cell>
          <cell r="D204">
            <v>7001</v>
          </cell>
          <cell r="E204" t="str">
            <v>0749</v>
          </cell>
          <cell r="F204" t="str">
            <v>C5</v>
          </cell>
          <cell r="G204" t="str">
            <v>SP</v>
          </cell>
          <cell r="H204" t="str">
            <v>DISTRIBUIÇÃO</v>
          </cell>
          <cell r="I204" t="str">
            <v>FOOD SERVICE</v>
          </cell>
          <cell r="J204" t="str">
            <v>FLAC 2</v>
          </cell>
          <cell r="K204" t="str">
            <v>LACTALIS</v>
          </cell>
          <cell r="L204" t="str">
            <v>RODRIGO</v>
          </cell>
          <cell r="M204" t="str">
            <v>ALEXANDRO</v>
          </cell>
        </row>
        <row r="205">
          <cell r="B205">
            <v>5326433</v>
          </cell>
          <cell r="C205" t="str">
            <v>BTK JARDINS BAR E RESTAURANTE L</v>
          </cell>
          <cell r="D205">
            <v>7001</v>
          </cell>
          <cell r="E205" t="str">
            <v>0749</v>
          </cell>
          <cell r="F205" t="str">
            <v>C5</v>
          </cell>
          <cell r="G205" t="str">
            <v>SP</v>
          </cell>
          <cell r="H205" t="str">
            <v>DISTRIBUIÇÃO</v>
          </cell>
          <cell r="I205" t="str">
            <v>FOOD SERVICE</v>
          </cell>
          <cell r="J205" t="str">
            <v>FLAC 2</v>
          </cell>
          <cell r="K205" t="str">
            <v>LACTALIS</v>
          </cell>
          <cell r="L205" t="str">
            <v>RODRIGO</v>
          </cell>
          <cell r="M205" t="str">
            <v>ALEXANDRO</v>
          </cell>
        </row>
        <row r="206">
          <cell r="B206">
            <v>5295332</v>
          </cell>
          <cell r="C206" t="str">
            <v>BTK PINHEIROS COM DE ALM E BEB LTDA</v>
          </cell>
          <cell r="D206">
            <v>7001</v>
          </cell>
          <cell r="E206" t="str">
            <v>0749</v>
          </cell>
          <cell r="F206" t="str">
            <v>C5</v>
          </cell>
          <cell r="G206" t="str">
            <v>SP</v>
          </cell>
          <cell r="H206" t="str">
            <v>DISTRIBUIÇÃO</v>
          </cell>
          <cell r="I206" t="str">
            <v>FOOD SERVICE</v>
          </cell>
          <cell r="J206" t="str">
            <v>FLAC 2</v>
          </cell>
          <cell r="K206" t="str">
            <v>LACTALIS</v>
          </cell>
          <cell r="L206" t="str">
            <v>RODRIGO</v>
          </cell>
          <cell r="M206" t="str">
            <v>ALEXANDRO</v>
          </cell>
        </row>
        <row r="207">
          <cell r="B207">
            <v>5334066</v>
          </cell>
          <cell r="C207" t="str">
            <v>BURGUER BOB COM DE ALIM E BEBID</v>
          </cell>
          <cell r="D207">
            <v>7001</v>
          </cell>
          <cell r="E207" t="str">
            <v>0749</v>
          </cell>
          <cell r="F207" t="str">
            <v>C5</v>
          </cell>
          <cell r="G207" t="str">
            <v>SP</v>
          </cell>
          <cell r="H207" t="str">
            <v>DISTRIBUIÇÃO</v>
          </cell>
          <cell r="I207" t="str">
            <v>FOOD SERVICE</v>
          </cell>
          <cell r="J207" t="str">
            <v>FLAC 2</v>
          </cell>
          <cell r="K207" t="str">
            <v>LACTALIS</v>
          </cell>
          <cell r="L207" t="str">
            <v>RODRIGO</v>
          </cell>
          <cell r="M207" t="str">
            <v>ALEXANDRO</v>
          </cell>
        </row>
        <row r="208">
          <cell r="B208">
            <v>5286593</v>
          </cell>
          <cell r="C208" t="str">
            <v>BWIB CONFEITARIA LTDA</v>
          </cell>
          <cell r="D208">
            <v>7001</v>
          </cell>
          <cell r="E208" t="str">
            <v>0749</v>
          </cell>
          <cell r="F208" t="str">
            <v>C5</v>
          </cell>
          <cell r="G208" t="str">
            <v>SP</v>
          </cell>
          <cell r="H208" t="str">
            <v>DISTRIBUIÇÃO</v>
          </cell>
          <cell r="I208" t="str">
            <v>FOOD SERVICE</v>
          </cell>
          <cell r="J208" t="str">
            <v>FLAC 2</v>
          </cell>
          <cell r="K208" t="str">
            <v>LACTALIS</v>
          </cell>
          <cell r="L208" t="str">
            <v>RODRIGO</v>
          </cell>
          <cell r="M208" t="str">
            <v>ALEXANDRO</v>
          </cell>
        </row>
        <row r="209">
          <cell r="B209">
            <v>5228728</v>
          </cell>
          <cell r="C209" t="str">
            <v>C F ESTRELA PRODUTOS ALIMENT LTDA</v>
          </cell>
          <cell r="D209">
            <v>6001</v>
          </cell>
          <cell r="E209" t="str">
            <v>6125</v>
          </cell>
          <cell r="F209" t="str">
            <v>C1</v>
          </cell>
          <cell r="G209" t="str">
            <v>SP</v>
          </cell>
          <cell r="H209" t="str">
            <v>DISTRIBUIÇÃO</v>
          </cell>
          <cell r="I209" t="str">
            <v>FOOD SERVICE</v>
          </cell>
          <cell r="J209" t="str">
            <v>GUILHERME NASCIMENTO</v>
          </cell>
          <cell r="K209" t="str">
            <v>ITAMBÉ</v>
          </cell>
          <cell r="L209" t="str">
            <v>RODRIGO</v>
          </cell>
          <cell r="M209" t="str">
            <v>ALEXANDRO</v>
          </cell>
        </row>
        <row r="210">
          <cell r="B210">
            <v>5301094</v>
          </cell>
          <cell r="C210" t="str">
            <v>C L N SOLUCOES EM ALIM LTDA</v>
          </cell>
          <cell r="D210">
            <v>7001</v>
          </cell>
          <cell r="E210" t="str">
            <v>0749</v>
          </cell>
          <cell r="F210" t="str">
            <v>C5</v>
          </cell>
          <cell r="G210" t="str">
            <v>SP</v>
          </cell>
          <cell r="H210" t="str">
            <v>QSR</v>
          </cell>
          <cell r="I210" t="str">
            <v>FOOD SERVICE</v>
          </cell>
          <cell r="J210" t="str">
            <v>NUTRI</v>
          </cell>
          <cell r="K210" t="str">
            <v>LACTALIS</v>
          </cell>
          <cell r="L210" t="str">
            <v>PEDRO</v>
          </cell>
          <cell r="M210" t="str">
            <v>AMANDA</v>
          </cell>
        </row>
        <row r="211">
          <cell r="B211">
            <v>5261116</v>
          </cell>
          <cell r="C211" t="str">
            <v>C L N  SOLUCOES EM ALIM LTDA EP</v>
          </cell>
          <cell r="D211">
            <v>7001</v>
          </cell>
          <cell r="E211" t="str">
            <v>0749</v>
          </cell>
          <cell r="F211" t="str">
            <v>C5</v>
          </cell>
          <cell r="G211" t="str">
            <v>SP</v>
          </cell>
          <cell r="H211" t="str">
            <v>QSR</v>
          </cell>
          <cell r="I211" t="str">
            <v>FOOD SERVICE</v>
          </cell>
          <cell r="J211" t="str">
            <v>NUTRI</v>
          </cell>
          <cell r="K211" t="str">
            <v>LACTALIS</v>
          </cell>
          <cell r="L211" t="str">
            <v>PEDRO</v>
          </cell>
          <cell r="M211" t="str">
            <v>AMANDA</v>
          </cell>
        </row>
        <row r="212">
          <cell r="B212">
            <v>5282649</v>
          </cell>
          <cell r="C212" t="str">
            <v>C VALE COOPERATIVA AGROINDUSTRIAL</v>
          </cell>
          <cell r="D212">
            <v>4001</v>
          </cell>
          <cell r="E212" t="str">
            <v>0455</v>
          </cell>
          <cell r="F212" t="str">
            <v>C1</v>
          </cell>
          <cell r="G212" t="str">
            <v>PR</v>
          </cell>
          <cell r="H212" t="str">
            <v>INGREDIENTS</v>
          </cell>
          <cell r="I212" t="str">
            <v>INGREDIENTS</v>
          </cell>
          <cell r="J212" t="str">
            <v>MARCELO RODRIGUES</v>
          </cell>
          <cell r="K212" t="str">
            <v>LACTALIS</v>
          </cell>
          <cell r="L212" t="str">
            <v>MAURICIO</v>
          </cell>
          <cell r="M212" t="str">
            <v>MARCELO</v>
          </cell>
        </row>
        <row r="213">
          <cell r="B213">
            <v>5266825</v>
          </cell>
          <cell r="C213" t="str">
            <v>CACAU DO OESTE COM DE C E CAFE LTDA</v>
          </cell>
          <cell r="D213">
            <v>7001</v>
          </cell>
          <cell r="E213" t="str">
            <v>0749</v>
          </cell>
          <cell r="F213" t="str">
            <v>C5</v>
          </cell>
          <cell r="G213" t="str">
            <v>SP</v>
          </cell>
          <cell r="H213" t="str">
            <v>DISTRIBUIÇÃO</v>
          </cell>
          <cell r="I213" t="str">
            <v>FOOD SERVICE</v>
          </cell>
          <cell r="J213" t="str">
            <v>FLAC 6</v>
          </cell>
          <cell r="K213" t="str">
            <v>LACTALIS</v>
          </cell>
          <cell r="L213" t="str">
            <v>RODRIGO</v>
          </cell>
          <cell r="M213" t="str">
            <v>ALEXANDRO</v>
          </cell>
        </row>
        <row r="214">
          <cell r="B214">
            <v>5262293</v>
          </cell>
          <cell r="C214" t="str">
            <v>CACAU TALENTO CHOCOL E CAFE LTDA EP</v>
          </cell>
          <cell r="D214">
            <v>7001</v>
          </cell>
          <cell r="E214" t="str">
            <v>0749</v>
          </cell>
          <cell r="F214" t="str">
            <v>C5</v>
          </cell>
          <cell r="G214" t="str">
            <v>SP</v>
          </cell>
          <cell r="H214" t="str">
            <v>DISTRIBUIÇÃO</v>
          </cell>
          <cell r="I214" t="str">
            <v>FOOD SERVICE</v>
          </cell>
          <cell r="J214" t="str">
            <v>FLAC 6</v>
          </cell>
          <cell r="K214" t="str">
            <v>LACTALIS</v>
          </cell>
          <cell r="L214" t="str">
            <v>RODRIGO</v>
          </cell>
          <cell r="M214" t="str">
            <v>ALEXANDRO</v>
          </cell>
        </row>
        <row r="215">
          <cell r="B215">
            <v>5235433</v>
          </cell>
          <cell r="C215" t="str">
            <v>CAFE DO SABOR E DAS ARTES LTDA</v>
          </cell>
          <cell r="D215">
            <v>7001</v>
          </cell>
          <cell r="E215" t="str">
            <v>0749</v>
          </cell>
          <cell r="F215" t="str">
            <v>C5</v>
          </cell>
          <cell r="G215" t="str">
            <v>SP</v>
          </cell>
          <cell r="H215" t="str">
            <v>DISTRIBUIÇÃO</v>
          </cell>
          <cell r="I215" t="str">
            <v>FOOD SERVICE</v>
          </cell>
          <cell r="J215" t="str">
            <v>FLAC 5</v>
          </cell>
          <cell r="K215" t="str">
            <v>LACTALIS</v>
          </cell>
          <cell r="L215" t="str">
            <v>RODRIGO</v>
          </cell>
          <cell r="M215" t="str">
            <v>ALEXANDRO</v>
          </cell>
        </row>
        <row r="216">
          <cell r="B216">
            <v>5145924</v>
          </cell>
          <cell r="C216" t="str">
            <v>CAFE TRES CORACOES SA</v>
          </cell>
          <cell r="D216">
            <v>3001</v>
          </cell>
          <cell r="E216" t="str">
            <v>0028</v>
          </cell>
          <cell r="F216" t="str">
            <v>C1</v>
          </cell>
          <cell r="G216" t="str">
            <v>MG</v>
          </cell>
          <cell r="H216" t="str">
            <v>INGREDIENTS</v>
          </cell>
          <cell r="I216" t="str">
            <v>INGREDIENTS</v>
          </cell>
          <cell r="J216" t="str">
            <v>JOEL ELEOTÉRIO</v>
          </cell>
          <cell r="K216" t="str">
            <v>ITAMBÉ</v>
          </cell>
          <cell r="L216" t="str">
            <v>MAURICIO</v>
          </cell>
          <cell r="M216" t="str">
            <v>JOEL</v>
          </cell>
        </row>
        <row r="217">
          <cell r="B217">
            <v>5145924</v>
          </cell>
          <cell r="C217" t="str">
            <v>CAFE TRES CORACOES SA</v>
          </cell>
          <cell r="D217">
            <v>3001</v>
          </cell>
          <cell r="E217" t="str">
            <v>0122</v>
          </cell>
          <cell r="F217" t="str">
            <v>C1</v>
          </cell>
          <cell r="G217" t="str">
            <v>MG</v>
          </cell>
          <cell r="H217" t="str">
            <v>INGREDIENTS</v>
          </cell>
          <cell r="I217" t="str">
            <v>INGREDIENTS</v>
          </cell>
          <cell r="J217" t="str">
            <v>JOEL ELEOTÉRIO</v>
          </cell>
          <cell r="K217" t="str">
            <v>ITAMBÉ</v>
          </cell>
          <cell r="L217" t="str">
            <v>MAURICIO</v>
          </cell>
          <cell r="M217" t="str">
            <v>JOEL</v>
          </cell>
        </row>
        <row r="218">
          <cell r="B218">
            <v>5328848</v>
          </cell>
          <cell r="C218" t="str">
            <v>CAFETERIA PLAZA SAO BERNARDO LT</v>
          </cell>
          <cell r="D218">
            <v>7001</v>
          </cell>
          <cell r="E218" t="str">
            <v>0749</v>
          </cell>
          <cell r="F218" t="str">
            <v>C5</v>
          </cell>
          <cell r="G218" t="str">
            <v>SP</v>
          </cell>
          <cell r="H218" t="str">
            <v>DISTRIBUIÇÃO</v>
          </cell>
          <cell r="I218" t="str">
            <v>FOOD SERVICE</v>
          </cell>
          <cell r="J218" t="str">
            <v>FLAC 2</v>
          </cell>
          <cell r="K218" t="str">
            <v>LACTALIS</v>
          </cell>
          <cell r="L218" t="str">
            <v>RODRIGO</v>
          </cell>
          <cell r="M218" t="str">
            <v>ALEXANDRO</v>
          </cell>
        </row>
        <row r="219">
          <cell r="B219">
            <v>5316215</v>
          </cell>
          <cell r="C219" t="str">
            <v>CAFETERIA WISARD LTDA</v>
          </cell>
          <cell r="D219">
            <v>7001</v>
          </cell>
          <cell r="E219" t="str">
            <v>0749</v>
          </cell>
          <cell r="F219" t="str">
            <v>C5</v>
          </cell>
          <cell r="G219" t="str">
            <v>SP</v>
          </cell>
          <cell r="H219" t="str">
            <v>DISTRIBUIÇÃO</v>
          </cell>
          <cell r="I219" t="str">
            <v>FOOD SERVICE</v>
          </cell>
          <cell r="J219" t="str">
            <v>FLAC 3</v>
          </cell>
          <cell r="K219" t="str">
            <v>LACTALIS</v>
          </cell>
          <cell r="L219" t="str">
            <v>RODRIGO</v>
          </cell>
          <cell r="M219" t="str">
            <v>ALEXANDRO</v>
          </cell>
        </row>
        <row r="220">
          <cell r="B220">
            <v>5263965</v>
          </cell>
          <cell r="C220" t="str">
            <v>CAGIESSE COMERCIO EIRELI</v>
          </cell>
          <cell r="D220">
            <v>7001</v>
          </cell>
          <cell r="E220" t="str">
            <v>0749</v>
          </cell>
          <cell r="F220" t="str">
            <v>C5</v>
          </cell>
          <cell r="G220" t="str">
            <v>SP</v>
          </cell>
          <cell r="H220" t="str">
            <v>DISTRIBUIÇÃO</v>
          </cell>
          <cell r="I220" t="str">
            <v>FOOD SERVICE</v>
          </cell>
          <cell r="J220" t="str">
            <v>FLAC 2</v>
          </cell>
          <cell r="K220" t="str">
            <v>LACTALIS</v>
          </cell>
          <cell r="L220" t="str">
            <v>RODRIGO</v>
          </cell>
          <cell r="M220" t="str">
            <v>ALEXANDRO</v>
          </cell>
        </row>
        <row r="221">
          <cell r="B221">
            <v>5335135</v>
          </cell>
          <cell r="C221" t="str">
            <v>CAMARADA ADM DE RESTAURANTES</v>
          </cell>
          <cell r="D221">
            <v>7001</v>
          </cell>
          <cell r="E221" t="str">
            <v>0749</v>
          </cell>
          <cell r="F221" t="str">
            <v>C5</v>
          </cell>
          <cell r="G221" t="str">
            <v>SP</v>
          </cell>
          <cell r="H221" t="str">
            <v>QSR</v>
          </cell>
          <cell r="I221" t="str">
            <v>FOOD SERVICE</v>
          </cell>
          <cell r="J221" t="str">
            <v>AMANDA CARVALHO</v>
          </cell>
          <cell r="K221" t="str">
            <v>LACTALIS</v>
          </cell>
          <cell r="L221" t="str">
            <v>PEDRO</v>
          </cell>
          <cell r="M221" t="str">
            <v>AMANDA</v>
          </cell>
        </row>
        <row r="222">
          <cell r="B222">
            <v>5337852</v>
          </cell>
          <cell r="C222" t="str">
            <v>CAMINHO DA FAZENDA COM DE PROD ALIM LTDA</v>
          </cell>
          <cell r="D222">
            <v>7001</v>
          </cell>
          <cell r="E222" t="str">
            <v>0749</v>
          </cell>
          <cell r="F222" t="str">
            <v>C5</v>
          </cell>
          <cell r="G222" t="str">
            <v>SP</v>
          </cell>
          <cell r="H222" t="str">
            <v>DISTRIBUIÇÃO</v>
          </cell>
          <cell r="I222" t="str">
            <v>FOOD SERVICE</v>
          </cell>
          <cell r="J222" t="str">
            <v>FLAC 2</v>
          </cell>
          <cell r="K222" t="str">
            <v>LACTALIS</v>
          </cell>
          <cell r="L222" t="str">
            <v>RODRIGO</v>
          </cell>
          <cell r="M222" t="str">
            <v>ALEXANDRO</v>
          </cell>
        </row>
        <row r="223">
          <cell r="B223">
            <v>5223816</v>
          </cell>
          <cell r="C223" t="str">
            <v>CAMPO GRANDE C DE P ALIMENTICIOS LT</v>
          </cell>
          <cell r="D223">
            <v>3001</v>
          </cell>
          <cell r="E223" t="str">
            <v>0169</v>
          </cell>
          <cell r="F223" t="str">
            <v>C1</v>
          </cell>
          <cell r="G223" t="str">
            <v>ES</v>
          </cell>
          <cell r="H223" t="str">
            <v>DISTRIBUIÇÃO</v>
          </cell>
          <cell r="I223" t="str">
            <v>FOOD SERVICE</v>
          </cell>
          <cell r="J223" t="str">
            <v>MARCELO DUARTE</v>
          </cell>
          <cell r="K223" t="str">
            <v>ITAMBÉ</v>
          </cell>
          <cell r="L223" t="str">
            <v>RODRIGO</v>
          </cell>
          <cell r="M223" t="str">
            <v>JESSICA</v>
          </cell>
        </row>
        <row r="224">
          <cell r="B224">
            <v>5273626</v>
          </cell>
          <cell r="C224" t="str">
            <v>CAMPO VERDE ALIMENTOS LTDA</v>
          </cell>
          <cell r="D224">
            <v>4001</v>
          </cell>
          <cell r="E224" t="str">
            <v>0437</v>
          </cell>
          <cell r="F224" t="str">
            <v>C1</v>
          </cell>
          <cell r="G224" t="str">
            <v>SP</v>
          </cell>
          <cell r="H224" t="str">
            <v>INGREDIENTS</v>
          </cell>
          <cell r="I224" t="str">
            <v>INGREDIENTS</v>
          </cell>
          <cell r="J224" t="str">
            <v>JOEL ELEOTÉRIO</v>
          </cell>
          <cell r="K224" t="str">
            <v>LACTALIS</v>
          </cell>
          <cell r="L224" t="str">
            <v>MAURICIO</v>
          </cell>
          <cell r="M224" t="str">
            <v>JOEL</v>
          </cell>
        </row>
        <row r="225">
          <cell r="B225">
            <v>5266628</v>
          </cell>
          <cell r="C225" t="str">
            <v>CANDY STORE COM DE DOCES E PRES LTD</v>
          </cell>
          <cell r="D225">
            <v>7001</v>
          </cell>
          <cell r="E225" t="str">
            <v>0749</v>
          </cell>
          <cell r="F225" t="str">
            <v>C5</v>
          </cell>
          <cell r="G225" t="str">
            <v>SP</v>
          </cell>
          <cell r="H225" t="str">
            <v>DISTRIBUIÇÃO</v>
          </cell>
          <cell r="I225" t="str">
            <v>FOOD SERVICE</v>
          </cell>
          <cell r="J225" t="str">
            <v>FLAC 3</v>
          </cell>
          <cell r="K225" t="str">
            <v>LACTALIS</v>
          </cell>
          <cell r="L225" t="str">
            <v>RODRIGO</v>
          </cell>
          <cell r="M225" t="str">
            <v>ALEXANDRO</v>
          </cell>
        </row>
        <row r="226">
          <cell r="B226">
            <v>5175205</v>
          </cell>
          <cell r="C226" t="str">
            <v>CANELA VERDE DIST E TRANSP LTDA ME</v>
          </cell>
          <cell r="D226">
            <v>3001</v>
          </cell>
          <cell r="E226" t="str">
            <v>0169</v>
          </cell>
          <cell r="F226" t="str">
            <v>C1</v>
          </cell>
          <cell r="G226" t="str">
            <v>ES</v>
          </cell>
          <cell r="H226" t="str">
            <v>DISTRIBUIÇÃO</v>
          </cell>
          <cell r="I226" t="str">
            <v>FOOD SERVICE</v>
          </cell>
          <cell r="J226" t="str">
            <v>MARCELO DUARTE</v>
          </cell>
          <cell r="K226" t="str">
            <v>ITAMBÉ</v>
          </cell>
          <cell r="L226" t="str">
            <v>RODRIGO</v>
          </cell>
          <cell r="M226" t="str">
            <v>JESSICA</v>
          </cell>
        </row>
        <row r="227">
          <cell r="B227">
            <v>5309566</v>
          </cell>
          <cell r="C227" t="str">
            <v>CANTINHO DO BOLO LTDA</v>
          </cell>
          <cell r="D227">
            <v>7001</v>
          </cell>
          <cell r="E227" t="str">
            <v>0749</v>
          </cell>
          <cell r="F227" t="str">
            <v>C5</v>
          </cell>
          <cell r="G227" t="str">
            <v>SP</v>
          </cell>
          <cell r="H227" t="str">
            <v>DISTRIBUIÇÃO</v>
          </cell>
          <cell r="I227" t="str">
            <v>FOOD SERVICE</v>
          </cell>
          <cell r="J227" t="str">
            <v>FLAC 6</v>
          </cell>
          <cell r="K227" t="str">
            <v>LACTALIS</v>
          </cell>
          <cell r="L227" t="str">
            <v>RODRIGO</v>
          </cell>
          <cell r="M227" t="str">
            <v>ALEXANDRO</v>
          </cell>
        </row>
        <row r="228">
          <cell r="B228">
            <v>5218199</v>
          </cell>
          <cell r="C228" t="str">
            <v>CANTINHO GOURMET FAB DE ALIM CO</v>
          </cell>
          <cell r="D228">
            <v>3001</v>
          </cell>
          <cell r="E228" t="str">
            <v>0127</v>
          </cell>
          <cell r="F228" t="str">
            <v>C1</v>
          </cell>
          <cell r="G228" t="str">
            <v>BA</v>
          </cell>
          <cell r="H228" t="str">
            <v>DISTRIBUIÇÃO</v>
          </cell>
          <cell r="I228" t="str">
            <v>FOOD SERVICE</v>
          </cell>
          <cell r="J228" t="str">
            <v xml:space="preserve">KARIS FOOD / LUIZ </v>
          </cell>
          <cell r="K228" t="str">
            <v>ITAMBÉ</v>
          </cell>
          <cell r="L228" t="str">
            <v>RODRIGO</v>
          </cell>
          <cell r="M228" t="str">
            <v>VAGO NORDESTE</v>
          </cell>
        </row>
        <row r="229">
          <cell r="B229">
            <v>5327731</v>
          </cell>
          <cell r="C229" t="str">
            <v>CAORLE PIZZAS ARTESANAIS LTDA</v>
          </cell>
          <cell r="D229">
            <v>7001</v>
          </cell>
          <cell r="E229" t="str">
            <v>0749</v>
          </cell>
          <cell r="F229" t="str">
            <v>C5</v>
          </cell>
          <cell r="G229" t="str">
            <v>SP</v>
          </cell>
          <cell r="H229" t="str">
            <v>DISTRIBUIÇÃO</v>
          </cell>
          <cell r="I229" t="str">
            <v>FOOD SERVICE</v>
          </cell>
          <cell r="J229" t="str">
            <v>FLAC 2</v>
          </cell>
          <cell r="K229" t="str">
            <v>LACTALIS</v>
          </cell>
          <cell r="L229" t="str">
            <v>RODRIGO</v>
          </cell>
          <cell r="M229" t="str">
            <v>ALEXANDRO</v>
          </cell>
        </row>
        <row r="230">
          <cell r="B230">
            <v>5266756</v>
          </cell>
          <cell r="C230" t="str">
            <v>CAPITAL CAFE LTDA</v>
          </cell>
          <cell r="D230">
            <v>7001</v>
          </cell>
          <cell r="E230" t="str">
            <v>0749</v>
          </cell>
          <cell r="F230" t="str">
            <v>C5</v>
          </cell>
          <cell r="G230" t="str">
            <v>SP</v>
          </cell>
          <cell r="H230" t="str">
            <v>DISTRIBUIÇÃO</v>
          </cell>
          <cell r="I230" t="str">
            <v>FOOD SERVICE</v>
          </cell>
          <cell r="J230" t="str">
            <v>FLAC 3</v>
          </cell>
          <cell r="K230" t="str">
            <v>LACTALIS</v>
          </cell>
          <cell r="L230" t="str">
            <v>RODRIGO</v>
          </cell>
          <cell r="M230" t="str">
            <v>ALEXANDRO</v>
          </cell>
        </row>
        <row r="231">
          <cell r="B231">
            <v>5341225</v>
          </cell>
          <cell r="C231" t="str">
            <v>CAPODIFOGLIO E CIA LTDA</v>
          </cell>
          <cell r="D231">
            <v>6001</v>
          </cell>
          <cell r="E231" t="str">
            <v>6028</v>
          </cell>
          <cell r="F231" t="str">
            <v>C1</v>
          </cell>
          <cell r="G231" t="str">
            <v>SP</v>
          </cell>
          <cell r="H231" t="str">
            <v>INGREDIENTS</v>
          </cell>
          <cell r="I231" t="str">
            <v>INGREDIENTS</v>
          </cell>
          <cell r="J231" t="str">
            <v>TATIANA NITTA</v>
          </cell>
          <cell r="K231" t="str">
            <v>ITAMBÉ</v>
          </cell>
          <cell r="L231" t="str">
            <v>MAURICIO</v>
          </cell>
          <cell r="M231" t="str">
            <v>TATIANA NITTA</v>
          </cell>
        </row>
        <row r="232">
          <cell r="B232">
            <v>5256477</v>
          </cell>
          <cell r="C232" t="str">
            <v>CAPRICCHE SA</v>
          </cell>
          <cell r="D232">
            <v>4001</v>
          </cell>
          <cell r="E232" t="str">
            <v>0437</v>
          </cell>
          <cell r="F232" t="str">
            <v>C1</v>
          </cell>
          <cell r="G232" t="str">
            <v>PE</v>
          </cell>
          <cell r="H232" t="str">
            <v>INGREDIENTS</v>
          </cell>
          <cell r="I232" t="str">
            <v>INGREDIENTS</v>
          </cell>
          <cell r="J232" t="str">
            <v>JOEL ELEOTÉRIO</v>
          </cell>
          <cell r="K232" t="str">
            <v>LACTALIS</v>
          </cell>
          <cell r="L232" t="str">
            <v>MAURICIO</v>
          </cell>
          <cell r="M232" t="str">
            <v>JOEL</v>
          </cell>
        </row>
        <row r="233">
          <cell r="B233">
            <v>5170001</v>
          </cell>
          <cell r="C233" t="str">
            <v>CARAMAPPLE COMERCIAL DE ALIM LTDA M</v>
          </cell>
          <cell r="D233">
            <v>7001</v>
          </cell>
          <cell r="E233" t="str">
            <v>0749</v>
          </cell>
          <cell r="F233" t="str">
            <v>C5</v>
          </cell>
          <cell r="G233" t="str">
            <v>SP</v>
          </cell>
          <cell r="H233" t="str">
            <v>DISTRIBUIÇÃO</v>
          </cell>
          <cell r="I233" t="str">
            <v>FOOD SERVICE</v>
          </cell>
          <cell r="J233" t="str">
            <v>FLAC 6</v>
          </cell>
          <cell r="K233" t="str">
            <v>LACTALIS</v>
          </cell>
          <cell r="L233" t="str">
            <v>RODRIGO</v>
          </cell>
          <cell r="M233" t="str">
            <v>ALEXANDRO</v>
          </cell>
        </row>
        <row r="234">
          <cell r="B234">
            <v>5181665</v>
          </cell>
          <cell r="C234" t="str">
            <v>CARDEAL COM DE PROD ALIM EIRELI EPP</v>
          </cell>
          <cell r="D234">
            <v>3001</v>
          </cell>
          <cell r="E234" t="str">
            <v>0028</v>
          </cell>
          <cell r="F234" t="str">
            <v>C1</v>
          </cell>
          <cell r="G234" t="str">
            <v>AM</v>
          </cell>
          <cell r="H234" t="str">
            <v>INGREDIENTS</v>
          </cell>
          <cell r="I234" t="str">
            <v>INGREDIENTS</v>
          </cell>
          <cell r="J234" t="str">
            <v>DUAS RODAS</v>
          </cell>
          <cell r="K234" t="str">
            <v>ITAMBÉ</v>
          </cell>
          <cell r="L234" t="str">
            <v>MAURICIO</v>
          </cell>
          <cell r="M234" t="str">
            <v>JOEL</v>
          </cell>
        </row>
        <row r="235">
          <cell r="B235">
            <v>5164358</v>
          </cell>
          <cell r="C235" t="str">
            <v>CARGILL AGRICOLA SA</v>
          </cell>
          <cell r="D235">
            <v>3001</v>
          </cell>
          <cell r="E235" t="str">
            <v>0122</v>
          </cell>
          <cell r="F235" t="str">
            <v>C1</v>
          </cell>
          <cell r="G235" t="str">
            <v>SP</v>
          </cell>
          <cell r="H235" t="str">
            <v>INGREDIENTS</v>
          </cell>
          <cell r="I235" t="str">
            <v>INGREDIENTS</v>
          </cell>
          <cell r="J235" t="str">
            <v>MARCELO RODRIGUES</v>
          </cell>
          <cell r="K235" t="str">
            <v>ITAMBÉ</v>
          </cell>
          <cell r="L235" t="str">
            <v>MAURICIO</v>
          </cell>
          <cell r="M235" t="str">
            <v>MARCELO</v>
          </cell>
        </row>
        <row r="236">
          <cell r="B236">
            <v>5164358</v>
          </cell>
          <cell r="C236" t="str">
            <v>CARGILL AGRICOLA SA</v>
          </cell>
          <cell r="D236">
            <v>6001</v>
          </cell>
          <cell r="E236" t="str">
            <v>6125</v>
          </cell>
          <cell r="F236" t="str">
            <v>C1</v>
          </cell>
          <cell r="G236" t="str">
            <v>SP</v>
          </cell>
          <cell r="H236" t="str">
            <v>INGREDIENTS</v>
          </cell>
          <cell r="I236" t="str">
            <v>INGREDIENTS</v>
          </cell>
          <cell r="J236" t="str">
            <v>MARCELO RODRIGUES</v>
          </cell>
          <cell r="K236" t="str">
            <v>ITAMBÉ</v>
          </cell>
          <cell r="L236" t="str">
            <v>MAURICIO</v>
          </cell>
          <cell r="M236" t="str">
            <v>MARCELO</v>
          </cell>
        </row>
        <row r="237">
          <cell r="B237">
            <v>5226651</v>
          </cell>
          <cell r="C237" t="str">
            <v>CARINO INGREDIENTES LTDA</v>
          </cell>
          <cell r="D237">
            <v>4001</v>
          </cell>
          <cell r="E237" t="str">
            <v>0437</v>
          </cell>
          <cell r="F237" t="str">
            <v>C1</v>
          </cell>
          <cell r="G237" t="str">
            <v>SP</v>
          </cell>
          <cell r="H237" t="str">
            <v>INGREDIENTS</v>
          </cell>
          <cell r="I237" t="str">
            <v>INGREDIENTS</v>
          </cell>
          <cell r="J237" t="str">
            <v>MARCELO RODRIGUES</v>
          </cell>
          <cell r="K237" t="str">
            <v>LACTALIS</v>
          </cell>
          <cell r="L237" t="str">
            <v>MAURICIO</v>
          </cell>
          <cell r="M237" t="str">
            <v>MARCELO</v>
          </cell>
        </row>
        <row r="238">
          <cell r="B238">
            <v>5301249</v>
          </cell>
          <cell r="C238" t="str">
            <v>CARLA DANIELLE NERES 43653229820</v>
          </cell>
          <cell r="D238">
            <v>7001</v>
          </cell>
          <cell r="E238" t="str">
            <v>0749</v>
          </cell>
          <cell r="F238" t="str">
            <v>C5</v>
          </cell>
          <cell r="G238" t="str">
            <v>SP</v>
          </cell>
          <cell r="H238" t="str">
            <v>DISTRIBUIÇÃO</v>
          </cell>
          <cell r="I238" t="str">
            <v>FOOD SERVICE</v>
          </cell>
          <cell r="J238" t="str">
            <v>FLAC 6</v>
          </cell>
          <cell r="K238" t="str">
            <v>LACTALIS</v>
          </cell>
          <cell r="L238" t="str">
            <v>RODRIGO</v>
          </cell>
          <cell r="M238" t="str">
            <v>ALEXANDRO</v>
          </cell>
        </row>
        <row r="239">
          <cell r="B239">
            <v>5184715</v>
          </cell>
          <cell r="C239" t="str">
            <v>CARLOS GEOVANE ALMEIDA DE PAULA LTDA</v>
          </cell>
          <cell r="D239">
            <v>3001</v>
          </cell>
          <cell r="E239" t="str">
            <v>0028</v>
          </cell>
          <cell r="F239" t="str">
            <v>C1</v>
          </cell>
          <cell r="G239" t="str">
            <v>MS</v>
          </cell>
          <cell r="H239" t="str">
            <v>INGREDIENTS</v>
          </cell>
          <cell r="I239" t="str">
            <v>INGREDIENTS</v>
          </cell>
          <cell r="J239" t="str">
            <v>DUAS RODAS</v>
          </cell>
          <cell r="K239" t="str">
            <v>ITAMBÉ</v>
          </cell>
          <cell r="L239" t="str">
            <v>MAURICIO</v>
          </cell>
          <cell r="M239" t="str">
            <v>MARCELO</v>
          </cell>
        </row>
        <row r="240">
          <cell r="B240">
            <v>5263126</v>
          </cell>
          <cell r="C240" t="str">
            <v>CARLOS VALERIO DORNELLES BRITO 2059</v>
          </cell>
          <cell r="D240">
            <v>7001</v>
          </cell>
          <cell r="E240" t="str">
            <v>0749</v>
          </cell>
          <cell r="F240" t="str">
            <v>C5</v>
          </cell>
          <cell r="G240" t="str">
            <v>SP</v>
          </cell>
          <cell r="H240" t="str">
            <v>DISTRIBUIÇÃO</v>
          </cell>
          <cell r="I240" t="str">
            <v>FOOD SERVICE</v>
          </cell>
          <cell r="J240" t="str">
            <v>FLAC 6</v>
          </cell>
          <cell r="K240" t="str">
            <v>LACTALIS</v>
          </cell>
          <cell r="L240" t="str">
            <v>RODRIGO</v>
          </cell>
          <cell r="M240" t="str">
            <v>ALEXANDRO</v>
          </cell>
        </row>
        <row r="241">
          <cell r="B241">
            <v>5180088</v>
          </cell>
          <cell r="C241" t="str">
            <v>CARMEL IND E COM DE SOBREMESAS LTDA</v>
          </cell>
          <cell r="D241">
            <v>3001</v>
          </cell>
          <cell r="E241" t="str">
            <v>0126</v>
          </cell>
          <cell r="F241" t="str">
            <v>C1</v>
          </cell>
          <cell r="G241" t="str">
            <v>PR</v>
          </cell>
          <cell r="H241" t="str">
            <v>INGREDIENTS</v>
          </cell>
          <cell r="I241" t="str">
            <v>INGREDIENTS</v>
          </cell>
          <cell r="J241" t="str">
            <v>MARCELO RODRIGUES</v>
          </cell>
          <cell r="K241" t="str">
            <v>ITAMBÉ</v>
          </cell>
          <cell r="L241" t="str">
            <v>MAURICIO</v>
          </cell>
          <cell r="M241" t="str">
            <v>MARCELO</v>
          </cell>
        </row>
        <row r="242">
          <cell r="B242">
            <v>5316966</v>
          </cell>
          <cell r="C242" t="str">
            <v>CARMEN CARNEIRO RESTAURANTE LTDA</v>
          </cell>
          <cell r="D242">
            <v>7001</v>
          </cell>
          <cell r="E242" t="str">
            <v>0749</v>
          </cell>
          <cell r="F242" t="str">
            <v>C5</v>
          </cell>
          <cell r="G242" t="str">
            <v>SP</v>
          </cell>
          <cell r="H242" t="str">
            <v>DISTRIBUIÇÃO</v>
          </cell>
          <cell r="I242" t="str">
            <v>FOOD SERVICE</v>
          </cell>
          <cell r="J242" t="str">
            <v>FLAC 4</v>
          </cell>
          <cell r="K242" t="str">
            <v>LACTALIS</v>
          </cell>
          <cell r="L242" t="str">
            <v>RODRIGO</v>
          </cell>
          <cell r="M242" t="str">
            <v>ALEXANDRO</v>
          </cell>
        </row>
        <row r="243">
          <cell r="B243">
            <v>5280910</v>
          </cell>
          <cell r="C243" t="str">
            <v>CARMO DRINKS E LANCHES LTDA</v>
          </cell>
          <cell r="D243">
            <v>7001</v>
          </cell>
          <cell r="E243" t="str">
            <v>0749</v>
          </cell>
          <cell r="F243" t="str">
            <v>C5</v>
          </cell>
          <cell r="G243" t="str">
            <v>SP</v>
          </cell>
          <cell r="H243" t="str">
            <v>DISTRIBUIÇÃO</v>
          </cell>
          <cell r="I243" t="str">
            <v>FOOD SERVICE</v>
          </cell>
          <cell r="J243" t="str">
            <v>FLAC 3</v>
          </cell>
          <cell r="K243" t="str">
            <v>LACTALIS</v>
          </cell>
          <cell r="L243" t="str">
            <v>RODRIGO</v>
          </cell>
          <cell r="M243" t="str">
            <v>ALEXANDRO</v>
          </cell>
        </row>
        <row r="244">
          <cell r="B244">
            <v>5168173</v>
          </cell>
          <cell r="C244" t="str">
            <v>CARNIELLI DISTRIBUIDORA EIRELI EPP</v>
          </cell>
          <cell r="D244">
            <v>3001</v>
          </cell>
          <cell r="E244" t="str">
            <v>0169</v>
          </cell>
          <cell r="F244" t="str">
            <v>C1</v>
          </cell>
          <cell r="G244" t="str">
            <v>ES</v>
          </cell>
          <cell r="H244" t="str">
            <v>DISTRIBUIÇÃO</v>
          </cell>
          <cell r="I244" t="str">
            <v>FOOD SERVICE</v>
          </cell>
          <cell r="J244" t="str">
            <v>MARCELO DUARTE</v>
          </cell>
          <cell r="K244" t="str">
            <v>ITAMBÉ</v>
          </cell>
          <cell r="L244" t="str">
            <v>RODRIGO</v>
          </cell>
          <cell r="M244" t="str">
            <v>JESSICA</v>
          </cell>
        </row>
        <row r="245">
          <cell r="B245">
            <v>5015298</v>
          </cell>
          <cell r="C245" t="str">
            <v>CASA DA PANI COM DE PROD PARA PANI</v>
          </cell>
          <cell r="D245">
            <v>3001</v>
          </cell>
          <cell r="E245" t="str">
            <v>0126</v>
          </cell>
          <cell r="F245" t="str">
            <v>C1</v>
          </cell>
          <cell r="G245" t="str">
            <v>SC</v>
          </cell>
          <cell r="H245" t="str">
            <v>DISTRIBUIÇÃO</v>
          </cell>
          <cell r="I245" t="str">
            <v>FOOD SERVICE</v>
          </cell>
          <cell r="J245" t="str">
            <v>ANTÔNIO SOUZA</v>
          </cell>
          <cell r="K245" t="str">
            <v>ITAMBÉ</v>
          </cell>
          <cell r="L245" t="str">
            <v>RODRIGO</v>
          </cell>
          <cell r="M245" t="str">
            <v>VAGO SUL</v>
          </cell>
        </row>
        <row r="246">
          <cell r="B246">
            <v>5015298</v>
          </cell>
          <cell r="C246" t="str">
            <v>CASA DA PANI COM DE PROD PARA PANI</v>
          </cell>
          <cell r="D246">
            <v>4001</v>
          </cell>
          <cell r="E246" t="str">
            <v>0422</v>
          </cell>
          <cell r="F246" t="str">
            <v>C1</v>
          </cell>
          <cell r="G246" t="str">
            <v>SC</v>
          </cell>
          <cell r="H246" t="str">
            <v>DISTRIBUIÇÃO</v>
          </cell>
          <cell r="I246" t="str">
            <v>FOOD SERVICE</v>
          </cell>
          <cell r="J246" t="str">
            <v>ANTÔNIO SOUZA</v>
          </cell>
          <cell r="K246" t="str">
            <v>LACTALIS</v>
          </cell>
          <cell r="L246" t="str">
            <v>RODRIGO</v>
          </cell>
          <cell r="M246" t="str">
            <v>VAGO SUL</v>
          </cell>
        </row>
        <row r="247">
          <cell r="B247">
            <v>5197450</v>
          </cell>
          <cell r="C247" t="str">
            <v>CASA DE BOLO E CAFETERIA ACLIMACAO</v>
          </cell>
          <cell r="D247">
            <v>7001</v>
          </cell>
          <cell r="E247" t="str">
            <v>0749</v>
          </cell>
          <cell r="F247" t="str">
            <v>C5</v>
          </cell>
          <cell r="G247" t="str">
            <v>SP</v>
          </cell>
          <cell r="H247" t="str">
            <v>DISTRIBUIÇÃO</v>
          </cell>
          <cell r="I247" t="str">
            <v>FOOD SERVICE</v>
          </cell>
          <cell r="J247" t="str">
            <v>FLAC 3</v>
          </cell>
          <cell r="K247" t="str">
            <v>LACTALIS</v>
          </cell>
          <cell r="L247" t="str">
            <v>RODRIGO</v>
          </cell>
          <cell r="M247" t="str">
            <v>ALEXANDRO</v>
          </cell>
        </row>
        <row r="248">
          <cell r="B248">
            <v>5150495</v>
          </cell>
          <cell r="C248" t="str">
            <v>CASA DE BOLOS DIST LTDA EPP</v>
          </cell>
          <cell r="D248">
            <v>6001</v>
          </cell>
          <cell r="E248" t="str">
            <v>6125</v>
          </cell>
          <cell r="F248" t="str">
            <v>C1</v>
          </cell>
          <cell r="G248" t="str">
            <v>SP</v>
          </cell>
          <cell r="H248" t="str">
            <v>DISTRIBUIÇÃO</v>
          </cell>
          <cell r="I248" t="str">
            <v>FOOD SERVICE</v>
          </cell>
          <cell r="J248" t="str">
            <v>GUILHERME NASCIMENTO</v>
          </cell>
          <cell r="K248" t="str">
            <v>ITAMBÉ</v>
          </cell>
          <cell r="L248" t="str">
            <v>RODRIGO</v>
          </cell>
          <cell r="M248" t="str">
            <v>ALEXANDRO</v>
          </cell>
        </row>
        <row r="249">
          <cell r="B249">
            <v>5185642</v>
          </cell>
          <cell r="C249" t="str">
            <v>CASA DO PADEIRO COM DE PROD ALIM LT</v>
          </cell>
          <cell r="D249">
            <v>6001</v>
          </cell>
          <cell r="E249" t="str">
            <v>6125</v>
          </cell>
          <cell r="F249" t="str">
            <v>C1</v>
          </cell>
          <cell r="G249" t="str">
            <v>SP</v>
          </cell>
          <cell r="H249" t="str">
            <v>DISTRIBUIÇÃO</v>
          </cell>
          <cell r="I249" t="str">
            <v>FOOD SERVICE</v>
          </cell>
          <cell r="J249" t="str">
            <v>LUCAS ANDRADE</v>
          </cell>
          <cell r="K249" t="str">
            <v>ITAMBÉ</v>
          </cell>
          <cell r="L249" t="str">
            <v>RODRIGO</v>
          </cell>
          <cell r="M249" t="str">
            <v>RAQUEL BARBOSA</v>
          </cell>
        </row>
        <row r="250">
          <cell r="B250">
            <v>5011698</v>
          </cell>
          <cell r="C250" t="str">
            <v>CASA DO SACHET LTDA</v>
          </cell>
          <cell r="D250">
            <v>3001</v>
          </cell>
          <cell r="E250" t="str">
            <v>0123</v>
          </cell>
          <cell r="F250" t="str">
            <v>C1</v>
          </cell>
          <cell r="G250" t="str">
            <v>MS</v>
          </cell>
          <cell r="H250" t="str">
            <v>DISTRIBUIÇÃO</v>
          </cell>
          <cell r="I250" t="str">
            <v>FOOD SERVICE</v>
          </cell>
          <cell r="J250" t="str">
            <v>CLAUDIO JORGE</v>
          </cell>
          <cell r="K250" t="str">
            <v>ITAMBÉ</v>
          </cell>
          <cell r="L250" t="str">
            <v>RODRIGO</v>
          </cell>
          <cell r="M250" t="str">
            <v>MARCO AURELIO</v>
          </cell>
        </row>
        <row r="251">
          <cell r="B251">
            <v>5247711</v>
          </cell>
          <cell r="C251" t="str">
            <v>CASA DOS PAES LTDA</v>
          </cell>
          <cell r="D251">
            <v>7001</v>
          </cell>
          <cell r="E251" t="str">
            <v>0749</v>
          </cell>
          <cell r="F251" t="str">
            <v>C5</v>
          </cell>
          <cell r="G251" t="str">
            <v>SP</v>
          </cell>
          <cell r="H251" t="str">
            <v>DISTRIBUIÇÃO</v>
          </cell>
          <cell r="I251" t="str">
            <v>FOOD SERVICE</v>
          </cell>
          <cell r="J251" t="str">
            <v>FLAC 2</v>
          </cell>
          <cell r="K251" t="str">
            <v>LACTALIS</v>
          </cell>
          <cell r="L251" t="str">
            <v>RODRIGO</v>
          </cell>
          <cell r="M251" t="str">
            <v>ALEXANDRO</v>
          </cell>
        </row>
        <row r="252">
          <cell r="B252">
            <v>5278293</v>
          </cell>
          <cell r="C252" t="str">
            <v>CASA FLORA LTDA</v>
          </cell>
          <cell r="D252">
            <v>7001</v>
          </cell>
          <cell r="E252" t="str">
            <v>0749</v>
          </cell>
          <cell r="F252" t="str">
            <v>C5</v>
          </cell>
          <cell r="G252" t="str">
            <v>SP</v>
          </cell>
          <cell r="H252" t="str">
            <v>DISTRIBUIÇÃO</v>
          </cell>
          <cell r="I252" t="str">
            <v>FOOD SERVICE</v>
          </cell>
          <cell r="J252" t="str">
            <v>FLAC 1</v>
          </cell>
          <cell r="K252" t="str">
            <v>LACTALIS</v>
          </cell>
          <cell r="L252" t="str">
            <v>RODRIGO</v>
          </cell>
          <cell r="M252" t="str">
            <v>ALEXANDRO</v>
          </cell>
        </row>
        <row r="253">
          <cell r="B253">
            <v>5250674</v>
          </cell>
          <cell r="C253" t="str">
            <v>CASABLANCA BUFFET E EVENTOS</v>
          </cell>
          <cell r="D253">
            <v>7001</v>
          </cell>
          <cell r="E253" t="str">
            <v>0749</v>
          </cell>
          <cell r="F253" t="str">
            <v>C5</v>
          </cell>
          <cell r="G253" t="str">
            <v>SP</v>
          </cell>
          <cell r="H253" t="str">
            <v>DISTRIBUIÇÃO</v>
          </cell>
          <cell r="I253" t="str">
            <v>FOOD SERVICE</v>
          </cell>
          <cell r="J253" t="str">
            <v>FLAC 4</v>
          </cell>
          <cell r="K253" t="str">
            <v>LACTALIS</v>
          </cell>
          <cell r="L253" t="str">
            <v>RODRIGO</v>
          </cell>
          <cell r="M253" t="str">
            <v>ALEXANDRO</v>
          </cell>
        </row>
        <row r="254">
          <cell r="B254">
            <v>5219741</v>
          </cell>
          <cell r="C254" t="str">
            <v>CASABLANCA CAFES LTDA</v>
          </cell>
          <cell r="D254">
            <v>3001</v>
          </cell>
          <cell r="E254" t="str">
            <v>0169</v>
          </cell>
          <cell r="F254" t="str">
            <v>C1</v>
          </cell>
          <cell r="G254" t="str">
            <v>ES</v>
          </cell>
          <cell r="H254" t="str">
            <v>DISTRIBUIÇÃO</v>
          </cell>
          <cell r="I254" t="str">
            <v>FOOD SERVICE</v>
          </cell>
          <cell r="J254" t="str">
            <v>MARCELO DUARTE</v>
          </cell>
          <cell r="K254" t="str">
            <v>ITAMBÉ</v>
          </cell>
          <cell r="L254" t="str">
            <v>RODRIGO</v>
          </cell>
          <cell r="M254" t="str">
            <v>JESSICA</v>
          </cell>
        </row>
        <row r="255">
          <cell r="B255">
            <v>5320372</v>
          </cell>
          <cell r="C255" t="str">
            <v>CATERING FOOD LTDA</v>
          </cell>
          <cell r="D255">
            <v>7001</v>
          </cell>
          <cell r="E255" t="str">
            <v>0749</v>
          </cell>
          <cell r="F255" t="str">
            <v>C5</v>
          </cell>
          <cell r="G255" t="str">
            <v>SP</v>
          </cell>
          <cell r="H255" t="str">
            <v>DISTRIBUIÇÃO</v>
          </cell>
          <cell r="I255" t="str">
            <v>FOOD SERVICE</v>
          </cell>
          <cell r="J255" t="str">
            <v>FLAC 5</v>
          </cell>
          <cell r="K255" t="str">
            <v>LACTALIS</v>
          </cell>
          <cell r="L255" t="str">
            <v>RODRIGO</v>
          </cell>
          <cell r="M255" t="str">
            <v>ALEXANDRO</v>
          </cell>
        </row>
        <row r="256">
          <cell r="B256">
            <v>5003628</v>
          </cell>
          <cell r="C256" t="str">
            <v>CATHITA COM E DIST ALIMENTOS EIRELI</v>
          </cell>
          <cell r="D256">
            <v>6001</v>
          </cell>
          <cell r="E256" t="str">
            <v>6125</v>
          </cell>
          <cell r="F256" t="str">
            <v>C1</v>
          </cell>
          <cell r="G256" t="str">
            <v>SP</v>
          </cell>
          <cell r="H256" t="str">
            <v>DISTRIBUIÇÃO</v>
          </cell>
          <cell r="I256" t="str">
            <v>FOOD SERVICE</v>
          </cell>
          <cell r="J256" t="str">
            <v>LUCAS ANDRADE</v>
          </cell>
          <cell r="K256" t="str">
            <v>ITAMBÉ</v>
          </cell>
          <cell r="L256" t="str">
            <v>RODRIGO</v>
          </cell>
          <cell r="M256" t="str">
            <v>RAQUEL BARBOSA</v>
          </cell>
        </row>
        <row r="257">
          <cell r="B257">
            <v>5234738</v>
          </cell>
          <cell r="C257" t="str">
            <v>CATUABA INDUSTRIA DE BEBIDAS SA</v>
          </cell>
          <cell r="D257">
            <v>3001</v>
          </cell>
          <cell r="E257" t="str">
            <v>0122</v>
          </cell>
          <cell r="F257" t="str">
            <v>C1</v>
          </cell>
          <cell r="G257" t="str">
            <v>ES</v>
          </cell>
          <cell r="H257" t="str">
            <v>INGREDIENTS</v>
          </cell>
          <cell r="I257" t="str">
            <v>INGREDIENTS</v>
          </cell>
          <cell r="J257" t="str">
            <v>HENRIQUE FERREIRA</v>
          </cell>
          <cell r="K257" t="str">
            <v>ITAMBÉ</v>
          </cell>
          <cell r="L257" t="str">
            <v>MAURICIO</v>
          </cell>
          <cell r="M257" t="str">
            <v>JOEL</v>
          </cell>
        </row>
        <row r="258">
          <cell r="B258">
            <v>5312767</v>
          </cell>
          <cell r="C258" t="str">
            <v>CAUE DISTRIBUIDORA DE AGUA MINERAL</v>
          </cell>
          <cell r="D258">
            <v>7001</v>
          </cell>
          <cell r="E258" t="str">
            <v>0749</v>
          </cell>
          <cell r="F258" t="str">
            <v>C5</v>
          </cell>
          <cell r="G258" t="str">
            <v>SP</v>
          </cell>
          <cell r="H258" t="str">
            <v>DISTRIBUIÇÃO</v>
          </cell>
          <cell r="I258" t="str">
            <v>FOOD SERVICE</v>
          </cell>
          <cell r="J258" t="str">
            <v>FLAC 1</v>
          </cell>
          <cell r="K258" t="str">
            <v>LACTALIS</v>
          </cell>
          <cell r="L258" t="str">
            <v>RODRIGO</v>
          </cell>
          <cell r="M258" t="str">
            <v>ALEXANDRO</v>
          </cell>
        </row>
        <row r="259">
          <cell r="B259">
            <v>5333911</v>
          </cell>
          <cell r="C259" t="str">
            <v>CAUE SUPRIMENTOS COM E SERVICOS</v>
          </cell>
          <cell r="D259">
            <v>7001</v>
          </cell>
          <cell r="E259" t="str">
            <v>0749</v>
          </cell>
          <cell r="F259" t="str">
            <v>C5</v>
          </cell>
          <cell r="G259" t="str">
            <v>SP</v>
          </cell>
          <cell r="H259" t="str">
            <v>DISTRIBUIÇÃO</v>
          </cell>
          <cell r="I259" t="str">
            <v>FOOD SERVICE</v>
          </cell>
          <cell r="J259" t="str">
            <v>FLAC 1</v>
          </cell>
          <cell r="K259" t="str">
            <v>LACTALIS</v>
          </cell>
          <cell r="L259" t="str">
            <v>RODRIGO</v>
          </cell>
          <cell r="M259" t="str">
            <v>ALEXANDRO</v>
          </cell>
        </row>
        <row r="260">
          <cell r="B260">
            <v>5314250</v>
          </cell>
          <cell r="C260" t="str">
            <v>CB BEN PORT COM DE P ALIM LTDA</v>
          </cell>
          <cell r="D260">
            <v>7001</v>
          </cell>
          <cell r="E260" t="str">
            <v>0749</v>
          </cell>
          <cell r="F260" t="str">
            <v>C5</v>
          </cell>
          <cell r="G260" t="str">
            <v>SP</v>
          </cell>
          <cell r="H260" t="str">
            <v>DISTRIBUIÇÃO</v>
          </cell>
          <cell r="I260" t="str">
            <v>FOOD SERVICE</v>
          </cell>
          <cell r="J260" t="str">
            <v>FLAC 3</v>
          </cell>
          <cell r="K260" t="str">
            <v>LACTALIS</v>
          </cell>
          <cell r="L260" t="str">
            <v>RODRIGO</v>
          </cell>
          <cell r="M260" t="str">
            <v>ALEXANDRO</v>
          </cell>
        </row>
        <row r="261">
          <cell r="B261">
            <v>5302285</v>
          </cell>
          <cell r="C261" t="str">
            <v>CB METROPOLITANO COMERCIO DE PRODUT</v>
          </cell>
          <cell r="D261">
            <v>7001</v>
          </cell>
          <cell r="E261" t="str">
            <v>0749</v>
          </cell>
          <cell r="F261" t="str">
            <v>C5</v>
          </cell>
          <cell r="G261" t="str">
            <v>SP</v>
          </cell>
          <cell r="H261" t="str">
            <v>DISTRIBUIÇÃO</v>
          </cell>
          <cell r="I261" t="str">
            <v>FOOD SERVICE</v>
          </cell>
          <cell r="J261" t="str">
            <v>FLAC 3</v>
          </cell>
          <cell r="K261" t="str">
            <v>LACTALIS</v>
          </cell>
          <cell r="L261" t="str">
            <v>RODRIGO</v>
          </cell>
          <cell r="M261" t="str">
            <v>ALEXANDRO</v>
          </cell>
        </row>
        <row r="262">
          <cell r="B262">
            <v>5248870</v>
          </cell>
          <cell r="C262" t="str">
            <v>CBB FARIA L ADM HOTEL E COMERCIAL</v>
          </cell>
          <cell r="D262">
            <v>7001</v>
          </cell>
          <cell r="E262" t="str">
            <v>0749</v>
          </cell>
          <cell r="F262" t="str">
            <v>C5</v>
          </cell>
          <cell r="G262" t="str">
            <v>SP</v>
          </cell>
          <cell r="H262" t="str">
            <v>DISTRIBUIÇÃO</v>
          </cell>
          <cell r="I262" t="str">
            <v>FOOD SERVICE</v>
          </cell>
          <cell r="J262" t="str">
            <v>FLAC 6</v>
          </cell>
          <cell r="K262" t="str">
            <v>LACTALIS</v>
          </cell>
          <cell r="L262" t="str">
            <v>RODRIGO</v>
          </cell>
          <cell r="M262" t="str">
            <v>ALEXANDRO</v>
          </cell>
        </row>
        <row r="263">
          <cell r="B263">
            <v>5040108</v>
          </cell>
          <cell r="C263" t="str">
            <v>CCN COMERCIO CENTRO NORTE ALIM LTDA</v>
          </cell>
          <cell r="D263">
            <v>3001</v>
          </cell>
          <cell r="E263" t="str">
            <v>0169</v>
          </cell>
          <cell r="F263" t="str">
            <v>C1</v>
          </cell>
          <cell r="G263" t="str">
            <v>RJ</v>
          </cell>
          <cell r="H263" t="str">
            <v>DISTRIBUIÇÃO</v>
          </cell>
          <cell r="I263" t="str">
            <v>FOOD SERVICE</v>
          </cell>
          <cell r="J263" t="str">
            <v>CLAUDIO JORGE</v>
          </cell>
          <cell r="K263" t="str">
            <v>ITAMBÉ</v>
          </cell>
          <cell r="L263" t="str">
            <v>RODRIGO</v>
          </cell>
          <cell r="M263" t="str">
            <v>JESSICA</v>
          </cell>
        </row>
        <row r="264">
          <cell r="B264">
            <v>5130343</v>
          </cell>
          <cell r="C264" t="str">
            <v>CDI BARRA PROD IMP E EXPORTACAO LTD</v>
          </cell>
          <cell r="D264">
            <v>6001</v>
          </cell>
          <cell r="E264" t="str">
            <v>6125</v>
          </cell>
          <cell r="F264" t="str">
            <v>C1</v>
          </cell>
          <cell r="G264" t="str">
            <v>SP</v>
          </cell>
          <cell r="H264" t="str">
            <v>DISTRIBUIÇÃO</v>
          </cell>
          <cell r="I264" t="str">
            <v>FOOD SERVICE</v>
          </cell>
          <cell r="J264" t="str">
            <v>GUILHERME NASCIMENTO</v>
          </cell>
          <cell r="K264" t="str">
            <v>ITAMBÉ</v>
          </cell>
          <cell r="L264" t="str">
            <v>RODRIGO</v>
          </cell>
          <cell r="M264" t="str">
            <v>ALEXANDRO</v>
          </cell>
        </row>
        <row r="265">
          <cell r="B265">
            <v>5207940</v>
          </cell>
          <cell r="C265" t="str">
            <v>CEIA CEARA INDUSTRIAL DE ALIMENTOS</v>
          </cell>
          <cell r="D265">
            <v>3001</v>
          </cell>
          <cell r="E265" t="str">
            <v>0127</v>
          </cell>
          <cell r="F265" t="str">
            <v>C1</v>
          </cell>
          <cell r="G265" t="str">
            <v>CE</v>
          </cell>
          <cell r="H265" t="str">
            <v>DISTRIBUIÇÃO</v>
          </cell>
          <cell r="I265" t="str">
            <v>FOOD SERVICE</v>
          </cell>
          <cell r="J265" t="str">
            <v>WH FOOD SERVICE CE</v>
          </cell>
          <cell r="K265" t="str">
            <v>ITAMBÉ</v>
          </cell>
          <cell r="L265" t="str">
            <v>RODRIGO</v>
          </cell>
          <cell r="M265" t="str">
            <v>VAGO NORDESTE</v>
          </cell>
        </row>
        <row r="266">
          <cell r="B266">
            <v>5268096</v>
          </cell>
          <cell r="C266" t="str">
            <v>CENT TECN DA MAR NO RIO DE JANEIRO</v>
          </cell>
          <cell r="D266">
            <v>3001</v>
          </cell>
          <cell r="E266" t="str">
            <v>0121</v>
          </cell>
          <cell r="F266" t="str">
            <v>C1</v>
          </cell>
          <cell r="G266" t="str">
            <v>RJ</v>
          </cell>
          <cell r="H266" t="str">
            <v>OUTROS</v>
          </cell>
          <cell r="I266" t="str">
            <v>OUTROS</v>
          </cell>
          <cell r="J266" t="str">
            <v>EDUARDO LEITE LEVE LEITE</v>
          </cell>
          <cell r="K266" t="str">
            <v>OUTROS</v>
          </cell>
          <cell r="L266" t="str">
            <v>OUTROS</v>
          </cell>
          <cell r="M266" t="str">
            <v>LICITAÇÃO</v>
          </cell>
        </row>
        <row r="267">
          <cell r="B267">
            <v>5279324</v>
          </cell>
          <cell r="C267" t="str">
            <v>CENTER NORTE SA CONS EMPR ADM</v>
          </cell>
          <cell r="D267">
            <v>7001</v>
          </cell>
          <cell r="E267" t="str">
            <v>0749</v>
          </cell>
          <cell r="F267" t="str">
            <v>C5</v>
          </cell>
          <cell r="G267" t="str">
            <v>SP</v>
          </cell>
          <cell r="H267" t="str">
            <v>DISTRIBUIÇÃO</v>
          </cell>
          <cell r="I267" t="str">
            <v>FOOD SERVICE</v>
          </cell>
          <cell r="J267" t="str">
            <v>FLAC 6</v>
          </cell>
          <cell r="K267" t="str">
            <v>LACTALIS</v>
          </cell>
          <cell r="L267" t="str">
            <v>RODRIGO</v>
          </cell>
          <cell r="M267" t="str">
            <v>ALEXANDRO</v>
          </cell>
        </row>
        <row r="268">
          <cell r="B268">
            <v>5109334</v>
          </cell>
          <cell r="C268" t="str">
            <v>CENTRAL OSASCO DIST ALIM E BEBI</v>
          </cell>
          <cell r="D268">
            <v>6001</v>
          </cell>
          <cell r="E268" t="str">
            <v>6125</v>
          </cell>
          <cell r="F268" t="str">
            <v>C1</v>
          </cell>
          <cell r="G268" t="str">
            <v>SP</v>
          </cell>
          <cell r="H268" t="str">
            <v>INGREDIENTS</v>
          </cell>
          <cell r="I268" t="str">
            <v>INGREDIENTS</v>
          </cell>
          <cell r="J268" t="str">
            <v>DUAS RODAS</v>
          </cell>
          <cell r="K268" t="str">
            <v>ITAMBÉ</v>
          </cell>
          <cell r="L268" t="str">
            <v>MAURICIO</v>
          </cell>
          <cell r="M268" t="str">
            <v>TATIANA NITTA</v>
          </cell>
        </row>
        <row r="269">
          <cell r="B269">
            <v>5015262</v>
          </cell>
          <cell r="C269" t="str">
            <v>CENTRO COMERCIAL DE ALIMENTOS LTDA</v>
          </cell>
          <cell r="D269">
            <v>3001</v>
          </cell>
          <cell r="E269" t="str">
            <v>0126</v>
          </cell>
          <cell r="F269" t="str">
            <v>C1</v>
          </cell>
          <cell r="G269" t="str">
            <v>SC</v>
          </cell>
          <cell r="H269" t="str">
            <v>DISTRIBUIÇÃO</v>
          </cell>
          <cell r="I269" t="str">
            <v>FOOD SERVICE</v>
          </cell>
          <cell r="J269" t="str">
            <v>ANTÔNIO SOUZA</v>
          </cell>
          <cell r="K269" t="str">
            <v>ITAMBÉ</v>
          </cell>
          <cell r="L269" t="str">
            <v>RODRIGO</v>
          </cell>
          <cell r="M269" t="str">
            <v>VAGO SUL</v>
          </cell>
        </row>
        <row r="270">
          <cell r="B270">
            <v>5282722</v>
          </cell>
          <cell r="C270" t="str">
            <v>CENTRO DE ASSISTENCIA SOCIAL</v>
          </cell>
          <cell r="D270">
            <v>7001</v>
          </cell>
          <cell r="E270" t="str">
            <v>0749</v>
          </cell>
          <cell r="F270" t="str">
            <v>C5</v>
          </cell>
          <cell r="G270" t="str">
            <v>SP</v>
          </cell>
          <cell r="H270" t="str">
            <v>DISTRIBUIÇÃO</v>
          </cell>
          <cell r="I270" t="str">
            <v>FOOD SERVICE</v>
          </cell>
          <cell r="J270" t="str">
            <v>FLAC 6</v>
          </cell>
          <cell r="K270" t="str">
            <v>LACTALIS</v>
          </cell>
          <cell r="L270" t="str">
            <v>RODRIGO</v>
          </cell>
          <cell r="M270" t="str">
            <v>ALEXANDRO</v>
          </cell>
        </row>
        <row r="271">
          <cell r="B271">
            <v>5312160</v>
          </cell>
          <cell r="C271" t="str">
            <v>CEPAM PANIFICADORA E RESTAURANTE LT</v>
          </cell>
          <cell r="D271">
            <v>7001</v>
          </cell>
          <cell r="E271" t="str">
            <v>0749</v>
          </cell>
          <cell r="F271" t="str">
            <v>C5</v>
          </cell>
          <cell r="G271" t="str">
            <v>SP</v>
          </cell>
          <cell r="H271" t="str">
            <v>DISTRIBUIÇÃO</v>
          </cell>
          <cell r="I271" t="str">
            <v>FOOD SERVICE</v>
          </cell>
          <cell r="J271" t="str">
            <v>FLAC 3</v>
          </cell>
          <cell r="K271" t="str">
            <v>LACTALIS</v>
          </cell>
          <cell r="L271" t="str">
            <v>RODRIGO</v>
          </cell>
          <cell r="M271" t="str">
            <v>ALEXANDRO</v>
          </cell>
        </row>
        <row r="272">
          <cell r="B272">
            <v>5263196</v>
          </cell>
          <cell r="C272" t="str">
            <v>CERBAIA PROM DE EVENTOS</v>
          </cell>
          <cell r="D272">
            <v>7001</v>
          </cell>
          <cell r="E272" t="str">
            <v>0749</v>
          </cell>
          <cell r="F272" t="str">
            <v>C5</v>
          </cell>
          <cell r="G272" t="str">
            <v>SP</v>
          </cell>
          <cell r="H272" t="str">
            <v>DISTRIBUIÇÃO</v>
          </cell>
          <cell r="I272" t="str">
            <v>FOOD SERVICE</v>
          </cell>
          <cell r="J272" t="str">
            <v>FLAC 6</v>
          </cell>
          <cell r="K272" t="str">
            <v>LACTALIS</v>
          </cell>
          <cell r="L272" t="str">
            <v>RODRIGO</v>
          </cell>
          <cell r="M272" t="str">
            <v>ALEXANDRO</v>
          </cell>
        </row>
        <row r="273">
          <cell r="B273">
            <v>5015829</v>
          </cell>
          <cell r="C273" t="str">
            <v>CESTA BASICA BRASIL COMERCIO ALIM E</v>
          </cell>
          <cell r="D273">
            <v>7001</v>
          </cell>
          <cell r="E273" t="str">
            <v>0749</v>
          </cell>
          <cell r="F273" t="str">
            <v>C5</v>
          </cell>
          <cell r="G273" t="str">
            <v>SP</v>
          </cell>
          <cell r="H273" t="str">
            <v>DISTRIBUIÇÃO</v>
          </cell>
          <cell r="I273" t="str">
            <v>FOOD SERVICE</v>
          </cell>
          <cell r="J273" t="str">
            <v>FLAC 7</v>
          </cell>
          <cell r="K273" t="str">
            <v>LACTALIS</v>
          </cell>
          <cell r="L273" t="str">
            <v>RODRIGO</v>
          </cell>
          <cell r="M273" t="str">
            <v>ALEXANDRO</v>
          </cell>
        </row>
        <row r="274">
          <cell r="B274">
            <v>5248655</v>
          </cell>
          <cell r="C274" t="str">
            <v>CESTA SILCO LTDA</v>
          </cell>
          <cell r="D274">
            <v>7001</v>
          </cell>
          <cell r="E274" t="str">
            <v>0749</v>
          </cell>
          <cell r="F274" t="str">
            <v>C5</v>
          </cell>
          <cell r="G274" t="str">
            <v>SP</v>
          </cell>
          <cell r="H274" t="str">
            <v>DISTRIBUIÇÃO</v>
          </cell>
          <cell r="I274" t="str">
            <v>FOOD SERVICE</v>
          </cell>
          <cell r="J274" t="str">
            <v>FLAC 1</v>
          </cell>
          <cell r="K274" t="str">
            <v>LACTALIS</v>
          </cell>
          <cell r="L274" t="str">
            <v>RODRIGO</v>
          </cell>
          <cell r="M274" t="str">
            <v>ALEXANDRO</v>
          </cell>
        </row>
        <row r="275">
          <cell r="B275">
            <v>5172442</v>
          </cell>
          <cell r="C275" t="str">
            <v>CEVIS PADARIA E COM DE ALIM LTDA EP</v>
          </cell>
          <cell r="D275">
            <v>7001</v>
          </cell>
          <cell r="E275" t="str">
            <v>0749</v>
          </cell>
          <cell r="F275" t="str">
            <v>C5</v>
          </cell>
          <cell r="G275" t="str">
            <v>SP</v>
          </cell>
          <cell r="H275" t="str">
            <v>DISTRIBUIÇÃO</v>
          </cell>
          <cell r="I275" t="str">
            <v>FOOD SERVICE</v>
          </cell>
          <cell r="J275" t="str">
            <v>FLAC 3</v>
          </cell>
          <cell r="K275" t="str">
            <v>LACTALIS</v>
          </cell>
          <cell r="L275" t="str">
            <v>RODRIGO</v>
          </cell>
          <cell r="M275" t="str">
            <v>ALEXANDRO</v>
          </cell>
        </row>
        <row r="276">
          <cell r="B276">
            <v>5221399</v>
          </cell>
          <cell r="C276" t="str">
            <v>CG FOOD S DISTRIBUIDORA DE ALIM LTD</v>
          </cell>
          <cell r="D276">
            <v>7001</v>
          </cell>
          <cell r="E276" t="str">
            <v>0749</v>
          </cell>
          <cell r="F276" t="str">
            <v>C5</v>
          </cell>
          <cell r="G276" t="str">
            <v>SP</v>
          </cell>
          <cell r="H276" t="str">
            <v>DISTRIBUIÇÃO</v>
          </cell>
          <cell r="I276" t="str">
            <v>FOOD SERVICE</v>
          </cell>
          <cell r="J276" t="str">
            <v>FLAC 1</v>
          </cell>
          <cell r="K276" t="str">
            <v>LACTALIS</v>
          </cell>
          <cell r="L276" t="str">
            <v>RODRIGO</v>
          </cell>
          <cell r="M276" t="str">
            <v>ALEXANDRO</v>
          </cell>
        </row>
        <row r="277">
          <cell r="B277">
            <v>5321120</v>
          </cell>
          <cell r="C277" t="str">
            <v>CHALANA SORVETES LTDA ME</v>
          </cell>
          <cell r="D277">
            <v>3001</v>
          </cell>
          <cell r="E277" t="str">
            <v>0028</v>
          </cell>
          <cell r="F277" t="str">
            <v>C1</v>
          </cell>
          <cell r="G277" t="str">
            <v>MS</v>
          </cell>
          <cell r="H277" t="str">
            <v>INGREDIENTS</v>
          </cell>
          <cell r="I277" t="str">
            <v>INGREDIENTS</v>
          </cell>
          <cell r="J277" t="str">
            <v>DUAS RODAS</v>
          </cell>
          <cell r="K277" t="str">
            <v>ITAMBÉ</v>
          </cell>
          <cell r="L277" t="str">
            <v>MAURICIO</v>
          </cell>
          <cell r="M277" t="str">
            <v>MARCELO</v>
          </cell>
        </row>
        <row r="278">
          <cell r="B278">
            <v>5293612</v>
          </cell>
          <cell r="C278" t="str">
            <v>CHARLES REFEICOES LTDA</v>
          </cell>
          <cell r="D278">
            <v>7001</v>
          </cell>
          <cell r="E278" t="str">
            <v>0749</v>
          </cell>
          <cell r="F278" t="str">
            <v>C5</v>
          </cell>
          <cell r="G278" t="str">
            <v>SP</v>
          </cell>
          <cell r="H278" t="str">
            <v>DISTRIBUIÇÃO</v>
          </cell>
          <cell r="I278" t="str">
            <v>FOOD SERVICE</v>
          </cell>
          <cell r="J278" t="str">
            <v>FLAC 2</v>
          </cell>
          <cell r="K278" t="str">
            <v>LACTALIS</v>
          </cell>
          <cell r="L278" t="str">
            <v>RODRIGO</v>
          </cell>
          <cell r="M278" t="str">
            <v>ALEXANDRO</v>
          </cell>
        </row>
        <row r="279">
          <cell r="B279">
            <v>5325838</v>
          </cell>
          <cell r="C279" t="str">
            <v>CHARLIE TECNOLOGIA E ACOMODACOES S</v>
          </cell>
          <cell r="D279">
            <v>7001</v>
          </cell>
          <cell r="E279" t="str">
            <v>0749</v>
          </cell>
          <cell r="F279" t="str">
            <v>C5</v>
          </cell>
          <cell r="G279" t="str">
            <v>SP</v>
          </cell>
          <cell r="H279" t="str">
            <v>DISTRIBUIÇÃO</v>
          </cell>
          <cell r="I279" t="str">
            <v>FOOD SERVICE</v>
          </cell>
          <cell r="J279" t="str">
            <v>FLAC 4</v>
          </cell>
          <cell r="K279" t="str">
            <v>LACTALIS</v>
          </cell>
          <cell r="L279" t="str">
            <v>RODRIGO</v>
          </cell>
          <cell r="M279" t="str">
            <v>ALEXANDRO</v>
          </cell>
        </row>
        <row r="280">
          <cell r="B280">
            <v>5099096</v>
          </cell>
          <cell r="C280" t="str">
            <v>CHARLOTTE IND COM PRODUTOS ALIM</v>
          </cell>
          <cell r="D280">
            <v>4001</v>
          </cell>
          <cell r="E280" t="str">
            <v>0455</v>
          </cell>
          <cell r="F280" t="str">
            <v>C1</v>
          </cell>
          <cell r="G280" t="str">
            <v>PR</v>
          </cell>
          <cell r="H280" t="str">
            <v>INGREDIENTS</v>
          </cell>
          <cell r="I280" t="str">
            <v>INGREDIENTS</v>
          </cell>
          <cell r="J280" t="str">
            <v>MARCELO RODRIGUES</v>
          </cell>
          <cell r="K280" t="str">
            <v>LACTALIS</v>
          </cell>
          <cell r="L280" t="str">
            <v>MAURICIO</v>
          </cell>
          <cell r="M280" t="str">
            <v>MARCELO</v>
          </cell>
        </row>
        <row r="281">
          <cell r="B281">
            <v>5309881</v>
          </cell>
          <cell r="C281" t="str">
            <v>CHEZ ROBERTA PRODUTOS ALIMENTARES A</v>
          </cell>
          <cell r="D281">
            <v>7001</v>
          </cell>
          <cell r="E281" t="str">
            <v>0749</v>
          </cell>
          <cell r="F281" t="str">
            <v>C5</v>
          </cell>
          <cell r="G281" t="str">
            <v>SP</v>
          </cell>
          <cell r="H281" t="str">
            <v>DISTRIBUIÇÃO</v>
          </cell>
          <cell r="I281" t="str">
            <v>FOOD SERVICE</v>
          </cell>
          <cell r="J281" t="str">
            <v>FLAC 6</v>
          </cell>
          <cell r="K281" t="str">
            <v>LACTALIS</v>
          </cell>
          <cell r="L281" t="str">
            <v>RODRIGO</v>
          </cell>
          <cell r="M281" t="str">
            <v>ALEXANDRO</v>
          </cell>
        </row>
        <row r="282">
          <cell r="B282">
            <v>5219565</v>
          </cell>
          <cell r="C282" t="str">
            <v>CHOCOLATES GAROTO LTDA</v>
          </cell>
          <cell r="D282">
            <v>3001</v>
          </cell>
          <cell r="E282" t="str">
            <v>0028</v>
          </cell>
          <cell r="F282" t="str">
            <v>C1</v>
          </cell>
          <cell r="G282" t="str">
            <v>SP</v>
          </cell>
          <cell r="H282" t="str">
            <v>INGREDIENTS</v>
          </cell>
          <cell r="I282" t="str">
            <v>INGREDIENTS</v>
          </cell>
          <cell r="J282" t="str">
            <v>MARCELO RODRIGUES</v>
          </cell>
          <cell r="K282" t="str">
            <v>ITAMBÉ</v>
          </cell>
          <cell r="L282" t="str">
            <v>MAURICIO</v>
          </cell>
          <cell r="M282" t="str">
            <v>MARCELO</v>
          </cell>
        </row>
        <row r="283">
          <cell r="B283">
            <v>5022847</v>
          </cell>
          <cell r="C283" t="str">
            <v>CHOCOLIDER COM EMBALAGENS LTDA EPP</v>
          </cell>
          <cell r="D283">
            <v>6001</v>
          </cell>
          <cell r="E283" t="str">
            <v>6125</v>
          </cell>
          <cell r="F283" t="str">
            <v>C1</v>
          </cell>
          <cell r="G283" t="str">
            <v>SP</v>
          </cell>
          <cell r="H283" t="str">
            <v>DISTRIBUIÇÃO</v>
          </cell>
          <cell r="I283" t="str">
            <v>FOOD SERVICE</v>
          </cell>
          <cell r="J283" t="str">
            <v>EMMANUEL FRANCISCO</v>
          </cell>
          <cell r="K283" t="str">
            <v>ITAMBÉ</v>
          </cell>
          <cell r="L283" t="str">
            <v>RODRIGO</v>
          </cell>
          <cell r="M283" t="str">
            <v>ALEXANDRO</v>
          </cell>
        </row>
        <row r="284">
          <cell r="B284">
            <v>5330544</v>
          </cell>
          <cell r="C284" t="str">
            <v>CHOKDOCE COM PROD ALIMENTICIOS</v>
          </cell>
          <cell r="D284">
            <v>6001</v>
          </cell>
          <cell r="E284" t="str">
            <v>6125</v>
          </cell>
          <cell r="F284" t="str">
            <v>C1</v>
          </cell>
          <cell r="G284" t="str">
            <v>SP</v>
          </cell>
          <cell r="H284" t="str">
            <v>DISTRIBUIÇÃO</v>
          </cell>
          <cell r="I284" t="str">
            <v>FOOD SERVICE</v>
          </cell>
          <cell r="J284" t="str">
            <v>EMMANUEL FRANCISCO</v>
          </cell>
          <cell r="K284" t="str">
            <v>ITAMBÉ</v>
          </cell>
          <cell r="L284" t="str">
            <v>RODRIGO</v>
          </cell>
          <cell r="M284" t="str">
            <v>VAGO SP - INTERIOR</v>
          </cell>
        </row>
        <row r="285">
          <cell r="B285">
            <v>5260049</v>
          </cell>
          <cell r="C285" t="str">
            <v>CHUCRE CHURROS GOURMET LTDA</v>
          </cell>
          <cell r="D285">
            <v>7001</v>
          </cell>
          <cell r="E285" t="str">
            <v>0749</v>
          </cell>
          <cell r="F285" t="str">
            <v>C5</v>
          </cell>
          <cell r="G285" t="str">
            <v>SP</v>
          </cell>
          <cell r="H285" t="str">
            <v>DISTRIBUIÇÃO</v>
          </cell>
          <cell r="I285" t="str">
            <v>FOOD SERVICE</v>
          </cell>
          <cell r="J285" t="str">
            <v>FLAC 2</v>
          </cell>
          <cell r="K285" t="str">
            <v>LACTALIS</v>
          </cell>
          <cell r="L285" t="str">
            <v>RODRIGO</v>
          </cell>
          <cell r="M285" t="str">
            <v>ALEXANDRO</v>
          </cell>
        </row>
        <row r="286">
          <cell r="B286">
            <v>5260140</v>
          </cell>
          <cell r="C286" t="str">
            <v>CHURRASCARIA DO BOSQUE LTDA</v>
          </cell>
          <cell r="D286">
            <v>7001</v>
          </cell>
          <cell r="E286" t="str">
            <v>0749</v>
          </cell>
          <cell r="F286" t="str">
            <v>C5</v>
          </cell>
          <cell r="G286" t="str">
            <v>SP</v>
          </cell>
          <cell r="H286" t="str">
            <v>DISTRIBUIÇÃO</v>
          </cell>
          <cell r="I286" t="str">
            <v>FOOD SERVICE</v>
          </cell>
          <cell r="J286" t="str">
            <v>FLAC 6</v>
          </cell>
          <cell r="K286" t="str">
            <v>LACTALIS</v>
          </cell>
          <cell r="L286" t="str">
            <v>RODRIGO</v>
          </cell>
          <cell r="M286" t="str">
            <v>ALEXANDRO</v>
          </cell>
        </row>
        <row r="287">
          <cell r="B287">
            <v>5297751</v>
          </cell>
          <cell r="C287" t="str">
            <v>CHURRASCARIA PONTEIO LTDA</v>
          </cell>
          <cell r="D287">
            <v>7001</v>
          </cell>
          <cell r="E287" t="str">
            <v>0749</v>
          </cell>
          <cell r="F287" t="str">
            <v>C5</v>
          </cell>
          <cell r="G287" t="str">
            <v>SP</v>
          </cell>
          <cell r="H287" t="str">
            <v>DISTRIBUIÇÃO</v>
          </cell>
          <cell r="I287" t="str">
            <v>FOOD SERVICE</v>
          </cell>
          <cell r="J287" t="str">
            <v>FLAC 3</v>
          </cell>
          <cell r="K287" t="str">
            <v>LACTALIS</v>
          </cell>
          <cell r="L287" t="str">
            <v>RODRIGO</v>
          </cell>
          <cell r="M287" t="str">
            <v>ALEXANDRO</v>
          </cell>
        </row>
        <row r="288">
          <cell r="B288">
            <v>5181722</v>
          </cell>
          <cell r="C288" t="str">
            <v>CINDERELA SORVETES LTDA ME</v>
          </cell>
          <cell r="D288">
            <v>3001</v>
          </cell>
          <cell r="E288" t="str">
            <v>0028</v>
          </cell>
          <cell r="F288" t="str">
            <v>C1</v>
          </cell>
          <cell r="G288" t="str">
            <v>ES</v>
          </cell>
          <cell r="H288" t="str">
            <v>INGREDIENTS</v>
          </cell>
          <cell r="I288" t="str">
            <v>INGREDIENTS</v>
          </cell>
          <cell r="J288" t="str">
            <v>DUAS RODAS</v>
          </cell>
          <cell r="K288" t="str">
            <v>ITAMBÉ</v>
          </cell>
          <cell r="L288" t="str">
            <v>MAURICIO</v>
          </cell>
          <cell r="M288" t="str">
            <v>JOEL</v>
          </cell>
        </row>
        <row r="289">
          <cell r="B289">
            <v>5257736</v>
          </cell>
          <cell r="C289" t="str">
            <v>CJ REST E EMPREEND</v>
          </cell>
          <cell r="D289">
            <v>7001</v>
          </cell>
          <cell r="E289" t="str">
            <v>0749</v>
          </cell>
          <cell r="F289" t="str">
            <v>C5</v>
          </cell>
          <cell r="G289" t="str">
            <v>SP</v>
          </cell>
          <cell r="H289" t="str">
            <v>DISTRIBUIÇÃO</v>
          </cell>
          <cell r="I289" t="str">
            <v>FOOD SERVICE</v>
          </cell>
          <cell r="J289" t="str">
            <v>FLAC 6</v>
          </cell>
          <cell r="K289" t="str">
            <v>LACTALIS</v>
          </cell>
          <cell r="L289" t="str">
            <v>RODRIGO</v>
          </cell>
          <cell r="M289" t="str">
            <v>ALEXANDRO</v>
          </cell>
        </row>
        <row r="290">
          <cell r="B290">
            <v>5273106</v>
          </cell>
          <cell r="C290" t="str">
            <v>CLAUDIA DE ANDRADE LENTE 1538767082</v>
          </cell>
          <cell r="D290">
            <v>7001</v>
          </cell>
          <cell r="E290" t="str">
            <v>0749</v>
          </cell>
          <cell r="F290" t="str">
            <v>C5</v>
          </cell>
          <cell r="G290" t="str">
            <v>SP</v>
          </cell>
          <cell r="H290" t="str">
            <v>DISTRIBUIÇÃO</v>
          </cell>
          <cell r="I290" t="str">
            <v>FOOD SERVICE</v>
          </cell>
          <cell r="J290" t="str">
            <v>FLAC 6</v>
          </cell>
          <cell r="K290" t="str">
            <v>LACTALIS</v>
          </cell>
          <cell r="L290" t="str">
            <v>RODRIGO</v>
          </cell>
          <cell r="M290" t="str">
            <v>ALEXANDRO</v>
          </cell>
        </row>
        <row r="291">
          <cell r="B291">
            <v>5281242</v>
          </cell>
          <cell r="C291" t="str">
            <v>CLUBE ALTO DE PINHEIROS</v>
          </cell>
          <cell r="D291">
            <v>7001</v>
          </cell>
          <cell r="E291" t="str">
            <v>0749</v>
          </cell>
          <cell r="F291" t="str">
            <v>C5</v>
          </cell>
          <cell r="G291" t="str">
            <v>SP</v>
          </cell>
          <cell r="H291" t="str">
            <v>DISTRIBUIÇÃO</v>
          </cell>
          <cell r="I291" t="str">
            <v>FOOD SERVICE</v>
          </cell>
          <cell r="J291" t="str">
            <v>FLAC 2</v>
          </cell>
          <cell r="K291" t="str">
            <v>LACTALIS</v>
          </cell>
          <cell r="L291" t="str">
            <v>RODRIGO</v>
          </cell>
          <cell r="M291" t="str">
            <v>ALEXANDRO</v>
          </cell>
        </row>
        <row r="292">
          <cell r="B292">
            <v>5099082</v>
          </cell>
          <cell r="C292" t="str">
            <v>COAMO AGROINDUSTRIAL COOPERATIVA</v>
          </cell>
          <cell r="D292">
            <v>4001</v>
          </cell>
          <cell r="E292" t="str">
            <v>0455</v>
          </cell>
          <cell r="F292" t="str">
            <v>C1</v>
          </cell>
          <cell r="G292" t="str">
            <v>PR</v>
          </cell>
          <cell r="H292" t="str">
            <v>INGREDIENTS</v>
          </cell>
          <cell r="I292" t="str">
            <v>INGREDIENTS</v>
          </cell>
          <cell r="J292" t="str">
            <v>MARCELO RODRIGUES</v>
          </cell>
          <cell r="K292" t="str">
            <v>LACTALIS</v>
          </cell>
          <cell r="L292" t="str">
            <v>MAURICIO</v>
          </cell>
          <cell r="M292" t="str">
            <v>MARCELO</v>
          </cell>
        </row>
        <row r="293">
          <cell r="B293">
            <v>5338011</v>
          </cell>
          <cell r="C293" t="str">
            <v>COELHO BRANCO CAFE SECRETO E CIA LTDA</v>
          </cell>
          <cell r="D293">
            <v>7001</v>
          </cell>
          <cell r="E293" t="str">
            <v>0749</v>
          </cell>
          <cell r="F293" t="str">
            <v>C5</v>
          </cell>
          <cell r="G293" t="str">
            <v>SP</v>
          </cell>
          <cell r="H293" t="str">
            <v>DISTRIBUIÇÃO</v>
          </cell>
          <cell r="I293" t="str">
            <v>FOOD SERVICE</v>
          </cell>
          <cell r="J293" t="str">
            <v>FLAC 7</v>
          </cell>
          <cell r="K293" t="str">
            <v>LACTALIS</v>
          </cell>
          <cell r="L293" t="str">
            <v>RODRIGO</v>
          </cell>
          <cell r="M293" t="str">
            <v>ALEXANDRO</v>
          </cell>
        </row>
        <row r="294">
          <cell r="B294">
            <v>5339145</v>
          </cell>
          <cell r="C294" t="str">
            <v>COFFE BY BIA AROMA E GRAOS COME</v>
          </cell>
          <cell r="D294">
            <v>7001</v>
          </cell>
          <cell r="E294" t="str">
            <v>0749</v>
          </cell>
          <cell r="F294" t="str">
            <v>C5</v>
          </cell>
          <cell r="G294" t="str">
            <v>SP</v>
          </cell>
          <cell r="H294" t="str">
            <v>DISTRIBUIÇÃO</v>
          </cell>
          <cell r="I294" t="str">
            <v>FOOD SERVICE</v>
          </cell>
          <cell r="J294" t="str">
            <v>FLAC 3</v>
          </cell>
          <cell r="K294" t="str">
            <v>LACTALIS</v>
          </cell>
          <cell r="L294" t="str">
            <v>RODRIGO</v>
          </cell>
          <cell r="M294" t="str">
            <v>ALEXANDRO</v>
          </cell>
        </row>
        <row r="295">
          <cell r="B295">
            <v>5286897</v>
          </cell>
          <cell r="C295" t="str">
            <v>COFFEE SET CAFE E ALIMENTOS LTDA</v>
          </cell>
          <cell r="D295">
            <v>7001</v>
          </cell>
          <cell r="E295" t="str">
            <v>0749</v>
          </cell>
          <cell r="F295" t="str">
            <v>C5</v>
          </cell>
          <cell r="G295" t="str">
            <v>SP</v>
          </cell>
          <cell r="H295" t="str">
            <v>DISTRIBUIÇÃO</v>
          </cell>
          <cell r="I295" t="str">
            <v>FOOD SERVICE</v>
          </cell>
          <cell r="J295" t="str">
            <v>FLAC 2</v>
          </cell>
          <cell r="K295" t="str">
            <v>LACTALIS</v>
          </cell>
          <cell r="L295" t="str">
            <v>RODRIGO</v>
          </cell>
          <cell r="M295" t="str">
            <v>ALEXANDRO</v>
          </cell>
        </row>
        <row r="296">
          <cell r="B296">
            <v>5278763</v>
          </cell>
          <cell r="C296" t="str">
            <v>COLEGIO ALBERT SABIN LTDA</v>
          </cell>
          <cell r="D296">
            <v>7001</v>
          </cell>
          <cell r="E296" t="str">
            <v>0749</v>
          </cell>
          <cell r="F296" t="str">
            <v>C5</v>
          </cell>
          <cell r="G296" t="str">
            <v>SP</v>
          </cell>
          <cell r="H296" t="str">
            <v>DISTRIBUIÇÃO</v>
          </cell>
          <cell r="I296" t="str">
            <v>FOOD SERVICE</v>
          </cell>
          <cell r="J296" t="str">
            <v>FLAC 6</v>
          </cell>
          <cell r="K296" t="str">
            <v>LACTALIS</v>
          </cell>
          <cell r="L296" t="str">
            <v>RODRIGO</v>
          </cell>
          <cell r="M296" t="str">
            <v>ALEXANDRO</v>
          </cell>
        </row>
        <row r="297">
          <cell r="B297">
            <v>5213905</v>
          </cell>
          <cell r="C297" t="str">
            <v>COLORADO FESTAS LTDA</v>
          </cell>
          <cell r="D297">
            <v>3001</v>
          </cell>
          <cell r="E297" t="str">
            <v>0169</v>
          </cell>
          <cell r="F297" t="str">
            <v>C1</v>
          </cell>
          <cell r="G297" t="str">
            <v>ES</v>
          </cell>
          <cell r="H297" t="str">
            <v>DISTRIBUIÇÃO</v>
          </cell>
          <cell r="I297" t="str">
            <v>FOOD SERVICE</v>
          </cell>
          <cell r="J297" t="str">
            <v>MARCELO DUARTE</v>
          </cell>
          <cell r="K297" t="str">
            <v>ITAMBÉ</v>
          </cell>
          <cell r="L297" t="str">
            <v>RODRIGO</v>
          </cell>
          <cell r="M297" t="str">
            <v>JESSICA</v>
          </cell>
        </row>
        <row r="298">
          <cell r="B298">
            <v>5139714</v>
          </cell>
          <cell r="C298" t="str">
            <v>COLORE INDUSTRIA E COMERCIO LTDA EP</v>
          </cell>
          <cell r="D298">
            <v>3001</v>
          </cell>
          <cell r="E298" t="str">
            <v>0122</v>
          </cell>
          <cell r="F298" t="str">
            <v>C1</v>
          </cell>
          <cell r="G298" t="str">
            <v>MG</v>
          </cell>
          <cell r="H298" t="str">
            <v>INGREDIENTS</v>
          </cell>
          <cell r="I298" t="str">
            <v>INGREDIENTS</v>
          </cell>
          <cell r="J298" t="str">
            <v>HENRIQUE FERREIRA</v>
          </cell>
          <cell r="K298" t="str">
            <v>ITAMBÉ</v>
          </cell>
          <cell r="L298" t="str">
            <v>MAURICIO</v>
          </cell>
          <cell r="M298" t="str">
            <v>JOEL</v>
          </cell>
        </row>
        <row r="299">
          <cell r="B299">
            <v>5011709</v>
          </cell>
          <cell r="C299" t="str">
            <v>COM E REPRESENTACOES CECOTI LTDA</v>
          </cell>
          <cell r="D299">
            <v>3001</v>
          </cell>
          <cell r="E299" t="str">
            <v>0122</v>
          </cell>
          <cell r="F299" t="str">
            <v>C1</v>
          </cell>
          <cell r="G299" t="str">
            <v>MG</v>
          </cell>
          <cell r="H299" t="str">
            <v>DISTRIBUIÇÃO</v>
          </cell>
          <cell r="I299" t="str">
            <v>FOOD SERVICE</v>
          </cell>
          <cell r="J299" t="str">
            <v>CELIO MARTINS</v>
          </cell>
          <cell r="K299" t="str">
            <v>ITAMBÉ</v>
          </cell>
          <cell r="L299" t="str">
            <v>RODRIGO</v>
          </cell>
          <cell r="M299" t="str">
            <v>CELIO MARTINS</v>
          </cell>
        </row>
        <row r="300">
          <cell r="B300">
            <v>5012641</v>
          </cell>
          <cell r="C300" t="str">
            <v>COM LOURO DE FRIOS E SALGADOS LTDA</v>
          </cell>
          <cell r="D300">
            <v>6001</v>
          </cell>
          <cell r="E300" t="str">
            <v>6125</v>
          </cell>
          <cell r="F300" t="str">
            <v>C1</v>
          </cell>
          <cell r="G300" t="str">
            <v>SP</v>
          </cell>
          <cell r="H300" t="str">
            <v>DISTRIBUIÇÃO</v>
          </cell>
          <cell r="I300" t="str">
            <v>FOOD SERVICE</v>
          </cell>
          <cell r="J300" t="str">
            <v>GUILHERME NASCIMENTO</v>
          </cell>
          <cell r="K300" t="str">
            <v>ITAMBÉ</v>
          </cell>
          <cell r="L300" t="str">
            <v>RODRIGO</v>
          </cell>
          <cell r="M300" t="str">
            <v>ALEXANDRO</v>
          </cell>
        </row>
        <row r="301">
          <cell r="B301">
            <v>5012641</v>
          </cell>
          <cell r="C301" t="str">
            <v>COM LOURO DE FRIOS E SALGADOS LTDA</v>
          </cell>
          <cell r="D301">
            <v>7001</v>
          </cell>
          <cell r="E301" t="str">
            <v>0722</v>
          </cell>
          <cell r="F301" t="str">
            <v>C1</v>
          </cell>
          <cell r="G301" t="str">
            <v>SP</v>
          </cell>
          <cell r="H301" t="str">
            <v>DISTRIBUIÇÃO</v>
          </cell>
          <cell r="I301" t="str">
            <v>FOOD SERVICE</v>
          </cell>
          <cell r="J301" t="str">
            <v>GUILHERME NASCIMENTO</v>
          </cell>
          <cell r="K301" t="str">
            <v>LACTALIS</v>
          </cell>
          <cell r="L301" t="str">
            <v>RODRIGO</v>
          </cell>
          <cell r="M301" t="str">
            <v>ALEXANDRO</v>
          </cell>
        </row>
        <row r="302">
          <cell r="B302">
            <v>5269338</v>
          </cell>
          <cell r="C302" t="str">
            <v>COMANDO DA MARINHA</v>
          </cell>
          <cell r="D302">
            <v>3001</v>
          </cell>
          <cell r="E302" t="str">
            <v>0121</v>
          </cell>
          <cell r="F302" t="str">
            <v>C1</v>
          </cell>
          <cell r="G302" t="str">
            <v>RJ</v>
          </cell>
          <cell r="H302" t="str">
            <v>OUTROS</v>
          </cell>
          <cell r="I302" t="str">
            <v>OUTROS</v>
          </cell>
          <cell r="J302" t="str">
            <v>EDUARDO LEITE LEVE LEITE</v>
          </cell>
          <cell r="K302" t="str">
            <v>OUTROS</v>
          </cell>
          <cell r="L302" t="str">
            <v>OUTROS</v>
          </cell>
          <cell r="M302" t="str">
            <v>LICITAÇÃO</v>
          </cell>
        </row>
        <row r="303">
          <cell r="B303">
            <v>5005427</v>
          </cell>
          <cell r="C303" t="str">
            <v>COMERCIAL AZEVEDO LTDA</v>
          </cell>
          <cell r="D303">
            <v>3001</v>
          </cell>
          <cell r="E303" t="str">
            <v>0122</v>
          </cell>
          <cell r="F303" t="str">
            <v>C1</v>
          </cell>
          <cell r="G303" t="str">
            <v>MG</v>
          </cell>
          <cell r="H303" t="str">
            <v>DISTRIBUIÇÃO</v>
          </cell>
          <cell r="I303" t="str">
            <v>FOOD SERVICE</v>
          </cell>
          <cell r="J303" t="str">
            <v>MARCELO SILVA</v>
          </cell>
          <cell r="K303" t="str">
            <v>ITAMBÉ</v>
          </cell>
          <cell r="L303" t="str">
            <v>RODRIGO</v>
          </cell>
          <cell r="M303" t="str">
            <v>CELIO MARTINS</v>
          </cell>
        </row>
        <row r="304">
          <cell r="B304">
            <v>5172911</v>
          </cell>
          <cell r="C304" t="str">
            <v>COMERCIAL DE ALIMENTOS FAVORITA</v>
          </cell>
          <cell r="D304">
            <v>3001</v>
          </cell>
          <cell r="E304" t="str">
            <v>0127</v>
          </cell>
          <cell r="F304" t="str">
            <v>C1</v>
          </cell>
          <cell r="G304" t="str">
            <v>BA</v>
          </cell>
          <cell r="H304" t="str">
            <v>DISTRIBUIÇÃO</v>
          </cell>
          <cell r="I304" t="str">
            <v>FOOD SERVICE</v>
          </cell>
          <cell r="J304" t="str">
            <v xml:space="preserve">KARIS FOOD / LUIZ </v>
          </cell>
          <cell r="K304" t="str">
            <v>ITAMBÉ</v>
          </cell>
          <cell r="L304" t="str">
            <v>RODRIGO</v>
          </cell>
          <cell r="M304" t="str">
            <v>VAGO NORDESTE</v>
          </cell>
        </row>
        <row r="305">
          <cell r="B305">
            <v>5017576</v>
          </cell>
          <cell r="C305" t="str">
            <v>COMERCIAL DISKPAN LTDA</v>
          </cell>
          <cell r="D305">
            <v>3001</v>
          </cell>
          <cell r="E305" t="str">
            <v>0169</v>
          </cell>
          <cell r="F305" t="str">
            <v>C1</v>
          </cell>
          <cell r="G305" t="str">
            <v>ES</v>
          </cell>
          <cell r="H305" t="str">
            <v>DISTRIBUIÇÃO</v>
          </cell>
          <cell r="I305" t="str">
            <v>FOOD SERVICE</v>
          </cell>
          <cell r="J305" t="str">
            <v>MARCELO DUARTE</v>
          </cell>
          <cell r="K305" t="str">
            <v>ITAMBÉ</v>
          </cell>
          <cell r="L305" t="str">
            <v>RODRIGO</v>
          </cell>
          <cell r="M305" t="str">
            <v>JESSICA</v>
          </cell>
        </row>
        <row r="306">
          <cell r="B306">
            <v>5017576</v>
          </cell>
          <cell r="C306" t="str">
            <v>COMERCIAL DISKPAN LTDA</v>
          </cell>
          <cell r="D306">
            <v>4001</v>
          </cell>
          <cell r="E306" t="str">
            <v>0439</v>
          </cell>
          <cell r="F306" t="str">
            <v>C1</v>
          </cell>
          <cell r="G306" t="str">
            <v>ES</v>
          </cell>
          <cell r="H306" t="str">
            <v>DISTRIBUIÇÃO</v>
          </cell>
          <cell r="I306" t="str">
            <v>FOOD SERVICE</v>
          </cell>
          <cell r="J306" t="str">
            <v>MARCELO DUARTE</v>
          </cell>
          <cell r="K306" t="str">
            <v>LACTALIS</v>
          </cell>
          <cell r="L306" t="str">
            <v>RODRIGO</v>
          </cell>
          <cell r="M306" t="str">
            <v>JESSICA</v>
          </cell>
        </row>
        <row r="307">
          <cell r="B307">
            <v>5184211</v>
          </cell>
          <cell r="C307" t="str">
            <v>COMERCIAL ELOI CHAVES LTDA</v>
          </cell>
          <cell r="D307">
            <v>3001</v>
          </cell>
          <cell r="E307" t="str">
            <v>0127</v>
          </cell>
          <cell r="F307" t="str">
            <v>C1</v>
          </cell>
          <cell r="G307" t="str">
            <v>RN</v>
          </cell>
          <cell r="H307" t="str">
            <v>DISTRIBUIÇÃO</v>
          </cell>
          <cell r="I307" t="str">
            <v>FOOD SERVICE</v>
          </cell>
          <cell r="J307" t="str">
            <v>CLAUDIO JORGE</v>
          </cell>
          <cell r="K307" t="str">
            <v>ITAMBÉ</v>
          </cell>
          <cell r="L307" t="str">
            <v>RODRIGO</v>
          </cell>
          <cell r="M307" t="str">
            <v>VAGO NORDESTE</v>
          </cell>
        </row>
        <row r="308">
          <cell r="B308">
            <v>5068734</v>
          </cell>
          <cell r="C308" t="str">
            <v>COMERCIO DE GEN ALIMENT MATHESCH LT</v>
          </cell>
          <cell r="D308">
            <v>3001</v>
          </cell>
          <cell r="E308" t="str">
            <v>0126</v>
          </cell>
          <cell r="F308" t="str">
            <v>C1</v>
          </cell>
          <cell r="G308" t="str">
            <v>SC</v>
          </cell>
          <cell r="H308" t="str">
            <v>INGREDIENTS</v>
          </cell>
          <cell r="I308" t="str">
            <v>INGREDIENTS</v>
          </cell>
          <cell r="J308" t="str">
            <v>DUAS RODAS</v>
          </cell>
          <cell r="K308" t="str">
            <v>ITAMBÉ</v>
          </cell>
          <cell r="L308" t="str">
            <v>MAURICIO</v>
          </cell>
          <cell r="M308" t="str">
            <v>MARCELO</v>
          </cell>
        </row>
        <row r="309">
          <cell r="B309">
            <v>5335628</v>
          </cell>
          <cell r="C309" t="str">
            <v>COMERCIO E REPRESENTACOES CECOT</v>
          </cell>
          <cell r="D309">
            <v>3001</v>
          </cell>
          <cell r="E309" t="str">
            <v>0122</v>
          </cell>
          <cell r="F309" t="str">
            <v>C1</v>
          </cell>
          <cell r="G309" t="str">
            <v>MG</v>
          </cell>
          <cell r="H309" t="str">
            <v>DISTRIBUIÇÃO</v>
          </cell>
          <cell r="I309" t="str">
            <v>FOOD SERVICE</v>
          </cell>
          <cell r="J309" t="str">
            <v>CELIO MARTINS</v>
          </cell>
          <cell r="K309" t="str">
            <v>ITAMBÉ</v>
          </cell>
          <cell r="L309" t="str">
            <v>RODRIGO</v>
          </cell>
          <cell r="M309" t="str">
            <v>CELIO MARTINS</v>
          </cell>
        </row>
        <row r="310">
          <cell r="B310">
            <v>5255804</v>
          </cell>
          <cell r="C310" t="str">
            <v>COMFRIO FOOD SERVICE LTDA</v>
          </cell>
          <cell r="D310">
            <v>7001</v>
          </cell>
          <cell r="E310" t="str">
            <v>0745</v>
          </cell>
          <cell r="F310" t="str">
            <v>C7</v>
          </cell>
          <cell r="G310" t="str">
            <v>SP</v>
          </cell>
          <cell r="H310" t="str">
            <v>QSR</v>
          </cell>
          <cell r="I310" t="str">
            <v>FOOD SERVICE</v>
          </cell>
          <cell r="J310" t="str">
            <v>AMANDA CARVALHO</v>
          </cell>
          <cell r="K310" t="str">
            <v>LACTALIS</v>
          </cell>
          <cell r="L310" t="str">
            <v>PEDRO</v>
          </cell>
          <cell r="M310" t="str">
            <v>AMANDA</v>
          </cell>
        </row>
        <row r="311">
          <cell r="B311">
            <v>5255804</v>
          </cell>
          <cell r="C311" t="str">
            <v>COMFRIO FOOD SERVICE LTDA</v>
          </cell>
          <cell r="D311">
            <v>7001</v>
          </cell>
          <cell r="E311" t="str">
            <v>0745</v>
          </cell>
          <cell r="F311" t="str">
            <v>C5</v>
          </cell>
          <cell r="G311" t="str">
            <v>SP</v>
          </cell>
          <cell r="H311" t="str">
            <v>QSR</v>
          </cell>
          <cell r="I311" t="str">
            <v>FOOD SERVICE</v>
          </cell>
          <cell r="J311" t="str">
            <v>AMANDA CARVALHO</v>
          </cell>
          <cell r="K311" t="str">
            <v>LACTALIS</v>
          </cell>
          <cell r="L311" t="str">
            <v>PEDRO</v>
          </cell>
          <cell r="M311" t="str">
            <v>AMANDA</v>
          </cell>
        </row>
        <row r="312">
          <cell r="B312">
            <v>5230848</v>
          </cell>
          <cell r="C312" t="str">
            <v>COML EURO BR DIST DE ALIMENTOS</v>
          </cell>
          <cell r="D312">
            <v>7001</v>
          </cell>
          <cell r="E312" t="str">
            <v>0749</v>
          </cell>
          <cell r="F312" t="str">
            <v>C5</v>
          </cell>
          <cell r="G312" t="str">
            <v>SP</v>
          </cell>
          <cell r="H312" t="str">
            <v>DISTRIBUIÇÃO</v>
          </cell>
          <cell r="I312" t="str">
            <v>FOOD SERVICE</v>
          </cell>
          <cell r="J312" t="str">
            <v>FLAC 1</v>
          </cell>
          <cell r="K312" t="str">
            <v>LACTALIS</v>
          </cell>
          <cell r="L312" t="str">
            <v>RODRIGO</v>
          </cell>
          <cell r="M312" t="str">
            <v>ALEXANDRO</v>
          </cell>
        </row>
        <row r="313">
          <cell r="B313">
            <v>5290223</v>
          </cell>
          <cell r="C313" t="str">
            <v>COMPRARE COM ATACADISTA DE ALIM LTD</v>
          </cell>
          <cell r="D313">
            <v>7001</v>
          </cell>
          <cell r="E313" t="str">
            <v>0749</v>
          </cell>
          <cell r="F313" t="str">
            <v>C5</v>
          </cell>
          <cell r="G313" t="str">
            <v>SP</v>
          </cell>
          <cell r="H313" t="str">
            <v>DISTRIBUIÇÃO</v>
          </cell>
          <cell r="I313" t="str">
            <v>FOOD SERVICE</v>
          </cell>
          <cell r="J313" t="str">
            <v>FLAC 1</v>
          </cell>
          <cell r="K313" t="str">
            <v>LACTALIS</v>
          </cell>
          <cell r="L313" t="str">
            <v>RODRIGO</v>
          </cell>
          <cell r="M313" t="str">
            <v>ALEXANDRO</v>
          </cell>
        </row>
        <row r="314">
          <cell r="B314">
            <v>5307427</v>
          </cell>
          <cell r="C314" t="str">
            <v>CONCAVO E CONVEXO EMPRESA DE TURISM</v>
          </cell>
          <cell r="D314">
            <v>7001</v>
          </cell>
          <cell r="E314" t="str">
            <v>0749</v>
          </cell>
          <cell r="F314" t="str">
            <v>C5</v>
          </cell>
          <cell r="G314" t="str">
            <v>SP</v>
          </cell>
          <cell r="H314" t="str">
            <v>DISTRIBUIÇÃO</v>
          </cell>
          <cell r="I314" t="str">
            <v>FOOD SERVICE</v>
          </cell>
          <cell r="J314" t="str">
            <v>FLAC 6</v>
          </cell>
          <cell r="K314" t="str">
            <v>LACTALIS</v>
          </cell>
          <cell r="L314" t="str">
            <v>RODRIGO</v>
          </cell>
          <cell r="M314" t="str">
            <v>ALEXANDRO</v>
          </cell>
        </row>
        <row r="315">
          <cell r="B315">
            <v>5218947</v>
          </cell>
          <cell r="C315" t="str">
            <v>CONDE COMERCIAL DE ALIMENTOS LTDA</v>
          </cell>
          <cell r="D315">
            <v>3001</v>
          </cell>
          <cell r="E315" t="str">
            <v>0127</v>
          </cell>
          <cell r="F315" t="str">
            <v>C1</v>
          </cell>
          <cell r="G315" t="str">
            <v>BA</v>
          </cell>
          <cell r="H315" t="str">
            <v>DISTRIBUIÇÃO</v>
          </cell>
          <cell r="I315" t="str">
            <v>FOOD SERVICE</v>
          </cell>
          <cell r="J315" t="str">
            <v xml:space="preserve">KARIS FOOD / LUIZ </v>
          </cell>
          <cell r="K315" t="str">
            <v>ITAMBÉ</v>
          </cell>
          <cell r="L315" t="str">
            <v>RODRIGO</v>
          </cell>
          <cell r="M315" t="str">
            <v>VAGO NORDESTE</v>
          </cell>
        </row>
        <row r="316">
          <cell r="B316">
            <v>5329676</v>
          </cell>
          <cell r="C316" t="str">
            <v>CONDOMINIO EDIFICIO PAULISTA CO</v>
          </cell>
          <cell r="D316">
            <v>7001</v>
          </cell>
          <cell r="E316" t="str">
            <v>0749</v>
          </cell>
          <cell r="F316" t="str">
            <v>C5</v>
          </cell>
          <cell r="G316" t="str">
            <v>SP</v>
          </cell>
          <cell r="H316" t="str">
            <v>DISTRIBUIÇÃO</v>
          </cell>
          <cell r="I316" t="str">
            <v>FOOD SERVICE</v>
          </cell>
          <cell r="J316" t="str">
            <v>FLAC 5</v>
          </cell>
          <cell r="K316" t="str">
            <v>LACTALIS</v>
          </cell>
          <cell r="L316" t="str">
            <v>RODRIGO</v>
          </cell>
          <cell r="M316" t="str">
            <v>ALEXANDRO</v>
          </cell>
        </row>
        <row r="317">
          <cell r="B317">
            <v>5184310</v>
          </cell>
          <cell r="C317" t="str">
            <v>CONDOMINIO VILLA JARDINS</v>
          </cell>
          <cell r="D317">
            <v>7001</v>
          </cell>
          <cell r="E317" t="str">
            <v>0749</v>
          </cell>
          <cell r="F317" t="str">
            <v>C5</v>
          </cell>
          <cell r="G317" t="str">
            <v>SP</v>
          </cell>
          <cell r="H317" t="str">
            <v>QSR</v>
          </cell>
          <cell r="I317" t="str">
            <v>FOOD SERVICE</v>
          </cell>
          <cell r="J317" t="str">
            <v>NUTRI</v>
          </cell>
          <cell r="K317" t="str">
            <v>LACTALIS</v>
          </cell>
          <cell r="L317" t="str">
            <v>PEDRO</v>
          </cell>
          <cell r="M317" t="str">
            <v>AMANDA</v>
          </cell>
        </row>
        <row r="318">
          <cell r="B318">
            <v>5337340</v>
          </cell>
          <cell r="C318" t="str">
            <v>CONEXAO COMERCIO DE BOLOS E DOC</v>
          </cell>
          <cell r="D318">
            <v>7001</v>
          </cell>
          <cell r="E318" t="str">
            <v>0749</v>
          </cell>
          <cell r="F318" t="str">
            <v>C5</v>
          </cell>
          <cell r="G318" t="str">
            <v>SP</v>
          </cell>
          <cell r="H318" t="str">
            <v>DISTRIBUIÇÃO</v>
          </cell>
          <cell r="I318" t="str">
            <v>FOOD SERVICE</v>
          </cell>
          <cell r="J318" t="str">
            <v>FLAC 6</v>
          </cell>
          <cell r="K318" t="str">
            <v>LACTALIS</v>
          </cell>
          <cell r="L318" t="str">
            <v>RODRIGO</v>
          </cell>
          <cell r="M318" t="str">
            <v>ALEXANDRO</v>
          </cell>
        </row>
        <row r="319">
          <cell r="B319">
            <v>5230076</v>
          </cell>
          <cell r="C319" t="str">
            <v>CONFEITARIA 4 DE DEZEMBRO LTDA</v>
          </cell>
          <cell r="D319">
            <v>7001</v>
          </cell>
          <cell r="E319" t="str">
            <v>0749</v>
          </cell>
          <cell r="F319" t="str">
            <v>C5</v>
          </cell>
          <cell r="G319" t="str">
            <v>SP</v>
          </cell>
          <cell r="H319" t="str">
            <v>DISTRIBUIÇÃO</v>
          </cell>
          <cell r="I319" t="str">
            <v>FOOD SERVICE</v>
          </cell>
          <cell r="J319" t="str">
            <v>FLAC 2</v>
          </cell>
          <cell r="K319" t="str">
            <v>LACTALIS</v>
          </cell>
          <cell r="L319" t="str">
            <v>RODRIGO</v>
          </cell>
          <cell r="M319" t="str">
            <v>ALEXANDRO</v>
          </cell>
        </row>
        <row r="320">
          <cell r="B320">
            <v>5316640</v>
          </cell>
          <cell r="C320" t="str">
            <v>CONFEITARIA E CAFETERIA AMERICA</v>
          </cell>
          <cell r="D320">
            <v>7001</v>
          </cell>
          <cell r="E320" t="str">
            <v>0749</v>
          </cell>
          <cell r="F320" t="str">
            <v>C5</v>
          </cell>
          <cell r="G320" t="str">
            <v>SP</v>
          </cell>
          <cell r="H320" t="str">
            <v>DISTRIBUIÇÃO</v>
          </cell>
          <cell r="I320" t="str">
            <v>FOOD SERVICE</v>
          </cell>
          <cell r="J320" t="str">
            <v>FLAC 7</v>
          </cell>
          <cell r="K320" t="str">
            <v>LACTALIS</v>
          </cell>
          <cell r="L320" t="str">
            <v>RODRIGO</v>
          </cell>
          <cell r="M320" t="str">
            <v>ALEXANDRO</v>
          </cell>
        </row>
        <row r="321">
          <cell r="B321">
            <v>5314036</v>
          </cell>
          <cell r="C321" t="str">
            <v>CONFEITARIA SOIDA LTDA</v>
          </cell>
          <cell r="D321">
            <v>7001</v>
          </cell>
          <cell r="E321" t="str">
            <v>0749</v>
          </cell>
          <cell r="F321" t="str">
            <v>C5</v>
          </cell>
          <cell r="G321" t="str">
            <v>SP</v>
          </cell>
          <cell r="H321" t="str">
            <v>DISTRIBUIÇÃO</v>
          </cell>
          <cell r="I321" t="str">
            <v>FOOD SERVICE</v>
          </cell>
          <cell r="J321" t="str">
            <v>FLAC 4</v>
          </cell>
          <cell r="K321" t="str">
            <v>LACTALIS</v>
          </cell>
          <cell r="L321" t="str">
            <v>RODRIGO</v>
          </cell>
          <cell r="M321" t="str">
            <v>ALEXANDRO</v>
          </cell>
        </row>
        <row r="322">
          <cell r="B322">
            <v>5118346</v>
          </cell>
          <cell r="C322" t="str">
            <v>CONFESPAN COMERCIO E DISTRIBUICAO L</v>
          </cell>
          <cell r="D322">
            <v>6001</v>
          </cell>
          <cell r="E322" t="str">
            <v>6125</v>
          </cell>
          <cell r="F322" t="str">
            <v>C1</v>
          </cell>
          <cell r="G322" t="str">
            <v>SP</v>
          </cell>
          <cell r="H322" t="str">
            <v>DISTRIBUIÇÃO</v>
          </cell>
          <cell r="I322" t="str">
            <v>FOOD SERVICE</v>
          </cell>
          <cell r="J322" t="str">
            <v>GUILHERME NASCIMENTO</v>
          </cell>
          <cell r="K322" t="str">
            <v>ITAMBÉ</v>
          </cell>
          <cell r="L322" t="str">
            <v>RODRIGO</v>
          </cell>
          <cell r="M322" t="str">
            <v>ALEXANDRO</v>
          </cell>
        </row>
        <row r="323">
          <cell r="B323">
            <v>5118346</v>
          </cell>
          <cell r="C323" t="str">
            <v>CONFESPAN COMERCIO E DISTRIBUICAO L</v>
          </cell>
          <cell r="D323">
            <v>7001</v>
          </cell>
          <cell r="E323" t="str">
            <v>0749</v>
          </cell>
          <cell r="F323" t="str">
            <v>C5</v>
          </cell>
          <cell r="G323" t="str">
            <v>SP</v>
          </cell>
          <cell r="H323" t="str">
            <v>DISTRIBUIÇÃO</v>
          </cell>
          <cell r="I323" t="str">
            <v>FOOD SERVICE</v>
          </cell>
          <cell r="J323" t="str">
            <v>GUILHERME NASCIMENTO</v>
          </cell>
          <cell r="K323" t="str">
            <v>LACTALIS</v>
          </cell>
          <cell r="L323" t="str">
            <v>RODRIGO</v>
          </cell>
          <cell r="M323" t="str">
            <v>ALEXANDRO</v>
          </cell>
        </row>
        <row r="324">
          <cell r="B324">
            <v>5059611</v>
          </cell>
          <cell r="C324" t="str">
            <v>CONSUMA GASTRONOMIA LTDA</v>
          </cell>
          <cell r="D324">
            <v>7001</v>
          </cell>
          <cell r="E324" t="str">
            <v>0749</v>
          </cell>
          <cell r="F324" t="str">
            <v>C5</v>
          </cell>
          <cell r="G324" t="str">
            <v>SP</v>
          </cell>
          <cell r="H324" t="str">
            <v>QSR</v>
          </cell>
          <cell r="I324" t="str">
            <v>FOOD SERVICE</v>
          </cell>
          <cell r="J324" t="str">
            <v>NUTRI</v>
          </cell>
          <cell r="K324" t="str">
            <v>LACTALIS</v>
          </cell>
          <cell r="L324" t="str">
            <v>PEDRO</v>
          </cell>
          <cell r="M324" t="str">
            <v>AMANDA</v>
          </cell>
        </row>
        <row r="325">
          <cell r="B325">
            <v>5051163</v>
          </cell>
          <cell r="C325" t="str">
            <v>COOK EMPREENDIMENTOS EM ALIM COLETI</v>
          </cell>
          <cell r="D325">
            <v>3001</v>
          </cell>
          <cell r="E325" t="str">
            <v>0122</v>
          </cell>
          <cell r="F325" t="str">
            <v>C1</v>
          </cell>
          <cell r="G325" t="str">
            <v>MG</v>
          </cell>
          <cell r="H325" t="str">
            <v>DISTRIBUIÇÃO</v>
          </cell>
          <cell r="I325" t="str">
            <v>FOOD SERVICE</v>
          </cell>
          <cell r="J325" t="str">
            <v>MARCELO SILVA</v>
          </cell>
          <cell r="K325" t="str">
            <v>ITAMBÉ</v>
          </cell>
          <cell r="L325" t="str">
            <v>RODRIGO</v>
          </cell>
          <cell r="M325" t="str">
            <v>CELIO MARTINS</v>
          </cell>
        </row>
        <row r="326">
          <cell r="B326">
            <v>5230053</v>
          </cell>
          <cell r="C326" t="str">
            <v>COOP AGROP CENTRO SERRANA</v>
          </cell>
          <cell r="D326">
            <v>4001</v>
          </cell>
          <cell r="E326" t="str">
            <v>0455</v>
          </cell>
          <cell r="F326" t="str">
            <v>C1</v>
          </cell>
          <cell r="G326" t="str">
            <v>ES</v>
          </cell>
          <cell r="H326" t="str">
            <v>INGREDIENTS</v>
          </cell>
          <cell r="I326" t="str">
            <v>INGREDIENTS</v>
          </cell>
          <cell r="J326" t="str">
            <v>JOEL ELEOTÉRIO</v>
          </cell>
          <cell r="K326" t="str">
            <v>LACTALIS</v>
          </cell>
          <cell r="L326" t="str">
            <v>MAURICIO</v>
          </cell>
          <cell r="M326" t="str">
            <v>JOEL</v>
          </cell>
        </row>
        <row r="327">
          <cell r="B327">
            <v>5210000</v>
          </cell>
          <cell r="C327" t="str">
            <v>COOPEAVI COOPERATIVA A CENTRO SERRA</v>
          </cell>
          <cell r="D327">
            <v>4001</v>
          </cell>
          <cell r="E327" t="str">
            <v>0455</v>
          </cell>
          <cell r="F327" t="str">
            <v>C1</v>
          </cell>
          <cell r="G327" t="str">
            <v>ES</v>
          </cell>
          <cell r="H327" t="str">
            <v>INGREDIENTS</v>
          </cell>
          <cell r="I327" t="str">
            <v>INGREDIENTS</v>
          </cell>
          <cell r="J327" t="str">
            <v>MARCELO RODRIGUES</v>
          </cell>
          <cell r="K327" t="str">
            <v>LACTALIS</v>
          </cell>
          <cell r="L327" t="str">
            <v>MAURICIO</v>
          </cell>
          <cell r="M327" t="str">
            <v>MARCELO</v>
          </cell>
        </row>
        <row r="328">
          <cell r="B328">
            <v>5229103</v>
          </cell>
          <cell r="C328" t="str">
            <v>COOPERATIVA AGRO PECUARIA VALE</v>
          </cell>
          <cell r="D328">
            <v>3001</v>
          </cell>
          <cell r="E328" t="str">
            <v>0028</v>
          </cell>
          <cell r="F328" t="str">
            <v>C1</v>
          </cell>
          <cell r="G328" t="str">
            <v>MG</v>
          </cell>
          <cell r="H328" t="str">
            <v>INGREDIENTS</v>
          </cell>
          <cell r="I328" t="str">
            <v>INGREDIENTS</v>
          </cell>
          <cell r="J328" t="str">
            <v>MARCELO RODRIGUES</v>
          </cell>
          <cell r="K328" t="str">
            <v>ITAMBÉ</v>
          </cell>
          <cell r="L328" t="str">
            <v>MAURICIO</v>
          </cell>
          <cell r="M328" t="str">
            <v>MARCELO</v>
          </cell>
        </row>
        <row r="329">
          <cell r="B329">
            <v>5089548</v>
          </cell>
          <cell r="C329" t="str">
            <v>COOPERATIVA AGROINDUSTRIAL SERRAMAR</v>
          </cell>
          <cell r="D329">
            <v>4001</v>
          </cell>
          <cell r="E329" t="str">
            <v>0437</v>
          </cell>
          <cell r="F329" t="str">
            <v>C1</v>
          </cell>
          <cell r="G329" t="str">
            <v>SP</v>
          </cell>
          <cell r="H329" t="str">
            <v>INGREDIENTS</v>
          </cell>
          <cell r="I329" t="str">
            <v>INGREDIENTS</v>
          </cell>
          <cell r="J329" t="str">
            <v>TATIANA NITTA</v>
          </cell>
          <cell r="K329" t="str">
            <v>LACTALIS</v>
          </cell>
          <cell r="L329" t="str">
            <v>MAURICIO</v>
          </cell>
          <cell r="M329" t="str">
            <v>TATIANA NITTA</v>
          </cell>
        </row>
        <row r="330">
          <cell r="B330">
            <v>5079293</v>
          </cell>
          <cell r="C330" t="str">
            <v>COPROSUL COMERCIO IMPORT E EXPO</v>
          </cell>
          <cell r="D330">
            <v>7001</v>
          </cell>
          <cell r="E330" t="str">
            <v>0722</v>
          </cell>
          <cell r="F330" t="str">
            <v>C1</v>
          </cell>
          <cell r="G330" t="str">
            <v>SP</v>
          </cell>
          <cell r="H330" t="str">
            <v>DISTRIBUIÇÃO</v>
          </cell>
          <cell r="I330" t="str">
            <v>FOOD SERVICE</v>
          </cell>
          <cell r="J330" t="str">
            <v>GUILHERME NASCIMENTO</v>
          </cell>
          <cell r="K330" t="str">
            <v>LACTALIS</v>
          </cell>
          <cell r="L330" t="str">
            <v>RODRIGO</v>
          </cell>
          <cell r="M330" t="str">
            <v>ALEXANDRO</v>
          </cell>
        </row>
        <row r="331">
          <cell r="B331">
            <v>5327958</v>
          </cell>
          <cell r="C331" t="str">
            <v>CRC COMPANHIA DE RESTAURANTES CORPO</v>
          </cell>
          <cell r="D331">
            <v>7001</v>
          </cell>
          <cell r="E331" t="str">
            <v>0749</v>
          </cell>
          <cell r="F331" t="str">
            <v>C5</v>
          </cell>
          <cell r="G331" t="str">
            <v>SP</v>
          </cell>
          <cell r="H331" t="str">
            <v>DISTRIBUIÇÃO</v>
          </cell>
          <cell r="I331" t="str">
            <v>FOOD SERVICE</v>
          </cell>
          <cell r="J331" t="str">
            <v>FLAC 2</v>
          </cell>
          <cell r="K331" t="str">
            <v>LACTALIS</v>
          </cell>
          <cell r="L331" t="str">
            <v>RODRIGO</v>
          </cell>
          <cell r="M331" t="str">
            <v>ALEXANDRO</v>
          </cell>
        </row>
        <row r="332">
          <cell r="B332">
            <v>5253958</v>
          </cell>
          <cell r="C332" t="str">
            <v>CREPE DE PARIS RESTAURANTE LTDA</v>
          </cell>
          <cell r="D332">
            <v>7001</v>
          </cell>
          <cell r="E332" t="str">
            <v>0749</v>
          </cell>
          <cell r="F332" t="str">
            <v>C5</v>
          </cell>
          <cell r="G332" t="str">
            <v>SP</v>
          </cell>
          <cell r="H332" t="str">
            <v>DISTRIBUIÇÃO</v>
          </cell>
          <cell r="I332" t="str">
            <v>FOOD SERVICE</v>
          </cell>
          <cell r="J332" t="str">
            <v>FLAC 6</v>
          </cell>
          <cell r="K332" t="str">
            <v>LACTALIS</v>
          </cell>
          <cell r="L332" t="str">
            <v>RODRIGO</v>
          </cell>
          <cell r="M332" t="str">
            <v>ALEXANDRO</v>
          </cell>
        </row>
        <row r="333">
          <cell r="B333">
            <v>5311737</v>
          </cell>
          <cell r="C333" t="str">
            <v>CRISTALIA ALIMENTACAO E SERVICOS LT</v>
          </cell>
          <cell r="D333">
            <v>7001</v>
          </cell>
          <cell r="E333" t="str">
            <v>0749</v>
          </cell>
          <cell r="F333" t="str">
            <v>C5</v>
          </cell>
          <cell r="G333" t="str">
            <v>SP</v>
          </cell>
          <cell r="H333" t="str">
            <v>DISTRIBUIÇÃO</v>
          </cell>
          <cell r="I333" t="str">
            <v>FOOD SERVICE</v>
          </cell>
          <cell r="J333" t="str">
            <v>FLAC 6</v>
          </cell>
          <cell r="K333" t="str">
            <v>LACTALIS</v>
          </cell>
          <cell r="L333" t="str">
            <v>RODRIGO</v>
          </cell>
          <cell r="M333" t="str">
            <v>ALEXANDRO</v>
          </cell>
        </row>
        <row r="334">
          <cell r="B334">
            <v>5044511</v>
          </cell>
          <cell r="C334" t="str">
            <v>CRM IND E COM DE ALIMENTOS LTDA</v>
          </cell>
          <cell r="D334">
            <v>3001</v>
          </cell>
          <cell r="E334" t="str">
            <v>0028</v>
          </cell>
          <cell r="F334" t="str">
            <v>C1</v>
          </cell>
          <cell r="G334" t="str">
            <v>MG</v>
          </cell>
          <cell r="H334" t="str">
            <v>INGREDIENTS</v>
          </cell>
          <cell r="I334" t="str">
            <v>INGREDIENTS</v>
          </cell>
          <cell r="J334" t="str">
            <v>HENRIQUE FERREIRA</v>
          </cell>
          <cell r="K334" t="str">
            <v>ITAMBÉ</v>
          </cell>
          <cell r="L334" t="str">
            <v>MAURICIO</v>
          </cell>
          <cell r="M334" t="str">
            <v>JOEL</v>
          </cell>
        </row>
        <row r="335">
          <cell r="B335">
            <v>5044511</v>
          </cell>
          <cell r="C335" t="str">
            <v>CRM IND E COM DE ALIMENTOS LTDA</v>
          </cell>
          <cell r="D335">
            <v>3001</v>
          </cell>
          <cell r="E335" t="str">
            <v>0122</v>
          </cell>
          <cell r="F335" t="str">
            <v>C1</v>
          </cell>
          <cell r="G335" t="str">
            <v>MG</v>
          </cell>
          <cell r="H335" t="str">
            <v>INGREDIENTS</v>
          </cell>
          <cell r="I335" t="str">
            <v>INGREDIENTS</v>
          </cell>
          <cell r="J335" t="str">
            <v>HENRIQUE FERREIRA</v>
          </cell>
          <cell r="K335" t="str">
            <v>ITAMBÉ</v>
          </cell>
          <cell r="L335" t="str">
            <v>MAURICIO</v>
          </cell>
          <cell r="M335" t="str">
            <v>JOEL</v>
          </cell>
        </row>
        <row r="336">
          <cell r="B336">
            <v>5196998</v>
          </cell>
          <cell r="C336" t="str">
            <v>CROISSANT IND E COM DE SALGADOS LTD</v>
          </cell>
          <cell r="D336">
            <v>6001</v>
          </cell>
          <cell r="E336" t="str">
            <v>6125</v>
          </cell>
          <cell r="F336" t="str">
            <v>C1</v>
          </cell>
          <cell r="G336" t="str">
            <v>SP</v>
          </cell>
          <cell r="H336" t="str">
            <v>INGREDIENTS</v>
          </cell>
          <cell r="I336" t="str">
            <v>INGREDIENTS</v>
          </cell>
          <cell r="J336" t="str">
            <v>HENRIQUE FERREIRA</v>
          </cell>
          <cell r="K336" t="str">
            <v>ITAMBÉ</v>
          </cell>
          <cell r="L336" t="str">
            <v>MAURICIO</v>
          </cell>
          <cell r="M336" t="str">
            <v>JOEL</v>
          </cell>
        </row>
        <row r="337">
          <cell r="B337">
            <v>5266349</v>
          </cell>
          <cell r="C337" t="str">
            <v>CROQUETERIA SP LTDA</v>
          </cell>
          <cell r="D337">
            <v>7001</v>
          </cell>
          <cell r="E337" t="str">
            <v>0749</v>
          </cell>
          <cell r="F337" t="str">
            <v>C5</v>
          </cell>
          <cell r="G337" t="str">
            <v>SP</v>
          </cell>
          <cell r="H337" t="str">
            <v>DISTRIBUIÇÃO</v>
          </cell>
          <cell r="I337" t="str">
            <v>FOOD SERVICE</v>
          </cell>
          <cell r="J337" t="str">
            <v>FLAC 3</v>
          </cell>
          <cell r="K337" t="str">
            <v>LACTALIS</v>
          </cell>
          <cell r="L337" t="str">
            <v>RODRIGO</v>
          </cell>
          <cell r="M337" t="str">
            <v>ALEXANDRO</v>
          </cell>
        </row>
        <row r="338">
          <cell r="B338">
            <v>5290476</v>
          </cell>
          <cell r="C338" t="str">
            <v>CRUSTO MICROPADARIA ARTESANAL LTDA</v>
          </cell>
          <cell r="D338">
            <v>7001</v>
          </cell>
          <cell r="E338" t="str">
            <v>0749</v>
          </cell>
          <cell r="F338" t="str">
            <v>C5</v>
          </cell>
          <cell r="G338" t="str">
            <v>SP</v>
          </cell>
          <cell r="H338" t="str">
            <v>DISTRIBUIÇÃO</v>
          </cell>
          <cell r="I338" t="str">
            <v>FOOD SERVICE</v>
          </cell>
          <cell r="J338" t="str">
            <v>FLAC 7</v>
          </cell>
          <cell r="K338" t="str">
            <v>LACTALIS</v>
          </cell>
          <cell r="L338" t="str">
            <v>RODRIGO</v>
          </cell>
          <cell r="M338" t="str">
            <v>ALEXANDRO</v>
          </cell>
        </row>
        <row r="339">
          <cell r="B339">
            <v>5185277</v>
          </cell>
          <cell r="C339" t="str">
            <v>CSS DISTRIBUIDORA LTDA</v>
          </cell>
          <cell r="D339">
            <v>3001</v>
          </cell>
          <cell r="E339" t="str">
            <v>0123</v>
          </cell>
          <cell r="F339" t="str">
            <v>C1</v>
          </cell>
          <cell r="G339" t="str">
            <v>MT</v>
          </cell>
          <cell r="H339" t="str">
            <v>DISTRIBUIÇÃO</v>
          </cell>
          <cell r="I339" t="str">
            <v>FOOD SERVICE</v>
          </cell>
          <cell r="J339" t="str">
            <v>CLAUDIO JORGE</v>
          </cell>
          <cell r="K339" t="str">
            <v>ITAMBÉ</v>
          </cell>
          <cell r="L339" t="str">
            <v>RODRIGO</v>
          </cell>
          <cell r="M339" t="str">
            <v>MARCO AURELIO</v>
          </cell>
        </row>
        <row r="340">
          <cell r="B340">
            <v>5316731</v>
          </cell>
          <cell r="C340" t="str">
            <v>CUCINA TUTTO PRONTO COMERCIO DE ALI</v>
          </cell>
          <cell r="D340">
            <v>7001</v>
          </cell>
          <cell r="E340" t="str">
            <v>0749</v>
          </cell>
          <cell r="F340" t="str">
            <v>C5</v>
          </cell>
          <cell r="G340" t="str">
            <v>SP</v>
          </cell>
          <cell r="H340" t="str">
            <v>DISTRIBUIÇÃO</v>
          </cell>
          <cell r="I340" t="str">
            <v>FOOD SERVICE</v>
          </cell>
          <cell r="J340" t="str">
            <v>FLAC 6</v>
          </cell>
          <cell r="K340" t="str">
            <v>LACTALIS</v>
          </cell>
          <cell r="L340" t="str">
            <v>RODRIGO</v>
          </cell>
          <cell r="M340" t="str">
            <v>ALEXANDRO</v>
          </cell>
        </row>
        <row r="341">
          <cell r="B341">
            <v>5015597</v>
          </cell>
          <cell r="C341" t="str">
            <v>CUNHAPAN DIST DE PROD P PANIF LTDA</v>
          </cell>
          <cell r="D341">
            <v>3001</v>
          </cell>
          <cell r="E341" t="str">
            <v>0126</v>
          </cell>
          <cell r="F341" t="str">
            <v>C1</v>
          </cell>
          <cell r="G341" t="str">
            <v>SC</v>
          </cell>
          <cell r="H341" t="str">
            <v>DISTRIBUIÇÃO</v>
          </cell>
          <cell r="I341" t="str">
            <v>FOOD SERVICE</v>
          </cell>
          <cell r="J341" t="str">
            <v>ANTÔNIO SOUZA</v>
          </cell>
          <cell r="K341" t="str">
            <v>ITAMBÉ</v>
          </cell>
          <cell r="L341" t="str">
            <v>RODRIGO</v>
          </cell>
          <cell r="M341" t="str">
            <v>VAGO SUL</v>
          </cell>
        </row>
        <row r="342">
          <cell r="B342">
            <v>5269835</v>
          </cell>
          <cell r="C342" t="str">
            <v>CURSI E ALBIERI CONF CAFE E CONVEN</v>
          </cell>
          <cell r="D342">
            <v>7001</v>
          </cell>
          <cell r="E342" t="str">
            <v>0749</v>
          </cell>
          <cell r="F342" t="str">
            <v>C5</v>
          </cell>
          <cell r="G342" t="str">
            <v>SP</v>
          </cell>
          <cell r="H342" t="str">
            <v>DISTRIBUIÇÃO</v>
          </cell>
          <cell r="I342" t="str">
            <v>FOOD SERVICE</v>
          </cell>
          <cell r="J342" t="str">
            <v>FLAC 3</v>
          </cell>
          <cell r="K342" t="str">
            <v>LACTALIS</v>
          </cell>
          <cell r="L342" t="str">
            <v>RODRIGO</v>
          </cell>
          <cell r="M342" t="str">
            <v>ALEXANDRO</v>
          </cell>
        </row>
        <row r="343">
          <cell r="B343">
            <v>5314910</v>
          </cell>
          <cell r="C343" t="str">
            <v>CVN VAREJO DE ALIMENTOS UNIPESSOAL</v>
          </cell>
          <cell r="D343">
            <v>7001</v>
          </cell>
          <cell r="E343" t="str">
            <v>0749</v>
          </cell>
          <cell r="F343" t="str">
            <v>C5</v>
          </cell>
          <cell r="G343" t="str">
            <v>SP</v>
          </cell>
          <cell r="H343" t="str">
            <v>DISTRIBUIÇÃO</v>
          </cell>
          <cell r="I343" t="str">
            <v>FOOD SERVICE</v>
          </cell>
          <cell r="J343" t="str">
            <v>FLAC 3</v>
          </cell>
          <cell r="K343" t="str">
            <v>LACTALIS</v>
          </cell>
          <cell r="L343" t="str">
            <v>RODRIGO</v>
          </cell>
          <cell r="M343" t="str">
            <v>ALEXANDRO</v>
          </cell>
        </row>
        <row r="344">
          <cell r="B344">
            <v>5206232</v>
          </cell>
          <cell r="C344" t="str">
            <v>CWB BRANDS COMERCIO</v>
          </cell>
          <cell r="D344">
            <v>3001</v>
          </cell>
          <cell r="E344" t="str">
            <v>0126</v>
          </cell>
          <cell r="F344" t="str">
            <v>C1</v>
          </cell>
          <cell r="G344" t="str">
            <v>PR</v>
          </cell>
          <cell r="H344" t="str">
            <v>INGREDIENTS</v>
          </cell>
          <cell r="I344" t="str">
            <v>INGREDIENTS</v>
          </cell>
          <cell r="J344" t="str">
            <v>MARCELO RODRIGUES</v>
          </cell>
          <cell r="K344" t="str">
            <v>ITAMBÉ</v>
          </cell>
          <cell r="L344" t="str">
            <v>MAURICIO</v>
          </cell>
          <cell r="M344" t="str">
            <v>MARCELO</v>
          </cell>
        </row>
        <row r="345">
          <cell r="B345">
            <v>5264847</v>
          </cell>
          <cell r="C345" t="str">
            <v>D E G COMERCIO DE ALIMENTOS LTDA</v>
          </cell>
          <cell r="D345">
            <v>7001</v>
          </cell>
          <cell r="E345" t="str">
            <v>0749</v>
          </cell>
          <cell r="F345" t="str">
            <v>C5</v>
          </cell>
          <cell r="G345" t="str">
            <v>SP</v>
          </cell>
          <cell r="H345" t="str">
            <v>DISTRIBUIÇÃO</v>
          </cell>
          <cell r="I345" t="str">
            <v>FOOD SERVICE</v>
          </cell>
          <cell r="J345" t="str">
            <v>FLAC 3</v>
          </cell>
          <cell r="K345" t="str">
            <v>LACTALIS</v>
          </cell>
          <cell r="L345" t="str">
            <v>RODRIGO</v>
          </cell>
          <cell r="M345" t="str">
            <v>ALEXANDRO</v>
          </cell>
        </row>
        <row r="346">
          <cell r="B346">
            <v>5230141</v>
          </cell>
          <cell r="C346" t="str">
            <v>DADALTO E SILVA LTDA</v>
          </cell>
          <cell r="D346">
            <v>3001</v>
          </cell>
          <cell r="E346" t="str">
            <v>0169</v>
          </cell>
          <cell r="F346" t="str">
            <v>C1</v>
          </cell>
          <cell r="G346" t="str">
            <v>ES</v>
          </cell>
          <cell r="H346" t="str">
            <v>DISTRIBUIÇÃO</v>
          </cell>
          <cell r="I346" t="str">
            <v>FOOD SERVICE</v>
          </cell>
          <cell r="J346" t="str">
            <v>MARCELO DUARTE</v>
          </cell>
          <cell r="K346" t="str">
            <v>ITAMBÉ</v>
          </cell>
          <cell r="L346" t="str">
            <v>RODRIGO</v>
          </cell>
          <cell r="M346" t="str">
            <v>JESSICA</v>
          </cell>
        </row>
        <row r="347">
          <cell r="B347">
            <v>5163430</v>
          </cell>
          <cell r="C347" t="str">
            <v>DAIRY PARTNERS AMERICAS B</v>
          </cell>
          <cell r="D347">
            <v>3001</v>
          </cell>
          <cell r="E347" t="str">
            <v>0028</v>
          </cell>
          <cell r="F347" t="str">
            <v>C1</v>
          </cell>
          <cell r="G347" t="str">
            <v>SP</v>
          </cell>
          <cell r="H347" t="str">
            <v>OUTROS</v>
          </cell>
          <cell r="I347" t="str">
            <v>OUTROS</v>
          </cell>
          <cell r="J347" t="str">
            <v>INTERCOMPANY</v>
          </cell>
          <cell r="K347" t="str">
            <v>OUTROS</v>
          </cell>
          <cell r="L347" t="str">
            <v>OUTROS</v>
          </cell>
          <cell r="M347" t="str">
            <v>INTERCOMPANY</v>
          </cell>
        </row>
        <row r="348">
          <cell r="B348">
            <v>5163430</v>
          </cell>
          <cell r="C348" t="str">
            <v>DAIRY PARTNERS AMERICAS B</v>
          </cell>
          <cell r="D348">
            <v>4001</v>
          </cell>
          <cell r="E348" t="str">
            <v>0437</v>
          </cell>
          <cell r="F348" t="str">
            <v>C1</v>
          </cell>
          <cell r="G348" t="str">
            <v>SP</v>
          </cell>
          <cell r="H348" t="str">
            <v>OUTROS</v>
          </cell>
          <cell r="I348" t="str">
            <v>OUTROS</v>
          </cell>
          <cell r="J348" t="str">
            <v>INTERCOMPANY</v>
          </cell>
          <cell r="K348" t="str">
            <v>OUTROS</v>
          </cell>
          <cell r="L348" t="str">
            <v>OUTROS</v>
          </cell>
          <cell r="M348" t="str">
            <v>INTERCOMPANY</v>
          </cell>
        </row>
        <row r="349">
          <cell r="B349">
            <v>8000003</v>
          </cell>
          <cell r="C349" t="str">
            <v>DAIRY PARTNERS AMERICAS BRASIL LTDA</v>
          </cell>
          <cell r="D349">
            <v>3001</v>
          </cell>
          <cell r="E349" t="str">
            <v>0028</v>
          </cell>
          <cell r="F349" t="str">
            <v>C1</v>
          </cell>
          <cell r="G349" t="str">
            <v>SP</v>
          </cell>
          <cell r="H349" t="str">
            <v>OUTROS</v>
          </cell>
          <cell r="I349" t="str">
            <v>OUTROS</v>
          </cell>
          <cell r="J349" t="str">
            <v>INTERCOMPANY</v>
          </cell>
          <cell r="K349" t="str">
            <v>OUTROS</v>
          </cell>
          <cell r="L349" t="str">
            <v>OUTROS</v>
          </cell>
          <cell r="M349" t="str">
            <v>INTERCOMPANY</v>
          </cell>
        </row>
        <row r="350">
          <cell r="B350">
            <v>5215309</v>
          </cell>
          <cell r="C350" t="str">
            <v>DAIRY PARTNERS AMERICAS N</v>
          </cell>
          <cell r="D350">
            <v>3001</v>
          </cell>
          <cell r="E350" t="str">
            <v>0028</v>
          </cell>
          <cell r="F350" t="str">
            <v>C1</v>
          </cell>
          <cell r="G350" t="str">
            <v>PE</v>
          </cell>
          <cell r="H350" t="str">
            <v>OUTROS</v>
          </cell>
          <cell r="I350" t="str">
            <v>OUTROS</v>
          </cell>
          <cell r="J350" t="str">
            <v>INTERCOMPANY</v>
          </cell>
          <cell r="K350" t="str">
            <v>OUTROS</v>
          </cell>
          <cell r="L350" t="str">
            <v>OUTROS</v>
          </cell>
          <cell r="M350" t="str">
            <v>INTERCOMPANY</v>
          </cell>
        </row>
        <row r="351">
          <cell r="B351">
            <v>5215309</v>
          </cell>
          <cell r="C351" t="str">
            <v>DAIRY PARTNERS AMERICAS N</v>
          </cell>
          <cell r="D351">
            <v>4001</v>
          </cell>
          <cell r="E351" t="str">
            <v>0437</v>
          </cell>
          <cell r="F351" t="str">
            <v>C1</v>
          </cell>
          <cell r="G351" t="str">
            <v>PE</v>
          </cell>
          <cell r="H351" t="str">
            <v>OUTROS</v>
          </cell>
          <cell r="I351" t="str">
            <v>OUTROS</v>
          </cell>
          <cell r="J351" t="str">
            <v>INTERCOMPANY</v>
          </cell>
          <cell r="K351" t="str">
            <v>OUTROS</v>
          </cell>
          <cell r="L351" t="str">
            <v>OUTROS</v>
          </cell>
          <cell r="M351" t="str">
            <v>INTERCOMPANY</v>
          </cell>
        </row>
        <row r="352">
          <cell r="B352">
            <v>8000004</v>
          </cell>
          <cell r="C352" t="str">
            <v>DAIRY PARTNERS AMERICAS NORDESTE LTDA</v>
          </cell>
          <cell r="D352">
            <v>3001</v>
          </cell>
          <cell r="E352" t="str">
            <v>0028</v>
          </cell>
          <cell r="F352" t="str">
            <v>C1</v>
          </cell>
          <cell r="G352" t="str">
            <v>PE</v>
          </cell>
          <cell r="H352" t="str">
            <v>OUTROS</v>
          </cell>
          <cell r="I352" t="str">
            <v>OUTROS</v>
          </cell>
          <cell r="J352" t="str">
            <v>INTERCOMPANY</v>
          </cell>
          <cell r="K352" t="str">
            <v>OUTROS</v>
          </cell>
          <cell r="L352" t="str">
            <v>OUTROS</v>
          </cell>
          <cell r="M352" t="str">
            <v>INTERCOMPANY</v>
          </cell>
        </row>
        <row r="353">
          <cell r="B353">
            <v>5253375</v>
          </cell>
          <cell r="C353" t="str">
            <v>DAMA COMERCIO DE ALIM E PROMO LTDA</v>
          </cell>
          <cell r="D353">
            <v>7001</v>
          </cell>
          <cell r="E353" t="str">
            <v>0749</v>
          </cell>
          <cell r="F353" t="str">
            <v>C5</v>
          </cell>
          <cell r="G353" t="str">
            <v>SP</v>
          </cell>
          <cell r="H353" t="str">
            <v>DISTRIBUIÇÃO</v>
          </cell>
          <cell r="I353" t="str">
            <v>FOOD SERVICE</v>
          </cell>
          <cell r="J353" t="str">
            <v>FLAC 3</v>
          </cell>
          <cell r="K353" t="str">
            <v>LACTALIS</v>
          </cell>
          <cell r="L353" t="str">
            <v>RODRIGO</v>
          </cell>
          <cell r="M353" t="str">
            <v>ALEXANDRO</v>
          </cell>
        </row>
        <row r="354">
          <cell r="B354">
            <v>5168003</v>
          </cell>
          <cell r="C354" t="str">
            <v>DAMAIS GELATUS F DE SORVETES E D LT</v>
          </cell>
          <cell r="D354">
            <v>3001</v>
          </cell>
          <cell r="E354" t="str">
            <v>0028</v>
          </cell>
          <cell r="F354" t="str">
            <v>C1</v>
          </cell>
          <cell r="G354" t="str">
            <v>BA</v>
          </cell>
          <cell r="H354" t="str">
            <v>INGREDIENTS</v>
          </cell>
          <cell r="I354" t="str">
            <v>INGREDIENTS</v>
          </cell>
          <cell r="J354" t="str">
            <v>DUAS RODAS</v>
          </cell>
          <cell r="K354" t="str">
            <v>ITAMBÉ</v>
          </cell>
          <cell r="L354" t="str">
            <v>MAURICIO</v>
          </cell>
          <cell r="M354" t="str">
            <v>JOEL</v>
          </cell>
        </row>
        <row r="355">
          <cell r="B355">
            <v>5160324</v>
          </cell>
          <cell r="C355" t="str">
            <v>DAN VIGOR IND E COM DE LATICINIOS L</v>
          </cell>
          <cell r="D355">
            <v>4001</v>
          </cell>
          <cell r="E355" t="str">
            <v>0437</v>
          </cell>
          <cell r="F355" t="str">
            <v>C1</v>
          </cell>
          <cell r="G355" t="str">
            <v>RJ</v>
          </cell>
          <cell r="H355" t="str">
            <v>MC DONALDS</v>
          </cell>
          <cell r="I355" t="str">
            <v>MC DONALDS</v>
          </cell>
          <cell r="J355" t="str">
            <v>MAURICIO GALLI</v>
          </cell>
          <cell r="K355" t="str">
            <v>LACTALIS</v>
          </cell>
          <cell r="L355" t="str">
            <v>MAURICIO</v>
          </cell>
          <cell r="M355" t="str">
            <v>MAURICIO</v>
          </cell>
        </row>
        <row r="356">
          <cell r="B356">
            <v>5160324</v>
          </cell>
          <cell r="C356" t="str">
            <v>DAN VIGOR IND E COM DE LATICINIOS L</v>
          </cell>
          <cell r="D356">
            <v>4001</v>
          </cell>
          <cell r="E356" t="str">
            <v>0445</v>
          </cell>
          <cell r="F356" t="str">
            <v>C7</v>
          </cell>
          <cell r="G356" t="str">
            <v>RJ</v>
          </cell>
          <cell r="H356" t="str">
            <v>INGREDIENTS</v>
          </cell>
          <cell r="I356" t="str">
            <v>INGREDIENTS</v>
          </cell>
          <cell r="J356" t="str">
            <v>TATIANA NITTA</v>
          </cell>
          <cell r="K356" t="str">
            <v>LACTALIS</v>
          </cell>
          <cell r="L356" t="str">
            <v>MAURICIO</v>
          </cell>
          <cell r="M356" t="str">
            <v>TATIANA NITTA</v>
          </cell>
        </row>
        <row r="357">
          <cell r="B357">
            <v>5162170</v>
          </cell>
          <cell r="C357" t="str">
            <v>DAN VIGOR IND E COM DE LATICINIOS L</v>
          </cell>
          <cell r="D357">
            <v>4001</v>
          </cell>
          <cell r="E357" t="str">
            <v>0437</v>
          </cell>
          <cell r="F357" t="str">
            <v>C1</v>
          </cell>
          <cell r="G357" t="str">
            <v>SP</v>
          </cell>
          <cell r="H357" t="str">
            <v>INGREDIENTS</v>
          </cell>
          <cell r="I357" t="str">
            <v>INGREDIENTS</v>
          </cell>
          <cell r="J357" t="str">
            <v>JOEL ELEOTÉRIO</v>
          </cell>
          <cell r="K357" t="str">
            <v>LACTALIS</v>
          </cell>
          <cell r="L357" t="str">
            <v>MAURICIO</v>
          </cell>
          <cell r="M357" t="str">
            <v>JOEL</v>
          </cell>
        </row>
        <row r="358">
          <cell r="B358">
            <v>5307436</v>
          </cell>
          <cell r="C358" t="str">
            <v>DANIELA CRISTINA DE OLIVEIRA MU</v>
          </cell>
          <cell r="D358">
            <v>7001</v>
          </cell>
          <cell r="E358" t="str">
            <v>0749</v>
          </cell>
          <cell r="F358" t="str">
            <v>C5</v>
          </cell>
          <cell r="G358" t="str">
            <v>SP</v>
          </cell>
          <cell r="H358" t="str">
            <v>DISTRIBUIÇÃO</v>
          </cell>
          <cell r="I358" t="str">
            <v>FOOD SERVICE</v>
          </cell>
          <cell r="J358" t="str">
            <v>FLAC 6</v>
          </cell>
          <cell r="K358" t="str">
            <v>LACTALIS</v>
          </cell>
          <cell r="L358" t="str">
            <v>RODRIGO</v>
          </cell>
          <cell r="M358" t="str">
            <v>ALEXANDRO</v>
          </cell>
        </row>
        <row r="359">
          <cell r="B359">
            <v>5267684</v>
          </cell>
          <cell r="C359" t="str">
            <v>DANIELA SPRENGER SILVA</v>
          </cell>
          <cell r="D359">
            <v>7001</v>
          </cell>
          <cell r="E359" t="str">
            <v>0749</v>
          </cell>
          <cell r="F359" t="str">
            <v>C5</v>
          </cell>
          <cell r="G359" t="str">
            <v>SP</v>
          </cell>
          <cell r="H359" t="str">
            <v>DISTRIBUIÇÃO</v>
          </cell>
          <cell r="I359" t="str">
            <v>FOOD SERVICE</v>
          </cell>
          <cell r="J359" t="str">
            <v>FLAC 2</v>
          </cell>
          <cell r="K359" t="str">
            <v>LACTALIS</v>
          </cell>
          <cell r="L359" t="str">
            <v>RODRIGO</v>
          </cell>
          <cell r="M359" t="str">
            <v>ALEXANDRO</v>
          </cell>
        </row>
        <row r="360">
          <cell r="B360">
            <v>5304816</v>
          </cell>
          <cell r="C360" t="str">
            <v>DANIELE ALVES SUENAGA 22492509877</v>
          </cell>
          <cell r="D360">
            <v>7001</v>
          </cell>
          <cell r="E360" t="str">
            <v>0749</v>
          </cell>
          <cell r="F360" t="str">
            <v>C5</v>
          </cell>
          <cell r="G360" t="str">
            <v>SP</v>
          </cell>
          <cell r="H360" t="str">
            <v>DISTRIBUIÇÃO</v>
          </cell>
          <cell r="I360" t="str">
            <v>FOOD SERVICE</v>
          </cell>
          <cell r="J360" t="str">
            <v>FLAC 5</v>
          </cell>
          <cell r="K360" t="str">
            <v>LACTALIS</v>
          </cell>
          <cell r="L360" t="str">
            <v>RODRIGO</v>
          </cell>
          <cell r="M360" t="str">
            <v>ALEXANDRO</v>
          </cell>
        </row>
        <row r="361">
          <cell r="B361">
            <v>5303467</v>
          </cell>
          <cell r="C361" t="str">
            <v>DAUDT SOLUCOES EM CONFEITARIA LTDA</v>
          </cell>
          <cell r="D361">
            <v>7001</v>
          </cell>
          <cell r="E361" t="str">
            <v>0749</v>
          </cell>
          <cell r="F361" t="str">
            <v>C5</v>
          </cell>
          <cell r="G361" t="str">
            <v>SP</v>
          </cell>
          <cell r="H361" t="str">
            <v>DISTRIBUIÇÃO</v>
          </cell>
          <cell r="I361" t="str">
            <v>FOOD SERVICE</v>
          </cell>
          <cell r="J361" t="str">
            <v>FLAC 6</v>
          </cell>
          <cell r="K361" t="str">
            <v>LACTALIS</v>
          </cell>
          <cell r="L361" t="str">
            <v>RODRIGO</v>
          </cell>
          <cell r="M361" t="str">
            <v>ALEXANDRO</v>
          </cell>
        </row>
        <row r="362">
          <cell r="B362">
            <v>5294345</v>
          </cell>
          <cell r="C362" t="str">
            <v>DC DA SILVA ATACADO E VAREJO DE DOC</v>
          </cell>
          <cell r="D362">
            <v>7001</v>
          </cell>
          <cell r="E362" t="str">
            <v>0749</v>
          </cell>
          <cell r="F362" t="str">
            <v>C5</v>
          </cell>
          <cell r="G362" t="str">
            <v>SP</v>
          </cell>
          <cell r="H362" t="str">
            <v>DISTRIBUIÇÃO</v>
          </cell>
          <cell r="I362" t="str">
            <v>FOOD SERVICE</v>
          </cell>
          <cell r="J362" t="str">
            <v>FLAC 2</v>
          </cell>
          <cell r="K362" t="str">
            <v>LACTALIS</v>
          </cell>
          <cell r="L362" t="str">
            <v>RODRIGO</v>
          </cell>
          <cell r="M362" t="str">
            <v>ALEXANDRO</v>
          </cell>
        </row>
        <row r="363">
          <cell r="B363">
            <v>5314343</v>
          </cell>
          <cell r="C363" t="str">
            <v>DE FRENTE BAR E BRASA LTDA</v>
          </cell>
          <cell r="D363">
            <v>7001</v>
          </cell>
          <cell r="E363" t="str">
            <v>0749</v>
          </cell>
          <cell r="F363" t="str">
            <v>C5</v>
          </cell>
          <cell r="G363" t="str">
            <v>SP</v>
          </cell>
          <cell r="H363" t="str">
            <v>DISTRIBUIÇÃO</v>
          </cell>
          <cell r="I363" t="str">
            <v>FOOD SERVICE</v>
          </cell>
          <cell r="J363" t="str">
            <v>FLAC 6</v>
          </cell>
          <cell r="K363" t="str">
            <v>LACTALIS</v>
          </cell>
          <cell r="L363" t="str">
            <v>RODRIGO</v>
          </cell>
          <cell r="M363" t="str">
            <v>ALEXANDRO</v>
          </cell>
        </row>
        <row r="364">
          <cell r="B364">
            <v>5314342</v>
          </cell>
          <cell r="C364" t="str">
            <v>DE PRIMEIRA BOTEQUIM LTDA</v>
          </cell>
          <cell r="D364">
            <v>7001</v>
          </cell>
          <cell r="E364" t="str">
            <v>0749</v>
          </cell>
          <cell r="F364" t="str">
            <v>C5</v>
          </cell>
          <cell r="G364" t="str">
            <v>SP</v>
          </cell>
          <cell r="H364" t="str">
            <v>DISTRIBUIÇÃO</v>
          </cell>
          <cell r="I364" t="str">
            <v>FOOD SERVICE</v>
          </cell>
          <cell r="J364" t="str">
            <v>FLAC 6</v>
          </cell>
          <cell r="K364" t="str">
            <v>LACTALIS</v>
          </cell>
          <cell r="L364" t="str">
            <v>RODRIGO</v>
          </cell>
          <cell r="M364" t="str">
            <v>ALEXANDRO</v>
          </cell>
        </row>
        <row r="365">
          <cell r="B365">
            <v>5307407</v>
          </cell>
          <cell r="C365" t="str">
            <v>DE SEGUNDA RESTAURANTE LTDA</v>
          </cell>
          <cell r="D365">
            <v>7001</v>
          </cell>
          <cell r="E365" t="str">
            <v>0749</v>
          </cell>
          <cell r="F365" t="str">
            <v>C5</v>
          </cell>
          <cell r="G365" t="str">
            <v>SP</v>
          </cell>
          <cell r="H365" t="str">
            <v>DISTRIBUIÇÃO</v>
          </cell>
          <cell r="I365" t="str">
            <v>FOOD SERVICE</v>
          </cell>
          <cell r="J365" t="str">
            <v>FLAC 6</v>
          </cell>
          <cell r="K365" t="str">
            <v>LACTALIS</v>
          </cell>
          <cell r="L365" t="str">
            <v>RODRIGO</v>
          </cell>
          <cell r="M365" t="str">
            <v>ALEXANDRO</v>
          </cell>
        </row>
        <row r="366">
          <cell r="B366">
            <v>5185170</v>
          </cell>
          <cell r="C366" t="str">
            <v>DELA DELE CONFEITARIA EIRELI ME</v>
          </cell>
          <cell r="D366">
            <v>6001</v>
          </cell>
          <cell r="E366" t="str">
            <v>6125</v>
          </cell>
          <cell r="F366" t="str">
            <v>C1</v>
          </cell>
          <cell r="G366" t="str">
            <v>SP</v>
          </cell>
          <cell r="H366" t="str">
            <v>DISTRIBUIÇÃO</v>
          </cell>
          <cell r="I366" t="str">
            <v>FOOD SERVICE</v>
          </cell>
          <cell r="J366" t="str">
            <v>ALEXANDRO RODRIGUES</v>
          </cell>
          <cell r="K366" t="str">
            <v>ITAMBÉ</v>
          </cell>
          <cell r="L366" t="str">
            <v>RODRIGO</v>
          </cell>
          <cell r="M366" t="str">
            <v>ALEXANDRO</v>
          </cell>
        </row>
        <row r="367">
          <cell r="B367">
            <v>5331369</v>
          </cell>
          <cell r="C367" t="str">
            <v>DELAMIX COMERCIO E SERVICOS LTDA</v>
          </cell>
          <cell r="D367">
            <v>7001</v>
          </cell>
          <cell r="E367" t="str">
            <v>0737</v>
          </cell>
          <cell r="F367" t="str">
            <v>C1</v>
          </cell>
          <cell r="G367" t="str">
            <v>SP</v>
          </cell>
          <cell r="H367" t="str">
            <v>INGREDIENTS</v>
          </cell>
          <cell r="I367" t="str">
            <v>INGREDIENTS</v>
          </cell>
          <cell r="J367" t="str">
            <v>JOEL ELEOTÉRIO</v>
          </cell>
          <cell r="K367" t="str">
            <v>LACTALIS</v>
          </cell>
          <cell r="L367" t="str">
            <v>MAURICIO</v>
          </cell>
          <cell r="M367" t="str">
            <v>JOEL</v>
          </cell>
        </row>
        <row r="368">
          <cell r="B368">
            <v>5175073</v>
          </cell>
          <cell r="C368" t="str">
            <v>DELICIOUS DOCERIA</v>
          </cell>
          <cell r="D368">
            <v>7001</v>
          </cell>
          <cell r="E368" t="str">
            <v>0749</v>
          </cell>
          <cell r="F368" t="str">
            <v>C5</v>
          </cell>
          <cell r="G368" t="str">
            <v>SP</v>
          </cell>
          <cell r="H368" t="str">
            <v>DISTRIBUIÇÃO</v>
          </cell>
          <cell r="I368" t="str">
            <v>FOOD SERVICE</v>
          </cell>
          <cell r="J368" t="str">
            <v>FLAC 3</v>
          </cell>
          <cell r="K368" t="str">
            <v>LACTALIS</v>
          </cell>
          <cell r="L368" t="str">
            <v>RODRIGO</v>
          </cell>
          <cell r="M368" t="str">
            <v>ALEXANDRO</v>
          </cell>
        </row>
        <row r="369">
          <cell r="B369">
            <v>5292035</v>
          </cell>
          <cell r="C369" t="str">
            <v>DELIVERY PARIS LTDA</v>
          </cell>
          <cell r="D369">
            <v>7001</v>
          </cell>
          <cell r="E369" t="str">
            <v>0749</v>
          </cell>
          <cell r="F369" t="str">
            <v>C5</v>
          </cell>
          <cell r="G369" t="str">
            <v>SP</v>
          </cell>
          <cell r="H369" t="str">
            <v>DISTRIBUIÇÃO</v>
          </cell>
          <cell r="I369" t="str">
            <v>FOOD SERVICE</v>
          </cell>
          <cell r="J369" t="str">
            <v>FLAC 3</v>
          </cell>
          <cell r="K369" t="str">
            <v>LACTALIS</v>
          </cell>
          <cell r="L369" t="str">
            <v>RODRIGO</v>
          </cell>
          <cell r="M369" t="str">
            <v>ALEXANDRO</v>
          </cell>
        </row>
        <row r="370">
          <cell r="B370">
            <v>5196867</v>
          </cell>
          <cell r="C370" t="str">
            <v>DEPOSITO DE DOCES MALU LTDA</v>
          </cell>
          <cell r="D370">
            <v>6001</v>
          </cell>
          <cell r="E370" t="str">
            <v>6125</v>
          </cell>
          <cell r="F370" t="str">
            <v>C1</v>
          </cell>
          <cell r="G370" t="str">
            <v>SP</v>
          </cell>
          <cell r="H370" t="str">
            <v>DISTRIBUIÇÃO</v>
          </cell>
          <cell r="I370" t="str">
            <v>FOOD SERVICE</v>
          </cell>
          <cell r="J370" t="str">
            <v>GUILHERME NASCIMENTO</v>
          </cell>
          <cell r="K370" t="str">
            <v>ITAMBÉ</v>
          </cell>
          <cell r="L370" t="str">
            <v>RODRIGO</v>
          </cell>
          <cell r="M370" t="str">
            <v>ALEXANDRO</v>
          </cell>
        </row>
        <row r="371">
          <cell r="B371">
            <v>5281961</v>
          </cell>
          <cell r="C371" t="str">
            <v>DERPAC SILK INDUSTRIA E COMERCIO EI</v>
          </cell>
          <cell r="D371">
            <v>7001</v>
          </cell>
          <cell r="E371" t="str">
            <v>0749</v>
          </cell>
          <cell r="F371" t="str">
            <v>C5</v>
          </cell>
          <cell r="G371" t="str">
            <v>SP</v>
          </cell>
          <cell r="H371" t="str">
            <v>DISTRIBUIÇÃO</v>
          </cell>
          <cell r="I371" t="str">
            <v>FOOD SERVICE</v>
          </cell>
          <cell r="J371" t="str">
            <v>FLAC 3</v>
          </cell>
          <cell r="K371" t="str">
            <v>LACTALIS</v>
          </cell>
          <cell r="L371" t="str">
            <v>RODRIGO</v>
          </cell>
          <cell r="M371" t="str">
            <v>ALEXANDRO</v>
          </cell>
        </row>
        <row r="372">
          <cell r="B372">
            <v>5013871</v>
          </cell>
          <cell r="C372" t="str">
            <v>DESCARTEL DISTRIBUIDORA LTDA ME</v>
          </cell>
          <cell r="D372">
            <v>3001</v>
          </cell>
          <cell r="E372" t="str">
            <v>0122</v>
          </cell>
          <cell r="F372" t="str">
            <v>C1</v>
          </cell>
          <cell r="G372" t="str">
            <v>MG</v>
          </cell>
          <cell r="H372" t="str">
            <v>DISTRIBUIÇÃO</v>
          </cell>
          <cell r="I372" t="str">
            <v>FOOD SERVICE</v>
          </cell>
          <cell r="J372" t="str">
            <v>MARCELO SILVA</v>
          </cell>
          <cell r="K372" t="str">
            <v>ITAMBÉ</v>
          </cell>
          <cell r="L372" t="str">
            <v>RODRIGO</v>
          </cell>
          <cell r="M372" t="str">
            <v>CELIO MARTINS</v>
          </cell>
        </row>
        <row r="373">
          <cell r="B373">
            <v>5058749</v>
          </cell>
          <cell r="C373" t="str">
            <v>DEVILLE HOTEIS E TURISMO LTDA</v>
          </cell>
          <cell r="D373">
            <v>7001</v>
          </cell>
          <cell r="E373" t="str">
            <v>0749</v>
          </cell>
          <cell r="F373" t="str">
            <v>C5</v>
          </cell>
          <cell r="G373" t="str">
            <v>SP</v>
          </cell>
          <cell r="H373" t="str">
            <v>DISTRIBUIÇÃO</v>
          </cell>
          <cell r="I373" t="str">
            <v>FOOD SERVICE</v>
          </cell>
          <cell r="J373" t="str">
            <v>FLAC 2</v>
          </cell>
          <cell r="K373" t="str">
            <v>LACTALIS</v>
          </cell>
          <cell r="L373" t="str">
            <v>RODRIGO</v>
          </cell>
          <cell r="M373" t="str">
            <v>ALEXANDRO</v>
          </cell>
        </row>
        <row r="374">
          <cell r="B374">
            <v>5339488</v>
          </cell>
          <cell r="C374" t="str">
            <v>DEZATO GELATO LTDA</v>
          </cell>
          <cell r="D374">
            <v>7001</v>
          </cell>
          <cell r="E374" t="str">
            <v>0749</v>
          </cell>
          <cell r="F374" t="str">
            <v>C5</v>
          </cell>
          <cell r="G374" t="str">
            <v>SP</v>
          </cell>
          <cell r="H374" t="str">
            <v>DISTRIBUIÇÃO</v>
          </cell>
          <cell r="I374" t="str">
            <v>FOOD SERVICE</v>
          </cell>
          <cell r="J374" t="str">
            <v>FLAC 3</v>
          </cell>
          <cell r="K374" t="str">
            <v>LACTALIS</v>
          </cell>
          <cell r="L374" t="str">
            <v>RODRIGO</v>
          </cell>
          <cell r="M374" t="str">
            <v>ALEXANDRO</v>
          </cell>
        </row>
        <row r="375">
          <cell r="B375">
            <v>5249803</v>
          </cell>
          <cell r="C375" t="str">
            <v>DI VENETO ALIMENTOS LTDA</v>
          </cell>
          <cell r="D375">
            <v>7001</v>
          </cell>
          <cell r="E375" t="str">
            <v>0749</v>
          </cell>
          <cell r="F375" t="str">
            <v>C5</v>
          </cell>
          <cell r="G375" t="str">
            <v>SP</v>
          </cell>
          <cell r="H375" t="str">
            <v>DISTRIBUIÇÃO</v>
          </cell>
          <cell r="I375" t="str">
            <v>FOOD SERVICE</v>
          </cell>
          <cell r="J375" t="str">
            <v>FLAC 3</v>
          </cell>
          <cell r="K375" t="str">
            <v>LACTALIS</v>
          </cell>
          <cell r="L375" t="str">
            <v>RODRIGO</v>
          </cell>
          <cell r="M375" t="str">
            <v>ALEXANDRO</v>
          </cell>
        </row>
        <row r="376">
          <cell r="B376">
            <v>5214453</v>
          </cell>
          <cell r="C376" t="str">
            <v>DIA DISTRIBUICAO E IMPORTACAO AFOGA</v>
          </cell>
          <cell r="D376">
            <v>3001</v>
          </cell>
          <cell r="E376" t="str">
            <v>0127</v>
          </cell>
          <cell r="F376" t="str">
            <v>C1</v>
          </cell>
          <cell r="G376" t="str">
            <v>PE</v>
          </cell>
          <cell r="H376" t="str">
            <v>DISTRIBUIÇÃO</v>
          </cell>
          <cell r="I376" t="str">
            <v>FOOD SERVICE</v>
          </cell>
          <cell r="J376" t="str">
            <v>CLAUDIO JORGE</v>
          </cell>
          <cell r="K376" t="str">
            <v>ITAMBÉ</v>
          </cell>
          <cell r="L376" t="str">
            <v>RODRIGO</v>
          </cell>
          <cell r="M376" t="str">
            <v>VAGO NORDESTE</v>
          </cell>
        </row>
        <row r="377">
          <cell r="B377">
            <v>5261320</v>
          </cell>
          <cell r="C377" t="str">
            <v>DIESO BOLOS SALGADOS E CONFEITA</v>
          </cell>
          <cell r="D377">
            <v>7001</v>
          </cell>
          <cell r="E377" t="str">
            <v>0749</v>
          </cell>
          <cell r="F377" t="str">
            <v>C5</v>
          </cell>
          <cell r="G377" t="str">
            <v>SP</v>
          </cell>
          <cell r="H377" t="str">
            <v>DISTRIBUIÇÃO</v>
          </cell>
          <cell r="I377" t="str">
            <v>FOOD SERVICE</v>
          </cell>
          <cell r="J377" t="str">
            <v>FLAC 6</v>
          </cell>
          <cell r="K377" t="str">
            <v>LACTALIS</v>
          </cell>
          <cell r="L377" t="str">
            <v>RODRIGO</v>
          </cell>
          <cell r="M377" t="str">
            <v>ALEXANDRO</v>
          </cell>
        </row>
        <row r="378">
          <cell r="B378">
            <v>5004685</v>
          </cell>
          <cell r="C378" t="str">
            <v>DINIZ COM ATAC DE PROD ALIM LTDA</v>
          </cell>
          <cell r="D378">
            <v>6001</v>
          </cell>
          <cell r="E378" t="str">
            <v>6125</v>
          </cell>
          <cell r="F378" t="str">
            <v>C1</v>
          </cell>
          <cell r="G378" t="str">
            <v>SP</v>
          </cell>
          <cell r="H378" t="str">
            <v>DISTRIBUIÇÃO</v>
          </cell>
          <cell r="I378" t="str">
            <v>FOOD SERVICE</v>
          </cell>
          <cell r="J378" t="str">
            <v>ALEXANDRO RODRIGUES</v>
          </cell>
          <cell r="K378" t="str">
            <v>ITAMBÉ</v>
          </cell>
          <cell r="L378" t="str">
            <v>RODRIGO</v>
          </cell>
          <cell r="M378" t="str">
            <v>ALEXANDRO</v>
          </cell>
        </row>
        <row r="379">
          <cell r="B379">
            <v>5013457</v>
          </cell>
          <cell r="C379" t="str">
            <v>DISBECE DIST DE BEBIDAS E CEREAIS LTDA</v>
          </cell>
          <cell r="D379">
            <v>3001</v>
          </cell>
          <cell r="E379" t="str">
            <v>0127</v>
          </cell>
          <cell r="F379" t="str">
            <v>C1</v>
          </cell>
          <cell r="G379" t="str">
            <v>CE</v>
          </cell>
          <cell r="H379" t="str">
            <v>DISTRIBUIÇÃO</v>
          </cell>
          <cell r="I379" t="str">
            <v>FOOD SERVICE</v>
          </cell>
          <cell r="J379" t="str">
            <v>wH FOOD SERVICE CE</v>
          </cell>
          <cell r="K379" t="str">
            <v>ITAMBÉ</v>
          </cell>
          <cell r="L379" t="str">
            <v>RODRIGO</v>
          </cell>
          <cell r="M379" t="str">
            <v>VAGO NORDESTE</v>
          </cell>
        </row>
        <row r="380">
          <cell r="B380">
            <v>5229339</v>
          </cell>
          <cell r="C380" t="str">
            <v>DISPAN DIST DE ALIM LTDA</v>
          </cell>
          <cell r="D380">
            <v>3001</v>
          </cell>
          <cell r="E380" t="str">
            <v>0127</v>
          </cell>
          <cell r="F380" t="str">
            <v>C1</v>
          </cell>
          <cell r="G380" t="str">
            <v>PE</v>
          </cell>
          <cell r="H380" t="str">
            <v>DISTRIBUIÇÃO</v>
          </cell>
          <cell r="I380" t="str">
            <v>FOOD SERVICE</v>
          </cell>
          <cell r="J380" t="str">
            <v>CLAUDIO JORGE/AMANDA SANDS</v>
          </cell>
          <cell r="K380" t="str">
            <v>ITAMBÉ</v>
          </cell>
          <cell r="L380" t="str">
            <v>RODRIGO</v>
          </cell>
          <cell r="M380" t="str">
            <v>VAGO NORDESTE</v>
          </cell>
        </row>
        <row r="381">
          <cell r="B381">
            <v>5319194</v>
          </cell>
          <cell r="C381" t="str">
            <v>DISPAN DISTRIBUIDORA DE ALIMENTOS</v>
          </cell>
          <cell r="D381">
            <v>3001</v>
          </cell>
          <cell r="E381" t="str">
            <v>0127</v>
          </cell>
          <cell r="F381" t="str">
            <v>C1</v>
          </cell>
          <cell r="G381" t="str">
            <v>PB</v>
          </cell>
          <cell r="H381" t="str">
            <v>DISTRIBUIÇÃO</v>
          </cell>
          <cell r="I381" t="str">
            <v>FOOD SERVICE</v>
          </cell>
          <cell r="J381" t="str">
            <v>CLAUDIO JORGE/AMANDA SANDS</v>
          </cell>
          <cell r="K381" t="str">
            <v>ITAMBÉ</v>
          </cell>
          <cell r="L381" t="str">
            <v>RODRIGO</v>
          </cell>
          <cell r="M381" t="str">
            <v>VAGO NORDESTE</v>
          </cell>
        </row>
        <row r="382">
          <cell r="B382">
            <v>5225860</v>
          </cell>
          <cell r="C382" t="str">
            <v>DISPAN DISTRIBUIDORA DE ALIMENTOS</v>
          </cell>
          <cell r="D382">
            <v>3001</v>
          </cell>
          <cell r="E382" t="str">
            <v>0127</v>
          </cell>
          <cell r="F382" t="str">
            <v>C1</v>
          </cell>
          <cell r="G382" t="str">
            <v>PE</v>
          </cell>
          <cell r="H382" t="str">
            <v>DISTRIBUIÇÃO</v>
          </cell>
          <cell r="I382" t="str">
            <v>FOOD SERVICE</v>
          </cell>
          <cell r="J382" t="str">
            <v>CLAUDIO JORGE/AMANDA SANDS</v>
          </cell>
          <cell r="K382" t="str">
            <v>ITAMBÉ</v>
          </cell>
          <cell r="L382" t="str">
            <v>RODRIGO</v>
          </cell>
          <cell r="M382" t="str">
            <v>VAGO NORDESTE</v>
          </cell>
        </row>
        <row r="383">
          <cell r="B383">
            <v>5308265</v>
          </cell>
          <cell r="C383" t="str">
            <v>DISPAN DISTRIBUIDORA DE ALIMENTOS L</v>
          </cell>
          <cell r="D383">
            <v>3001</v>
          </cell>
          <cell r="E383" t="str">
            <v>0127</v>
          </cell>
          <cell r="F383" t="str">
            <v>C1</v>
          </cell>
          <cell r="G383" t="str">
            <v>PE</v>
          </cell>
          <cell r="H383" t="str">
            <v>DISTRIBUIÇÃO</v>
          </cell>
          <cell r="I383" t="str">
            <v>FOOD SERVICE</v>
          </cell>
          <cell r="J383" t="str">
            <v>CLAUDIO JORGE/AMANDA SANDS</v>
          </cell>
          <cell r="K383" t="str">
            <v>ITAMBÉ</v>
          </cell>
          <cell r="L383" t="str">
            <v>RODRIGO</v>
          </cell>
          <cell r="M383" t="str">
            <v>VAGO NORDESTE</v>
          </cell>
        </row>
        <row r="384">
          <cell r="B384">
            <v>5319281</v>
          </cell>
          <cell r="C384" t="str">
            <v>DISPPAN DIST DE PROD PANIFICACAO</v>
          </cell>
          <cell r="D384">
            <v>3001</v>
          </cell>
          <cell r="E384" t="str">
            <v>0028</v>
          </cell>
          <cell r="F384" t="str">
            <v>C1</v>
          </cell>
          <cell r="G384" t="str">
            <v>AM</v>
          </cell>
          <cell r="H384" t="str">
            <v>INGREDIENTS</v>
          </cell>
          <cell r="I384" t="str">
            <v>INGREDIENTS</v>
          </cell>
          <cell r="J384" t="str">
            <v>DUAS RODAS</v>
          </cell>
          <cell r="K384" t="str">
            <v>ITAMBÉ</v>
          </cell>
          <cell r="L384" t="str">
            <v>MAURICIO</v>
          </cell>
          <cell r="M384" t="str">
            <v>JOEL</v>
          </cell>
        </row>
        <row r="385">
          <cell r="B385">
            <v>5159222</v>
          </cell>
          <cell r="C385" t="str">
            <v>DISPROPAN LTDA</v>
          </cell>
          <cell r="D385">
            <v>3001</v>
          </cell>
          <cell r="E385" t="str">
            <v>0122</v>
          </cell>
          <cell r="F385" t="str">
            <v>C1</v>
          </cell>
          <cell r="G385" t="str">
            <v>MG</v>
          </cell>
          <cell r="H385" t="str">
            <v>DISTRIBUIÇÃO</v>
          </cell>
          <cell r="I385" t="str">
            <v>FOOD SERVICE</v>
          </cell>
          <cell r="J385" t="str">
            <v>MARCELO SILVA</v>
          </cell>
          <cell r="K385" t="str">
            <v>ITAMBÉ</v>
          </cell>
          <cell r="L385" t="str">
            <v>RODRIGO</v>
          </cell>
          <cell r="M385" t="str">
            <v>CELIO MARTINS</v>
          </cell>
        </row>
        <row r="386">
          <cell r="B386">
            <v>5015279</v>
          </cell>
          <cell r="C386" t="str">
            <v>DIST DE ALIMENTOS DEQUECH LTDA</v>
          </cell>
          <cell r="D386">
            <v>3001</v>
          </cell>
          <cell r="E386" t="str">
            <v>0126</v>
          </cell>
          <cell r="F386" t="str">
            <v>C1</v>
          </cell>
          <cell r="G386" t="str">
            <v>SC</v>
          </cell>
          <cell r="H386" t="str">
            <v>DISTRIBUIÇÃO</v>
          </cell>
          <cell r="I386" t="str">
            <v>FOOD SERVICE</v>
          </cell>
          <cell r="J386" t="str">
            <v>ANTÔNIO SOUZA</v>
          </cell>
          <cell r="K386" t="str">
            <v>ITAMBÉ</v>
          </cell>
          <cell r="L386" t="str">
            <v>RODRIGO</v>
          </cell>
          <cell r="M386" t="str">
            <v>VAGO SUL</v>
          </cell>
        </row>
        <row r="387">
          <cell r="B387">
            <v>5033821</v>
          </cell>
          <cell r="C387" t="str">
            <v>DIST DE ALIMENTOS NOVO ENGENHO LTDA</v>
          </cell>
          <cell r="D387">
            <v>3001</v>
          </cell>
          <cell r="E387" t="str">
            <v>0122</v>
          </cell>
          <cell r="F387" t="str">
            <v>C1</v>
          </cell>
          <cell r="G387" t="str">
            <v>MG</v>
          </cell>
          <cell r="H387" t="str">
            <v>DISTRIBUIÇÃO</v>
          </cell>
          <cell r="I387" t="str">
            <v>FOOD SERVICE</v>
          </cell>
          <cell r="J387" t="str">
            <v>MARCELO SILVA</v>
          </cell>
          <cell r="K387" t="str">
            <v>ITAMBÉ</v>
          </cell>
          <cell r="L387" t="str">
            <v>RODRIGO</v>
          </cell>
          <cell r="M387" t="str">
            <v>CELIO MARTINS</v>
          </cell>
        </row>
        <row r="388">
          <cell r="B388">
            <v>5211344</v>
          </cell>
          <cell r="C388" t="str">
            <v>DISTRIB E IMPORT IRMAOS AVELINO</v>
          </cell>
          <cell r="D388">
            <v>3001</v>
          </cell>
          <cell r="E388" t="str">
            <v>0125</v>
          </cell>
          <cell r="F388" t="str">
            <v>C1</v>
          </cell>
          <cell r="G388" t="str">
            <v>SP</v>
          </cell>
          <cell r="H388" t="str">
            <v>DISTRIBUIÇÃO</v>
          </cell>
          <cell r="I388" t="str">
            <v>FOOD SERVICE</v>
          </cell>
          <cell r="J388" t="str">
            <v>RAQUEL BARBOSA</v>
          </cell>
          <cell r="K388" t="str">
            <v>ITAMBÉ</v>
          </cell>
          <cell r="L388" t="str">
            <v>RODRIGO</v>
          </cell>
          <cell r="M388" t="str">
            <v>RAQUEL BARBOSA</v>
          </cell>
        </row>
        <row r="389">
          <cell r="B389">
            <v>5211344</v>
          </cell>
          <cell r="C389" t="str">
            <v>DISTRIB E IMPORT IRMAOS AVELINO</v>
          </cell>
          <cell r="D389">
            <v>6001</v>
          </cell>
          <cell r="E389" t="str">
            <v>6125</v>
          </cell>
          <cell r="F389" t="str">
            <v>C1</v>
          </cell>
          <cell r="G389" t="str">
            <v>SP</v>
          </cell>
          <cell r="H389" t="str">
            <v>DISTRIBUIÇÃO</v>
          </cell>
          <cell r="I389" t="str">
            <v>FOOD SERVICE</v>
          </cell>
          <cell r="J389" t="str">
            <v>RAQUEL BARBOSA</v>
          </cell>
          <cell r="K389" t="str">
            <v>ITAMBÉ</v>
          </cell>
          <cell r="L389" t="str">
            <v>RODRIGO</v>
          </cell>
          <cell r="M389" t="str">
            <v>RAQUEL BARBOSA</v>
          </cell>
        </row>
        <row r="390">
          <cell r="B390">
            <v>5211344</v>
          </cell>
          <cell r="C390" t="str">
            <v>DISTRIB E IMPORT IRMAOS AVELINO</v>
          </cell>
          <cell r="D390">
            <v>7001</v>
          </cell>
          <cell r="E390" t="str">
            <v>0722</v>
          </cell>
          <cell r="F390" t="str">
            <v>C1</v>
          </cell>
          <cell r="G390" t="str">
            <v>SP</v>
          </cell>
          <cell r="H390" t="str">
            <v>DISTRIBUIÇÃO</v>
          </cell>
          <cell r="I390" t="str">
            <v>FOOD SERVICE</v>
          </cell>
          <cell r="J390" t="str">
            <v>RAQUEL BARBOSA</v>
          </cell>
          <cell r="K390" t="str">
            <v>LACTALIS</v>
          </cell>
          <cell r="L390" t="str">
            <v>RODRIGO</v>
          </cell>
          <cell r="M390" t="str">
            <v>RAQUEL BARBOSA</v>
          </cell>
        </row>
        <row r="391">
          <cell r="B391">
            <v>5216067</v>
          </cell>
          <cell r="C391" t="str">
            <v>DISTRIBUIDORA DE DOCES CORREA</v>
          </cell>
          <cell r="D391">
            <v>3001</v>
          </cell>
          <cell r="E391" t="str">
            <v>0126</v>
          </cell>
          <cell r="F391" t="str">
            <v>C1</v>
          </cell>
          <cell r="G391" t="str">
            <v>PR</v>
          </cell>
          <cell r="H391" t="str">
            <v>DISTRIBUIÇÃO</v>
          </cell>
          <cell r="I391" t="str">
            <v>FOOD SERVICE</v>
          </cell>
          <cell r="J391" t="str">
            <v>ANTÔNIO SOUZA</v>
          </cell>
          <cell r="K391" t="str">
            <v>ITAMBÉ</v>
          </cell>
          <cell r="L391" t="str">
            <v>RODRIGO</v>
          </cell>
          <cell r="M391" t="str">
            <v>VAGO SUL</v>
          </cell>
        </row>
        <row r="392">
          <cell r="B392">
            <v>5006978</v>
          </cell>
          <cell r="C392" t="str">
            <v>DISTRIBUIDORA E IMP IRMAOS AVELINO</v>
          </cell>
          <cell r="D392">
            <v>6001</v>
          </cell>
          <cell r="E392" t="str">
            <v>6125</v>
          </cell>
          <cell r="F392" t="str">
            <v>C1</v>
          </cell>
          <cell r="G392" t="str">
            <v>SP</v>
          </cell>
          <cell r="H392" t="str">
            <v>DISTRIBUIÇÃO</v>
          </cell>
          <cell r="I392" t="str">
            <v>FOOD SERVICE</v>
          </cell>
          <cell r="J392" t="str">
            <v>RAQUEL BARBOSA</v>
          </cell>
          <cell r="K392" t="str">
            <v>ITAMBÉ</v>
          </cell>
          <cell r="L392" t="str">
            <v>RODRIGO</v>
          </cell>
          <cell r="M392" t="str">
            <v>RAQUEL BARBOSA</v>
          </cell>
        </row>
        <row r="393">
          <cell r="B393">
            <v>5226985</v>
          </cell>
          <cell r="C393" t="str">
            <v>DISTRIBUIDORA E IMP IRMAOS AVELINO</v>
          </cell>
          <cell r="D393">
            <v>6001</v>
          </cell>
          <cell r="E393" t="str">
            <v>6125</v>
          </cell>
          <cell r="F393" t="str">
            <v>C1</v>
          </cell>
          <cell r="G393" t="str">
            <v>SP</v>
          </cell>
          <cell r="H393" t="str">
            <v>DISTRIBUIÇÃO</v>
          </cell>
          <cell r="I393" t="str">
            <v>FOOD SERVICE</v>
          </cell>
          <cell r="J393" t="str">
            <v>RAQUEL BARBOSA</v>
          </cell>
          <cell r="K393" t="str">
            <v>ITAMBÉ</v>
          </cell>
          <cell r="L393" t="str">
            <v>RODRIGO</v>
          </cell>
          <cell r="M393" t="str">
            <v>RAQUEL BARBOSA</v>
          </cell>
        </row>
        <row r="394">
          <cell r="B394">
            <v>5006978</v>
          </cell>
          <cell r="C394" t="str">
            <v>DISTRIBUIDORA E IMP IRMAOS AVELINO</v>
          </cell>
          <cell r="D394">
            <v>7001</v>
          </cell>
          <cell r="E394" t="str">
            <v>0722</v>
          </cell>
          <cell r="F394" t="str">
            <v>C1</v>
          </cell>
          <cell r="G394" t="str">
            <v>SP</v>
          </cell>
          <cell r="H394" t="str">
            <v>DISTRIBUIÇÃO</v>
          </cell>
          <cell r="I394" t="str">
            <v>FOOD SERVICE</v>
          </cell>
          <cell r="J394" t="str">
            <v>RAQUEL BARBOSA</v>
          </cell>
          <cell r="K394" t="str">
            <v>LACTALIS</v>
          </cell>
          <cell r="L394" t="str">
            <v>RODRIGO</v>
          </cell>
          <cell r="M394" t="str">
            <v>RAQUEL BARBOSA</v>
          </cell>
        </row>
        <row r="395">
          <cell r="B395">
            <v>5226985</v>
          </cell>
          <cell r="C395" t="str">
            <v>DISTRIBUIDORA E IMP IRMAOS AVELINO</v>
          </cell>
          <cell r="D395">
            <v>7001</v>
          </cell>
          <cell r="E395" t="str">
            <v>0722</v>
          </cell>
          <cell r="F395" t="str">
            <v>C1</v>
          </cell>
          <cell r="G395" t="str">
            <v>SP</v>
          </cell>
          <cell r="H395" t="str">
            <v>DISTRIBUIÇÃO</v>
          </cell>
          <cell r="I395" t="str">
            <v>FOOD SERVICE</v>
          </cell>
          <cell r="J395" t="str">
            <v>RAQUEL BARBOSA</v>
          </cell>
          <cell r="K395" t="str">
            <v>LACTALIS</v>
          </cell>
          <cell r="L395" t="str">
            <v>RODRIGO</v>
          </cell>
          <cell r="M395" t="str">
            <v>RAQUEL BARBOSA</v>
          </cell>
        </row>
        <row r="396">
          <cell r="B396">
            <v>5334333</v>
          </cell>
          <cell r="C396" t="str">
            <v>DISTRIBUIDORA E MERCADO BOM SUC</v>
          </cell>
          <cell r="D396">
            <v>7001</v>
          </cell>
          <cell r="E396" t="str">
            <v>0749</v>
          </cell>
          <cell r="F396" t="str">
            <v>C5</v>
          </cell>
          <cell r="G396" t="str">
            <v>SP</v>
          </cell>
          <cell r="H396" t="str">
            <v>DISTRIBUIÇÃO</v>
          </cell>
          <cell r="I396" t="str">
            <v>FOOD SERVICE</v>
          </cell>
          <cell r="J396" t="str">
            <v>FLAC 2</v>
          </cell>
          <cell r="K396" t="str">
            <v>LACTALIS</v>
          </cell>
          <cell r="L396" t="str">
            <v>RODRIGO</v>
          </cell>
          <cell r="M396" t="str">
            <v>ALEXANDRO</v>
          </cell>
        </row>
        <row r="397">
          <cell r="B397">
            <v>5220538</v>
          </cell>
          <cell r="C397" t="str">
            <v>DISTRIBUIDORA JJ DE ALIM E COSM LTD</v>
          </cell>
          <cell r="D397">
            <v>3001</v>
          </cell>
          <cell r="E397" t="str">
            <v>0127</v>
          </cell>
          <cell r="F397" t="str">
            <v>C1</v>
          </cell>
          <cell r="G397" t="str">
            <v>PE</v>
          </cell>
          <cell r="H397" t="str">
            <v>DISTRIBUIÇÃO</v>
          </cell>
          <cell r="I397" t="str">
            <v>FOOD SERVICE</v>
          </cell>
          <cell r="J397" t="str">
            <v>CLAUDIO JORGE</v>
          </cell>
          <cell r="K397" t="str">
            <v>ITAMBÉ</v>
          </cell>
          <cell r="L397" t="str">
            <v>RODRIGO</v>
          </cell>
          <cell r="M397" t="str">
            <v>VAGO NORDESTE</v>
          </cell>
        </row>
        <row r="398">
          <cell r="B398">
            <v>5224070</v>
          </cell>
          <cell r="C398" t="str">
            <v>DISTRIBUIDORA JJ DE ALIMENTOS</v>
          </cell>
          <cell r="D398">
            <v>3001</v>
          </cell>
          <cell r="E398" t="str">
            <v>0127</v>
          </cell>
          <cell r="F398" t="str">
            <v>C1</v>
          </cell>
          <cell r="G398" t="str">
            <v>CE</v>
          </cell>
          <cell r="H398" t="str">
            <v>DISTRIBUIÇÃO</v>
          </cell>
          <cell r="I398" t="str">
            <v>FOOD SERVICE</v>
          </cell>
          <cell r="J398" t="str">
            <v>WH FOOD SERVICE CE</v>
          </cell>
          <cell r="K398" t="str">
            <v>ITAMBÉ</v>
          </cell>
          <cell r="L398" t="str">
            <v>RODRIGO</v>
          </cell>
          <cell r="M398" t="str">
            <v>VAGO NORDESTE</v>
          </cell>
        </row>
        <row r="399">
          <cell r="B399">
            <v>5173427</v>
          </cell>
          <cell r="C399" t="str">
            <v>DISTRIPACK DIST DE EMBALAGENS LTDA</v>
          </cell>
          <cell r="D399">
            <v>3001</v>
          </cell>
          <cell r="E399" t="str">
            <v>0028</v>
          </cell>
          <cell r="F399" t="str">
            <v>C1</v>
          </cell>
          <cell r="G399" t="str">
            <v>MG</v>
          </cell>
          <cell r="H399" t="str">
            <v>INGREDIENTS</v>
          </cell>
          <cell r="I399" t="str">
            <v>INGREDIENTS</v>
          </cell>
          <cell r="J399" t="str">
            <v>DUAS RODAS</v>
          </cell>
          <cell r="K399" t="str">
            <v>ITAMBÉ</v>
          </cell>
          <cell r="L399" t="str">
            <v>MAURICIO</v>
          </cell>
          <cell r="M399" t="str">
            <v>JOEL</v>
          </cell>
        </row>
        <row r="400">
          <cell r="B400">
            <v>5173427</v>
          </cell>
          <cell r="C400" t="str">
            <v>DISTRIPACK DIST DE EMBALAGENS LTDA</v>
          </cell>
          <cell r="D400">
            <v>3001</v>
          </cell>
          <cell r="E400" t="str">
            <v>0122</v>
          </cell>
          <cell r="F400" t="str">
            <v>C1</v>
          </cell>
          <cell r="G400" t="str">
            <v>MG</v>
          </cell>
          <cell r="H400" t="str">
            <v>INGREDIENTS</v>
          </cell>
          <cell r="I400" t="str">
            <v>INGREDIENTS</v>
          </cell>
          <cell r="J400" t="str">
            <v>DUAS RODAS</v>
          </cell>
          <cell r="K400" t="str">
            <v>ITAMBÉ</v>
          </cell>
          <cell r="L400" t="str">
            <v>MAURICIO</v>
          </cell>
          <cell r="M400" t="str">
            <v>JOEL</v>
          </cell>
        </row>
        <row r="401">
          <cell r="B401">
            <v>5316223</v>
          </cell>
          <cell r="C401" t="str">
            <v>DM MERCADO LTDA</v>
          </cell>
          <cell r="D401">
            <v>6001</v>
          </cell>
          <cell r="E401" t="str">
            <v>6125</v>
          </cell>
          <cell r="F401" t="str">
            <v>C1</v>
          </cell>
          <cell r="G401" t="str">
            <v>SP</v>
          </cell>
          <cell r="H401" t="str">
            <v>DISTRIBUIÇÃO</v>
          </cell>
          <cell r="I401" t="str">
            <v>FOOD SERVICE</v>
          </cell>
          <cell r="J401" t="str">
            <v>EMMANUEL FRANCISCO</v>
          </cell>
          <cell r="K401" t="str">
            <v>ITAMBÉ</v>
          </cell>
          <cell r="L401" t="str">
            <v>RODRIGO</v>
          </cell>
          <cell r="M401" t="str">
            <v>ALEXANDRO</v>
          </cell>
        </row>
        <row r="402">
          <cell r="B402">
            <v>5262840</v>
          </cell>
          <cell r="C402" t="str">
            <v>DMX BOLOS DA VOVO LTDA</v>
          </cell>
          <cell r="D402">
            <v>7001</v>
          </cell>
          <cell r="E402" t="str">
            <v>0749</v>
          </cell>
          <cell r="F402" t="str">
            <v>C5</v>
          </cell>
          <cell r="G402" t="str">
            <v>SP</v>
          </cell>
          <cell r="H402" t="str">
            <v>DISTRIBUIÇÃO</v>
          </cell>
          <cell r="I402" t="str">
            <v>FOOD SERVICE</v>
          </cell>
          <cell r="J402" t="str">
            <v>FLAC 6</v>
          </cell>
          <cell r="K402" t="str">
            <v>LACTALIS</v>
          </cell>
          <cell r="L402" t="str">
            <v>RODRIGO</v>
          </cell>
          <cell r="M402" t="str">
            <v>ALEXANDRO</v>
          </cell>
        </row>
        <row r="403">
          <cell r="B403">
            <v>5230045</v>
          </cell>
          <cell r="C403" t="str">
            <v>DN SHAKES COMERCIO DE ALIM LTDA</v>
          </cell>
          <cell r="D403">
            <v>3001</v>
          </cell>
          <cell r="E403" t="str">
            <v>0126</v>
          </cell>
          <cell r="F403" t="str">
            <v>C1</v>
          </cell>
          <cell r="G403" t="str">
            <v>RS</v>
          </cell>
          <cell r="H403" t="str">
            <v>INGREDIENTS</v>
          </cell>
          <cell r="I403" t="str">
            <v>INGREDIENTS</v>
          </cell>
          <cell r="J403" t="str">
            <v>DUAS RODAS</v>
          </cell>
          <cell r="K403" t="str">
            <v>ITAMBÉ</v>
          </cell>
          <cell r="L403" t="str">
            <v>MAURICIO</v>
          </cell>
          <cell r="M403" t="str">
            <v>MARCELO</v>
          </cell>
        </row>
        <row r="404">
          <cell r="B404">
            <v>5227935</v>
          </cell>
          <cell r="C404" t="str">
            <v>DNFA COMERCIO LTDA</v>
          </cell>
          <cell r="D404">
            <v>3001</v>
          </cell>
          <cell r="E404" t="str">
            <v>0126</v>
          </cell>
          <cell r="F404" t="str">
            <v>C1</v>
          </cell>
          <cell r="G404" t="str">
            <v>PR</v>
          </cell>
          <cell r="H404" t="str">
            <v>INGREDIENTS</v>
          </cell>
          <cell r="I404" t="str">
            <v>INGREDIENTS</v>
          </cell>
          <cell r="J404" t="str">
            <v>MARCELO RODRIGUES</v>
          </cell>
          <cell r="K404" t="str">
            <v>ITAMBÉ</v>
          </cell>
          <cell r="L404" t="str">
            <v>MAURICIO</v>
          </cell>
          <cell r="M404" t="str">
            <v>MARCELO</v>
          </cell>
        </row>
        <row r="405">
          <cell r="B405">
            <v>5200125</v>
          </cell>
          <cell r="C405" t="str">
            <v>DOCA COM DE EMB LTDA</v>
          </cell>
          <cell r="D405">
            <v>3001</v>
          </cell>
          <cell r="E405" t="str">
            <v>0127</v>
          </cell>
          <cell r="F405" t="str">
            <v>C1</v>
          </cell>
          <cell r="G405" t="str">
            <v>CE</v>
          </cell>
          <cell r="H405" t="str">
            <v>DISTRIBUIÇÃO</v>
          </cell>
          <cell r="I405" t="str">
            <v>FOOD SERVICE</v>
          </cell>
          <cell r="J405" t="str">
            <v>WH FOOD SERVICE CE</v>
          </cell>
          <cell r="K405" t="str">
            <v>ITAMBÉ</v>
          </cell>
          <cell r="L405" t="str">
            <v>RODRIGO</v>
          </cell>
          <cell r="M405" t="str">
            <v>VAGO NORDESTE</v>
          </cell>
        </row>
        <row r="406">
          <cell r="B406">
            <v>5200125</v>
          </cell>
          <cell r="C406" t="str">
            <v>DOCA COM DE EMB LTDA</v>
          </cell>
          <cell r="D406">
            <v>3001</v>
          </cell>
          <cell r="E406" t="str">
            <v>0075</v>
          </cell>
          <cell r="F406" t="str">
            <v>C1</v>
          </cell>
          <cell r="G406" t="str">
            <v>CE</v>
          </cell>
          <cell r="H406" t="str">
            <v>DISTRIBUIÇÃO</v>
          </cell>
          <cell r="I406" t="str">
            <v>FOOD SERVICE</v>
          </cell>
          <cell r="J406" t="str">
            <v>WH FOOD SERVICE CE</v>
          </cell>
          <cell r="K406" t="str">
            <v>ITAMBÉ</v>
          </cell>
          <cell r="L406" t="str">
            <v>RODRIGO</v>
          </cell>
          <cell r="M406" t="str">
            <v>VAGO NORDESTE</v>
          </cell>
        </row>
        <row r="407">
          <cell r="B407">
            <v>5209002</v>
          </cell>
          <cell r="C407" t="str">
            <v>DOCA COME DE PROD ALIMEN LTDA</v>
          </cell>
          <cell r="D407">
            <v>3001</v>
          </cell>
          <cell r="E407" t="str">
            <v>0127</v>
          </cell>
          <cell r="F407" t="str">
            <v>C1</v>
          </cell>
          <cell r="G407" t="str">
            <v>CE</v>
          </cell>
          <cell r="H407" t="str">
            <v>DISTRIBUIÇÃO</v>
          </cell>
          <cell r="I407" t="str">
            <v>FOOD SERVICE</v>
          </cell>
          <cell r="J407" t="str">
            <v>WH FOOD SERVICE CE</v>
          </cell>
          <cell r="K407" t="str">
            <v>ITAMBÉ</v>
          </cell>
          <cell r="L407" t="str">
            <v>RODRIGO</v>
          </cell>
          <cell r="M407" t="str">
            <v>VAGO NORDESTE</v>
          </cell>
        </row>
        <row r="408">
          <cell r="B408">
            <v>5182512</v>
          </cell>
          <cell r="C408" t="str">
            <v>DOCA COMERCIO DE PROD ALIM LTDA</v>
          </cell>
          <cell r="D408">
            <v>3001</v>
          </cell>
          <cell r="E408" t="str">
            <v>0127</v>
          </cell>
          <cell r="F408" t="str">
            <v>C1</v>
          </cell>
          <cell r="G408" t="str">
            <v>CE</v>
          </cell>
          <cell r="H408" t="str">
            <v>DISTRIBUIÇÃO</v>
          </cell>
          <cell r="I408" t="str">
            <v>FOOD SERVICE</v>
          </cell>
          <cell r="J408" t="str">
            <v>WH FOOD SERVICE CE</v>
          </cell>
          <cell r="K408" t="str">
            <v>ITAMBÉ</v>
          </cell>
          <cell r="L408" t="str">
            <v>RODRIGO</v>
          </cell>
          <cell r="M408" t="str">
            <v>VAGO NORDESTE</v>
          </cell>
        </row>
        <row r="409">
          <cell r="B409">
            <v>5330857</v>
          </cell>
          <cell r="C409" t="str">
            <v>DOCE SOPHIA CONFEITARIA LTDA</v>
          </cell>
          <cell r="D409">
            <v>3001</v>
          </cell>
          <cell r="E409" t="str">
            <v>0122</v>
          </cell>
          <cell r="F409" t="str">
            <v>C1</v>
          </cell>
          <cell r="G409" t="str">
            <v>MG</v>
          </cell>
          <cell r="H409" t="str">
            <v>INGREDIENTS</v>
          </cell>
          <cell r="I409" t="str">
            <v>INGREDIENTS</v>
          </cell>
          <cell r="J409" t="str">
            <v>HENRIQUE FERREIRA</v>
          </cell>
          <cell r="K409" t="str">
            <v>ITAMBÉ</v>
          </cell>
          <cell r="L409" t="str">
            <v>MAURICIO</v>
          </cell>
          <cell r="M409" t="str">
            <v>JOEL</v>
          </cell>
        </row>
        <row r="410">
          <cell r="B410">
            <v>5194511</v>
          </cell>
          <cell r="C410" t="str">
            <v>DOCEMEL ALIMENTOS EIRELI EPP</v>
          </cell>
          <cell r="D410">
            <v>3001</v>
          </cell>
          <cell r="E410" t="str">
            <v>0123</v>
          </cell>
          <cell r="F410" t="str">
            <v>C1</v>
          </cell>
          <cell r="G410" t="str">
            <v>MS</v>
          </cell>
          <cell r="H410" t="str">
            <v>INGREDIENTS</v>
          </cell>
          <cell r="I410" t="str">
            <v>INGREDIENTS</v>
          </cell>
          <cell r="J410" t="str">
            <v>DUAS RODAS</v>
          </cell>
          <cell r="K410" t="str">
            <v>ITAMBÉ</v>
          </cell>
          <cell r="L410" t="str">
            <v>MAURICIO</v>
          </cell>
          <cell r="M410" t="str">
            <v>MARCELO</v>
          </cell>
        </row>
        <row r="411">
          <cell r="B411">
            <v>5122981</v>
          </cell>
          <cell r="C411" t="str">
            <v>DOCERIA FANI LTDA</v>
          </cell>
          <cell r="D411">
            <v>7001</v>
          </cell>
          <cell r="E411" t="str">
            <v>0749</v>
          </cell>
          <cell r="F411" t="str">
            <v>C5</v>
          </cell>
          <cell r="G411" t="str">
            <v>SP</v>
          </cell>
          <cell r="H411" t="str">
            <v>DISTRIBUIÇÃO</v>
          </cell>
          <cell r="I411" t="str">
            <v>FOOD SERVICE</v>
          </cell>
          <cell r="J411" t="str">
            <v>FLAC 3</v>
          </cell>
          <cell r="K411" t="str">
            <v>LACTALIS</v>
          </cell>
          <cell r="L411" t="str">
            <v>RODRIGO</v>
          </cell>
          <cell r="M411" t="str">
            <v>ALEXANDRO</v>
          </cell>
        </row>
        <row r="412">
          <cell r="B412">
            <v>5210128</v>
          </cell>
          <cell r="C412" t="str">
            <v>DOCERIA MIRABELLA LTDA</v>
          </cell>
          <cell r="D412">
            <v>7001</v>
          </cell>
          <cell r="E412" t="str">
            <v>0749</v>
          </cell>
          <cell r="F412" t="str">
            <v>C5</v>
          </cell>
          <cell r="G412" t="str">
            <v>SP</v>
          </cell>
          <cell r="H412" t="str">
            <v>DISTRIBUIÇÃO</v>
          </cell>
          <cell r="I412" t="str">
            <v>FOOD SERVICE</v>
          </cell>
          <cell r="J412" t="str">
            <v>FLAC 3</v>
          </cell>
          <cell r="K412" t="str">
            <v>LACTALIS</v>
          </cell>
          <cell r="L412" t="str">
            <v>RODRIGO</v>
          </cell>
          <cell r="M412" t="str">
            <v>ALEXANDRO</v>
          </cell>
        </row>
        <row r="413">
          <cell r="B413">
            <v>5274236</v>
          </cell>
          <cell r="C413" t="str">
            <v>DOCERIA ZUCKER FABRICA LTDA</v>
          </cell>
          <cell r="D413">
            <v>7001</v>
          </cell>
          <cell r="E413" t="str">
            <v>0749</v>
          </cell>
          <cell r="F413" t="str">
            <v>C5</v>
          </cell>
          <cell r="G413" t="str">
            <v>SP</v>
          </cell>
          <cell r="H413" t="str">
            <v>DISTRIBUIÇÃO</v>
          </cell>
          <cell r="I413" t="str">
            <v>FOOD SERVICE</v>
          </cell>
          <cell r="J413" t="str">
            <v>FLAC 2</v>
          </cell>
          <cell r="K413" t="str">
            <v>LACTALIS</v>
          </cell>
          <cell r="L413" t="str">
            <v>RODRIGO</v>
          </cell>
          <cell r="M413" t="str">
            <v>ALEXANDRO</v>
          </cell>
        </row>
        <row r="414">
          <cell r="B414">
            <v>5111178</v>
          </cell>
          <cell r="C414" t="str">
            <v>DOCES SONHOS DE COTIA DOCERIA LTDA</v>
          </cell>
          <cell r="D414">
            <v>7001</v>
          </cell>
          <cell r="E414" t="str">
            <v>0749</v>
          </cell>
          <cell r="F414" t="str">
            <v>C5</v>
          </cell>
          <cell r="G414" t="str">
            <v>SP</v>
          </cell>
          <cell r="H414" t="str">
            <v>DISTRIBUIÇÃO</v>
          </cell>
          <cell r="I414" t="str">
            <v>FOOD SERVICE</v>
          </cell>
          <cell r="J414" t="str">
            <v>FLAC 6</v>
          </cell>
          <cell r="K414" t="str">
            <v>LACTALIS</v>
          </cell>
          <cell r="L414" t="str">
            <v>RODRIGO</v>
          </cell>
          <cell r="M414" t="str">
            <v>ALEXANDRO</v>
          </cell>
        </row>
        <row r="415">
          <cell r="B415">
            <v>5161583</v>
          </cell>
          <cell r="C415" t="str">
            <v>DOHLER AMERICA LATINA LTDA</v>
          </cell>
          <cell r="D415">
            <v>6001</v>
          </cell>
          <cell r="E415" t="str">
            <v>6125</v>
          </cell>
          <cell r="F415" t="str">
            <v>C1</v>
          </cell>
          <cell r="G415" t="str">
            <v>SP</v>
          </cell>
          <cell r="H415" t="str">
            <v>INGREDIENTS</v>
          </cell>
          <cell r="I415" t="str">
            <v>INGREDIENTS</v>
          </cell>
          <cell r="J415" t="str">
            <v>HENRIQUE FERREIRA</v>
          </cell>
          <cell r="K415" t="str">
            <v>ITAMBÉ</v>
          </cell>
          <cell r="L415" t="str">
            <v>MAURICIO</v>
          </cell>
          <cell r="M415" t="str">
            <v>JOEL</v>
          </cell>
        </row>
        <row r="416">
          <cell r="B416">
            <v>5224996</v>
          </cell>
          <cell r="C416" t="str">
            <v>DOIS IRMAOS IND E COM DE SORV L</v>
          </cell>
          <cell r="D416">
            <v>4001</v>
          </cell>
          <cell r="E416" t="str">
            <v>0455</v>
          </cell>
          <cell r="F416" t="str">
            <v>C1</v>
          </cell>
          <cell r="G416" t="str">
            <v>PR</v>
          </cell>
          <cell r="H416" t="str">
            <v>INGREDIENTS</v>
          </cell>
          <cell r="I416" t="str">
            <v>INGREDIENTS</v>
          </cell>
          <cell r="J416" t="str">
            <v>MARCELO RODRIGUES</v>
          </cell>
          <cell r="K416" t="str">
            <v>LACTALIS</v>
          </cell>
          <cell r="L416" t="str">
            <v>MAURICIO</v>
          </cell>
          <cell r="M416" t="str">
            <v>MARCELO</v>
          </cell>
        </row>
        <row r="417">
          <cell r="B417">
            <v>5234374</v>
          </cell>
          <cell r="C417" t="str">
            <v>DOM RESTAURANTE LTDA</v>
          </cell>
          <cell r="D417">
            <v>7001</v>
          </cell>
          <cell r="E417" t="str">
            <v>0749</v>
          </cell>
          <cell r="F417" t="str">
            <v>C5</v>
          </cell>
          <cell r="G417" t="str">
            <v>SP</v>
          </cell>
          <cell r="H417" t="str">
            <v>DISTRIBUIÇÃO</v>
          </cell>
          <cell r="I417" t="str">
            <v>FOOD SERVICE</v>
          </cell>
          <cell r="J417" t="str">
            <v>FLAC 4</v>
          </cell>
          <cell r="K417" t="str">
            <v>LACTALIS</v>
          </cell>
          <cell r="L417" t="str">
            <v>RODRIGO</v>
          </cell>
          <cell r="M417" t="str">
            <v>ALEXANDRO</v>
          </cell>
        </row>
        <row r="418">
          <cell r="B418">
            <v>5265744</v>
          </cell>
          <cell r="C418" t="str">
            <v>DOMENICA CAFE ALIMENTOS EIRELE</v>
          </cell>
          <cell r="D418">
            <v>7001</v>
          </cell>
          <cell r="E418" t="str">
            <v>0749</v>
          </cell>
          <cell r="F418" t="str">
            <v>C5</v>
          </cell>
          <cell r="G418" t="str">
            <v>SP</v>
          </cell>
          <cell r="H418" t="str">
            <v>DISTRIBUIÇÃO</v>
          </cell>
          <cell r="I418" t="str">
            <v>FOOD SERVICE</v>
          </cell>
          <cell r="J418" t="str">
            <v>FLAC 2</v>
          </cell>
          <cell r="K418" t="str">
            <v>LACTALIS</v>
          </cell>
          <cell r="L418" t="str">
            <v>RODRIGO</v>
          </cell>
          <cell r="M418" t="str">
            <v>ALEXANDRO</v>
          </cell>
        </row>
        <row r="419">
          <cell r="B419">
            <v>5009911</v>
          </cell>
          <cell r="C419" t="str">
            <v>DOMICILI IND COM DE ALIMENTOS LTDA</v>
          </cell>
          <cell r="D419">
            <v>7001</v>
          </cell>
          <cell r="E419" t="str">
            <v>0749</v>
          </cell>
          <cell r="F419" t="str">
            <v>C5</v>
          </cell>
          <cell r="G419" t="str">
            <v>SP</v>
          </cell>
          <cell r="H419" t="str">
            <v>DISTRIBUIÇÃO</v>
          </cell>
          <cell r="I419" t="str">
            <v>FOOD SERVICE</v>
          </cell>
          <cell r="J419" t="str">
            <v>FLAC 1</v>
          </cell>
          <cell r="K419" t="str">
            <v>LACTALIS</v>
          </cell>
          <cell r="L419" t="str">
            <v>RODRIGO</v>
          </cell>
          <cell r="M419" t="str">
            <v>ALEXANDRO</v>
          </cell>
        </row>
        <row r="420">
          <cell r="B420">
            <v>5248415</v>
          </cell>
          <cell r="C420" t="str">
            <v>DON MARCHE SERVICOS DE ALIMENTACAO</v>
          </cell>
          <cell r="D420">
            <v>7001</v>
          </cell>
          <cell r="E420" t="str">
            <v>0749</v>
          </cell>
          <cell r="F420" t="str">
            <v>C5</v>
          </cell>
          <cell r="G420" t="str">
            <v>SP</v>
          </cell>
          <cell r="H420" t="str">
            <v>DISTRIBUIÇÃO</v>
          </cell>
          <cell r="I420" t="str">
            <v>FOOD SERVICE</v>
          </cell>
          <cell r="J420" t="str">
            <v>FLAC 6</v>
          </cell>
          <cell r="K420" t="str">
            <v>LACTALIS</v>
          </cell>
          <cell r="L420" t="str">
            <v>RODRIGO</v>
          </cell>
          <cell r="M420" t="str">
            <v>ALEXANDRO</v>
          </cell>
        </row>
        <row r="421">
          <cell r="B421">
            <v>5077482</v>
          </cell>
          <cell r="C421" t="str">
            <v>DOREMUS ALIMENTOS LTDA</v>
          </cell>
          <cell r="D421">
            <v>3001</v>
          </cell>
          <cell r="E421" t="str">
            <v>0125</v>
          </cell>
          <cell r="F421" t="str">
            <v>C1</v>
          </cell>
          <cell r="G421" t="str">
            <v>SP</v>
          </cell>
          <cell r="H421" t="str">
            <v>INGREDIENTS</v>
          </cell>
          <cell r="I421" t="str">
            <v>INGREDIENTS</v>
          </cell>
          <cell r="J421" t="str">
            <v>TATIANA NITTA</v>
          </cell>
          <cell r="K421" t="str">
            <v>ITAMBÉ</v>
          </cell>
          <cell r="L421" t="str">
            <v>MAURICIO</v>
          </cell>
          <cell r="M421" t="str">
            <v>TATIANA NITTA</v>
          </cell>
        </row>
        <row r="422">
          <cell r="B422">
            <v>5077482</v>
          </cell>
          <cell r="C422" t="str">
            <v>DOREMUS ALIMENTOS LTDA</v>
          </cell>
          <cell r="D422">
            <v>6001</v>
          </cell>
          <cell r="E422" t="str">
            <v>6125</v>
          </cell>
          <cell r="F422" t="str">
            <v>C1</v>
          </cell>
          <cell r="G422" t="str">
            <v>SP</v>
          </cell>
          <cell r="H422" t="str">
            <v>INGREDIENTS</v>
          </cell>
          <cell r="I422" t="str">
            <v>INGREDIENTS</v>
          </cell>
          <cell r="J422" t="str">
            <v>TATIANA NITTA</v>
          </cell>
          <cell r="K422" t="str">
            <v>ITAMBÉ</v>
          </cell>
          <cell r="L422" t="str">
            <v>MAURICIO</v>
          </cell>
          <cell r="M422" t="str">
            <v>TATIANA NITTA</v>
          </cell>
        </row>
        <row r="423">
          <cell r="B423">
            <v>5077482</v>
          </cell>
          <cell r="C423" t="str">
            <v>DOREMUS ALIMENTOS LTDA</v>
          </cell>
          <cell r="D423">
            <v>7001</v>
          </cell>
          <cell r="E423" t="str">
            <v>0749</v>
          </cell>
          <cell r="F423" t="str">
            <v>C5</v>
          </cell>
          <cell r="G423" t="str">
            <v>SP</v>
          </cell>
          <cell r="H423" t="str">
            <v>DISTRIBUIÇÃO</v>
          </cell>
          <cell r="I423" t="str">
            <v>FOOD SERVICE</v>
          </cell>
          <cell r="J423" t="str">
            <v>FLAC 3</v>
          </cell>
          <cell r="K423" t="str">
            <v>LACTALIS</v>
          </cell>
          <cell r="L423" t="str">
            <v>RODRIGO</v>
          </cell>
          <cell r="M423" t="str">
            <v>ALEXANDRO</v>
          </cell>
        </row>
        <row r="424">
          <cell r="B424">
            <v>5077482</v>
          </cell>
          <cell r="C424" t="str">
            <v>DOREMUS ALIMENTOS LTDA</v>
          </cell>
          <cell r="D424">
            <v>6001</v>
          </cell>
          <cell r="E424" t="str">
            <v>6028</v>
          </cell>
          <cell r="F424" t="str">
            <v>C1</v>
          </cell>
          <cell r="G424" t="str">
            <v>SP</v>
          </cell>
          <cell r="H424" t="str">
            <v>INGREDIENTS</v>
          </cell>
          <cell r="I424" t="str">
            <v>INGREDIENTS</v>
          </cell>
          <cell r="J424" t="str">
            <v>TATIANA NITTA</v>
          </cell>
          <cell r="K424" t="str">
            <v>ITAMBÉ</v>
          </cell>
          <cell r="L424" t="str">
            <v>MAURICIO</v>
          </cell>
          <cell r="M424" t="str">
            <v>TATIANA NITTA</v>
          </cell>
        </row>
        <row r="425">
          <cell r="B425">
            <v>5023831</v>
          </cell>
          <cell r="C425" t="str">
            <v>DORIVALI COM DIST DE PROD ALIM LTDA</v>
          </cell>
          <cell r="D425">
            <v>6001</v>
          </cell>
          <cell r="E425" t="str">
            <v>6125</v>
          </cell>
          <cell r="F425" t="str">
            <v>C1</v>
          </cell>
          <cell r="G425" t="str">
            <v>SP</v>
          </cell>
          <cell r="H425" t="str">
            <v>DISTRIBUIÇÃO</v>
          </cell>
          <cell r="I425" t="str">
            <v>FOOD SERVICE</v>
          </cell>
          <cell r="J425" t="str">
            <v>LUCAS ANDRADE</v>
          </cell>
          <cell r="K425" t="str">
            <v>ITAMBÉ</v>
          </cell>
          <cell r="L425" t="str">
            <v>RODRIGO</v>
          </cell>
          <cell r="M425" t="str">
            <v>RAQUEL BARBOSA</v>
          </cell>
        </row>
        <row r="426">
          <cell r="B426">
            <v>5127060</v>
          </cell>
          <cell r="C426" t="str">
            <v>DOZE DISTRIBUIDORA LTDA</v>
          </cell>
          <cell r="D426">
            <v>3001</v>
          </cell>
          <cell r="E426" t="str">
            <v>0122</v>
          </cell>
          <cell r="F426" t="str">
            <v>C1</v>
          </cell>
          <cell r="G426" t="str">
            <v>MG</v>
          </cell>
          <cell r="H426" t="str">
            <v>DISTRIBUIÇÃO</v>
          </cell>
          <cell r="I426" t="str">
            <v>FOOD SERVICE</v>
          </cell>
          <cell r="J426" t="str">
            <v>MARCELO SILVA</v>
          </cell>
          <cell r="K426" t="str">
            <v>ITAMBÉ</v>
          </cell>
          <cell r="L426" t="str">
            <v>RODRIGO</v>
          </cell>
          <cell r="M426" t="str">
            <v>CELIO MARTINS</v>
          </cell>
        </row>
        <row r="427">
          <cell r="B427">
            <v>5282417</v>
          </cell>
          <cell r="C427" t="str">
            <v>DU JOUR CHOCOLATE LTDA</v>
          </cell>
          <cell r="D427">
            <v>7001</v>
          </cell>
          <cell r="E427" t="str">
            <v>0749</v>
          </cell>
          <cell r="F427" t="str">
            <v>C5</v>
          </cell>
          <cell r="G427" t="str">
            <v>SP</v>
          </cell>
          <cell r="H427" t="str">
            <v>DISTRIBUIÇÃO</v>
          </cell>
          <cell r="I427" t="str">
            <v>FOOD SERVICE</v>
          </cell>
          <cell r="J427" t="str">
            <v>FLAC 2</v>
          </cell>
          <cell r="K427" t="str">
            <v>LACTALIS</v>
          </cell>
          <cell r="L427" t="str">
            <v>RODRIGO</v>
          </cell>
          <cell r="M427" t="str">
            <v>ALEXANDRO</v>
          </cell>
        </row>
        <row r="428">
          <cell r="B428">
            <v>5287709</v>
          </cell>
          <cell r="C428" t="str">
            <v>DU LOBO PANIFICACAO LTDA</v>
          </cell>
          <cell r="D428">
            <v>7001</v>
          </cell>
          <cell r="E428" t="str">
            <v>0749</v>
          </cell>
          <cell r="F428" t="str">
            <v>C5</v>
          </cell>
          <cell r="G428" t="str">
            <v>SP</v>
          </cell>
          <cell r="H428" t="str">
            <v>DISTRIBUIÇÃO</v>
          </cell>
          <cell r="I428" t="str">
            <v>FOOD SERVICE</v>
          </cell>
          <cell r="J428" t="str">
            <v>FLAC 2</v>
          </cell>
          <cell r="K428" t="str">
            <v>LACTALIS</v>
          </cell>
          <cell r="L428" t="str">
            <v>RODRIGO</v>
          </cell>
          <cell r="M428" t="str">
            <v>ALEXANDRO</v>
          </cell>
        </row>
        <row r="429">
          <cell r="B429">
            <v>5024950</v>
          </cell>
          <cell r="C429" t="str">
            <v>DUAS RODAS INDUSTRIAL LTDA</v>
          </cell>
          <cell r="D429">
            <v>3001</v>
          </cell>
          <cell r="E429" t="str">
            <v>0126</v>
          </cell>
          <cell r="F429" t="str">
            <v>C1</v>
          </cell>
          <cell r="G429" t="str">
            <v>SC</v>
          </cell>
          <cell r="H429" t="str">
            <v>INGREDIENTS</v>
          </cell>
          <cell r="I429" t="str">
            <v>INGREDIENTS</v>
          </cell>
          <cell r="J429" t="str">
            <v>MARCELO RODRIGUES</v>
          </cell>
          <cell r="K429" t="str">
            <v>ITAMBÉ</v>
          </cell>
          <cell r="L429" t="str">
            <v>MAURICIO</v>
          </cell>
          <cell r="M429" t="str">
            <v>MARCELO</v>
          </cell>
        </row>
        <row r="430">
          <cell r="B430">
            <v>5024950</v>
          </cell>
          <cell r="C430" t="str">
            <v>DUAS RODAS INDUSTRIAL LTDA</v>
          </cell>
          <cell r="D430">
            <v>4001</v>
          </cell>
          <cell r="E430" t="str">
            <v>0456</v>
          </cell>
          <cell r="F430" t="str">
            <v>C1</v>
          </cell>
          <cell r="G430" t="str">
            <v>SC</v>
          </cell>
          <cell r="H430" t="str">
            <v>INGREDIENTS</v>
          </cell>
          <cell r="I430" t="str">
            <v>INGREDIENTS</v>
          </cell>
          <cell r="J430" t="str">
            <v>MARCELO RODRIGUES</v>
          </cell>
          <cell r="K430" t="str">
            <v>LACTALIS</v>
          </cell>
          <cell r="L430" t="str">
            <v>MAURICIO</v>
          </cell>
          <cell r="M430" t="str">
            <v>MARCELO</v>
          </cell>
        </row>
        <row r="431">
          <cell r="B431">
            <v>5204020</v>
          </cell>
          <cell r="C431" t="str">
            <v>DULTIER ATELIER DE CONFEITARIA E DO</v>
          </cell>
          <cell r="D431">
            <v>7001</v>
          </cell>
          <cell r="E431" t="str">
            <v>0749</v>
          </cell>
          <cell r="F431" t="str">
            <v>C5</v>
          </cell>
          <cell r="G431" t="str">
            <v>SP</v>
          </cell>
          <cell r="H431" t="str">
            <v>DISTRIBUIÇÃO</v>
          </cell>
          <cell r="I431" t="str">
            <v>FOOD SERVICE</v>
          </cell>
          <cell r="J431" t="str">
            <v>FLAC 3</v>
          </cell>
          <cell r="K431" t="str">
            <v>LACTALIS</v>
          </cell>
          <cell r="L431" t="str">
            <v>RODRIGO</v>
          </cell>
          <cell r="M431" t="str">
            <v>ALEXANDRO</v>
          </cell>
        </row>
        <row r="432">
          <cell r="B432">
            <v>5314689</v>
          </cell>
          <cell r="C432" t="str">
            <v>DUMIL PRODUTOS ALIMENTICIOS LTDA</v>
          </cell>
          <cell r="D432">
            <v>6001</v>
          </cell>
          <cell r="E432" t="str">
            <v>6125</v>
          </cell>
          <cell r="F432" t="str">
            <v>C1</v>
          </cell>
          <cell r="G432" t="str">
            <v>SP</v>
          </cell>
          <cell r="H432" t="str">
            <v>DISTRIBUIÇÃO</v>
          </cell>
          <cell r="I432" t="str">
            <v>FOOD SERVICE</v>
          </cell>
          <cell r="J432" t="str">
            <v>GUILHERME NASCIMENTO</v>
          </cell>
          <cell r="K432" t="str">
            <v>ITAMBÉ</v>
          </cell>
          <cell r="L432" t="str">
            <v>RODRIGO</v>
          </cell>
          <cell r="M432" t="str">
            <v>ALEXANDRO</v>
          </cell>
        </row>
        <row r="433">
          <cell r="B433">
            <v>5219888</v>
          </cell>
          <cell r="C433" t="str">
            <v>DUTRA SORVETES E PICOLES LTDA</v>
          </cell>
          <cell r="D433">
            <v>3001</v>
          </cell>
          <cell r="E433" t="str">
            <v>0122</v>
          </cell>
          <cell r="F433" t="str">
            <v>C1</v>
          </cell>
          <cell r="G433" t="str">
            <v>MG</v>
          </cell>
          <cell r="H433" t="str">
            <v>INGREDIENTS</v>
          </cell>
          <cell r="I433" t="str">
            <v>INGREDIENTS</v>
          </cell>
          <cell r="J433" t="str">
            <v>DUAS RODAS</v>
          </cell>
          <cell r="K433" t="str">
            <v>ITAMBÉ</v>
          </cell>
          <cell r="L433" t="str">
            <v>MAURICIO</v>
          </cell>
          <cell r="M433" t="str">
            <v>TATIANA NITTA</v>
          </cell>
        </row>
        <row r="434">
          <cell r="B434">
            <v>5148549</v>
          </cell>
          <cell r="C434" t="str">
            <v>E B EXPRESS PROVISIONS INC</v>
          </cell>
          <cell r="D434">
            <v>3001</v>
          </cell>
          <cell r="E434" t="str">
            <v>0062</v>
          </cell>
          <cell r="F434" t="str">
            <v>C1</v>
          </cell>
          <cell r="G434" t="str">
            <v/>
          </cell>
          <cell r="H434" t="str">
            <v>OUTROS</v>
          </cell>
          <cell r="I434" t="str">
            <v>OUTROS</v>
          </cell>
          <cell r="J434" t="str">
            <v>ITAMBE - EXPORTACAO</v>
          </cell>
          <cell r="K434" t="str">
            <v>OUTROS</v>
          </cell>
          <cell r="L434" t="str">
            <v>OUTROS</v>
          </cell>
          <cell r="M434" t="str">
            <v>EXPORTAÇÃO</v>
          </cell>
        </row>
        <row r="435">
          <cell r="B435">
            <v>5204180</v>
          </cell>
          <cell r="C435" t="str">
            <v>E E MODOLO ME</v>
          </cell>
          <cell r="D435">
            <v>3001</v>
          </cell>
          <cell r="E435" t="str">
            <v>0169</v>
          </cell>
          <cell r="F435" t="str">
            <v>C1</v>
          </cell>
          <cell r="G435" t="str">
            <v>ES</v>
          </cell>
          <cell r="H435" t="str">
            <v>DISTRIBUIÇÃO</v>
          </cell>
          <cell r="I435" t="str">
            <v>FOOD SERVICE</v>
          </cell>
          <cell r="J435" t="str">
            <v>MARCELO DUARTE</v>
          </cell>
          <cell r="K435" t="str">
            <v>ITAMBÉ</v>
          </cell>
          <cell r="L435" t="str">
            <v>RODRIGO</v>
          </cell>
          <cell r="M435" t="str">
            <v>JESSICA</v>
          </cell>
        </row>
        <row r="436">
          <cell r="B436">
            <v>5141907</v>
          </cell>
          <cell r="C436" t="str">
            <v>E HOTELARIA E TURISMO LTDA</v>
          </cell>
          <cell r="D436">
            <v>3001</v>
          </cell>
          <cell r="E436" t="str">
            <v>0122</v>
          </cell>
          <cell r="F436" t="str">
            <v>C1</v>
          </cell>
          <cell r="G436" t="str">
            <v>MG</v>
          </cell>
          <cell r="H436" t="str">
            <v>DISTRIBUIÇÃO</v>
          </cell>
          <cell r="I436" t="str">
            <v>FOOD SERVICE</v>
          </cell>
          <cell r="J436" t="str">
            <v>MARCELO SILVA</v>
          </cell>
          <cell r="K436" t="str">
            <v>ITAMBÉ</v>
          </cell>
          <cell r="L436" t="str">
            <v>RODRIGO</v>
          </cell>
          <cell r="M436" t="str">
            <v>CELIO MARTINS</v>
          </cell>
        </row>
        <row r="437">
          <cell r="B437">
            <v>5163906</v>
          </cell>
          <cell r="C437" t="str">
            <v>E N COM PROD FESTAS E SORVETES EIRE</v>
          </cell>
          <cell r="D437">
            <v>6001</v>
          </cell>
          <cell r="E437" t="str">
            <v>6125</v>
          </cell>
          <cell r="F437" t="str">
            <v>C1</v>
          </cell>
          <cell r="G437" t="str">
            <v>SP</v>
          </cell>
          <cell r="H437" t="str">
            <v>INGREDIENTS</v>
          </cell>
          <cell r="I437" t="str">
            <v>INGREDIENTS</v>
          </cell>
          <cell r="J437" t="str">
            <v>DUAS RODAS</v>
          </cell>
          <cell r="K437" t="str">
            <v>ITAMBÉ</v>
          </cell>
          <cell r="L437" t="str">
            <v>MAURICIO</v>
          </cell>
          <cell r="M437" t="str">
            <v>TATIANA NITTA</v>
          </cell>
        </row>
        <row r="438">
          <cell r="B438">
            <v>5230402</v>
          </cell>
          <cell r="C438" t="str">
            <v>E V COMERCIO DE ALIMENTOS LTDA</v>
          </cell>
          <cell r="D438">
            <v>3001</v>
          </cell>
          <cell r="E438" t="str">
            <v>0123</v>
          </cell>
          <cell r="F438" t="str">
            <v>C1</v>
          </cell>
          <cell r="G438" t="str">
            <v>MS</v>
          </cell>
          <cell r="H438" t="str">
            <v>DISTRIBUIÇÃO</v>
          </cell>
          <cell r="I438" t="str">
            <v>FOOD SERVICE</v>
          </cell>
          <cell r="J438" t="str">
            <v>CLAUDIO JORGE</v>
          </cell>
          <cell r="K438" t="str">
            <v>ITAMBÉ</v>
          </cell>
          <cell r="L438" t="str">
            <v>RODRIGO</v>
          </cell>
          <cell r="M438" t="str">
            <v>MARCO AURELIO</v>
          </cell>
        </row>
        <row r="439">
          <cell r="B439">
            <v>5194351</v>
          </cell>
          <cell r="C439" t="str">
            <v>EBANO DISTRIBUIDORA DE ALIMENTOS LT</v>
          </cell>
          <cell r="D439">
            <v>3001</v>
          </cell>
          <cell r="E439" t="str">
            <v>0127</v>
          </cell>
          <cell r="F439" t="str">
            <v>C1</v>
          </cell>
          <cell r="G439" t="str">
            <v>PB</v>
          </cell>
          <cell r="H439" t="str">
            <v>DISTRIBUIÇÃO</v>
          </cell>
          <cell r="I439" t="str">
            <v>FOOD SERVICE</v>
          </cell>
          <cell r="J439" t="str">
            <v>CLAUDIO JORGE</v>
          </cell>
          <cell r="K439" t="str">
            <v>ITAMBÉ</v>
          </cell>
          <cell r="L439" t="str">
            <v>RODRIGO</v>
          </cell>
          <cell r="M439" t="str">
            <v>VAGO NORDESTE</v>
          </cell>
        </row>
        <row r="440">
          <cell r="B440">
            <v>5291033</v>
          </cell>
          <cell r="C440" t="str">
            <v>ECULLY GASTRONOMIA E EVENTOS LTDA</v>
          </cell>
          <cell r="D440">
            <v>7001</v>
          </cell>
          <cell r="E440" t="str">
            <v>0749</v>
          </cell>
          <cell r="F440" t="str">
            <v>C5</v>
          </cell>
          <cell r="G440" t="str">
            <v>SP</v>
          </cell>
          <cell r="H440" t="str">
            <v>DISTRIBUIÇÃO</v>
          </cell>
          <cell r="I440" t="str">
            <v>FOOD SERVICE</v>
          </cell>
          <cell r="J440" t="str">
            <v>FLAC 6</v>
          </cell>
          <cell r="K440" t="str">
            <v>LACTALIS</v>
          </cell>
          <cell r="L440" t="str">
            <v>RODRIGO</v>
          </cell>
          <cell r="M440" t="str">
            <v>ALEXANDRO</v>
          </cell>
        </row>
        <row r="441">
          <cell r="B441">
            <v>5197758</v>
          </cell>
          <cell r="C441" t="str">
            <v>EDMILSON SOUZA SANTOS</v>
          </cell>
          <cell r="D441">
            <v>6001</v>
          </cell>
          <cell r="E441" t="str">
            <v>6125</v>
          </cell>
          <cell r="F441" t="str">
            <v>C1</v>
          </cell>
          <cell r="G441" t="str">
            <v>SP</v>
          </cell>
          <cell r="H441" t="str">
            <v>INGREDIENTS</v>
          </cell>
          <cell r="I441" t="str">
            <v>INGREDIENTS</v>
          </cell>
          <cell r="J441" t="str">
            <v>JOEL ELEOTÉRIO</v>
          </cell>
          <cell r="K441" t="str">
            <v>ITAMBÉ</v>
          </cell>
          <cell r="L441" t="str">
            <v>MAURICIO</v>
          </cell>
          <cell r="M441" t="str">
            <v>JOEL</v>
          </cell>
        </row>
        <row r="442">
          <cell r="B442">
            <v>5307768</v>
          </cell>
          <cell r="C442" t="str">
            <v>EDVAN SANTOS SOUZA BRITO 3195643987</v>
          </cell>
          <cell r="D442">
            <v>7001</v>
          </cell>
          <cell r="E442" t="str">
            <v>0749</v>
          </cell>
          <cell r="F442" t="str">
            <v>C5</v>
          </cell>
          <cell r="G442" t="str">
            <v>SP</v>
          </cell>
          <cell r="H442" t="str">
            <v>DISTRIBUIÇÃO</v>
          </cell>
          <cell r="I442" t="str">
            <v>FOOD SERVICE</v>
          </cell>
          <cell r="J442" t="str">
            <v>FLAC 6</v>
          </cell>
          <cell r="K442" t="str">
            <v>LACTALIS</v>
          </cell>
          <cell r="L442" t="str">
            <v>RODRIGO</v>
          </cell>
          <cell r="M442" t="str">
            <v>ALEXANDRO</v>
          </cell>
        </row>
        <row r="443">
          <cell r="B443">
            <v>5162513</v>
          </cell>
          <cell r="C443" t="str">
            <v>EG MARTINS COM REPRESENTACOES ALIM</v>
          </cell>
          <cell r="D443">
            <v>3001</v>
          </cell>
          <cell r="E443" t="str">
            <v>0169</v>
          </cell>
          <cell r="F443" t="str">
            <v>C1</v>
          </cell>
          <cell r="G443" t="str">
            <v>RJ</v>
          </cell>
          <cell r="H443" t="str">
            <v>INGREDIENTS</v>
          </cell>
          <cell r="I443" t="str">
            <v>INGREDIENTS</v>
          </cell>
          <cell r="J443" t="str">
            <v>HENRIQUE FERREIRA</v>
          </cell>
          <cell r="K443" t="str">
            <v>ITAMBÉ</v>
          </cell>
          <cell r="L443" t="str">
            <v>MAURICIO</v>
          </cell>
          <cell r="M443" t="str">
            <v>JOEL</v>
          </cell>
        </row>
        <row r="444">
          <cell r="B444">
            <v>5308405</v>
          </cell>
          <cell r="C444" t="str">
            <v>EGP COMERCIO DE ALIMENTOS LTDA</v>
          </cell>
          <cell r="D444">
            <v>4001</v>
          </cell>
          <cell r="E444" t="str">
            <v>0423</v>
          </cell>
          <cell r="F444" t="str">
            <v>C5</v>
          </cell>
          <cell r="G444" t="str">
            <v>RS</v>
          </cell>
          <cell r="H444" t="str">
            <v>INGREDIENTS</v>
          </cell>
          <cell r="I444" t="str">
            <v>INGREDIENTS</v>
          </cell>
          <cell r="J444" t="str">
            <v>JOEL ELEOTÉRIO</v>
          </cell>
          <cell r="K444" t="str">
            <v>LACTALIS</v>
          </cell>
          <cell r="L444" t="str">
            <v>MAURICIO</v>
          </cell>
          <cell r="M444" t="str">
            <v>JOEL</v>
          </cell>
        </row>
        <row r="445">
          <cell r="B445">
            <v>5265314</v>
          </cell>
          <cell r="C445" t="str">
            <v>EJE CONFEITARIA FRANCESA LTDA</v>
          </cell>
          <cell r="D445">
            <v>7001</v>
          </cell>
          <cell r="E445" t="str">
            <v>0749</v>
          </cell>
          <cell r="F445" t="str">
            <v>C5</v>
          </cell>
          <cell r="G445" t="str">
            <v>SP</v>
          </cell>
          <cell r="H445" t="str">
            <v>QSR</v>
          </cell>
          <cell r="I445" t="str">
            <v>FOOD SERVICE</v>
          </cell>
          <cell r="J445" t="str">
            <v>NUTRI</v>
          </cell>
          <cell r="K445" t="str">
            <v>LACTALIS</v>
          </cell>
          <cell r="L445" t="str">
            <v>PEDRO</v>
          </cell>
          <cell r="M445" t="str">
            <v>AMANDA</v>
          </cell>
        </row>
        <row r="446">
          <cell r="B446">
            <v>5184155</v>
          </cell>
          <cell r="C446" t="str">
            <v>EJP COMERCIO DE ALIMENTOS LTDA</v>
          </cell>
          <cell r="D446">
            <v>3001</v>
          </cell>
          <cell r="E446" t="str">
            <v>0127</v>
          </cell>
          <cell r="F446" t="str">
            <v>C1</v>
          </cell>
          <cell r="G446" t="str">
            <v>CE</v>
          </cell>
          <cell r="H446" t="str">
            <v>DISTRIBUIÇÃO</v>
          </cell>
          <cell r="I446" t="str">
            <v>FOOD SERVICE</v>
          </cell>
          <cell r="J446" t="str">
            <v>WH FOOD SERVICE CE</v>
          </cell>
          <cell r="K446" t="str">
            <v>ITAMBÉ</v>
          </cell>
          <cell r="L446" t="str">
            <v>RODRIGO</v>
          </cell>
          <cell r="M446" t="str">
            <v>VAGO NORDESTE</v>
          </cell>
        </row>
        <row r="447">
          <cell r="B447">
            <v>5270630</v>
          </cell>
          <cell r="C447" t="str">
            <v>EL CAMINO FOODS SA</v>
          </cell>
          <cell r="D447">
            <v>7001</v>
          </cell>
          <cell r="E447" t="str">
            <v>0722</v>
          </cell>
          <cell r="F447" t="str">
            <v>C1</v>
          </cell>
          <cell r="G447" t="str">
            <v>SP</v>
          </cell>
          <cell r="H447" t="str">
            <v>QSR</v>
          </cell>
          <cell r="I447" t="str">
            <v>FOOD SERVICE</v>
          </cell>
          <cell r="J447" t="str">
            <v>ANA MENIQUETE</v>
          </cell>
          <cell r="K447" t="str">
            <v>LACTALIS</v>
          </cell>
          <cell r="L447" t="str">
            <v>PEDRO</v>
          </cell>
          <cell r="M447" t="str">
            <v>ANA MENIQUETE</v>
          </cell>
        </row>
        <row r="448">
          <cell r="B448">
            <v>5267879</v>
          </cell>
          <cell r="C448" t="str">
            <v>ELCASYAS SUCOS E ALIMENTO EIRELI</v>
          </cell>
          <cell r="D448">
            <v>7001</v>
          </cell>
          <cell r="E448" t="str">
            <v>0749</v>
          </cell>
          <cell r="F448" t="str">
            <v>C5</v>
          </cell>
          <cell r="G448" t="str">
            <v>SP</v>
          </cell>
          <cell r="H448" t="str">
            <v>QSR</v>
          </cell>
          <cell r="I448" t="str">
            <v>FOOD SERVICE</v>
          </cell>
          <cell r="J448" t="str">
            <v>NUTRI</v>
          </cell>
          <cell r="K448" t="str">
            <v>LACTALIS</v>
          </cell>
          <cell r="L448" t="str">
            <v>PEDRO</v>
          </cell>
          <cell r="M448" t="str">
            <v>AMANDA</v>
          </cell>
        </row>
        <row r="449">
          <cell r="B449">
            <v>5282186</v>
          </cell>
          <cell r="C449" t="str">
            <v>ELETRO LIGA H5 LTDA</v>
          </cell>
          <cell r="D449">
            <v>7001</v>
          </cell>
          <cell r="E449" t="str">
            <v>0749</v>
          </cell>
          <cell r="F449" t="str">
            <v>C5</v>
          </cell>
          <cell r="G449" t="str">
            <v>SP</v>
          </cell>
          <cell r="H449" t="str">
            <v>DISTRIBUIÇÃO</v>
          </cell>
          <cell r="I449" t="str">
            <v>FOOD SERVICE</v>
          </cell>
          <cell r="J449" t="str">
            <v>FLAC 2</v>
          </cell>
          <cell r="K449" t="str">
            <v>LACTALIS</v>
          </cell>
          <cell r="L449" t="str">
            <v>RODRIGO</v>
          </cell>
          <cell r="M449" t="str">
            <v>ALEXANDRO</v>
          </cell>
        </row>
        <row r="450">
          <cell r="B450">
            <v>5263679</v>
          </cell>
          <cell r="C450" t="str">
            <v>ELETROX HOTEIS LTDA</v>
          </cell>
          <cell r="D450">
            <v>7001</v>
          </cell>
          <cell r="E450" t="str">
            <v>0749</v>
          </cell>
          <cell r="F450" t="str">
            <v>C5</v>
          </cell>
          <cell r="G450" t="str">
            <v>SP</v>
          </cell>
          <cell r="H450" t="str">
            <v>DISTRIBUIÇÃO</v>
          </cell>
          <cell r="I450" t="str">
            <v>FOOD SERVICE</v>
          </cell>
          <cell r="J450" t="str">
            <v>FLAC 6</v>
          </cell>
          <cell r="K450" t="str">
            <v>LACTALIS</v>
          </cell>
          <cell r="L450" t="str">
            <v>RODRIGO</v>
          </cell>
          <cell r="M450" t="str">
            <v>ALEXANDRO</v>
          </cell>
        </row>
        <row r="451">
          <cell r="B451">
            <v>5309442</v>
          </cell>
          <cell r="C451" t="str">
            <v>ELIZABETH SANTOS FERREIRA 191892618</v>
          </cell>
          <cell r="D451">
            <v>7001</v>
          </cell>
          <cell r="E451" t="str">
            <v>0749</v>
          </cell>
          <cell r="F451" t="str">
            <v>C5</v>
          </cell>
          <cell r="G451" t="str">
            <v>SP</v>
          </cell>
          <cell r="H451" t="str">
            <v>DISTRIBUIÇÃO</v>
          </cell>
          <cell r="I451" t="str">
            <v>FOOD SERVICE</v>
          </cell>
          <cell r="J451" t="str">
            <v>FLAC 3</v>
          </cell>
          <cell r="K451" t="str">
            <v>LACTALIS</v>
          </cell>
          <cell r="L451" t="str">
            <v>RODRIGO</v>
          </cell>
          <cell r="M451" t="str">
            <v>ALEXANDRO</v>
          </cell>
        </row>
        <row r="452">
          <cell r="B452">
            <v>5019031</v>
          </cell>
          <cell r="C452" t="str">
            <v>EMBALEME COM EMB DESCARTAVEIS LTDA</v>
          </cell>
          <cell r="D452">
            <v>6001</v>
          </cell>
          <cell r="E452" t="str">
            <v>6125</v>
          </cell>
          <cell r="F452" t="str">
            <v>C1</v>
          </cell>
          <cell r="G452" t="str">
            <v>SP</v>
          </cell>
          <cell r="H452" t="str">
            <v>DISTRIBUIÇÃO</v>
          </cell>
          <cell r="I452" t="str">
            <v>FOOD SERVICE</v>
          </cell>
          <cell r="J452" t="str">
            <v>EMMANUEL FRANCISCO</v>
          </cell>
          <cell r="K452" t="str">
            <v>ITAMBÉ</v>
          </cell>
          <cell r="L452" t="str">
            <v>RODRIGO</v>
          </cell>
          <cell r="M452" t="str">
            <v>VAGO SP - INTERIOR</v>
          </cell>
        </row>
        <row r="453">
          <cell r="B453">
            <v>5187369</v>
          </cell>
          <cell r="C453" t="str">
            <v>EMBRAPAN EMP BRASILEIRA DE PAN EIRE</v>
          </cell>
          <cell r="D453">
            <v>3001</v>
          </cell>
          <cell r="E453" t="str">
            <v>0122</v>
          </cell>
          <cell r="F453" t="str">
            <v>C1</v>
          </cell>
          <cell r="G453" t="str">
            <v>MG</v>
          </cell>
          <cell r="H453" t="str">
            <v>DISTRIBUIÇÃO</v>
          </cell>
          <cell r="I453" t="str">
            <v>FOOD SERVICE</v>
          </cell>
          <cell r="J453" t="str">
            <v>MARCELO SILVA</v>
          </cell>
          <cell r="K453" t="str">
            <v>ITAMBÉ</v>
          </cell>
          <cell r="L453" t="str">
            <v>RODRIGO</v>
          </cell>
          <cell r="M453" t="str">
            <v>CELIO MARTINS</v>
          </cell>
        </row>
        <row r="454">
          <cell r="B454">
            <v>5261868</v>
          </cell>
          <cell r="C454" t="str">
            <v>EMBRARE REFEICOES E SERVICOS LTDA M</v>
          </cell>
          <cell r="D454">
            <v>7001</v>
          </cell>
          <cell r="E454" t="str">
            <v>0749</v>
          </cell>
          <cell r="F454" t="str">
            <v>C5</v>
          </cell>
          <cell r="G454" t="str">
            <v>SP</v>
          </cell>
          <cell r="H454" t="str">
            <v>DISTRIBUIÇÃO</v>
          </cell>
          <cell r="I454" t="str">
            <v>FOOD SERVICE</v>
          </cell>
          <cell r="J454" t="str">
            <v>FLAC 3</v>
          </cell>
          <cell r="K454" t="str">
            <v>LACTALIS</v>
          </cell>
          <cell r="L454" t="str">
            <v>RODRIGO</v>
          </cell>
          <cell r="M454" t="str">
            <v>ALEXANDRO</v>
          </cell>
        </row>
        <row r="455">
          <cell r="B455">
            <v>5220423</v>
          </cell>
          <cell r="C455" t="str">
            <v>EMILIO CARLOS RIBAS</v>
          </cell>
          <cell r="D455">
            <v>3001</v>
          </cell>
          <cell r="E455" t="str">
            <v>0126</v>
          </cell>
          <cell r="F455" t="str">
            <v>C1</v>
          </cell>
          <cell r="G455" t="str">
            <v>PR</v>
          </cell>
          <cell r="H455" t="str">
            <v>DISTRIBUIÇÃO</v>
          </cell>
          <cell r="I455" t="str">
            <v>FOOD SERVICE</v>
          </cell>
          <cell r="J455" t="str">
            <v>ANTÔNIO SOUZA</v>
          </cell>
          <cell r="K455" t="str">
            <v>ITAMBÉ</v>
          </cell>
          <cell r="L455" t="str">
            <v>RODRIGO</v>
          </cell>
          <cell r="M455" t="str">
            <v>VAGO SUL</v>
          </cell>
        </row>
        <row r="456">
          <cell r="B456">
            <v>5111292</v>
          </cell>
          <cell r="C456" t="str">
            <v>EMPORIO ANDALUZIA LTDA</v>
          </cell>
          <cell r="D456">
            <v>7001</v>
          </cell>
          <cell r="E456" t="str">
            <v>0749</v>
          </cell>
          <cell r="F456" t="str">
            <v>C5</v>
          </cell>
          <cell r="G456" t="str">
            <v>SP</v>
          </cell>
          <cell r="H456" t="str">
            <v>DISTRIBUIÇÃO</v>
          </cell>
          <cell r="I456" t="str">
            <v>FOOD SERVICE</v>
          </cell>
          <cell r="J456" t="str">
            <v>FLAC 1</v>
          </cell>
          <cell r="K456" t="str">
            <v>LACTALIS</v>
          </cell>
          <cell r="L456" t="str">
            <v>RODRIGO</v>
          </cell>
          <cell r="M456" t="str">
            <v>ALEXANDRO</v>
          </cell>
        </row>
        <row r="457">
          <cell r="B457">
            <v>5264538</v>
          </cell>
          <cell r="C457" t="str">
            <v>EMPORIO DEL GROSSI LTDA</v>
          </cell>
          <cell r="D457">
            <v>7001</v>
          </cell>
          <cell r="E457" t="str">
            <v>0749</v>
          </cell>
          <cell r="F457" t="str">
            <v>C5</v>
          </cell>
          <cell r="G457" t="str">
            <v>SP</v>
          </cell>
          <cell r="H457" t="str">
            <v>DISTRIBUIÇÃO</v>
          </cell>
          <cell r="I457" t="str">
            <v>FOOD SERVICE</v>
          </cell>
          <cell r="J457" t="str">
            <v>FLAC 7</v>
          </cell>
          <cell r="K457" t="str">
            <v>LACTALIS</v>
          </cell>
          <cell r="L457" t="str">
            <v>RODRIGO</v>
          </cell>
          <cell r="M457" t="str">
            <v>ALEXANDRO</v>
          </cell>
        </row>
        <row r="458">
          <cell r="B458">
            <v>5156239</v>
          </cell>
          <cell r="C458" t="str">
            <v>EMPORIO DO VELHINHO LTDA</v>
          </cell>
          <cell r="D458">
            <v>7001</v>
          </cell>
          <cell r="E458" t="str">
            <v>0749</v>
          </cell>
          <cell r="F458" t="str">
            <v>C5</v>
          </cell>
          <cell r="G458" t="str">
            <v>SP</v>
          </cell>
          <cell r="H458" t="str">
            <v>DISTRIBUIÇÃO</v>
          </cell>
          <cell r="I458" t="str">
            <v>FOOD SERVICE</v>
          </cell>
          <cell r="J458" t="str">
            <v>FLAC 3</v>
          </cell>
          <cell r="K458" t="str">
            <v>LACTALIS</v>
          </cell>
          <cell r="L458" t="str">
            <v>RODRIGO</v>
          </cell>
          <cell r="M458" t="str">
            <v>ALEXANDRO</v>
          </cell>
        </row>
        <row r="459">
          <cell r="B459">
            <v>5291635</v>
          </cell>
          <cell r="C459" t="str">
            <v>EMPORIO E ROTISSERIE FLORENCA LTDA</v>
          </cell>
          <cell r="D459">
            <v>7001</v>
          </cell>
          <cell r="E459" t="str">
            <v>0749</v>
          </cell>
          <cell r="F459" t="str">
            <v>C5</v>
          </cell>
          <cell r="G459" t="str">
            <v>SP</v>
          </cell>
          <cell r="H459" t="str">
            <v>DISTRIBUIÇÃO</v>
          </cell>
          <cell r="I459" t="str">
            <v>FOOD SERVICE</v>
          </cell>
          <cell r="J459" t="str">
            <v>FLAC 2</v>
          </cell>
          <cell r="K459" t="str">
            <v>LACTALIS</v>
          </cell>
          <cell r="L459" t="str">
            <v>RODRIGO</v>
          </cell>
          <cell r="M459" t="str">
            <v>ALEXANDRO</v>
          </cell>
        </row>
        <row r="460">
          <cell r="B460">
            <v>5211493</v>
          </cell>
          <cell r="C460" t="str">
            <v>EMPORIO GOURMET COM DE ALIM EIRELI</v>
          </cell>
          <cell r="D460">
            <v>7001</v>
          </cell>
          <cell r="E460" t="str">
            <v>0749</v>
          </cell>
          <cell r="F460" t="str">
            <v>C5</v>
          </cell>
          <cell r="G460" t="str">
            <v>SP</v>
          </cell>
          <cell r="H460" t="str">
            <v>DISTRIBUIÇÃO</v>
          </cell>
          <cell r="I460" t="str">
            <v>FOOD SERVICE</v>
          </cell>
          <cell r="J460" t="str">
            <v>FLAC 6</v>
          </cell>
          <cell r="K460" t="str">
            <v>LACTALIS</v>
          </cell>
          <cell r="L460" t="str">
            <v>RODRIGO</v>
          </cell>
          <cell r="M460" t="str">
            <v>ALEXANDRO</v>
          </cell>
        </row>
        <row r="461">
          <cell r="B461">
            <v>5029533</v>
          </cell>
          <cell r="C461" t="str">
            <v>EMPORIO GOURMET COM DE ALIM LT</v>
          </cell>
          <cell r="D461">
            <v>7001</v>
          </cell>
          <cell r="E461" t="str">
            <v>0749</v>
          </cell>
          <cell r="F461" t="str">
            <v>C5</v>
          </cell>
          <cell r="G461" t="str">
            <v>SP</v>
          </cell>
          <cell r="H461" t="str">
            <v>DISTRIBUIÇÃO</v>
          </cell>
          <cell r="I461" t="str">
            <v>FOOD SERVICE</v>
          </cell>
          <cell r="J461" t="str">
            <v>FLAC 6</v>
          </cell>
          <cell r="K461" t="str">
            <v>LACTALIS</v>
          </cell>
          <cell r="L461" t="str">
            <v>RODRIGO</v>
          </cell>
          <cell r="M461" t="str">
            <v>ALEXANDRO</v>
          </cell>
        </row>
        <row r="462">
          <cell r="B462">
            <v>5261200</v>
          </cell>
          <cell r="C462" t="str">
            <v>EMPORIO M E L COM DE ALIM E BEBIDAS</v>
          </cell>
          <cell r="D462">
            <v>7001</v>
          </cell>
          <cell r="E462" t="str">
            <v>0749</v>
          </cell>
          <cell r="F462" t="str">
            <v>C5</v>
          </cell>
          <cell r="G462" t="str">
            <v>SP</v>
          </cell>
          <cell r="H462" t="str">
            <v>DISTRIBUIÇÃO</v>
          </cell>
          <cell r="I462" t="str">
            <v>FOOD SERVICE</v>
          </cell>
          <cell r="J462" t="str">
            <v>FLAC 6</v>
          </cell>
          <cell r="K462" t="str">
            <v>LACTALIS</v>
          </cell>
          <cell r="L462" t="str">
            <v>RODRIGO</v>
          </cell>
          <cell r="M462" t="str">
            <v>ALEXANDRO</v>
          </cell>
        </row>
        <row r="463">
          <cell r="B463">
            <v>5159092</v>
          </cell>
          <cell r="C463" t="str">
            <v>EMPORIO MEGA 100 COMERCIO DE ALIM S</v>
          </cell>
          <cell r="D463">
            <v>7001</v>
          </cell>
          <cell r="E463" t="str">
            <v>0749</v>
          </cell>
          <cell r="F463" t="str">
            <v>C5</v>
          </cell>
          <cell r="G463" t="str">
            <v>SP</v>
          </cell>
          <cell r="H463" t="str">
            <v>DISTRIBUIÇÃO</v>
          </cell>
          <cell r="I463" t="str">
            <v>FOOD SERVICE</v>
          </cell>
          <cell r="J463" t="str">
            <v>FLAC 1</v>
          </cell>
          <cell r="K463" t="str">
            <v>LACTALIS</v>
          </cell>
          <cell r="L463" t="str">
            <v>RODRIGO</v>
          </cell>
          <cell r="M463" t="str">
            <v>ALEXANDRO</v>
          </cell>
        </row>
        <row r="464">
          <cell r="B464">
            <v>5265907</v>
          </cell>
          <cell r="C464" t="str">
            <v>EMPORIO PORTUGUES LTDA</v>
          </cell>
          <cell r="D464">
            <v>7001</v>
          </cell>
          <cell r="E464" t="str">
            <v>0749</v>
          </cell>
          <cell r="F464" t="str">
            <v>C5</v>
          </cell>
          <cell r="G464" t="str">
            <v>SP</v>
          </cell>
          <cell r="H464" t="str">
            <v>DISTRIBUIÇÃO</v>
          </cell>
          <cell r="I464" t="str">
            <v>FOOD SERVICE</v>
          </cell>
          <cell r="J464" t="str">
            <v>FLAC 3</v>
          </cell>
          <cell r="K464" t="str">
            <v>LACTALIS</v>
          </cell>
          <cell r="L464" t="str">
            <v>RODRIGO</v>
          </cell>
          <cell r="M464" t="str">
            <v>ALEXANDRO</v>
          </cell>
        </row>
        <row r="465">
          <cell r="B465">
            <v>5266693</v>
          </cell>
          <cell r="C465" t="str">
            <v>EMPORIOS CAFE PORTUGUAL EIRELI</v>
          </cell>
          <cell r="D465">
            <v>7001</v>
          </cell>
          <cell r="E465" t="str">
            <v>0749</v>
          </cell>
          <cell r="F465" t="str">
            <v>C5</v>
          </cell>
          <cell r="G465" t="str">
            <v>SP</v>
          </cell>
          <cell r="H465" t="str">
            <v>DISTRIBUIÇÃO</v>
          </cell>
          <cell r="I465" t="str">
            <v>FOOD SERVICE</v>
          </cell>
          <cell r="J465" t="str">
            <v>FLAC 3</v>
          </cell>
          <cell r="K465" t="str">
            <v>LACTALIS</v>
          </cell>
          <cell r="L465" t="str">
            <v>RODRIGO</v>
          </cell>
          <cell r="M465" t="str">
            <v>ALEXANDRO</v>
          </cell>
        </row>
        <row r="466">
          <cell r="B466">
            <v>5137206</v>
          </cell>
          <cell r="C466" t="str">
            <v>ENOTEL HOTELS E RESORTS SA</v>
          </cell>
          <cell r="D466">
            <v>3001</v>
          </cell>
          <cell r="E466" t="str">
            <v>0127</v>
          </cell>
          <cell r="F466" t="str">
            <v>C1</v>
          </cell>
          <cell r="G466" t="str">
            <v>PE</v>
          </cell>
          <cell r="H466" t="str">
            <v>DISTRIBUIÇÃO</v>
          </cell>
          <cell r="I466" t="str">
            <v>FOOD SERVICE</v>
          </cell>
          <cell r="J466" t="str">
            <v>CLAUDIO JORGE</v>
          </cell>
          <cell r="K466" t="str">
            <v>ITAMBÉ</v>
          </cell>
          <cell r="L466" t="str">
            <v>RODRIGO</v>
          </cell>
          <cell r="M466" t="str">
            <v>VAGO NORDESTE</v>
          </cell>
        </row>
        <row r="467">
          <cell r="B467">
            <v>5000091</v>
          </cell>
          <cell r="C467" t="str">
            <v>ERCILIO ROSA</v>
          </cell>
          <cell r="D467">
            <v>4001</v>
          </cell>
          <cell r="E467" t="str">
            <v>0455</v>
          </cell>
          <cell r="F467" t="str">
            <v>C1</v>
          </cell>
          <cell r="G467" t="str">
            <v>PR</v>
          </cell>
          <cell r="H467" t="str">
            <v>INGREDIENTS</v>
          </cell>
          <cell r="I467" t="str">
            <v>INGREDIENTS</v>
          </cell>
          <cell r="J467" t="str">
            <v>MARCELO RODRIGUES</v>
          </cell>
          <cell r="K467" t="str">
            <v>LACTALIS</v>
          </cell>
          <cell r="L467" t="str">
            <v>MAURICIO</v>
          </cell>
          <cell r="M467" t="str">
            <v>MARCELO</v>
          </cell>
        </row>
        <row r="468">
          <cell r="B468">
            <v>5265511</v>
          </cell>
          <cell r="C468" t="str">
            <v>ERICK ALEXANDRE PASSARELLI</v>
          </cell>
          <cell r="D468">
            <v>7001</v>
          </cell>
          <cell r="E468" t="str">
            <v>0749</v>
          </cell>
          <cell r="F468" t="str">
            <v>C5</v>
          </cell>
          <cell r="G468" t="str">
            <v>SP</v>
          </cell>
          <cell r="H468" t="str">
            <v>DISTRIBUIÇÃO</v>
          </cell>
          <cell r="I468" t="str">
            <v>FOOD SERVICE</v>
          </cell>
          <cell r="J468" t="str">
            <v>FLAC 3</v>
          </cell>
          <cell r="K468" t="str">
            <v>LACTALIS</v>
          </cell>
          <cell r="L468" t="str">
            <v>RODRIGO</v>
          </cell>
          <cell r="M468" t="str">
            <v>ALEXANDRO</v>
          </cell>
        </row>
        <row r="469">
          <cell r="B469">
            <v>5338420</v>
          </cell>
          <cell r="C469" t="str">
            <v>ERLAN SA EM RECUPERACAO JUDICIA</v>
          </cell>
          <cell r="D469">
            <v>3001</v>
          </cell>
          <cell r="E469" t="str">
            <v>0122</v>
          </cell>
          <cell r="F469" t="str">
            <v>C1</v>
          </cell>
          <cell r="G469" t="str">
            <v>MG</v>
          </cell>
          <cell r="H469" t="str">
            <v>INGREDIENTS</v>
          </cell>
          <cell r="I469" t="str">
            <v>INGREDIENTS</v>
          </cell>
          <cell r="J469" t="str">
            <v>HENRIQUE FERREIRA</v>
          </cell>
          <cell r="K469" t="str">
            <v>ITAMBÉ</v>
          </cell>
          <cell r="L469" t="str">
            <v>MAURICIO</v>
          </cell>
          <cell r="M469" t="str">
            <v>JOEL</v>
          </cell>
        </row>
        <row r="470">
          <cell r="B470">
            <v>5307439</v>
          </cell>
          <cell r="C470" t="str">
            <v>ERVAS FINAS GASTRONOMIA LTDA</v>
          </cell>
          <cell r="D470">
            <v>7001</v>
          </cell>
          <cell r="E470" t="str">
            <v>0749</v>
          </cell>
          <cell r="F470" t="str">
            <v>C5</v>
          </cell>
          <cell r="G470" t="str">
            <v>SP</v>
          </cell>
          <cell r="H470" t="str">
            <v>DISTRIBUIÇÃO</v>
          </cell>
          <cell r="I470" t="str">
            <v>FOOD SERVICE</v>
          </cell>
          <cell r="J470" t="str">
            <v>FLAC 4</v>
          </cell>
          <cell r="K470" t="str">
            <v>LACTALIS</v>
          </cell>
          <cell r="L470" t="str">
            <v>RODRIGO</v>
          </cell>
          <cell r="M470" t="str">
            <v>ALEXANDRO</v>
          </cell>
        </row>
        <row r="471">
          <cell r="B471">
            <v>5301955</v>
          </cell>
          <cell r="C471" t="str">
            <v>ESCATULA VERGA SUCOS TAMBORE LTDA</v>
          </cell>
          <cell r="D471">
            <v>7001</v>
          </cell>
          <cell r="E471" t="str">
            <v>0749</v>
          </cell>
          <cell r="F471" t="str">
            <v>C5</v>
          </cell>
          <cell r="G471" t="str">
            <v>SP</v>
          </cell>
          <cell r="H471" t="str">
            <v>DISTRIBUIÇÃO</v>
          </cell>
          <cell r="I471" t="str">
            <v>FOOD SERVICE</v>
          </cell>
          <cell r="J471" t="str">
            <v>FLAC 2</v>
          </cell>
          <cell r="K471" t="str">
            <v>LACTALIS</v>
          </cell>
          <cell r="L471" t="str">
            <v>RODRIGO</v>
          </cell>
          <cell r="M471" t="str">
            <v>ALEXANDRO</v>
          </cell>
        </row>
        <row r="472">
          <cell r="B472">
            <v>5252870</v>
          </cell>
          <cell r="C472" t="str">
            <v>ESCOLA DE EDUC INFANTIL SAUDE LTDA</v>
          </cell>
          <cell r="D472">
            <v>7001</v>
          </cell>
          <cell r="E472" t="str">
            <v>0749</v>
          </cell>
          <cell r="F472" t="str">
            <v>C5</v>
          </cell>
          <cell r="G472" t="str">
            <v>SP</v>
          </cell>
          <cell r="H472" t="str">
            <v>DISTRIBUIÇÃO</v>
          </cell>
          <cell r="I472" t="str">
            <v>FOOD SERVICE</v>
          </cell>
          <cell r="J472" t="str">
            <v>FLAC 3</v>
          </cell>
          <cell r="K472" t="str">
            <v>LACTALIS</v>
          </cell>
          <cell r="L472" t="str">
            <v>RODRIGO</v>
          </cell>
          <cell r="M472" t="str">
            <v>ALEXANDRO</v>
          </cell>
        </row>
        <row r="473">
          <cell r="B473">
            <v>5068894</v>
          </cell>
          <cell r="C473" t="str">
            <v>ESDEL COM PRODUTOS ALIMENTARES LTDA</v>
          </cell>
          <cell r="D473">
            <v>3001</v>
          </cell>
          <cell r="E473" t="str">
            <v>0126</v>
          </cell>
          <cell r="F473" t="str">
            <v>C1</v>
          </cell>
          <cell r="G473" t="str">
            <v>PR</v>
          </cell>
          <cell r="H473" t="str">
            <v>INGREDIENTS</v>
          </cell>
          <cell r="I473" t="str">
            <v>INGREDIENTS</v>
          </cell>
          <cell r="J473" t="str">
            <v>MARCELO RODRIGUES</v>
          </cell>
          <cell r="K473" t="str">
            <v>ITAMBÉ</v>
          </cell>
          <cell r="L473" t="str">
            <v>MAURICIO</v>
          </cell>
          <cell r="M473" t="str">
            <v>MARCELO</v>
          </cell>
        </row>
        <row r="474">
          <cell r="B474">
            <v>5326107</v>
          </cell>
          <cell r="C474" t="str">
            <v>ESM ALIMENTACAO ESCOLAR LTDA</v>
          </cell>
          <cell r="D474">
            <v>7001</v>
          </cell>
          <cell r="E474" t="str">
            <v>0749</v>
          </cell>
          <cell r="F474" t="str">
            <v>C5</v>
          </cell>
          <cell r="G474" t="str">
            <v>SP</v>
          </cell>
          <cell r="H474" t="str">
            <v>DISTRIBUIÇÃO</v>
          </cell>
          <cell r="I474" t="str">
            <v>FOOD SERVICE</v>
          </cell>
          <cell r="J474" t="str">
            <v>FLAC 6</v>
          </cell>
          <cell r="K474" t="str">
            <v>LACTALIS</v>
          </cell>
          <cell r="L474" t="str">
            <v>RODRIGO</v>
          </cell>
          <cell r="M474" t="str">
            <v>ALEXANDRO</v>
          </cell>
        </row>
        <row r="475">
          <cell r="B475">
            <v>5326108</v>
          </cell>
          <cell r="C475" t="str">
            <v>ESM ALIMENTACAO ESCOLAR LTDA</v>
          </cell>
          <cell r="D475">
            <v>7001</v>
          </cell>
          <cell r="E475" t="str">
            <v>0749</v>
          </cell>
          <cell r="F475" t="str">
            <v>C5</v>
          </cell>
          <cell r="G475" t="str">
            <v>SP</v>
          </cell>
          <cell r="H475" t="str">
            <v>DISTRIBUIÇÃO</v>
          </cell>
          <cell r="I475" t="str">
            <v>FOOD SERVICE</v>
          </cell>
          <cell r="J475" t="str">
            <v>FLAC 6</v>
          </cell>
          <cell r="K475" t="str">
            <v>LACTALIS</v>
          </cell>
          <cell r="L475" t="str">
            <v>RODRIGO</v>
          </cell>
          <cell r="M475" t="str">
            <v>ALEXANDRO</v>
          </cell>
        </row>
        <row r="476">
          <cell r="B476">
            <v>5168811</v>
          </cell>
          <cell r="C476" t="str">
            <v>ESPACO CHEF COM PROD ALIM DOM LTDA</v>
          </cell>
          <cell r="D476">
            <v>3001</v>
          </cell>
          <cell r="E476" t="str">
            <v>0127</v>
          </cell>
          <cell r="F476" t="str">
            <v>C1</v>
          </cell>
          <cell r="G476" t="str">
            <v>CE</v>
          </cell>
          <cell r="H476" t="str">
            <v>DISTRIBUIÇÃO</v>
          </cell>
          <cell r="I476" t="str">
            <v>FOOD SERVICE</v>
          </cell>
          <cell r="J476" t="str">
            <v>WH FOOD SERVICE CE</v>
          </cell>
          <cell r="K476" t="str">
            <v>ITAMBÉ</v>
          </cell>
          <cell r="L476" t="str">
            <v>RODRIGO</v>
          </cell>
          <cell r="M476" t="str">
            <v>VAGO NORDESTE</v>
          </cell>
        </row>
        <row r="477">
          <cell r="B477">
            <v>5285686</v>
          </cell>
          <cell r="C477" t="str">
            <v>ESPACO TRANSATLANTICO REST E EVENT</v>
          </cell>
          <cell r="D477">
            <v>7001</v>
          </cell>
          <cell r="E477" t="str">
            <v>0749</v>
          </cell>
          <cell r="F477" t="str">
            <v>C5</v>
          </cell>
          <cell r="G477" t="str">
            <v>SP</v>
          </cell>
          <cell r="H477" t="str">
            <v>DISTRIBUIÇÃO</v>
          </cell>
          <cell r="I477" t="str">
            <v>FOOD SERVICE</v>
          </cell>
          <cell r="J477" t="str">
            <v>FLAC 6</v>
          </cell>
          <cell r="K477" t="str">
            <v>LACTALIS</v>
          </cell>
          <cell r="L477" t="str">
            <v>RODRIGO</v>
          </cell>
          <cell r="M477" t="str">
            <v>ALEXANDRO</v>
          </cell>
        </row>
        <row r="478">
          <cell r="B478">
            <v>5169592</v>
          </cell>
          <cell r="C478" t="str">
            <v>ESQUILOS ACAI LTDA ME</v>
          </cell>
          <cell r="D478">
            <v>6001</v>
          </cell>
          <cell r="E478" t="str">
            <v>6125</v>
          </cell>
          <cell r="F478" t="str">
            <v>C1</v>
          </cell>
          <cell r="G478" t="str">
            <v>SP</v>
          </cell>
          <cell r="H478" t="str">
            <v>INGREDIENTS</v>
          </cell>
          <cell r="I478" t="str">
            <v>INGREDIENTS</v>
          </cell>
          <cell r="J478" t="str">
            <v>DUAS RODAS</v>
          </cell>
          <cell r="K478" t="str">
            <v>ITAMBÉ</v>
          </cell>
          <cell r="L478" t="str">
            <v>MAURICIO</v>
          </cell>
          <cell r="M478" t="str">
            <v>TATIANA NITTA</v>
          </cell>
        </row>
        <row r="479">
          <cell r="B479">
            <v>5266214</v>
          </cell>
          <cell r="C479" t="str">
            <v>ESTACAO DO CAFE T R COM DE ALIM LTD</v>
          </cell>
          <cell r="D479">
            <v>7001</v>
          </cell>
          <cell r="E479" t="str">
            <v>0749</v>
          </cell>
          <cell r="F479" t="str">
            <v>C5</v>
          </cell>
          <cell r="G479" t="str">
            <v>SP</v>
          </cell>
          <cell r="H479" t="str">
            <v>DISTRIBUIÇÃO</v>
          </cell>
          <cell r="I479" t="str">
            <v>FOOD SERVICE</v>
          </cell>
          <cell r="J479" t="str">
            <v>FLAC 3</v>
          </cell>
          <cell r="K479" t="str">
            <v>LACTALIS</v>
          </cell>
          <cell r="L479" t="str">
            <v>RODRIGO</v>
          </cell>
          <cell r="M479" t="str">
            <v>ALEXANDRO</v>
          </cell>
        </row>
        <row r="480">
          <cell r="B480">
            <v>5010128</v>
          </cell>
          <cell r="C480" t="str">
            <v>ESTANPLAZA ADM HOT E COM LTDA</v>
          </cell>
          <cell r="D480">
            <v>7001</v>
          </cell>
          <cell r="E480" t="str">
            <v>0722</v>
          </cell>
          <cell r="F480" t="str">
            <v>C1</v>
          </cell>
          <cell r="G480" t="str">
            <v>SP</v>
          </cell>
          <cell r="H480" t="str">
            <v>DISTRIBUIÇÃO</v>
          </cell>
          <cell r="I480" t="str">
            <v>FOOD SERVICE</v>
          </cell>
          <cell r="J480" t="str">
            <v>GUILHERME NASCIMENTO</v>
          </cell>
          <cell r="K480" t="str">
            <v>LACTALIS</v>
          </cell>
          <cell r="L480" t="str">
            <v>RODRIGO</v>
          </cell>
          <cell r="M480" t="str">
            <v>ALEXANDRO</v>
          </cell>
        </row>
        <row r="481">
          <cell r="B481">
            <v>5017000</v>
          </cell>
          <cell r="C481" t="str">
            <v>ESTANPLAZA ADM HOT E COM LTDA</v>
          </cell>
          <cell r="D481">
            <v>7001</v>
          </cell>
          <cell r="E481" t="str">
            <v>0749</v>
          </cell>
          <cell r="F481" t="str">
            <v>C5</v>
          </cell>
          <cell r="G481" t="str">
            <v>SP</v>
          </cell>
          <cell r="H481" t="str">
            <v>QSR</v>
          </cell>
          <cell r="I481" t="str">
            <v>FOOD SERVICE</v>
          </cell>
          <cell r="J481" t="str">
            <v>NUTRI</v>
          </cell>
          <cell r="K481" t="str">
            <v>LACTALIS</v>
          </cell>
          <cell r="L481" t="str">
            <v>PEDRO</v>
          </cell>
          <cell r="M481" t="str">
            <v>AMANDA</v>
          </cell>
        </row>
        <row r="482">
          <cell r="B482">
            <v>5161660</v>
          </cell>
          <cell r="C482" t="str">
            <v>ESTANPLAZA ADM HOTELEIRA E COM</v>
          </cell>
          <cell r="D482">
            <v>7001</v>
          </cell>
          <cell r="E482" t="str">
            <v>0749</v>
          </cell>
          <cell r="F482" t="str">
            <v>C5</v>
          </cell>
          <cell r="G482" t="str">
            <v>SP</v>
          </cell>
          <cell r="H482" t="str">
            <v>DISTRIBUIÇÃO</v>
          </cell>
          <cell r="I482" t="str">
            <v>FOOD SERVICE</v>
          </cell>
          <cell r="J482" t="str">
            <v>GUILHERME NASCIMENTO</v>
          </cell>
          <cell r="K482" t="str">
            <v>LACTALIS</v>
          </cell>
          <cell r="L482" t="str">
            <v>RODRIGO</v>
          </cell>
          <cell r="M482" t="str">
            <v>ALEXANDRO</v>
          </cell>
        </row>
        <row r="483">
          <cell r="B483">
            <v>5161651</v>
          </cell>
          <cell r="C483" t="str">
            <v>ESTANPLAZA ADM HOTELEIRA E COML LTD</v>
          </cell>
          <cell r="D483">
            <v>7001</v>
          </cell>
          <cell r="E483" t="str">
            <v>0749</v>
          </cell>
          <cell r="F483" t="str">
            <v>C5</v>
          </cell>
          <cell r="G483" t="str">
            <v>SP</v>
          </cell>
          <cell r="H483" t="str">
            <v>QSR</v>
          </cell>
          <cell r="I483" t="str">
            <v>FOOD SERVICE</v>
          </cell>
          <cell r="J483" t="str">
            <v>NUTRI</v>
          </cell>
          <cell r="K483" t="str">
            <v>LACTALIS</v>
          </cell>
          <cell r="L483" t="str">
            <v>PEDRO</v>
          </cell>
          <cell r="M483" t="str">
            <v>AMANDA</v>
          </cell>
        </row>
        <row r="484">
          <cell r="B484">
            <v>5161653</v>
          </cell>
          <cell r="C484" t="str">
            <v>ESTANPLAZA ADM HOTELEIRA E COML LTD</v>
          </cell>
          <cell r="D484">
            <v>7001</v>
          </cell>
          <cell r="E484" t="str">
            <v>0749</v>
          </cell>
          <cell r="F484" t="str">
            <v>C5</v>
          </cell>
          <cell r="G484" t="str">
            <v>SP</v>
          </cell>
          <cell r="H484" t="str">
            <v>QSR</v>
          </cell>
          <cell r="I484" t="str">
            <v>FOOD SERVICE</v>
          </cell>
          <cell r="J484" t="str">
            <v>NUTRI</v>
          </cell>
          <cell r="K484" t="str">
            <v>LACTALIS</v>
          </cell>
          <cell r="L484" t="str">
            <v>PEDRO</v>
          </cell>
          <cell r="M484" t="str">
            <v>AMANDA</v>
          </cell>
        </row>
        <row r="485">
          <cell r="B485">
            <v>5161612</v>
          </cell>
          <cell r="C485" t="str">
            <v>ESTANPLAZA ADMI HOTELEIRA E COML LT</v>
          </cell>
          <cell r="D485">
            <v>7001</v>
          </cell>
          <cell r="E485" t="str">
            <v>0749</v>
          </cell>
          <cell r="F485" t="str">
            <v>C5</v>
          </cell>
          <cell r="G485" t="str">
            <v>SP</v>
          </cell>
          <cell r="H485" t="str">
            <v>QSR</v>
          </cell>
          <cell r="I485" t="str">
            <v>FOOD SERVICE</v>
          </cell>
          <cell r="J485" t="str">
            <v>NUTRI</v>
          </cell>
          <cell r="K485" t="str">
            <v>LACTALIS</v>
          </cell>
          <cell r="L485" t="str">
            <v>PEDRO</v>
          </cell>
          <cell r="M485" t="str">
            <v>AMANDA</v>
          </cell>
        </row>
        <row r="486">
          <cell r="B486">
            <v>5194959</v>
          </cell>
          <cell r="C486" t="str">
            <v>EXATA COM E DIST DE MATERIA EM</v>
          </cell>
          <cell r="D486">
            <v>3001</v>
          </cell>
          <cell r="E486" t="str">
            <v>0169</v>
          </cell>
          <cell r="F486" t="str">
            <v>C1</v>
          </cell>
          <cell r="G486" t="str">
            <v>RJ</v>
          </cell>
          <cell r="H486" t="str">
            <v>DISTRIBUIÇÃO</v>
          </cell>
          <cell r="I486" t="str">
            <v>FOOD SERVICE</v>
          </cell>
          <cell r="J486" t="str">
            <v>LUCIANA MARTINS</v>
          </cell>
          <cell r="K486" t="str">
            <v>ITAMBÉ</v>
          </cell>
          <cell r="L486" t="str">
            <v>RODRIGO</v>
          </cell>
          <cell r="M486" t="str">
            <v>JESSICA</v>
          </cell>
        </row>
        <row r="487">
          <cell r="B487">
            <v>5248463</v>
          </cell>
          <cell r="C487" t="str">
            <v>EXCELLENCE BAR E RESTAURANTE LTDA</v>
          </cell>
          <cell r="D487">
            <v>7001</v>
          </cell>
          <cell r="E487" t="str">
            <v>0749</v>
          </cell>
          <cell r="F487" t="str">
            <v>C5</v>
          </cell>
          <cell r="G487" t="str">
            <v>SP</v>
          </cell>
          <cell r="H487" t="str">
            <v>DISTRIBUIÇÃO</v>
          </cell>
          <cell r="I487" t="str">
            <v>FOOD SERVICE</v>
          </cell>
          <cell r="J487" t="str">
            <v>FLAC 3</v>
          </cell>
          <cell r="K487" t="str">
            <v>LACTALIS</v>
          </cell>
          <cell r="L487" t="str">
            <v>RODRIGO</v>
          </cell>
          <cell r="M487" t="str">
            <v>ALEXANDRO</v>
          </cell>
        </row>
        <row r="488">
          <cell r="B488">
            <v>8010001</v>
          </cell>
          <cell r="C488" t="str">
            <v>EXP</v>
          </cell>
          <cell r="D488">
            <v>3001</v>
          </cell>
          <cell r="E488" t="str">
            <v>0062</v>
          </cell>
          <cell r="F488" t="str">
            <v>C1</v>
          </cell>
          <cell r="G488" t="str">
            <v/>
          </cell>
          <cell r="H488" t="str">
            <v>OUTROS</v>
          </cell>
          <cell r="I488" t="str">
            <v>OUTROS</v>
          </cell>
          <cell r="J488" t="str">
            <v>INTERCOMPANY EXP</v>
          </cell>
          <cell r="K488" t="str">
            <v>OUTROS</v>
          </cell>
          <cell r="L488" t="str">
            <v>OUTROS</v>
          </cell>
          <cell r="M488" t="str">
            <v>INTERCOMPANY</v>
          </cell>
        </row>
        <row r="489">
          <cell r="B489">
            <v>8010002</v>
          </cell>
          <cell r="C489" t="str">
            <v>EXP</v>
          </cell>
          <cell r="D489">
            <v>3001</v>
          </cell>
          <cell r="E489" t="str">
            <v>0062</v>
          </cell>
          <cell r="F489" t="str">
            <v>C1</v>
          </cell>
          <cell r="G489" t="str">
            <v/>
          </cell>
          <cell r="H489" t="str">
            <v>OUTROS</v>
          </cell>
          <cell r="I489" t="str">
            <v>OUTROS</v>
          </cell>
          <cell r="J489" t="str">
            <v>INTERCOMPANY EXP</v>
          </cell>
          <cell r="K489" t="str">
            <v>OUTROS</v>
          </cell>
          <cell r="L489" t="str">
            <v>OUTROS</v>
          </cell>
          <cell r="M489" t="str">
            <v>INTERCOMPANY</v>
          </cell>
        </row>
        <row r="490">
          <cell r="B490">
            <v>8010007</v>
          </cell>
          <cell r="C490" t="str">
            <v>EXP</v>
          </cell>
          <cell r="D490">
            <v>3001</v>
          </cell>
          <cell r="E490" t="str">
            <v>0062</v>
          </cell>
          <cell r="F490" t="str">
            <v>C1</v>
          </cell>
          <cell r="G490" t="str">
            <v/>
          </cell>
          <cell r="H490" t="str">
            <v>OUTROS</v>
          </cell>
          <cell r="I490" t="str">
            <v>OUTROS</v>
          </cell>
          <cell r="J490" t="str">
            <v>INTERCOMPANY EXP</v>
          </cell>
          <cell r="K490" t="str">
            <v>OUTROS</v>
          </cell>
          <cell r="L490" t="str">
            <v>OUTROS</v>
          </cell>
          <cell r="M490" t="str">
            <v>INTERCOMPANY</v>
          </cell>
        </row>
        <row r="491">
          <cell r="B491">
            <v>8010010</v>
          </cell>
          <cell r="C491" t="str">
            <v>EXP</v>
          </cell>
          <cell r="D491">
            <v>3001</v>
          </cell>
          <cell r="E491" t="str">
            <v>0062</v>
          </cell>
          <cell r="F491" t="str">
            <v>C1</v>
          </cell>
          <cell r="G491" t="str">
            <v/>
          </cell>
          <cell r="H491" t="str">
            <v>OUTROS</v>
          </cell>
          <cell r="I491" t="str">
            <v>OUTROS</v>
          </cell>
          <cell r="J491" t="str">
            <v>INTERCOMPANY EXP</v>
          </cell>
          <cell r="K491" t="str">
            <v>OUTROS</v>
          </cell>
          <cell r="L491" t="str">
            <v>OUTROS</v>
          </cell>
          <cell r="M491" t="str">
            <v>INTERCOMPANY</v>
          </cell>
        </row>
        <row r="492">
          <cell r="B492">
            <v>8010015</v>
          </cell>
          <cell r="C492" t="str">
            <v>EXP</v>
          </cell>
          <cell r="D492">
            <v>3001</v>
          </cell>
          <cell r="E492" t="str">
            <v>0062</v>
          </cell>
          <cell r="F492" t="str">
            <v>C1</v>
          </cell>
          <cell r="G492" t="str">
            <v/>
          </cell>
          <cell r="H492" t="str">
            <v>OUTROS</v>
          </cell>
          <cell r="I492" t="str">
            <v>OUTROS</v>
          </cell>
          <cell r="J492" t="str">
            <v>INTERCOMPANY EXP</v>
          </cell>
          <cell r="K492" t="str">
            <v>OUTROS</v>
          </cell>
          <cell r="L492" t="str">
            <v>OUTROS</v>
          </cell>
          <cell r="M492" t="str">
            <v>INTERCOMPANY</v>
          </cell>
        </row>
        <row r="493">
          <cell r="B493">
            <v>5318914</v>
          </cell>
          <cell r="C493" t="str">
            <v>EXPANSAO COMERCIO DE BOLOS E DO</v>
          </cell>
          <cell r="D493">
            <v>7001</v>
          </cell>
          <cell r="E493" t="str">
            <v>0749</v>
          </cell>
          <cell r="F493" t="str">
            <v>C5</v>
          </cell>
          <cell r="G493" t="str">
            <v>SP</v>
          </cell>
          <cell r="H493" t="str">
            <v>DISTRIBUIÇÃO</v>
          </cell>
          <cell r="I493" t="str">
            <v>FOOD SERVICE</v>
          </cell>
          <cell r="J493" t="str">
            <v>FLAC 6</v>
          </cell>
          <cell r="K493" t="str">
            <v>LACTALIS</v>
          </cell>
          <cell r="L493" t="str">
            <v>RODRIGO</v>
          </cell>
          <cell r="M493" t="str">
            <v>ALEXANDRO</v>
          </cell>
        </row>
        <row r="494">
          <cell r="B494">
            <v>5028457</v>
          </cell>
          <cell r="C494" t="str">
            <v>F L EMBALAGENS LTDA</v>
          </cell>
          <cell r="D494">
            <v>3001</v>
          </cell>
          <cell r="E494" t="str">
            <v>0169</v>
          </cell>
          <cell r="F494" t="str">
            <v>C1</v>
          </cell>
          <cell r="G494" t="str">
            <v>ES</v>
          </cell>
          <cell r="H494" t="str">
            <v>DISTRIBUIÇÃO</v>
          </cell>
          <cell r="I494" t="str">
            <v>FOOD SERVICE</v>
          </cell>
          <cell r="J494" t="str">
            <v>MARCELO DUARTE</v>
          </cell>
          <cell r="K494" t="str">
            <v>ITAMBÉ</v>
          </cell>
          <cell r="L494" t="str">
            <v>RODRIGO</v>
          </cell>
          <cell r="M494" t="str">
            <v>JESSICA</v>
          </cell>
        </row>
        <row r="495">
          <cell r="B495">
            <v>5028457</v>
          </cell>
          <cell r="C495" t="str">
            <v>F L EMBALAGENS LTDA</v>
          </cell>
          <cell r="D495">
            <v>4001</v>
          </cell>
          <cell r="E495" t="str">
            <v>0423</v>
          </cell>
          <cell r="F495" t="str">
            <v>C5</v>
          </cell>
          <cell r="G495" t="str">
            <v>ES</v>
          </cell>
          <cell r="H495" t="str">
            <v>DISTRIBUIÇÃO</v>
          </cell>
          <cell r="I495" t="str">
            <v>FOOD SERVICE</v>
          </cell>
          <cell r="J495" t="str">
            <v>MARCELO DUARTE</v>
          </cell>
          <cell r="K495" t="str">
            <v>LACTALIS</v>
          </cell>
          <cell r="L495" t="str">
            <v>RODRIGO</v>
          </cell>
          <cell r="M495" t="str">
            <v>JESSICA</v>
          </cell>
        </row>
        <row r="496">
          <cell r="B496">
            <v>5213440</v>
          </cell>
          <cell r="C496" t="str">
            <v>DOCE INDUSTRIA DE BISCOITOS LTD</v>
          </cell>
          <cell r="D496">
            <v>3001</v>
          </cell>
          <cell r="E496" t="str">
            <v>0123</v>
          </cell>
          <cell r="F496" t="str">
            <v>C1</v>
          </cell>
          <cell r="G496" t="str">
            <v>DF</v>
          </cell>
          <cell r="H496" t="str">
            <v>DISTRIBUIÇÃO</v>
          </cell>
          <cell r="I496" t="str">
            <v>FOOD SERVICE</v>
          </cell>
          <cell r="J496" t="str">
            <v>CLAUDIO JORGE</v>
          </cell>
          <cell r="K496" t="str">
            <v>ITAMBÉ</v>
          </cell>
          <cell r="L496" t="str">
            <v>RODRIGO</v>
          </cell>
          <cell r="M496" t="str">
            <v>MARCO AURELIO</v>
          </cell>
        </row>
        <row r="497">
          <cell r="B497">
            <v>5221359</v>
          </cell>
          <cell r="C497" t="str">
            <v>FABRICACAO DE PRODUTOS DE PADAR</v>
          </cell>
          <cell r="D497">
            <v>3001</v>
          </cell>
          <cell r="E497" t="str">
            <v>0127</v>
          </cell>
          <cell r="F497" t="str">
            <v>C1</v>
          </cell>
          <cell r="G497" t="str">
            <v>BA</v>
          </cell>
          <cell r="H497" t="str">
            <v>DISTRIBUIÇÃO</v>
          </cell>
          <cell r="I497" t="str">
            <v>FOOD SERVICE</v>
          </cell>
          <cell r="J497" t="str">
            <v xml:space="preserve">KARIS FOOD / LUIZ </v>
          </cell>
          <cell r="K497" t="str">
            <v>ITAMBÉ</v>
          </cell>
          <cell r="L497" t="str">
            <v>RODRIGO</v>
          </cell>
          <cell r="M497" t="str">
            <v>VAGO NORDESTE</v>
          </cell>
        </row>
        <row r="498">
          <cell r="B498">
            <v>5114457</v>
          </cell>
          <cell r="C498" t="str">
            <v>FAMILIA ANDRADE MERC PANI LTDA</v>
          </cell>
          <cell r="D498">
            <v>3001</v>
          </cell>
          <cell r="E498" t="str">
            <v>0127</v>
          </cell>
          <cell r="F498" t="str">
            <v>C1</v>
          </cell>
          <cell r="G498" t="str">
            <v>BA</v>
          </cell>
          <cell r="H498" t="str">
            <v>DISTRIBUIÇÃO</v>
          </cell>
          <cell r="I498" t="str">
            <v>FOOD SERVICE</v>
          </cell>
          <cell r="J498" t="str">
            <v xml:space="preserve">KARIS FOOD / LUIZ </v>
          </cell>
          <cell r="K498" t="str">
            <v>ITAMBÉ</v>
          </cell>
          <cell r="L498" t="str">
            <v>RODRIGO</v>
          </cell>
          <cell r="M498" t="str">
            <v>VAGO NORDESTE</v>
          </cell>
        </row>
        <row r="499">
          <cell r="B499">
            <v>5261269</v>
          </cell>
          <cell r="C499" t="str">
            <v>FAMILIA DALLOGIO ROTISSERIE LTDA ME</v>
          </cell>
          <cell r="D499">
            <v>7001</v>
          </cell>
          <cell r="E499" t="str">
            <v>0749</v>
          </cell>
          <cell r="F499" t="str">
            <v>C5</v>
          </cell>
          <cell r="G499" t="str">
            <v>SP</v>
          </cell>
          <cell r="H499" t="str">
            <v>DISTRIBUIÇÃO</v>
          </cell>
          <cell r="I499" t="str">
            <v>FOOD SERVICE</v>
          </cell>
          <cell r="J499" t="str">
            <v>FLAC 2</v>
          </cell>
          <cell r="K499" t="str">
            <v>LACTALIS</v>
          </cell>
          <cell r="L499" t="str">
            <v>RODRIGO</v>
          </cell>
          <cell r="M499" t="str">
            <v>ALEXANDRO</v>
          </cell>
        </row>
        <row r="500">
          <cell r="B500">
            <v>5312880</v>
          </cell>
          <cell r="C500" t="str">
            <v>FAMILIA SOARES LATICINIOS LTDA</v>
          </cell>
          <cell r="D500">
            <v>7001</v>
          </cell>
          <cell r="E500" t="str">
            <v>0749</v>
          </cell>
          <cell r="F500" t="str">
            <v>C5</v>
          </cell>
          <cell r="G500" t="str">
            <v>SP</v>
          </cell>
          <cell r="H500" t="str">
            <v>DISTRIBUIÇÃO</v>
          </cell>
          <cell r="I500" t="str">
            <v>FOOD SERVICE</v>
          </cell>
          <cell r="J500" t="str">
            <v>FLAC 2</v>
          </cell>
          <cell r="K500" t="str">
            <v>LACTALIS</v>
          </cell>
          <cell r="L500" t="str">
            <v>RODRIGO</v>
          </cell>
          <cell r="M500" t="str">
            <v>ALEXANDRO</v>
          </cell>
        </row>
        <row r="501">
          <cell r="B501">
            <v>5261730</v>
          </cell>
          <cell r="C501" t="str">
            <v>FAS CE FAB E COM DE SORVETES LTDA</v>
          </cell>
          <cell r="D501">
            <v>7001</v>
          </cell>
          <cell r="E501" t="str">
            <v>0749</v>
          </cell>
          <cell r="F501" t="str">
            <v>C5</v>
          </cell>
          <cell r="G501" t="str">
            <v>SP</v>
          </cell>
          <cell r="H501" t="str">
            <v>DISTRIBUIÇÃO</v>
          </cell>
          <cell r="I501" t="str">
            <v>FOOD SERVICE</v>
          </cell>
          <cell r="J501" t="str">
            <v>FLAC 3</v>
          </cell>
          <cell r="K501" t="str">
            <v>LACTALIS</v>
          </cell>
          <cell r="L501" t="str">
            <v>RODRIGO</v>
          </cell>
          <cell r="M501" t="str">
            <v>ALEXANDRO</v>
          </cell>
        </row>
        <row r="502">
          <cell r="B502">
            <v>5235442</v>
          </cell>
          <cell r="C502" t="str">
            <v>FASTBURGUER LANCHES E RESTAURANTE L</v>
          </cell>
          <cell r="D502">
            <v>7001</v>
          </cell>
          <cell r="E502" t="str">
            <v>0749</v>
          </cell>
          <cell r="F502" t="str">
            <v>C5</v>
          </cell>
          <cell r="G502" t="str">
            <v>SP</v>
          </cell>
          <cell r="H502" t="str">
            <v>DISTRIBUIÇÃO</v>
          </cell>
          <cell r="I502" t="str">
            <v>FOOD SERVICE</v>
          </cell>
          <cell r="J502" t="str">
            <v>FLAC 2</v>
          </cell>
          <cell r="K502" t="str">
            <v>LACTALIS</v>
          </cell>
          <cell r="L502" t="str">
            <v>RODRIGO</v>
          </cell>
          <cell r="M502" t="str">
            <v>ALEXANDRO</v>
          </cell>
        </row>
        <row r="503">
          <cell r="B503">
            <v>5316901</v>
          </cell>
          <cell r="C503" t="str">
            <v>FAUSTOLLO HAMBURGUERIA LTDA</v>
          </cell>
          <cell r="D503">
            <v>7001</v>
          </cell>
          <cell r="E503" t="str">
            <v>0749</v>
          </cell>
          <cell r="F503" t="str">
            <v>C5</v>
          </cell>
          <cell r="G503" t="str">
            <v>SP</v>
          </cell>
          <cell r="H503" t="str">
            <v>DISTRIBUIÇÃO</v>
          </cell>
          <cell r="I503" t="str">
            <v>FOOD SERVICE</v>
          </cell>
          <cell r="J503" t="str">
            <v>FLAC 6</v>
          </cell>
          <cell r="K503" t="str">
            <v>LACTALIS</v>
          </cell>
          <cell r="L503" t="str">
            <v>RODRIGO</v>
          </cell>
          <cell r="M503" t="str">
            <v>ALEXANDRO</v>
          </cell>
        </row>
        <row r="504">
          <cell r="B504">
            <v>5325192</v>
          </cell>
          <cell r="C504" t="str">
            <v>FAZ GELATO VILA NOVA CONCEICAO CO</v>
          </cell>
          <cell r="D504">
            <v>7001</v>
          </cell>
          <cell r="E504" t="str">
            <v>0749</v>
          </cell>
          <cell r="F504" t="str">
            <v>C5</v>
          </cell>
          <cell r="G504" t="str">
            <v>SP</v>
          </cell>
          <cell r="H504" t="str">
            <v>DISTRIBUIÇÃO</v>
          </cell>
          <cell r="I504" t="str">
            <v>FOOD SERVICE</v>
          </cell>
          <cell r="J504" t="str">
            <v>FLAC 6</v>
          </cell>
          <cell r="K504" t="str">
            <v>LACTALIS</v>
          </cell>
          <cell r="L504" t="str">
            <v>RODRIGO</v>
          </cell>
          <cell r="M504" t="str">
            <v>ALEXANDRO</v>
          </cell>
        </row>
        <row r="505">
          <cell r="B505">
            <v>5230104</v>
          </cell>
          <cell r="C505" t="str">
            <v>FC DISTRIBUIDORA DE CHOCOLATES LTDA</v>
          </cell>
          <cell r="D505">
            <v>3001</v>
          </cell>
          <cell r="E505" t="str">
            <v>0126</v>
          </cell>
          <cell r="F505" t="str">
            <v>C1</v>
          </cell>
          <cell r="G505" t="str">
            <v>PR</v>
          </cell>
          <cell r="H505" t="str">
            <v>DISTRIBUIÇÃO</v>
          </cell>
          <cell r="I505" t="str">
            <v>FOOD SERVICE</v>
          </cell>
          <cell r="J505" t="str">
            <v>ANTÔNIO SOUZA</v>
          </cell>
          <cell r="K505" t="str">
            <v>ITAMBÉ</v>
          </cell>
          <cell r="L505" t="str">
            <v>RODRIGO</v>
          </cell>
          <cell r="M505" t="str">
            <v>VAGO SUL</v>
          </cell>
        </row>
        <row r="506">
          <cell r="B506">
            <v>5292598</v>
          </cell>
          <cell r="C506" t="str">
            <v>FEITO A MAO PAD ART SAO PAULO LTDA</v>
          </cell>
          <cell r="D506">
            <v>7001</v>
          </cell>
          <cell r="E506" t="str">
            <v>0749</v>
          </cell>
          <cell r="F506" t="str">
            <v>C5</v>
          </cell>
          <cell r="G506" t="str">
            <v>SP</v>
          </cell>
          <cell r="H506" t="str">
            <v>DISTRIBUIÇÃO</v>
          </cell>
          <cell r="I506" t="str">
            <v>FOOD SERVICE</v>
          </cell>
          <cell r="J506" t="str">
            <v>FLAC 6</v>
          </cell>
          <cell r="K506" t="str">
            <v>LACTALIS</v>
          </cell>
          <cell r="L506" t="str">
            <v>RODRIGO</v>
          </cell>
          <cell r="M506" t="str">
            <v>ALEXANDRO</v>
          </cell>
        </row>
        <row r="507">
          <cell r="B507">
            <v>5270949</v>
          </cell>
          <cell r="C507" t="str">
            <v>FELIPE LOPES TEXEIRA GOMES</v>
          </cell>
          <cell r="D507">
            <v>7001</v>
          </cell>
          <cell r="E507" t="str">
            <v>0749</v>
          </cell>
          <cell r="F507" t="str">
            <v>C5</v>
          </cell>
          <cell r="G507" t="str">
            <v>SP</v>
          </cell>
          <cell r="H507" t="str">
            <v>DISTRIBUIÇÃO</v>
          </cell>
          <cell r="I507" t="str">
            <v>FOOD SERVICE</v>
          </cell>
          <cell r="J507" t="str">
            <v>FLAC 7</v>
          </cell>
          <cell r="K507" t="str">
            <v>LACTALIS</v>
          </cell>
          <cell r="L507" t="str">
            <v>RODRIGO</v>
          </cell>
          <cell r="M507" t="str">
            <v>ALEXANDRO</v>
          </cell>
        </row>
        <row r="508">
          <cell r="B508">
            <v>5303071</v>
          </cell>
          <cell r="C508" t="str">
            <v>FELIPE SALGUEIRO DE ARAUJO 42551622</v>
          </cell>
          <cell r="D508">
            <v>7001</v>
          </cell>
          <cell r="E508" t="str">
            <v>0749</v>
          </cell>
          <cell r="F508" t="str">
            <v>C5</v>
          </cell>
          <cell r="G508" t="str">
            <v>SP</v>
          </cell>
          <cell r="H508" t="str">
            <v>DISTRIBUIÇÃO</v>
          </cell>
          <cell r="I508" t="str">
            <v>FOOD SERVICE</v>
          </cell>
          <cell r="J508" t="str">
            <v>FLAC 6</v>
          </cell>
          <cell r="K508" t="str">
            <v>LACTALIS</v>
          </cell>
          <cell r="L508" t="str">
            <v>RODRIGO</v>
          </cell>
          <cell r="M508" t="str">
            <v>ALEXANDRO</v>
          </cell>
        </row>
        <row r="509">
          <cell r="B509">
            <v>5311373</v>
          </cell>
          <cell r="C509" t="str">
            <v>FENIX FOODS ALIMENTOS LTDA</v>
          </cell>
          <cell r="D509">
            <v>7001</v>
          </cell>
          <cell r="E509" t="str">
            <v>0749</v>
          </cell>
          <cell r="F509" t="str">
            <v>C5</v>
          </cell>
          <cell r="G509" t="str">
            <v>SP</v>
          </cell>
          <cell r="H509" t="str">
            <v>DISTRIBUIÇÃO</v>
          </cell>
          <cell r="I509" t="str">
            <v>FOOD SERVICE</v>
          </cell>
          <cell r="J509" t="str">
            <v>FLAC 1</v>
          </cell>
          <cell r="K509" t="str">
            <v>LACTALIS</v>
          </cell>
          <cell r="L509" t="str">
            <v>RODRIGO</v>
          </cell>
          <cell r="M509" t="str">
            <v>ALEXANDRO</v>
          </cell>
        </row>
        <row r="510">
          <cell r="B510">
            <v>5026400</v>
          </cell>
          <cell r="C510" t="str">
            <v>FERMISUL FERMENTOSE PROD PARA PANIF</v>
          </cell>
          <cell r="D510">
            <v>3001</v>
          </cell>
          <cell r="E510" t="str">
            <v>0126</v>
          </cell>
          <cell r="F510" t="str">
            <v>C1</v>
          </cell>
          <cell r="G510" t="str">
            <v>PR</v>
          </cell>
          <cell r="H510" t="str">
            <v>DISTRIBUIÇÃO</v>
          </cell>
          <cell r="I510" t="str">
            <v>FOOD SERVICE</v>
          </cell>
          <cell r="J510" t="str">
            <v>ANTÔNIO SOUZA</v>
          </cell>
          <cell r="K510" t="str">
            <v>ITAMBÉ</v>
          </cell>
          <cell r="L510" t="str">
            <v>RODRIGO</v>
          </cell>
          <cell r="M510" t="str">
            <v>VAGO SUL</v>
          </cell>
        </row>
        <row r="511">
          <cell r="B511">
            <v>5267798</v>
          </cell>
          <cell r="C511" t="str">
            <v>FERNANDO ESTANISLAU DO AMARAL DE AR</v>
          </cell>
          <cell r="D511">
            <v>7001</v>
          </cell>
          <cell r="E511" t="str">
            <v>0749</v>
          </cell>
          <cell r="F511" t="str">
            <v>C5</v>
          </cell>
          <cell r="G511" t="str">
            <v>SP</v>
          </cell>
          <cell r="H511" t="str">
            <v>DISTRIBUIÇÃO</v>
          </cell>
          <cell r="I511" t="str">
            <v>FOOD SERVICE</v>
          </cell>
          <cell r="J511" t="str">
            <v>FLAC 2</v>
          </cell>
          <cell r="K511" t="str">
            <v>LACTALIS</v>
          </cell>
          <cell r="L511" t="str">
            <v>RODRIGO</v>
          </cell>
          <cell r="M511" t="str">
            <v>ALEXANDRO</v>
          </cell>
        </row>
        <row r="512">
          <cell r="B512">
            <v>5316683</v>
          </cell>
          <cell r="C512" t="str">
            <v>FERNANDO PEREIRA DOS SANTOS 3639985</v>
          </cell>
          <cell r="D512">
            <v>7001</v>
          </cell>
          <cell r="E512" t="str">
            <v>0749</v>
          </cell>
          <cell r="F512" t="str">
            <v>C5</v>
          </cell>
          <cell r="G512" t="str">
            <v>SP</v>
          </cell>
          <cell r="H512" t="str">
            <v>DISTRIBUIÇÃO</v>
          </cell>
          <cell r="I512" t="str">
            <v>FOOD SERVICE</v>
          </cell>
          <cell r="J512" t="str">
            <v>FLAC 3</v>
          </cell>
          <cell r="K512" t="str">
            <v>LACTALIS</v>
          </cell>
          <cell r="L512" t="str">
            <v>RODRIGO</v>
          </cell>
          <cell r="M512" t="str">
            <v>ALEXANDRO</v>
          </cell>
        </row>
        <row r="513">
          <cell r="B513">
            <v>5109682</v>
          </cell>
          <cell r="C513" t="str">
            <v>FERPEREZ COMERCIO DE ALIMENTOS</v>
          </cell>
          <cell r="D513">
            <v>6001</v>
          </cell>
          <cell r="E513" t="str">
            <v>6125</v>
          </cell>
          <cell r="F513" t="str">
            <v>C1</v>
          </cell>
          <cell r="G513" t="str">
            <v>SP</v>
          </cell>
          <cell r="H513" t="str">
            <v>DISTRIBUIÇÃO</v>
          </cell>
          <cell r="I513" t="str">
            <v>FOOD SERVICE</v>
          </cell>
          <cell r="J513" t="str">
            <v>LUCAS ANDRADE</v>
          </cell>
          <cell r="K513" t="str">
            <v>ITAMBÉ</v>
          </cell>
          <cell r="L513" t="str">
            <v>RODRIGO</v>
          </cell>
          <cell r="M513" t="str">
            <v>RAQUEL BARBOSA</v>
          </cell>
        </row>
        <row r="514">
          <cell r="B514">
            <v>5167088</v>
          </cell>
          <cell r="C514" t="str">
            <v>FERRARIPAN DIST DE PROD ALIM LTDA</v>
          </cell>
          <cell r="D514">
            <v>3001</v>
          </cell>
          <cell r="E514" t="str">
            <v>0126</v>
          </cell>
          <cell r="F514" t="str">
            <v>C1</v>
          </cell>
          <cell r="G514" t="str">
            <v>PR</v>
          </cell>
          <cell r="H514" t="str">
            <v>DISTRIBUIÇÃO</v>
          </cell>
          <cell r="I514" t="str">
            <v>FOOD SERVICE</v>
          </cell>
          <cell r="J514" t="str">
            <v>ANTÔNIO SOUZA</v>
          </cell>
          <cell r="K514" t="str">
            <v>ITAMBÉ</v>
          </cell>
          <cell r="L514" t="str">
            <v>RODRIGO</v>
          </cell>
          <cell r="M514" t="str">
            <v>VAGO SUL</v>
          </cell>
        </row>
        <row r="515">
          <cell r="B515">
            <v>5133641</v>
          </cell>
          <cell r="C515" t="str">
            <v>FESTA MIX COMERCIO LTDA</v>
          </cell>
          <cell r="D515">
            <v>3001</v>
          </cell>
          <cell r="E515" t="str">
            <v>0169</v>
          </cell>
          <cell r="F515" t="str">
            <v>C1</v>
          </cell>
          <cell r="G515" t="str">
            <v>ES</v>
          </cell>
          <cell r="H515" t="str">
            <v>DISTRIBUIÇÃO</v>
          </cell>
          <cell r="I515" t="str">
            <v>FOOD SERVICE</v>
          </cell>
          <cell r="J515" t="str">
            <v>MARCELO DUARTE</v>
          </cell>
          <cell r="K515" t="str">
            <v>ITAMBÉ</v>
          </cell>
          <cell r="L515" t="str">
            <v>RODRIGO</v>
          </cell>
          <cell r="M515" t="str">
            <v>JESSICA</v>
          </cell>
        </row>
        <row r="516">
          <cell r="B516">
            <v>5234382</v>
          </cell>
          <cell r="C516" t="str">
            <v>FF CAFE EXPRESSO LTDA</v>
          </cell>
          <cell r="D516">
            <v>7001</v>
          </cell>
          <cell r="E516" t="str">
            <v>0749</v>
          </cell>
          <cell r="F516" t="str">
            <v>C5</v>
          </cell>
          <cell r="G516" t="str">
            <v>SP</v>
          </cell>
          <cell r="H516" t="str">
            <v>DISTRIBUIÇÃO</v>
          </cell>
          <cell r="I516" t="str">
            <v>FOOD SERVICE</v>
          </cell>
          <cell r="J516" t="str">
            <v>FLAC 4</v>
          </cell>
          <cell r="K516" t="str">
            <v>LACTALIS</v>
          </cell>
          <cell r="L516" t="str">
            <v>RODRIGO</v>
          </cell>
          <cell r="M516" t="str">
            <v>ALEXANDRO</v>
          </cell>
        </row>
        <row r="517">
          <cell r="B517">
            <v>5341189</v>
          </cell>
          <cell r="C517" t="str">
            <v>FIGUEIRAS REST E COM DE ALIM LT</v>
          </cell>
          <cell r="D517">
            <v>7001</v>
          </cell>
          <cell r="E517" t="str">
            <v>0749</v>
          </cell>
          <cell r="F517" t="str">
            <v>C5</v>
          </cell>
          <cell r="G517" t="str">
            <v>SP</v>
          </cell>
          <cell r="H517" t="str">
            <v>DISTRIBUIÇÃO</v>
          </cell>
          <cell r="I517" t="str">
            <v>FOOD SERVICE</v>
          </cell>
          <cell r="J517" t="str">
            <v>FLAC 2</v>
          </cell>
          <cell r="K517" t="str">
            <v>LACTALIS</v>
          </cell>
          <cell r="L517" t="str">
            <v>RODRIGO</v>
          </cell>
          <cell r="M517" t="str">
            <v>ALEXANDRO</v>
          </cell>
        </row>
        <row r="518">
          <cell r="B518">
            <v>5259536</v>
          </cell>
          <cell r="C518" t="str">
            <v>FINA FARINHA PAES E DOCES EIRELI</v>
          </cell>
          <cell r="D518">
            <v>7001</v>
          </cell>
          <cell r="E518" t="str">
            <v>0749</v>
          </cell>
          <cell r="F518" t="str">
            <v>C5</v>
          </cell>
          <cell r="G518" t="str">
            <v>SP</v>
          </cell>
          <cell r="H518" t="str">
            <v>DISTRIBUIÇÃO</v>
          </cell>
          <cell r="I518" t="str">
            <v>FOOD SERVICE</v>
          </cell>
          <cell r="J518" t="str">
            <v>FLAC 2</v>
          </cell>
          <cell r="K518" t="str">
            <v>LACTALIS</v>
          </cell>
          <cell r="L518" t="str">
            <v>RODRIGO</v>
          </cell>
          <cell r="M518" t="str">
            <v>ALEXANDRO</v>
          </cell>
        </row>
        <row r="519">
          <cell r="B519">
            <v>5026953</v>
          </cell>
          <cell r="C519" t="str">
            <v>FINELINE DISTRIBUTORS LTDA</v>
          </cell>
          <cell r="D519">
            <v>3001</v>
          </cell>
          <cell r="E519" t="str">
            <v>0062</v>
          </cell>
          <cell r="F519" t="str">
            <v>C1</v>
          </cell>
          <cell r="G519" t="str">
            <v/>
          </cell>
          <cell r="H519" t="str">
            <v>OUTROS</v>
          </cell>
          <cell r="I519" t="str">
            <v>OUTROS</v>
          </cell>
          <cell r="J519" t="str">
            <v>ITAMBE ALIMENTOS SA - EXPORTAC</v>
          </cell>
          <cell r="K519" t="str">
            <v>OUTROS</v>
          </cell>
          <cell r="L519" t="str">
            <v>OUTROS</v>
          </cell>
          <cell r="M519" t="str">
            <v>EXPORTAÇÃO</v>
          </cell>
        </row>
        <row r="520">
          <cell r="B520">
            <v>5066049</v>
          </cell>
          <cell r="C520" t="str">
            <v>FIORETTA COMERCIO DE PRODUTOS ALIME</v>
          </cell>
          <cell r="D520">
            <v>7001</v>
          </cell>
          <cell r="E520" t="str">
            <v>0749</v>
          </cell>
          <cell r="F520" t="str">
            <v>C5</v>
          </cell>
          <cell r="G520" t="str">
            <v>SP</v>
          </cell>
          <cell r="H520" t="str">
            <v>DISTRIBUIÇÃO</v>
          </cell>
          <cell r="I520" t="str">
            <v>FOOD SERVICE</v>
          </cell>
          <cell r="J520" t="str">
            <v>FLAC 6</v>
          </cell>
          <cell r="K520" t="str">
            <v>LACTALIS</v>
          </cell>
          <cell r="L520" t="str">
            <v>RODRIGO</v>
          </cell>
          <cell r="M520" t="str">
            <v>ALEXANDRO</v>
          </cell>
        </row>
        <row r="521">
          <cell r="B521">
            <v>5279284</v>
          </cell>
          <cell r="C521" t="str">
            <v>FLAC REPRESENTACAO E COMERCIO LTDA</v>
          </cell>
          <cell r="D521">
            <v>7001</v>
          </cell>
          <cell r="E521" t="str">
            <v>0749</v>
          </cell>
          <cell r="F521" t="str">
            <v>C5</v>
          </cell>
          <cell r="G521" t="str">
            <v>SP</v>
          </cell>
          <cell r="H521" t="str">
            <v>DISTRIBUIÇÃO</v>
          </cell>
          <cell r="I521" t="str">
            <v>FOOD SERVICE</v>
          </cell>
          <cell r="J521" t="str">
            <v>FLAC 1</v>
          </cell>
          <cell r="K521" t="str">
            <v>LACTALIS</v>
          </cell>
          <cell r="L521" t="str">
            <v>RODRIGO</v>
          </cell>
          <cell r="M521" t="str">
            <v>ALEXANDRO</v>
          </cell>
        </row>
        <row r="522">
          <cell r="B522">
            <v>5035471</v>
          </cell>
          <cell r="C522" t="str">
            <v>FLASH RIO PRODUTOS PARA PANIF LTDA</v>
          </cell>
          <cell r="D522">
            <v>3001</v>
          </cell>
          <cell r="E522" t="str">
            <v>0169</v>
          </cell>
          <cell r="F522" t="str">
            <v>C1</v>
          </cell>
          <cell r="G522" t="str">
            <v>RJ</v>
          </cell>
          <cell r="H522" t="str">
            <v>DISTRIBUIÇÃO</v>
          </cell>
          <cell r="I522" t="str">
            <v>FOOD SERVICE</v>
          </cell>
          <cell r="J522" t="str">
            <v>JULIANA CORDEIRO</v>
          </cell>
          <cell r="K522" t="str">
            <v>ITAMBÉ</v>
          </cell>
          <cell r="L522" t="str">
            <v>RODRIGO</v>
          </cell>
          <cell r="M522" t="str">
            <v>JESSICA</v>
          </cell>
        </row>
        <row r="523">
          <cell r="B523">
            <v>5260967</v>
          </cell>
          <cell r="C523" t="str">
            <v>FLAVIO AUD CATEB EVENTOS</v>
          </cell>
          <cell r="D523">
            <v>7001</v>
          </cell>
          <cell r="E523" t="str">
            <v>0749</v>
          </cell>
          <cell r="F523" t="str">
            <v>C5</v>
          </cell>
          <cell r="G523" t="str">
            <v>SP</v>
          </cell>
          <cell r="H523" t="str">
            <v>DISTRIBUIÇÃO</v>
          </cell>
          <cell r="I523" t="str">
            <v>FOOD SERVICE</v>
          </cell>
          <cell r="J523" t="str">
            <v>FLAC 6</v>
          </cell>
          <cell r="K523" t="str">
            <v>LACTALIS</v>
          </cell>
          <cell r="L523" t="str">
            <v>RODRIGO</v>
          </cell>
          <cell r="M523" t="str">
            <v>ALEXANDRO</v>
          </cell>
        </row>
        <row r="524">
          <cell r="B524">
            <v>5302766</v>
          </cell>
          <cell r="C524" t="str">
            <v>FLAVORATI ALIMENTOS LTDA</v>
          </cell>
          <cell r="D524">
            <v>7001</v>
          </cell>
          <cell r="E524" t="str">
            <v>0749</v>
          </cell>
          <cell r="F524" t="str">
            <v>C5</v>
          </cell>
          <cell r="G524" t="str">
            <v>SP</v>
          </cell>
          <cell r="H524" t="str">
            <v>DISTRIBUIÇÃO</v>
          </cell>
          <cell r="I524" t="str">
            <v>FOOD SERVICE</v>
          </cell>
          <cell r="J524" t="str">
            <v>FLAC 6</v>
          </cell>
          <cell r="K524" t="str">
            <v>LACTALIS</v>
          </cell>
          <cell r="L524" t="str">
            <v>RODRIGO</v>
          </cell>
          <cell r="M524" t="str">
            <v>ALEXANDRO</v>
          </cell>
        </row>
        <row r="525">
          <cell r="B525">
            <v>5183807</v>
          </cell>
          <cell r="C525" t="str">
            <v>FLEIPAN LTDA</v>
          </cell>
          <cell r="D525">
            <v>3001</v>
          </cell>
          <cell r="E525" t="str">
            <v>0122</v>
          </cell>
          <cell r="F525" t="str">
            <v>C1</v>
          </cell>
          <cell r="G525" t="str">
            <v>MG</v>
          </cell>
          <cell r="H525" t="str">
            <v>DISTRIBUIÇÃO</v>
          </cell>
          <cell r="I525" t="str">
            <v>FOOD SERVICE</v>
          </cell>
          <cell r="J525" t="str">
            <v>MARCELO SILVA</v>
          </cell>
          <cell r="K525" t="str">
            <v>ITAMBÉ</v>
          </cell>
          <cell r="L525" t="str">
            <v>RODRIGO</v>
          </cell>
          <cell r="M525" t="str">
            <v>CELIO MARTINS</v>
          </cell>
        </row>
        <row r="526">
          <cell r="B526">
            <v>5336764</v>
          </cell>
          <cell r="C526" t="str">
            <v>FLORENCA MASSAS ITALIANAS LTDA</v>
          </cell>
          <cell r="D526">
            <v>7001</v>
          </cell>
          <cell r="E526" t="str">
            <v>0749</v>
          </cell>
          <cell r="F526" t="str">
            <v>C5</v>
          </cell>
          <cell r="G526" t="str">
            <v>SP</v>
          </cell>
          <cell r="H526" t="str">
            <v>DISTRIBUIÇÃO</v>
          </cell>
          <cell r="I526" t="str">
            <v>FOOD SERVICE</v>
          </cell>
          <cell r="J526" t="str">
            <v>FLAC 3</v>
          </cell>
          <cell r="K526" t="str">
            <v>LACTALIS</v>
          </cell>
          <cell r="L526" t="str">
            <v>RODRIGO</v>
          </cell>
          <cell r="M526" t="str">
            <v>ALEXANDRO</v>
          </cell>
        </row>
        <row r="527">
          <cell r="B527">
            <v>5327948</v>
          </cell>
          <cell r="C527" t="str">
            <v>FNH JK RESTAURANTE LTDA</v>
          </cell>
          <cell r="D527">
            <v>7001</v>
          </cell>
          <cell r="E527" t="str">
            <v>0749</v>
          </cell>
          <cell r="F527" t="str">
            <v>C5</v>
          </cell>
          <cell r="G527" t="str">
            <v>SP</v>
          </cell>
          <cell r="H527" t="str">
            <v>DISTRIBUIÇÃO</v>
          </cell>
          <cell r="I527" t="str">
            <v>FOOD SERVICE</v>
          </cell>
          <cell r="J527" t="str">
            <v>FLAC 2</v>
          </cell>
          <cell r="K527" t="str">
            <v>LACTALIS</v>
          </cell>
          <cell r="L527" t="str">
            <v>RODRIGO</v>
          </cell>
          <cell r="M527" t="str">
            <v>ALEXANDRO</v>
          </cell>
        </row>
        <row r="528">
          <cell r="B528">
            <v>5219000</v>
          </cell>
          <cell r="C528" t="str">
            <v>FONTENELLE IND E COM DE ALIM LT</v>
          </cell>
          <cell r="D528">
            <v>3001</v>
          </cell>
          <cell r="E528" t="str">
            <v>0127</v>
          </cell>
          <cell r="F528" t="str">
            <v>C1</v>
          </cell>
          <cell r="G528" t="str">
            <v>CE</v>
          </cell>
          <cell r="H528" t="str">
            <v>DISTRIBUIÇÃO</v>
          </cell>
          <cell r="I528" t="str">
            <v>FOOD SERVICE</v>
          </cell>
          <cell r="J528" t="str">
            <v>WH FOOD SERVICE CE</v>
          </cell>
          <cell r="K528" t="str">
            <v>ITAMBÉ</v>
          </cell>
          <cell r="L528" t="str">
            <v>RODRIGO</v>
          </cell>
          <cell r="M528" t="str">
            <v>VAGO NORDESTE</v>
          </cell>
        </row>
        <row r="529">
          <cell r="B529">
            <v>5326522</v>
          </cell>
          <cell r="C529" t="str">
            <v>FOOD CARE LTDA</v>
          </cell>
          <cell r="D529">
            <v>7001</v>
          </cell>
          <cell r="E529" t="str">
            <v>0749</v>
          </cell>
          <cell r="F529" t="str">
            <v>C5</v>
          </cell>
          <cell r="G529" t="str">
            <v>SP</v>
          </cell>
          <cell r="H529" t="str">
            <v>DISTRIBUIÇÃO</v>
          </cell>
          <cell r="I529" t="str">
            <v>FOOD SERVICE</v>
          </cell>
          <cell r="J529" t="str">
            <v>FLAC 4</v>
          </cell>
          <cell r="K529" t="str">
            <v>LACTALIS</v>
          </cell>
          <cell r="L529" t="str">
            <v>RODRIGO</v>
          </cell>
          <cell r="M529" t="str">
            <v>ALEXANDRO</v>
          </cell>
        </row>
        <row r="530">
          <cell r="B530">
            <v>5247982</v>
          </cell>
          <cell r="C530" t="str">
            <v>FORLI COM ALIM BEBIDAS LTDA</v>
          </cell>
          <cell r="D530">
            <v>7001</v>
          </cell>
          <cell r="E530" t="str">
            <v>0749</v>
          </cell>
          <cell r="F530" t="str">
            <v>C5</v>
          </cell>
          <cell r="G530" t="str">
            <v>SP</v>
          </cell>
          <cell r="H530" t="str">
            <v>DISTRIBUIÇÃO</v>
          </cell>
          <cell r="I530" t="str">
            <v>FOOD SERVICE</v>
          </cell>
          <cell r="J530" t="str">
            <v>FLAC 6</v>
          </cell>
          <cell r="K530" t="str">
            <v>LACTALIS</v>
          </cell>
          <cell r="L530" t="str">
            <v>RODRIGO</v>
          </cell>
          <cell r="M530" t="str">
            <v>ALEXANDRO</v>
          </cell>
        </row>
        <row r="531">
          <cell r="B531">
            <v>5151341</v>
          </cell>
          <cell r="C531" t="str">
            <v>FORMAGGIO DISTRIBUICAO AL</v>
          </cell>
          <cell r="D531">
            <v>3001</v>
          </cell>
          <cell r="E531" t="str">
            <v>0127</v>
          </cell>
          <cell r="F531" t="str">
            <v>C1</v>
          </cell>
          <cell r="G531" t="str">
            <v>PE</v>
          </cell>
          <cell r="H531" t="str">
            <v>DISTRIBUIÇÃO</v>
          </cell>
          <cell r="I531" t="str">
            <v>FOOD SERVICE</v>
          </cell>
          <cell r="J531" t="str">
            <v>CLAUDIO JORGE</v>
          </cell>
          <cell r="K531" t="str">
            <v>ITAMBÉ</v>
          </cell>
          <cell r="L531" t="str">
            <v>RODRIGO</v>
          </cell>
          <cell r="M531" t="str">
            <v>VAGO NORDESTE</v>
          </cell>
        </row>
        <row r="532">
          <cell r="B532">
            <v>5043935</v>
          </cell>
          <cell r="C532" t="str">
            <v>FORNO DE MINAS ALIMENTOS SA</v>
          </cell>
          <cell r="D532">
            <v>3001</v>
          </cell>
          <cell r="E532" t="str">
            <v>0028</v>
          </cell>
          <cell r="F532" t="str">
            <v>C1</v>
          </cell>
          <cell r="G532" t="str">
            <v>MG</v>
          </cell>
          <cell r="H532" t="str">
            <v>INGREDIENTS</v>
          </cell>
          <cell r="I532" t="str">
            <v>INGREDIENTS</v>
          </cell>
          <cell r="J532" t="str">
            <v>JOEL ELEOTÉRIO</v>
          </cell>
          <cell r="K532" t="str">
            <v>ITAMBÉ</v>
          </cell>
          <cell r="L532" t="str">
            <v>MAURICIO</v>
          </cell>
          <cell r="M532" t="str">
            <v>JOEL</v>
          </cell>
        </row>
        <row r="533">
          <cell r="B533">
            <v>5043935</v>
          </cell>
          <cell r="C533" t="str">
            <v>FORNO DE MINAS ALIMENTOS SA</v>
          </cell>
          <cell r="D533">
            <v>4001</v>
          </cell>
          <cell r="E533" t="str">
            <v>0437</v>
          </cell>
          <cell r="F533" t="str">
            <v>C1</v>
          </cell>
          <cell r="G533" t="str">
            <v>MG</v>
          </cell>
          <cell r="H533" t="str">
            <v>INGREDIENTS</v>
          </cell>
          <cell r="I533" t="str">
            <v>INGREDIENTS</v>
          </cell>
          <cell r="J533" t="str">
            <v>JOEL ELEOTÉRIO</v>
          </cell>
          <cell r="K533" t="str">
            <v>LACTALIS</v>
          </cell>
          <cell r="L533" t="str">
            <v>MAURICIO</v>
          </cell>
          <cell r="M533" t="str">
            <v>JOEL</v>
          </cell>
        </row>
        <row r="534">
          <cell r="B534">
            <v>5043935</v>
          </cell>
          <cell r="C534" t="str">
            <v>FORNO DE MINAS ALIMENTOS SA</v>
          </cell>
          <cell r="D534">
            <v>3001</v>
          </cell>
          <cell r="E534" t="str">
            <v>0122</v>
          </cell>
          <cell r="F534" t="str">
            <v>C1</v>
          </cell>
          <cell r="G534" t="str">
            <v>MG</v>
          </cell>
          <cell r="H534" t="str">
            <v>INGREDIENTS</v>
          </cell>
          <cell r="I534" t="str">
            <v>INGREDIENTS</v>
          </cell>
          <cell r="J534" t="str">
            <v>JOEL ELEOTÉRIO</v>
          </cell>
          <cell r="K534" t="str">
            <v>ITAMBÉ</v>
          </cell>
          <cell r="L534" t="str">
            <v>MAURICIO</v>
          </cell>
          <cell r="M534" t="str">
            <v>JOEL</v>
          </cell>
        </row>
        <row r="535">
          <cell r="B535">
            <v>5043935</v>
          </cell>
          <cell r="C535" t="str">
            <v>FORNO DE MINAS ALIMENTOS SA</v>
          </cell>
          <cell r="D535">
            <v>4001</v>
          </cell>
          <cell r="E535" t="str">
            <v>0458</v>
          </cell>
          <cell r="F535" t="str">
            <v>C1</v>
          </cell>
          <cell r="G535" t="str">
            <v>MG</v>
          </cell>
          <cell r="H535" t="str">
            <v>INGREDIENTS</v>
          </cell>
          <cell r="I535" t="str">
            <v>INGREDIENTS</v>
          </cell>
          <cell r="J535" t="str">
            <v>JOEL ELEOTÉRIO</v>
          </cell>
          <cell r="K535" t="str">
            <v>LACTALIS</v>
          </cell>
          <cell r="L535" t="str">
            <v>MAURICIO</v>
          </cell>
          <cell r="M535" t="str">
            <v>JOEL</v>
          </cell>
        </row>
        <row r="536">
          <cell r="B536">
            <v>5328586</v>
          </cell>
          <cell r="C536" t="str">
            <v>FORNU PAES ARTESANAIS LTDA</v>
          </cell>
          <cell r="D536">
            <v>7001</v>
          </cell>
          <cell r="E536" t="str">
            <v>0749</v>
          </cell>
          <cell r="F536" t="str">
            <v>C5</v>
          </cell>
          <cell r="G536" t="str">
            <v>SP</v>
          </cell>
          <cell r="H536" t="str">
            <v>DISTRIBUIÇÃO</v>
          </cell>
          <cell r="I536" t="str">
            <v>FOOD SERVICE</v>
          </cell>
          <cell r="J536" t="str">
            <v>FLAC 2</v>
          </cell>
          <cell r="K536" t="str">
            <v>LACTALIS</v>
          </cell>
          <cell r="L536" t="str">
            <v>RODRIGO</v>
          </cell>
          <cell r="M536" t="str">
            <v>ALEXANDRO</v>
          </cell>
        </row>
        <row r="537">
          <cell r="B537">
            <v>5128991</v>
          </cell>
          <cell r="C537" t="str">
            <v>FORPAN FORTALEZA PAO LTDA</v>
          </cell>
          <cell r="D537">
            <v>3001</v>
          </cell>
          <cell r="E537" t="str">
            <v>0127</v>
          </cell>
          <cell r="F537" t="str">
            <v>C1</v>
          </cell>
          <cell r="G537" t="str">
            <v>CE</v>
          </cell>
          <cell r="H537" t="str">
            <v>DISTRIBUIÇÃO</v>
          </cell>
          <cell r="I537" t="str">
            <v>FOOD SERVICE</v>
          </cell>
          <cell r="J537" t="str">
            <v>WH FOOD SERVICE CE</v>
          </cell>
          <cell r="K537" t="str">
            <v>ITAMBÉ</v>
          </cell>
          <cell r="L537" t="str">
            <v>RODRIGO</v>
          </cell>
          <cell r="M537" t="str">
            <v>VAGO NORDESTE</v>
          </cell>
        </row>
        <row r="538">
          <cell r="B538">
            <v>5026768</v>
          </cell>
          <cell r="C538" t="str">
            <v>FORTALI DIST DE ALIMENTOS LTDA</v>
          </cell>
          <cell r="D538">
            <v>3001</v>
          </cell>
          <cell r="E538" t="str">
            <v>0127</v>
          </cell>
          <cell r="F538" t="str">
            <v>C1</v>
          </cell>
          <cell r="G538" t="str">
            <v>CE</v>
          </cell>
          <cell r="H538" t="str">
            <v>DISTRIBUIÇÃO</v>
          </cell>
          <cell r="I538" t="str">
            <v>FOOD SERVICE</v>
          </cell>
          <cell r="J538" t="str">
            <v>WH FOOD SERVICE CE</v>
          </cell>
          <cell r="K538" t="str">
            <v>ITAMBÉ</v>
          </cell>
          <cell r="L538" t="str">
            <v>RODRIGO</v>
          </cell>
          <cell r="M538" t="str">
            <v>VAGO NORDESTE</v>
          </cell>
        </row>
        <row r="539">
          <cell r="B539">
            <v>5026768</v>
          </cell>
          <cell r="C539" t="str">
            <v>FORTALI DIST DE ALIMENTOS LTDA</v>
          </cell>
          <cell r="D539">
            <v>3001</v>
          </cell>
          <cell r="E539" t="str">
            <v>0075</v>
          </cell>
          <cell r="F539" t="str">
            <v>C1</v>
          </cell>
          <cell r="G539" t="str">
            <v>CE</v>
          </cell>
          <cell r="H539" t="str">
            <v>DISTRIBUIÇÃO</v>
          </cell>
          <cell r="I539" t="str">
            <v>FOOD SERVICE</v>
          </cell>
          <cell r="J539" t="str">
            <v>WH FOOD SERVICE CE</v>
          </cell>
          <cell r="K539" t="str">
            <v>ITAMBÉ</v>
          </cell>
          <cell r="L539" t="str">
            <v>RODRIGO</v>
          </cell>
          <cell r="M539" t="str">
            <v>VAGO NORDESTE</v>
          </cell>
        </row>
        <row r="540">
          <cell r="B540">
            <v>5227605</v>
          </cell>
          <cell r="C540" t="str">
            <v>FORTE DIST DE GENERO ALIM DES E LIM</v>
          </cell>
          <cell r="D540">
            <v>3001</v>
          </cell>
          <cell r="E540" t="str">
            <v>0127</v>
          </cell>
          <cell r="F540" t="str">
            <v>C1</v>
          </cell>
          <cell r="G540" t="str">
            <v>BA</v>
          </cell>
          <cell r="H540" t="str">
            <v>DISTRIBUIÇÃO</v>
          </cell>
          <cell r="I540" t="str">
            <v>FOOD SERVICE</v>
          </cell>
          <cell r="J540" t="str">
            <v xml:space="preserve">KARIS FOOD / LUIZ </v>
          </cell>
          <cell r="K540" t="str">
            <v>ITAMBÉ</v>
          </cell>
          <cell r="L540" t="str">
            <v>RODRIGO</v>
          </cell>
          <cell r="M540" t="str">
            <v>VAGO NORDESTE</v>
          </cell>
        </row>
        <row r="541">
          <cell r="B541">
            <v>5247942</v>
          </cell>
          <cell r="C541" t="str">
            <v>FORTUNA RESTAURANTES E BUFFET LTDA</v>
          </cell>
          <cell r="D541">
            <v>7001</v>
          </cell>
          <cell r="E541" t="str">
            <v>0749</v>
          </cell>
          <cell r="F541" t="str">
            <v>C5</v>
          </cell>
          <cell r="G541" t="str">
            <v>SP</v>
          </cell>
          <cell r="H541" t="str">
            <v>DISTRIBUIÇÃO</v>
          </cell>
          <cell r="I541" t="str">
            <v>FOOD SERVICE</v>
          </cell>
          <cell r="J541" t="str">
            <v>FLAC 2</v>
          </cell>
          <cell r="K541" t="str">
            <v>LACTALIS</v>
          </cell>
          <cell r="L541" t="str">
            <v>RODRIGO</v>
          </cell>
          <cell r="M541" t="str">
            <v>ALEXANDRO</v>
          </cell>
        </row>
        <row r="542">
          <cell r="B542">
            <v>5316970</v>
          </cell>
          <cell r="C542" t="str">
            <v>FOTOPOULOS COMIDA GREGA LTDA</v>
          </cell>
          <cell r="D542">
            <v>7001</v>
          </cell>
          <cell r="E542" t="str">
            <v>0749</v>
          </cell>
          <cell r="F542" t="str">
            <v>C5</v>
          </cell>
          <cell r="G542" t="str">
            <v>SP</v>
          </cell>
          <cell r="H542" t="str">
            <v>DISTRIBUIÇÃO</v>
          </cell>
          <cell r="I542" t="str">
            <v>FOOD SERVICE</v>
          </cell>
          <cell r="J542" t="str">
            <v>FLAC 5</v>
          </cell>
          <cell r="K542" t="str">
            <v>LACTALIS</v>
          </cell>
          <cell r="L542" t="str">
            <v>RODRIGO</v>
          </cell>
          <cell r="M542" t="str">
            <v>ALEXANDRO</v>
          </cell>
        </row>
        <row r="543">
          <cell r="B543">
            <v>5263607</v>
          </cell>
          <cell r="C543" t="str">
            <v>FP3 FABRICACAO DE PROD DE PAN LTDA</v>
          </cell>
          <cell r="D543">
            <v>7001</v>
          </cell>
          <cell r="E543" t="str">
            <v>0749</v>
          </cell>
          <cell r="F543" t="str">
            <v>C5</v>
          </cell>
          <cell r="G543" t="str">
            <v>SP</v>
          </cell>
          <cell r="H543" t="str">
            <v>DISTRIBUIÇÃO</v>
          </cell>
          <cell r="I543" t="str">
            <v>FOOD SERVICE</v>
          </cell>
          <cell r="J543" t="str">
            <v>FLAC 2</v>
          </cell>
          <cell r="K543" t="str">
            <v>LACTALIS</v>
          </cell>
          <cell r="L543" t="str">
            <v>RODRIGO</v>
          </cell>
          <cell r="M543" t="str">
            <v>ALEXANDRO</v>
          </cell>
        </row>
        <row r="544">
          <cell r="B544">
            <v>5263654</v>
          </cell>
          <cell r="C544" t="str">
            <v>FRANCE PANIFICACAO LTDA</v>
          </cell>
          <cell r="D544">
            <v>7001</v>
          </cell>
          <cell r="E544" t="str">
            <v>0749</v>
          </cell>
          <cell r="F544" t="str">
            <v>C5</v>
          </cell>
          <cell r="G544" t="str">
            <v>SP</v>
          </cell>
          <cell r="H544" t="str">
            <v>DISTRIBUIÇÃO</v>
          </cell>
          <cell r="I544" t="str">
            <v>FOOD SERVICE</v>
          </cell>
          <cell r="J544" t="str">
            <v>FLAC 2</v>
          </cell>
          <cell r="K544" t="str">
            <v>LACTALIS</v>
          </cell>
          <cell r="L544" t="str">
            <v>RODRIGO</v>
          </cell>
          <cell r="M544" t="str">
            <v>ALEXANDRO</v>
          </cell>
        </row>
        <row r="545">
          <cell r="B545">
            <v>5229985</v>
          </cell>
          <cell r="C545" t="str">
            <v>FRANCISCO C LIMA DISTRIB DE ALI</v>
          </cell>
          <cell r="D545">
            <v>3001</v>
          </cell>
          <cell r="E545" t="str">
            <v>0127</v>
          </cell>
          <cell r="F545" t="str">
            <v>C1</v>
          </cell>
          <cell r="G545" t="str">
            <v>CE</v>
          </cell>
          <cell r="H545" t="str">
            <v>DISTRIBUIÇÃO</v>
          </cell>
          <cell r="I545" t="str">
            <v>FOOD SERVICE</v>
          </cell>
          <cell r="J545" t="str">
            <v>WH FOOD SERVICE CE</v>
          </cell>
          <cell r="K545" t="str">
            <v>ITAMBÉ</v>
          </cell>
          <cell r="L545" t="str">
            <v>RODRIGO</v>
          </cell>
          <cell r="M545" t="str">
            <v>VAGO NORDESTE</v>
          </cell>
        </row>
        <row r="546">
          <cell r="B546">
            <v>5329878</v>
          </cell>
          <cell r="C546" t="str">
            <v>FRANCISCO J C DE OLIVEIRA 05833</v>
          </cell>
          <cell r="D546">
            <v>7001</v>
          </cell>
          <cell r="E546" t="str">
            <v>0749</v>
          </cell>
          <cell r="F546" t="str">
            <v>C5</v>
          </cell>
          <cell r="G546" t="str">
            <v>SP</v>
          </cell>
          <cell r="H546" t="str">
            <v>DISTRIBUIÇÃO</v>
          </cell>
          <cell r="I546" t="str">
            <v>FOOD SERVICE</v>
          </cell>
          <cell r="J546" t="str">
            <v>FLAC 2</v>
          </cell>
          <cell r="K546" t="str">
            <v>LACTALIS</v>
          </cell>
          <cell r="L546" t="str">
            <v>RODRIGO</v>
          </cell>
          <cell r="M546" t="str">
            <v>ALEXANDRO</v>
          </cell>
        </row>
        <row r="547">
          <cell r="B547">
            <v>5284837</v>
          </cell>
          <cell r="C547" t="str">
            <v>FRIMESA COOPERATIVA CENTRAL</v>
          </cell>
          <cell r="D547">
            <v>4001</v>
          </cell>
          <cell r="E547" t="str">
            <v>0437</v>
          </cell>
          <cell r="F547" t="str">
            <v>C1</v>
          </cell>
          <cell r="G547" t="str">
            <v>PR</v>
          </cell>
          <cell r="H547" t="str">
            <v>INGREDIENTS</v>
          </cell>
          <cell r="I547" t="str">
            <v>INGREDIENTS</v>
          </cell>
          <cell r="J547" t="str">
            <v>MARCELO RODRIGUES</v>
          </cell>
          <cell r="K547" t="str">
            <v>LACTALIS</v>
          </cell>
          <cell r="L547" t="str">
            <v>MAURICIO</v>
          </cell>
          <cell r="M547" t="str">
            <v>MARCELO</v>
          </cell>
        </row>
        <row r="548">
          <cell r="B548">
            <v>5283460</v>
          </cell>
          <cell r="C548" t="str">
            <v>FRIMESA COOPERATIVA CENTRAL</v>
          </cell>
          <cell r="D548">
            <v>4001</v>
          </cell>
          <cell r="E548" t="str">
            <v>0437</v>
          </cell>
          <cell r="F548" t="str">
            <v>C1</v>
          </cell>
          <cell r="G548" t="str">
            <v>PR</v>
          </cell>
          <cell r="H548" t="str">
            <v>INGREDIENTS</v>
          </cell>
          <cell r="I548" t="str">
            <v>INGREDIENTS</v>
          </cell>
          <cell r="J548" t="str">
            <v>MARCELO RODRIGUES</v>
          </cell>
          <cell r="K548" t="str">
            <v>LACTALIS</v>
          </cell>
          <cell r="L548" t="str">
            <v>MAURICIO</v>
          </cell>
          <cell r="M548" t="str">
            <v>MARCELO</v>
          </cell>
        </row>
        <row r="549">
          <cell r="B549">
            <v>5172313</v>
          </cell>
          <cell r="C549" t="str">
            <v>FRONERI BRASIL DIST DE SORV E CONG</v>
          </cell>
          <cell r="D549">
            <v>3001</v>
          </cell>
          <cell r="E549" t="str">
            <v>0028</v>
          </cell>
          <cell r="F549" t="str">
            <v>C1</v>
          </cell>
          <cell r="G549" t="str">
            <v>RJ</v>
          </cell>
          <cell r="H549" t="str">
            <v>INGREDIENTS</v>
          </cell>
          <cell r="I549" t="str">
            <v>INGREDIENTS</v>
          </cell>
          <cell r="J549" t="str">
            <v>JOEL ELEOTÉRIO</v>
          </cell>
          <cell r="K549" t="str">
            <v>ITAMBÉ</v>
          </cell>
          <cell r="L549" t="str">
            <v>MAURICIO</v>
          </cell>
          <cell r="M549" t="str">
            <v>JOEL</v>
          </cell>
        </row>
        <row r="550">
          <cell r="B550">
            <v>5224634</v>
          </cell>
          <cell r="C550" t="str">
            <v>FRUBANA COM E DIST DE ALIM LTDA</v>
          </cell>
          <cell r="D550">
            <v>3001</v>
          </cell>
          <cell r="E550" t="str">
            <v>0122</v>
          </cell>
          <cell r="F550" t="str">
            <v>C1</v>
          </cell>
          <cell r="G550" t="str">
            <v>MG</v>
          </cell>
          <cell r="H550" t="str">
            <v>OUTROS</v>
          </cell>
          <cell r="I550" t="str">
            <v>OUTROS</v>
          </cell>
          <cell r="J550" t="str">
            <v>E-COMMERCE</v>
          </cell>
          <cell r="K550" t="str">
            <v>OUTROS</v>
          </cell>
          <cell r="L550" t="str">
            <v>OUTROS</v>
          </cell>
          <cell r="M550" t="str">
            <v>E-COMMERCE</v>
          </cell>
        </row>
        <row r="551">
          <cell r="B551">
            <v>5309389</v>
          </cell>
          <cell r="C551" t="str">
            <v>FRUBANA COMERCIO E DISTRIBUICAO</v>
          </cell>
          <cell r="D551">
            <v>3001</v>
          </cell>
          <cell r="E551" t="str">
            <v>0125</v>
          </cell>
          <cell r="F551" t="str">
            <v>C1</v>
          </cell>
          <cell r="G551" t="str">
            <v>SP</v>
          </cell>
          <cell r="H551" t="str">
            <v>OUTROS</v>
          </cell>
          <cell r="I551" t="str">
            <v>OUTROS</v>
          </cell>
          <cell r="J551" t="str">
            <v>E-COMMERCE</v>
          </cell>
          <cell r="K551" t="str">
            <v>OUTROS</v>
          </cell>
          <cell r="L551" t="str">
            <v>OUTROS</v>
          </cell>
          <cell r="M551" t="str">
            <v>E-COMMERCE</v>
          </cell>
        </row>
        <row r="552">
          <cell r="B552">
            <v>5309390</v>
          </cell>
          <cell r="C552" t="str">
            <v>FRUBANA COMERCIO E DISTRIBUICAO</v>
          </cell>
          <cell r="D552">
            <v>3001</v>
          </cell>
          <cell r="E552" t="str">
            <v>0125</v>
          </cell>
          <cell r="F552" t="str">
            <v>C1</v>
          </cell>
          <cell r="G552" t="str">
            <v>SP</v>
          </cell>
          <cell r="H552" t="str">
            <v>OUTROS</v>
          </cell>
          <cell r="I552" t="str">
            <v>OUTROS</v>
          </cell>
          <cell r="J552" t="str">
            <v>E-COMMERCE</v>
          </cell>
          <cell r="K552" t="str">
            <v>OUTROS</v>
          </cell>
          <cell r="L552" t="str">
            <v>OUTROS</v>
          </cell>
          <cell r="M552" t="str">
            <v>E-COMMERCE</v>
          </cell>
        </row>
        <row r="553">
          <cell r="B553">
            <v>5309389</v>
          </cell>
          <cell r="C553" t="str">
            <v>FRUBANA COMERCIO E DISTRIBUICAO</v>
          </cell>
          <cell r="D553">
            <v>3001</v>
          </cell>
          <cell r="E553" t="str">
            <v>6125</v>
          </cell>
          <cell r="F553" t="str">
            <v>C1</v>
          </cell>
          <cell r="G553" t="str">
            <v>SP</v>
          </cell>
          <cell r="H553" t="str">
            <v>OUTROS</v>
          </cell>
          <cell r="I553" t="str">
            <v>OUTROS</v>
          </cell>
          <cell r="J553" t="str">
            <v>E-COMMERCE</v>
          </cell>
          <cell r="K553" t="str">
            <v>OUTROS</v>
          </cell>
          <cell r="L553" t="str">
            <v>OUTROS</v>
          </cell>
          <cell r="M553" t="str">
            <v>E-COMMERCE</v>
          </cell>
        </row>
        <row r="554">
          <cell r="B554">
            <v>5309390</v>
          </cell>
          <cell r="C554" t="str">
            <v>FRUBANA COMERCIO E DISTRIBUICAO</v>
          </cell>
          <cell r="D554">
            <v>3001</v>
          </cell>
          <cell r="E554" t="str">
            <v>6125</v>
          </cell>
          <cell r="F554" t="str">
            <v>C1</v>
          </cell>
          <cell r="G554" t="str">
            <v>SP</v>
          </cell>
          <cell r="H554" t="str">
            <v>OUTROS</v>
          </cell>
          <cell r="I554" t="str">
            <v>OUTROS</v>
          </cell>
          <cell r="J554" t="str">
            <v>E-COMMERCE</v>
          </cell>
          <cell r="K554" t="str">
            <v>OUTROS</v>
          </cell>
          <cell r="L554" t="str">
            <v>OUTROS</v>
          </cell>
          <cell r="M554" t="str">
            <v>E-COMMERCE</v>
          </cell>
        </row>
        <row r="555">
          <cell r="B555">
            <v>5309389</v>
          </cell>
          <cell r="C555" t="str">
            <v>FRUBANA COMERCIO E DISTRIBUICAO</v>
          </cell>
          <cell r="D555">
            <v>6001</v>
          </cell>
          <cell r="E555" t="str">
            <v>6125</v>
          </cell>
          <cell r="F555" t="str">
            <v>C1</v>
          </cell>
          <cell r="G555" t="str">
            <v>SP</v>
          </cell>
          <cell r="H555" t="str">
            <v>OUTROS</v>
          </cell>
          <cell r="I555" t="str">
            <v>OUTROS</v>
          </cell>
          <cell r="J555" t="str">
            <v>E-COMMERCE</v>
          </cell>
          <cell r="K555" t="str">
            <v>OUTROS</v>
          </cell>
          <cell r="L555" t="str">
            <v>OUTROS</v>
          </cell>
          <cell r="M555" t="str">
            <v>E-COMMERCE</v>
          </cell>
        </row>
        <row r="556">
          <cell r="B556">
            <v>5309390</v>
          </cell>
          <cell r="C556" t="str">
            <v>FRUBANA COMERCIO E DISTRIBUICAO</v>
          </cell>
          <cell r="D556">
            <v>6001</v>
          </cell>
          <cell r="E556" t="str">
            <v>6125</v>
          </cell>
          <cell r="F556" t="str">
            <v>C1</v>
          </cell>
          <cell r="G556" t="str">
            <v>SP</v>
          </cell>
          <cell r="H556" t="str">
            <v>OUTROS</v>
          </cell>
          <cell r="I556" t="str">
            <v>OUTROS</v>
          </cell>
          <cell r="J556" t="str">
            <v>E-COMMERCE</v>
          </cell>
          <cell r="K556" t="str">
            <v>OUTROS</v>
          </cell>
          <cell r="L556" t="str">
            <v>OUTROS</v>
          </cell>
          <cell r="M556" t="str">
            <v>E-COMMERCE</v>
          </cell>
        </row>
        <row r="557">
          <cell r="B557">
            <v>5309392</v>
          </cell>
          <cell r="C557" t="str">
            <v>FRUBANA COMERCIO E DISTRIBUICAO DE</v>
          </cell>
          <cell r="D557">
            <v>6001</v>
          </cell>
          <cell r="E557" t="str">
            <v>6125</v>
          </cell>
          <cell r="F557" t="str">
            <v>C1</v>
          </cell>
          <cell r="G557" t="str">
            <v>SP</v>
          </cell>
          <cell r="H557" t="str">
            <v>OUTROS</v>
          </cell>
          <cell r="I557" t="str">
            <v>OUTROS</v>
          </cell>
          <cell r="J557" t="str">
            <v>E-COMMERCE</v>
          </cell>
          <cell r="K557" t="str">
            <v>OUTROS</v>
          </cell>
          <cell r="L557" t="str">
            <v>OUTROS</v>
          </cell>
          <cell r="M557" t="str">
            <v>E-COMMERCE</v>
          </cell>
        </row>
        <row r="558">
          <cell r="B558">
            <v>5309391</v>
          </cell>
          <cell r="C558" t="str">
            <v>FRUBANA COMERCIO E DISTRIBUICAO DE</v>
          </cell>
          <cell r="D558">
            <v>6001</v>
          </cell>
          <cell r="E558" t="str">
            <v>6125</v>
          </cell>
          <cell r="F558" t="str">
            <v>C1</v>
          </cell>
          <cell r="G558" t="str">
            <v>SP</v>
          </cell>
          <cell r="H558" t="str">
            <v>OUTROS</v>
          </cell>
          <cell r="I558" t="str">
            <v>OUTROS</v>
          </cell>
          <cell r="J558" t="str">
            <v>E-COMMERCE</v>
          </cell>
          <cell r="K558" t="str">
            <v>OUTROS</v>
          </cell>
          <cell r="L558" t="str">
            <v>OUTROS</v>
          </cell>
          <cell r="M558" t="str">
            <v>E-COMMERCE</v>
          </cell>
        </row>
        <row r="559">
          <cell r="B559">
            <v>5217383</v>
          </cell>
          <cell r="C559" t="str">
            <v>FRUTAL INDUSTRIA E COMERCIO LTD</v>
          </cell>
          <cell r="D559">
            <v>4001</v>
          </cell>
          <cell r="E559" t="str">
            <v>0423</v>
          </cell>
          <cell r="F559" t="str">
            <v>C5</v>
          </cell>
          <cell r="G559" t="str">
            <v>AM</v>
          </cell>
          <cell r="H559" t="str">
            <v>INGREDIENTS</v>
          </cell>
          <cell r="I559" t="str">
            <v>INGREDIENTS</v>
          </cell>
          <cell r="J559" t="str">
            <v>JOEL ELEOTÉRIO</v>
          </cell>
          <cell r="K559" t="str">
            <v>LACTALIS</v>
          </cell>
          <cell r="L559" t="str">
            <v>MAURICIO</v>
          </cell>
          <cell r="M559" t="str">
            <v>JOEL</v>
          </cell>
        </row>
        <row r="560">
          <cell r="B560">
            <v>5217383</v>
          </cell>
          <cell r="C560" t="str">
            <v>FRUTAL INDUSTRIA E COMERCIO LTD</v>
          </cell>
          <cell r="D560">
            <v>3001</v>
          </cell>
          <cell r="E560" t="str">
            <v>0128</v>
          </cell>
          <cell r="F560" t="str">
            <v>C1</v>
          </cell>
          <cell r="G560" t="str">
            <v>AM</v>
          </cell>
          <cell r="H560" t="str">
            <v>INGREDIENTS</v>
          </cell>
          <cell r="I560" t="str">
            <v>INGREDIENTS</v>
          </cell>
          <cell r="J560" t="str">
            <v>JOEL ELEOTÉRIO</v>
          </cell>
          <cell r="K560" t="str">
            <v>ITAMBÉ</v>
          </cell>
          <cell r="L560" t="str">
            <v>MAURICIO</v>
          </cell>
          <cell r="M560" t="str">
            <v>JOEL</v>
          </cell>
        </row>
        <row r="561">
          <cell r="B561">
            <v>5300112</v>
          </cell>
          <cell r="C561" t="str">
            <v>FRUTARIA PITAYA RESTAURANTE LTDA</v>
          </cell>
          <cell r="D561">
            <v>7001</v>
          </cell>
          <cell r="E561" t="str">
            <v>0749</v>
          </cell>
          <cell r="F561" t="str">
            <v>C5</v>
          </cell>
          <cell r="G561" t="str">
            <v>SP</v>
          </cell>
          <cell r="H561" t="str">
            <v>DISTRIBUIÇÃO</v>
          </cell>
          <cell r="I561" t="str">
            <v>FOOD SERVICE</v>
          </cell>
          <cell r="J561" t="str">
            <v>FLAC 3</v>
          </cell>
          <cell r="K561" t="str">
            <v>LACTALIS</v>
          </cell>
          <cell r="L561" t="str">
            <v>RODRIGO</v>
          </cell>
          <cell r="M561" t="str">
            <v>ALEXANDRO</v>
          </cell>
        </row>
        <row r="562">
          <cell r="B562">
            <v>5212486</v>
          </cell>
          <cell r="C562" t="str">
            <v>FRUTAROM DO BRASIL IND E COM LTDA</v>
          </cell>
          <cell r="D562">
            <v>3001</v>
          </cell>
          <cell r="E562" t="str">
            <v>0122</v>
          </cell>
          <cell r="F562" t="str">
            <v>C1</v>
          </cell>
          <cell r="G562" t="str">
            <v>MG</v>
          </cell>
          <cell r="H562" t="str">
            <v>INGREDIENTS</v>
          </cell>
          <cell r="I562" t="str">
            <v>INGREDIENTS</v>
          </cell>
          <cell r="J562" t="str">
            <v>HENRIQUE FERREIRA</v>
          </cell>
          <cell r="K562" t="str">
            <v>ITAMBÉ</v>
          </cell>
          <cell r="L562" t="str">
            <v>MAURICIO</v>
          </cell>
          <cell r="M562" t="str">
            <v>JOEL</v>
          </cell>
        </row>
        <row r="563">
          <cell r="B563">
            <v>5019245</v>
          </cell>
          <cell r="C563" t="str">
            <v>FRUTT CENTER DIST P FRUTAS FRIOS EI</v>
          </cell>
          <cell r="D563">
            <v>3001</v>
          </cell>
          <cell r="E563" t="str">
            <v>0123</v>
          </cell>
          <cell r="F563" t="str">
            <v>C1</v>
          </cell>
          <cell r="G563" t="str">
            <v>GO</v>
          </cell>
          <cell r="H563" t="str">
            <v>DISTRIBUIÇÃO</v>
          </cell>
          <cell r="I563" t="str">
            <v>FOOD SERVICE</v>
          </cell>
          <cell r="J563" t="str">
            <v>CLAUDIO JORGE</v>
          </cell>
          <cell r="K563" t="str">
            <v>ITAMBÉ</v>
          </cell>
          <cell r="L563" t="str">
            <v>RODRIGO</v>
          </cell>
          <cell r="M563" t="str">
            <v>MARCO AURELIO</v>
          </cell>
        </row>
        <row r="564">
          <cell r="B564">
            <v>5178175</v>
          </cell>
          <cell r="C564" t="str">
            <v>FRUTTO DA TERRA COMERCIO LTDA ME</v>
          </cell>
          <cell r="D564">
            <v>7001</v>
          </cell>
          <cell r="E564" t="str">
            <v>0749</v>
          </cell>
          <cell r="F564" t="str">
            <v>C5</v>
          </cell>
          <cell r="G564" t="str">
            <v>SP</v>
          </cell>
          <cell r="H564" t="str">
            <v>DISTRIBUIÇÃO</v>
          </cell>
          <cell r="I564" t="str">
            <v>FOOD SERVICE</v>
          </cell>
          <cell r="J564" t="str">
            <v>FLAC 3</v>
          </cell>
          <cell r="K564" t="str">
            <v>LACTALIS</v>
          </cell>
          <cell r="L564" t="str">
            <v>RODRIGO</v>
          </cell>
          <cell r="M564" t="str">
            <v>ALEXANDRO</v>
          </cell>
        </row>
        <row r="565">
          <cell r="B565">
            <v>5189702</v>
          </cell>
          <cell r="C565" t="str">
            <v>FRUTTO DA TERRA COMERCIO LTDA ME</v>
          </cell>
          <cell r="D565">
            <v>7001</v>
          </cell>
          <cell r="E565" t="str">
            <v>0749</v>
          </cell>
          <cell r="F565" t="str">
            <v>C5</v>
          </cell>
          <cell r="G565" t="str">
            <v>SP</v>
          </cell>
          <cell r="H565" t="str">
            <v>DISTRIBUIÇÃO</v>
          </cell>
          <cell r="I565" t="str">
            <v>FOOD SERVICE</v>
          </cell>
          <cell r="J565" t="str">
            <v>FLAC 3</v>
          </cell>
          <cell r="K565" t="str">
            <v>LACTALIS</v>
          </cell>
          <cell r="L565" t="str">
            <v>RODRIGO</v>
          </cell>
          <cell r="M565" t="str">
            <v>ALEXANDRO</v>
          </cell>
        </row>
        <row r="566">
          <cell r="B566">
            <v>5159289</v>
          </cell>
          <cell r="C566" t="str">
            <v>FUNCHAL IND COM DE PAPEIS LT</v>
          </cell>
          <cell r="D566">
            <v>6001</v>
          </cell>
          <cell r="E566" t="str">
            <v>6125</v>
          </cell>
          <cell r="F566" t="str">
            <v>C1</v>
          </cell>
          <cell r="G566" t="str">
            <v>SP</v>
          </cell>
          <cell r="H566" t="str">
            <v>DISTRIBUIÇÃO</v>
          </cell>
          <cell r="I566" t="str">
            <v>FOOD SERVICE</v>
          </cell>
          <cell r="J566" t="str">
            <v>LUCAS ANDRADE</v>
          </cell>
          <cell r="K566" t="str">
            <v>ITAMBÉ</v>
          </cell>
          <cell r="L566" t="str">
            <v>RODRIGO</v>
          </cell>
          <cell r="M566" t="str">
            <v>RAQUEL BARBOSA</v>
          </cell>
        </row>
        <row r="567">
          <cell r="B567">
            <v>5286332</v>
          </cell>
          <cell r="C567" t="str">
            <v>FUNDACAO BRADESCO</v>
          </cell>
          <cell r="D567">
            <v>7001</v>
          </cell>
          <cell r="E567" t="str">
            <v>0749</v>
          </cell>
          <cell r="F567" t="str">
            <v>C5</v>
          </cell>
          <cell r="G567" t="str">
            <v>SP</v>
          </cell>
          <cell r="H567" t="str">
            <v>QSR</v>
          </cell>
          <cell r="I567" t="str">
            <v>FOOD SERVICE</v>
          </cell>
          <cell r="J567" t="str">
            <v>NUTRI</v>
          </cell>
          <cell r="K567" t="str">
            <v>LACTALIS</v>
          </cell>
          <cell r="L567" t="str">
            <v>PEDRO</v>
          </cell>
          <cell r="M567" t="str">
            <v>AMANDA</v>
          </cell>
        </row>
        <row r="568">
          <cell r="B568">
            <v>5262782</v>
          </cell>
          <cell r="C568" t="str">
            <v>FUTURO REFEITORIO LTDA</v>
          </cell>
          <cell r="D568">
            <v>7001</v>
          </cell>
          <cell r="E568" t="str">
            <v>0749</v>
          </cell>
          <cell r="F568" t="str">
            <v>C5</v>
          </cell>
          <cell r="G568" t="str">
            <v>SP</v>
          </cell>
          <cell r="H568" t="str">
            <v>DISTRIBUIÇÃO</v>
          </cell>
          <cell r="I568" t="str">
            <v>FOOD SERVICE</v>
          </cell>
          <cell r="J568" t="str">
            <v>FLAC 6</v>
          </cell>
          <cell r="K568" t="str">
            <v>LACTALIS</v>
          </cell>
          <cell r="L568" t="str">
            <v>RODRIGO</v>
          </cell>
          <cell r="M568" t="str">
            <v>ALEXANDRO</v>
          </cell>
        </row>
        <row r="569">
          <cell r="B569">
            <v>5216557</v>
          </cell>
          <cell r="C569" t="str">
            <v>G A R DE LUCENA</v>
          </cell>
          <cell r="D569">
            <v>7001</v>
          </cell>
          <cell r="E569" t="str">
            <v>0722</v>
          </cell>
          <cell r="F569" t="str">
            <v>C1</v>
          </cell>
          <cell r="G569" t="str">
            <v>SP</v>
          </cell>
          <cell r="H569" t="str">
            <v>DISTRIBUIÇÃO</v>
          </cell>
          <cell r="I569" t="str">
            <v>FOOD SERVICE</v>
          </cell>
          <cell r="J569" t="str">
            <v>GUILHERME NASCIMENTO</v>
          </cell>
          <cell r="K569" t="str">
            <v>LACTALIS</v>
          </cell>
          <cell r="L569" t="str">
            <v>RODRIGO</v>
          </cell>
          <cell r="M569" t="str">
            <v>ALEXANDRO</v>
          </cell>
        </row>
        <row r="570">
          <cell r="B570">
            <v>5216557</v>
          </cell>
          <cell r="C570" t="str">
            <v>G A R DE LUCENA</v>
          </cell>
          <cell r="D570">
            <v>6001</v>
          </cell>
          <cell r="E570" t="str">
            <v>6125</v>
          </cell>
          <cell r="F570" t="str">
            <v>C1</v>
          </cell>
          <cell r="G570" t="str">
            <v>SP</v>
          </cell>
          <cell r="H570" t="str">
            <v>DISTRIBUIÇÃO</v>
          </cell>
          <cell r="I570" t="str">
            <v>FOOD SERVICE</v>
          </cell>
          <cell r="J570" t="str">
            <v>GUILHERME NASCIMENTO</v>
          </cell>
          <cell r="K570" t="str">
            <v>ITAMBÉ</v>
          </cell>
          <cell r="L570" t="str">
            <v>RODRIGO</v>
          </cell>
          <cell r="M570" t="str">
            <v>ALEXANDRO</v>
          </cell>
        </row>
        <row r="571">
          <cell r="B571">
            <v>5137371</v>
          </cell>
          <cell r="C571" t="str">
            <v>G ACTION IND E COM DE SUP ALIM LTDA</v>
          </cell>
          <cell r="D571">
            <v>3001</v>
          </cell>
          <cell r="E571" t="str">
            <v>0126</v>
          </cell>
          <cell r="F571" t="str">
            <v>C1</v>
          </cell>
          <cell r="G571" t="str">
            <v>PR</v>
          </cell>
          <cell r="H571" t="str">
            <v>INGREDIENTS</v>
          </cell>
          <cell r="I571" t="str">
            <v>INGREDIENTS</v>
          </cell>
          <cell r="J571" t="str">
            <v>MARCELO RODRIGUES</v>
          </cell>
          <cell r="K571" t="str">
            <v>ITAMBÉ</v>
          </cell>
          <cell r="L571" t="str">
            <v>MAURICIO</v>
          </cell>
          <cell r="M571" t="str">
            <v>MARCELO</v>
          </cell>
        </row>
        <row r="572">
          <cell r="B572">
            <v>5195393</v>
          </cell>
          <cell r="C572" t="str">
            <v>G GENNIUS BR PROD DE COM DE ALI</v>
          </cell>
          <cell r="D572">
            <v>7001</v>
          </cell>
          <cell r="E572" t="str">
            <v>0722</v>
          </cell>
          <cell r="F572" t="str">
            <v>C1</v>
          </cell>
          <cell r="G572" t="str">
            <v>SP</v>
          </cell>
          <cell r="H572" t="str">
            <v>QSR</v>
          </cell>
          <cell r="I572" t="str">
            <v>FOOD SERVICE</v>
          </cell>
          <cell r="J572" t="str">
            <v>ANA MENIQUETE</v>
          </cell>
          <cell r="K572" t="str">
            <v>LACTALIS</v>
          </cell>
          <cell r="L572" t="str">
            <v>PEDRO</v>
          </cell>
          <cell r="M572" t="str">
            <v>ANA MENIQUETE</v>
          </cell>
        </row>
        <row r="573">
          <cell r="B573">
            <v>5194321</v>
          </cell>
          <cell r="C573" t="str">
            <v>G PIEROTTI SHIP SUPPLIER LTDA</v>
          </cell>
          <cell r="D573">
            <v>7001</v>
          </cell>
          <cell r="E573" t="str">
            <v>0749</v>
          </cell>
          <cell r="F573" t="str">
            <v>C5</v>
          </cell>
          <cell r="G573" t="str">
            <v>SP</v>
          </cell>
          <cell r="H573" t="str">
            <v>QSR</v>
          </cell>
          <cell r="I573" t="str">
            <v>FOOD SERVICE</v>
          </cell>
          <cell r="J573" t="str">
            <v>NUTRI</v>
          </cell>
          <cell r="K573" t="str">
            <v>LACTALIS</v>
          </cell>
          <cell r="L573" t="str">
            <v>PEDRO</v>
          </cell>
          <cell r="M573" t="str">
            <v>AMANDA</v>
          </cell>
        </row>
        <row r="574">
          <cell r="B574">
            <v>5191490</v>
          </cell>
          <cell r="C574" t="str">
            <v>G S LIMA ALIMENTOS</v>
          </cell>
          <cell r="D574">
            <v>3001</v>
          </cell>
          <cell r="E574" t="str">
            <v>0127</v>
          </cell>
          <cell r="F574" t="str">
            <v>C1</v>
          </cell>
          <cell r="G574" t="str">
            <v>CE</v>
          </cell>
          <cell r="H574" t="str">
            <v>DISTRIBUIÇÃO</v>
          </cell>
          <cell r="I574" t="str">
            <v>FOOD SERVICE</v>
          </cell>
          <cell r="J574" t="str">
            <v>WH FOOD SERVICE CE</v>
          </cell>
          <cell r="K574" t="str">
            <v>ITAMBÉ</v>
          </cell>
          <cell r="L574" t="str">
            <v>RODRIGO</v>
          </cell>
          <cell r="M574" t="str">
            <v>VAGO NORDESTE</v>
          </cell>
        </row>
        <row r="575">
          <cell r="B575">
            <v>5335192</v>
          </cell>
          <cell r="C575" t="str">
            <v>G2 DESENVOLVIMENTO E PRODUCAO DE DO</v>
          </cell>
          <cell r="D575">
            <v>7001</v>
          </cell>
          <cell r="E575" t="str">
            <v>0749</v>
          </cell>
          <cell r="F575" t="str">
            <v>C5</v>
          </cell>
          <cell r="G575" t="str">
            <v>SP</v>
          </cell>
          <cell r="H575" t="str">
            <v>DISTRIBUIÇÃO</v>
          </cell>
          <cell r="I575" t="str">
            <v>FOOD SERVICE</v>
          </cell>
          <cell r="J575" t="str">
            <v>FLAC 6</v>
          </cell>
          <cell r="K575" t="str">
            <v>LACTALIS</v>
          </cell>
          <cell r="L575" t="str">
            <v>RODRIGO</v>
          </cell>
          <cell r="M575" t="str">
            <v>ALEXANDRO</v>
          </cell>
        </row>
        <row r="576">
          <cell r="B576">
            <v>5185042</v>
          </cell>
          <cell r="C576" t="str">
            <v>GA INDUSTRIA E COMERCIO DE ALIMENTO</v>
          </cell>
          <cell r="D576">
            <v>3001</v>
          </cell>
          <cell r="E576" t="str">
            <v>0127</v>
          </cell>
          <cell r="F576" t="str">
            <v>C1</v>
          </cell>
          <cell r="G576" t="str">
            <v>BA</v>
          </cell>
          <cell r="H576" t="str">
            <v>DISTRIBUIÇÃO</v>
          </cell>
          <cell r="I576" t="str">
            <v>FOOD SERVICE</v>
          </cell>
          <cell r="J576" t="str">
            <v xml:space="preserve">KARIS FOOD / LUIZ </v>
          </cell>
          <cell r="K576" t="str">
            <v>ITAMBÉ</v>
          </cell>
          <cell r="L576" t="str">
            <v>RODRIGO</v>
          </cell>
          <cell r="M576" t="str">
            <v>VAGO NORDESTE</v>
          </cell>
        </row>
        <row r="577">
          <cell r="B577">
            <v>5186251</v>
          </cell>
          <cell r="C577" t="str">
            <v>GABRIELA MACHADO MATOS</v>
          </cell>
          <cell r="D577">
            <v>3001</v>
          </cell>
          <cell r="E577" t="str">
            <v>0028</v>
          </cell>
          <cell r="F577" t="str">
            <v>C1</v>
          </cell>
          <cell r="G577" t="str">
            <v>MS</v>
          </cell>
          <cell r="H577" t="str">
            <v>INGREDIENTS</v>
          </cell>
          <cell r="I577" t="str">
            <v>INGREDIENTS</v>
          </cell>
          <cell r="J577" t="str">
            <v>DUAS RODAS</v>
          </cell>
          <cell r="K577" t="str">
            <v>ITAMBÉ</v>
          </cell>
          <cell r="L577" t="str">
            <v>MAURICIO</v>
          </cell>
          <cell r="M577" t="str">
            <v>MARCELO</v>
          </cell>
        </row>
        <row r="578">
          <cell r="B578">
            <v>5223692</v>
          </cell>
          <cell r="C578" t="str">
            <v>GALILEO FOODS LLC</v>
          </cell>
          <cell r="D578">
            <v>3001</v>
          </cell>
          <cell r="E578" t="str">
            <v>0062</v>
          </cell>
          <cell r="F578" t="str">
            <v>C1</v>
          </cell>
          <cell r="G578" t="str">
            <v/>
          </cell>
          <cell r="H578" t="str">
            <v>OUTROS</v>
          </cell>
          <cell r="I578" t="str">
            <v>OUTROS</v>
          </cell>
          <cell r="J578" t="str">
            <v>ITAMBE - EXPORTACAO</v>
          </cell>
          <cell r="K578" t="str">
            <v>OUTROS</v>
          </cell>
          <cell r="L578" t="str">
            <v>OUTROS</v>
          </cell>
          <cell r="M578" t="str">
            <v>EXPORTAÇÃO</v>
          </cell>
        </row>
        <row r="579">
          <cell r="B579">
            <v>5263210</v>
          </cell>
          <cell r="C579" t="str">
            <v>GANSARAL CASA DA CULTURA LTDA</v>
          </cell>
          <cell r="D579">
            <v>7001</v>
          </cell>
          <cell r="E579" t="str">
            <v>0749</v>
          </cell>
          <cell r="F579" t="str">
            <v>C5</v>
          </cell>
          <cell r="G579" t="str">
            <v>SP</v>
          </cell>
          <cell r="H579" t="str">
            <v>DISTRIBUIÇÃO</v>
          </cell>
          <cell r="I579" t="str">
            <v>FOOD SERVICE</v>
          </cell>
          <cell r="J579" t="str">
            <v>FLAC 2</v>
          </cell>
          <cell r="K579" t="str">
            <v>LACTALIS</v>
          </cell>
          <cell r="L579" t="str">
            <v>RODRIGO</v>
          </cell>
          <cell r="M579" t="str">
            <v>ALEXANDRO</v>
          </cell>
        </row>
        <row r="580">
          <cell r="B580">
            <v>5338214</v>
          </cell>
          <cell r="C580" t="str">
            <v>GAPEIXOTO DIST DE PROD ALIM LTD</v>
          </cell>
          <cell r="D580">
            <v>7001</v>
          </cell>
          <cell r="E580" t="str">
            <v>0722</v>
          </cell>
          <cell r="F580" t="str">
            <v>C1</v>
          </cell>
          <cell r="G580" t="str">
            <v>SP</v>
          </cell>
          <cell r="H580" t="str">
            <v>DISTRIBUIÇÃO</v>
          </cell>
          <cell r="I580" t="str">
            <v>FOOD SERVICE</v>
          </cell>
          <cell r="J580" t="str">
            <v>LUCAS ANDRADE</v>
          </cell>
          <cell r="K580" t="str">
            <v>LACTALIS</v>
          </cell>
          <cell r="L580" t="str">
            <v>RODRIGO</v>
          </cell>
          <cell r="M580" t="str">
            <v>RAQUEL BARBOSA</v>
          </cell>
        </row>
        <row r="581">
          <cell r="B581">
            <v>5226500</v>
          </cell>
          <cell r="C581" t="str">
            <v>GARRA COMERCIO ATACADISTA DE ALIM L</v>
          </cell>
          <cell r="D581">
            <v>3001</v>
          </cell>
          <cell r="E581" t="str">
            <v>0123</v>
          </cell>
          <cell r="F581" t="str">
            <v>C1</v>
          </cell>
          <cell r="G581" t="str">
            <v>DF</v>
          </cell>
          <cell r="H581" t="str">
            <v>DISTRIBUIÇÃO</v>
          </cell>
          <cell r="I581" t="str">
            <v>FOOD SERVICE</v>
          </cell>
          <cell r="J581" t="str">
            <v>CLAUDIO JORGE</v>
          </cell>
          <cell r="K581" t="str">
            <v>ITAMBÉ</v>
          </cell>
          <cell r="L581" t="str">
            <v>RODRIGO</v>
          </cell>
          <cell r="M581" t="str">
            <v>MARCO AURELIO</v>
          </cell>
        </row>
        <row r="582">
          <cell r="B582">
            <v>5315549</v>
          </cell>
          <cell r="C582" t="str">
            <v>GASTRONOMIA SOLUCOES ALIMENT LT</v>
          </cell>
          <cell r="D582">
            <v>7001</v>
          </cell>
          <cell r="E582" t="str">
            <v>0749</v>
          </cell>
          <cell r="F582" t="str">
            <v>C5</v>
          </cell>
          <cell r="G582" t="str">
            <v>SP</v>
          </cell>
          <cell r="H582" t="str">
            <v>QSR</v>
          </cell>
          <cell r="I582" t="str">
            <v>FOOD SERVICE</v>
          </cell>
          <cell r="J582" t="str">
            <v>NUTRI</v>
          </cell>
          <cell r="K582" t="str">
            <v>LACTALIS</v>
          </cell>
          <cell r="L582" t="str">
            <v>PEDRO</v>
          </cell>
          <cell r="M582" t="str">
            <v>AMANDA</v>
          </cell>
        </row>
        <row r="583">
          <cell r="B583">
            <v>5059971</v>
          </cell>
          <cell r="C583" t="str">
            <v>GATE GOURMET LT</v>
          </cell>
          <cell r="D583">
            <v>6001</v>
          </cell>
          <cell r="E583" t="str">
            <v>6125</v>
          </cell>
          <cell r="F583" t="str">
            <v>C1</v>
          </cell>
          <cell r="G583" t="str">
            <v>SP</v>
          </cell>
          <cell r="H583" t="str">
            <v>QSR</v>
          </cell>
          <cell r="I583" t="str">
            <v>FOOD SERVICE</v>
          </cell>
          <cell r="J583" t="str">
            <v>ANA MENIQUETE</v>
          </cell>
          <cell r="K583" t="str">
            <v>ITAMBÉ</v>
          </cell>
          <cell r="L583" t="str">
            <v>PEDRO</v>
          </cell>
          <cell r="M583" t="str">
            <v>ANA MENIQUETE</v>
          </cell>
        </row>
        <row r="584">
          <cell r="B584">
            <v>5059971</v>
          </cell>
          <cell r="C584" t="str">
            <v>GATE GOURMET LT</v>
          </cell>
          <cell r="D584">
            <v>7001</v>
          </cell>
          <cell r="E584" t="str">
            <v>0722</v>
          </cell>
          <cell r="F584" t="str">
            <v>C1</v>
          </cell>
          <cell r="G584" t="str">
            <v>SP</v>
          </cell>
          <cell r="H584" t="str">
            <v>QSR</v>
          </cell>
          <cell r="I584" t="str">
            <v>FOOD SERVICE</v>
          </cell>
          <cell r="J584" t="str">
            <v>ANA MENIQUETE</v>
          </cell>
          <cell r="K584" t="str">
            <v>LACTALIS</v>
          </cell>
          <cell r="L584" t="str">
            <v>PEDRO</v>
          </cell>
          <cell r="M584" t="str">
            <v>ANA MENIQUETE</v>
          </cell>
        </row>
        <row r="585">
          <cell r="B585">
            <v>5001794</v>
          </cell>
          <cell r="C585" t="str">
            <v>GATE GOURMET LTDA</v>
          </cell>
          <cell r="D585">
            <v>4001</v>
          </cell>
          <cell r="E585" t="str">
            <v>0439</v>
          </cell>
          <cell r="F585" t="str">
            <v>C1</v>
          </cell>
          <cell r="G585" t="str">
            <v>RJ</v>
          </cell>
          <cell r="H585" t="str">
            <v>QSR</v>
          </cell>
          <cell r="I585" t="str">
            <v>FOOD SERVICE</v>
          </cell>
          <cell r="J585" t="str">
            <v>ANA MENIQUETE</v>
          </cell>
          <cell r="K585" t="str">
            <v>LACTALIS</v>
          </cell>
          <cell r="L585" t="str">
            <v>PEDRO</v>
          </cell>
          <cell r="M585" t="str">
            <v>ANA MENIQUETE</v>
          </cell>
        </row>
        <row r="586">
          <cell r="B586">
            <v>5327179</v>
          </cell>
          <cell r="C586" t="str">
            <v>GDM COMERCIO DE PRODUTOS ALIMENTICIOS L</v>
          </cell>
          <cell r="D586">
            <v>3001</v>
          </cell>
          <cell r="E586" t="str">
            <v>0127</v>
          </cell>
          <cell r="F586" t="str">
            <v>C1</v>
          </cell>
          <cell r="G586" t="str">
            <v>BA</v>
          </cell>
          <cell r="H586" t="str">
            <v>DISTRIBUIÇÃO</v>
          </cell>
          <cell r="I586" t="str">
            <v>FOOD SERVICE</v>
          </cell>
          <cell r="J586" t="str">
            <v xml:space="preserve">KARIS FOOD / LUIZ </v>
          </cell>
          <cell r="K586" t="str">
            <v>ITAMBÉ</v>
          </cell>
          <cell r="L586" t="str">
            <v>RODRIGO</v>
          </cell>
          <cell r="M586" t="str">
            <v>VAGO NORDESTE</v>
          </cell>
        </row>
        <row r="587">
          <cell r="B587">
            <v>5229467</v>
          </cell>
          <cell r="C587" t="str">
            <v>GEBON SORVETES LTDA</v>
          </cell>
          <cell r="D587">
            <v>3001</v>
          </cell>
          <cell r="E587" t="str">
            <v>0126</v>
          </cell>
          <cell r="F587" t="str">
            <v>C1</v>
          </cell>
          <cell r="G587" t="str">
            <v>PR</v>
          </cell>
          <cell r="H587" t="str">
            <v>INGREDIENTS</v>
          </cell>
          <cell r="I587" t="str">
            <v>INGREDIENTS</v>
          </cell>
          <cell r="J587" t="str">
            <v>MARCELO RODRIGUES</v>
          </cell>
          <cell r="K587" t="str">
            <v>ITAMBÉ</v>
          </cell>
          <cell r="L587" t="str">
            <v>MAURICIO</v>
          </cell>
          <cell r="M587" t="str">
            <v>MARCELO</v>
          </cell>
        </row>
        <row r="588">
          <cell r="B588">
            <v>5226360</v>
          </cell>
          <cell r="C588" t="str">
            <v>GELA GOURMET LTDA</v>
          </cell>
          <cell r="D588">
            <v>3001</v>
          </cell>
          <cell r="E588" t="str">
            <v>0127</v>
          </cell>
          <cell r="F588" t="str">
            <v>C1</v>
          </cell>
          <cell r="G588" t="str">
            <v>BA</v>
          </cell>
          <cell r="H588" t="str">
            <v>DISTRIBUIÇÃO</v>
          </cell>
          <cell r="I588" t="str">
            <v>FOOD SERVICE</v>
          </cell>
          <cell r="J588" t="str">
            <v xml:space="preserve">KARIS FOOD / LUIZ </v>
          </cell>
          <cell r="K588" t="str">
            <v>ITAMBÉ</v>
          </cell>
          <cell r="L588" t="str">
            <v>RODRIGO</v>
          </cell>
          <cell r="M588" t="str">
            <v>VAGO NORDESTE</v>
          </cell>
        </row>
        <row r="589">
          <cell r="B589">
            <v>5220998</v>
          </cell>
          <cell r="C589" t="str">
            <v>GELADOM SORVETES LTDA</v>
          </cell>
          <cell r="D589">
            <v>3001</v>
          </cell>
          <cell r="E589" t="str">
            <v>0127</v>
          </cell>
          <cell r="F589" t="str">
            <v>C1</v>
          </cell>
          <cell r="G589" t="str">
            <v>BA</v>
          </cell>
          <cell r="H589" t="str">
            <v>DISTRIBUIÇÃO</v>
          </cell>
          <cell r="I589" t="str">
            <v>FOOD SERVICE</v>
          </cell>
          <cell r="J589" t="str">
            <v xml:space="preserve">KARIS FOOD / LUIZ </v>
          </cell>
          <cell r="K589" t="str">
            <v>ITAMBÉ</v>
          </cell>
          <cell r="L589" t="str">
            <v>RODRIGO</v>
          </cell>
          <cell r="M589" t="str">
            <v>VAGO NORDESTE</v>
          </cell>
        </row>
        <row r="590">
          <cell r="B590">
            <v>5323873</v>
          </cell>
          <cell r="C590" t="str">
            <v>GELATERIA DIVERA LTDA</v>
          </cell>
          <cell r="D590">
            <v>7001</v>
          </cell>
          <cell r="E590" t="str">
            <v>0749</v>
          </cell>
          <cell r="F590" t="str">
            <v>C5</v>
          </cell>
          <cell r="G590" t="str">
            <v>SP</v>
          </cell>
          <cell r="H590" t="str">
            <v>DISTRIBUIÇÃO</v>
          </cell>
          <cell r="I590" t="str">
            <v>FOOD SERVICE</v>
          </cell>
          <cell r="J590" t="str">
            <v>FLAC 6</v>
          </cell>
          <cell r="K590" t="str">
            <v>LACTALIS</v>
          </cell>
          <cell r="L590" t="str">
            <v>RODRIGO</v>
          </cell>
          <cell r="M590" t="str">
            <v>ALEXANDRO</v>
          </cell>
        </row>
        <row r="591">
          <cell r="B591">
            <v>5192442</v>
          </cell>
          <cell r="C591" t="str">
            <v>GELATERIE LOFORESE 1922 LTDA</v>
          </cell>
          <cell r="D591">
            <v>7001</v>
          </cell>
          <cell r="E591" t="str">
            <v>0749</v>
          </cell>
          <cell r="F591" t="str">
            <v>C5</v>
          </cell>
          <cell r="G591" t="str">
            <v>SP</v>
          </cell>
          <cell r="H591" t="str">
            <v>DISTRIBUIÇÃO</v>
          </cell>
          <cell r="I591" t="str">
            <v>FOOD SERVICE</v>
          </cell>
          <cell r="J591" t="str">
            <v>FLAC 3</v>
          </cell>
          <cell r="K591" t="str">
            <v>LACTALIS</v>
          </cell>
          <cell r="L591" t="str">
            <v>RODRIGO</v>
          </cell>
          <cell r="M591" t="str">
            <v>ALEXANDRO</v>
          </cell>
        </row>
        <row r="592">
          <cell r="B592">
            <v>5098945</v>
          </cell>
          <cell r="C592" t="str">
            <v>GELATI INDUSTRIA E COM DE SORVETES LTDA</v>
          </cell>
          <cell r="D592">
            <v>4001</v>
          </cell>
          <cell r="E592" t="str">
            <v>0455</v>
          </cell>
          <cell r="F592" t="str">
            <v>C1</v>
          </cell>
          <cell r="G592" t="str">
            <v>PR</v>
          </cell>
          <cell r="H592" t="str">
            <v>INGREDIENTS</v>
          </cell>
          <cell r="I592" t="str">
            <v>INGREDIENTS</v>
          </cell>
          <cell r="J592" t="str">
            <v>MARCELO RODRIGUES</v>
          </cell>
          <cell r="K592" t="str">
            <v>LACTALIS</v>
          </cell>
          <cell r="L592" t="str">
            <v>MAURICIO</v>
          </cell>
          <cell r="M592" t="str">
            <v>MARCELO</v>
          </cell>
        </row>
        <row r="593">
          <cell r="B593">
            <v>5263269</v>
          </cell>
          <cell r="C593" t="str">
            <v>GELATO D AMORE MMS VAREJO E DELIVER</v>
          </cell>
          <cell r="D593">
            <v>7001</v>
          </cell>
          <cell r="E593" t="str">
            <v>0749</v>
          </cell>
          <cell r="F593" t="str">
            <v>C5</v>
          </cell>
          <cell r="G593" t="str">
            <v>SP</v>
          </cell>
          <cell r="H593" t="str">
            <v>DISTRIBUIÇÃO</v>
          </cell>
          <cell r="I593" t="str">
            <v>FOOD SERVICE</v>
          </cell>
          <cell r="J593" t="str">
            <v>FLAC 6</v>
          </cell>
          <cell r="K593" t="str">
            <v>LACTALIS</v>
          </cell>
          <cell r="L593" t="str">
            <v>RODRIGO</v>
          </cell>
          <cell r="M593" t="str">
            <v>ALEXANDRO</v>
          </cell>
        </row>
        <row r="594">
          <cell r="B594">
            <v>5209966</v>
          </cell>
          <cell r="C594" t="str">
            <v>GENERAL GOODS LTDA</v>
          </cell>
          <cell r="D594">
            <v>3001</v>
          </cell>
          <cell r="E594" t="str">
            <v>0127</v>
          </cell>
          <cell r="F594" t="str">
            <v>C1</v>
          </cell>
          <cell r="G594" t="str">
            <v>PE</v>
          </cell>
          <cell r="H594" t="str">
            <v>DISTRIBUIÇÃO</v>
          </cell>
          <cell r="I594" t="str">
            <v>FOOD SERVICE</v>
          </cell>
          <cell r="J594" t="str">
            <v>CLAUDIO JORGE</v>
          </cell>
          <cell r="K594" t="str">
            <v>ITAMBÉ</v>
          </cell>
          <cell r="L594" t="str">
            <v>RODRIGO</v>
          </cell>
          <cell r="M594" t="str">
            <v>VAGO NORDESTE</v>
          </cell>
        </row>
        <row r="595">
          <cell r="B595">
            <v>5334288</v>
          </cell>
          <cell r="C595" t="str">
            <v>GF4 PARTICIPACOES LTDA</v>
          </cell>
          <cell r="D595">
            <v>7001</v>
          </cell>
          <cell r="E595" t="str">
            <v>0749</v>
          </cell>
          <cell r="F595" t="str">
            <v>C5</v>
          </cell>
          <cell r="G595" t="str">
            <v>SP</v>
          </cell>
          <cell r="H595" t="str">
            <v>DISTRIBUIÇÃO</v>
          </cell>
          <cell r="I595" t="str">
            <v>FOOD SERVICE</v>
          </cell>
          <cell r="J595" t="str">
            <v>FLAC 7</v>
          </cell>
          <cell r="K595" t="str">
            <v>LACTALIS</v>
          </cell>
          <cell r="L595" t="str">
            <v>RODRIGO</v>
          </cell>
          <cell r="M595" t="str">
            <v>ALEXANDRO</v>
          </cell>
        </row>
        <row r="596">
          <cell r="B596">
            <v>5320895</v>
          </cell>
          <cell r="C596" t="str">
            <v>GHR RESTAURANTE LTDA</v>
          </cell>
          <cell r="D596">
            <v>7001</v>
          </cell>
          <cell r="E596" t="str">
            <v>0749</v>
          </cell>
          <cell r="F596" t="str">
            <v>C5</v>
          </cell>
          <cell r="G596" t="str">
            <v>SP</v>
          </cell>
          <cell r="H596" t="str">
            <v>DISTRIBUIÇÃO</v>
          </cell>
          <cell r="I596" t="str">
            <v>FOOD SERVICE</v>
          </cell>
          <cell r="J596" t="str">
            <v>FLAC 6</v>
          </cell>
          <cell r="K596" t="str">
            <v>LACTALIS</v>
          </cell>
          <cell r="L596" t="str">
            <v>RODRIGO</v>
          </cell>
          <cell r="M596" t="str">
            <v>ALEXANDRO</v>
          </cell>
        </row>
        <row r="597">
          <cell r="B597">
            <v>5020468</v>
          </cell>
          <cell r="C597" t="str">
            <v>GIAS DISTRIBUTION</v>
          </cell>
          <cell r="D597">
            <v>3001</v>
          </cell>
          <cell r="E597" t="str">
            <v>0062</v>
          </cell>
          <cell r="F597" t="str">
            <v>C1</v>
          </cell>
          <cell r="G597" t="str">
            <v/>
          </cell>
          <cell r="H597" t="str">
            <v>OUTROS</v>
          </cell>
          <cell r="I597" t="str">
            <v>OUTROS</v>
          </cell>
          <cell r="J597" t="str">
            <v>ITAMBE - EXPORTACAO</v>
          </cell>
          <cell r="K597" t="str">
            <v>OUTROS</v>
          </cell>
          <cell r="L597" t="str">
            <v>OUTROS</v>
          </cell>
          <cell r="M597" t="str">
            <v>EXPORTAÇÃO</v>
          </cell>
        </row>
        <row r="598">
          <cell r="B598">
            <v>5027659</v>
          </cell>
          <cell r="C598" t="str">
            <v>GILBERTO KAJEVSKI &amp; CIA LTDA EPP</v>
          </cell>
          <cell r="D598">
            <v>3001</v>
          </cell>
          <cell r="E598" t="str">
            <v>0126</v>
          </cell>
          <cell r="F598" t="str">
            <v>C1</v>
          </cell>
          <cell r="G598" t="str">
            <v>SC</v>
          </cell>
          <cell r="H598" t="str">
            <v>DISTRIBUIÇÃO</v>
          </cell>
          <cell r="I598" t="str">
            <v>FOOD SERVICE</v>
          </cell>
          <cell r="J598" t="str">
            <v>ANTÔNIO SOUZA</v>
          </cell>
          <cell r="K598" t="str">
            <v>ITAMBÉ</v>
          </cell>
          <cell r="L598" t="str">
            <v>RODRIGO</v>
          </cell>
          <cell r="M598" t="str">
            <v>VAGO SUL</v>
          </cell>
        </row>
        <row r="599">
          <cell r="B599">
            <v>5261769</v>
          </cell>
          <cell r="C599" t="str">
            <v>GILMAR SOARES DE SANTANA</v>
          </cell>
          <cell r="D599">
            <v>7001</v>
          </cell>
          <cell r="E599" t="str">
            <v>0749</v>
          </cell>
          <cell r="F599" t="str">
            <v>C5</v>
          </cell>
          <cell r="G599" t="str">
            <v>SP</v>
          </cell>
          <cell r="H599" t="str">
            <v>DISTRIBUIÇÃO</v>
          </cell>
          <cell r="I599" t="str">
            <v>FOOD SERVICE</v>
          </cell>
          <cell r="J599" t="str">
            <v>FLAC 3</v>
          </cell>
          <cell r="K599" t="str">
            <v>LACTALIS</v>
          </cell>
          <cell r="L599" t="str">
            <v>RODRIGO</v>
          </cell>
          <cell r="M599" t="str">
            <v>ALEXANDRO</v>
          </cell>
        </row>
        <row r="600">
          <cell r="B600">
            <v>5285696</v>
          </cell>
          <cell r="C600" t="str">
            <v>GIRADINO PIZZARIA LTDA ME</v>
          </cell>
          <cell r="D600">
            <v>7001</v>
          </cell>
          <cell r="E600" t="str">
            <v>0749</v>
          </cell>
          <cell r="F600" t="str">
            <v>C5</v>
          </cell>
          <cell r="G600" t="str">
            <v>SP</v>
          </cell>
          <cell r="H600" t="str">
            <v>DISTRIBUIÇÃO</v>
          </cell>
          <cell r="I600" t="str">
            <v>FOOD SERVICE</v>
          </cell>
          <cell r="J600" t="str">
            <v>FLAC 3</v>
          </cell>
          <cell r="K600" t="str">
            <v>LACTALIS</v>
          </cell>
          <cell r="L600" t="str">
            <v>RODRIGO</v>
          </cell>
          <cell r="M600" t="str">
            <v>ALEXANDRO</v>
          </cell>
        </row>
        <row r="601">
          <cell r="B601">
            <v>5318502</v>
          </cell>
          <cell r="C601" t="str">
            <v>GIRO VILA OLIMPIA COMERCIO DE ALIME</v>
          </cell>
          <cell r="D601">
            <v>7001</v>
          </cell>
          <cell r="E601" t="str">
            <v>0749</v>
          </cell>
          <cell r="F601" t="str">
            <v>C5</v>
          </cell>
          <cell r="G601" t="str">
            <v>SP</v>
          </cell>
          <cell r="H601" t="str">
            <v>DISTRIBUIÇÃO</v>
          </cell>
          <cell r="I601" t="str">
            <v>FOOD SERVICE</v>
          </cell>
          <cell r="J601" t="str">
            <v>FLAC 6</v>
          </cell>
          <cell r="K601" t="str">
            <v>LACTALIS</v>
          </cell>
          <cell r="L601" t="str">
            <v>RODRIGO</v>
          </cell>
          <cell r="M601" t="str">
            <v>ALEXANDRO</v>
          </cell>
        </row>
        <row r="602">
          <cell r="B602">
            <v>5264406</v>
          </cell>
          <cell r="C602" t="str">
            <v>GMENDES HOTEIS E PARTICIPACOES LTDA</v>
          </cell>
          <cell r="D602">
            <v>7001</v>
          </cell>
          <cell r="E602" t="str">
            <v>0749</v>
          </cell>
          <cell r="F602" t="str">
            <v>C5</v>
          </cell>
          <cell r="G602" t="str">
            <v>SP</v>
          </cell>
          <cell r="H602" t="str">
            <v>DISTRIBUIÇÃO</v>
          </cell>
          <cell r="I602" t="str">
            <v>FOOD SERVICE</v>
          </cell>
          <cell r="J602" t="str">
            <v>FLAC 2</v>
          </cell>
          <cell r="K602" t="str">
            <v>LACTALIS</v>
          </cell>
          <cell r="L602" t="str">
            <v>RODRIGO</v>
          </cell>
          <cell r="M602" t="str">
            <v>ALEXANDRO</v>
          </cell>
        </row>
        <row r="603">
          <cell r="B603">
            <v>5185158</v>
          </cell>
          <cell r="C603" t="str">
            <v>GMO CAFE COMERCIO DE ALIMENTOS LTDA</v>
          </cell>
          <cell r="D603">
            <v>7001</v>
          </cell>
          <cell r="E603" t="str">
            <v>0749</v>
          </cell>
          <cell r="F603" t="str">
            <v>C5</v>
          </cell>
          <cell r="G603" t="str">
            <v>SP</v>
          </cell>
          <cell r="H603" t="str">
            <v>DISTRIBUIÇÃO</v>
          </cell>
          <cell r="I603" t="str">
            <v>FOOD SERVICE</v>
          </cell>
          <cell r="J603" t="str">
            <v>FLAC 3</v>
          </cell>
          <cell r="K603" t="str">
            <v>LACTALIS</v>
          </cell>
          <cell r="L603" t="str">
            <v>RODRIGO</v>
          </cell>
          <cell r="M603" t="str">
            <v>ALEXANDRO</v>
          </cell>
        </row>
        <row r="604">
          <cell r="B604">
            <v>5138388</v>
          </cell>
          <cell r="C604" t="str">
            <v>GOIASMINAS INDUSTRIA DE LATICIN</v>
          </cell>
          <cell r="D604">
            <v>3001</v>
          </cell>
          <cell r="E604" t="str">
            <v>0123</v>
          </cell>
          <cell r="F604" t="str">
            <v>C1</v>
          </cell>
          <cell r="G604" t="str">
            <v>GO</v>
          </cell>
          <cell r="H604" t="str">
            <v>INGREDIENTS</v>
          </cell>
          <cell r="I604" t="str">
            <v>INGREDIENTS</v>
          </cell>
          <cell r="J604" t="str">
            <v>JOEL ELEOTÉRIO</v>
          </cell>
          <cell r="K604" t="str">
            <v>ITAMBÉ</v>
          </cell>
          <cell r="L604" t="str">
            <v>MAURICIO</v>
          </cell>
          <cell r="M604" t="str">
            <v>JOEL</v>
          </cell>
        </row>
        <row r="605">
          <cell r="B605">
            <v>5023870</v>
          </cell>
          <cell r="C605" t="str">
            <v>GOLD INDUSTRIA E COMERCIO LTDA</v>
          </cell>
          <cell r="D605">
            <v>3001</v>
          </cell>
          <cell r="E605" t="str">
            <v>0126</v>
          </cell>
          <cell r="F605" t="str">
            <v>C1</v>
          </cell>
          <cell r="G605" t="str">
            <v>PR</v>
          </cell>
          <cell r="H605" t="str">
            <v>DISTRIBUIÇÃO</v>
          </cell>
          <cell r="I605" t="str">
            <v>FOOD SERVICE</v>
          </cell>
          <cell r="J605" t="str">
            <v>ANTÔNIO SOUZA</v>
          </cell>
          <cell r="K605" t="str">
            <v>ITAMBÉ</v>
          </cell>
          <cell r="L605" t="str">
            <v>RODRIGO</v>
          </cell>
          <cell r="M605" t="str">
            <v>VAGO SUL</v>
          </cell>
        </row>
        <row r="606">
          <cell r="B606">
            <v>5269521</v>
          </cell>
          <cell r="C606" t="str">
            <v>GONCALVES E FREIRE PAES ARTESANAIS</v>
          </cell>
          <cell r="D606">
            <v>7001</v>
          </cell>
          <cell r="E606" t="str">
            <v>0749</v>
          </cell>
          <cell r="F606" t="str">
            <v>C5</v>
          </cell>
          <cell r="G606" t="str">
            <v>SP</v>
          </cell>
          <cell r="H606" t="str">
            <v>DISTRIBUIÇÃO</v>
          </cell>
          <cell r="I606" t="str">
            <v>FOOD SERVICE</v>
          </cell>
          <cell r="J606" t="str">
            <v>FLAC 2</v>
          </cell>
          <cell r="K606" t="str">
            <v>LACTALIS</v>
          </cell>
          <cell r="L606" t="str">
            <v>RODRIGO</v>
          </cell>
          <cell r="M606" t="str">
            <v>ALEXANDRO</v>
          </cell>
        </row>
        <row r="607">
          <cell r="B607">
            <v>5179610</v>
          </cell>
          <cell r="C607" t="str">
            <v>GP EMBALAGENS EIRELI EPP</v>
          </cell>
          <cell r="D607">
            <v>3001</v>
          </cell>
          <cell r="E607" t="str">
            <v>0123</v>
          </cell>
          <cell r="F607" t="str">
            <v>C1</v>
          </cell>
          <cell r="G607" t="str">
            <v>MS</v>
          </cell>
          <cell r="H607" t="str">
            <v>DISTRIBUIÇÃO</v>
          </cell>
          <cell r="I607" t="str">
            <v>FOOD SERVICE</v>
          </cell>
          <cell r="J607" t="str">
            <v>CLAUDIO JORGE</v>
          </cell>
          <cell r="K607" t="str">
            <v>ITAMBÉ</v>
          </cell>
          <cell r="L607" t="str">
            <v>RODRIGO</v>
          </cell>
          <cell r="M607" t="str">
            <v>MARCO AURELIO</v>
          </cell>
        </row>
        <row r="608">
          <cell r="B608">
            <v>5228955</v>
          </cell>
          <cell r="C608" t="str">
            <v>GP SORVETERIA DISTRIBUIDORA LTDA</v>
          </cell>
          <cell r="D608">
            <v>3001</v>
          </cell>
          <cell r="E608" t="str">
            <v>0169</v>
          </cell>
          <cell r="F608" t="str">
            <v>C1</v>
          </cell>
          <cell r="G608" t="str">
            <v>ES</v>
          </cell>
          <cell r="H608" t="str">
            <v>DISTRIBUIÇÃO</v>
          </cell>
          <cell r="I608" t="str">
            <v>FOOD SERVICE</v>
          </cell>
          <cell r="J608" t="str">
            <v>MARCELO DUARTE</v>
          </cell>
          <cell r="K608" t="str">
            <v>ITAMBÉ</v>
          </cell>
          <cell r="L608" t="str">
            <v>RODRIGO</v>
          </cell>
          <cell r="M608" t="str">
            <v>JESSICA</v>
          </cell>
        </row>
        <row r="609">
          <cell r="B609">
            <v>5002086</v>
          </cell>
          <cell r="C609" t="str">
            <v>GR SA</v>
          </cell>
          <cell r="D609">
            <v>3001</v>
          </cell>
          <cell r="E609" t="str">
            <v>0028</v>
          </cell>
          <cell r="F609" t="str">
            <v>C1</v>
          </cell>
          <cell r="G609" t="str">
            <v>MG</v>
          </cell>
          <cell r="H609" t="str">
            <v>QSR</v>
          </cell>
          <cell r="I609" t="str">
            <v>FOOD SERVICE</v>
          </cell>
          <cell r="J609" t="str">
            <v>NUTRI</v>
          </cell>
          <cell r="K609" t="str">
            <v>ITAMBÉ</v>
          </cell>
          <cell r="L609" t="str">
            <v>PEDRO</v>
          </cell>
          <cell r="M609" t="str">
            <v>AMANDA</v>
          </cell>
        </row>
        <row r="610">
          <cell r="B610">
            <v>5008636</v>
          </cell>
          <cell r="C610" t="str">
            <v>GR SERVICOS E ALIMENTACAO LTDA</v>
          </cell>
          <cell r="D610">
            <v>3001</v>
          </cell>
          <cell r="E610" t="str">
            <v>0028</v>
          </cell>
          <cell r="F610" t="str">
            <v>C1</v>
          </cell>
          <cell r="G610" t="str">
            <v>RJ</v>
          </cell>
          <cell r="H610" t="str">
            <v>QSR</v>
          </cell>
          <cell r="I610" t="str">
            <v>FOOD SERVICE</v>
          </cell>
          <cell r="J610" t="str">
            <v>NUTRI</v>
          </cell>
          <cell r="K610" t="str">
            <v>ITAMBÉ</v>
          </cell>
          <cell r="L610" t="str">
            <v>PEDRO</v>
          </cell>
          <cell r="M610" t="str">
            <v>AMANDA</v>
          </cell>
        </row>
        <row r="611">
          <cell r="B611">
            <v>5131661</v>
          </cell>
          <cell r="C611" t="str">
            <v>GR SERVICOS E ALIMENTACAO LTDA</v>
          </cell>
          <cell r="D611">
            <v>3001</v>
          </cell>
          <cell r="E611" t="str">
            <v>0028</v>
          </cell>
          <cell r="F611" t="str">
            <v>C1</v>
          </cell>
          <cell r="G611" t="str">
            <v>RJ</v>
          </cell>
          <cell r="H611" t="str">
            <v>QSR</v>
          </cell>
          <cell r="I611" t="str">
            <v>FOOD SERVICE</v>
          </cell>
          <cell r="J611" t="str">
            <v>NUTRI</v>
          </cell>
          <cell r="K611" t="str">
            <v>ITAMBÉ</v>
          </cell>
          <cell r="L611" t="str">
            <v>PEDRO</v>
          </cell>
          <cell r="M611" t="str">
            <v>AMANDA</v>
          </cell>
        </row>
        <row r="612">
          <cell r="B612">
            <v>5171786</v>
          </cell>
          <cell r="C612" t="str">
            <v>GR SERVICOS E ALIMENTACAO LTDA</v>
          </cell>
          <cell r="D612">
            <v>3001</v>
          </cell>
          <cell r="E612" t="str">
            <v>0028</v>
          </cell>
          <cell r="F612" t="str">
            <v>C1</v>
          </cell>
          <cell r="G612" t="str">
            <v>PR</v>
          </cell>
          <cell r="H612" t="str">
            <v>QSR</v>
          </cell>
          <cell r="I612" t="str">
            <v>FOOD SERVICE</v>
          </cell>
          <cell r="J612" t="str">
            <v>NUTRI</v>
          </cell>
          <cell r="K612" t="str">
            <v>ITAMBÉ</v>
          </cell>
          <cell r="L612" t="str">
            <v>PEDRO</v>
          </cell>
          <cell r="M612" t="str">
            <v>AMANDA</v>
          </cell>
        </row>
        <row r="613">
          <cell r="B613">
            <v>5135612</v>
          </cell>
          <cell r="C613" t="str">
            <v>GR SERVICOS E ALIMENTACAO LTDA</v>
          </cell>
          <cell r="D613">
            <v>3001</v>
          </cell>
          <cell r="E613" t="str">
            <v>0028</v>
          </cell>
          <cell r="F613" t="str">
            <v>C1</v>
          </cell>
          <cell r="G613" t="str">
            <v>DF</v>
          </cell>
          <cell r="H613" t="str">
            <v>QSR</v>
          </cell>
          <cell r="I613" t="str">
            <v>FOOD SERVICE</v>
          </cell>
          <cell r="J613" t="str">
            <v>NUTRI</v>
          </cell>
          <cell r="K613" t="str">
            <v>ITAMBÉ</v>
          </cell>
          <cell r="L613" t="str">
            <v>PEDRO</v>
          </cell>
          <cell r="M613" t="str">
            <v>AMANDA</v>
          </cell>
        </row>
        <row r="614">
          <cell r="B614">
            <v>5129139</v>
          </cell>
          <cell r="C614" t="str">
            <v>GR SERVICOS E ALIMENTACAO LTDA</v>
          </cell>
          <cell r="D614">
            <v>3001</v>
          </cell>
          <cell r="E614" t="str">
            <v>0028</v>
          </cell>
          <cell r="F614" t="str">
            <v>C1</v>
          </cell>
          <cell r="G614" t="str">
            <v>BA</v>
          </cell>
          <cell r="H614" t="str">
            <v>QSR</v>
          </cell>
          <cell r="I614" t="str">
            <v>FOOD SERVICE</v>
          </cell>
          <cell r="J614" t="str">
            <v>NUTRI</v>
          </cell>
          <cell r="K614" t="str">
            <v>ITAMBÉ</v>
          </cell>
          <cell r="L614" t="str">
            <v>PEDRO</v>
          </cell>
          <cell r="M614" t="str">
            <v>AMANDA</v>
          </cell>
        </row>
        <row r="615">
          <cell r="B615">
            <v>5036304</v>
          </cell>
          <cell r="C615" t="str">
            <v>GR SERVICOS E ALIMENTACAO LTDA</v>
          </cell>
          <cell r="D615">
            <v>3001</v>
          </cell>
          <cell r="E615" t="str">
            <v>0028</v>
          </cell>
          <cell r="F615" t="str">
            <v>C1</v>
          </cell>
          <cell r="G615" t="str">
            <v>AM</v>
          </cell>
          <cell r="H615" t="str">
            <v>QSR</v>
          </cell>
          <cell r="I615" t="str">
            <v>FOOD SERVICE</v>
          </cell>
          <cell r="J615" t="str">
            <v>NUTRI</v>
          </cell>
          <cell r="K615" t="str">
            <v>ITAMBÉ</v>
          </cell>
          <cell r="L615" t="str">
            <v>PEDRO</v>
          </cell>
          <cell r="M615" t="str">
            <v>AMANDA</v>
          </cell>
        </row>
        <row r="616">
          <cell r="B616">
            <v>5133254</v>
          </cell>
          <cell r="C616" t="str">
            <v>GR SERVICOS E ALIMENTACAO LTDA</v>
          </cell>
          <cell r="D616">
            <v>3001</v>
          </cell>
          <cell r="E616" t="str">
            <v>0127</v>
          </cell>
          <cell r="F616" t="str">
            <v>C1</v>
          </cell>
          <cell r="G616" t="str">
            <v>PE</v>
          </cell>
          <cell r="H616" t="str">
            <v>QSR</v>
          </cell>
          <cell r="I616" t="str">
            <v>FOOD SERVICE</v>
          </cell>
          <cell r="J616" t="str">
            <v>NUTRI</v>
          </cell>
          <cell r="K616" t="str">
            <v>ITAMBÉ</v>
          </cell>
          <cell r="L616" t="str">
            <v>PEDRO</v>
          </cell>
          <cell r="M616" t="str">
            <v>AMANDA</v>
          </cell>
        </row>
        <row r="617">
          <cell r="B617">
            <v>5008636</v>
          </cell>
          <cell r="C617" t="str">
            <v>GR SERVICOS E ALIMENTACAO LTDA</v>
          </cell>
          <cell r="D617">
            <v>4001</v>
          </cell>
          <cell r="E617" t="str">
            <v>0450</v>
          </cell>
          <cell r="F617" t="str">
            <v>C5</v>
          </cell>
          <cell r="G617" t="str">
            <v>RJ</v>
          </cell>
          <cell r="H617" t="str">
            <v>QSR</v>
          </cell>
          <cell r="I617" t="str">
            <v>FOOD SERVICE</v>
          </cell>
          <cell r="J617" t="str">
            <v>NUTRI</v>
          </cell>
          <cell r="K617" t="str">
            <v>LACTALIS</v>
          </cell>
          <cell r="L617" t="str">
            <v>PEDRO</v>
          </cell>
          <cell r="M617" t="str">
            <v>AMANDA</v>
          </cell>
        </row>
        <row r="618">
          <cell r="B618">
            <v>5171786</v>
          </cell>
          <cell r="C618" t="str">
            <v>GR SERVICOS E ALIMENTACAO LTDA</v>
          </cell>
          <cell r="D618">
            <v>4001</v>
          </cell>
          <cell r="E618" t="str">
            <v>0452</v>
          </cell>
          <cell r="F618" t="str">
            <v>C5</v>
          </cell>
          <cell r="G618" t="str">
            <v>PR</v>
          </cell>
          <cell r="H618" t="str">
            <v>QSR</v>
          </cell>
          <cell r="I618" t="str">
            <v>FOOD SERVICE</v>
          </cell>
          <cell r="J618" t="str">
            <v>NUTRI</v>
          </cell>
          <cell r="K618" t="str">
            <v>LACTALIS</v>
          </cell>
          <cell r="L618" t="str">
            <v>PEDRO</v>
          </cell>
          <cell r="M618" t="str">
            <v>AMANDA</v>
          </cell>
        </row>
        <row r="619">
          <cell r="B619">
            <v>5249172</v>
          </cell>
          <cell r="C619" t="str">
            <v>GRAEX LOJA DE CONVENIENCIA LTDA</v>
          </cell>
          <cell r="D619">
            <v>7001</v>
          </cell>
          <cell r="E619" t="str">
            <v>0749</v>
          </cell>
          <cell r="F619" t="str">
            <v>C5</v>
          </cell>
          <cell r="G619" t="str">
            <v>SP</v>
          </cell>
          <cell r="H619" t="str">
            <v>DISTRIBUIÇÃO</v>
          </cell>
          <cell r="I619" t="str">
            <v>FOOD SERVICE</v>
          </cell>
          <cell r="J619" t="str">
            <v>FLAC 6</v>
          </cell>
          <cell r="K619" t="str">
            <v>LACTALIS</v>
          </cell>
          <cell r="L619" t="str">
            <v>RODRIGO</v>
          </cell>
          <cell r="M619" t="str">
            <v>ALEXANDRO</v>
          </cell>
        </row>
        <row r="620">
          <cell r="B620">
            <v>5224838</v>
          </cell>
          <cell r="C620" t="str">
            <v>GRAMALLA SL</v>
          </cell>
          <cell r="D620">
            <v>3001</v>
          </cell>
          <cell r="E620" t="str">
            <v>0062</v>
          </cell>
          <cell r="F620" t="str">
            <v>C1</v>
          </cell>
          <cell r="G620" t="str">
            <v/>
          </cell>
          <cell r="H620" t="str">
            <v>OUTROS</v>
          </cell>
          <cell r="I620" t="str">
            <v>OUTROS</v>
          </cell>
          <cell r="J620" t="str">
            <v>INTERCOMPANY EXP</v>
          </cell>
          <cell r="K620" t="str">
            <v>OUTROS</v>
          </cell>
          <cell r="L620" t="str">
            <v>OUTROS</v>
          </cell>
          <cell r="M620" t="str">
            <v>INTERCOMPANY</v>
          </cell>
        </row>
        <row r="621">
          <cell r="B621">
            <v>5297860</v>
          </cell>
          <cell r="C621" t="str">
            <v>GRAN SAPORE BR BRASIL S A</v>
          </cell>
          <cell r="D621">
            <v>3001</v>
          </cell>
          <cell r="E621" t="str">
            <v>0028</v>
          </cell>
          <cell r="F621" t="str">
            <v>C1</v>
          </cell>
          <cell r="G621" t="str">
            <v>DF</v>
          </cell>
          <cell r="H621" t="str">
            <v>QSR</v>
          </cell>
          <cell r="I621" t="str">
            <v>FOOD SERVICE</v>
          </cell>
          <cell r="J621" t="str">
            <v>NUTRI</v>
          </cell>
          <cell r="K621" t="str">
            <v>ITAMBÉ</v>
          </cell>
          <cell r="L621" t="str">
            <v>PEDRO</v>
          </cell>
          <cell r="M621" t="str">
            <v>AMANDA</v>
          </cell>
        </row>
        <row r="622">
          <cell r="B622">
            <v>5161553</v>
          </cell>
          <cell r="C622" t="str">
            <v>SAPORE SA</v>
          </cell>
          <cell r="D622">
            <v>4001</v>
          </cell>
          <cell r="E622" t="str">
            <v>0452</v>
          </cell>
          <cell r="F622" t="str">
            <v>C5</v>
          </cell>
          <cell r="G622" t="str">
            <v>PR</v>
          </cell>
          <cell r="H622" t="str">
            <v>QSR</v>
          </cell>
          <cell r="I622" t="str">
            <v>FOOD SERVICE</v>
          </cell>
          <cell r="J622" t="str">
            <v>NUTRI</v>
          </cell>
          <cell r="K622" t="str">
            <v>LACTALIS</v>
          </cell>
          <cell r="L622" t="str">
            <v>PEDRO</v>
          </cell>
          <cell r="M622" t="str">
            <v>AMANDA</v>
          </cell>
        </row>
        <row r="623">
          <cell r="B623">
            <v>5208306</v>
          </cell>
          <cell r="C623" t="str">
            <v>GRAN SAPORE BR BRASIL SA</v>
          </cell>
          <cell r="D623">
            <v>4001</v>
          </cell>
          <cell r="E623" t="str">
            <v>0453</v>
          </cell>
          <cell r="F623" t="str">
            <v>C5</v>
          </cell>
          <cell r="G623" t="str">
            <v>RS</v>
          </cell>
          <cell r="H623" t="str">
            <v>QSR</v>
          </cell>
          <cell r="I623" t="str">
            <v>FOOD SERVICE</v>
          </cell>
          <cell r="J623" t="str">
            <v>NUTRI</v>
          </cell>
          <cell r="K623" t="str">
            <v>LACTALIS</v>
          </cell>
          <cell r="L623" t="str">
            <v>PEDRO</v>
          </cell>
          <cell r="M623" t="str">
            <v>AMANDA</v>
          </cell>
        </row>
        <row r="624">
          <cell r="B624">
            <v>5309001</v>
          </cell>
          <cell r="C624" t="str">
            <v>GRAND FINALE ATELIE DE DOCES</v>
          </cell>
          <cell r="D624">
            <v>7001</v>
          </cell>
          <cell r="E624" t="str">
            <v>0749</v>
          </cell>
          <cell r="F624" t="str">
            <v>C5</v>
          </cell>
          <cell r="G624" t="str">
            <v>SP</v>
          </cell>
          <cell r="H624" t="str">
            <v>DISTRIBUIÇÃO</v>
          </cell>
          <cell r="I624" t="str">
            <v>FOOD SERVICE</v>
          </cell>
          <cell r="J624" t="str">
            <v>FLAC 4</v>
          </cell>
          <cell r="K624" t="str">
            <v>LACTALIS</v>
          </cell>
          <cell r="L624" t="str">
            <v>RODRIGO</v>
          </cell>
          <cell r="M624" t="str">
            <v>ALEXANDRO</v>
          </cell>
        </row>
        <row r="625">
          <cell r="B625">
            <v>5131101</v>
          </cell>
          <cell r="C625" t="str">
            <v>GRANO NICOLETTI COM ALIM LTDA</v>
          </cell>
          <cell r="D625">
            <v>6001</v>
          </cell>
          <cell r="E625" t="str">
            <v>6125</v>
          </cell>
          <cell r="F625" t="str">
            <v>C1</v>
          </cell>
          <cell r="G625" t="str">
            <v>SP</v>
          </cell>
          <cell r="H625" t="str">
            <v>DISTRIBUIÇÃO</v>
          </cell>
          <cell r="I625" t="str">
            <v>FOOD SERVICE</v>
          </cell>
          <cell r="J625" t="str">
            <v>LUCAS ANDRADE</v>
          </cell>
          <cell r="K625" t="str">
            <v>ITAMBÉ</v>
          </cell>
          <cell r="L625" t="str">
            <v>RODRIGO</v>
          </cell>
          <cell r="M625" t="str">
            <v>RAQUEL BARBOSA</v>
          </cell>
        </row>
        <row r="626">
          <cell r="B626">
            <v>5252814</v>
          </cell>
          <cell r="C626" t="str">
            <v>GREMIO RECREATIVOFORMTAP</v>
          </cell>
          <cell r="D626">
            <v>7001</v>
          </cell>
          <cell r="E626" t="str">
            <v>0749</v>
          </cell>
          <cell r="F626" t="str">
            <v>C5</v>
          </cell>
          <cell r="G626" t="str">
            <v>SP</v>
          </cell>
          <cell r="H626" t="str">
            <v>DISTRIBUIÇÃO</v>
          </cell>
          <cell r="I626" t="str">
            <v>FOOD SERVICE</v>
          </cell>
          <cell r="J626" t="str">
            <v>FLAC 3</v>
          </cell>
          <cell r="K626" t="str">
            <v>LACTALIS</v>
          </cell>
          <cell r="L626" t="str">
            <v>RODRIGO</v>
          </cell>
          <cell r="M626" t="str">
            <v>ALEXANDRO</v>
          </cell>
        </row>
        <row r="627">
          <cell r="B627">
            <v>5270158</v>
          </cell>
          <cell r="C627" t="str">
            <v>GRESPANETTO COMERCIO DE ALIMENTOS L</v>
          </cell>
          <cell r="D627">
            <v>7001</v>
          </cell>
          <cell r="E627" t="str">
            <v>0749</v>
          </cell>
          <cell r="F627" t="str">
            <v>C5</v>
          </cell>
          <cell r="G627" t="str">
            <v>SP</v>
          </cell>
          <cell r="H627" t="str">
            <v>DISTRIBUIÇÃO</v>
          </cell>
          <cell r="I627" t="str">
            <v>FOOD SERVICE</v>
          </cell>
          <cell r="J627" t="str">
            <v>FLAC 3</v>
          </cell>
          <cell r="K627" t="str">
            <v>LACTALIS</v>
          </cell>
          <cell r="L627" t="str">
            <v>RODRIGO</v>
          </cell>
          <cell r="M627" t="str">
            <v>ALEXANDRO</v>
          </cell>
        </row>
        <row r="628">
          <cell r="B628">
            <v>5339184</v>
          </cell>
          <cell r="C628" t="str">
            <v>GRIFFOOD BRASIL ALIM S A</v>
          </cell>
          <cell r="D628">
            <v>4001</v>
          </cell>
          <cell r="E628" t="str">
            <v>0437</v>
          </cell>
          <cell r="F628" t="str">
            <v>C1</v>
          </cell>
          <cell r="G628" t="str">
            <v>SP</v>
          </cell>
          <cell r="H628" t="str">
            <v>INGREDIENTS</v>
          </cell>
          <cell r="I628" t="str">
            <v>INGREDIENTS</v>
          </cell>
          <cell r="J628" t="str">
            <v>JOEL ELEOTÉRIO</v>
          </cell>
          <cell r="K628" t="str">
            <v>LACTALIS</v>
          </cell>
          <cell r="L628" t="str">
            <v>MAURICIO</v>
          </cell>
          <cell r="M628" t="str">
            <v>JOEL</v>
          </cell>
        </row>
        <row r="629">
          <cell r="B629">
            <v>5272670</v>
          </cell>
          <cell r="C629" t="str">
            <v>GROSELHA COMERCIO DE ALIM EIRELI</v>
          </cell>
          <cell r="D629">
            <v>7001</v>
          </cell>
          <cell r="E629" t="str">
            <v>0749</v>
          </cell>
          <cell r="F629" t="str">
            <v>C5</v>
          </cell>
          <cell r="G629" t="str">
            <v>SP</v>
          </cell>
          <cell r="H629" t="str">
            <v>DISTRIBUIÇÃO</v>
          </cell>
          <cell r="I629" t="str">
            <v>FOOD SERVICE</v>
          </cell>
          <cell r="J629" t="str">
            <v>FLAC 6</v>
          </cell>
          <cell r="K629" t="str">
            <v>LACTALIS</v>
          </cell>
          <cell r="L629" t="str">
            <v>RODRIGO</v>
          </cell>
          <cell r="M629" t="str">
            <v>ALEXANDRO</v>
          </cell>
        </row>
        <row r="630">
          <cell r="B630">
            <v>5256512</v>
          </cell>
          <cell r="C630" t="str">
            <v>GU LANCHONETE LTDA ME</v>
          </cell>
          <cell r="D630">
            <v>7001</v>
          </cell>
          <cell r="E630" t="str">
            <v>0749</v>
          </cell>
          <cell r="F630" t="str">
            <v>C5</v>
          </cell>
          <cell r="G630" t="str">
            <v>SP</v>
          </cell>
          <cell r="H630" t="str">
            <v>DISTRIBUIÇÃO</v>
          </cell>
          <cell r="I630" t="str">
            <v>FOOD SERVICE</v>
          </cell>
          <cell r="J630" t="str">
            <v>FLAC 3</v>
          </cell>
          <cell r="K630" t="str">
            <v>LACTALIS</v>
          </cell>
          <cell r="L630" t="str">
            <v>RODRIGO</v>
          </cell>
          <cell r="M630" t="str">
            <v>ALEXANDRO</v>
          </cell>
        </row>
        <row r="631">
          <cell r="B631">
            <v>5307426</v>
          </cell>
          <cell r="C631" t="str">
            <v>GUARUJA MOTEL LTDA</v>
          </cell>
          <cell r="D631">
            <v>7001</v>
          </cell>
          <cell r="E631" t="str">
            <v>0749</v>
          </cell>
          <cell r="F631" t="str">
            <v>C5</v>
          </cell>
          <cell r="G631" t="str">
            <v>SP</v>
          </cell>
          <cell r="H631" t="str">
            <v>DISTRIBUIÇÃO</v>
          </cell>
          <cell r="I631" t="str">
            <v>FOOD SERVICE</v>
          </cell>
          <cell r="J631" t="str">
            <v>FLAC 6</v>
          </cell>
          <cell r="K631" t="str">
            <v>LACTALIS</v>
          </cell>
          <cell r="L631" t="str">
            <v>RODRIGO</v>
          </cell>
          <cell r="M631" t="str">
            <v>ALEXANDRO</v>
          </cell>
        </row>
        <row r="632">
          <cell r="B632">
            <v>5197746</v>
          </cell>
          <cell r="C632" t="str">
            <v>GUILATO FAB E COM SORV EIRELI ME</v>
          </cell>
          <cell r="D632">
            <v>3001</v>
          </cell>
          <cell r="E632" t="str">
            <v>0127</v>
          </cell>
          <cell r="F632" t="str">
            <v>C1</v>
          </cell>
          <cell r="G632" t="str">
            <v>CE</v>
          </cell>
          <cell r="H632" t="str">
            <v>DISTRIBUIÇÃO</v>
          </cell>
          <cell r="I632" t="str">
            <v>FOOD SERVICE</v>
          </cell>
          <cell r="J632" t="str">
            <v>WH FOOD SERVICE CE</v>
          </cell>
          <cell r="K632" t="str">
            <v>ITAMBÉ</v>
          </cell>
          <cell r="L632" t="str">
            <v>RODRIGO</v>
          </cell>
          <cell r="M632" t="str">
            <v>VAGO NORDESTE</v>
          </cell>
        </row>
        <row r="633">
          <cell r="B633">
            <v>5200068</v>
          </cell>
          <cell r="C633" t="str">
            <v>GULA COM DE REF E BEB LTDA</v>
          </cell>
          <cell r="D633">
            <v>3001</v>
          </cell>
          <cell r="E633" t="str">
            <v>0127</v>
          </cell>
          <cell r="F633" t="str">
            <v>C1</v>
          </cell>
          <cell r="G633" t="str">
            <v>CE</v>
          </cell>
          <cell r="H633" t="str">
            <v>DISTRIBUIÇÃO</v>
          </cell>
          <cell r="I633" t="str">
            <v>FOOD SERVICE</v>
          </cell>
          <cell r="J633" t="str">
            <v>WH FOOD SERVICE CE</v>
          </cell>
          <cell r="K633" t="str">
            <v>ITAMBÉ</v>
          </cell>
          <cell r="L633" t="str">
            <v>RODRIGO</v>
          </cell>
          <cell r="M633" t="str">
            <v>VAGO NORDESTE</v>
          </cell>
        </row>
        <row r="634">
          <cell r="B634">
            <v>5194018</v>
          </cell>
          <cell r="C634" t="str">
            <v>GURIRI EMBALAGENS LTDA ME</v>
          </cell>
          <cell r="D634">
            <v>3001</v>
          </cell>
          <cell r="E634" t="str">
            <v>0169</v>
          </cell>
          <cell r="F634" t="str">
            <v>C1</v>
          </cell>
          <cell r="G634" t="str">
            <v>ES</v>
          </cell>
          <cell r="H634" t="str">
            <v>DISTRIBUIÇÃO</v>
          </cell>
          <cell r="I634" t="str">
            <v>FOOD SERVICE</v>
          </cell>
          <cell r="J634" t="str">
            <v>MARCELO DUARTE</v>
          </cell>
          <cell r="K634" t="str">
            <v>ITAMBÉ</v>
          </cell>
          <cell r="L634" t="str">
            <v>RODRIGO</v>
          </cell>
          <cell r="M634" t="str">
            <v>JESSICA</v>
          </cell>
        </row>
        <row r="635">
          <cell r="B635">
            <v>5318719</v>
          </cell>
          <cell r="C635" t="str">
            <v>GW BOLOS E DOCES LTDA</v>
          </cell>
          <cell r="D635">
            <v>7001</v>
          </cell>
          <cell r="E635" t="str">
            <v>0749</v>
          </cell>
          <cell r="F635" t="str">
            <v>C5</v>
          </cell>
          <cell r="G635" t="str">
            <v>SP</v>
          </cell>
          <cell r="H635" t="str">
            <v>DISTRIBUIÇÃO</v>
          </cell>
          <cell r="I635" t="str">
            <v>FOOD SERVICE</v>
          </cell>
          <cell r="J635" t="str">
            <v>FLAC 6</v>
          </cell>
          <cell r="K635" t="str">
            <v>LACTALIS</v>
          </cell>
          <cell r="L635" t="str">
            <v>RODRIGO</v>
          </cell>
          <cell r="M635" t="str">
            <v>ALEXANDRO</v>
          </cell>
        </row>
        <row r="636">
          <cell r="B636">
            <v>5263054</v>
          </cell>
          <cell r="C636" t="str">
            <v>H G DE CAMPOS CARDOSO ME</v>
          </cell>
          <cell r="D636">
            <v>7001</v>
          </cell>
          <cell r="E636" t="str">
            <v>0749</v>
          </cell>
          <cell r="F636" t="str">
            <v>C5</v>
          </cell>
          <cell r="G636" t="str">
            <v>SP</v>
          </cell>
          <cell r="H636" t="str">
            <v>QSR</v>
          </cell>
          <cell r="I636" t="str">
            <v>FOOD SERVICE</v>
          </cell>
          <cell r="J636" t="str">
            <v>NUTRI</v>
          </cell>
          <cell r="K636" t="str">
            <v>LACTALIS</v>
          </cell>
          <cell r="L636" t="str">
            <v>PEDRO</v>
          </cell>
          <cell r="M636" t="str">
            <v>AMANDA</v>
          </cell>
        </row>
        <row r="637">
          <cell r="B637">
            <v>5139324</v>
          </cell>
          <cell r="C637" t="str">
            <v>H P EMABALAGENS LTDA ME</v>
          </cell>
          <cell r="D637">
            <v>3001</v>
          </cell>
          <cell r="E637" t="str">
            <v>0169</v>
          </cell>
          <cell r="F637" t="str">
            <v>C1</v>
          </cell>
          <cell r="G637" t="str">
            <v>ES</v>
          </cell>
          <cell r="H637" t="str">
            <v>INGREDIENTS</v>
          </cell>
          <cell r="I637" t="str">
            <v>INGREDIENTS</v>
          </cell>
          <cell r="J637" t="str">
            <v>DUAS RODAS</v>
          </cell>
          <cell r="K637" t="str">
            <v>ITAMBÉ</v>
          </cell>
          <cell r="L637" t="str">
            <v>MAURICIO</v>
          </cell>
          <cell r="M637" t="str">
            <v>TATIANA NITTA</v>
          </cell>
        </row>
        <row r="638">
          <cell r="B638">
            <v>5265966</v>
          </cell>
          <cell r="C638" t="str">
            <v>HACHI CREPE E CAFE LTDA</v>
          </cell>
          <cell r="D638">
            <v>7001</v>
          </cell>
          <cell r="E638" t="str">
            <v>0749</v>
          </cell>
          <cell r="F638" t="str">
            <v>C5</v>
          </cell>
          <cell r="G638" t="str">
            <v>SP</v>
          </cell>
          <cell r="H638" t="str">
            <v>DISTRIBUIÇÃO</v>
          </cell>
          <cell r="I638" t="str">
            <v>FOOD SERVICE</v>
          </cell>
          <cell r="J638" t="str">
            <v>FLAC 3</v>
          </cell>
          <cell r="K638" t="str">
            <v>LACTALIS</v>
          </cell>
          <cell r="L638" t="str">
            <v>RODRIGO</v>
          </cell>
          <cell r="M638" t="str">
            <v>ALEXANDRO</v>
          </cell>
        </row>
        <row r="639">
          <cell r="B639">
            <v>5339231</v>
          </cell>
          <cell r="C639" t="str">
            <v>HAKKO PAD E COM DE ALI E BEB LT</v>
          </cell>
          <cell r="D639">
            <v>7001</v>
          </cell>
          <cell r="E639" t="str">
            <v>0749</v>
          </cell>
          <cell r="F639" t="str">
            <v>C5</v>
          </cell>
          <cell r="G639" t="str">
            <v>SP</v>
          </cell>
          <cell r="H639" t="str">
            <v>DISTRIBUIÇÃO</v>
          </cell>
          <cell r="I639" t="str">
            <v>FOOD SERVICE</v>
          </cell>
          <cell r="J639" t="str">
            <v>FLAC 4</v>
          </cell>
          <cell r="K639" t="str">
            <v>LACTALIS</v>
          </cell>
          <cell r="L639" t="str">
            <v>RODRIGO</v>
          </cell>
          <cell r="M639" t="str">
            <v>ALEXANDRO</v>
          </cell>
        </row>
        <row r="640">
          <cell r="B640">
            <v>5211888</v>
          </cell>
          <cell r="C640" t="str">
            <v>HAPPY FROST COMERCIO DE PRODUTOS LT</v>
          </cell>
          <cell r="D640">
            <v>3001</v>
          </cell>
          <cell r="E640" t="str">
            <v>0126</v>
          </cell>
          <cell r="F640" t="str">
            <v>C1</v>
          </cell>
          <cell r="G640" t="str">
            <v>PR</v>
          </cell>
          <cell r="H640" t="str">
            <v>INGREDIENTS</v>
          </cell>
          <cell r="I640" t="str">
            <v>INGREDIENTS</v>
          </cell>
          <cell r="J640" t="str">
            <v>MARCELO RODRIGUES</v>
          </cell>
          <cell r="K640" t="str">
            <v>ITAMBÉ</v>
          </cell>
          <cell r="L640" t="str">
            <v>MAURICIO</v>
          </cell>
          <cell r="M640" t="str">
            <v>MARCELO</v>
          </cell>
        </row>
        <row r="641">
          <cell r="B641">
            <v>5201973</v>
          </cell>
          <cell r="C641" t="str">
            <v>HARUS COM VAREJ DE COSM LTDA</v>
          </cell>
          <cell r="D641">
            <v>3001</v>
          </cell>
          <cell r="E641" t="str">
            <v>0127</v>
          </cell>
          <cell r="F641" t="str">
            <v>C1</v>
          </cell>
          <cell r="G641" t="str">
            <v>CE</v>
          </cell>
          <cell r="H641" t="str">
            <v>DISTRIBUIÇÃO</v>
          </cell>
          <cell r="I641" t="str">
            <v>FOOD SERVICE</v>
          </cell>
          <cell r="J641" t="str">
            <v>WH FOOD SERVICE CE</v>
          </cell>
          <cell r="K641" t="str">
            <v>ITAMBÉ</v>
          </cell>
          <cell r="L641" t="str">
            <v>RODRIGO</v>
          </cell>
          <cell r="M641" t="str">
            <v>VAGO NORDESTE</v>
          </cell>
        </row>
        <row r="642">
          <cell r="B642">
            <v>5226476</v>
          </cell>
          <cell r="C642" t="str">
            <v>HARUS FOOD BAHIA LTDA</v>
          </cell>
          <cell r="D642">
            <v>3001</v>
          </cell>
          <cell r="E642" t="str">
            <v>0127</v>
          </cell>
          <cell r="F642" t="str">
            <v>C1</v>
          </cell>
          <cell r="G642" t="str">
            <v>BA</v>
          </cell>
          <cell r="H642" t="str">
            <v>DISTRIBUIÇÃO</v>
          </cell>
          <cell r="I642" t="str">
            <v>FOOD SERVICE</v>
          </cell>
          <cell r="J642" t="str">
            <v xml:space="preserve">KARIS FOOD / LUIZ </v>
          </cell>
          <cell r="K642" t="str">
            <v>ITAMBÉ</v>
          </cell>
          <cell r="L642" t="str">
            <v>RODRIGO</v>
          </cell>
          <cell r="M642" t="str">
            <v>VAGO NORDESTE</v>
          </cell>
        </row>
        <row r="643">
          <cell r="B643">
            <v>5213484</v>
          </cell>
          <cell r="C643" t="str">
            <v>HAVANA COMERCIO DE BEBIDAS LTDA</v>
          </cell>
          <cell r="D643">
            <v>6001</v>
          </cell>
          <cell r="E643" t="str">
            <v>6125</v>
          </cell>
          <cell r="F643" t="str">
            <v>C1</v>
          </cell>
          <cell r="G643" t="str">
            <v>SP</v>
          </cell>
          <cell r="H643" t="str">
            <v>DISTRIBUIÇÃO</v>
          </cell>
          <cell r="I643" t="str">
            <v>FOOD SERVICE</v>
          </cell>
          <cell r="J643" t="str">
            <v>EMMANUEL FRANCISCO</v>
          </cell>
          <cell r="K643" t="str">
            <v>ITAMBÉ</v>
          </cell>
          <cell r="L643" t="str">
            <v>RODRIGO</v>
          </cell>
          <cell r="M643" t="str">
            <v>ALEXANDRO</v>
          </cell>
        </row>
        <row r="644">
          <cell r="B644">
            <v>5223799</v>
          </cell>
          <cell r="C644" t="str">
            <v>HBR 33 INVESTIMENTOS IMOBILIARIOS L</v>
          </cell>
          <cell r="D644">
            <v>7001</v>
          </cell>
          <cell r="E644" t="str">
            <v>0749</v>
          </cell>
          <cell r="F644" t="str">
            <v>C5</v>
          </cell>
          <cell r="G644" t="str">
            <v>SP</v>
          </cell>
          <cell r="H644" t="str">
            <v>DISTRIBUIÇÃO</v>
          </cell>
          <cell r="I644" t="str">
            <v>FOOD SERVICE</v>
          </cell>
          <cell r="J644" t="str">
            <v>FLAC 5</v>
          </cell>
          <cell r="K644" t="str">
            <v>LACTALIS</v>
          </cell>
          <cell r="L644" t="str">
            <v>RODRIGO</v>
          </cell>
          <cell r="M644" t="str">
            <v>ALEXANDRO</v>
          </cell>
        </row>
        <row r="645">
          <cell r="B645">
            <v>5164717</v>
          </cell>
          <cell r="C645" t="str">
            <v>HENDUPAN COM DE PROD CON LTDA</v>
          </cell>
          <cell r="D645">
            <v>6001</v>
          </cell>
          <cell r="E645" t="str">
            <v>6125</v>
          </cell>
          <cell r="F645" t="str">
            <v>C1</v>
          </cell>
          <cell r="G645" t="str">
            <v>SP</v>
          </cell>
          <cell r="H645" t="str">
            <v>DISTRIBUIÇÃO</v>
          </cell>
          <cell r="I645" t="str">
            <v>FOOD SERVICE</v>
          </cell>
          <cell r="J645" t="str">
            <v>GUILHERME NASCIMENTO</v>
          </cell>
          <cell r="K645" t="str">
            <v>ITAMBÉ</v>
          </cell>
          <cell r="L645" t="str">
            <v>RODRIGO</v>
          </cell>
          <cell r="M645" t="str">
            <v>ALEXANDRO</v>
          </cell>
        </row>
        <row r="646">
          <cell r="B646">
            <v>5263976</v>
          </cell>
          <cell r="C646" t="str">
            <v>HENRI S CREPERIA ARTESANAL EIRELI M</v>
          </cell>
          <cell r="D646">
            <v>7001</v>
          </cell>
          <cell r="E646" t="str">
            <v>0749</v>
          </cell>
          <cell r="F646" t="str">
            <v>C5</v>
          </cell>
          <cell r="G646" t="str">
            <v>SP</v>
          </cell>
          <cell r="H646" t="str">
            <v>DISTRIBUIÇÃO</v>
          </cell>
          <cell r="I646" t="str">
            <v>FOOD SERVICE</v>
          </cell>
          <cell r="J646" t="str">
            <v>FLAC 3</v>
          </cell>
          <cell r="K646" t="str">
            <v>LACTALIS</v>
          </cell>
          <cell r="L646" t="str">
            <v>RODRIGO</v>
          </cell>
          <cell r="M646" t="str">
            <v>ALEXANDRO</v>
          </cell>
        </row>
        <row r="647">
          <cell r="B647">
            <v>5224404</v>
          </cell>
          <cell r="C647" t="str">
            <v>HJA DISTRIBUIDORA E ATACADISTA LTDA</v>
          </cell>
          <cell r="D647">
            <v>3001</v>
          </cell>
          <cell r="E647" t="str">
            <v>0122</v>
          </cell>
          <cell r="F647" t="str">
            <v>C1</v>
          </cell>
          <cell r="G647" t="str">
            <v>MG</v>
          </cell>
          <cell r="H647" t="str">
            <v>DISTRIBUIÇÃO</v>
          </cell>
          <cell r="I647" t="str">
            <v>FOOD SERVICE</v>
          </cell>
          <cell r="J647" t="str">
            <v>MARCELO SILVA</v>
          </cell>
          <cell r="K647" t="str">
            <v>ITAMBÉ</v>
          </cell>
          <cell r="L647" t="str">
            <v>RODRIGO</v>
          </cell>
          <cell r="M647" t="str">
            <v>CELIO MARTINS</v>
          </cell>
        </row>
        <row r="648">
          <cell r="B648">
            <v>5317592</v>
          </cell>
          <cell r="C648" t="str">
            <v>HM REFEICAO CORPORATIVA LTDA</v>
          </cell>
          <cell r="D648">
            <v>7001</v>
          </cell>
          <cell r="E648" t="str">
            <v>0749</v>
          </cell>
          <cell r="F648" t="str">
            <v>C5</v>
          </cell>
          <cell r="G648" t="str">
            <v>SP</v>
          </cell>
          <cell r="H648" t="str">
            <v>QSR</v>
          </cell>
          <cell r="I648" t="str">
            <v>FOOD SERVICE</v>
          </cell>
          <cell r="J648" t="str">
            <v>NUTRI</v>
          </cell>
          <cell r="K648" t="str">
            <v>LACTALIS</v>
          </cell>
          <cell r="L648" t="str">
            <v>PEDRO</v>
          </cell>
          <cell r="M648" t="str">
            <v>AMANDA</v>
          </cell>
        </row>
        <row r="649">
          <cell r="B649">
            <v>5322114</v>
          </cell>
          <cell r="C649" t="str">
            <v>HMFOOD CAFE LTDA</v>
          </cell>
          <cell r="D649">
            <v>7001</v>
          </cell>
          <cell r="E649" t="str">
            <v>0749</v>
          </cell>
          <cell r="F649" t="str">
            <v>C5</v>
          </cell>
          <cell r="G649" t="str">
            <v>SP</v>
          </cell>
          <cell r="H649" t="str">
            <v>DISTRIBUIÇÃO</v>
          </cell>
          <cell r="I649" t="str">
            <v>FOOD SERVICE</v>
          </cell>
          <cell r="J649" t="str">
            <v>FLAC 4</v>
          </cell>
          <cell r="K649" t="str">
            <v>LACTALIS</v>
          </cell>
          <cell r="L649" t="str">
            <v>RODRIGO</v>
          </cell>
          <cell r="M649" t="str">
            <v>ALEXANDRO</v>
          </cell>
        </row>
        <row r="650">
          <cell r="B650">
            <v>5262549</v>
          </cell>
          <cell r="C650" t="str">
            <v>HOKKAIDO COMERCIO DE ALIMENTOS LTDA</v>
          </cell>
          <cell r="D650">
            <v>7001</v>
          </cell>
          <cell r="E650" t="str">
            <v>0749</v>
          </cell>
          <cell r="F650" t="str">
            <v>C5</v>
          </cell>
          <cell r="G650" t="str">
            <v>SP</v>
          </cell>
          <cell r="H650" t="str">
            <v>DISTRIBUIÇÃO</v>
          </cell>
          <cell r="I650" t="str">
            <v>FOOD SERVICE</v>
          </cell>
          <cell r="J650" t="str">
            <v>FLAC 3</v>
          </cell>
          <cell r="K650" t="str">
            <v>LACTALIS</v>
          </cell>
          <cell r="L650" t="str">
            <v>RODRIGO</v>
          </cell>
          <cell r="M650" t="str">
            <v>ALEXANDRO</v>
          </cell>
        </row>
        <row r="651">
          <cell r="B651">
            <v>5226643</v>
          </cell>
          <cell r="C651" t="str">
            <v>HOSPITAL MATER DEI SA</v>
          </cell>
          <cell r="D651">
            <v>3001</v>
          </cell>
          <cell r="E651" t="str">
            <v>0127</v>
          </cell>
          <cell r="F651" t="str">
            <v>C1</v>
          </cell>
          <cell r="G651" t="str">
            <v>BA</v>
          </cell>
          <cell r="H651" t="str">
            <v>DISTRIBUIÇÃO</v>
          </cell>
          <cell r="I651" t="str">
            <v>FOOD SERVICE</v>
          </cell>
          <cell r="J651" t="str">
            <v xml:space="preserve">KARIS FOOD / LUIZ </v>
          </cell>
          <cell r="K651" t="str">
            <v>ITAMBÉ</v>
          </cell>
          <cell r="L651" t="str">
            <v>RODRIGO</v>
          </cell>
          <cell r="M651" t="str">
            <v>VAGO NORDESTE</v>
          </cell>
        </row>
        <row r="652">
          <cell r="B652">
            <v>5316375</v>
          </cell>
          <cell r="C652" t="str">
            <v>HOTEL DOWNTOWN SAO PAULO LTDA</v>
          </cell>
          <cell r="D652">
            <v>7001</v>
          </cell>
          <cell r="E652" t="str">
            <v>0749</v>
          </cell>
          <cell r="F652" t="str">
            <v>C5</v>
          </cell>
          <cell r="G652" t="str">
            <v>SP</v>
          </cell>
          <cell r="H652" t="str">
            <v>DISTRIBUIÇÃO</v>
          </cell>
          <cell r="I652" t="str">
            <v>FOOD SERVICE</v>
          </cell>
          <cell r="J652" t="str">
            <v>FLAC 3</v>
          </cell>
          <cell r="K652" t="str">
            <v>LACTALIS</v>
          </cell>
          <cell r="L652" t="str">
            <v>RODRIGO</v>
          </cell>
          <cell r="M652" t="str">
            <v>ALEXANDRO</v>
          </cell>
        </row>
        <row r="653">
          <cell r="B653">
            <v>5263271</v>
          </cell>
          <cell r="C653" t="str">
            <v>HOTEL E RESTAURANTE WZ JARDINS 1 LT</v>
          </cell>
          <cell r="D653">
            <v>7001</v>
          </cell>
          <cell r="E653" t="str">
            <v>0749</v>
          </cell>
          <cell r="F653" t="str">
            <v>C5</v>
          </cell>
          <cell r="G653" t="str">
            <v>SP</v>
          </cell>
          <cell r="H653" t="str">
            <v>DISTRIBUIÇÃO</v>
          </cell>
          <cell r="I653" t="str">
            <v>FOOD SERVICE</v>
          </cell>
          <cell r="J653" t="str">
            <v>FLAC 4</v>
          </cell>
          <cell r="K653" t="str">
            <v>LACTALIS</v>
          </cell>
          <cell r="L653" t="str">
            <v>RODRIGO</v>
          </cell>
          <cell r="M653" t="str">
            <v>ALEXANDRO</v>
          </cell>
        </row>
        <row r="654">
          <cell r="B654">
            <v>5002471</v>
          </cell>
          <cell r="C654" t="str">
            <v>HOTEL GRAN CORONA LTDA</v>
          </cell>
          <cell r="D654">
            <v>7001</v>
          </cell>
          <cell r="E654" t="str">
            <v>0749</v>
          </cell>
          <cell r="F654" t="str">
            <v>C5</v>
          </cell>
          <cell r="G654" t="str">
            <v>SP</v>
          </cell>
          <cell r="H654" t="str">
            <v>DISTRIBUIÇÃO</v>
          </cell>
          <cell r="I654" t="str">
            <v>FOOD SERVICE</v>
          </cell>
          <cell r="J654" t="str">
            <v>FLAC 5</v>
          </cell>
          <cell r="K654" t="str">
            <v>LACTALIS</v>
          </cell>
          <cell r="L654" t="str">
            <v>RODRIGO</v>
          </cell>
          <cell r="M654" t="str">
            <v>ALEXANDRO</v>
          </cell>
        </row>
        <row r="655">
          <cell r="B655">
            <v>5336921</v>
          </cell>
          <cell r="C655" t="str">
            <v>HOTEL INTERNACIONAL GUARULHOS L</v>
          </cell>
          <cell r="D655">
            <v>7001</v>
          </cell>
          <cell r="E655" t="str">
            <v>0749</v>
          </cell>
          <cell r="F655" t="str">
            <v>C5</v>
          </cell>
          <cell r="G655" t="str">
            <v>SP</v>
          </cell>
          <cell r="H655" t="str">
            <v>DISTRIBUIÇÃO</v>
          </cell>
          <cell r="I655" t="str">
            <v>FOOD SERVICE</v>
          </cell>
          <cell r="J655" t="str">
            <v>FLAC 5</v>
          </cell>
          <cell r="K655" t="str">
            <v>LACTALIS</v>
          </cell>
          <cell r="L655" t="str">
            <v>RODRIGO</v>
          </cell>
          <cell r="M655" t="str">
            <v>ALEXANDRO</v>
          </cell>
        </row>
        <row r="656">
          <cell r="B656">
            <v>5324423</v>
          </cell>
          <cell r="C656" t="str">
            <v>HOTEL MONREALE GUARULHOS LTDA</v>
          </cell>
          <cell r="D656">
            <v>7001</v>
          </cell>
          <cell r="E656" t="str">
            <v>0749</v>
          </cell>
          <cell r="F656" t="str">
            <v>C5</v>
          </cell>
          <cell r="G656" t="str">
            <v>SP</v>
          </cell>
          <cell r="H656" t="str">
            <v>DISTRIBUIÇÃO</v>
          </cell>
          <cell r="I656" t="str">
            <v>FOOD SERVICE</v>
          </cell>
          <cell r="J656" t="str">
            <v>FLAC 3</v>
          </cell>
          <cell r="K656" t="str">
            <v>LACTALIS</v>
          </cell>
          <cell r="L656" t="str">
            <v>RODRIGO</v>
          </cell>
          <cell r="M656" t="str">
            <v>ALEXANDRO</v>
          </cell>
        </row>
        <row r="657">
          <cell r="B657">
            <v>5330147</v>
          </cell>
          <cell r="C657" t="str">
            <v>HOTEL NACIONAL DUTRA LTDA</v>
          </cell>
          <cell r="D657">
            <v>7001</v>
          </cell>
          <cell r="E657" t="str">
            <v>0749</v>
          </cell>
          <cell r="F657" t="str">
            <v>C5</v>
          </cell>
          <cell r="G657" t="str">
            <v>SP</v>
          </cell>
          <cell r="H657" t="str">
            <v>DISTRIBUIÇÃO</v>
          </cell>
          <cell r="I657" t="str">
            <v>FOOD SERVICE</v>
          </cell>
          <cell r="J657" t="str">
            <v>FLAC 7</v>
          </cell>
          <cell r="K657" t="str">
            <v>LACTALIS</v>
          </cell>
          <cell r="L657" t="str">
            <v>RODRIGO</v>
          </cell>
          <cell r="M657" t="str">
            <v>ALEXANDRO</v>
          </cell>
        </row>
        <row r="658">
          <cell r="B658">
            <v>5020555</v>
          </cell>
          <cell r="C658" t="str">
            <v>HOTEL NACIONAL INN BH LTDA</v>
          </cell>
          <cell r="D658">
            <v>3001</v>
          </cell>
          <cell r="E658" t="str">
            <v>0122</v>
          </cell>
          <cell r="F658" t="str">
            <v>C1</v>
          </cell>
          <cell r="G658" t="str">
            <v>MG</v>
          </cell>
          <cell r="H658" t="str">
            <v>DISTRIBUIÇÃO</v>
          </cell>
          <cell r="I658" t="str">
            <v>FOOD SERVICE</v>
          </cell>
          <cell r="J658" t="str">
            <v>MARCELO SILVA</v>
          </cell>
          <cell r="K658" t="str">
            <v>ITAMBÉ</v>
          </cell>
          <cell r="L658" t="str">
            <v>RODRIGO</v>
          </cell>
          <cell r="M658" t="str">
            <v>CELIO MARTINS</v>
          </cell>
        </row>
        <row r="659">
          <cell r="B659">
            <v>5247932</v>
          </cell>
          <cell r="C659" t="str">
            <v>HOTEL PANAMBY LTDA</v>
          </cell>
          <cell r="D659">
            <v>7001</v>
          </cell>
          <cell r="E659" t="str">
            <v>0749</v>
          </cell>
          <cell r="F659" t="str">
            <v>C5</v>
          </cell>
          <cell r="G659" t="str">
            <v>SP</v>
          </cell>
          <cell r="H659" t="str">
            <v>DISTRIBUIÇÃO</v>
          </cell>
          <cell r="I659" t="str">
            <v>FOOD SERVICE</v>
          </cell>
          <cell r="J659" t="str">
            <v>FLAC 3</v>
          </cell>
          <cell r="K659" t="str">
            <v>LACTALIS</v>
          </cell>
          <cell r="L659" t="str">
            <v>RODRIGO</v>
          </cell>
          <cell r="M659" t="str">
            <v>ALEXANDRO</v>
          </cell>
        </row>
        <row r="660">
          <cell r="B660">
            <v>5285369</v>
          </cell>
          <cell r="C660" t="str">
            <v>HOTEL ROJAS LTDA ME</v>
          </cell>
          <cell r="D660">
            <v>7001</v>
          </cell>
          <cell r="E660" t="str">
            <v>0749</v>
          </cell>
          <cell r="F660" t="str">
            <v>C5</v>
          </cell>
          <cell r="G660" t="str">
            <v>SP</v>
          </cell>
          <cell r="H660" t="str">
            <v>DISTRIBUIÇÃO</v>
          </cell>
          <cell r="I660" t="str">
            <v>FOOD SERVICE</v>
          </cell>
          <cell r="J660" t="str">
            <v>FLAC 6</v>
          </cell>
          <cell r="K660" t="str">
            <v>LACTALIS</v>
          </cell>
          <cell r="L660" t="str">
            <v>RODRIGO</v>
          </cell>
          <cell r="M660" t="str">
            <v>ALEXANDRO</v>
          </cell>
        </row>
        <row r="661">
          <cell r="B661">
            <v>5184474</v>
          </cell>
          <cell r="C661" t="str">
            <v>HOTEL SAO PAULO ADMINISTRADOR HOTEL</v>
          </cell>
          <cell r="D661">
            <v>3001</v>
          </cell>
          <cell r="E661" t="str">
            <v>0122</v>
          </cell>
          <cell r="F661" t="str">
            <v>C1</v>
          </cell>
          <cell r="G661" t="str">
            <v>MG</v>
          </cell>
          <cell r="H661" t="str">
            <v>DISTRIBUIÇÃO</v>
          </cell>
          <cell r="I661" t="str">
            <v>FOOD SERVICE</v>
          </cell>
          <cell r="J661" t="str">
            <v>MARCELO SILVA</v>
          </cell>
          <cell r="K661" t="str">
            <v>ITAMBÉ</v>
          </cell>
          <cell r="L661" t="str">
            <v>RODRIGO</v>
          </cell>
          <cell r="M661" t="str">
            <v>CELIO MARTINS</v>
          </cell>
        </row>
        <row r="662">
          <cell r="B662">
            <v>5182399</v>
          </cell>
          <cell r="C662" t="str">
            <v>HOTELARIA ACCOR BRASIL SA</v>
          </cell>
          <cell r="D662">
            <v>7001</v>
          </cell>
          <cell r="E662" t="str">
            <v>0749</v>
          </cell>
          <cell r="F662" t="str">
            <v>C5</v>
          </cell>
          <cell r="G662" t="str">
            <v>SP</v>
          </cell>
          <cell r="H662" t="str">
            <v>DISTRIBUIÇÃO</v>
          </cell>
          <cell r="I662" t="str">
            <v>FOOD SERVICE</v>
          </cell>
          <cell r="J662" t="str">
            <v>FLAC 3</v>
          </cell>
          <cell r="K662" t="str">
            <v>LACTALIS</v>
          </cell>
          <cell r="L662" t="str">
            <v>RODRIGO</v>
          </cell>
          <cell r="M662" t="str">
            <v>ALEXANDRO</v>
          </cell>
        </row>
        <row r="663">
          <cell r="B663">
            <v>5252388</v>
          </cell>
          <cell r="C663" t="str">
            <v>HOTELARIA ACCOR BRASIL SA</v>
          </cell>
          <cell r="D663">
            <v>7001</v>
          </cell>
          <cell r="E663" t="str">
            <v>0749</v>
          </cell>
          <cell r="F663" t="str">
            <v>C5</v>
          </cell>
          <cell r="G663" t="str">
            <v>SP</v>
          </cell>
          <cell r="H663" t="str">
            <v>DISTRIBUIÇÃO</v>
          </cell>
          <cell r="I663" t="str">
            <v>FOOD SERVICE</v>
          </cell>
          <cell r="J663" t="str">
            <v>FLAC 2</v>
          </cell>
          <cell r="K663" t="str">
            <v>LACTALIS</v>
          </cell>
          <cell r="L663" t="str">
            <v>RODRIGO</v>
          </cell>
          <cell r="M663" t="str">
            <v>ALEXANDRO</v>
          </cell>
        </row>
        <row r="664">
          <cell r="B664">
            <v>5248235</v>
          </cell>
          <cell r="C664" t="str">
            <v>HOTELARIA ACCOR BRASIL SA</v>
          </cell>
          <cell r="D664">
            <v>7001</v>
          </cell>
          <cell r="E664" t="str">
            <v>0749</v>
          </cell>
          <cell r="F664" t="str">
            <v>C5</v>
          </cell>
          <cell r="G664" t="str">
            <v>SP</v>
          </cell>
          <cell r="H664" t="str">
            <v>DISTRIBUIÇÃO</v>
          </cell>
          <cell r="I664" t="str">
            <v>FOOD SERVICE</v>
          </cell>
          <cell r="J664" t="str">
            <v>FLAC 3</v>
          </cell>
          <cell r="K664" t="str">
            <v>LACTALIS</v>
          </cell>
          <cell r="L664" t="str">
            <v>RODRIGO</v>
          </cell>
          <cell r="M664" t="str">
            <v>ALEXANDRO</v>
          </cell>
        </row>
        <row r="665">
          <cell r="B665">
            <v>5262002</v>
          </cell>
          <cell r="C665" t="str">
            <v>HOTELARIA ACCOR BRASIL SA</v>
          </cell>
          <cell r="D665">
            <v>7001</v>
          </cell>
          <cell r="E665" t="str">
            <v>0749</v>
          </cell>
          <cell r="F665" t="str">
            <v>C5</v>
          </cell>
          <cell r="G665" t="str">
            <v>SP</v>
          </cell>
          <cell r="H665" t="str">
            <v>DISTRIBUIÇÃO</v>
          </cell>
          <cell r="I665" t="str">
            <v>FOOD SERVICE</v>
          </cell>
          <cell r="J665" t="str">
            <v>FLAC 3</v>
          </cell>
          <cell r="K665" t="str">
            <v>LACTALIS</v>
          </cell>
          <cell r="L665" t="str">
            <v>RODRIGO</v>
          </cell>
          <cell r="M665" t="str">
            <v>ALEXANDRO</v>
          </cell>
        </row>
        <row r="666">
          <cell r="B666">
            <v>5298640</v>
          </cell>
          <cell r="C666" t="str">
            <v>HOTELARIA ACCOR BRASIL SA</v>
          </cell>
          <cell r="D666">
            <v>7001</v>
          </cell>
          <cell r="E666" t="str">
            <v>0749</v>
          </cell>
          <cell r="F666" t="str">
            <v>C5</v>
          </cell>
          <cell r="G666" t="str">
            <v>SP</v>
          </cell>
          <cell r="H666" t="str">
            <v>DISTRIBUIÇÃO</v>
          </cell>
          <cell r="I666" t="str">
            <v>FOOD SERVICE</v>
          </cell>
          <cell r="J666" t="str">
            <v>FLAC 6</v>
          </cell>
          <cell r="K666" t="str">
            <v>LACTALIS</v>
          </cell>
          <cell r="L666" t="str">
            <v>RODRIGO</v>
          </cell>
          <cell r="M666" t="str">
            <v>ALEXANDRO</v>
          </cell>
        </row>
        <row r="667">
          <cell r="B667">
            <v>5261548</v>
          </cell>
          <cell r="C667" t="str">
            <v>HOTELARIA ACCOR BRASIL SA</v>
          </cell>
          <cell r="D667">
            <v>7001</v>
          </cell>
          <cell r="E667" t="str">
            <v>0749</v>
          </cell>
          <cell r="F667" t="str">
            <v>C5</v>
          </cell>
          <cell r="G667" t="str">
            <v>SP</v>
          </cell>
          <cell r="H667" t="str">
            <v>DISTRIBUIÇÃO</v>
          </cell>
          <cell r="I667" t="str">
            <v>FOOD SERVICE</v>
          </cell>
          <cell r="J667" t="str">
            <v>FLAC 3</v>
          </cell>
          <cell r="K667" t="str">
            <v>LACTALIS</v>
          </cell>
          <cell r="L667" t="str">
            <v>RODRIGO</v>
          </cell>
          <cell r="M667" t="str">
            <v>ALEXANDRO</v>
          </cell>
        </row>
        <row r="668">
          <cell r="B668">
            <v>5300785</v>
          </cell>
          <cell r="C668" t="str">
            <v>HOTELARIA ACCOR BRASIL SA</v>
          </cell>
          <cell r="D668">
            <v>7001</v>
          </cell>
          <cell r="E668" t="str">
            <v>0749</v>
          </cell>
          <cell r="F668" t="str">
            <v>C5</v>
          </cell>
          <cell r="G668" t="str">
            <v>SP</v>
          </cell>
          <cell r="H668" t="str">
            <v>DISTRIBUIÇÃO</v>
          </cell>
          <cell r="I668" t="str">
            <v>FOOD SERVICE</v>
          </cell>
          <cell r="J668" t="str">
            <v>FLAC 3</v>
          </cell>
          <cell r="K668" t="str">
            <v>LACTALIS</v>
          </cell>
          <cell r="L668" t="str">
            <v>RODRIGO</v>
          </cell>
          <cell r="M668" t="str">
            <v>ALEXANDRO</v>
          </cell>
        </row>
        <row r="669">
          <cell r="B669">
            <v>5248711</v>
          </cell>
          <cell r="C669" t="str">
            <v>HOTELARIA ACCOR BRASIL SA</v>
          </cell>
          <cell r="D669">
            <v>7001</v>
          </cell>
          <cell r="E669" t="str">
            <v>0749</v>
          </cell>
          <cell r="F669" t="str">
            <v>C5</v>
          </cell>
          <cell r="G669" t="str">
            <v>SP</v>
          </cell>
          <cell r="H669" t="str">
            <v>DISTRIBUIÇÃO</v>
          </cell>
          <cell r="I669" t="str">
            <v>FOOD SERVICE</v>
          </cell>
          <cell r="J669" t="str">
            <v>FLAC 2</v>
          </cell>
          <cell r="K669" t="str">
            <v>LACTALIS</v>
          </cell>
          <cell r="L669" t="str">
            <v>RODRIGO</v>
          </cell>
          <cell r="M669" t="str">
            <v>ALEXANDRO</v>
          </cell>
        </row>
        <row r="670">
          <cell r="B670">
            <v>5252843</v>
          </cell>
          <cell r="C670" t="str">
            <v>HOTELARIA ACCOR BRASIL SA</v>
          </cell>
          <cell r="D670">
            <v>7001</v>
          </cell>
          <cell r="E670" t="str">
            <v>0749</v>
          </cell>
          <cell r="F670" t="str">
            <v>C5</v>
          </cell>
          <cell r="G670" t="str">
            <v>SP</v>
          </cell>
          <cell r="H670" t="str">
            <v>DISTRIBUIÇÃO</v>
          </cell>
          <cell r="I670" t="str">
            <v>FOOD SERVICE</v>
          </cell>
          <cell r="J670" t="str">
            <v>FLAC 6</v>
          </cell>
          <cell r="K670" t="str">
            <v>LACTALIS</v>
          </cell>
          <cell r="L670" t="str">
            <v>RODRIGO</v>
          </cell>
          <cell r="M670" t="str">
            <v>ALEXANDRO</v>
          </cell>
        </row>
        <row r="671">
          <cell r="B671">
            <v>5266735</v>
          </cell>
          <cell r="C671" t="str">
            <v>HOTELARIA ACCOR BRASIL SA</v>
          </cell>
          <cell r="D671">
            <v>7001</v>
          </cell>
          <cell r="E671" t="str">
            <v>0749</v>
          </cell>
          <cell r="F671" t="str">
            <v>C5</v>
          </cell>
          <cell r="G671" t="str">
            <v>SP</v>
          </cell>
          <cell r="H671" t="str">
            <v>DISTRIBUIÇÃO</v>
          </cell>
          <cell r="I671" t="str">
            <v>FOOD SERVICE</v>
          </cell>
          <cell r="J671" t="str">
            <v>FLAC 3</v>
          </cell>
          <cell r="K671" t="str">
            <v>LACTALIS</v>
          </cell>
          <cell r="L671" t="str">
            <v>RODRIGO</v>
          </cell>
          <cell r="M671" t="str">
            <v>ALEXANDRO</v>
          </cell>
        </row>
        <row r="672">
          <cell r="B672">
            <v>5158914</v>
          </cell>
          <cell r="C672" t="str">
            <v>HOTELARIA ACCORINVEST BRASIL S A</v>
          </cell>
          <cell r="D672">
            <v>7001</v>
          </cell>
          <cell r="E672" t="str">
            <v>0749</v>
          </cell>
          <cell r="F672" t="str">
            <v>C5</v>
          </cell>
          <cell r="G672" t="str">
            <v>SP</v>
          </cell>
          <cell r="H672" t="str">
            <v>DISTRIBUIÇÃO</v>
          </cell>
          <cell r="I672" t="str">
            <v>FOOD SERVICE</v>
          </cell>
          <cell r="J672" t="str">
            <v>FLAC 3</v>
          </cell>
          <cell r="K672" t="str">
            <v>LACTALIS</v>
          </cell>
          <cell r="L672" t="str">
            <v>RODRIGO</v>
          </cell>
          <cell r="M672" t="str">
            <v>ALEXANDRO</v>
          </cell>
        </row>
        <row r="673">
          <cell r="B673">
            <v>5195658</v>
          </cell>
          <cell r="C673" t="str">
            <v>HOTELARIA ACCORINVEST BRASIL S A</v>
          </cell>
          <cell r="D673">
            <v>7001</v>
          </cell>
          <cell r="E673" t="str">
            <v>0749</v>
          </cell>
          <cell r="F673" t="str">
            <v>C5</v>
          </cell>
          <cell r="G673" t="str">
            <v>SP</v>
          </cell>
          <cell r="H673" t="str">
            <v>DISTRIBUIÇÃO</v>
          </cell>
          <cell r="I673" t="str">
            <v>FOOD SERVICE</v>
          </cell>
          <cell r="J673" t="str">
            <v>FLAC 6</v>
          </cell>
          <cell r="K673" t="str">
            <v>LACTALIS</v>
          </cell>
          <cell r="L673" t="str">
            <v>RODRIGO</v>
          </cell>
          <cell r="M673" t="str">
            <v>ALEXANDRO</v>
          </cell>
        </row>
        <row r="674">
          <cell r="B674">
            <v>5262079</v>
          </cell>
          <cell r="C674" t="str">
            <v>HOTELARIA ACCORINVEST BRASIL SA</v>
          </cell>
          <cell r="D674">
            <v>7001</v>
          </cell>
          <cell r="E674" t="str">
            <v>0749</v>
          </cell>
          <cell r="F674" t="str">
            <v>C5</v>
          </cell>
          <cell r="G674" t="str">
            <v>SP</v>
          </cell>
          <cell r="H674" t="str">
            <v>DISTRIBUIÇÃO</v>
          </cell>
          <cell r="I674" t="str">
            <v>FOOD SERVICE</v>
          </cell>
          <cell r="J674" t="str">
            <v>FLAC 2</v>
          </cell>
          <cell r="K674" t="str">
            <v>LACTALIS</v>
          </cell>
          <cell r="L674" t="str">
            <v>RODRIGO</v>
          </cell>
          <cell r="M674" t="str">
            <v>ALEXANDRO</v>
          </cell>
        </row>
        <row r="675">
          <cell r="B675">
            <v>5262094</v>
          </cell>
          <cell r="C675" t="str">
            <v>HOTELARIA ACCORINVEST BRASIL SA</v>
          </cell>
          <cell r="D675">
            <v>7001</v>
          </cell>
          <cell r="E675" t="str">
            <v>0749</v>
          </cell>
          <cell r="F675" t="str">
            <v>C5</v>
          </cell>
          <cell r="G675" t="str">
            <v>SP</v>
          </cell>
          <cell r="H675" t="str">
            <v>DISTRIBUIÇÃO</v>
          </cell>
          <cell r="I675" t="str">
            <v>FOOD SERVICE</v>
          </cell>
          <cell r="J675" t="str">
            <v>FLAC 5</v>
          </cell>
          <cell r="K675" t="str">
            <v>LACTALIS</v>
          </cell>
          <cell r="L675" t="str">
            <v>RODRIGO</v>
          </cell>
          <cell r="M675" t="str">
            <v>ALEXANDRO</v>
          </cell>
        </row>
        <row r="676">
          <cell r="B676">
            <v>5262269</v>
          </cell>
          <cell r="C676" t="str">
            <v>HOTELARIA ACCORINVEST BRASIL SA</v>
          </cell>
          <cell r="D676">
            <v>7001</v>
          </cell>
          <cell r="E676" t="str">
            <v>0749</v>
          </cell>
          <cell r="F676" t="str">
            <v>C5</v>
          </cell>
          <cell r="G676" t="str">
            <v>SP</v>
          </cell>
          <cell r="H676" t="str">
            <v>DISTRIBUIÇÃO</v>
          </cell>
          <cell r="I676" t="str">
            <v>FOOD SERVICE</v>
          </cell>
          <cell r="J676" t="str">
            <v>FLAC 6</v>
          </cell>
          <cell r="K676" t="str">
            <v>LACTALIS</v>
          </cell>
          <cell r="L676" t="str">
            <v>RODRIGO</v>
          </cell>
          <cell r="M676" t="str">
            <v>ALEXANDRO</v>
          </cell>
        </row>
        <row r="677">
          <cell r="B677">
            <v>5180555</v>
          </cell>
          <cell r="C677" t="str">
            <v>HOTELARIA ACCORINVEST BRASIL SA</v>
          </cell>
          <cell r="D677">
            <v>7001</v>
          </cell>
          <cell r="E677" t="str">
            <v>0749</v>
          </cell>
          <cell r="F677" t="str">
            <v>C5</v>
          </cell>
          <cell r="G677" t="str">
            <v>SP</v>
          </cell>
          <cell r="H677" t="str">
            <v>DISTRIBUIÇÃO</v>
          </cell>
          <cell r="I677" t="str">
            <v>FOOD SERVICE</v>
          </cell>
          <cell r="J677" t="str">
            <v>FLAC 6</v>
          </cell>
          <cell r="K677" t="str">
            <v>LACTALIS</v>
          </cell>
          <cell r="L677" t="str">
            <v>RODRIGO</v>
          </cell>
          <cell r="M677" t="str">
            <v>ALEXANDRO</v>
          </cell>
        </row>
        <row r="678">
          <cell r="B678">
            <v>5253561</v>
          </cell>
          <cell r="C678" t="str">
            <v>HOTELARIA BRASIL LTDA</v>
          </cell>
          <cell r="D678">
            <v>7001</v>
          </cell>
          <cell r="E678" t="str">
            <v>0749</v>
          </cell>
          <cell r="F678" t="str">
            <v>C5</v>
          </cell>
          <cell r="G678" t="str">
            <v>SP</v>
          </cell>
          <cell r="H678" t="str">
            <v>DISTRIBUIÇÃO</v>
          </cell>
          <cell r="I678" t="str">
            <v>FOOD SERVICE</v>
          </cell>
          <cell r="J678" t="str">
            <v>FLAC 4</v>
          </cell>
          <cell r="K678" t="str">
            <v>LACTALIS</v>
          </cell>
          <cell r="L678" t="str">
            <v>RODRIGO</v>
          </cell>
          <cell r="M678" t="str">
            <v>ALEXANDRO</v>
          </cell>
        </row>
        <row r="679">
          <cell r="B679">
            <v>5293310</v>
          </cell>
          <cell r="C679" t="str">
            <v>HP PLUS GESTAO HOSPITALAR SA</v>
          </cell>
          <cell r="D679">
            <v>7001</v>
          </cell>
          <cell r="E679" t="str">
            <v>0749</v>
          </cell>
          <cell r="F679" t="str">
            <v>C5</v>
          </cell>
          <cell r="G679" t="str">
            <v>SP</v>
          </cell>
          <cell r="H679" t="str">
            <v>DISTRIBUIÇÃO</v>
          </cell>
          <cell r="I679" t="str">
            <v>FOOD SERVICE</v>
          </cell>
          <cell r="J679" t="str">
            <v>FLAC 6</v>
          </cell>
          <cell r="K679" t="str">
            <v>LACTALIS</v>
          </cell>
          <cell r="L679" t="str">
            <v>RODRIGO</v>
          </cell>
          <cell r="M679" t="str">
            <v>ALEXANDRO</v>
          </cell>
        </row>
        <row r="680">
          <cell r="B680">
            <v>5226129</v>
          </cell>
          <cell r="C680" t="str">
            <v>HSBL COMERCIO DE DESCARTAVEIS EIREL</v>
          </cell>
          <cell r="D680">
            <v>3001</v>
          </cell>
          <cell r="E680" t="str">
            <v>0169</v>
          </cell>
          <cell r="F680" t="str">
            <v>C1</v>
          </cell>
          <cell r="G680" t="str">
            <v>ES</v>
          </cell>
          <cell r="H680" t="str">
            <v>DISTRIBUIÇÃO</v>
          </cell>
          <cell r="I680" t="str">
            <v>FOOD SERVICE</v>
          </cell>
          <cell r="J680" t="str">
            <v>MARCELO DUARTE</v>
          </cell>
          <cell r="K680" t="str">
            <v>ITAMBÉ</v>
          </cell>
          <cell r="L680" t="str">
            <v>RODRIGO</v>
          </cell>
          <cell r="M680" t="str">
            <v>JESSICA</v>
          </cell>
        </row>
        <row r="681">
          <cell r="B681">
            <v>5264124</v>
          </cell>
          <cell r="C681" t="str">
            <v>HTL SP PARTICIPACOES SA</v>
          </cell>
          <cell r="D681">
            <v>7001</v>
          </cell>
          <cell r="E681" t="str">
            <v>0749</v>
          </cell>
          <cell r="F681" t="str">
            <v>C5</v>
          </cell>
          <cell r="G681" t="str">
            <v>SP</v>
          </cell>
          <cell r="H681" t="str">
            <v>DISTRIBUIÇÃO</v>
          </cell>
          <cell r="I681" t="str">
            <v>FOOD SERVICE</v>
          </cell>
          <cell r="J681" t="str">
            <v>FLAC 2</v>
          </cell>
          <cell r="K681" t="str">
            <v>LACTALIS</v>
          </cell>
          <cell r="L681" t="str">
            <v>RODRIGO</v>
          </cell>
          <cell r="M681" t="str">
            <v>ALEXANDRO</v>
          </cell>
        </row>
        <row r="682">
          <cell r="B682">
            <v>5269911</v>
          </cell>
          <cell r="C682" t="str">
            <v>I C FOODS FORNECIMENTO DE ALIM</v>
          </cell>
          <cell r="D682">
            <v>7001</v>
          </cell>
          <cell r="E682" t="str">
            <v>0749</v>
          </cell>
          <cell r="F682" t="str">
            <v>C5</v>
          </cell>
          <cell r="G682" t="str">
            <v>SP</v>
          </cell>
          <cell r="H682" t="str">
            <v>DISTRIBUIÇÃO</v>
          </cell>
          <cell r="I682" t="str">
            <v>FOOD SERVICE</v>
          </cell>
          <cell r="J682" t="str">
            <v>FLAC 5</v>
          </cell>
          <cell r="K682" t="str">
            <v>LACTALIS</v>
          </cell>
          <cell r="L682" t="str">
            <v>RODRIGO</v>
          </cell>
          <cell r="M682" t="str">
            <v>ALEXANDRO</v>
          </cell>
        </row>
        <row r="683">
          <cell r="B683">
            <v>5248697</v>
          </cell>
          <cell r="C683" t="str">
            <v>IANONI E MENDES REST LTDA</v>
          </cell>
          <cell r="D683">
            <v>7001</v>
          </cell>
          <cell r="E683" t="str">
            <v>0749</v>
          </cell>
          <cell r="F683" t="str">
            <v>C5</v>
          </cell>
          <cell r="G683" t="str">
            <v>SP</v>
          </cell>
          <cell r="H683" t="str">
            <v>DISTRIBUIÇÃO</v>
          </cell>
          <cell r="I683" t="str">
            <v>FOOD SERVICE</v>
          </cell>
          <cell r="J683" t="str">
            <v>FLAC 2</v>
          </cell>
          <cell r="K683" t="str">
            <v>LACTALIS</v>
          </cell>
          <cell r="L683" t="str">
            <v>RODRIGO</v>
          </cell>
          <cell r="M683" t="str">
            <v>ALEXANDRO</v>
          </cell>
        </row>
        <row r="684">
          <cell r="B684">
            <v>5157826</v>
          </cell>
          <cell r="C684" t="str">
            <v>IBAC INDUSTRIA BRASILEIRA DE ALIM C</v>
          </cell>
          <cell r="D684">
            <v>3001</v>
          </cell>
          <cell r="E684" t="str">
            <v>0028</v>
          </cell>
          <cell r="F684" t="str">
            <v>C1</v>
          </cell>
          <cell r="G684" t="str">
            <v>SP</v>
          </cell>
          <cell r="H684" t="str">
            <v>INGREDIENTS</v>
          </cell>
          <cell r="I684" t="str">
            <v>INGREDIENTS</v>
          </cell>
          <cell r="J684" t="str">
            <v>TATIANA NITTA</v>
          </cell>
          <cell r="K684" t="str">
            <v>ITAMBÉ</v>
          </cell>
          <cell r="L684" t="str">
            <v>MAURICIO</v>
          </cell>
          <cell r="M684" t="str">
            <v>TATIANA NITTA</v>
          </cell>
        </row>
        <row r="685">
          <cell r="B685">
            <v>5157826</v>
          </cell>
          <cell r="C685" t="str">
            <v>IBAC INDUSTRIA BRASILEIRA DE ALIM C</v>
          </cell>
          <cell r="D685">
            <v>6001</v>
          </cell>
          <cell r="E685" t="str">
            <v>6125</v>
          </cell>
          <cell r="F685" t="str">
            <v>C1</v>
          </cell>
          <cell r="G685" t="str">
            <v>SP</v>
          </cell>
          <cell r="H685" t="str">
            <v>INGREDIENTS</v>
          </cell>
          <cell r="I685" t="str">
            <v>INGREDIENTS</v>
          </cell>
          <cell r="J685" t="str">
            <v>TATIANA NITTA</v>
          </cell>
          <cell r="K685" t="str">
            <v>ITAMBÉ</v>
          </cell>
          <cell r="L685" t="str">
            <v>MAURICIO</v>
          </cell>
          <cell r="M685" t="str">
            <v>TATIANA NITTA</v>
          </cell>
        </row>
        <row r="686">
          <cell r="B686">
            <v>5338667</v>
          </cell>
          <cell r="C686" t="str">
            <v>IBAE IND BRASILEIRA DE ALI ESP LTDA</v>
          </cell>
          <cell r="D686">
            <v>3001</v>
          </cell>
          <cell r="E686" t="str">
            <v>0169</v>
          </cell>
          <cell r="F686" t="str">
            <v>C1</v>
          </cell>
          <cell r="G686" t="str">
            <v>ES</v>
          </cell>
          <cell r="H686" t="str">
            <v>INGREDIENTS</v>
          </cell>
          <cell r="I686" t="str">
            <v>INGREDIENTS</v>
          </cell>
          <cell r="J686" t="str">
            <v>TATIANA NITTA</v>
          </cell>
          <cell r="K686" t="str">
            <v>ITAMBÉ</v>
          </cell>
          <cell r="L686" t="str">
            <v>MAURICIO</v>
          </cell>
          <cell r="M686" t="str">
            <v>TATIANA NITTA</v>
          </cell>
        </row>
        <row r="687">
          <cell r="B687">
            <v>5284452</v>
          </cell>
          <cell r="C687" t="str">
            <v>IBIRAPUERA PARK HOTEL LTDA</v>
          </cell>
          <cell r="D687">
            <v>7001</v>
          </cell>
          <cell r="E687" t="str">
            <v>0749</v>
          </cell>
          <cell r="F687" t="str">
            <v>C5</v>
          </cell>
          <cell r="G687" t="str">
            <v>SP</v>
          </cell>
          <cell r="H687" t="str">
            <v>DISTRIBUIÇÃO</v>
          </cell>
          <cell r="I687" t="str">
            <v>FOOD SERVICE</v>
          </cell>
          <cell r="J687" t="str">
            <v>FLAC 2</v>
          </cell>
          <cell r="K687" t="str">
            <v>LACTALIS</v>
          </cell>
          <cell r="L687" t="str">
            <v>RODRIGO</v>
          </cell>
          <cell r="M687" t="str">
            <v>ALEXANDRO</v>
          </cell>
        </row>
        <row r="688">
          <cell r="B688">
            <v>5315284</v>
          </cell>
          <cell r="C688" t="str">
            <v>IC ADMINISTRADORA HOTELEIRA LTDA</v>
          </cell>
          <cell r="D688">
            <v>7001</v>
          </cell>
          <cell r="E688" t="str">
            <v>0749</v>
          </cell>
          <cell r="F688" t="str">
            <v>C5</v>
          </cell>
          <cell r="G688" t="str">
            <v>SP</v>
          </cell>
          <cell r="H688" t="str">
            <v>DISTRIBUIÇÃO</v>
          </cell>
          <cell r="I688" t="str">
            <v>FOOD SERVICE</v>
          </cell>
          <cell r="J688" t="str">
            <v>FLAC 4</v>
          </cell>
          <cell r="K688" t="str">
            <v>LACTALIS</v>
          </cell>
          <cell r="L688" t="str">
            <v>RODRIGO</v>
          </cell>
          <cell r="M688" t="str">
            <v>ALEXANDRO</v>
          </cell>
        </row>
        <row r="689">
          <cell r="B689">
            <v>5254128</v>
          </cell>
          <cell r="C689" t="str">
            <v>ICE MELLO LEITE DER FLAMBOYANT</v>
          </cell>
          <cell r="D689">
            <v>4001</v>
          </cell>
          <cell r="E689" t="str">
            <v>0437</v>
          </cell>
          <cell r="F689" t="str">
            <v>C1</v>
          </cell>
          <cell r="G689" t="str">
            <v>PA</v>
          </cell>
          <cell r="H689" t="str">
            <v>INGREDIENTS</v>
          </cell>
          <cell r="I689" t="str">
            <v>INGREDIENTS</v>
          </cell>
          <cell r="J689" t="str">
            <v>JOEL ELEOTÉRIO</v>
          </cell>
          <cell r="K689" t="str">
            <v>LACTALIS</v>
          </cell>
          <cell r="L689" t="str">
            <v>MAURICIO</v>
          </cell>
          <cell r="M689" t="str">
            <v>JOEL</v>
          </cell>
        </row>
        <row r="690">
          <cell r="B690">
            <v>5319203</v>
          </cell>
          <cell r="C690" t="str">
            <v>ICY GELATO DE AMERICANA LTDA</v>
          </cell>
          <cell r="D690">
            <v>7001</v>
          </cell>
          <cell r="E690" t="str">
            <v>0749</v>
          </cell>
          <cell r="F690" t="str">
            <v>C5</v>
          </cell>
          <cell r="G690" t="str">
            <v>SP</v>
          </cell>
          <cell r="H690" t="str">
            <v>DISTRIBUIÇÃO</v>
          </cell>
          <cell r="I690" t="str">
            <v>FOOD SERVICE</v>
          </cell>
          <cell r="J690" t="str">
            <v>FLAC 7</v>
          </cell>
          <cell r="K690" t="str">
            <v>LACTALIS</v>
          </cell>
          <cell r="L690" t="str">
            <v>RODRIGO</v>
          </cell>
          <cell r="M690" t="str">
            <v>ALEXANDRO</v>
          </cell>
        </row>
        <row r="691">
          <cell r="B691">
            <v>5266506</v>
          </cell>
          <cell r="C691" t="str">
            <v>ICY GELATO DO BRASIL LTDA</v>
          </cell>
          <cell r="D691">
            <v>7001</v>
          </cell>
          <cell r="E691" t="str">
            <v>0749</v>
          </cell>
          <cell r="F691" t="str">
            <v>C5</v>
          </cell>
          <cell r="G691" t="str">
            <v>SP</v>
          </cell>
          <cell r="H691" t="str">
            <v>DISTRIBUIÇÃO</v>
          </cell>
          <cell r="I691" t="str">
            <v>FOOD SERVICE</v>
          </cell>
          <cell r="J691" t="str">
            <v>FLAC 7</v>
          </cell>
          <cell r="K691" t="str">
            <v>LACTALIS</v>
          </cell>
          <cell r="L691" t="str">
            <v>RODRIGO</v>
          </cell>
          <cell r="M691" t="str">
            <v>ALEXANDRO</v>
          </cell>
        </row>
        <row r="692">
          <cell r="B692">
            <v>5117626</v>
          </cell>
          <cell r="C692" t="str">
            <v>IMA INDUSTRIA DE MASSAS ALIMENT</v>
          </cell>
          <cell r="D692">
            <v>4001</v>
          </cell>
          <cell r="E692" t="str">
            <v>0437</v>
          </cell>
          <cell r="F692" t="str">
            <v>C1</v>
          </cell>
          <cell r="G692" t="str">
            <v>MG</v>
          </cell>
          <cell r="H692" t="str">
            <v>INGREDIENTS</v>
          </cell>
          <cell r="I692" t="str">
            <v>INGREDIENTS</v>
          </cell>
          <cell r="J692" t="str">
            <v>HENRIQUE FERREIRA</v>
          </cell>
          <cell r="K692" t="str">
            <v>LACTALIS</v>
          </cell>
          <cell r="L692" t="str">
            <v>MAURICIO</v>
          </cell>
          <cell r="M692" t="str">
            <v>JOEL</v>
          </cell>
        </row>
        <row r="693">
          <cell r="B693">
            <v>5231717</v>
          </cell>
          <cell r="C693" t="str">
            <v>IMM PRODUTOS NATURAIS LTDA</v>
          </cell>
          <cell r="D693">
            <v>3001</v>
          </cell>
          <cell r="E693" t="str">
            <v>0169</v>
          </cell>
          <cell r="F693" t="str">
            <v>C1</v>
          </cell>
          <cell r="G693" t="str">
            <v>ES</v>
          </cell>
          <cell r="H693" t="str">
            <v>DISTRIBUIÇÃO</v>
          </cell>
          <cell r="I693" t="str">
            <v>FOOD SERVICE</v>
          </cell>
          <cell r="J693" t="str">
            <v>MARCELO DUARTE</v>
          </cell>
          <cell r="K693" t="str">
            <v>ITAMBÉ</v>
          </cell>
          <cell r="L693" t="str">
            <v>RODRIGO</v>
          </cell>
          <cell r="M693" t="str">
            <v>JESSICA</v>
          </cell>
        </row>
        <row r="694">
          <cell r="B694">
            <v>5173913</v>
          </cell>
          <cell r="C694" t="str">
            <v>IMPERATRIZ ALIMENTOS BEBIDAS LTDA</v>
          </cell>
          <cell r="D694">
            <v>7001</v>
          </cell>
          <cell r="E694" t="str">
            <v>0749</v>
          </cell>
          <cell r="F694" t="str">
            <v>C5</v>
          </cell>
          <cell r="G694" t="str">
            <v>SP</v>
          </cell>
          <cell r="H694" t="str">
            <v>DISTRIBUIÇÃO</v>
          </cell>
          <cell r="I694" t="str">
            <v>FOOD SERVICE</v>
          </cell>
          <cell r="J694" t="str">
            <v>FLAC 3</v>
          </cell>
          <cell r="K694" t="str">
            <v>LACTALIS</v>
          </cell>
          <cell r="L694" t="str">
            <v>RODRIGO</v>
          </cell>
          <cell r="M694" t="str">
            <v>ALEXANDRO</v>
          </cell>
        </row>
        <row r="695">
          <cell r="B695">
            <v>5034828</v>
          </cell>
          <cell r="C695" t="str">
            <v>IMPERIO DOS DOCES CONFEITARIA LTDA</v>
          </cell>
          <cell r="D695">
            <v>3001</v>
          </cell>
          <cell r="E695" t="str">
            <v>0169</v>
          </cell>
          <cell r="F695" t="str">
            <v>C1</v>
          </cell>
          <cell r="G695" t="str">
            <v>RJ</v>
          </cell>
          <cell r="H695" t="str">
            <v>DISTRIBUIÇÃO</v>
          </cell>
          <cell r="I695" t="str">
            <v>FOOD SERVICE</v>
          </cell>
          <cell r="J695" t="str">
            <v>JULIANA CORDEIRO</v>
          </cell>
          <cell r="K695" t="str">
            <v>ITAMBÉ</v>
          </cell>
          <cell r="L695" t="str">
            <v>RODRIGO</v>
          </cell>
          <cell r="M695" t="str">
            <v>JESSICA</v>
          </cell>
        </row>
        <row r="696">
          <cell r="B696">
            <v>5317967</v>
          </cell>
          <cell r="C696" t="str">
            <v>IND COM IMP EXPORT ALIMENT MULT</v>
          </cell>
          <cell r="D696">
            <v>4001</v>
          </cell>
          <cell r="E696" t="str">
            <v>0437</v>
          </cell>
          <cell r="F696" t="str">
            <v>C1</v>
          </cell>
          <cell r="G696" t="str">
            <v>MS</v>
          </cell>
          <cell r="H696" t="str">
            <v>INGREDIENTS</v>
          </cell>
          <cell r="I696" t="str">
            <v>INGREDIENTS</v>
          </cell>
          <cell r="J696" t="str">
            <v>JOEL ELEOTÉRIO</v>
          </cell>
          <cell r="K696" t="str">
            <v>LACTALIS</v>
          </cell>
          <cell r="L696" t="str">
            <v>MAURICIO</v>
          </cell>
          <cell r="M696" t="str">
            <v>JOEL</v>
          </cell>
        </row>
        <row r="697">
          <cell r="B697">
            <v>5317967</v>
          </cell>
          <cell r="C697" t="str">
            <v>IND COM IMP EXPORT ALIMENT MULT</v>
          </cell>
          <cell r="D697">
            <v>4001</v>
          </cell>
          <cell r="E697" t="str">
            <v>0423</v>
          </cell>
          <cell r="F697" t="str">
            <v>C5</v>
          </cell>
          <cell r="G697" t="str">
            <v>MS</v>
          </cell>
          <cell r="H697" t="str">
            <v>INGREDIENTS</v>
          </cell>
          <cell r="I697" t="str">
            <v>INGREDIENTS</v>
          </cell>
          <cell r="J697" t="str">
            <v>JOEL ELEOTÉRIO</v>
          </cell>
          <cell r="K697" t="str">
            <v>LACTALIS</v>
          </cell>
          <cell r="L697" t="str">
            <v>MAURICIO</v>
          </cell>
          <cell r="M697" t="str">
            <v>JOEL</v>
          </cell>
        </row>
        <row r="698">
          <cell r="B698">
            <v>5317967</v>
          </cell>
          <cell r="C698" t="str">
            <v>IND COM IMP EXPORT ALIMENT MULT</v>
          </cell>
          <cell r="D698">
            <v>3001</v>
          </cell>
          <cell r="E698" t="str">
            <v>0028</v>
          </cell>
          <cell r="F698" t="str">
            <v>C1</v>
          </cell>
          <cell r="G698" t="str">
            <v>MS</v>
          </cell>
          <cell r="H698" t="str">
            <v>INGREDIENTS</v>
          </cell>
          <cell r="I698" t="str">
            <v>INGREDIENTS</v>
          </cell>
          <cell r="J698" t="str">
            <v>JOEL ELEOTÉRIO</v>
          </cell>
          <cell r="K698" t="str">
            <v>ITAMBÉ</v>
          </cell>
          <cell r="L698" t="str">
            <v>MAURICIO</v>
          </cell>
          <cell r="M698" t="str">
            <v>JOEL</v>
          </cell>
        </row>
        <row r="699">
          <cell r="B699">
            <v>5279013</v>
          </cell>
          <cell r="C699" t="str">
            <v>IND DE PANIFICACAO PAO D OURO LT</v>
          </cell>
          <cell r="D699">
            <v>7001</v>
          </cell>
          <cell r="E699" t="str">
            <v>0749</v>
          </cell>
          <cell r="F699" t="str">
            <v>C5</v>
          </cell>
          <cell r="G699" t="str">
            <v>SP</v>
          </cell>
          <cell r="H699" t="str">
            <v>DISTRIBUIÇÃO</v>
          </cell>
          <cell r="I699" t="str">
            <v>FOOD SERVICE</v>
          </cell>
          <cell r="J699" t="str">
            <v>FLAC 3</v>
          </cell>
          <cell r="K699" t="str">
            <v>LACTALIS</v>
          </cell>
          <cell r="L699" t="str">
            <v>RODRIGO</v>
          </cell>
          <cell r="M699" t="str">
            <v>ALEXANDRO</v>
          </cell>
        </row>
        <row r="700">
          <cell r="B700">
            <v>5221487</v>
          </cell>
          <cell r="C700" t="str">
            <v>IND E COM DE PROD ALIMENTICIOS FRUT</v>
          </cell>
          <cell r="D700">
            <v>4001</v>
          </cell>
          <cell r="E700" t="str">
            <v>0423</v>
          </cell>
          <cell r="F700" t="str">
            <v>C5</v>
          </cell>
          <cell r="G700" t="str">
            <v>SP</v>
          </cell>
          <cell r="H700" t="str">
            <v>INGREDIENTS</v>
          </cell>
          <cell r="I700" t="str">
            <v>INGREDIENTS</v>
          </cell>
          <cell r="J700" t="str">
            <v>JOEL ELEOTÉRIO</v>
          </cell>
          <cell r="K700" t="str">
            <v>LACTALIS</v>
          </cell>
          <cell r="L700" t="str">
            <v>MAURICIO</v>
          </cell>
          <cell r="M700" t="str">
            <v>JOEL</v>
          </cell>
        </row>
        <row r="701">
          <cell r="B701">
            <v>5221487</v>
          </cell>
          <cell r="C701" t="str">
            <v>IND E COM DE PROD ALIMENTICIOS FRUT</v>
          </cell>
          <cell r="D701">
            <v>4001</v>
          </cell>
          <cell r="E701" t="str">
            <v>0437</v>
          </cell>
          <cell r="F701" t="str">
            <v>C1</v>
          </cell>
          <cell r="G701" t="str">
            <v>SP</v>
          </cell>
          <cell r="H701" t="str">
            <v>INGREDIENTS</v>
          </cell>
          <cell r="I701" t="str">
            <v>INGREDIENTS</v>
          </cell>
          <cell r="J701" t="str">
            <v>JOEL ELEOTÉRIO</v>
          </cell>
          <cell r="K701" t="str">
            <v>LACTALIS</v>
          </cell>
          <cell r="L701" t="str">
            <v>MAURICIO</v>
          </cell>
          <cell r="M701" t="str">
            <v>JOEL</v>
          </cell>
        </row>
        <row r="702">
          <cell r="B702">
            <v>5206830</v>
          </cell>
          <cell r="C702" t="str">
            <v>IND E COM DE SORVETES FRUTAMIX LTDA</v>
          </cell>
          <cell r="D702">
            <v>3001</v>
          </cell>
          <cell r="E702" t="str">
            <v>0122</v>
          </cell>
          <cell r="F702" t="str">
            <v>C1</v>
          </cell>
          <cell r="G702" t="str">
            <v>MG</v>
          </cell>
          <cell r="H702" t="str">
            <v>INGREDIENTS</v>
          </cell>
          <cell r="I702" t="str">
            <v>INGREDIENTS</v>
          </cell>
          <cell r="J702" t="str">
            <v>HENRIQUE FERREIRA</v>
          </cell>
          <cell r="K702" t="str">
            <v>ITAMBÉ</v>
          </cell>
          <cell r="L702" t="str">
            <v>MAURICIO</v>
          </cell>
          <cell r="M702" t="str">
            <v>JOEL</v>
          </cell>
        </row>
        <row r="703">
          <cell r="B703">
            <v>5206830</v>
          </cell>
          <cell r="C703" t="str">
            <v>IND E COM DE SORVETES FRUTAMIX LTDA</v>
          </cell>
          <cell r="D703">
            <v>4001</v>
          </cell>
          <cell r="E703" t="str">
            <v>0437</v>
          </cell>
          <cell r="F703" t="str">
            <v>C1</v>
          </cell>
          <cell r="G703" t="str">
            <v>MG</v>
          </cell>
          <cell r="H703" t="str">
            <v>INGREDIENTS</v>
          </cell>
          <cell r="I703" t="str">
            <v>INGREDIENTS</v>
          </cell>
          <cell r="J703" t="str">
            <v>HENRIQUE FERREIRA</v>
          </cell>
          <cell r="K703" t="str">
            <v>LACTALIS</v>
          </cell>
          <cell r="L703" t="str">
            <v>MAURICIO</v>
          </cell>
          <cell r="M703" t="str">
            <v>JOEL</v>
          </cell>
        </row>
        <row r="704">
          <cell r="B704">
            <v>5031564</v>
          </cell>
          <cell r="C704" t="str">
            <v>INDEGA SA</v>
          </cell>
          <cell r="D704">
            <v>3001</v>
          </cell>
          <cell r="E704" t="str">
            <v>0062</v>
          </cell>
          <cell r="F704" t="str">
            <v>C1</v>
          </cell>
          <cell r="G704" t="str">
            <v/>
          </cell>
          <cell r="H704" t="str">
            <v>OUTROS</v>
          </cell>
          <cell r="I704" t="str">
            <v>OUTROS</v>
          </cell>
          <cell r="J704" t="str">
            <v>ITAMBE - EXPORTACAO</v>
          </cell>
          <cell r="K704" t="str">
            <v>OUTROS</v>
          </cell>
          <cell r="L704" t="str">
            <v>OUTROS</v>
          </cell>
          <cell r="M704" t="str">
            <v>EXPORTAÇÃO</v>
          </cell>
        </row>
        <row r="705">
          <cell r="B705">
            <v>8010005</v>
          </cell>
          <cell r="C705" t="str">
            <v>INDULAC INDUSTRIA LACTEA VENEZO</v>
          </cell>
          <cell r="D705">
            <v>3001</v>
          </cell>
          <cell r="E705" t="str">
            <v>0062</v>
          </cell>
          <cell r="F705" t="str">
            <v>C1</v>
          </cell>
          <cell r="G705" t="str">
            <v/>
          </cell>
          <cell r="H705" t="str">
            <v>OUTROS</v>
          </cell>
          <cell r="I705" t="str">
            <v>OUTROS</v>
          </cell>
          <cell r="J705" t="str">
            <v>INTERCOMPANY EXP</v>
          </cell>
          <cell r="K705" t="str">
            <v>OUTROS</v>
          </cell>
          <cell r="L705" t="str">
            <v>OUTROS</v>
          </cell>
          <cell r="M705" t="str">
            <v>INTERCOMPANY</v>
          </cell>
        </row>
        <row r="706">
          <cell r="B706">
            <v>5181144</v>
          </cell>
          <cell r="C706" t="str">
            <v>INDUSTRIA DE SORVETES CAMAGIVA LTDA</v>
          </cell>
          <cell r="D706">
            <v>7001</v>
          </cell>
          <cell r="E706" t="str">
            <v>0737</v>
          </cell>
          <cell r="F706" t="str">
            <v>C1</v>
          </cell>
          <cell r="G706" t="str">
            <v>SP</v>
          </cell>
          <cell r="H706" t="str">
            <v>INGREDIENTS</v>
          </cell>
          <cell r="I706" t="str">
            <v>INGREDIENTS</v>
          </cell>
          <cell r="J706" t="str">
            <v>TATIANA NITTA</v>
          </cell>
          <cell r="K706" t="str">
            <v>LACTALIS</v>
          </cell>
          <cell r="L706" t="str">
            <v>MAURICIO</v>
          </cell>
          <cell r="M706" t="str">
            <v>TATIANA NITTA</v>
          </cell>
        </row>
        <row r="707">
          <cell r="B707">
            <v>5182672</v>
          </cell>
          <cell r="C707" t="str">
            <v>INDUSTRIA DE SORVETES GELUY LTDA</v>
          </cell>
          <cell r="D707">
            <v>3001</v>
          </cell>
          <cell r="E707" t="str">
            <v>0126</v>
          </cell>
          <cell r="F707" t="str">
            <v>C1</v>
          </cell>
          <cell r="G707" t="str">
            <v>SC</v>
          </cell>
          <cell r="H707" t="str">
            <v>INGREDIENTS</v>
          </cell>
          <cell r="I707" t="str">
            <v>INGREDIENTS</v>
          </cell>
          <cell r="J707" t="str">
            <v>DUAS RODAS</v>
          </cell>
          <cell r="K707" t="str">
            <v>ITAMBÉ</v>
          </cell>
          <cell r="L707" t="str">
            <v>MAURICIO</v>
          </cell>
          <cell r="M707" t="str">
            <v>MARCELO</v>
          </cell>
        </row>
        <row r="708">
          <cell r="B708">
            <v>5177778</v>
          </cell>
          <cell r="C708" t="str">
            <v>INDUSTRIA DE SORVETES ZAZINI LTDA</v>
          </cell>
          <cell r="D708">
            <v>6001</v>
          </cell>
          <cell r="E708" t="str">
            <v>6125</v>
          </cell>
          <cell r="F708" t="str">
            <v>C1</v>
          </cell>
          <cell r="G708" t="str">
            <v>SP</v>
          </cell>
          <cell r="H708" t="str">
            <v>INGREDIENTS</v>
          </cell>
          <cell r="I708" t="str">
            <v>INGREDIENTS</v>
          </cell>
          <cell r="J708" t="str">
            <v>JOEL ELEOTÉRIO</v>
          </cell>
          <cell r="K708" t="str">
            <v>ITAMBÉ</v>
          </cell>
          <cell r="L708" t="str">
            <v>MAURICIO</v>
          </cell>
          <cell r="M708" t="str">
            <v>JOEL</v>
          </cell>
        </row>
        <row r="709">
          <cell r="B709">
            <v>5186248</v>
          </cell>
          <cell r="C709" t="str">
            <v>INDUSTRIA E COMERCIO VILLA CAFE LTD</v>
          </cell>
          <cell r="D709">
            <v>3001</v>
          </cell>
          <cell r="E709" t="str">
            <v>0122</v>
          </cell>
          <cell r="F709" t="str">
            <v>C1</v>
          </cell>
          <cell r="G709" t="str">
            <v>MG</v>
          </cell>
          <cell r="H709" t="str">
            <v>INGREDIENTS</v>
          </cell>
          <cell r="I709" t="str">
            <v>INGREDIENTS</v>
          </cell>
          <cell r="J709" t="str">
            <v>HENRIQUE FERREIRA</v>
          </cell>
          <cell r="K709" t="str">
            <v>ITAMBÉ</v>
          </cell>
          <cell r="L709" t="str">
            <v>MAURICIO</v>
          </cell>
          <cell r="M709" t="str">
            <v>JOEL</v>
          </cell>
        </row>
        <row r="710">
          <cell r="B710">
            <v>5285409</v>
          </cell>
          <cell r="C710" t="str">
            <v>ING COMERCIO DE ALIMENTOS LTDA</v>
          </cell>
          <cell r="D710">
            <v>7001</v>
          </cell>
          <cell r="E710" t="str">
            <v>0749</v>
          </cell>
          <cell r="F710" t="str">
            <v>C5</v>
          </cell>
          <cell r="G710" t="str">
            <v>SP</v>
          </cell>
          <cell r="H710" t="str">
            <v>DISTRIBUIÇÃO</v>
          </cell>
          <cell r="I710" t="str">
            <v>FOOD SERVICE</v>
          </cell>
          <cell r="J710" t="str">
            <v>FLAC 6</v>
          </cell>
          <cell r="K710" t="str">
            <v>LACTALIS</v>
          </cell>
          <cell r="L710" t="str">
            <v>RODRIGO</v>
          </cell>
          <cell r="M710" t="str">
            <v>ALEXANDRO</v>
          </cell>
        </row>
        <row r="711">
          <cell r="B711">
            <v>5003633</v>
          </cell>
          <cell r="C711" t="str">
            <v>INST DAS PEQ MISS DE M IMACULADA</v>
          </cell>
          <cell r="D711">
            <v>3001</v>
          </cell>
          <cell r="E711" t="str">
            <v>0122</v>
          </cell>
          <cell r="F711" t="str">
            <v>C1</v>
          </cell>
          <cell r="G711" t="str">
            <v>MG</v>
          </cell>
          <cell r="H711" t="str">
            <v>DISTRIBUIÇÃO</v>
          </cell>
          <cell r="I711" t="str">
            <v>FOOD SERVICE</v>
          </cell>
          <cell r="J711" t="str">
            <v>MARCELO SILVA</v>
          </cell>
          <cell r="K711" t="str">
            <v>ITAMBÉ</v>
          </cell>
          <cell r="L711" t="str">
            <v>RODRIGO</v>
          </cell>
          <cell r="M711" t="str">
            <v>CELIO MARTINS</v>
          </cell>
        </row>
        <row r="712">
          <cell r="B712">
            <v>5282216</v>
          </cell>
          <cell r="C712" t="str">
            <v>INST VISITACAO DE STA MARIA</v>
          </cell>
          <cell r="D712">
            <v>7001</v>
          </cell>
          <cell r="E712" t="str">
            <v>0749</v>
          </cell>
          <cell r="F712" t="str">
            <v>C5</v>
          </cell>
          <cell r="G712" t="str">
            <v>SP</v>
          </cell>
          <cell r="H712" t="str">
            <v>DISTRIBUIÇÃO</v>
          </cell>
          <cell r="I712" t="str">
            <v>FOOD SERVICE</v>
          </cell>
          <cell r="J712" t="str">
            <v>FLAC 6</v>
          </cell>
          <cell r="K712" t="str">
            <v>LACTALIS</v>
          </cell>
          <cell r="L712" t="str">
            <v>RODRIGO</v>
          </cell>
          <cell r="M712" t="str">
            <v>ALEXANDRO</v>
          </cell>
        </row>
        <row r="713">
          <cell r="B713">
            <v>5333580</v>
          </cell>
          <cell r="C713" t="str">
            <v>INSTITUTO LARIAMOR</v>
          </cell>
          <cell r="D713">
            <v>7001</v>
          </cell>
          <cell r="E713" t="str">
            <v>0749</v>
          </cell>
          <cell r="F713" t="str">
            <v>C5</v>
          </cell>
          <cell r="G713" t="str">
            <v>SP</v>
          </cell>
          <cell r="H713" t="str">
            <v>DISTRIBUIÇÃO</v>
          </cell>
          <cell r="I713" t="str">
            <v>FOOD SERVICE</v>
          </cell>
          <cell r="J713" t="str">
            <v>FLAC 2</v>
          </cell>
          <cell r="K713" t="str">
            <v>LACTALIS</v>
          </cell>
          <cell r="L713" t="str">
            <v>RODRIGO</v>
          </cell>
          <cell r="M713" t="str">
            <v>ALEXANDRO</v>
          </cell>
        </row>
        <row r="714">
          <cell r="B714">
            <v>5061612</v>
          </cell>
          <cell r="C714" t="str">
            <v>INSTITUTO MATERNO INFANTIL DE MG SA</v>
          </cell>
          <cell r="D714">
            <v>3001</v>
          </cell>
          <cell r="E714" t="str">
            <v>0122</v>
          </cell>
          <cell r="F714" t="str">
            <v>C1</v>
          </cell>
          <cell r="G714" t="str">
            <v>MG</v>
          </cell>
          <cell r="H714" t="str">
            <v>DISTRIBUIÇÃO</v>
          </cell>
          <cell r="I714" t="str">
            <v>FOOD SERVICE</v>
          </cell>
          <cell r="J714" t="str">
            <v>MARCELO SILVA</v>
          </cell>
          <cell r="K714" t="str">
            <v>ITAMBÉ</v>
          </cell>
          <cell r="L714" t="str">
            <v>RODRIGO</v>
          </cell>
          <cell r="M714" t="str">
            <v>CELIO MARTINS</v>
          </cell>
        </row>
        <row r="715">
          <cell r="B715">
            <v>5337341</v>
          </cell>
          <cell r="C715" t="str">
            <v>INTEGRACAO COMERCIO DE BOLOS E DOCE</v>
          </cell>
          <cell r="D715">
            <v>7001</v>
          </cell>
          <cell r="E715" t="str">
            <v>0749</v>
          </cell>
          <cell r="F715" t="str">
            <v>C5</v>
          </cell>
          <cell r="G715" t="str">
            <v>SP</v>
          </cell>
          <cell r="H715" t="str">
            <v>DISTRIBUIÇÃO</v>
          </cell>
          <cell r="I715" t="str">
            <v>FOOD SERVICE</v>
          </cell>
          <cell r="J715" t="str">
            <v>FLAC 6</v>
          </cell>
          <cell r="K715" t="str">
            <v>LACTALIS</v>
          </cell>
          <cell r="L715" t="str">
            <v>RODRIGO</v>
          </cell>
          <cell r="M715" t="str">
            <v>ALEXANDRO</v>
          </cell>
        </row>
        <row r="716">
          <cell r="B716">
            <v>5248300</v>
          </cell>
          <cell r="C716" t="str">
            <v>INTEGRAL ALIM COM E SERVICOS LT</v>
          </cell>
          <cell r="D716">
            <v>7001</v>
          </cell>
          <cell r="E716" t="str">
            <v>0749</v>
          </cell>
          <cell r="F716" t="str">
            <v>C5</v>
          </cell>
          <cell r="G716" t="str">
            <v>SP</v>
          </cell>
          <cell r="H716" t="str">
            <v>DISTRIBUIÇÃO</v>
          </cell>
          <cell r="I716" t="str">
            <v>FOOD SERVICE</v>
          </cell>
          <cell r="J716" t="str">
            <v>FLAC 3</v>
          </cell>
          <cell r="K716" t="str">
            <v>LACTALIS</v>
          </cell>
          <cell r="L716" t="str">
            <v>RODRIGO</v>
          </cell>
          <cell r="M716" t="str">
            <v>ALEXANDRO</v>
          </cell>
        </row>
        <row r="717">
          <cell r="B717">
            <v>5331926</v>
          </cell>
          <cell r="C717" t="str">
            <v>INTERBRANDS FOODS LTDA</v>
          </cell>
          <cell r="D717">
            <v>7001</v>
          </cell>
          <cell r="E717" t="str">
            <v>0749</v>
          </cell>
          <cell r="F717" t="str">
            <v>C5</v>
          </cell>
          <cell r="G717" t="str">
            <v>SP</v>
          </cell>
          <cell r="H717" t="str">
            <v>DISTRIBUIÇÃO</v>
          </cell>
          <cell r="I717" t="str">
            <v>FOOD SERVICE</v>
          </cell>
          <cell r="J717" t="str">
            <v>FLAC 1</v>
          </cell>
          <cell r="K717" t="str">
            <v>LACTALIS</v>
          </cell>
          <cell r="L717" t="str">
            <v>RODRIGO</v>
          </cell>
          <cell r="M717" t="str">
            <v>ALEXANDRO</v>
          </cell>
        </row>
        <row r="718">
          <cell r="B718">
            <v>5315360</v>
          </cell>
          <cell r="C718" t="str">
            <v>INTERBRANDS FOODS LTDA</v>
          </cell>
          <cell r="D718">
            <v>7001</v>
          </cell>
          <cell r="E718" t="str">
            <v>0749</v>
          </cell>
          <cell r="F718" t="str">
            <v>C5</v>
          </cell>
          <cell r="G718" t="str">
            <v>SP</v>
          </cell>
          <cell r="H718" t="str">
            <v>DISTRIBUIÇÃO</v>
          </cell>
          <cell r="I718" t="str">
            <v>FOOD SERVICE</v>
          </cell>
          <cell r="J718" t="str">
            <v>FLAC 1</v>
          </cell>
          <cell r="K718" t="str">
            <v>LACTALIS</v>
          </cell>
          <cell r="L718" t="str">
            <v>RODRIGO</v>
          </cell>
          <cell r="M718" t="str">
            <v>ALEXANDRO</v>
          </cell>
        </row>
        <row r="719">
          <cell r="B719">
            <v>5283807</v>
          </cell>
          <cell r="C719" t="str">
            <v>INTERCOFFEE COMERCIO E INDUSTRI</v>
          </cell>
          <cell r="D719">
            <v>4001</v>
          </cell>
          <cell r="E719" t="str">
            <v>0423</v>
          </cell>
          <cell r="F719" t="str">
            <v>C5</v>
          </cell>
          <cell r="G719" t="str">
            <v>SP</v>
          </cell>
          <cell r="H719" t="str">
            <v>INGREDIENTS</v>
          </cell>
          <cell r="I719" t="str">
            <v>INGREDIENTS</v>
          </cell>
          <cell r="J719" t="str">
            <v>JOEL ELEOTÉRIO</v>
          </cell>
          <cell r="K719" t="str">
            <v>LACTALIS</v>
          </cell>
          <cell r="L719" t="str">
            <v>MAURICIO</v>
          </cell>
          <cell r="M719" t="str">
            <v>JOEL</v>
          </cell>
        </row>
        <row r="720">
          <cell r="B720">
            <v>5282200</v>
          </cell>
          <cell r="C720" t="str">
            <v>INTERCOLOR IND E COM DE PLAST LT</v>
          </cell>
          <cell r="D720">
            <v>7001</v>
          </cell>
          <cell r="E720" t="str">
            <v>0749</v>
          </cell>
          <cell r="F720" t="str">
            <v>C5</v>
          </cell>
          <cell r="G720" t="str">
            <v>SP</v>
          </cell>
          <cell r="H720" t="str">
            <v>DISTRIBUIÇÃO</v>
          </cell>
          <cell r="I720" t="str">
            <v>FOOD SERVICE</v>
          </cell>
          <cell r="J720" t="str">
            <v>FLAC 3</v>
          </cell>
          <cell r="K720" t="str">
            <v>LACTALIS</v>
          </cell>
          <cell r="L720" t="str">
            <v>RODRIGO</v>
          </cell>
          <cell r="M720" t="str">
            <v>ALEXANDRO</v>
          </cell>
        </row>
        <row r="721">
          <cell r="B721">
            <v>5261089</v>
          </cell>
          <cell r="C721" t="str">
            <v>INTERFRIOS COM FRIOS LATCINIOS</v>
          </cell>
          <cell r="D721">
            <v>6001</v>
          </cell>
          <cell r="E721" t="str">
            <v>6125</v>
          </cell>
          <cell r="F721" t="str">
            <v>C1</v>
          </cell>
          <cell r="G721" t="str">
            <v>SP</v>
          </cell>
          <cell r="H721" t="str">
            <v>DISTRIBUIÇÃO</v>
          </cell>
          <cell r="I721" t="str">
            <v>FOOD SERVICE</v>
          </cell>
          <cell r="J721" t="str">
            <v>GUILHERME NASCIMENTO</v>
          </cell>
          <cell r="K721" t="str">
            <v>ITAMBÉ</v>
          </cell>
          <cell r="L721" t="str">
            <v>RODRIGO</v>
          </cell>
          <cell r="M721" t="str">
            <v>ALEXANDRO</v>
          </cell>
        </row>
        <row r="722">
          <cell r="B722">
            <v>5319782</v>
          </cell>
          <cell r="C722" t="str">
            <v>INTERLAC COM E IND DE ALIMENTOS</v>
          </cell>
          <cell r="D722">
            <v>6001</v>
          </cell>
          <cell r="E722" t="str">
            <v>6125</v>
          </cell>
          <cell r="F722" t="str">
            <v>C1</v>
          </cell>
          <cell r="G722" t="str">
            <v>SP</v>
          </cell>
          <cell r="H722" t="str">
            <v>INGREDIENTS</v>
          </cell>
          <cell r="I722" t="str">
            <v>INGREDIENTS</v>
          </cell>
          <cell r="J722" t="str">
            <v>HENRIQUE FERREIRA</v>
          </cell>
          <cell r="K722" t="str">
            <v>ITAMBÉ</v>
          </cell>
          <cell r="L722" t="str">
            <v>MAURICIO</v>
          </cell>
          <cell r="M722" t="str">
            <v>JOEL</v>
          </cell>
        </row>
        <row r="723">
          <cell r="B723">
            <v>5141863</v>
          </cell>
          <cell r="C723" t="str">
            <v>INTERNATIONAL MEAL COMPANY ALIMENTA</v>
          </cell>
          <cell r="D723">
            <v>3001</v>
          </cell>
          <cell r="E723" t="str">
            <v>0122</v>
          </cell>
          <cell r="F723" t="str">
            <v>C1</v>
          </cell>
          <cell r="G723" t="str">
            <v>MG</v>
          </cell>
          <cell r="H723" t="str">
            <v>QSR</v>
          </cell>
          <cell r="I723" t="str">
            <v>FOOD SERVICE</v>
          </cell>
          <cell r="J723" t="str">
            <v>AMANDA CARVALHO</v>
          </cell>
          <cell r="K723" t="str">
            <v>ITAMBÉ</v>
          </cell>
          <cell r="L723" t="str">
            <v>PEDRO</v>
          </cell>
          <cell r="M723" t="str">
            <v>AMANDA</v>
          </cell>
        </row>
        <row r="724">
          <cell r="B724">
            <v>5108984</v>
          </cell>
          <cell r="C724" t="str">
            <v>IRMAOS BENASSI PROD E DIST DE F</v>
          </cell>
          <cell r="D724">
            <v>4001</v>
          </cell>
          <cell r="E724" t="str">
            <v>0439</v>
          </cell>
          <cell r="F724" t="str">
            <v>C1</v>
          </cell>
          <cell r="G724" t="str">
            <v>RJ</v>
          </cell>
          <cell r="H724" t="str">
            <v>DISTRIBUIÇÃO</v>
          </cell>
          <cell r="I724" t="str">
            <v>FOOD SERVICE</v>
          </cell>
          <cell r="J724" t="str">
            <v>LUCIANA MARTINS</v>
          </cell>
          <cell r="K724" t="str">
            <v>LACTALIS</v>
          </cell>
          <cell r="L724" t="str">
            <v>RODRIGO</v>
          </cell>
          <cell r="M724" t="str">
            <v>JESSICA</v>
          </cell>
        </row>
        <row r="725">
          <cell r="B725">
            <v>5108984</v>
          </cell>
          <cell r="C725" t="str">
            <v>IRMAOS BENASSI PROD E DIST DE F</v>
          </cell>
          <cell r="D725">
            <v>3001</v>
          </cell>
          <cell r="E725" t="str">
            <v>0169</v>
          </cell>
          <cell r="F725" t="str">
            <v>C1</v>
          </cell>
          <cell r="G725" t="str">
            <v>RJ</v>
          </cell>
          <cell r="H725" t="str">
            <v>DISTRIBUIÇÃO</v>
          </cell>
          <cell r="I725" t="str">
            <v>FOOD SERVICE</v>
          </cell>
          <cell r="J725" t="str">
            <v>LUCIANA MARTINS</v>
          </cell>
          <cell r="K725" t="str">
            <v>ITAMBÉ</v>
          </cell>
          <cell r="L725" t="str">
            <v>RODRIGO</v>
          </cell>
          <cell r="M725" t="str">
            <v>JESSICA</v>
          </cell>
        </row>
        <row r="726">
          <cell r="B726">
            <v>5248296</v>
          </cell>
          <cell r="C726" t="str">
            <v>ISOBATA COMERCIO DE ALIMENTOS EIREL</v>
          </cell>
          <cell r="D726">
            <v>7001</v>
          </cell>
          <cell r="E726" t="str">
            <v>0749</v>
          </cell>
          <cell r="F726" t="str">
            <v>C5</v>
          </cell>
          <cell r="G726" t="str">
            <v>SP</v>
          </cell>
          <cell r="H726" t="str">
            <v>DISTRIBUIÇÃO</v>
          </cell>
          <cell r="I726" t="str">
            <v>FOOD SERVICE</v>
          </cell>
          <cell r="J726" t="str">
            <v>FLAC 3</v>
          </cell>
          <cell r="K726" t="str">
            <v>LACTALIS</v>
          </cell>
          <cell r="L726" t="str">
            <v>RODRIGO</v>
          </cell>
          <cell r="M726" t="str">
            <v>ALEXANDRO</v>
          </cell>
        </row>
        <row r="727">
          <cell r="B727">
            <v>5339186</v>
          </cell>
          <cell r="C727" t="str">
            <v>ISRAEL YAMANISHI DOS REIS</v>
          </cell>
          <cell r="D727">
            <v>6001</v>
          </cell>
          <cell r="E727" t="str">
            <v>6125</v>
          </cell>
          <cell r="F727" t="str">
            <v>C1</v>
          </cell>
          <cell r="G727" t="str">
            <v>SP</v>
          </cell>
          <cell r="H727" t="str">
            <v>INGREDIENTS</v>
          </cell>
          <cell r="I727" t="str">
            <v>INGREDIENTS</v>
          </cell>
          <cell r="J727" t="str">
            <v>DUAS RODAS</v>
          </cell>
          <cell r="K727" t="str">
            <v>ITAMBÉ</v>
          </cell>
          <cell r="L727" t="str">
            <v>MAURICIO</v>
          </cell>
          <cell r="M727" t="str">
            <v>TATIANA NITTA</v>
          </cell>
        </row>
        <row r="728">
          <cell r="B728">
            <v>5235395</v>
          </cell>
          <cell r="C728" t="str">
            <v>ITAIPUGRIL BAR E RESTAURANTE LTDA</v>
          </cell>
          <cell r="D728">
            <v>7001</v>
          </cell>
          <cell r="E728" t="str">
            <v>0749</v>
          </cell>
          <cell r="F728" t="str">
            <v>C5</v>
          </cell>
          <cell r="G728" t="str">
            <v>SP</v>
          </cell>
          <cell r="H728" t="str">
            <v>DISTRIBUIÇÃO</v>
          </cell>
          <cell r="I728" t="str">
            <v>FOOD SERVICE</v>
          </cell>
          <cell r="J728" t="str">
            <v>FLAC 2</v>
          </cell>
          <cell r="K728" t="str">
            <v>LACTALIS</v>
          </cell>
          <cell r="L728" t="str">
            <v>RODRIGO</v>
          </cell>
          <cell r="M728" t="str">
            <v>ALEXANDRO</v>
          </cell>
        </row>
        <row r="729">
          <cell r="B729">
            <v>5282212</v>
          </cell>
          <cell r="C729" t="str">
            <v>ITAL BRONZE LTDA</v>
          </cell>
          <cell r="D729">
            <v>7001</v>
          </cell>
          <cell r="E729" t="str">
            <v>0749</v>
          </cell>
          <cell r="F729" t="str">
            <v>C5</v>
          </cell>
          <cell r="G729" t="str">
            <v>SP</v>
          </cell>
          <cell r="H729" t="str">
            <v>DISTRIBUIÇÃO</v>
          </cell>
          <cell r="I729" t="str">
            <v>FOOD SERVICE</v>
          </cell>
          <cell r="J729" t="str">
            <v>FLAC 3</v>
          </cell>
          <cell r="K729" t="str">
            <v>LACTALIS</v>
          </cell>
          <cell r="L729" t="str">
            <v>RODRIGO</v>
          </cell>
          <cell r="M729" t="str">
            <v>ALEXANDRO</v>
          </cell>
        </row>
        <row r="730">
          <cell r="B730">
            <v>5221074</v>
          </cell>
          <cell r="C730" t="str">
            <v>ITATI INDUSTRIA DE ALIM E CHOC</v>
          </cell>
          <cell r="D730">
            <v>6001</v>
          </cell>
          <cell r="E730" t="str">
            <v>6125</v>
          </cell>
          <cell r="F730" t="str">
            <v>C1</v>
          </cell>
          <cell r="G730" t="str">
            <v>SP</v>
          </cell>
          <cell r="H730" t="str">
            <v>INGREDIENTS</v>
          </cell>
          <cell r="I730" t="str">
            <v>INGREDIENTS</v>
          </cell>
          <cell r="J730" t="str">
            <v>HENRIQUE FERREIRA</v>
          </cell>
          <cell r="K730" t="str">
            <v>ITAMBÉ</v>
          </cell>
          <cell r="L730" t="str">
            <v>MAURICIO</v>
          </cell>
          <cell r="M730" t="str">
            <v>JOEL</v>
          </cell>
        </row>
        <row r="731">
          <cell r="B731">
            <v>5099100</v>
          </cell>
          <cell r="C731" t="str">
            <v>J A COELHO E CIA LTDA</v>
          </cell>
          <cell r="D731">
            <v>4001</v>
          </cell>
          <cell r="E731" t="str">
            <v>0455</v>
          </cell>
          <cell r="F731" t="str">
            <v>C1</v>
          </cell>
          <cell r="G731" t="str">
            <v>PR</v>
          </cell>
          <cell r="H731" t="str">
            <v>INGREDIENTS</v>
          </cell>
          <cell r="I731" t="str">
            <v>INGREDIENTS</v>
          </cell>
          <cell r="J731" t="str">
            <v>MARCELO RODRIGUES</v>
          </cell>
          <cell r="K731" t="str">
            <v>LACTALIS</v>
          </cell>
          <cell r="L731" t="str">
            <v>MAURICIO</v>
          </cell>
          <cell r="M731" t="str">
            <v>MARCELO</v>
          </cell>
        </row>
        <row r="732">
          <cell r="B732">
            <v>5226443</v>
          </cell>
          <cell r="C732" t="str">
            <v>J A DISTRIBUIDORA LTDA</v>
          </cell>
          <cell r="D732">
            <v>3001</v>
          </cell>
          <cell r="E732" t="str">
            <v>0127</v>
          </cell>
          <cell r="F732" t="str">
            <v>C1</v>
          </cell>
          <cell r="G732" t="str">
            <v>CE</v>
          </cell>
          <cell r="H732" t="str">
            <v>DISTRIBUIÇÃO</v>
          </cell>
          <cell r="I732" t="str">
            <v>FOOD SERVICE</v>
          </cell>
          <cell r="J732" t="str">
            <v>WH FOOD SERVICE CE</v>
          </cell>
          <cell r="K732" t="str">
            <v>ITAMBÉ</v>
          </cell>
          <cell r="L732" t="str">
            <v>RODRIGO</v>
          </cell>
          <cell r="M732" t="str">
            <v>VAGO NORDESTE</v>
          </cell>
        </row>
        <row r="733">
          <cell r="B733">
            <v>5115019</v>
          </cell>
          <cell r="C733" t="str">
            <v>J ARAUJO DISTRIBUIDORA IMP E EXP SA</v>
          </cell>
          <cell r="D733">
            <v>3001</v>
          </cell>
          <cell r="E733" t="str">
            <v>0169</v>
          </cell>
          <cell r="F733" t="str">
            <v>C1</v>
          </cell>
          <cell r="G733" t="str">
            <v>RJ</v>
          </cell>
          <cell r="H733" t="str">
            <v>DISTRIBUIÇÃO</v>
          </cell>
          <cell r="I733" t="str">
            <v>FOOD SERVICE</v>
          </cell>
          <cell r="J733" t="str">
            <v>JESSICA CARLA</v>
          </cell>
          <cell r="K733" t="str">
            <v>ITAMBÉ</v>
          </cell>
          <cell r="L733" t="str">
            <v>RODRIGO</v>
          </cell>
          <cell r="M733" t="str">
            <v>JESSICA</v>
          </cell>
        </row>
        <row r="734">
          <cell r="B734">
            <v>5253127</v>
          </cell>
          <cell r="C734" t="str">
            <v>J E F E RSTAURANTE</v>
          </cell>
          <cell r="D734">
            <v>7001</v>
          </cell>
          <cell r="E734" t="str">
            <v>0749</v>
          </cell>
          <cell r="F734" t="str">
            <v>C5</v>
          </cell>
          <cell r="G734" t="str">
            <v>SP</v>
          </cell>
          <cell r="H734" t="str">
            <v>DISTRIBUIÇÃO</v>
          </cell>
          <cell r="I734" t="str">
            <v>FOOD SERVICE</v>
          </cell>
          <cell r="J734" t="str">
            <v>FLAC 6</v>
          </cell>
          <cell r="K734" t="str">
            <v>LACTALIS</v>
          </cell>
          <cell r="L734" t="str">
            <v>RODRIGO</v>
          </cell>
          <cell r="M734" t="str">
            <v>ALEXANDRO</v>
          </cell>
        </row>
        <row r="735">
          <cell r="B735">
            <v>5027929</v>
          </cell>
          <cell r="C735" t="str">
            <v>J S COMERCIAL DE ALIMENTOS LTDA</v>
          </cell>
          <cell r="D735">
            <v>7001</v>
          </cell>
          <cell r="E735" t="str">
            <v>0749</v>
          </cell>
          <cell r="F735" t="str">
            <v>C5</v>
          </cell>
          <cell r="G735" t="str">
            <v>SP</v>
          </cell>
          <cell r="H735" t="str">
            <v>DISTRIBUIÇÃO</v>
          </cell>
          <cell r="I735" t="str">
            <v>FOOD SERVICE</v>
          </cell>
          <cell r="J735" t="str">
            <v>FLAC 1</v>
          </cell>
          <cell r="K735" t="str">
            <v>LACTALIS</v>
          </cell>
          <cell r="L735" t="str">
            <v>RODRIGO</v>
          </cell>
          <cell r="M735" t="str">
            <v>ALEXANDRO</v>
          </cell>
        </row>
        <row r="736">
          <cell r="B736">
            <v>5331205</v>
          </cell>
          <cell r="C736" t="str">
            <v>JA SAUDE ANIMAL AS</v>
          </cell>
          <cell r="D736">
            <v>7001</v>
          </cell>
          <cell r="E736" t="str">
            <v>0749</v>
          </cell>
          <cell r="F736" t="str">
            <v>C5</v>
          </cell>
          <cell r="G736" t="str">
            <v>SP</v>
          </cell>
          <cell r="H736" t="str">
            <v>DISTRIBUIÇÃO</v>
          </cell>
          <cell r="I736" t="str">
            <v>FOOD SERVICE</v>
          </cell>
          <cell r="J736" t="str">
            <v>FLAC 6</v>
          </cell>
          <cell r="K736" t="str">
            <v>LACTALIS</v>
          </cell>
          <cell r="L736" t="str">
            <v>RODRIGO</v>
          </cell>
          <cell r="M736" t="str">
            <v>ALEXANDRO</v>
          </cell>
        </row>
        <row r="737">
          <cell r="B737">
            <v>5199893</v>
          </cell>
          <cell r="C737" t="str">
            <v>JADE COM ATAC DE PROD EM SACHES LTD</v>
          </cell>
          <cell r="D737">
            <v>3001</v>
          </cell>
          <cell r="E737" t="str">
            <v>0126</v>
          </cell>
          <cell r="F737" t="str">
            <v>C1</v>
          </cell>
          <cell r="G737" t="str">
            <v>SC</v>
          </cell>
          <cell r="H737" t="str">
            <v>DISTRIBUIÇÃO</v>
          </cell>
          <cell r="I737" t="str">
            <v>FOOD SERVICE</v>
          </cell>
          <cell r="J737" t="str">
            <v>ANTÔNIO SOUZA</v>
          </cell>
          <cell r="K737" t="str">
            <v>ITAMBÉ</v>
          </cell>
          <cell r="L737" t="str">
            <v>RODRIGO</v>
          </cell>
          <cell r="M737" t="str">
            <v>VAGO SUL</v>
          </cell>
        </row>
        <row r="738">
          <cell r="B738">
            <v>5297137</v>
          </cell>
          <cell r="C738" t="str">
            <v>JAU PIZZA BAR TERREO LTDA</v>
          </cell>
          <cell r="D738">
            <v>7001</v>
          </cell>
          <cell r="E738" t="str">
            <v>0749</v>
          </cell>
          <cell r="F738" t="str">
            <v>C5</v>
          </cell>
          <cell r="G738" t="str">
            <v>SP</v>
          </cell>
          <cell r="H738" t="str">
            <v>DISTRIBUIÇÃO</v>
          </cell>
          <cell r="I738" t="str">
            <v>FOOD SERVICE</v>
          </cell>
          <cell r="J738" t="str">
            <v>FLAC 3</v>
          </cell>
          <cell r="K738" t="str">
            <v>LACTALIS</v>
          </cell>
          <cell r="L738" t="str">
            <v>RODRIGO</v>
          </cell>
          <cell r="M738" t="str">
            <v>ALEXANDRO</v>
          </cell>
        </row>
        <row r="739">
          <cell r="B739">
            <v>5008478</v>
          </cell>
          <cell r="C739" t="str">
            <v>JCA FOODS COM DE PROD ALIM LTDA</v>
          </cell>
          <cell r="D739">
            <v>7001</v>
          </cell>
          <cell r="E739" t="str">
            <v>0722</v>
          </cell>
          <cell r="F739" t="str">
            <v>C1</v>
          </cell>
          <cell r="G739" t="str">
            <v>SP</v>
          </cell>
          <cell r="H739" t="str">
            <v>DISTRIBUIÇÃO</v>
          </cell>
          <cell r="I739" t="str">
            <v>FOOD SERVICE</v>
          </cell>
          <cell r="J739" t="str">
            <v>LUCAS ANDRADE</v>
          </cell>
          <cell r="K739" t="str">
            <v>LACTALIS</v>
          </cell>
          <cell r="L739" t="str">
            <v>RODRIGO</v>
          </cell>
          <cell r="M739" t="str">
            <v>RAQUEL BARBOSA</v>
          </cell>
        </row>
        <row r="740">
          <cell r="B740">
            <v>5225153</v>
          </cell>
          <cell r="C740" t="str">
            <v>JD DISTRIBUIDORA LTDA</v>
          </cell>
          <cell r="D740">
            <v>3001</v>
          </cell>
          <cell r="E740" t="str">
            <v>0169</v>
          </cell>
          <cell r="F740" t="str">
            <v>C1</v>
          </cell>
          <cell r="G740" t="str">
            <v>ES</v>
          </cell>
          <cell r="H740" t="str">
            <v>DISTRIBUIÇÃO</v>
          </cell>
          <cell r="I740" t="str">
            <v>FOOD SERVICE</v>
          </cell>
          <cell r="J740" t="str">
            <v>MARCELO DUARTE</v>
          </cell>
          <cell r="K740" t="str">
            <v>ITAMBÉ</v>
          </cell>
          <cell r="L740" t="str">
            <v>RODRIGO</v>
          </cell>
          <cell r="M740" t="str">
            <v>JESSICA</v>
          </cell>
        </row>
        <row r="741">
          <cell r="B741">
            <v>5204488</v>
          </cell>
          <cell r="C741" t="str">
            <v>JEFERSON AMARAL DA CUNHA</v>
          </cell>
          <cell r="D741">
            <v>3001</v>
          </cell>
          <cell r="E741" t="str">
            <v>0126</v>
          </cell>
          <cell r="F741" t="str">
            <v>C1</v>
          </cell>
          <cell r="G741" t="str">
            <v>PR</v>
          </cell>
          <cell r="H741" t="str">
            <v>INGREDIENTS</v>
          </cell>
          <cell r="I741" t="str">
            <v>INGREDIENTS</v>
          </cell>
          <cell r="J741" t="str">
            <v>DUAS RODAS</v>
          </cell>
          <cell r="K741" t="str">
            <v>ITAMBÉ</v>
          </cell>
          <cell r="L741" t="str">
            <v>MAURICIO</v>
          </cell>
          <cell r="M741" t="str">
            <v>MARCELO</v>
          </cell>
        </row>
        <row r="742">
          <cell r="B742">
            <v>5228735</v>
          </cell>
          <cell r="C742" t="str">
            <v>JETRO CA FERREIRA ME</v>
          </cell>
          <cell r="D742">
            <v>3001</v>
          </cell>
          <cell r="E742" t="str">
            <v>0126</v>
          </cell>
          <cell r="F742" t="str">
            <v>C1</v>
          </cell>
          <cell r="G742" t="str">
            <v>PR</v>
          </cell>
          <cell r="H742" t="str">
            <v>INGREDIENTS</v>
          </cell>
          <cell r="I742" t="str">
            <v>INGREDIENTS</v>
          </cell>
          <cell r="J742" t="str">
            <v>DUAS RODAS</v>
          </cell>
          <cell r="K742" t="str">
            <v>ITAMBÉ</v>
          </cell>
          <cell r="L742" t="str">
            <v>MAURICIO</v>
          </cell>
          <cell r="M742" t="str">
            <v>MARCELO</v>
          </cell>
        </row>
        <row r="743">
          <cell r="B743">
            <v>5228735</v>
          </cell>
          <cell r="C743" t="str">
            <v>JETRO CA FERREIRA ME</v>
          </cell>
          <cell r="D743">
            <v>3001</v>
          </cell>
          <cell r="E743" t="str">
            <v>0028</v>
          </cell>
          <cell r="F743" t="str">
            <v>C1</v>
          </cell>
          <cell r="G743" t="str">
            <v>PR</v>
          </cell>
          <cell r="H743" t="str">
            <v>INGREDIENTS</v>
          </cell>
          <cell r="I743" t="str">
            <v>INGREDIENTS</v>
          </cell>
          <cell r="J743" t="str">
            <v>DUAS RODAS</v>
          </cell>
          <cell r="K743" t="str">
            <v>ITAMBÉ</v>
          </cell>
          <cell r="L743" t="str">
            <v>MAURICIO</v>
          </cell>
          <cell r="M743" t="str">
            <v>MARCELO</v>
          </cell>
        </row>
        <row r="744">
          <cell r="B744">
            <v>5331354</v>
          </cell>
          <cell r="C744" t="str">
            <v>JFS ALIMENTOS LTDA</v>
          </cell>
          <cell r="D744">
            <v>6001</v>
          </cell>
          <cell r="E744" t="str">
            <v>6125</v>
          </cell>
          <cell r="F744" t="str">
            <v>C1</v>
          </cell>
          <cell r="G744" t="str">
            <v>SP</v>
          </cell>
          <cell r="H744" t="str">
            <v>INGREDIENTS</v>
          </cell>
          <cell r="I744" t="str">
            <v>INGREDIENTS</v>
          </cell>
          <cell r="J744" t="str">
            <v>MARCELO RODRIGUES</v>
          </cell>
          <cell r="K744" t="str">
            <v>ITAMBÉ</v>
          </cell>
          <cell r="L744" t="str">
            <v>MAURICIO</v>
          </cell>
          <cell r="M744" t="str">
            <v>MARCELO</v>
          </cell>
        </row>
        <row r="745">
          <cell r="B745">
            <v>5163860</v>
          </cell>
          <cell r="C745" t="str">
            <v>JG ESPACO DO CHEF LTDA</v>
          </cell>
          <cell r="D745">
            <v>3001</v>
          </cell>
          <cell r="E745" t="str">
            <v>0127</v>
          </cell>
          <cell r="F745" t="str">
            <v>C1</v>
          </cell>
          <cell r="G745" t="str">
            <v>RN</v>
          </cell>
          <cell r="H745" t="str">
            <v>DISTRIBUIÇÃO</v>
          </cell>
          <cell r="I745" t="str">
            <v>FOOD SERVICE</v>
          </cell>
          <cell r="J745" t="str">
            <v>CLAUDIO JORGE</v>
          </cell>
          <cell r="K745" t="str">
            <v>ITAMBÉ</v>
          </cell>
          <cell r="L745" t="str">
            <v>RODRIGO</v>
          </cell>
          <cell r="M745" t="str">
            <v>VAGO NORDESTE</v>
          </cell>
        </row>
        <row r="746">
          <cell r="B746">
            <v>5339889</v>
          </cell>
          <cell r="C746" t="str">
            <v>JJ GELATOS LTDA</v>
          </cell>
          <cell r="D746">
            <v>7001</v>
          </cell>
          <cell r="E746" t="str">
            <v>0749</v>
          </cell>
          <cell r="F746" t="str">
            <v>C5</v>
          </cell>
          <cell r="G746" t="str">
            <v>SP</v>
          </cell>
          <cell r="H746" t="str">
            <v>DISTRIBUIÇÃO</v>
          </cell>
          <cell r="I746" t="str">
            <v>FOOD SERVICE</v>
          </cell>
          <cell r="J746" t="str">
            <v>FLAC 3</v>
          </cell>
          <cell r="K746" t="str">
            <v>LACTALIS</v>
          </cell>
          <cell r="L746" t="str">
            <v>RODRIGO</v>
          </cell>
          <cell r="M746" t="str">
            <v>ALEXANDRO</v>
          </cell>
        </row>
        <row r="747">
          <cell r="B747">
            <v>5229983</v>
          </cell>
          <cell r="C747" t="str">
            <v>JMC SERVICOS E TERCEIRIZACOES LTDA</v>
          </cell>
          <cell r="D747">
            <v>3001</v>
          </cell>
          <cell r="E747" t="str">
            <v>0127</v>
          </cell>
          <cell r="F747" t="str">
            <v>C1</v>
          </cell>
          <cell r="G747" t="str">
            <v>PE</v>
          </cell>
          <cell r="H747" t="str">
            <v>DISTRIBUIÇÃO</v>
          </cell>
          <cell r="I747" t="str">
            <v>FOOD SERVICE</v>
          </cell>
          <cell r="J747" t="str">
            <v>CLAUDIO JORGE</v>
          </cell>
          <cell r="K747" t="str">
            <v>ITAMBÉ</v>
          </cell>
          <cell r="L747" t="str">
            <v>RODRIGO</v>
          </cell>
          <cell r="M747" t="str">
            <v>VAGO NORDESTE</v>
          </cell>
        </row>
        <row r="748">
          <cell r="B748">
            <v>5166159</v>
          </cell>
          <cell r="C748" t="str">
            <v>JME RAUTA COM DIST LTDA</v>
          </cell>
          <cell r="D748">
            <v>3001</v>
          </cell>
          <cell r="E748" t="str">
            <v>0169</v>
          </cell>
          <cell r="F748" t="str">
            <v>C1</v>
          </cell>
          <cell r="G748" t="str">
            <v>RJ</v>
          </cell>
          <cell r="H748" t="str">
            <v>DISTRIBUIÇÃO</v>
          </cell>
          <cell r="I748" t="str">
            <v>FOOD SERVICE</v>
          </cell>
          <cell r="J748" t="str">
            <v>LUCIANA MARTINS</v>
          </cell>
          <cell r="K748" t="str">
            <v>ITAMBÉ</v>
          </cell>
          <cell r="L748" t="str">
            <v>RODRIGO</v>
          </cell>
          <cell r="M748" t="str">
            <v>JESSICA</v>
          </cell>
        </row>
        <row r="749">
          <cell r="B749">
            <v>5220627</v>
          </cell>
          <cell r="C749" t="str">
            <v>JME RAUTA COMERCIAL DISTRIBUIDORA</v>
          </cell>
          <cell r="D749">
            <v>3001</v>
          </cell>
          <cell r="E749" t="str">
            <v>0028</v>
          </cell>
          <cell r="F749" t="str">
            <v>C1</v>
          </cell>
          <cell r="G749" t="str">
            <v>RJ</v>
          </cell>
          <cell r="H749" t="str">
            <v>DISTRIBUIÇÃO</v>
          </cell>
          <cell r="I749" t="str">
            <v>FOOD SERVICE</v>
          </cell>
          <cell r="J749" t="str">
            <v>LUCIANA MARTINS</v>
          </cell>
          <cell r="K749" t="str">
            <v>ITAMBÉ</v>
          </cell>
          <cell r="L749" t="str">
            <v>RODRIGO</v>
          </cell>
          <cell r="M749" t="str">
            <v>JESSICA</v>
          </cell>
        </row>
        <row r="750">
          <cell r="B750">
            <v>5317022</v>
          </cell>
          <cell r="C750" t="str">
            <v>JMR VAREJO DE ALIMENTOS LTDA</v>
          </cell>
          <cell r="D750">
            <v>7001</v>
          </cell>
          <cell r="E750" t="str">
            <v>0749</v>
          </cell>
          <cell r="F750" t="str">
            <v>C5</v>
          </cell>
          <cell r="G750" t="str">
            <v>SP</v>
          </cell>
          <cell r="H750" t="str">
            <v>DISTRIBUIÇÃO</v>
          </cell>
          <cell r="I750" t="str">
            <v>FOOD SERVICE</v>
          </cell>
          <cell r="J750" t="str">
            <v>FLAC 3</v>
          </cell>
          <cell r="K750" t="str">
            <v>LACTALIS</v>
          </cell>
          <cell r="L750" t="str">
            <v>RODRIGO</v>
          </cell>
          <cell r="M750" t="str">
            <v>ALEXANDRO</v>
          </cell>
        </row>
        <row r="751">
          <cell r="B751">
            <v>5234259</v>
          </cell>
          <cell r="C751" t="str">
            <v>JMW FOODS DISTRIBUIDORA DE ALIM</v>
          </cell>
          <cell r="D751">
            <v>6001</v>
          </cell>
          <cell r="E751" t="str">
            <v>6125</v>
          </cell>
          <cell r="F751" t="str">
            <v>C1</v>
          </cell>
          <cell r="G751" t="str">
            <v>SP</v>
          </cell>
          <cell r="H751" t="str">
            <v>DISTRIBUIÇÃO</v>
          </cell>
          <cell r="I751" t="str">
            <v>FOOD SERVICE</v>
          </cell>
          <cell r="J751" t="str">
            <v>GUILHERME NASCIMENTO</v>
          </cell>
          <cell r="K751" t="str">
            <v>ITAMBÉ</v>
          </cell>
          <cell r="L751" t="str">
            <v>RODRIGO</v>
          </cell>
          <cell r="M751" t="str">
            <v>ALEXANDRO</v>
          </cell>
        </row>
        <row r="752">
          <cell r="B752">
            <v>5261294</v>
          </cell>
          <cell r="C752" t="str">
            <v>JMW FOODS DISTRIBUIDORA DE ALIM LTD</v>
          </cell>
          <cell r="D752">
            <v>6001</v>
          </cell>
          <cell r="E752" t="str">
            <v>6125</v>
          </cell>
          <cell r="F752" t="str">
            <v>C1</v>
          </cell>
          <cell r="G752" t="str">
            <v>SP</v>
          </cell>
          <cell r="H752" t="str">
            <v>DISTRIBUIÇÃO</v>
          </cell>
          <cell r="I752" t="str">
            <v>FOOD SERVICE</v>
          </cell>
          <cell r="J752" t="str">
            <v>GUILHERME NASCIMENTO</v>
          </cell>
          <cell r="K752" t="str">
            <v>ITAMBÉ</v>
          </cell>
          <cell r="L752" t="str">
            <v>RODRIGO</v>
          </cell>
          <cell r="M752" t="str">
            <v>ALEXANDRO</v>
          </cell>
        </row>
        <row r="753">
          <cell r="B753">
            <v>5263514</v>
          </cell>
          <cell r="C753" t="str">
            <v>JOANA DARK MARQUES DA SILVEIRA</v>
          </cell>
          <cell r="D753">
            <v>7001</v>
          </cell>
          <cell r="E753" t="str">
            <v>0749</v>
          </cell>
          <cell r="F753" t="str">
            <v>C5</v>
          </cell>
          <cell r="G753" t="str">
            <v>SP</v>
          </cell>
          <cell r="H753" t="str">
            <v>DISTRIBUIÇÃO</v>
          </cell>
          <cell r="I753" t="str">
            <v>FOOD SERVICE</v>
          </cell>
          <cell r="J753" t="str">
            <v>FLAC 2</v>
          </cell>
          <cell r="K753" t="str">
            <v>LACTALIS</v>
          </cell>
          <cell r="L753" t="str">
            <v>RODRIGO</v>
          </cell>
          <cell r="M753" t="str">
            <v>ALEXANDRO</v>
          </cell>
        </row>
        <row r="754">
          <cell r="B754">
            <v>5248517</v>
          </cell>
          <cell r="C754" t="str">
            <v>JOEL ANGRISANI JUNIOR ME</v>
          </cell>
          <cell r="D754">
            <v>7001</v>
          </cell>
          <cell r="E754" t="str">
            <v>0749</v>
          </cell>
          <cell r="F754" t="str">
            <v>C5</v>
          </cell>
          <cell r="G754" t="str">
            <v>SP</v>
          </cell>
          <cell r="H754" t="str">
            <v>DISTRIBUIÇÃO</v>
          </cell>
          <cell r="I754" t="str">
            <v>FOOD SERVICE</v>
          </cell>
          <cell r="J754" t="str">
            <v>FLAC 3</v>
          </cell>
          <cell r="K754" t="str">
            <v>LACTALIS</v>
          </cell>
          <cell r="L754" t="str">
            <v>RODRIGO</v>
          </cell>
          <cell r="M754" t="str">
            <v>ALEXANDRO</v>
          </cell>
        </row>
        <row r="755">
          <cell r="B755">
            <v>5228686</v>
          </cell>
          <cell r="C755" t="str">
            <v>JOSE EDMAR JUNIOR GUEDES</v>
          </cell>
          <cell r="D755">
            <v>3001</v>
          </cell>
          <cell r="E755" t="str">
            <v>0127</v>
          </cell>
          <cell r="F755" t="str">
            <v>C1</v>
          </cell>
          <cell r="G755" t="str">
            <v>CE</v>
          </cell>
          <cell r="H755" t="str">
            <v>DISTRIBUIÇÃO</v>
          </cell>
          <cell r="I755" t="str">
            <v>FOOD SERVICE</v>
          </cell>
          <cell r="J755" t="str">
            <v>WH FOOD SERVICE CE</v>
          </cell>
          <cell r="K755" t="str">
            <v>ITAMBÉ</v>
          </cell>
          <cell r="L755" t="str">
            <v>RODRIGO</v>
          </cell>
          <cell r="M755" t="str">
            <v>VAGO NORDESTE</v>
          </cell>
        </row>
        <row r="756">
          <cell r="B756">
            <v>5330238</v>
          </cell>
          <cell r="C756" t="str">
            <v>JOSE J SASSON BINDSEIL 00396272</v>
          </cell>
          <cell r="D756">
            <v>7001</v>
          </cell>
          <cell r="E756" t="str">
            <v>0749</v>
          </cell>
          <cell r="F756" t="str">
            <v>C5</v>
          </cell>
          <cell r="G756" t="str">
            <v>SP</v>
          </cell>
          <cell r="H756" t="str">
            <v>DISTRIBUIÇÃO</v>
          </cell>
          <cell r="I756" t="str">
            <v>FOOD SERVICE</v>
          </cell>
          <cell r="J756" t="str">
            <v>FLAC 6</v>
          </cell>
          <cell r="K756" t="str">
            <v>LACTALIS</v>
          </cell>
          <cell r="L756" t="str">
            <v>RODRIGO</v>
          </cell>
          <cell r="M756" t="str">
            <v>ALEXANDRO</v>
          </cell>
        </row>
        <row r="757">
          <cell r="B757">
            <v>5208858</v>
          </cell>
          <cell r="C757" t="str">
            <v>JOSE MARIO GALLI DESIDERATO</v>
          </cell>
          <cell r="D757">
            <v>7001</v>
          </cell>
          <cell r="E757" t="str">
            <v>0749</v>
          </cell>
          <cell r="F757" t="str">
            <v>C5</v>
          </cell>
          <cell r="G757" t="str">
            <v>SP</v>
          </cell>
          <cell r="H757" t="str">
            <v>DISTRIBUIÇÃO</v>
          </cell>
          <cell r="I757" t="str">
            <v>FOOD SERVICE</v>
          </cell>
          <cell r="J757" t="str">
            <v>FLAC 2</v>
          </cell>
          <cell r="K757" t="str">
            <v>LACTALIS</v>
          </cell>
          <cell r="L757" t="str">
            <v>RODRIGO</v>
          </cell>
          <cell r="M757" t="str">
            <v>ALEXANDRO</v>
          </cell>
        </row>
        <row r="758">
          <cell r="B758">
            <v>5301161</v>
          </cell>
          <cell r="C758" t="str">
            <v>JOWI SUCOS LTDA</v>
          </cell>
          <cell r="D758">
            <v>7001</v>
          </cell>
          <cell r="E758" t="str">
            <v>0749</v>
          </cell>
          <cell r="F758" t="str">
            <v>C5</v>
          </cell>
          <cell r="G758" t="str">
            <v>SP</v>
          </cell>
          <cell r="H758" t="str">
            <v>QSR</v>
          </cell>
          <cell r="I758" t="str">
            <v>FOOD SERVICE</v>
          </cell>
          <cell r="J758" t="str">
            <v>NUTRI</v>
          </cell>
          <cell r="K758" t="str">
            <v>LACTALIS</v>
          </cell>
          <cell r="L758" t="str">
            <v>PEDRO</v>
          </cell>
          <cell r="M758" t="str">
            <v>AMANDA</v>
          </cell>
        </row>
        <row r="759">
          <cell r="B759">
            <v>5261194</v>
          </cell>
          <cell r="C759" t="str">
            <v>JUICE E JUICE SUCOS E LANCHES LTDA</v>
          </cell>
          <cell r="D759">
            <v>7001</v>
          </cell>
          <cell r="E759" t="str">
            <v>0749</v>
          </cell>
          <cell r="F759" t="str">
            <v>C5</v>
          </cell>
          <cell r="G759" t="str">
            <v>SP</v>
          </cell>
          <cell r="H759" t="str">
            <v>DISTRIBUIÇÃO</v>
          </cell>
          <cell r="I759" t="str">
            <v>FOOD SERVICE</v>
          </cell>
          <cell r="J759" t="str">
            <v>FLAC 6</v>
          </cell>
          <cell r="K759" t="str">
            <v>LACTALIS</v>
          </cell>
          <cell r="L759" t="str">
            <v>RODRIGO</v>
          </cell>
          <cell r="M759" t="str">
            <v>ALEXANDRO</v>
          </cell>
        </row>
        <row r="760">
          <cell r="B760">
            <v>5190780</v>
          </cell>
          <cell r="C760" t="str">
            <v>JULES PANIFICADORA E CONFEITARIA EI</v>
          </cell>
          <cell r="D760">
            <v>7001</v>
          </cell>
          <cell r="E760" t="str">
            <v>0722</v>
          </cell>
          <cell r="F760" t="str">
            <v>C1</v>
          </cell>
          <cell r="G760" t="str">
            <v>SP</v>
          </cell>
          <cell r="H760" t="str">
            <v>QSR</v>
          </cell>
          <cell r="I760" t="str">
            <v>FOOD SERVICE</v>
          </cell>
          <cell r="J760" t="str">
            <v>ANA MENIQUETE</v>
          </cell>
          <cell r="K760" t="str">
            <v>LACTALIS</v>
          </cell>
          <cell r="L760" t="str">
            <v>PEDRO</v>
          </cell>
          <cell r="M760" t="str">
            <v>ANA MENIQUETE</v>
          </cell>
        </row>
        <row r="761">
          <cell r="B761">
            <v>5301791</v>
          </cell>
          <cell r="C761" t="str">
            <v>JULIA NUSSBACHER</v>
          </cell>
          <cell r="D761">
            <v>7001</v>
          </cell>
          <cell r="E761" t="str">
            <v>0749</v>
          </cell>
          <cell r="F761" t="str">
            <v>C5</v>
          </cell>
          <cell r="G761" t="str">
            <v>SP</v>
          </cell>
          <cell r="H761" t="str">
            <v>DISTRIBUIÇÃO</v>
          </cell>
          <cell r="I761" t="str">
            <v>FOOD SERVICE</v>
          </cell>
          <cell r="J761" t="str">
            <v>FLAC 6</v>
          </cell>
          <cell r="K761" t="str">
            <v>LACTALIS</v>
          </cell>
          <cell r="L761" t="str">
            <v>RODRIGO</v>
          </cell>
          <cell r="M761" t="str">
            <v>ALEXANDRO</v>
          </cell>
        </row>
        <row r="762">
          <cell r="B762">
            <v>5171873</v>
          </cell>
          <cell r="C762" t="str">
            <v>JULIO YOKIO DEMIZU</v>
          </cell>
          <cell r="D762">
            <v>3001</v>
          </cell>
          <cell r="E762" t="str">
            <v>0126</v>
          </cell>
          <cell r="F762" t="str">
            <v>C1</v>
          </cell>
          <cell r="G762" t="str">
            <v>PR</v>
          </cell>
          <cell r="H762" t="str">
            <v>INGREDIENTS</v>
          </cell>
          <cell r="I762" t="str">
            <v>INGREDIENTS</v>
          </cell>
          <cell r="J762" t="str">
            <v>DUAS RODAS</v>
          </cell>
          <cell r="K762" t="str">
            <v>ITAMBÉ</v>
          </cell>
          <cell r="L762" t="str">
            <v>MAURICIO</v>
          </cell>
          <cell r="M762" t="str">
            <v>MARCELO</v>
          </cell>
        </row>
        <row r="763">
          <cell r="B763">
            <v>5255389</v>
          </cell>
          <cell r="C763" t="str">
            <v>JUST CUPCAKES CONFEITARIA E CAFETER</v>
          </cell>
          <cell r="D763">
            <v>7001</v>
          </cell>
          <cell r="E763" t="str">
            <v>0749</v>
          </cell>
          <cell r="F763" t="str">
            <v>C5</v>
          </cell>
          <cell r="G763" t="str">
            <v>SP</v>
          </cell>
          <cell r="H763" t="str">
            <v>DISTRIBUIÇÃO</v>
          </cell>
          <cell r="I763" t="str">
            <v>FOOD SERVICE</v>
          </cell>
          <cell r="J763" t="str">
            <v>FLAC 3</v>
          </cell>
          <cell r="K763" t="str">
            <v>LACTALIS</v>
          </cell>
          <cell r="L763" t="str">
            <v>RODRIGO</v>
          </cell>
          <cell r="M763" t="str">
            <v>ALEXANDRO</v>
          </cell>
        </row>
        <row r="764">
          <cell r="B764">
            <v>5167351</v>
          </cell>
          <cell r="C764" t="str">
            <v>K E L DISTRIBUIDORA DE ALIMENTO</v>
          </cell>
          <cell r="D764">
            <v>4001</v>
          </cell>
          <cell r="E764" t="str">
            <v>0437</v>
          </cell>
          <cell r="F764" t="str">
            <v>C1</v>
          </cell>
          <cell r="G764" t="str">
            <v>RS</v>
          </cell>
          <cell r="H764" t="str">
            <v>INGREDIENTS</v>
          </cell>
          <cell r="I764" t="str">
            <v>INGREDIENTS</v>
          </cell>
          <cell r="J764" t="str">
            <v>JOEL ELEOTÉRIO</v>
          </cell>
          <cell r="K764" t="str">
            <v>LACTALIS</v>
          </cell>
          <cell r="L764" t="str">
            <v>MAURICIO</v>
          </cell>
          <cell r="M764" t="str">
            <v>JOEL</v>
          </cell>
        </row>
        <row r="765">
          <cell r="B765">
            <v>5137090</v>
          </cell>
          <cell r="C765" t="str">
            <v>KARIS REPRESENTACOES LTDA</v>
          </cell>
          <cell r="D765">
            <v>3001</v>
          </cell>
          <cell r="E765" t="str">
            <v>0127</v>
          </cell>
          <cell r="F765" t="str">
            <v>C1</v>
          </cell>
          <cell r="G765" t="str">
            <v>BA</v>
          </cell>
          <cell r="H765" t="str">
            <v>DISTRIBUIÇÃO</v>
          </cell>
          <cell r="I765" t="str">
            <v>FOOD SERVICE</v>
          </cell>
          <cell r="J765" t="str">
            <v xml:space="preserve">KARIS FOOD / LUIZ </v>
          </cell>
          <cell r="K765" t="str">
            <v>ITAMBÉ</v>
          </cell>
          <cell r="L765" t="str">
            <v>RODRIGO</v>
          </cell>
          <cell r="M765" t="str">
            <v>VAGO NORDESTE</v>
          </cell>
        </row>
        <row r="766">
          <cell r="B766">
            <v>5335459</v>
          </cell>
          <cell r="C766" t="str">
            <v>KARLA CHRISTINA DE PAIVA SANTOS</v>
          </cell>
          <cell r="D766">
            <v>3001</v>
          </cell>
          <cell r="E766" t="str">
            <v>0122</v>
          </cell>
          <cell r="F766" t="str">
            <v>C1</v>
          </cell>
          <cell r="G766" t="str">
            <v>MG</v>
          </cell>
          <cell r="H766" t="str">
            <v>INGREDIENTS</v>
          </cell>
          <cell r="I766" t="str">
            <v>INGREDIENTS</v>
          </cell>
          <cell r="J766" t="str">
            <v>HENRIQUE FERREIRA</v>
          </cell>
          <cell r="K766" t="str">
            <v>ITAMBÉ</v>
          </cell>
          <cell r="L766" t="str">
            <v>MAURICIO</v>
          </cell>
          <cell r="M766" t="str">
            <v>JOEL</v>
          </cell>
        </row>
        <row r="767">
          <cell r="B767">
            <v>5114704</v>
          </cell>
          <cell r="C767" t="str">
            <v>KARNE KEIJO LOGISTICA INTEGRADA LTD</v>
          </cell>
          <cell r="D767">
            <v>3001</v>
          </cell>
          <cell r="E767" t="str">
            <v>0127</v>
          </cell>
          <cell r="F767" t="str">
            <v>C1</v>
          </cell>
          <cell r="G767" t="str">
            <v>PB</v>
          </cell>
          <cell r="H767" t="str">
            <v>DISTRIBUIÇÃO</v>
          </cell>
          <cell r="I767" t="str">
            <v>FOOD SERVICE</v>
          </cell>
          <cell r="J767" t="str">
            <v>CLAUDIO JORGE</v>
          </cell>
          <cell r="K767" t="str">
            <v>ITAMBÉ</v>
          </cell>
          <cell r="L767" t="str">
            <v>RODRIGO</v>
          </cell>
          <cell r="M767" t="str">
            <v>VAGO NORDESTE</v>
          </cell>
        </row>
        <row r="768">
          <cell r="B768">
            <v>5292294</v>
          </cell>
          <cell r="C768" t="str">
            <v>KATO PRODUTOS DE PANIFICACAO LTDA</v>
          </cell>
          <cell r="D768">
            <v>7001</v>
          </cell>
          <cell r="E768" t="str">
            <v>0749</v>
          </cell>
          <cell r="F768" t="str">
            <v>C5</v>
          </cell>
          <cell r="G768" t="str">
            <v>SP</v>
          </cell>
          <cell r="H768" t="str">
            <v>DISTRIBUIÇÃO</v>
          </cell>
          <cell r="I768" t="str">
            <v>FOOD SERVICE</v>
          </cell>
          <cell r="J768" t="str">
            <v>FLAC 2</v>
          </cell>
          <cell r="K768" t="str">
            <v>LACTALIS</v>
          </cell>
          <cell r="L768" t="str">
            <v>RODRIGO</v>
          </cell>
          <cell r="M768" t="str">
            <v>ALEXANDRO</v>
          </cell>
        </row>
        <row r="769">
          <cell r="B769">
            <v>5143288</v>
          </cell>
          <cell r="C769" t="str">
            <v>KERRY DO BRASIL LTDA</v>
          </cell>
          <cell r="D769">
            <v>4001</v>
          </cell>
          <cell r="E769" t="str">
            <v>0437</v>
          </cell>
          <cell r="F769" t="str">
            <v>C1</v>
          </cell>
          <cell r="G769" t="str">
            <v>MG</v>
          </cell>
          <cell r="H769" t="str">
            <v>INGREDIENTS</v>
          </cell>
          <cell r="I769" t="str">
            <v>INGREDIENTS</v>
          </cell>
          <cell r="J769" t="str">
            <v>JOEL ELEOTÉRIO</v>
          </cell>
          <cell r="K769" t="str">
            <v>LACTALIS</v>
          </cell>
          <cell r="L769" t="str">
            <v>MAURICIO</v>
          </cell>
          <cell r="M769" t="str">
            <v>JOEL</v>
          </cell>
        </row>
        <row r="770">
          <cell r="B770">
            <v>5195562</v>
          </cell>
          <cell r="C770" t="str">
            <v>KERRY DO BRASIL LTDA</v>
          </cell>
          <cell r="D770">
            <v>4001</v>
          </cell>
          <cell r="E770" t="str">
            <v>0437</v>
          </cell>
          <cell r="F770" t="str">
            <v>C1</v>
          </cell>
          <cell r="G770" t="str">
            <v>SP</v>
          </cell>
          <cell r="H770" t="str">
            <v>INGREDIENTS</v>
          </cell>
          <cell r="I770" t="str">
            <v>INGREDIENTS</v>
          </cell>
          <cell r="J770" t="str">
            <v>JOEL ELEOTÉRIO</v>
          </cell>
          <cell r="K770" t="str">
            <v>LACTALIS</v>
          </cell>
          <cell r="L770" t="str">
            <v>MAURICIO</v>
          </cell>
          <cell r="M770" t="str">
            <v>JOEL</v>
          </cell>
        </row>
        <row r="771">
          <cell r="B771">
            <v>5206038</v>
          </cell>
          <cell r="C771" t="str">
            <v>KERRY DO BRASIL LTDA</v>
          </cell>
          <cell r="D771">
            <v>3001</v>
          </cell>
          <cell r="E771" t="str">
            <v>0028</v>
          </cell>
          <cell r="F771" t="str">
            <v>C1</v>
          </cell>
          <cell r="G771" t="str">
            <v>GO</v>
          </cell>
          <cell r="H771" t="str">
            <v>INGREDIENTS</v>
          </cell>
          <cell r="I771" t="str">
            <v>INGREDIENTS</v>
          </cell>
          <cell r="J771" t="str">
            <v>JOEL ELEOTÉRIO</v>
          </cell>
          <cell r="K771" t="str">
            <v>ITAMBÉ</v>
          </cell>
          <cell r="L771" t="str">
            <v>MAURICIO</v>
          </cell>
          <cell r="M771" t="str">
            <v>JOEL</v>
          </cell>
        </row>
        <row r="772">
          <cell r="B772">
            <v>5143288</v>
          </cell>
          <cell r="C772" t="str">
            <v>KERRY DO BRASIL LTDA</v>
          </cell>
          <cell r="D772">
            <v>3001</v>
          </cell>
          <cell r="E772" t="str">
            <v>0122</v>
          </cell>
          <cell r="F772" t="str">
            <v>C1</v>
          </cell>
          <cell r="G772" t="str">
            <v>MG</v>
          </cell>
          <cell r="H772" t="str">
            <v>INGREDIENTS</v>
          </cell>
          <cell r="I772" t="str">
            <v>INGREDIENTS</v>
          </cell>
          <cell r="J772" t="str">
            <v>JOEL ELEOTÉRIO</v>
          </cell>
          <cell r="K772" t="str">
            <v>ITAMBÉ</v>
          </cell>
          <cell r="L772" t="str">
            <v>MAURICIO</v>
          </cell>
          <cell r="M772" t="str">
            <v>JOEL</v>
          </cell>
        </row>
        <row r="773">
          <cell r="B773">
            <v>5206038</v>
          </cell>
          <cell r="C773" t="str">
            <v>KERRY DO BRASIL LTDA</v>
          </cell>
          <cell r="D773">
            <v>4001</v>
          </cell>
          <cell r="E773" t="str">
            <v>0437</v>
          </cell>
          <cell r="F773" t="str">
            <v>C1</v>
          </cell>
          <cell r="G773" t="str">
            <v>GO</v>
          </cell>
          <cell r="H773" t="str">
            <v>INGREDIENTS</v>
          </cell>
          <cell r="I773" t="str">
            <v>INGREDIENTS</v>
          </cell>
          <cell r="J773" t="str">
            <v>JOEL ELEOTÉRIO</v>
          </cell>
          <cell r="K773" t="str">
            <v>LACTALIS</v>
          </cell>
          <cell r="L773" t="str">
            <v>MAURICIO</v>
          </cell>
          <cell r="M773" t="str">
            <v>JOEL</v>
          </cell>
        </row>
        <row r="774">
          <cell r="B774">
            <v>5334345</v>
          </cell>
          <cell r="C774" t="str">
            <v>KEZ BAGEL 2 RESTAURANTE E LANCH</v>
          </cell>
          <cell r="D774">
            <v>7001</v>
          </cell>
          <cell r="E774" t="str">
            <v>0749</v>
          </cell>
          <cell r="F774" t="str">
            <v>C5</v>
          </cell>
          <cell r="G774" t="str">
            <v>SP</v>
          </cell>
          <cell r="H774" t="str">
            <v>DISTRIBUIÇÃO</v>
          </cell>
          <cell r="I774" t="str">
            <v>FOOD SERVICE</v>
          </cell>
          <cell r="J774" t="str">
            <v>FLAC 4</v>
          </cell>
          <cell r="K774" t="str">
            <v>LACTALIS</v>
          </cell>
          <cell r="L774" t="str">
            <v>RODRIGO</v>
          </cell>
          <cell r="M774" t="str">
            <v>ALEXANDRO</v>
          </cell>
        </row>
        <row r="775">
          <cell r="B775">
            <v>5335762</v>
          </cell>
          <cell r="C775" t="str">
            <v>KEZ BAGEL 3 RESTAURANTE E LANCHONET</v>
          </cell>
          <cell r="D775">
            <v>7001</v>
          </cell>
          <cell r="E775" t="str">
            <v>0749</v>
          </cell>
          <cell r="F775" t="str">
            <v>C5</v>
          </cell>
          <cell r="G775" t="str">
            <v>SP</v>
          </cell>
          <cell r="H775" t="str">
            <v>DISTRIBUIÇÃO</v>
          </cell>
          <cell r="I775" t="str">
            <v>FOOD SERVICE</v>
          </cell>
          <cell r="J775" t="str">
            <v>FLAC 5</v>
          </cell>
          <cell r="K775" t="str">
            <v>LACTALIS</v>
          </cell>
          <cell r="L775" t="str">
            <v>RODRIGO</v>
          </cell>
          <cell r="M775" t="str">
            <v>ALEXANDRO</v>
          </cell>
        </row>
        <row r="776">
          <cell r="B776">
            <v>5264254</v>
          </cell>
          <cell r="C776" t="str">
            <v>KID BEERUTA BUFFET LTDA ME</v>
          </cell>
          <cell r="D776">
            <v>7001</v>
          </cell>
          <cell r="E776" t="str">
            <v>0749</v>
          </cell>
          <cell r="F776" t="str">
            <v>C5</v>
          </cell>
          <cell r="G776" t="str">
            <v>SP</v>
          </cell>
          <cell r="H776" t="str">
            <v>DISTRIBUIÇÃO</v>
          </cell>
          <cell r="I776" t="str">
            <v>FOOD SERVICE</v>
          </cell>
          <cell r="J776" t="str">
            <v>FLAC 3</v>
          </cell>
          <cell r="K776" t="str">
            <v>LACTALIS</v>
          </cell>
          <cell r="L776" t="str">
            <v>RODRIGO</v>
          </cell>
          <cell r="M776" t="str">
            <v>ALEXANDRO</v>
          </cell>
        </row>
        <row r="777">
          <cell r="B777">
            <v>5337640</v>
          </cell>
          <cell r="C777" t="str">
            <v>KIMM SORVETES E ACAI LTDA</v>
          </cell>
          <cell r="D777">
            <v>6001</v>
          </cell>
          <cell r="E777" t="str">
            <v>6125</v>
          </cell>
          <cell r="F777" t="str">
            <v>C1</v>
          </cell>
          <cell r="G777" t="str">
            <v>SP</v>
          </cell>
          <cell r="H777" t="str">
            <v>INGREDIENTS</v>
          </cell>
          <cell r="I777" t="str">
            <v>INGREDIENTS</v>
          </cell>
          <cell r="J777" t="str">
            <v>DUAS RODAS</v>
          </cell>
          <cell r="K777" t="str">
            <v>ITAMBÉ</v>
          </cell>
          <cell r="L777" t="str">
            <v>MAURICIO</v>
          </cell>
          <cell r="M777" t="str">
            <v>TATIANA NITTA</v>
          </cell>
        </row>
        <row r="778">
          <cell r="B778">
            <v>5328529</v>
          </cell>
          <cell r="C778" t="str">
            <v>KIO BAKEHOUSE PANIFIC ARTESANAL</v>
          </cell>
          <cell r="D778">
            <v>7001</v>
          </cell>
          <cell r="E778" t="str">
            <v>0749</v>
          </cell>
          <cell r="F778" t="str">
            <v>C5</v>
          </cell>
          <cell r="G778" t="str">
            <v>SP</v>
          </cell>
          <cell r="H778" t="str">
            <v>DISTRIBUIÇÃO</v>
          </cell>
          <cell r="I778" t="str">
            <v>FOOD SERVICE</v>
          </cell>
          <cell r="J778" t="str">
            <v>FLAC 6</v>
          </cell>
          <cell r="K778" t="str">
            <v>LACTALIS</v>
          </cell>
          <cell r="L778" t="str">
            <v>RODRIGO</v>
          </cell>
          <cell r="M778" t="str">
            <v>ALEXANDRO</v>
          </cell>
        </row>
        <row r="779">
          <cell r="B779">
            <v>5191803</v>
          </cell>
          <cell r="C779" t="str">
            <v>KISTON RESTAURANTES LTDA</v>
          </cell>
          <cell r="D779">
            <v>7001</v>
          </cell>
          <cell r="E779" t="str">
            <v>0722</v>
          </cell>
          <cell r="F779" t="str">
            <v>C1</v>
          </cell>
          <cell r="G779" t="str">
            <v>SP</v>
          </cell>
          <cell r="H779" t="str">
            <v>QSR</v>
          </cell>
          <cell r="I779" t="str">
            <v>FOOD SERVICE</v>
          </cell>
          <cell r="J779" t="str">
            <v>ANA MENIQUETE</v>
          </cell>
          <cell r="K779" t="str">
            <v>LACTALIS</v>
          </cell>
          <cell r="L779" t="str">
            <v>PEDRO</v>
          </cell>
          <cell r="M779" t="str">
            <v>ANA MENIQUETE</v>
          </cell>
        </row>
        <row r="780">
          <cell r="B780">
            <v>5310066</v>
          </cell>
          <cell r="C780" t="str">
            <v>KIT FESTA ARCO IRIS MP LTDA</v>
          </cell>
          <cell r="D780">
            <v>7001</v>
          </cell>
          <cell r="E780" t="str">
            <v>0749</v>
          </cell>
          <cell r="F780" t="str">
            <v>C5</v>
          </cell>
          <cell r="G780" t="str">
            <v>SP</v>
          </cell>
          <cell r="H780" t="str">
            <v>DISTRIBUIÇÃO</v>
          </cell>
          <cell r="I780" t="str">
            <v>FOOD SERVICE</v>
          </cell>
          <cell r="J780" t="str">
            <v>FLAC 2</v>
          </cell>
          <cell r="K780" t="str">
            <v>LACTALIS</v>
          </cell>
          <cell r="L780" t="str">
            <v>RODRIGO</v>
          </cell>
          <cell r="M780" t="str">
            <v>ALEXANDRO</v>
          </cell>
        </row>
        <row r="781">
          <cell r="B781">
            <v>5162285</v>
          </cell>
          <cell r="C781" t="str">
            <v>KOB COMERCIAL LTDA</v>
          </cell>
          <cell r="D781">
            <v>4001</v>
          </cell>
          <cell r="E781" t="str">
            <v>0455</v>
          </cell>
          <cell r="F781" t="str">
            <v>C1</v>
          </cell>
          <cell r="G781" t="str">
            <v>PR</v>
          </cell>
          <cell r="H781" t="str">
            <v>DISTRIBUIÇÃO</v>
          </cell>
          <cell r="I781" t="str">
            <v>FOOD SERVICE</v>
          </cell>
          <cell r="J781" t="str">
            <v>ANTÔNIO SOUZA</v>
          </cell>
          <cell r="K781" t="str">
            <v>LACTALIS</v>
          </cell>
          <cell r="L781" t="str">
            <v>RODRIGO</v>
          </cell>
          <cell r="M781" t="str">
            <v>VAGO SUL</v>
          </cell>
        </row>
        <row r="782">
          <cell r="B782">
            <v>5162285</v>
          </cell>
          <cell r="C782" t="str">
            <v>KOB COMERCIAL LTDA</v>
          </cell>
          <cell r="D782">
            <v>3001</v>
          </cell>
          <cell r="E782" t="str">
            <v>0126</v>
          </cell>
          <cell r="F782" t="str">
            <v>C1</v>
          </cell>
          <cell r="G782" t="str">
            <v>PR</v>
          </cell>
          <cell r="H782" t="str">
            <v>DISTRIBUIÇÃO</v>
          </cell>
          <cell r="I782" t="str">
            <v>FOOD SERVICE</v>
          </cell>
          <cell r="J782" t="str">
            <v>ANTÔNIO SOUZA</v>
          </cell>
          <cell r="K782" t="str">
            <v>ITAMBÉ</v>
          </cell>
          <cell r="L782" t="str">
            <v>RODRIGO</v>
          </cell>
          <cell r="M782" t="str">
            <v>VAGO SUL</v>
          </cell>
        </row>
        <row r="783">
          <cell r="B783">
            <v>5289761</v>
          </cell>
          <cell r="C783" t="str">
            <v>KOMAH DELIVERY E SERVICOS DE ALIMEN</v>
          </cell>
          <cell r="D783">
            <v>7001</v>
          </cell>
          <cell r="E783" t="str">
            <v>0749</v>
          </cell>
          <cell r="F783" t="str">
            <v>C5</v>
          </cell>
          <cell r="G783" t="str">
            <v>SP</v>
          </cell>
          <cell r="H783" t="str">
            <v>DISTRIBUIÇÃO</v>
          </cell>
          <cell r="I783" t="str">
            <v>FOOD SERVICE</v>
          </cell>
          <cell r="J783" t="str">
            <v>FLAC 6</v>
          </cell>
          <cell r="K783" t="str">
            <v>LACTALIS</v>
          </cell>
          <cell r="L783" t="str">
            <v>RODRIGO</v>
          </cell>
          <cell r="M783" t="str">
            <v>ALEXANDRO</v>
          </cell>
        </row>
        <row r="784">
          <cell r="B784">
            <v>5263630</v>
          </cell>
          <cell r="C784" t="str">
            <v>KVIL LANCHES LTDA ME</v>
          </cell>
          <cell r="D784">
            <v>7001</v>
          </cell>
          <cell r="E784" t="str">
            <v>0749</v>
          </cell>
          <cell r="F784" t="str">
            <v>C5</v>
          </cell>
          <cell r="G784" t="str">
            <v>SP</v>
          </cell>
          <cell r="H784" t="str">
            <v>DISTRIBUIÇÃO</v>
          </cell>
          <cell r="I784" t="str">
            <v>FOOD SERVICE</v>
          </cell>
          <cell r="J784" t="str">
            <v>FLAC 3</v>
          </cell>
          <cell r="K784" t="str">
            <v>LACTALIS</v>
          </cell>
          <cell r="L784" t="str">
            <v>RODRIGO</v>
          </cell>
          <cell r="M784" t="str">
            <v>ALEXANDRO</v>
          </cell>
        </row>
        <row r="785">
          <cell r="B785">
            <v>5318961</v>
          </cell>
          <cell r="C785" t="str">
            <v>KYOTO CAFES ESPECIAIS SOC EMPRES LT</v>
          </cell>
          <cell r="D785">
            <v>7001</v>
          </cell>
          <cell r="E785" t="str">
            <v>0749</v>
          </cell>
          <cell r="F785" t="str">
            <v>C5</v>
          </cell>
          <cell r="G785" t="str">
            <v>SP</v>
          </cell>
          <cell r="H785" t="str">
            <v>DISTRIBUIÇÃO</v>
          </cell>
          <cell r="I785" t="str">
            <v>FOOD SERVICE</v>
          </cell>
          <cell r="J785" t="str">
            <v>FLAC 6</v>
          </cell>
          <cell r="K785" t="str">
            <v>LACTALIS</v>
          </cell>
          <cell r="L785" t="str">
            <v>RODRIGO</v>
          </cell>
          <cell r="M785" t="str">
            <v>ALEXANDRO</v>
          </cell>
        </row>
        <row r="786">
          <cell r="B786">
            <v>5278482</v>
          </cell>
          <cell r="C786" t="str">
            <v>L ALLEGRO REST LTDA</v>
          </cell>
          <cell r="D786">
            <v>7001</v>
          </cell>
          <cell r="E786" t="str">
            <v>0749</v>
          </cell>
          <cell r="F786" t="str">
            <v>C5</v>
          </cell>
          <cell r="G786" t="str">
            <v>SP</v>
          </cell>
          <cell r="H786" t="str">
            <v>DISTRIBUIÇÃO</v>
          </cell>
          <cell r="I786" t="str">
            <v>FOOD SERVICE</v>
          </cell>
          <cell r="J786" t="str">
            <v>FLAC 3</v>
          </cell>
          <cell r="K786" t="str">
            <v>LACTALIS</v>
          </cell>
          <cell r="L786" t="str">
            <v>RODRIGO</v>
          </cell>
          <cell r="M786" t="str">
            <v>ALEXANDRO</v>
          </cell>
        </row>
        <row r="787">
          <cell r="B787">
            <v>5248507</v>
          </cell>
          <cell r="C787" t="str">
            <v>L B C P COMERCIAL LTDA ME</v>
          </cell>
          <cell r="D787">
            <v>7001</v>
          </cell>
          <cell r="E787" t="str">
            <v>0749</v>
          </cell>
          <cell r="F787" t="str">
            <v>C5</v>
          </cell>
          <cell r="G787" t="str">
            <v>SP</v>
          </cell>
          <cell r="H787" t="str">
            <v>DISTRIBUIÇÃO</v>
          </cell>
          <cell r="I787" t="str">
            <v>FOOD SERVICE</v>
          </cell>
          <cell r="J787" t="str">
            <v>FLAC 6</v>
          </cell>
          <cell r="K787" t="str">
            <v>LACTALIS</v>
          </cell>
          <cell r="L787" t="str">
            <v>RODRIGO</v>
          </cell>
          <cell r="M787" t="str">
            <v>ALEXANDRO</v>
          </cell>
        </row>
        <row r="788">
          <cell r="B788">
            <v>5320317</v>
          </cell>
          <cell r="C788" t="str">
            <v>L F S COM E IMPORTACAO DE ALIM</v>
          </cell>
          <cell r="D788">
            <v>3001</v>
          </cell>
          <cell r="E788" t="str">
            <v>0075</v>
          </cell>
          <cell r="F788" t="str">
            <v>C1</v>
          </cell>
          <cell r="G788" t="str">
            <v>CE</v>
          </cell>
          <cell r="H788" t="str">
            <v>DISTRIBUIÇÃO</v>
          </cell>
          <cell r="I788" t="str">
            <v>FOOD SERVICE</v>
          </cell>
          <cell r="J788" t="str">
            <v>WH FOOD SERVICE CE</v>
          </cell>
          <cell r="K788" t="str">
            <v>ITAMBÉ</v>
          </cell>
          <cell r="L788" t="str">
            <v>RODRIGO</v>
          </cell>
          <cell r="M788" t="str">
            <v>VAGO NORDESTE</v>
          </cell>
        </row>
        <row r="789">
          <cell r="B789">
            <v>5320317</v>
          </cell>
          <cell r="C789" t="str">
            <v>L F S COM E IMPORTACAO DE ALIM</v>
          </cell>
          <cell r="D789">
            <v>3001</v>
          </cell>
          <cell r="E789" t="str">
            <v>0127</v>
          </cell>
          <cell r="F789" t="str">
            <v>C1</v>
          </cell>
          <cell r="G789" t="str">
            <v>CE</v>
          </cell>
          <cell r="H789" t="str">
            <v>DISTRIBUIÇÃO</v>
          </cell>
          <cell r="I789" t="str">
            <v>FOOD SERVICE</v>
          </cell>
          <cell r="J789" t="str">
            <v>WH FOOD SERVICE CE</v>
          </cell>
          <cell r="K789" t="str">
            <v>ITAMBÉ</v>
          </cell>
          <cell r="L789" t="str">
            <v>RODRIGO</v>
          </cell>
          <cell r="M789" t="str">
            <v>VAGO NORDESTE</v>
          </cell>
        </row>
        <row r="790">
          <cell r="B790">
            <v>5168473</v>
          </cell>
          <cell r="C790" t="str">
            <v>L F S COMERCIO E IMPORTACAO ALI</v>
          </cell>
          <cell r="D790">
            <v>3001</v>
          </cell>
          <cell r="E790" t="str">
            <v>0127</v>
          </cell>
          <cell r="F790" t="str">
            <v>C1</v>
          </cell>
          <cell r="G790" t="str">
            <v>CE</v>
          </cell>
          <cell r="H790" t="str">
            <v>DISTRIBUIÇÃO</v>
          </cell>
          <cell r="I790" t="str">
            <v>FOOD SERVICE</v>
          </cell>
          <cell r="J790" t="str">
            <v>WH FOOD SERVICE CE</v>
          </cell>
          <cell r="K790" t="str">
            <v>ITAMBÉ</v>
          </cell>
          <cell r="L790" t="str">
            <v>RODRIGO</v>
          </cell>
          <cell r="M790" t="str">
            <v>VAGO NORDESTE</v>
          </cell>
        </row>
        <row r="791">
          <cell r="B791">
            <v>5263597</v>
          </cell>
          <cell r="C791" t="str">
            <v>LA TAMBOUILLE COM DE REFEICOES RAPI</v>
          </cell>
          <cell r="D791">
            <v>7001</v>
          </cell>
          <cell r="E791" t="str">
            <v>0749</v>
          </cell>
          <cell r="F791" t="str">
            <v>C5</v>
          </cell>
          <cell r="G791" t="str">
            <v>SP</v>
          </cell>
          <cell r="H791" t="str">
            <v>DISTRIBUIÇÃO</v>
          </cell>
          <cell r="I791" t="str">
            <v>FOOD SERVICE</v>
          </cell>
          <cell r="J791" t="str">
            <v>FLAC 3</v>
          </cell>
          <cell r="K791" t="str">
            <v>LACTALIS</v>
          </cell>
          <cell r="L791" t="str">
            <v>RODRIGO</v>
          </cell>
          <cell r="M791" t="str">
            <v>ALEXANDRO</v>
          </cell>
        </row>
        <row r="792">
          <cell r="B792">
            <v>5218758</v>
          </cell>
          <cell r="C792" t="str">
            <v>LACERDA ALIMENTACAO LTDA</v>
          </cell>
          <cell r="D792">
            <v>3001</v>
          </cell>
          <cell r="E792" t="str">
            <v>0122</v>
          </cell>
          <cell r="F792" t="str">
            <v>C1</v>
          </cell>
          <cell r="G792" t="str">
            <v>MG</v>
          </cell>
          <cell r="H792" t="str">
            <v>DISTRIBUIÇÃO</v>
          </cell>
          <cell r="I792" t="str">
            <v>FOOD SERVICE</v>
          </cell>
          <cell r="J792" t="str">
            <v>MARCELO SILVA</v>
          </cell>
          <cell r="K792" t="str">
            <v>ITAMBÉ</v>
          </cell>
          <cell r="L792" t="str">
            <v>RODRIGO</v>
          </cell>
          <cell r="M792" t="str">
            <v>CELIO MARTINS</v>
          </cell>
        </row>
        <row r="793">
          <cell r="B793">
            <v>5193743</v>
          </cell>
          <cell r="C793" t="str">
            <v>LACTICINIO YOGUEDES IND E COM LTDA</v>
          </cell>
          <cell r="D793">
            <v>3001</v>
          </cell>
          <cell r="E793" t="str">
            <v>0122</v>
          </cell>
          <cell r="F793" t="str">
            <v>C1</v>
          </cell>
          <cell r="G793" t="str">
            <v>MG</v>
          </cell>
          <cell r="H793" t="str">
            <v>INGREDIENTS</v>
          </cell>
          <cell r="I793" t="str">
            <v>INGREDIENTS</v>
          </cell>
          <cell r="J793" t="str">
            <v>JOEL ELEOTÉRIO</v>
          </cell>
          <cell r="K793" t="str">
            <v>ITAMBÉ</v>
          </cell>
          <cell r="L793" t="str">
            <v>MAURICIO</v>
          </cell>
          <cell r="M793" t="str">
            <v>JOEL</v>
          </cell>
        </row>
        <row r="794">
          <cell r="B794">
            <v>5278282</v>
          </cell>
          <cell r="C794" t="str">
            <v>LACTICINIOS DO VELHINHO LTDA ME</v>
          </cell>
          <cell r="D794">
            <v>7001</v>
          </cell>
          <cell r="E794" t="str">
            <v>0749</v>
          </cell>
          <cell r="F794" t="str">
            <v>C5</v>
          </cell>
          <cell r="G794" t="str">
            <v>SP</v>
          </cell>
          <cell r="H794" t="str">
            <v>DISTRIBUIÇÃO</v>
          </cell>
          <cell r="I794" t="str">
            <v>FOOD SERVICE</v>
          </cell>
          <cell r="J794" t="str">
            <v>FLAC 6</v>
          </cell>
          <cell r="K794" t="str">
            <v>LACTALIS</v>
          </cell>
          <cell r="L794" t="str">
            <v>RODRIGO</v>
          </cell>
          <cell r="M794" t="str">
            <v>ALEXANDRO</v>
          </cell>
        </row>
        <row r="795">
          <cell r="B795">
            <v>5282885</v>
          </cell>
          <cell r="C795" t="str">
            <v>LACTICINIOS TIROL LTDA</v>
          </cell>
          <cell r="D795">
            <v>4001</v>
          </cell>
          <cell r="E795" t="str">
            <v>0423</v>
          </cell>
          <cell r="F795" t="str">
            <v>C5</v>
          </cell>
          <cell r="G795" t="str">
            <v>SC</v>
          </cell>
          <cell r="H795" t="str">
            <v>OUTROS</v>
          </cell>
          <cell r="I795" t="str">
            <v>OUTROS</v>
          </cell>
          <cell r="J795" t="str">
            <v>SERVIÇO TIROL</v>
          </cell>
          <cell r="K795" t="str">
            <v>OUTROS</v>
          </cell>
          <cell r="L795" t="str">
            <v>OUTROS</v>
          </cell>
          <cell r="M795" t="str">
            <v>SERVIÇO TIROL</v>
          </cell>
        </row>
        <row r="796">
          <cell r="B796">
            <v>5282885</v>
          </cell>
          <cell r="C796" t="str">
            <v>LACTICINIOS TIROL LTDA</v>
          </cell>
          <cell r="D796">
            <v>4001</v>
          </cell>
          <cell r="E796" t="str">
            <v>0437</v>
          </cell>
          <cell r="F796" t="str">
            <v>C1</v>
          </cell>
          <cell r="G796" t="str">
            <v>SC</v>
          </cell>
          <cell r="H796" t="str">
            <v>OUTROS</v>
          </cell>
          <cell r="I796" t="str">
            <v>OUTROS</v>
          </cell>
          <cell r="J796" t="str">
            <v>SERVIÇO TIROL</v>
          </cell>
          <cell r="K796" t="str">
            <v>OUTROS</v>
          </cell>
          <cell r="L796" t="str">
            <v>OUTROS</v>
          </cell>
          <cell r="M796" t="str">
            <v>SERVIÇO TIROL</v>
          </cell>
        </row>
        <row r="797">
          <cell r="B797">
            <v>5303293</v>
          </cell>
          <cell r="C797" t="str">
            <v>LACTICINIOS TIROL LTDA</v>
          </cell>
          <cell r="D797">
            <v>4001</v>
          </cell>
          <cell r="E797" t="str">
            <v>0437</v>
          </cell>
          <cell r="F797" t="str">
            <v>C1</v>
          </cell>
          <cell r="G797" t="str">
            <v>RS</v>
          </cell>
          <cell r="H797" t="str">
            <v>OUTROS</v>
          </cell>
          <cell r="I797" t="str">
            <v>OUTROS</v>
          </cell>
          <cell r="J797" t="str">
            <v>SERVIÇO TIROL</v>
          </cell>
          <cell r="K797" t="str">
            <v>OUTROS</v>
          </cell>
          <cell r="L797" t="str">
            <v>OUTROS</v>
          </cell>
          <cell r="M797" t="str">
            <v>SERVIÇO TIROL</v>
          </cell>
        </row>
        <row r="798">
          <cell r="B798">
            <v>5303294</v>
          </cell>
          <cell r="C798" t="str">
            <v>LACTICINIOS TIROL LTDA</v>
          </cell>
          <cell r="D798">
            <v>4001</v>
          </cell>
          <cell r="E798" t="str">
            <v>0437</v>
          </cell>
          <cell r="F798" t="str">
            <v>C1</v>
          </cell>
          <cell r="G798" t="str">
            <v>SC</v>
          </cell>
          <cell r="H798" t="str">
            <v>OUTROS</v>
          </cell>
          <cell r="I798" t="str">
            <v>OUTROS</v>
          </cell>
          <cell r="J798" t="str">
            <v>SERVIÇO TIROL</v>
          </cell>
          <cell r="K798" t="str">
            <v>OUTROS</v>
          </cell>
          <cell r="L798" t="str">
            <v>OUTROS</v>
          </cell>
          <cell r="M798" t="str">
            <v>SERVIÇO TIROL</v>
          </cell>
        </row>
        <row r="799">
          <cell r="B799">
            <v>5334305</v>
          </cell>
          <cell r="C799" t="str">
            <v>LACTICINIOS TIROL LTDA</v>
          </cell>
          <cell r="D799">
            <v>4001</v>
          </cell>
          <cell r="E799" t="str">
            <v>0437</v>
          </cell>
          <cell r="F799" t="str">
            <v>C1</v>
          </cell>
          <cell r="G799" t="str">
            <v>PR</v>
          </cell>
          <cell r="H799" t="str">
            <v>OUTROS</v>
          </cell>
          <cell r="I799" t="str">
            <v>OUTROS</v>
          </cell>
          <cell r="J799" t="str">
            <v>SERVIÇO TIROL</v>
          </cell>
          <cell r="K799" t="str">
            <v>OUTROS</v>
          </cell>
          <cell r="L799" t="str">
            <v>OUTROS</v>
          </cell>
          <cell r="M799" t="str">
            <v>SERVIÇO TIROL</v>
          </cell>
        </row>
        <row r="800">
          <cell r="B800">
            <v>5282885</v>
          </cell>
          <cell r="C800" t="str">
            <v>LACTICINIOS TIROL LTDA</v>
          </cell>
          <cell r="D800">
            <v>4001</v>
          </cell>
          <cell r="E800" t="str">
            <v>0456</v>
          </cell>
          <cell r="F800" t="str">
            <v>C1</v>
          </cell>
          <cell r="G800" t="str">
            <v>SC</v>
          </cell>
          <cell r="H800" t="str">
            <v>OUTROS</v>
          </cell>
          <cell r="I800" t="str">
            <v>OUTROS</v>
          </cell>
          <cell r="J800" t="str">
            <v>SERVIÇO TIROL</v>
          </cell>
          <cell r="K800" t="str">
            <v>OUTROS</v>
          </cell>
          <cell r="L800" t="str">
            <v>OUTROS</v>
          </cell>
          <cell r="M800" t="str">
            <v>SERVIÇO TIROL</v>
          </cell>
        </row>
        <row r="801">
          <cell r="B801">
            <v>5303294</v>
          </cell>
          <cell r="C801" t="str">
            <v>LACTICINIOS TIROL LTDA</v>
          </cell>
          <cell r="D801">
            <v>4001</v>
          </cell>
          <cell r="E801" t="str">
            <v>0456</v>
          </cell>
          <cell r="F801" t="str">
            <v>C1</v>
          </cell>
          <cell r="G801" t="str">
            <v>SC</v>
          </cell>
          <cell r="H801" t="str">
            <v>OUTROS</v>
          </cell>
          <cell r="I801" t="str">
            <v>OUTROS</v>
          </cell>
          <cell r="J801" t="str">
            <v>SERVIÇO TIROL</v>
          </cell>
          <cell r="K801" t="str">
            <v>OUTROS</v>
          </cell>
          <cell r="L801" t="str">
            <v>OUTROS</v>
          </cell>
          <cell r="M801" t="str">
            <v>SERVIÇO TIROL</v>
          </cell>
        </row>
        <row r="802">
          <cell r="B802">
            <v>5337751</v>
          </cell>
          <cell r="C802" t="str">
            <v>LACTICINIOS TIROL LTDA</v>
          </cell>
          <cell r="D802">
            <v>4001</v>
          </cell>
          <cell r="E802" t="str">
            <v>0456</v>
          </cell>
          <cell r="F802" t="str">
            <v>C1</v>
          </cell>
          <cell r="G802" t="str">
            <v>SC</v>
          </cell>
          <cell r="H802" t="str">
            <v>OUTROS</v>
          </cell>
          <cell r="I802" t="str">
            <v>OUTROS</v>
          </cell>
          <cell r="J802" t="str">
            <v>SERVIÇO TIROL</v>
          </cell>
          <cell r="K802" t="str">
            <v>OUTROS</v>
          </cell>
          <cell r="L802" t="str">
            <v>OUTROS</v>
          </cell>
          <cell r="M802" t="str">
            <v>SERVIÇO TIROL</v>
          </cell>
        </row>
        <row r="803">
          <cell r="B803">
            <v>5334305</v>
          </cell>
          <cell r="C803" t="str">
            <v>LACTICINIOS TIROL LTDA</v>
          </cell>
          <cell r="D803">
            <v>4001</v>
          </cell>
          <cell r="E803" t="str">
            <v>0452</v>
          </cell>
          <cell r="F803" t="str">
            <v>C5</v>
          </cell>
          <cell r="G803" t="str">
            <v>PR</v>
          </cell>
          <cell r="H803" t="str">
            <v>OUTROS</v>
          </cell>
          <cell r="I803" t="str">
            <v>OUTROS</v>
          </cell>
          <cell r="J803" t="str">
            <v>SERVIÇO TIROL</v>
          </cell>
          <cell r="K803" t="str">
            <v>OUTROS</v>
          </cell>
          <cell r="L803" t="str">
            <v>OUTROS</v>
          </cell>
          <cell r="M803" t="str">
            <v>SERVIÇO TIROL</v>
          </cell>
        </row>
        <row r="804">
          <cell r="B804">
            <v>5334305</v>
          </cell>
          <cell r="C804" t="str">
            <v>LACTICINIOS TIROL LTDA</v>
          </cell>
          <cell r="D804">
            <v>4001</v>
          </cell>
          <cell r="E804" t="str">
            <v>0423</v>
          </cell>
          <cell r="F804" t="str">
            <v>C5</v>
          </cell>
          <cell r="G804" t="str">
            <v>PR</v>
          </cell>
          <cell r="H804" t="str">
            <v>OUTROS</v>
          </cell>
          <cell r="I804" t="str">
            <v>OUTROS</v>
          </cell>
          <cell r="J804" t="str">
            <v>SERVIÇO TIROL</v>
          </cell>
          <cell r="K804" t="str">
            <v>OUTROS</v>
          </cell>
          <cell r="L804" t="str">
            <v>OUTROS</v>
          </cell>
          <cell r="M804" t="str">
            <v>SERVIÇO TIROL</v>
          </cell>
        </row>
        <row r="805">
          <cell r="B805">
            <v>5334305</v>
          </cell>
          <cell r="C805" t="str">
            <v>LACTICINIOS TIROL LTDA</v>
          </cell>
          <cell r="D805">
            <v>4001</v>
          </cell>
          <cell r="E805" t="str">
            <v>0455</v>
          </cell>
          <cell r="F805" t="str">
            <v>C1</v>
          </cell>
          <cell r="G805" t="str">
            <v>PR</v>
          </cell>
          <cell r="H805" t="str">
            <v>OUTROS</v>
          </cell>
          <cell r="I805" t="str">
            <v>OUTROS</v>
          </cell>
          <cell r="J805" t="str">
            <v>SERVIÇO TIROL</v>
          </cell>
          <cell r="K805" t="str">
            <v>OUTROS</v>
          </cell>
          <cell r="L805" t="str">
            <v>OUTROS</v>
          </cell>
          <cell r="M805" t="str">
            <v>SERVIÇO TIROL</v>
          </cell>
        </row>
        <row r="806">
          <cell r="B806">
            <v>5335938</v>
          </cell>
          <cell r="C806" t="str">
            <v>LACTICINIOS TIROL LTDA</v>
          </cell>
          <cell r="D806">
            <v>4001</v>
          </cell>
          <cell r="E806" t="str">
            <v>0422</v>
          </cell>
          <cell r="F806" t="str">
            <v>C1</v>
          </cell>
          <cell r="G806" t="str">
            <v>SP</v>
          </cell>
          <cell r="H806" t="str">
            <v>OUTROS</v>
          </cell>
          <cell r="I806" t="str">
            <v>OUTROS</v>
          </cell>
          <cell r="J806" t="str">
            <v>SERVIÇO TIROL</v>
          </cell>
          <cell r="K806" t="str">
            <v>OUTROS</v>
          </cell>
          <cell r="L806" t="str">
            <v>OUTROS</v>
          </cell>
          <cell r="M806" t="str">
            <v>SERVIÇO TIROL</v>
          </cell>
        </row>
        <row r="807">
          <cell r="B807">
            <v>5336007</v>
          </cell>
          <cell r="C807" t="str">
            <v>LACTICINIOS TIROL LTDA</v>
          </cell>
          <cell r="D807">
            <v>4001</v>
          </cell>
          <cell r="E807" t="str">
            <v>0455</v>
          </cell>
          <cell r="F807" t="str">
            <v>C1</v>
          </cell>
          <cell r="G807" t="str">
            <v>PR</v>
          </cell>
          <cell r="H807" t="str">
            <v>OUTROS</v>
          </cell>
          <cell r="I807" t="str">
            <v>OUTROS</v>
          </cell>
          <cell r="J807" t="str">
            <v>SERVIÇO TIROL</v>
          </cell>
          <cell r="K807" t="str">
            <v>OUTROS</v>
          </cell>
          <cell r="L807" t="str">
            <v>OUTROS</v>
          </cell>
          <cell r="M807" t="str">
            <v>SERVIÇO TIROL</v>
          </cell>
        </row>
        <row r="808">
          <cell r="B808">
            <v>5303294</v>
          </cell>
          <cell r="C808" t="str">
            <v>LACTICINIOS TIROL LTDA</v>
          </cell>
          <cell r="D808">
            <v>4001</v>
          </cell>
          <cell r="E808" t="str">
            <v>0423</v>
          </cell>
          <cell r="F808" t="str">
            <v>C5</v>
          </cell>
          <cell r="G808" t="str">
            <v>SC</v>
          </cell>
          <cell r="H808" t="str">
            <v>OUTROS</v>
          </cell>
          <cell r="I808" t="str">
            <v>OUTROS</v>
          </cell>
          <cell r="J808" t="str">
            <v>SERVIÇO TIROL</v>
          </cell>
          <cell r="K808" t="str">
            <v>OUTROS</v>
          </cell>
          <cell r="L808" t="str">
            <v>OUTROS</v>
          </cell>
          <cell r="M808" t="str">
            <v>SERVIÇO TIROL</v>
          </cell>
        </row>
        <row r="809">
          <cell r="B809">
            <v>5098932</v>
          </cell>
          <cell r="C809" t="str">
            <v>LACTOJARA INDUSTRIA COM LATICINIOS LTDA</v>
          </cell>
          <cell r="D809">
            <v>4001</v>
          </cell>
          <cell r="E809" t="str">
            <v>0455</v>
          </cell>
          <cell r="F809" t="str">
            <v>C1</v>
          </cell>
          <cell r="G809" t="str">
            <v>PR</v>
          </cell>
          <cell r="H809" t="str">
            <v>INGREDIENTS</v>
          </cell>
          <cell r="I809" t="str">
            <v>INGREDIENTS</v>
          </cell>
          <cell r="J809" t="str">
            <v>MARCELO RODRIGUES</v>
          </cell>
          <cell r="K809" t="str">
            <v>LACTALIS</v>
          </cell>
          <cell r="L809" t="str">
            <v>MAURICIO</v>
          </cell>
          <cell r="M809" t="str">
            <v>MARCELO</v>
          </cell>
        </row>
        <row r="810">
          <cell r="B810">
            <v>5027657</v>
          </cell>
          <cell r="C810" t="str">
            <v>LACTUS COM DE PROD ALIMENTICIOS LTD</v>
          </cell>
          <cell r="D810">
            <v>3001</v>
          </cell>
          <cell r="E810" t="str">
            <v>0126</v>
          </cell>
          <cell r="F810" t="str">
            <v>C1</v>
          </cell>
          <cell r="G810" t="str">
            <v>SC</v>
          </cell>
          <cell r="H810" t="str">
            <v>DISTRIBUIÇÃO</v>
          </cell>
          <cell r="I810" t="str">
            <v>FOOD SERVICE</v>
          </cell>
          <cell r="J810" t="str">
            <v>ANTÔNIO SOUZA</v>
          </cell>
          <cell r="K810" t="str">
            <v>ITAMBÉ</v>
          </cell>
          <cell r="L810" t="str">
            <v>RODRIGO</v>
          </cell>
          <cell r="M810" t="str">
            <v>VAGO SUL</v>
          </cell>
        </row>
        <row r="811">
          <cell r="B811">
            <v>5303069</v>
          </cell>
          <cell r="C811" t="str">
            <v>LAGHETTO HOTEIS LTDA</v>
          </cell>
          <cell r="D811">
            <v>7001</v>
          </cell>
          <cell r="E811" t="str">
            <v>0749</v>
          </cell>
          <cell r="F811" t="str">
            <v>C5</v>
          </cell>
          <cell r="G811" t="str">
            <v>SP</v>
          </cell>
          <cell r="H811" t="str">
            <v>DISTRIBUIÇÃO</v>
          </cell>
          <cell r="I811" t="str">
            <v>FOOD SERVICE</v>
          </cell>
          <cell r="J811" t="str">
            <v>FLAC 6</v>
          </cell>
          <cell r="K811" t="str">
            <v>LACTALIS</v>
          </cell>
          <cell r="L811" t="str">
            <v>RODRIGO</v>
          </cell>
          <cell r="M811" t="str">
            <v>ALEXANDRO</v>
          </cell>
        </row>
        <row r="812">
          <cell r="B812">
            <v>5331426</v>
          </cell>
          <cell r="C812" t="str">
            <v>LAMPUR ALIMENTOS LTDA</v>
          </cell>
          <cell r="D812">
            <v>7001</v>
          </cell>
          <cell r="E812" t="str">
            <v>0749</v>
          </cell>
          <cell r="F812" t="str">
            <v>C5</v>
          </cell>
          <cell r="G812" t="str">
            <v>SP</v>
          </cell>
          <cell r="H812" t="str">
            <v>DISTRIBUIÇÃO</v>
          </cell>
          <cell r="I812" t="str">
            <v>FOOD SERVICE</v>
          </cell>
          <cell r="J812" t="str">
            <v>FLAC 6</v>
          </cell>
          <cell r="K812" t="str">
            <v>LACTALIS</v>
          </cell>
          <cell r="L812" t="str">
            <v>RODRIGO</v>
          </cell>
          <cell r="M812" t="str">
            <v>ALEXANDRO</v>
          </cell>
        </row>
        <row r="813">
          <cell r="B813">
            <v>5339674</v>
          </cell>
          <cell r="C813" t="str">
            <v>LANCH E REST BAMBARAS LTDA</v>
          </cell>
          <cell r="D813">
            <v>7001</v>
          </cell>
          <cell r="E813" t="str">
            <v>0749</v>
          </cell>
          <cell r="F813" t="str">
            <v>C5</v>
          </cell>
          <cell r="G813" t="str">
            <v>SP</v>
          </cell>
          <cell r="H813" t="str">
            <v>DISTRIBUIÇÃO</v>
          </cell>
          <cell r="I813" t="str">
            <v>FOOD SERVICE</v>
          </cell>
          <cell r="J813" t="str">
            <v>GUILHERME NASCIMENTO</v>
          </cell>
          <cell r="K813" t="str">
            <v>LACTALIS</v>
          </cell>
          <cell r="L813" t="str">
            <v>RODRIGO</v>
          </cell>
          <cell r="M813" t="str">
            <v>ALEXANDRO</v>
          </cell>
        </row>
        <row r="814">
          <cell r="B814">
            <v>5262263</v>
          </cell>
          <cell r="C814" t="str">
            <v>LANCHONETE LAGOA TROPICAL LTDA ME</v>
          </cell>
          <cell r="D814">
            <v>7001</v>
          </cell>
          <cell r="E814" t="str">
            <v>0749</v>
          </cell>
          <cell r="F814" t="str">
            <v>C5</v>
          </cell>
          <cell r="G814" t="str">
            <v>SP</v>
          </cell>
          <cell r="H814" t="str">
            <v>DISTRIBUIÇÃO</v>
          </cell>
          <cell r="I814" t="str">
            <v>FOOD SERVICE</v>
          </cell>
          <cell r="J814" t="str">
            <v>FLAC 3</v>
          </cell>
          <cell r="K814" t="str">
            <v>LACTALIS</v>
          </cell>
          <cell r="L814" t="str">
            <v>RODRIGO</v>
          </cell>
          <cell r="M814" t="str">
            <v>ALEXANDRO</v>
          </cell>
        </row>
        <row r="815">
          <cell r="B815">
            <v>5266323</v>
          </cell>
          <cell r="C815" t="str">
            <v>LANCHONETE MEGA SUCO LTDA</v>
          </cell>
          <cell r="D815">
            <v>7001</v>
          </cell>
          <cell r="E815" t="str">
            <v>0749</v>
          </cell>
          <cell r="F815" t="str">
            <v>C5</v>
          </cell>
          <cell r="G815" t="str">
            <v>SP</v>
          </cell>
          <cell r="H815" t="str">
            <v>DISTRIBUIÇÃO</v>
          </cell>
          <cell r="I815" t="str">
            <v>FOOD SERVICE</v>
          </cell>
          <cell r="J815" t="str">
            <v>FLAC 3</v>
          </cell>
          <cell r="K815" t="str">
            <v>LACTALIS</v>
          </cell>
          <cell r="L815" t="str">
            <v>RODRIGO</v>
          </cell>
          <cell r="M815" t="str">
            <v>ALEXANDRO</v>
          </cell>
        </row>
        <row r="816">
          <cell r="B816">
            <v>5330184</v>
          </cell>
          <cell r="C816" t="str">
            <v>LANCHONETE TORRE DO SOL LTDA</v>
          </cell>
          <cell r="D816">
            <v>7001</v>
          </cell>
          <cell r="E816" t="str">
            <v>0749</v>
          </cell>
          <cell r="F816" t="str">
            <v>C5</v>
          </cell>
          <cell r="G816" t="str">
            <v>SP</v>
          </cell>
          <cell r="H816" t="str">
            <v>DISTRIBUIÇÃO</v>
          </cell>
          <cell r="I816" t="str">
            <v>FOOD SERVICE</v>
          </cell>
          <cell r="J816" t="str">
            <v>FLAC 5</v>
          </cell>
          <cell r="K816" t="str">
            <v>LACTALIS</v>
          </cell>
          <cell r="L816" t="str">
            <v>RODRIGO</v>
          </cell>
          <cell r="M816" t="str">
            <v>ALEXANDRO</v>
          </cell>
        </row>
        <row r="817">
          <cell r="B817">
            <v>5278208</v>
          </cell>
          <cell r="C817" t="str">
            <v>LAT LUSO BRASILEIRO LTDA</v>
          </cell>
          <cell r="D817">
            <v>7001</v>
          </cell>
          <cell r="E817" t="str">
            <v>0722</v>
          </cell>
          <cell r="F817" t="str">
            <v>C1</v>
          </cell>
          <cell r="G817" t="str">
            <v>SP</v>
          </cell>
          <cell r="H817" t="str">
            <v>DISTRIBUIÇÃO</v>
          </cell>
          <cell r="I817" t="str">
            <v>FOOD SERVICE</v>
          </cell>
          <cell r="J817" t="str">
            <v>GUILHERME NASCIMENTO</v>
          </cell>
          <cell r="K817" t="str">
            <v>LACTALIS</v>
          </cell>
          <cell r="L817" t="str">
            <v>RODRIGO</v>
          </cell>
          <cell r="M817" t="str">
            <v>ALEXANDRO</v>
          </cell>
        </row>
        <row r="818">
          <cell r="B818">
            <v>5284531</v>
          </cell>
          <cell r="C818" t="str">
            <v>LATICINIO BELO VALE LTDA</v>
          </cell>
          <cell r="D818">
            <v>4001</v>
          </cell>
          <cell r="E818" t="str">
            <v>0423</v>
          </cell>
          <cell r="F818" t="str">
            <v>C5</v>
          </cell>
          <cell r="G818" t="str">
            <v>PB</v>
          </cell>
          <cell r="H818" t="str">
            <v>INGREDIENTS</v>
          </cell>
          <cell r="I818" t="str">
            <v>INGREDIENTS</v>
          </cell>
          <cell r="J818" t="str">
            <v>JOEL ELEOTÉRIO</v>
          </cell>
          <cell r="K818" t="str">
            <v>LACTALIS</v>
          </cell>
          <cell r="L818" t="str">
            <v>MAURICIO</v>
          </cell>
          <cell r="M818" t="str">
            <v>JOEL</v>
          </cell>
        </row>
        <row r="819">
          <cell r="B819">
            <v>5284531</v>
          </cell>
          <cell r="C819" t="str">
            <v>LATICINIO BELO VALE LTDA</v>
          </cell>
          <cell r="D819">
            <v>4001</v>
          </cell>
          <cell r="E819" t="str">
            <v>0437</v>
          </cell>
          <cell r="F819" t="str">
            <v>C1</v>
          </cell>
          <cell r="G819" t="str">
            <v>PB</v>
          </cell>
          <cell r="H819" t="str">
            <v>INGREDIENTS</v>
          </cell>
          <cell r="I819" t="str">
            <v>INGREDIENTS</v>
          </cell>
          <cell r="J819" t="str">
            <v>JOEL ELEOTÉRIO</v>
          </cell>
          <cell r="K819" t="str">
            <v>LACTALIS</v>
          </cell>
          <cell r="L819" t="str">
            <v>MAURICIO</v>
          </cell>
          <cell r="M819" t="str">
            <v>JOEL</v>
          </cell>
        </row>
        <row r="820">
          <cell r="B820">
            <v>5255675</v>
          </cell>
          <cell r="C820" t="str">
            <v>LATICINIOS BELA VISTA LTDA</v>
          </cell>
          <cell r="D820">
            <v>4001</v>
          </cell>
          <cell r="E820" t="str">
            <v>0437</v>
          </cell>
          <cell r="F820" t="str">
            <v>C1</v>
          </cell>
          <cell r="G820" t="str">
            <v>SC</v>
          </cell>
          <cell r="H820" t="str">
            <v>INGREDIENTS</v>
          </cell>
          <cell r="I820" t="str">
            <v>INGREDIENTS</v>
          </cell>
          <cell r="J820" t="str">
            <v>JOEL ELEOTÉRIO</v>
          </cell>
          <cell r="K820" t="str">
            <v>LACTALIS</v>
          </cell>
          <cell r="L820" t="str">
            <v>MAURICIO</v>
          </cell>
          <cell r="M820" t="str">
            <v>JOEL</v>
          </cell>
        </row>
        <row r="821">
          <cell r="B821">
            <v>5275630</v>
          </cell>
          <cell r="C821" t="str">
            <v>LATICINIOS BELA VISTA LTDA</v>
          </cell>
          <cell r="D821">
            <v>4001</v>
          </cell>
          <cell r="E821" t="str">
            <v>0437</v>
          </cell>
          <cell r="F821" t="str">
            <v>C1</v>
          </cell>
          <cell r="G821" t="str">
            <v>RS</v>
          </cell>
          <cell r="H821" t="str">
            <v>INGREDIENTS</v>
          </cell>
          <cell r="I821" t="str">
            <v>INGREDIENTS</v>
          </cell>
          <cell r="J821" t="str">
            <v>JOEL ELEOTÉRIO</v>
          </cell>
          <cell r="K821" t="str">
            <v>LACTALIS</v>
          </cell>
          <cell r="L821" t="str">
            <v>MAURICIO</v>
          </cell>
          <cell r="M821" t="str">
            <v>JOEL</v>
          </cell>
        </row>
        <row r="822">
          <cell r="B822">
            <v>5176278</v>
          </cell>
          <cell r="C822" t="str">
            <v>LATICINIOS BETIM LTDA</v>
          </cell>
          <cell r="D822">
            <v>3001</v>
          </cell>
          <cell r="E822" t="str">
            <v>0028</v>
          </cell>
          <cell r="F822" t="str">
            <v>C1</v>
          </cell>
          <cell r="G822" t="str">
            <v>MG</v>
          </cell>
          <cell r="H822" t="str">
            <v>INGREDIENTS</v>
          </cell>
          <cell r="I822" t="str">
            <v>INGREDIENTS</v>
          </cell>
          <cell r="J822" t="str">
            <v>HENRIQUE FERREIRA</v>
          </cell>
          <cell r="K822" t="str">
            <v>ITAMBÉ</v>
          </cell>
          <cell r="L822" t="str">
            <v>MAURICIO</v>
          </cell>
          <cell r="M822" t="str">
            <v>JOEL</v>
          </cell>
        </row>
        <row r="823">
          <cell r="B823">
            <v>5297753</v>
          </cell>
          <cell r="C823" t="str">
            <v>LATICINIOS E FRIOS BRITANI LTDA</v>
          </cell>
          <cell r="D823">
            <v>7001</v>
          </cell>
          <cell r="E823" t="str">
            <v>0749</v>
          </cell>
          <cell r="F823" t="str">
            <v>C5</v>
          </cell>
          <cell r="G823" t="str">
            <v>SP</v>
          </cell>
          <cell r="H823" t="str">
            <v>DISTRIBUIÇÃO</v>
          </cell>
          <cell r="I823" t="str">
            <v>FOOD SERVICE</v>
          </cell>
          <cell r="J823" t="str">
            <v>FLAC 3</v>
          </cell>
          <cell r="K823" t="str">
            <v>LACTALIS</v>
          </cell>
          <cell r="L823" t="str">
            <v>RODRIGO</v>
          </cell>
          <cell r="M823" t="str">
            <v>ALEXANDRO</v>
          </cell>
        </row>
        <row r="824">
          <cell r="B824">
            <v>5332694</v>
          </cell>
          <cell r="C824" t="str">
            <v>LATICINIOS JR LTDA</v>
          </cell>
          <cell r="D824">
            <v>4001</v>
          </cell>
          <cell r="E824" t="str">
            <v>0437</v>
          </cell>
          <cell r="F824" t="str">
            <v>C1</v>
          </cell>
          <cell r="G824" t="str">
            <v>SP</v>
          </cell>
          <cell r="H824" t="str">
            <v>INGREDIENTS</v>
          </cell>
          <cell r="I824" t="str">
            <v>INGREDIENTS</v>
          </cell>
          <cell r="J824" t="str">
            <v>JOEL ELEOTÉRIO</v>
          </cell>
          <cell r="K824" t="str">
            <v>LACTALIS</v>
          </cell>
          <cell r="L824" t="str">
            <v>MAURICIO</v>
          </cell>
          <cell r="M824" t="str">
            <v>JOEL</v>
          </cell>
        </row>
        <row r="825">
          <cell r="B825">
            <v>5164028</v>
          </cell>
          <cell r="C825" t="str">
            <v>LATICINIOS RUBI EIRELI</v>
          </cell>
          <cell r="D825">
            <v>7001</v>
          </cell>
          <cell r="E825" t="str">
            <v>0749</v>
          </cell>
          <cell r="F825" t="str">
            <v>C5</v>
          </cell>
          <cell r="G825" t="str">
            <v>SP</v>
          </cell>
          <cell r="H825" t="str">
            <v>DISTRIBUIÇÃO</v>
          </cell>
          <cell r="I825" t="str">
            <v>FOOD SERVICE</v>
          </cell>
          <cell r="J825" t="str">
            <v>FLAC 1</v>
          </cell>
          <cell r="K825" t="str">
            <v>LACTALIS</v>
          </cell>
          <cell r="L825" t="str">
            <v>RODRIGO</v>
          </cell>
          <cell r="M825" t="str">
            <v>ALEXANDRO</v>
          </cell>
        </row>
        <row r="826">
          <cell r="B826">
            <v>5204301</v>
          </cell>
          <cell r="C826" t="str">
            <v>LATICINIOS SANTA RITA LTDA</v>
          </cell>
          <cell r="D826">
            <v>3001</v>
          </cell>
          <cell r="E826" t="str">
            <v>0122</v>
          </cell>
          <cell r="F826" t="str">
            <v>C1</v>
          </cell>
          <cell r="G826" t="str">
            <v>MG</v>
          </cell>
          <cell r="H826" t="str">
            <v>INGREDIENTS</v>
          </cell>
          <cell r="I826" t="str">
            <v>INGREDIENTS</v>
          </cell>
          <cell r="J826" t="str">
            <v>JOEL ELEOTÉRIO</v>
          </cell>
          <cell r="K826" t="str">
            <v>ITAMBÉ</v>
          </cell>
          <cell r="L826" t="str">
            <v>MAURICIO</v>
          </cell>
          <cell r="M826" t="str">
            <v>JOEL</v>
          </cell>
        </row>
        <row r="827">
          <cell r="B827">
            <v>5181258</v>
          </cell>
          <cell r="C827" t="str">
            <v>LATICINIOS TIROLEZ LTDA</v>
          </cell>
          <cell r="D827">
            <v>3001</v>
          </cell>
          <cell r="E827" t="str">
            <v>0028</v>
          </cell>
          <cell r="F827" t="str">
            <v>C1</v>
          </cell>
          <cell r="G827" t="str">
            <v>SP</v>
          </cell>
          <cell r="H827" t="str">
            <v>INGREDIENTS</v>
          </cell>
          <cell r="I827" t="str">
            <v>INGREDIENTS</v>
          </cell>
          <cell r="J827" t="str">
            <v>MARCELO RODRIGUES</v>
          </cell>
          <cell r="K827" t="str">
            <v>ITAMBÉ</v>
          </cell>
          <cell r="L827" t="str">
            <v>MAURICIO</v>
          </cell>
          <cell r="M827" t="str">
            <v>MARCELO</v>
          </cell>
        </row>
        <row r="828">
          <cell r="B828">
            <v>5181258</v>
          </cell>
          <cell r="C828" t="str">
            <v>LATICINIOS TIROLEZ LTDA</v>
          </cell>
          <cell r="D828">
            <v>4001</v>
          </cell>
          <cell r="E828" t="str">
            <v>0455</v>
          </cell>
          <cell r="F828" t="str">
            <v>C1</v>
          </cell>
          <cell r="G828" t="str">
            <v>SP</v>
          </cell>
          <cell r="H828" t="str">
            <v>INGREDIENTS</v>
          </cell>
          <cell r="I828" t="str">
            <v>INGREDIENTS</v>
          </cell>
          <cell r="J828" t="str">
            <v>MARCELO RODRIGUES</v>
          </cell>
          <cell r="K828" t="str">
            <v>LACTALIS</v>
          </cell>
          <cell r="L828" t="str">
            <v>MAURICIO</v>
          </cell>
          <cell r="M828" t="str">
            <v>MARCELO</v>
          </cell>
        </row>
        <row r="829">
          <cell r="B829">
            <v>5143169</v>
          </cell>
          <cell r="C829" t="str">
            <v>LATICINIOS TIROLEZ LTDA</v>
          </cell>
          <cell r="D829">
            <v>4001</v>
          </cell>
          <cell r="E829" t="str">
            <v>0437</v>
          </cell>
          <cell r="F829" t="str">
            <v>C1</v>
          </cell>
          <cell r="G829" t="str">
            <v>SP</v>
          </cell>
          <cell r="H829" t="str">
            <v>INGREDIENTS</v>
          </cell>
          <cell r="I829" t="str">
            <v>INGREDIENTS</v>
          </cell>
          <cell r="J829" t="str">
            <v>MARCELO RODRIGUES</v>
          </cell>
          <cell r="K829" t="str">
            <v>LACTALIS</v>
          </cell>
          <cell r="L829" t="str">
            <v>MAURICIO</v>
          </cell>
          <cell r="M829" t="str">
            <v>MARCELO</v>
          </cell>
        </row>
        <row r="830">
          <cell r="B830">
            <v>5265736</v>
          </cell>
          <cell r="C830" t="str">
            <v>LATICINIOS VENEZA LTDA</v>
          </cell>
          <cell r="D830">
            <v>4001</v>
          </cell>
          <cell r="E830" t="str">
            <v>0437</v>
          </cell>
          <cell r="F830" t="str">
            <v>C1</v>
          </cell>
          <cell r="G830" t="str">
            <v>SC</v>
          </cell>
          <cell r="H830" t="str">
            <v>INGREDIENTS</v>
          </cell>
          <cell r="I830" t="str">
            <v>INGREDIENTS</v>
          </cell>
          <cell r="J830" t="str">
            <v>JOEL ELEOTÉRIO</v>
          </cell>
          <cell r="K830" t="str">
            <v>LACTALIS</v>
          </cell>
          <cell r="L830" t="str">
            <v>MAURICIO</v>
          </cell>
          <cell r="M830" t="str">
            <v>JOEL</v>
          </cell>
        </row>
        <row r="831">
          <cell r="B831">
            <v>5275629</v>
          </cell>
          <cell r="C831" t="str">
            <v>LATIT 13 CAFES ESP COM CAF E AC</v>
          </cell>
          <cell r="D831">
            <v>3001</v>
          </cell>
          <cell r="E831" t="str">
            <v>0127</v>
          </cell>
          <cell r="F831" t="str">
            <v>C1</v>
          </cell>
          <cell r="G831" t="str">
            <v>BA</v>
          </cell>
          <cell r="H831" t="str">
            <v>DISTRIBUIÇÃO</v>
          </cell>
          <cell r="I831" t="str">
            <v>FOOD SERVICE</v>
          </cell>
          <cell r="J831" t="str">
            <v xml:space="preserve">KARIS FOOD / LUIZ </v>
          </cell>
          <cell r="K831" t="str">
            <v>ITAMBÉ</v>
          </cell>
          <cell r="L831" t="str">
            <v>RODRIGO</v>
          </cell>
          <cell r="M831" t="str">
            <v>VAGO NORDESTE</v>
          </cell>
        </row>
        <row r="832">
          <cell r="B832">
            <v>5261291</v>
          </cell>
          <cell r="C832" t="str">
            <v>LATURAN SUCOS E ALIMENTOS LTDA ME</v>
          </cell>
          <cell r="D832">
            <v>7001</v>
          </cell>
          <cell r="E832" t="str">
            <v>0749</v>
          </cell>
          <cell r="F832" t="str">
            <v>C5</v>
          </cell>
          <cell r="G832" t="str">
            <v>SP</v>
          </cell>
          <cell r="H832" t="str">
            <v>QSR</v>
          </cell>
          <cell r="I832" t="str">
            <v>FOOD SERVICE</v>
          </cell>
          <cell r="J832" t="str">
            <v>NUTRI</v>
          </cell>
          <cell r="K832" t="str">
            <v>LACTALIS</v>
          </cell>
          <cell r="L832" t="str">
            <v>PEDRO</v>
          </cell>
          <cell r="M832" t="str">
            <v>AMANDA</v>
          </cell>
        </row>
        <row r="833">
          <cell r="B833">
            <v>5028647</v>
          </cell>
          <cell r="C833" t="str">
            <v>LAURO DELEVEDOVE</v>
          </cell>
          <cell r="D833">
            <v>3001</v>
          </cell>
          <cell r="E833" t="str">
            <v>0169</v>
          </cell>
          <cell r="F833" t="str">
            <v>C1</v>
          </cell>
          <cell r="G833" t="str">
            <v>ES</v>
          </cell>
          <cell r="H833" t="str">
            <v>DISTRIBUIÇÃO</v>
          </cell>
          <cell r="I833" t="str">
            <v>FOOD SERVICE</v>
          </cell>
          <cell r="J833" t="str">
            <v>MARCELO DUARTE</v>
          </cell>
          <cell r="K833" t="str">
            <v>ITAMBÉ</v>
          </cell>
          <cell r="L833" t="str">
            <v>RODRIGO</v>
          </cell>
          <cell r="M833" t="str">
            <v>JESSICA</v>
          </cell>
        </row>
        <row r="834">
          <cell r="B834">
            <v>5280920</v>
          </cell>
          <cell r="C834" t="str">
            <v>LBGS GRUPOS DE SERVICOS LTDA</v>
          </cell>
          <cell r="D834">
            <v>7001</v>
          </cell>
          <cell r="E834" t="str">
            <v>0749</v>
          </cell>
          <cell r="F834" t="str">
            <v>C5</v>
          </cell>
          <cell r="G834" t="str">
            <v>SP</v>
          </cell>
          <cell r="H834" t="str">
            <v>QSR</v>
          </cell>
          <cell r="I834" t="str">
            <v>FOOD SERVICE</v>
          </cell>
          <cell r="J834" t="str">
            <v>NUTRI</v>
          </cell>
          <cell r="K834" t="str">
            <v>LACTALIS</v>
          </cell>
          <cell r="L834" t="str">
            <v>PEDRO</v>
          </cell>
          <cell r="M834" t="str">
            <v>AMANDA</v>
          </cell>
        </row>
        <row r="835">
          <cell r="B835">
            <v>5285639</v>
          </cell>
          <cell r="C835" t="str">
            <v>LC ADMINISTRACAO DE REST LTDA</v>
          </cell>
          <cell r="D835">
            <v>7001</v>
          </cell>
          <cell r="E835" t="str">
            <v>0749</v>
          </cell>
          <cell r="F835" t="str">
            <v>C5</v>
          </cell>
          <cell r="G835" t="str">
            <v>SP</v>
          </cell>
          <cell r="H835" t="str">
            <v>QSR</v>
          </cell>
          <cell r="I835" t="str">
            <v>FOOD SERVICE</v>
          </cell>
          <cell r="J835" t="str">
            <v>NUTRI</v>
          </cell>
          <cell r="K835" t="str">
            <v>LACTALIS</v>
          </cell>
          <cell r="L835" t="str">
            <v>PEDRO</v>
          </cell>
          <cell r="M835" t="str">
            <v>AMANDA</v>
          </cell>
        </row>
        <row r="836">
          <cell r="B836">
            <v>5337255</v>
          </cell>
          <cell r="C836" t="str">
            <v>LC ADMINISTRACAO DE REST LTDA</v>
          </cell>
          <cell r="D836">
            <v>3001</v>
          </cell>
          <cell r="E836" t="str">
            <v>0028</v>
          </cell>
          <cell r="F836" t="str">
            <v>C1</v>
          </cell>
          <cell r="G836" t="str">
            <v>MG</v>
          </cell>
          <cell r="H836" t="str">
            <v>QSR</v>
          </cell>
          <cell r="I836" t="str">
            <v>FOOD SERVICE</v>
          </cell>
          <cell r="J836" t="str">
            <v>NUTRI</v>
          </cell>
          <cell r="K836" t="str">
            <v>ITAMBÉ</v>
          </cell>
          <cell r="L836" t="str">
            <v>PEDRO</v>
          </cell>
          <cell r="M836" t="str">
            <v>AMANDA</v>
          </cell>
        </row>
        <row r="837">
          <cell r="B837">
            <v>5045491</v>
          </cell>
          <cell r="C837" t="str">
            <v>LC ADMINISTRACAO DE RESTAURANTE</v>
          </cell>
          <cell r="D837">
            <v>7001</v>
          </cell>
          <cell r="E837" t="str">
            <v>0749</v>
          </cell>
          <cell r="F837" t="str">
            <v>C5</v>
          </cell>
          <cell r="G837" t="str">
            <v>SP</v>
          </cell>
          <cell r="H837" t="str">
            <v>QSR</v>
          </cell>
          <cell r="I837" t="str">
            <v>FOOD SERVICE</v>
          </cell>
          <cell r="J837" t="str">
            <v>NUTRI</v>
          </cell>
          <cell r="K837" t="str">
            <v>LACTALIS</v>
          </cell>
          <cell r="L837" t="str">
            <v>PEDRO</v>
          </cell>
          <cell r="M837" t="str">
            <v>AMANDA</v>
          </cell>
        </row>
        <row r="838">
          <cell r="B838">
            <v>5266154</v>
          </cell>
          <cell r="C838" t="str">
            <v>LDP JARDINS RESTAURANTE LTDA</v>
          </cell>
          <cell r="D838">
            <v>7001</v>
          </cell>
          <cell r="E838" t="str">
            <v>0749</v>
          </cell>
          <cell r="F838" t="str">
            <v>C5</v>
          </cell>
          <cell r="G838" t="str">
            <v>SP</v>
          </cell>
          <cell r="H838" t="str">
            <v>DISTRIBUIÇÃO</v>
          </cell>
          <cell r="I838" t="str">
            <v>FOOD SERVICE</v>
          </cell>
          <cell r="J838" t="str">
            <v>FLAC 3</v>
          </cell>
          <cell r="K838" t="str">
            <v>LACTALIS</v>
          </cell>
          <cell r="L838" t="str">
            <v>RODRIGO</v>
          </cell>
          <cell r="M838" t="str">
            <v>ALEXANDRO</v>
          </cell>
        </row>
        <row r="839">
          <cell r="B839">
            <v>5266577</v>
          </cell>
          <cell r="C839" t="str">
            <v>LDP JARDINS RESTAURANTE LTDA</v>
          </cell>
          <cell r="D839">
            <v>7001</v>
          </cell>
          <cell r="E839" t="str">
            <v>0749</v>
          </cell>
          <cell r="F839" t="str">
            <v>C5</v>
          </cell>
          <cell r="G839" t="str">
            <v>SP</v>
          </cell>
          <cell r="H839" t="str">
            <v>DISTRIBUIÇÃO</v>
          </cell>
          <cell r="I839" t="str">
            <v>FOOD SERVICE</v>
          </cell>
          <cell r="J839" t="str">
            <v>FLAC 3</v>
          </cell>
          <cell r="K839" t="str">
            <v>LACTALIS</v>
          </cell>
          <cell r="L839" t="str">
            <v>RODRIGO</v>
          </cell>
          <cell r="M839" t="str">
            <v>ALEXANDRO</v>
          </cell>
        </row>
        <row r="840">
          <cell r="B840">
            <v>5332941</v>
          </cell>
          <cell r="C840" t="str">
            <v>LE JAZZ BAR E RESTAURANTE LTDA</v>
          </cell>
          <cell r="D840">
            <v>7001</v>
          </cell>
          <cell r="E840" t="str">
            <v>0749</v>
          </cell>
          <cell r="F840" t="str">
            <v>C5</v>
          </cell>
          <cell r="G840" t="str">
            <v>SP</v>
          </cell>
          <cell r="H840" t="str">
            <v>DISTRIBUIÇÃO</v>
          </cell>
          <cell r="I840" t="str">
            <v>FOOD SERVICE</v>
          </cell>
          <cell r="J840" t="str">
            <v>FLAC 6</v>
          </cell>
          <cell r="K840" t="str">
            <v>LACTALIS</v>
          </cell>
          <cell r="L840" t="str">
            <v>RODRIGO</v>
          </cell>
          <cell r="M840" t="str">
            <v>ALEXANDRO</v>
          </cell>
        </row>
        <row r="841">
          <cell r="B841">
            <v>5233790</v>
          </cell>
          <cell r="C841" t="str">
            <v>LE JAZZ BOULANGERIE BAR E RESTAUR L</v>
          </cell>
          <cell r="D841">
            <v>7001</v>
          </cell>
          <cell r="E841" t="str">
            <v>0749</v>
          </cell>
          <cell r="F841" t="str">
            <v>C5</v>
          </cell>
          <cell r="G841" t="str">
            <v>SP</v>
          </cell>
          <cell r="H841" t="str">
            <v>DISTRIBUIÇÃO</v>
          </cell>
          <cell r="I841" t="str">
            <v>FOOD SERVICE</v>
          </cell>
          <cell r="J841" t="str">
            <v>FLAC 5</v>
          </cell>
          <cell r="K841" t="str">
            <v>LACTALIS</v>
          </cell>
          <cell r="L841" t="str">
            <v>RODRIGO</v>
          </cell>
          <cell r="M841" t="str">
            <v>ALEXANDRO</v>
          </cell>
        </row>
        <row r="842">
          <cell r="B842">
            <v>5286858</v>
          </cell>
          <cell r="C842" t="str">
            <v>LEO CONFEITARIA E SORVETERIA LTDA</v>
          </cell>
          <cell r="D842">
            <v>7001</v>
          </cell>
          <cell r="E842" t="str">
            <v>0749</v>
          </cell>
          <cell r="F842" t="str">
            <v>C5</v>
          </cell>
          <cell r="G842" t="str">
            <v>SP</v>
          </cell>
          <cell r="H842" t="str">
            <v>DISTRIBUIÇÃO</v>
          </cell>
          <cell r="I842" t="str">
            <v>FOOD SERVICE</v>
          </cell>
          <cell r="J842" t="str">
            <v>FLAC 3</v>
          </cell>
          <cell r="K842" t="str">
            <v>LACTALIS</v>
          </cell>
          <cell r="L842" t="str">
            <v>RODRIGO</v>
          </cell>
          <cell r="M842" t="str">
            <v>ALEXANDRO</v>
          </cell>
        </row>
        <row r="843">
          <cell r="B843">
            <v>5303066</v>
          </cell>
          <cell r="C843" t="str">
            <v>LETICIA BRESSAN ALMEIDA ROSA 401870</v>
          </cell>
          <cell r="D843">
            <v>7001</v>
          </cell>
          <cell r="E843" t="str">
            <v>0749</v>
          </cell>
          <cell r="F843" t="str">
            <v>C5</v>
          </cell>
          <cell r="G843" t="str">
            <v>SP</v>
          </cell>
          <cell r="H843" t="str">
            <v>DISTRIBUIÇÃO</v>
          </cell>
          <cell r="I843" t="str">
            <v>FOOD SERVICE</v>
          </cell>
          <cell r="J843" t="str">
            <v>FLAC 6</v>
          </cell>
          <cell r="K843" t="str">
            <v>LACTALIS</v>
          </cell>
          <cell r="L843" t="str">
            <v>RODRIGO</v>
          </cell>
          <cell r="M843" t="str">
            <v>ALEXANDRO</v>
          </cell>
        </row>
        <row r="844">
          <cell r="B844">
            <v>5301830</v>
          </cell>
          <cell r="C844" t="str">
            <v>LETOZZI GASTRONOMIA LTDA</v>
          </cell>
          <cell r="D844">
            <v>7001</v>
          </cell>
          <cell r="E844" t="str">
            <v>0749</v>
          </cell>
          <cell r="F844" t="str">
            <v>C5</v>
          </cell>
          <cell r="G844" t="str">
            <v>SP</v>
          </cell>
          <cell r="H844" t="str">
            <v>DISTRIBUIÇÃO</v>
          </cell>
          <cell r="I844" t="str">
            <v>FOOD SERVICE</v>
          </cell>
          <cell r="J844" t="str">
            <v>FLAC 2</v>
          </cell>
          <cell r="K844" t="str">
            <v>LACTALIS</v>
          </cell>
          <cell r="L844" t="str">
            <v>RODRIGO</v>
          </cell>
          <cell r="M844" t="str">
            <v>ALEXANDRO</v>
          </cell>
        </row>
        <row r="845">
          <cell r="B845">
            <v>5229525</v>
          </cell>
          <cell r="C845" t="str">
            <v>LEVE BOLOS CONFEITARIA LTDA</v>
          </cell>
          <cell r="D845">
            <v>3001</v>
          </cell>
          <cell r="E845" t="str">
            <v>0126</v>
          </cell>
          <cell r="F845" t="str">
            <v>C1</v>
          </cell>
          <cell r="G845" t="str">
            <v>PR</v>
          </cell>
          <cell r="H845" t="str">
            <v>DISTRIBUIÇÃO</v>
          </cell>
          <cell r="I845" t="str">
            <v>FOOD SERVICE</v>
          </cell>
          <cell r="J845" t="str">
            <v>ANTÔNIO SOUZA</v>
          </cell>
          <cell r="K845" t="str">
            <v>ITAMBÉ</v>
          </cell>
          <cell r="L845" t="str">
            <v>RODRIGO</v>
          </cell>
          <cell r="M845" t="str">
            <v>VAGO SUL</v>
          </cell>
        </row>
        <row r="846">
          <cell r="B846">
            <v>5128517</v>
          </cell>
          <cell r="C846" t="str">
            <v>LF FOOD S LTDA</v>
          </cell>
          <cell r="D846">
            <v>3001</v>
          </cell>
          <cell r="E846" t="str">
            <v>0127</v>
          </cell>
          <cell r="F846" t="str">
            <v>C1</v>
          </cell>
          <cell r="G846" t="str">
            <v>BA</v>
          </cell>
          <cell r="H846" t="str">
            <v>DISTRIBUIÇÃO</v>
          </cell>
          <cell r="I846" t="str">
            <v>FOOD SERVICE</v>
          </cell>
          <cell r="J846" t="str">
            <v xml:space="preserve">KARIS FOOD / LUIZ </v>
          </cell>
          <cell r="K846" t="str">
            <v>ITAMBÉ</v>
          </cell>
          <cell r="L846" t="str">
            <v>RODRIGO</v>
          </cell>
          <cell r="M846" t="str">
            <v>VAGO NORDESTE</v>
          </cell>
        </row>
        <row r="847">
          <cell r="B847">
            <v>5229526</v>
          </cell>
          <cell r="C847" t="str">
            <v>LIBRAGA BRANDAO &amp; CIA LTDA</v>
          </cell>
          <cell r="D847">
            <v>3001</v>
          </cell>
          <cell r="E847" t="str">
            <v>0028</v>
          </cell>
          <cell r="F847" t="str">
            <v>C1</v>
          </cell>
          <cell r="G847" t="str">
            <v>RS</v>
          </cell>
          <cell r="H847" t="str">
            <v>INGREDIENTS</v>
          </cell>
          <cell r="I847" t="str">
            <v>INGREDIENTS</v>
          </cell>
          <cell r="J847" t="str">
            <v>DUAS RODAS</v>
          </cell>
          <cell r="K847" t="str">
            <v>ITAMBÉ</v>
          </cell>
          <cell r="L847" t="str">
            <v>MAURICIO</v>
          </cell>
          <cell r="M847" t="str">
            <v>MARCELO</v>
          </cell>
        </row>
        <row r="848">
          <cell r="B848">
            <v>5279458</v>
          </cell>
          <cell r="C848" t="str">
            <v>LIGHTSWEET IND E COM DE ALIMENT</v>
          </cell>
          <cell r="D848">
            <v>3001</v>
          </cell>
          <cell r="E848" t="str">
            <v>0028</v>
          </cell>
          <cell r="F848" t="str">
            <v>C1</v>
          </cell>
          <cell r="G848" t="str">
            <v>PR</v>
          </cell>
          <cell r="H848" t="str">
            <v>INGREDIENTS</v>
          </cell>
          <cell r="I848" t="str">
            <v>INGREDIENTS</v>
          </cell>
          <cell r="J848" t="str">
            <v>MARCELO RODRIGUES</v>
          </cell>
          <cell r="K848" t="str">
            <v>ITAMBÉ</v>
          </cell>
          <cell r="L848" t="str">
            <v>MAURICIO</v>
          </cell>
          <cell r="M848" t="str">
            <v>MARCELO</v>
          </cell>
        </row>
        <row r="849">
          <cell r="B849">
            <v>5279458</v>
          </cell>
          <cell r="C849" t="str">
            <v>LIGHTSWEET IND E COM DE ALIMENT</v>
          </cell>
          <cell r="D849">
            <v>3001</v>
          </cell>
          <cell r="E849" t="str">
            <v>0126</v>
          </cell>
          <cell r="F849" t="str">
            <v>C1</v>
          </cell>
          <cell r="G849" t="str">
            <v>PR</v>
          </cell>
          <cell r="H849" t="str">
            <v>INGREDIENTS</v>
          </cell>
          <cell r="I849" t="str">
            <v>INGREDIENTS</v>
          </cell>
          <cell r="J849" t="str">
            <v>MARCELO RODRIGUES</v>
          </cell>
          <cell r="K849" t="str">
            <v>ITAMBÉ</v>
          </cell>
          <cell r="L849" t="str">
            <v>MAURICIO</v>
          </cell>
          <cell r="M849" t="str">
            <v>MARCELO</v>
          </cell>
        </row>
        <row r="850">
          <cell r="B850">
            <v>5279458</v>
          </cell>
          <cell r="C850" t="str">
            <v>LIGHTSWEET IND E COM DE ALIMENT</v>
          </cell>
          <cell r="D850">
            <v>4001</v>
          </cell>
          <cell r="E850" t="str">
            <v>0455</v>
          </cell>
          <cell r="F850" t="str">
            <v>C1</v>
          </cell>
          <cell r="G850" t="str">
            <v>PR</v>
          </cell>
          <cell r="H850" t="str">
            <v>INGREDIENTS</v>
          </cell>
          <cell r="I850" t="str">
            <v>INGREDIENTS</v>
          </cell>
          <cell r="J850" t="str">
            <v>MARCELO RODRIGUES</v>
          </cell>
          <cell r="K850" t="str">
            <v>LACTALIS</v>
          </cell>
          <cell r="L850" t="str">
            <v>MAURICIO</v>
          </cell>
          <cell r="M850" t="str">
            <v>MARCELO</v>
          </cell>
        </row>
        <row r="851">
          <cell r="B851">
            <v>5274613</v>
          </cell>
          <cell r="C851" t="str">
            <v>LILLY COMERCIO DE BOLOS EIRELI</v>
          </cell>
          <cell r="D851">
            <v>7001</v>
          </cell>
          <cell r="E851" t="str">
            <v>0749</v>
          </cell>
          <cell r="F851" t="str">
            <v>C5</v>
          </cell>
          <cell r="G851" t="str">
            <v>SP</v>
          </cell>
          <cell r="H851" t="str">
            <v>DISTRIBUIÇÃO</v>
          </cell>
          <cell r="I851" t="str">
            <v>FOOD SERVICE</v>
          </cell>
          <cell r="J851" t="str">
            <v>FLAC 6</v>
          </cell>
          <cell r="K851" t="str">
            <v>LACTALIS</v>
          </cell>
          <cell r="L851" t="str">
            <v>RODRIGO</v>
          </cell>
          <cell r="M851" t="str">
            <v>ALEXANDRO</v>
          </cell>
        </row>
        <row r="852">
          <cell r="B852">
            <v>5274388</v>
          </cell>
          <cell r="C852" t="str">
            <v>LILOCA S SUCOS LTDA</v>
          </cell>
          <cell r="D852">
            <v>7001</v>
          </cell>
          <cell r="E852" t="str">
            <v>0749</v>
          </cell>
          <cell r="F852" t="str">
            <v>C5</v>
          </cell>
          <cell r="G852" t="str">
            <v>SP</v>
          </cell>
          <cell r="H852" t="str">
            <v>DISTRIBUIÇÃO</v>
          </cell>
          <cell r="I852" t="str">
            <v>FOOD SERVICE</v>
          </cell>
          <cell r="J852" t="str">
            <v>FLAC 2</v>
          </cell>
          <cell r="K852" t="str">
            <v>LACTALIS</v>
          </cell>
          <cell r="L852" t="str">
            <v>RODRIGO</v>
          </cell>
          <cell r="M852" t="str">
            <v>ALEXANDRO</v>
          </cell>
        </row>
        <row r="853">
          <cell r="B853">
            <v>5182157</v>
          </cell>
          <cell r="C853" t="str">
            <v>LIMA COMERCIO ALIMENTICIO LTDA</v>
          </cell>
          <cell r="D853">
            <v>3001</v>
          </cell>
          <cell r="E853" t="str">
            <v>0127</v>
          </cell>
          <cell r="F853" t="str">
            <v>C1</v>
          </cell>
          <cell r="G853" t="str">
            <v>PE</v>
          </cell>
          <cell r="H853" t="str">
            <v>DISTRIBUIÇÃO</v>
          </cell>
          <cell r="I853" t="str">
            <v>FOOD SERVICE</v>
          </cell>
          <cell r="J853" t="str">
            <v>CLAUDIO JORGE</v>
          </cell>
          <cell r="K853" t="str">
            <v>ITAMBÉ</v>
          </cell>
          <cell r="L853" t="str">
            <v>RODRIGO</v>
          </cell>
          <cell r="M853" t="str">
            <v>VAGO NORDESTE</v>
          </cell>
        </row>
        <row r="854">
          <cell r="B854">
            <v>5253937</v>
          </cell>
          <cell r="C854" t="str">
            <v>LIVANTTO RESTAURANTE LTDA</v>
          </cell>
          <cell r="D854">
            <v>7001</v>
          </cell>
          <cell r="E854" t="str">
            <v>0749</v>
          </cell>
          <cell r="F854" t="str">
            <v>C5</v>
          </cell>
          <cell r="G854" t="str">
            <v>SP</v>
          </cell>
          <cell r="H854" t="str">
            <v>DISTRIBUIÇÃO</v>
          </cell>
          <cell r="I854" t="str">
            <v>FOOD SERVICE</v>
          </cell>
          <cell r="J854" t="str">
            <v>FLAC 2</v>
          </cell>
          <cell r="K854" t="str">
            <v>LACTALIS</v>
          </cell>
          <cell r="L854" t="str">
            <v>RODRIGO</v>
          </cell>
          <cell r="M854" t="str">
            <v>ALEXANDRO</v>
          </cell>
        </row>
        <row r="855">
          <cell r="B855">
            <v>5316455</v>
          </cell>
          <cell r="C855" t="str">
            <v>LLINEA SERVICOS E ALIMENTACAO L</v>
          </cell>
          <cell r="D855">
            <v>7001</v>
          </cell>
          <cell r="E855" t="str">
            <v>0749</v>
          </cell>
          <cell r="F855" t="str">
            <v>C5</v>
          </cell>
          <cell r="G855" t="str">
            <v>SP</v>
          </cell>
          <cell r="H855" t="str">
            <v>DISTRIBUIÇÃO</v>
          </cell>
          <cell r="I855" t="str">
            <v>FOOD SERVICE</v>
          </cell>
          <cell r="J855" t="str">
            <v>FLAC 2</v>
          </cell>
          <cell r="K855" t="str">
            <v>LACTALIS</v>
          </cell>
          <cell r="L855" t="str">
            <v>RODRIGO</v>
          </cell>
          <cell r="M855" t="str">
            <v>ALEXANDRO</v>
          </cell>
        </row>
        <row r="856">
          <cell r="B856">
            <v>5275462</v>
          </cell>
          <cell r="C856" t="str">
            <v>LMB INDUST E COMERC DE PROD LACTEOS LTDA</v>
          </cell>
          <cell r="D856">
            <v>4001</v>
          </cell>
          <cell r="E856" t="str">
            <v>0437</v>
          </cell>
          <cell r="F856" t="str">
            <v>C1</v>
          </cell>
          <cell r="G856" t="str">
            <v>SP</v>
          </cell>
          <cell r="H856" t="str">
            <v>INGREDIENTS</v>
          </cell>
          <cell r="I856" t="str">
            <v>INGREDIENTS</v>
          </cell>
          <cell r="J856" t="str">
            <v>JOEL ELEOTÉRIO</v>
          </cell>
          <cell r="K856" t="str">
            <v>LACTALIS</v>
          </cell>
          <cell r="L856" t="str">
            <v>MAURICIO</v>
          </cell>
          <cell r="M856" t="str">
            <v>JOEL</v>
          </cell>
        </row>
        <row r="857">
          <cell r="B857">
            <v>5312815</v>
          </cell>
          <cell r="C857" t="str">
            <v>LMDR 2 COMERCIO DE ALIMENTOS LTDA</v>
          </cell>
          <cell r="D857">
            <v>7001</v>
          </cell>
          <cell r="E857" t="str">
            <v>0749</v>
          </cell>
          <cell r="F857" t="str">
            <v>C5</v>
          </cell>
          <cell r="G857" t="str">
            <v>SP</v>
          </cell>
          <cell r="H857" t="str">
            <v>DISTRIBUIÇÃO</v>
          </cell>
          <cell r="I857" t="str">
            <v>FOOD SERVICE</v>
          </cell>
          <cell r="J857" t="str">
            <v>FLAC 3</v>
          </cell>
          <cell r="K857" t="str">
            <v>LACTALIS</v>
          </cell>
          <cell r="L857" t="str">
            <v>RODRIGO</v>
          </cell>
          <cell r="M857" t="str">
            <v>ALEXANDRO</v>
          </cell>
        </row>
        <row r="858">
          <cell r="B858">
            <v>5292037</v>
          </cell>
          <cell r="C858" t="str">
            <v>LMDR COMERCIO DE ALIMENTOS LTDA</v>
          </cell>
          <cell r="D858">
            <v>7001</v>
          </cell>
          <cell r="E858" t="str">
            <v>0749</v>
          </cell>
          <cell r="F858" t="str">
            <v>C5</v>
          </cell>
          <cell r="G858" t="str">
            <v>SP</v>
          </cell>
          <cell r="H858" t="str">
            <v>DISTRIBUIÇÃO</v>
          </cell>
          <cell r="I858" t="str">
            <v>FOOD SERVICE</v>
          </cell>
          <cell r="J858" t="str">
            <v>FLAC 3</v>
          </cell>
          <cell r="K858" t="str">
            <v>LACTALIS</v>
          </cell>
          <cell r="L858" t="str">
            <v>RODRIGO</v>
          </cell>
          <cell r="M858" t="str">
            <v>ALEXANDRO</v>
          </cell>
        </row>
        <row r="859">
          <cell r="B859">
            <v>5320289</v>
          </cell>
          <cell r="C859" t="str">
            <v>LOIA FOODS II IMPORT E EXPORT LLC</v>
          </cell>
          <cell r="D859">
            <v>3001</v>
          </cell>
          <cell r="E859" t="str">
            <v>0062</v>
          </cell>
          <cell r="F859" t="str">
            <v>C1</v>
          </cell>
          <cell r="G859" t="str">
            <v>NJ</v>
          </cell>
          <cell r="H859" t="str">
            <v>OUTROS</v>
          </cell>
          <cell r="I859" t="str">
            <v>OUTROS</v>
          </cell>
          <cell r="J859" t="str">
            <v>INTERCOMPANY EXP</v>
          </cell>
          <cell r="K859" t="str">
            <v>OUTROS</v>
          </cell>
          <cell r="L859" t="str">
            <v>OUTROS</v>
          </cell>
          <cell r="M859" t="str">
            <v>INTERCOMPANY</v>
          </cell>
        </row>
        <row r="860">
          <cell r="B860">
            <v>5214670</v>
          </cell>
          <cell r="C860" t="str">
            <v>LORENZ COMERCIO E DIST DE ALIM LTDA</v>
          </cell>
          <cell r="D860">
            <v>3001</v>
          </cell>
          <cell r="E860" t="str">
            <v>0123</v>
          </cell>
          <cell r="F860" t="str">
            <v>C1</v>
          </cell>
          <cell r="G860" t="str">
            <v>MS</v>
          </cell>
          <cell r="H860" t="str">
            <v>DISTRIBUIÇÃO</v>
          </cell>
          <cell r="I860" t="str">
            <v>FOOD SERVICE</v>
          </cell>
          <cell r="J860" t="str">
            <v>CLAUDIO JORGE</v>
          </cell>
          <cell r="K860" t="str">
            <v>ITAMBÉ</v>
          </cell>
          <cell r="L860" t="str">
            <v>RODRIGO</v>
          </cell>
          <cell r="M860" t="str">
            <v>MARCO AURELIO</v>
          </cell>
        </row>
        <row r="861">
          <cell r="B861">
            <v>5202413</v>
          </cell>
          <cell r="C861" t="str">
            <v>LUA NOVA IND COM PRODS ALIM LTDA</v>
          </cell>
          <cell r="D861">
            <v>3001</v>
          </cell>
          <cell r="E861" t="str">
            <v>0169</v>
          </cell>
          <cell r="F861" t="str">
            <v>C1</v>
          </cell>
          <cell r="G861" t="str">
            <v>RJ</v>
          </cell>
          <cell r="H861" t="str">
            <v>INGREDIENTS</v>
          </cell>
          <cell r="I861" t="str">
            <v>INGREDIENTS</v>
          </cell>
          <cell r="J861" t="str">
            <v>TATIANA NITTA</v>
          </cell>
          <cell r="K861" t="str">
            <v>ITAMBÉ</v>
          </cell>
          <cell r="L861" t="str">
            <v>MAURICIO</v>
          </cell>
          <cell r="M861" t="str">
            <v>TATIANA NITTA</v>
          </cell>
        </row>
        <row r="862">
          <cell r="B862">
            <v>5202413</v>
          </cell>
          <cell r="C862" t="str">
            <v>LUA NOVA IND COM PRODS ALIM LTDA</v>
          </cell>
          <cell r="D862">
            <v>4001</v>
          </cell>
          <cell r="E862" t="str">
            <v>0437</v>
          </cell>
          <cell r="F862" t="str">
            <v>C1</v>
          </cell>
          <cell r="G862" t="str">
            <v>RJ</v>
          </cell>
          <cell r="H862" t="str">
            <v>INGREDIENTS</v>
          </cell>
          <cell r="I862" t="str">
            <v>INGREDIENTS</v>
          </cell>
          <cell r="J862" t="str">
            <v>TATIANA NITTA</v>
          </cell>
          <cell r="K862" t="str">
            <v>LACTALIS</v>
          </cell>
          <cell r="L862" t="str">
            <v>MAURICIO</v>
          </cell>
          <cell r="M862" t="str">
            <v>TATIANA NITTA</v>
          </cell>
        </row>
        <row r="863">
          <cell r="B863">
            <v>5116312</v>
          </cell>
          <cell r="C863" t="str">
            <v>LUA NOVA IND E COM DE PROD ALIM</v>
          </cell>
          <cell r="D863">
            <v>3001</v>
          </cell>
          <cell r="E863" t="str">
            <v>0028</v>
          </cell>
          <cell r="F863" t="str">
            <v>C1</v>
          </cell>
          <cell r="G863" t="str">
            <v>SP</v>
          </cell>
          <cell r="H863" t="str">
            <v>INGREDIENTS</v>
          </cell>
          <cell r="I863" t="str">
            <v>INGREDIENTS</v>
          </cell>
          <cell r="J863" t="str">
            <v>TATIANA NITTA</v>
          </cell>
          <cell r="K863" t="str">
            <v>ITAMBÉ</v>
          </cell>
          <cell r="L863" t="str">
            <v>MAURICIO</v>
          </cell>
          <cell r="M863" t="str">
            <v>TATIANA NITTA</v>
          </cell>
        </row>
        <row r="864">
          <cell r="B864">
            <v>5116312</v>
          </cell>
          <cell r="C864" t="str">
            <v>LUA NOVA IND E COM DE PROD ALIM</v>
          </cell>
          <cell r="D864">
            <v>6001</v>
          </cell>
          <cell r="E864" t="str">
            <v>6125</v>
          </cell>
          <cell r="F864" t="str">
            <v>C1</v>
          </cell>
          <cell r="G864" t="str">
            <v>SP</v>
          </cell>
          <cell r="H864" t="str">
            <v>INGREDIENTS</v>
          </cell>
          <cell r="I864" t="str">
            <v>INGREDIENTS</v>
          </cell>
          <cell r="J864" t="str">
            <v>TATIANA NITTA</v>
          </cell>
          <cell r="K864" t="str">
            <v>ITAMBÉ</v>
          </cell>
          <cell r="L864" t="str">
            <v>MAURICIO</v>
          </cell>
          <cell r="M864" t="str">
            <v>TATIANA NITTA</v>
          </cell>
        </row>
        <row r="865">
          <cell r="B865">
            <v>5116312</v>
          </cell>
          <cell r="C865" t="str">
            <v>LUA NOVA IND E COM DE PROD ALIM</v>
          </cell>
          <cell r="D865">
            <v>3001</v>
          </cell>
          <cell r="E865" t="str">
            <v>0125</v>
          </cell>
          <cell r="F865" t="str">
            <v>C1</v>
          </cell>
          <cell r="G865" t="str">
            <v>SP</v>
          </cell>
          <cell r="H865" t="str">
            <v>INGREDIENTS</v>
          </cell>
          <cell r="I865" t="str">
            <v>INGREDIENTS</v>
          </cell>
          <cell r="J865" t="str">
            <v>TATIANA NITTA</v>
          </cell>
          <cell r="K865" t="str">
            <v>ITAMBÉ</v>
          </cell>
          <cell r="L865" t="str">
            <v>MAURICIO</v>
          </cell>
          <cell r="M865" t="str">
            <v>TATIANA NITTA</v>
          </cell>
        </row>
        <row r="866">
          <cell r="B866">
            <v>5116315</v>
          </cell>
          <cell r="C866" t="str">
            <v>LUA NOVA IND E COM DE PROD ALIM LTD</v>
          </cell>
          <cell r="D866">
            <v>4001</v>
          </cell>
          <cell r="E866" t="str">
            <v>0437</v>
          </cell>
          <cell r="F866" t="str">
            <v>C1</v>
          </cell>
          <cell r="G866" t="str">
            <v>SP</v>
          </cell>
          <cell r="H866" t="str">
            <v>INGREDIENTS</v>
          </cell>
          <cell r="I866" t="str">
            <v>INGREDIENTS</v>
          </cell>
          <cell r="J866" t="str">
            <v>TATIANA NITTA</v>
          </cell>
          <cell r="K866" t="str">
            <v>LACTALIS</v>
          </cell>
          <cell r="L866" t="str">
            <v>MAURICIO</v>
          </cell>
          <cell r="M866" t="str">
            <v>TATIANA NITTA</v>
          </cell>
        </row>
        <row r="867">
          <cell r="B867">
            <v>5116312</v>
          </cell>
          <cell r="C867" t="str">
            <v>LUA NOVA IND E COM DE PROD ALIM</v>
          </cell>
          <cell r="D867">
            <v>4001</v>
          </cell>
          <cell r="E867" t="str">
            <v>0437</v>
          </cell>
          <cell r="F867" t="str">
            <v>C1</v>
          </cell>
          <cell r="G867" t="str">
            <v>SP</v>
          </cell>
          <cell r="H867" t="str">
            <v>INGREDIENTS</v>
          </cell>
          <cell r="I867" t="str">
            <v>INGREDIENTS</v>
          </cell>
          <cell r="J867" t="str">
            <v>TATIANA NITTA</v>
          </cell>
          <cell r="K867" t="str">
            <v>LACTALIS</v>
          </cell>
          <cell r="L867" t="str">
            <v>MAURICIO</v>
          </cell>
          <cell r="M867" t="str">
            <v>TATIANA NITTA</v>
          </cell>
        </row>
        <row r="868">
          <cell r="B868">
            <v>5116313</v>
          </cell>
          <cell r="C868" t="str">
            <v>LUA NOVA IND E COM DE PROD ALIM LTD</v>
          </cell>
          <cell r="D868">
            <v>4001</v>
          </cell>
          <cell r="E868" t="str">
            <v>0437</v>
          </cell>
          <cell r="F868" t="str">
            <v>C1</v>
          </cell>
          <cell r="G868" t="str">
            <v>SP</v>
          </cell>
          <cell r="H868" t="str">
            <v>INGREDIENTS</v>
          </cell>
          <cell r="I868" t="str">
            <v>INGREDIENTS</v>
          </cell>
          <cell r="J868" t="str">
            <v>TATIANA NITTA</v>
          </cell>
          <cell r="K868" t="str">
            <v>LACTALIS</v>
          </cell>
          <cell r="L868" t="str">
            <v>MAURICIO</v>
          </cell>
          <cell r="M868" t="str">
            <v>TATIANA NITTA</v>
          </cell>
        </row>
        <row r="869">
          <cell r="B869">
            <v>5149588</v>
          </cell>
          <cell r="C869" t="str">
            <v>LUA NOVA IND E COM PROD ALIM LTDA</v>
          </cell>
          <cell r="D869">
            <v>3001</v>
          </cell>
          <cell r="E869" t="str">
            <v>0126</v>
          </cell>
          <cell r="F869" t="str">
            <v>C1</v>
          </cell>
          <cell r="G869" t="str">
            <v>PR</v>
          </cell>
          <cell r="H869" t="str">
            <v>INGREDIENTS</v>
          </cell>
          <cell r="I869" t="str">
            <v>INGREDIENTS</v>
          </cell>
          <cell r="J869" t="str">
            <v>TATIANA NITTA</v>
          </cell>
          <cell r="K869" t="str">
            <v>ITAMBÉ</v>
          </cell>
          <cell r="L869" t="str">
            <v>MAURICIO</v>
          </cell>
          <cell r="M869" t="str">
            <v>TATIANA NITTA</v>
          </cell>
        </row>
        <row r="870">
          <cell r="B870">
            <v>5267409</v>
          </cell>
          <cell r="C870" t="str">
            <v>LUCCAS E THIAGO PRODUTOS ALIM LTDA</v>
          </cell>
          <cell r="D870">
            <v>7001</v>
          </cell>
          <cell r="E870" t="str">
            <v>0749</v>
          </cell>
          <cell r="F870" t="str">
            <v>C5</v>
          </cell>
          <cell r="G870" t="str">
            <v>SP</v>
          </cell>
          <cell r="H870" t="str">
            <v>DISTRIBUIÇÃO</v>
          </cell>
          <cell r="I870" t="str">
            <v>FOOD SERVICE</v>
          </cell>
          <cell r="J870" t="str">
            <v>FLAC 2</v>
          </cell>
          <cell r="K870" t="str">
            <v>LACTALIS</v>
          </cell>
          <cell r="L870" t="str">
            <v>RODRIGO</v>
          </cell>
          <cell r="M870" t="str">
            <v>ALEXANDRO</v>
          </cell>
        </row>
        <row r="871">
          <cell r="B871">
            <v>5194928</v>
          </cell>
          <cell r="C871" t="str">
            <v>LUCIANA APARECIDA CORREA TOLEDO</v>
          </cell>
          <cell r="D871">
            <v>3001</v>
          </cell>
          <cell r="E871" t="str">
            <v>0122</v>
          </cell>
          <cell r="F871" t="str">
            <v>C1</v>
          </cell>
          <cell r="G871" t="str">
            <v>MG</v>
          </cell>
          <cell r="H871" t="str">
            <v>DISTRIBUIÇÃO</v>
          </cell>
          <cell r="I871" t="str">
            <v>FOOD SERVICE</v>
          </cell>
          <cell r="J871" t="str">
            <v>MARCELO SILVA</v>
          </cell>
          <cell r="K871" t="str">
            <v>ITAMBÉ</v>
          </cell>
          <cell r="L871" t="str">
            <v>RODRIGO</v>
          </cell>
          <cell r="M871" t="str">
            <v>CELIO MARTINS</v>
          </cell>
        </row>
        <row r="872">
          <cell r="B872">
            <v>5327180</v>
          </cell>
          <cell r="C872" t="str">
            <v>LUPE SOLUCOES EMPREENDEDORAS LTDA</v>
          </cell>
          <cell r="D872">
            <v>3001</v>
          </cell>
          <cell r="E872" t="str">
            <v>0169</v>
          </cell>
          <cell r="F872" t="str">
            <v>C1</v>
          </cell>
          <cell r="G872" t="str">
            <v>RJ</v>
          </cell>
          <cell r="H872" t="str">
            <v>DISTRIBUIÇÃO</v>
          </cell>
          <cell r="I872" t="str">
            <v>FOOD SERVICE</v>
          </cell>
          <cell r="J872" t="str">
            <v>JULIANA CORDEIRO</v>
          </cell>
          <cell r="K872" t="str">
            <v>ITAMBÉ</v>
          </cell>
          <cell r="L872" t="str">
            <v>RODRIGO</v>
          </cell>
          <cell r="M872" t="str">
            <v>JESSICA</v>
          </cell>
        </row>
        <row r="873">
          <cell r="B873">
            <v>5329409</v>
          </cell>
          <cell r="C873" t="str">
            <v>M A FRANCO DE OLIVEIRA RESTAURA</v>
          </cell>
          <cell r="D873">
            <v>7001</v>
          </cell>
          <cell r="E873" t="str">
            <v>0749</v>
          </cell>
          <cell r="F873" t="str">
            <v>C5</v>
          </cell>
          <cell r="G873" t="str">
            <v>SP</v>
          </cell>
          <cell r="H873" t="str">
            <v>DISTRIBUIÇÃO</v>
          </cell>
          <cell r="I873" t="str">
            <v>FOOD SERVICE</v>
          </cell>
          <cell r="J873" t="str">
            <v>FLAC 4</v>
          </cell>
          <cell r="K873" t="str">
            <v>LACTALIS</v>
          </cell>
          <cell r="L873" t="str">
            <v>RODRIGO</v>
          </cell>
          <cell r="M873" t="str">
            <v>ALEXANDRO</v>
          </cell>
        </row>
        <row r="874">
          <cell r="B874">
            <v>5313336</v>
          </cell>
          <cell r="C874" t="str">
            <v>M C COMERCIO DE DOCES E</v>
          </cell>
          <cell r="D874">
            <v>3001</v>
          </cell>
          <cell r="E874" t="str">
            <v>0028</v>
          </cell>
          <cell r="F874" t="str">
            <v>C1</v>
          </cell>
          <cell r="G874" t="str">
            <v>AM</v>
          </cell>
          <cell r="H874" t="str">
            <v>INGREDIENTS</v>
          </cell>
          <cell r="I874" t="str">
            <v>INGREDIENTS</v>
          </cell>
          <cell r="J874" t="str">
            <v>DUAS RODAS</v>
          </cell>
          <cell r="K874" t="str">
            <v>ITAMBÉ</v>
          </cell>
          <cell r="L874" t="str">
            <v>MAURICIO</v>
          </cell>
          <cell r="M874" t="str">
            <v>JOEL</v>
          </cell>
        </row>
        <row r="875">
          <cell r="B875">
            <v>5024011</v>
          </cell>
          <cell r="C875" t="str">
            <v>M C MORAES ME</v>
          </cell>
          <cell r="D875">
            <v>3001</v>
          </cell>
          <cell r="E875" t="str">
            <v>0169</v>
          </cell>
          <cell r="F875" t="str">
            <v>C1</v>
          </cell>
          <cell r="G875" t="str">
            <v>ES</v>
          </cell>
          <cell r="H875" t="str">
            <v>DISTRIBUIÇÃO</v>
          </cell>
          <cell r="I875" t="str">
            <v>FOOD SERVICE</v>
          </cell>
          <cell r="J875" t="str">
            <v>MARCELO DUARTE</v>
          </cell>
          <cell r="K875" t="str">
            <v>ITAMBÉ</v>
          </cell>
          <cell r="L875" t="str">
            <v>RODRIGO</v>
          </cell>
          <cell r="M875" t="str">
            <v>JESSICA</v>
          </cell>
        </row>
        <row r="876">
          <cell r="B876">
            <v>5318356</v>
          </cell>
          <cell r="C876" t="str">
            <v>M DIAS BRANCO S A</v>
          </cell>
          <cell r="D876">
            <v>4001</v>
          </cell>
          <cell r="E876" t="str">
            <v>0423</v>
          </cell>
          <cell r="F876" t="str">
            <v>C5</v>
          </cell>
          <cell r="G876" t="str">
            <v>BA</v>
          </cell>
          <cell r="H876" t="str">
            <v>INGREDIENTS</v>
          </cell>
          <cell r="I876" t="str">
            <v>INGREDIENTS</v>
          </cell>
          <cell r="J876" t="str">
            <v>JOEL ELEOTÉRIO</v>
          </cell>
          <cell r="K876" t="str">
            <v>LACTALIS</v>
          </cell>
          <cell r="L876" t="str">
            <v>MAURICIO</v>
          </cell>
          <cell r="M876" t="str">
            <v>JOEL</v>
          </cell>
        </row>
        <row r="877">
          <cell r="B877">
            <v>5177908</v>
          </cell>
          <cell r="C877" t="str">
            <v>M DIAS BRANCO S A IND E COM DE</v>
          </cell>
          <cell r="D877">
            <v>4001</v>
          </cell>
          <cell r="E877" t="str">
            <v>0423</v>
          </cell>
          <cell r="F877" t="str">
            <v>C5</v>
          </cell>
          <cell r="G877" t="str">
            <v>SP</v>
          </cell>
          <cell r="H877" t="str">
            <v>INGREDIENTS</v>
          </cell>
          <cell r="I877" t="str">
            <v>INGREDIENTS</v>
          </cell>
          <cell r="J877" t="str">
            <v>JOEL ELEOTÉRIO</v>
          </cell>
          <cell r="K877" t="str">
            <v>LACTALIS</v>
          </cell>
          <cell r="L877" t="str">
            <v>MAURICIO</v>
          </cell>
          <cell r="M877" t="str">
            <v>JOEL</v>
          </cell>
        </row>
        <row r="878">
          <cell r="B878">
            <v>5171893</v>
          </cell>
          <cell r="C878" t="str">
            <v>M DIAS BRANCO SA IND COM ALIM</v>
          </cell>
          <cell r="D878">
            <v>4001</v>
          </cell>
          <cell r="E878" t="str">
            <v>0423</v>
          </cell>
          <cell r="F878" t="str">
            <v>C5</v>
          </cell>
          <cell r="G878" t="str">
            <v>PE</v>
          </cell>
          <cell r="H878" t="str">
            <v>INGREDIENTS</v>
          </cell>
          <cell r="I878" t="str">
            <v>INGREDIENTS</v>
          </cell>
          <cell r="J878" t="str">
            <v>JOEL ELEOTÉRIO</v>
          </cell>
          <cell r="K878" t="str">
            <v>LACTALIS</v>
          </cell>
          <cell r="L878" t="str">
            <v>MAURICIO</v>
          </cell>
          <cell r="M878" t="str">
            <v>JOEL</v>
          </cell>
        </row>
        <row r="879">
          <cell r="B879">
            <v>5260663</v>
          </cell>
          <cell r="C879" t="str">
            <v>M DIAS BRANCO SA IND E COM DE A</v>
          </cell>
          <cell r="D879">
            <v>4001</v>
          </cell>
          <cell r="E879" t="str">
            <v>0423</v>
          </cell>
          <cell r="F879" t="str">
            <v>C5</v>
          </cell>
          <cell r="G879" t="str">
            <v>RS</v>
          </cell>
          <cell r="H879" t="str">
            <v>INGREDIENTS</v>
          </cell>
          <cell r="I879" t="str">
            <v>INGREDIENTS</v>
          </cell>
          <cell r="J879" t="str">
            <v>JOEL ELEOTÉRIO</v>
          </cell>
          <cell r="K879" t="str">
            <v>LACTALIS</v>
          </cell>
          <cell r="L879" t="str">
            <v>MAURICIO</v>
          </cell>
          <cell r="M879" t="str">
            <v>JOEL</v>
          </cell>
        </row>
        <row r="880">
          <cell r="B880">
            <v>5274406</v>
          </cell>
          <cell r="C880" t="str">
            <v>M H DE ANDRADE T DA GAMA REST EIREL</v>
          </cell>
          <cell r="D880">
            <v>7001</v>
          </cell>
          <cell r="E880" t="str">
            <v>0749</v>
          </cell>
          <cell r="F880" t="str">
            <v>C5</v>
          </cell>
          <cell r="G880" t="str">
            <v>SP</v>
          </cell>
          <cell r="H880" t="str">
            <v>DISTRIBUIÇÃO</v>
          </cell>
          <cell r="I880" t="str">
            <v>FOOD SERVICE</v>
          </cell>
          <cell r="J880" t="str">
            <v>FLAC 3</v>
          </cell>
          <cell r="K880" t="str">
            <v>LACTALIS</v>
          </cell>
          <cell r="L880" t="str">
            <v>RODRIGO</v>
          </cell>
          <cell r="M880" t="str">
            <v>ALEXANDRO</v>
          </cell>
        </row>
        <row r="881">
          <cell r="B881">
            <v>5135368</v>
          </cell>
          <cell r="C881" t="str">
            <v>M H DE ANDRADE TAVEIRA DA GAMA REST</v>
          </cell>
          <cell r="D881">
            <v>7001</v>
          </cell>
          <cell r="E881" t="str">
            <v>0749</v>
          </cell>
          <cell r="F881" t="str">
            <v>C5</v>
          </cell>
          <cell r="G881" t="str">
            <v>SP</v>
          </cell>
          <cell r="H881" t="str">
            <v>DISTRIBUIÇÃO</v>
          </cell>
          <cell r="I881" t="str">
            <v>FOOD SERVICE</v>
          </cell>
          <cell r="J881" t="str">
            <v>FLAC 3</v>
          </cell>
          <cell r="K881" t="str">
            <v>LACTALIS</v>
          </cell>
          <cell r="L881" t="str">
            <v>RODRIGO</v>
          </cell>
          <cell r="M881" t="str">
            <v>ALEXANDRO</v>
          </cell>
        </row>
        <row r="882">
          <cell r="B882">
            <v>5197137</v>
          </cell>
          <cell r="C882" t="str">
            <v>M LEILIANE M DA S LIMA ME</v>
          </cell>
          <cell r="D882">
            <v>3001</v>
          </cell>
          <cell r="E882" t="str">
            <v>0127</v>
          </cell>
          <cell r="F882" t="str">
            <v>C1</v>
          </cell>
          <cell r="G882" t="str">
            <v>CE</v>
          </cell>
          <cell r="H882" t="str">
            <v>DISTRIBUIÇÃO</v>
          </cell>
          <cell r="I882" t="str">
            <v>FOOD SERVICE</v>
          </cell>
          <cell r="J882" t="str">
            <v>WH FOOD SERVICE CE</v>
          </cell>
          <cell r="K882" t="str">
            <v>ITAMBÉ</v>
          </cell>
          <cell r="L882" t="str">
            <v>RODRIGO</v>
          </cell>
          <cell r="M882" t="str">
            <v>VAGO NORDESTE</v>
          </cell>
        </row>
        <row r="883">
          <cell r="B883">
            <v>5197137</v>
          </cell>
          <cell r="C883" t="str">
            <v>M LEILIANE M DA S LIMA ME</v>
          </cell>
          <cell r="D883">
            <v>3001</v>
          </cell>
          <cell r="E883" t="str">
            <v>0075</v>
          </cell>
          <cell r="F883" t="str">
            <v>C1</v>
          </cell>
          <cell r="G883" t="str">
            <v>CE</v>
          </cell>
          <cell r="H883" t="str">
            <v>DISTRIBUIÇÃO</v>
          </cell>
          <cell r="I883" t="str">
            <v>FOOD SERVICE</v>
          </cell>
          <cell r="J883" t="str">
            <v>WH FOOD SERVICE CE</v>
          </cell>
          <cell r="K883" t="str">
            <v>ITAMBÉ</v>
          </cell>
          <cell r="L883" t="str">
            <v>RODRIGO</v>
          </cell>
          <cell r="M883" t="str">
            <v>VAGO NORDESTE</v>
          </cell>
        </row>
        <row r="884">
          <cell r="B884">
            <v>5001999</v>
          </cell>
          <cell r="C884" t="str">
            <v>M M CLEMENTINO CS DE LANCHES EIRELI</v>
          </cell>
          <cell r="D884">
            <v>3001</v>
          </cell>
          <cell r="E884" t="str">
            <v>0122</v>
          </cell>
          <cell r="F884" t="str">
            <v>C1</v>
          </cell>
          <cell r="G884" t="str">
            <v>MG</v>
          </cell>
          <cell r="H884" t="str">
            <v>DISTRIBUIÇÃO</v>
          </cell>
          <cell r="I884" t="str">
            <v>FOOD SERVICE</v>
          </cell>
          <cell r="J884" t="str">
            <v>MARCELO SILVA</v>
          </cell>
          <cell r="K884" t="str">
            <v>ITAMBÉ</v>
          </cell>
          <cell r="L884" t="str">
            <v>RODRIGO</v>
          </cell>
          <cell r="M884" t="str">
            <v>CELIO MARTINS</v>
          </cell>
        </row>
        <row r="885">
          <cell r="B885">
            <v>5187116</v>
          </cell>
          <cell r="C885" t="str">
            <v>M R G MATANO SORVETERIA ME</v>
          </cell>
          <cell r="D885">
            <v>3001</v>
          </cell>
          <cell r="E885" t="str">
            <v>0126</v>
          </cell>
          <cell r="F885" t="str">
            <v>C1</v>
          </cell>
          <cell r="G885" t="str">
            <v>PR</v>
          </cell>
          <cell r="H885" t="str">
            <v>INGREDIENTS</v>
          </cell>
          <cell r="I885" t="str">
            <v>INGREDIENTS</v>
          </cell>
          <cell r="J885" t="str">
            <v>DUAS RODAS</v>
          </cell>
          <cell r="K885" t="str">
            <v>ITAMBÉ</v>
          </cell>
          <cell r="L885" t="str">
            <v>MAURICIO</v>
          </cell>
          <cell r="M885" t="str">
            <v>MARCELO</v>
          </cell>
        </row>
        <row r="886">
          <cell r="B886">
            <v>5235439</v>
          </cell>
          <cell r="C886" t="str">
            <v>MACEIO 64 H LANCHES E RESTAURANTE L</v>
          </cell>
          <cell r="D886">
            <v>7001</v>
          </cell>
          <cell r="E886" t="str">
            <v>0749</v>
          </cell>
          <cell r="F886" t="str">
            <v>C5</v>
          </cell>
          <cell r="G886" t="str">
            <v>SP</v>
          </cell>
          <cell r="H886" t="str">
            <v>DISTRIBUIÇÃO</v>
          </cell>
          <cell r="I886" t="str">
            <v>FOOD SERVICE</v>
          </cell>
          <cell r="J886" t="str">
            <v>FLAC 2</v>
          </cell>
          <cell r="K886" t="str">
            <v>LACTALIS</v>
          </cell>
          <cell r="L886" t="str">
            <v>RODRIGO</v>
          </cell>
          <cell r="M886" t="str">
            <v>ALEXANDRO</v>
          </cell>
        </row>
        <row r="887">
          <cell r="B887">
            <v>5107112</v>
          </cell>
          <cell r="C887" t="str">
            <v>MACPAN COM E DIST DE PROD ALIM LT M</v>
          </cell>
          <cell r="D887">
            <v>6001</v>
          </cell>
          <cell r="E887" t="str">
            <v>6125</v>
          </cell>
          <cell r="F887" t="str">
            <v>C1</v>
          </cell>
          <cell r="G887" t="str">
            <v>SP</v>
          </cell>
          <cell r="H887" t="str">
            <v>DISTRIBUIÇÃO</v>
          </cell>
          <cell r="I887" t="str">
            <v>FOOD SERVICE</v>
          </cell>
          <cell r="J887" t="str">
            <v>GUILHERME NASCIMENTO</v>
          </cell>
          <cell r="K887" t="str">
            <v>ITAMBÉ</v>
          </cell>
          <cell r="L887" t="str">
            <v>RODRIGO</v>
          </cell>
          <cell r="M887" t="str">
            <v>ALEXANDRO</v>
          </cell>
        </row>
        <row r="888">
          <cell r="B888">
            <v>5107112</v>
          </cell>
          <cell r="C888" t="str">
            <v>MACPAN COM E DIST DE PROD ALIM LT M</v>
          </cell>
          <cell r="D888">
            <v>7001</v>
          </cell>
          <cell r="E888" t="str">
            <v>0722</v>
          </cell>
          <cell r="F888" t="str">
            <v>C1</v>
          </cell>
          <cell r="G888" t="str">
            <v>SP</v>
          </cell>
          <cell r="H888" t="str">
            <v>DISTRIBUIÇÃO</v>
          </cell>
          <cell r="I888" t="str">
            <v>FOOD SERVICE</v>
          </cell>
          <cell r="J888" t="str">
            <v>GUILHERME NASCIMENTO</v>
          </cell>
          <cell r="K888" t="str">
            <v>LACTALIS</v>
          </cell>
          <cell r="L888" t="str">
            <v>RODRIGO</v>
          </cell>
          <cell r="M888" t="str">
            <v>ALEXANDRO</v>
          </cell>
        </row>
        <row r="889">
          <cell r="B889">
            <v>5133487</v>
          </cell>
          <cell r="C889" t="str">
            <v>MADE BY NINA CAFE E DOCERIA LTDA ME</v>
          </cell>
          <cell r="D889">
            <v>7001</v>
          </cell>
          <cell r="E889" t="str">
            <v>0749</v>
          </cell>
          <cell r="F889" t="str">
            <v>C5</v>
          </cell>
          <cell r="G889" t="str">
            <v>SP</v>
          </cell>
          <cell r="H889" t="str">
            <v>DISTRIBUIÇÃO</v>
          </cell>
          <cell r="I889" t="str">
            <v>FOOD SERVICE</v>
          </cell>
          <cell r="J889" t="str">
            <v>FLAC 6</v>
          </cell>
          <cell r="K889" t="str">
            <v>LACTALIS</v>
          </cell>
          <cell r="L889" t="str">
            <v>RODRIGO</v>
          </cell>
          <cell r="M889" t="str">
            <v>ALEXANDRO</v>
          </cell>
        </row>
        <row r="890">
          <cell r="B890">
            <v>5034664</v>
          </cell>
          <cell r="C890" t="str">
            <v>MAFRIOS DIST E IMPORTADORA LTDA</v>
          </cell>
          <cell r="D890">
            <v>3001</v>
          </cell>
          <cell r="E890" t="str">
            <v>0127</v>
          </cell>
          <cell r="F890" t="str">
            <v>C1</v>
          </cell>
          <cell r="G890" t="str">
            <v>AL</v>
          </cell>
          <cell r="H890" t="str">
            <v>DISTRIBUIÇÃO</v>
          </cell>
          <cell r="I890" t="str">
            <v>FOOD SERVICE</v>
          </cell>
          <cell r="J890" t="str">
            <v>DIGMA REPR LTDA</v>
          </cell>
          <cell r="K890" t="str">
            <v>ITAMBÉ</v>
          </cell>
          <cell r="L890" t="str">
            <v>RODRIGO</v>
          </cell>
          <cell r="M890" t="str">
            <v>VAGO NORDESTE</v>
          </cell>
        </row>
        <row r="891">
          <cell r="B891">
            <v>5260577</v>
          </cell>
          <cell r="C891" t="str">
            <v>MAFRIOS DIST E IMPORTADORA LTDA</v>
          </cell>
          <cell r="D891">
            <v>3001</v>
          </cell>
          <cell r="E891" t="str">
            <v>0127</v>
          </cell>
          <cell r="F891" t="str">
            <v>C1</v>
          </cell>
          <cell r="G891" t="str">
            <v>SE</v>
          </cell>
          <cell r="H891" t="str">
            <v>DISTRIBUIÇÃO</v>
          </cell>
          <cell r="I891" t="str">
            <v>FOOD SERVICE</v>
          </cell>
          <cell r="J891" t="str">
            <v>CLAUDIO JORGE</v>
          </cell>
          <cell r="K891" t="str">
            <v>ITAMBÉ</v>
          </cell>
          <cell r="L891" t="str">
            <v>RODRIGO</v>
          </cell>
          <cell r="M891" t="str">
            <v>VAGO NORDESTE</v>
          </cell>
        </row>
        <row r="892">
          <cell r="B892">
            <v>5256539</v>
          </cell>
          <cell r="C892" t="str">
            <v>MAGAZZINO DIST DE ALIMENTOS LTD</v>
          </cell>
          <cell r="D892">
            <v>3001</v>
          </cell>
          <cell r="E892" t="str">
            <v>0169</v>
          </cell>
          <cell r="F892" t="str">
            <v>C1</v>
          </cell>
          <cell r="G892" t="str">
            <v>RJ</v>
          </cell>
          <cell r="H892" t="str">
            <v>QSR</v>
          </cell>
          <cell r="I892" t="str">
            <v>FOOD SERVICE</v>
          </cell>
          <cell r="J892" t="str">
            <v>AMANDA CARVALHO</v>
          </cell>
          <cell r="K892" t="str">
            <v>ITAMBÉ</v>
          </cell>
          <cell r="L892" t="str">
            <v>PEDRO</v>
          </cell>
          <cell r="M892" t="str">
            <v>AMANDA</v>
          </cell>
        </row>
        <row r="893">
          <cell r="B893">
            <v>5317414</v>
          </cell>
          <cell r="C893" t="str">
            <v>MAINITI CAFE LTDA</v>
          </cell>
          <cell r="D893">
            <v>7001</v>
          </cell>
          <cell r="E893" t="str">
            <v>0749</v>
          </cell>
          <cell r="F893" t="str">
            <v>C5</v>
          </cell>
          <cell r="G893" t="str">
            <v>SP</v>
          </cell>
          <cell r="H893" t="str">
            <v>DISTRIBUIÇÃO</v>
          </cell>
          <cell r="I893" t="str">
            <v>FOOD SERVICE</v>
          </cell>
          <cell r="J893" t="str">
            <v>FLAC 6</v>
          </cell>
          <cell r="K893" t="str">
            <v>LACTALIS</v>
          </cell>
          <cell r="L893" t="str">
            <v>RODRIGO</v>
          </cell>
          <cell r="M893" t="str">
            <v>ALEXANDRO</v>
          </cell>
        </row>
        <row r="894">
          <cell r="B894">
            <v>5034427</v>
          </cell>
          <cell r="C894" t="str">
            <v>MAIS FESTA ARTIGOS PARA FESTAS LTDA</v>
          </cell>
          <cell r="D894">
            <v>3001</v>
          </cell>
          <cell r="E894" t="str">
            <v>0123</v>
          </cell>
          <cell r="F894" t="str">
            <v>C1</v>
          </cell>
          <cell r="G894" t="str">
            <v>GO</v>
          </cell>
          <cell r="H894" t="str">
            <v>DISTRIBUIÇÃO</v>
          </cell>
          <cell r="I894" t="str">
            <v>FOOD SERVICE</v>
          </cell>
          <cell r="J894" t="str">
            <v>CLAUDIO JORGE</v>
          </cell>
          <cell r="K894" t="str">
            <v>ITAMBÉ</v>
          </cell>
          <cell r="L894" t="str">
            <v>RODRIGO</v>
          </cell>
          <cell r="M894" t="str">
            <v>MARCO AURELIO</v>
          </cell>
        </row>
        <row r="895">
          <cell r="B895">
            <v>5173685</v>
          </cell>
          <cell r="C895" t="str">
            <v>MAISSPAN DISTRIBUIDORA DE ALIMENTOS</v>
          </cell>
          <cell r="D895">
            <v>3001</v>
          </cell>
          <cell r="E895" t="str">
            <v>0126</v>
          </cell>
          <cell r="F895" t="str">
            <v>C1</v>
          </cell>
          <cell r="G895" t="str">
            <v>PR</v>
          </cell>
          <cell r="H895" t="str">
            <v>DISTRIBUIÇÃO</v>
          </cell>
          <cell r="I895" t="str">
            <v>FOOD SERVICE</v>
          </cell>
          <cell r="J895" t="str">
            <v>ANTÔNIO SOUZA</v>
          </cell>
          <cell r="K895" t="str">
            <v>ITAMBÉ</v>
          </cell>
          <cell r="L895" t="str">
            <v>RODRIGO</v>
          </cell>
          <cell r="M895" t="str">
            <v>VAGO SUL</v>
          </cell>
        </row>
        <row r="896">
          <cell r="B896">
            <v>5291157</v>
          </cell>
          <cell r="C896" t="str">
            <v>MALOU COMERCIO LTDA</v>
          </cell>
          <cell r="D896">
            <v>7001</v>
          </cell>
          <cell r="E896" t="str">
            <v>0749</v>
          </cell>
          <cell r="F896" t="str">
            <v>C5</v>
          </cell>
          <cell r="G896" t="str">
            <v>SP</v>
          </cell>
          <cell r="H896" t="str">
            <v>DISTRIBUIÇÃO</v>
          </cell>
          <cell r="I896" t="str">
            <v>FOOD SERVICE</v>
          </cell>
          <cell r="J896" t="str">
            <v>FLAC 2</v>
          </cell>
          <cell r="K896" t="str">
            <v>LACTALIS</v>
          </cell>
          <cell r="L896" t="str">
            <v>RODRIGO</v>
          </cell>
          <cell r="M896" t="str">
            <v>ALEXANDRO</v>
          </cell>
        </row>
        <row r="897">
          <cell r="B897">
            <v>5330241</v>
          </cell>
          <cell r="C897" t="str">
            <v>MANDUQUE MASSAS E MACAS PASTIFICIO</v>
          </cell>
          <cell r="D897">
            <v>7001</v>
          </cell>
          <cell r="E897" t="str">
            <v>0749</v>
          </cell>
          <cell r="F897" t="str">
            <v>C5</v>
          </cell>
          <cell r="G897" t="str">
            <v>SP</v>
          </cell>
          <cell r="H897" t="str">
            <v>DISTRIBUIÇÃO</v>
          </cell>
          <cell r="I897" t="str">
            <v>FOOD SERVICE</v>
          </cell>
          <cell r="J897" t="str">
            <v>FLAC 6</v>
          </cell>
          <cell r="K897" t="str">
            <v>LACTALIS</v>
          </cell>
          <cell r="L897" t="str">
            <v>RODRIGO</v>
          </cell>
          <cell r="M897" t="str">
            <v>ALEXANDRO</v>
          </cell>
        </row>
        <row r="898">
          <cell r="B898">
            <v>5316278</v>
          </cell>
          <cell r="C898" t="str">
            <v>MANIA BOMBONIERE E ARTIGOS PARA</v>
          </cell>
          <cell r="D898">
            <v>6001</v>
          </cell>
          <cell r="E898" t="str">
            <v>6125</v>
          </cell>
          <cell r="F898" t="str">
            <v>C1</v>
          </cell>
          <cell r="G898" t="str">
            <v>SP</v>
          </cell>
          <cell r="H898" t="str">
            <v>DISTRIBUIÇÃO</v>
          </cell>
          <cell r="I898" t="str">
            <v>FOOD SERVICE</v>
          </cell>
          <cell r="J898" t="str">
            <v>GUILHERME NASCIMENTO</v>
          </cell>
          <cell r="K898" t="str">
            <v>ITAMBÉ</v>
          </cell>
          <cell r="L898" t="str">
            <v>RODRIGO</v>
          </cell>
          <cell r="M898" t="str">
            <v>ALEXANDRO</v>
          </cell>
        </row>
        <row r="899">
          <cell r="B899">
            <v>5219247</v>
          </cell>
          <cell r="C899" t="str">
            <v>MARCELA PEREIRA RODRIGUES</v>
          </cell>
          <cell r="D899">
            <v>7001</v>
          </cell>
          <cell r="E899" t="str">
            <v>0749</v>
          </cell>
          <cell r="F899" t="str">
            <v>C5</v>
          </cell>
          <cell r="G899" t="str">
            <v>SP</v>
          </cell>
          <cell r="H899" t="str">
            <v>DISTRIBUIÇÃO</v>
          </cell>
          <cell r="I899" t="str">
            <v>FOOD SERVICE</v>
          </cell>
          <cell r="J899" t="str">
            <v>FLAC 6</v>
          </cell>
          <cell r="K899" t="str">
            <v>LACTALIS</v>
          </cell>
          <cell r="L899" t="str">
            <v>RODRIGO</v>
          </cell>
          <cell r="M899" t="str">
            <v>ALEXANDRO</v>
          </cell>
        </row>
        <row r="900">
          <cell r="B900">
            <v>5221163</v>
          </cell>
          <cell r="C900" t="str">
            <v>MARCOS ANTONIO FURLANETTO</v>
          </cell>
          <cell r="D900">
            <v>3001</v>
          </cell>
          <cell r="E900" t="str">
            <v>0126</v>
          </cell>
          <cell r="F900" t="str">
            <v>C1</v>
          </cell>
          <cell r="G900" t="str">
            <v>SC</v>
          </cell>
          <cell r="H900" t="str">
            <v>INGREDIENTS</v>
          </cell>
          <cell r="I900" t="str">
            <v>INGREDIENTS</v>
          </cell>
          <cell r="J900" t="str">
            <v>DUAS RODAS</v>
          </cell>
          <cell r="K900" t="str">
            <v>ITAMBÉ</v>
          </cell>
          <cell r="L900" t="str">
            <v>MAURICIO</v>
          </cell>
          <cell r="M900" t="str">
            <v>MARCELO</v>
          </cell>
        </row>
        <row r="901">
          <cell r="B901">
            <v>5162109</v>
          </cell>
          <cell r="C901" t="str">
            <v>MARCOS ARTIGOS P PANIFICACAO LT</v>
          </cell>
          <cell r="D901">
            <v>6001</v>
          </cell>
          <cell r="E901" t="str">
            <v>6125</v>
          </cell>
          <cell r="F901" t="str">
            <v>C1</v>
          </cell>
          <cell r="G901" t="str">
            <v>SP</v>
          </cell>
          <cell r="H901" t="str">
            <v>DISTRIBUIÇÃO</v>
          </cell>
          <cell r="I901" t="str">
            <v>FOOD SERVICE</v>
          </cell>
          <cell r="J901" t="str">
            <v>LUCAS ANDRADE</v>
          </cell>
          <cell r="K901" t="str">
            <v>ITAMBÉ</v>
          </cell>
          <cell r="L901" t="str">
            <v>RODRIGO</v>
          </cell>
          <cell r="M901" t="str">
            <v>RAQUEL BARBOSA</v>
          </cell>
        </row>
        <row r="902">
          <cell r="B902">
            <v>5012650</v>
          </cell>
          <cell r="C902" t="str">
            <v>MARCOS ARTIGOS P PANIFIFICACAO LTDA</v>
          </cell>
          <cell r="D902">
            <v>3001</v>
          </cell>
          <cell r="E902" t="str">
            <v>0125</v>
          </cell>
          <cell r="F902" t="str">
            <v>C1</v>
          </cell>
          <cell r="G902" t="str">
            <v>SP</v>
          </cell>
          <cell r="H902" t="str">
            <v>DISTRIBUIÇÃO</v>
          </cell>
          <cell r="I902" t="str">
            <v>FOOD SERVICE</v>
          </cell>
          <cell r="J902" t="str">
            <v>LUCAS ANDRADE</v>
          </cell>
          <cell r="K902" t="str">
            <v>ITAMBÉ</v>
          </cell>
          <cell r="L902" t="str">
            <v>RODRIGO</v>
          </cell>
          <cell r="M902" t="str">
            <v>RAQUEL BARBOSA</v>
          </cell>
        </row>
        <row r="903">
          <cell r="B903">
            <v>5012650</v>
          </cell>
          <cell r="C903" t="str">
            <v>MARCOS ARTIGOS P PANIFIFICACAO LTDA</v>
          </cell>
          <cell r="D903">
            <v>6001</v>
          </cell>
          <cell r="E903" t="str">
            <v>6125</v>
          </cell>
          <cell r="F903" t="str">
            <v>C1</v>
          </cell>
          <cell r="G903" t="str">
            <v>SP</v>
          </cell>
          <cell r="H903" t="str">
            <v>DISTRIBUIÇÃO</v>
          </cell>
          <cell r="I903" t="str">
            <v>FOOD SERVICE</v>
          </cell>
          <cell r="J903" t="str">
            <v>LUCAS ANDRADE</v>
          </cell>
          <cell r="K903" t="str">
            <v>ITAMBÉ</v>
          </cell>
          <cell r="L903" t="str">
            <v>RODRIGO</v>
          </cell>
          <cell r="M903" t="str">
            <v>RAQUEL BARBOSA</v>
          </cell>
        </row>
        <row r="904">
          <cell r="B904">
            <v>5270331</v>
          </cell>
          <cell r="C904" t="str">
            <v>MARCOS PAULO VALE</v>
          </cell>
          <cell r="D904">
            <v>7001</v>
          </cell>
          <cell r="E904" t="str">
            <v>0749</v>
          </cell>
          <cell r="F904" t="str">
            <v>C5</v>
          </cell>
          <cell r="G904" t="str">
            <v>SP</v>
          </cell>
          <cell r="H904" t="str">
            <v>DISTRIBUIÇÃO</v>
          </cell>
          <cell r="I904" t="str">
            <v>FOOD SERVICE</v>
          </cell>
          <cell r="J904" t="str">
            <v>FLAC 6</v>
          </cell>
          <cell r="K904" t="str">
            <v>LACTALIS</v>
          </cell>
          <cell r="L904" t="str">
            <v>RODRIGO</v>
          </cell>
          <cell r="M904" t="str">
            <v>ALEXANDRO</v>
          </cell>
        </row>
        <row r="905">
          <cell r="B905">
            <v>5252779</v>
          </cell>
          <cell r="C905" t="str">
            <v>MARI MARIA LANCHONETE LTDA</v>
          </cell>
          <cell r="D905">
            <v>7001</v>
          </cell>
          <cell r="E905" t="str">
            <v>0749</v>
          </cell>
          <cell r="F905" t="str">
            <v>C5</v>
          </cell>
          <cell r="G905" t="str">
            <v>SP</v>
          </cell>
          <cell r="H905" t="str">
            <v>DISTRIBUIÇÃO</v>
          </cell>
          <cell r="I905" t="str">
            <v>FOOD SERVICE</v>
          </cell>
          <cell r="J905" t="str">
            <v>FLAC 3</v>
          </cell>
          <cell r="K905" t="str">
            <v>LACTALIS</v>
          </cell>
          <cell r="L905" t="str">
            <v>RODRIGO</v>
          </cell>
          <cell r="M905" t="str">
            <v>ALEXANDRO</v>
          </cell>
        </row>
        <row r="906">
          <cell r="B906">
            <v>5137008</v>
          </cell>
          <cell r="C906" t="str">
            <v>MARIA ANTONIETA PAD E CONFEITAR</v>
          </cell>
          <cell r="D906">
            <v>7001</v>
          </cell>
          <cell r="E906" t="str">
            <v>0749</v>
          </cell>
          <cell r="F906" t="str">
            <v>C5</v>
          </cell>
          <cell r="G906" t="str">
            <v>SP</v>
          </cell>
          <cell r="H906" t="str">
            <v>QSR</v>
          </cell>
          <cell r="I906" t="str">
            <v>FOOD SERVICE</v>
          </cell>
          <cell r="J906" t="str">
            <v>NUTRI</v>
          </cell>
          <cell r="K906" t="str">
            <v>LACTALIS</v>
          </cell>
          <cell r="L906" t="str">
            <v>PEDRO</v>
          </cell>
          <cell r="M906" t="str">
            <v>AMANDA</v>
          </cell>
        </row>
        <row r="907">
          <cell r="B907">
            <v>5006512</v>
          </cell>
          <cell r="C907" t="str">
            <v>MARIA ANTONIETA PAD E CONFEITAR</v>
          </cell>
          <cell r="D907">
            <v>3001</v>
          </cell>
          <cell r="E907" t="str">
            <v>0122</v>
          </cell>
          <cell r="F907" t="str">
            <v>C1</v>
          </cell>
          <cell r="G907" t="str">
            <v>MG</v>
          </cell>
          <cell r="H907" t="str">
            <v>INGREDIENTS</v>
          </cell>
          <cell r="I907" t="str">
            <v>INGREDIENTS</v>
          </cell>
          <cell r="J907" t="str">
            <v>HENRIQUE FERREIRA</v>
          </cell>
          <cell r="K907" t="str">
            <v>ITAMBÉ</v>
          </cell>
          <cell r="L907" t="str">
            <v>MAURICIO</v>
          </cell>
          <cell r="M907" t="str">
            <v>JOEL</v>
          </cell>
        </row>
        <row r="908">
          <cell r="B908">
            <v>5261586</v>
          </cell>
          <cell r="C908" t="str">
            <v>MARIA DANIELA TRUJILLO MENEGHINI EP</v>
          </cell>
          <cell r="D908">
            <v>7001</v>
          </cell>
          <cell r="E908" t="str">
            <v>0749</v>
          </cell>
          <cell r="F908" t="str">
            <v>C5</v>
          </cell>
          <cell r="G908" t="str">
            <v>SP</v>
          </cell>
          <cell r="H908" t="str">
            <v>DISTRIBUIÇÃO</v>
          </cell>
          <cell r="I908" t="str">
            <v>FOOD SERVICE</v>
          </cell>
          <cell r="J908" t="str">
            <v>FLAC 2</v>
          </cell>
          <cell r="K908" t="str">
            <v>LACTALIS</v>
          </cell>
          <cell r="L908" t="str">
            <v>RODRIGO</v>
          </cell>
          <cell r="M908" t="str">
            <v>ALEXANDRO</v>
          </cell>
        </row>
        <row r="909">
          <cell r="B909">
            <v>5234719</v>
          </cell>
          <cell r="C909" t="str">
            <v>MARIA DAS GRACAS AVANCE 03906557839</v>
          </cell>
          <cell r="D909">
            <v>7001</v>
          </cell>
          <cell r="E909" t="str">
            <v>0749</v>
          </cell>
          <cell r="F909" t="str">
            <v>C5</v>
          </cell>
          <cell r="G909" t="str">
            <v>SP</v>
          </cell>
          <cell r="H909" t="str">
            <v>DISTRIBUIÇÃO</v>
          </cell>
          <cell r="I909" t="str">
            <v>FOOD SERVICE</v>
          </cell>
          <cell r="J909" t="str">
            <v>FLAC 6</v>
          </cell>
          <cell r="K909" t="str">
            <v>LACTALIS</v>
          </cell>
          <cell r="L909" t="str">
            <v>RODRIGO</v>
          </cell>
          <cell r="M909" t="str">
            <v>ALEXANDRO</v>
          </cell>
        </row>
        <row r="910">
          <cell r="B910">
            <v>5133661</v>
          </cell>
          <cell r="C910" t="str">
            <v>MARIA MADALENA P DE SOUZA EPP</v>
          </cell>
          <cell r="D910">
            <v>3001</v>
          </cell>
          <cell r="E910" t="str">
            <v>0127</v>
          </cell>
          <cell r="F910" t="str">
            <v>C1</v>
          </cell>
          <cell r="G910" t="str">
            <v>PE</v>
          </cell>
          <cell r="H910" t="str">
            <v>DISTRIBUIÇÃO</v>
          </cell>
          <cell r="I910" t="str">
            <v>FOOD SERVICE</v>
          </cell>
          <cell r="J910" t="str">
            <v>CLAUDIO JORGE</v>
          </cell>
          <cell r="K910" t="str">
            <v>ITAMBÉ</v>
          </cell>
          <cell r="L910" t="str">
            <v>RODRIGO</v>
          </cell>
          <cell r="M910" t="str">
            <v>VAGO NORDESTE</v>
          </cell>
        </row>
        <row r="911">
          <cell r="B911">
            <v>5279849</v>
          </cell>
          <cell r="C911" t="str">
            <v>MARIA MARIA LANCHONETE LTDA ME</v>
          </cell>
          <cell r="D911">
            <v>7001</v>
          </cell>
          <cell r="E911" t="str">
            <v>0749</v>
          </cell>
          <cell r="F911" t="str">
            <v>C5</v>
          </cell>
          <cell r="G911" t="str">
            <v>SP</v>
          </cell>
          <cell r="H911" t="str">
            <v>DISTRIBUIÇÃO</v>
          </cell>
          <cell r="I911" t="str">
            <v>FOOD SERVICE</v>
          </cell>
          <cell r="J911" t="str">
            <v>FLAC 3</v>
          </cell>
          <cell r="K911" t="str">
            <v>LACTALIS</v>
          </cell>
          <cell r="L911" t="str">
            <v>RODRIGO</v>
          </cell>
          <cell r="M911" t="str">
            <v>ALEXANDRO</v>
          </cell>
        </row>
        <row r="912">
          <cell r="B912">
            <v>5228300</v>
          </cell>
          <cell r="C912" t="str">
            <v>MARIANA MONEGAGLIA HELOU GIDRAO</v>
          </cell>
          <cell r="D912">
            <v>7001</v>
          </cell>
          <cell r="E912" t="str">
            <v>0749</v>
          </cell>
          <cell r="F912" t="str">
            <v>C5</v>
          </cell>
          <cell r="G912" t="str">
            <v>SP</v>
          </cell>
          <cell r="H912" t="str">
            <v>DISTRIBUIÇÃO</v>
          </cell>
          <cell r="I912" t="str">
            <v>FOOD SERVICE</v>
          </cell>
          <cell r="J912" t="str">
            <v>FLAC 3</v>
          </cell>
          <cell r="K912" t="str">
            <v>LACTALIS</v>
          </cell>
          <cell r="L912" t="str">
            <v>RODRIGO</v>
          </cell>
          <cell r="M912" t="str">
            <v>ALEXANDRO</v>
          </cell>
        </row>
        <row r="913">
          <cell r="B913">
            <v>5321728</v>
          </cell>
          <cell r="C913" t="str">
            <v>MARIGOT ALIMENTACAO LTDA</v>
          </cell>
          <cell r="D913">
            <v>7001</v>
          </cell>
          <cell r="E913" t="str">
            <v>0749</v>
          </cell>
          <cell r="F913" t="str">
            <v>C5</v>
          </cell>
          <cell r="G913" t="str">
            <v>SP</v>
          </cell>
          <cell r="H913" t="str">
            <v>DISTRIBUIÇÃO</v>
          </cell>
          <cell r="I913" t="str">
            <v>FOOD SERVICE</v>
          </cell>
          <cell r="J913" t="str">
            <v>FLAC 5</v>
          </cell>
          <cell r="K913" t="str">
            <v>LACTALIS</v>
          </cell>
          <cell r="L913" t="str">
            <v>RODRIGO</v>
          </cell>
          <cell r="M913" t="str">
            <v>ALEXANDRO</v>
          </cell>
        </row>
        <row r="914">
          <cell r="B914">
            <v>5226125</v>
          </cell>
          <cell r="C914" t="str">
            <v>MARILAN ALIMENTOS SA</v>
          </cell>
          <cell r="D914">
            <v>6001</v>
          </cell>
          <cell r="E914" t="str">
            <v>6125</v>
          </cell>
          <cell r="F914" t="str">
            <v>C1</v>
          </cell>
          <cell r="G914" t="str">
            <v>SP</v>
          </cell>
          <cell r="H914" t="str">
            <v>DISTRIBUIÇÃO</v>
          </cell>
          <cell r="I914" t="str">
            <v>FOOD SERVICE</v>
          </cell>
          <cell r="J914" t="str">
            <v>ALEXANDRO RODRIGUES</v>
          </cell>
          <cell r="K914" t="str">
            <v>ITAMBÉ</v>
          </cell>
          <cell r="L914" t="str">
            <v>RODRIGO</v>
          </cell>
          <cell r="M914" t="str">
            <v>ALEXANDRO</v>
          </cell>
        </row>
        <row r="915">
          <cell r="B915">
            <v>5180545</v>
          </cell>
          <cell r="C915" t="str">
            <v>MARILISA BASSETO SPADOTTO</v>
          </cell>
          <cell r="D915">
            <v>3001</v>
          </cell>
          <cell r="E915" t="str">
            <v>0125</v>
          </cell>
          <cell r="F915" t="str">
            <v>C1</v>
          </cell>
          <cell r="G915" t="str">
            <v>SP</v>
          </cell>
          <cell r="H915" t="str">
            <v>DISTRIBUIÇÃO</v>
          </cell>
          <cell r="I915" t="str">
            <v>FOOD SERVICE</v>
          </cell>
          <cell r="J915" t="str">
            <v>ALEXANDRO RODRIGUES</v>
          </cell>
          <cell r="K915" t="str">
            <v>ITAMBÉ</v>
          </cell>
          <cell r="L915" t="str">
            <v>RODRIGO</v>
          </cell>
          <cell r="M915" t="str">
            <v>ALEXANDRO</v>
          </cell>
        </row>
        <row r="916">
          <cell r="B916">
            <v>5264858</v>
          </cell>
          <cell r="C916" t="str">
            <v>MARINA DO NASCIMENTO SILVA</v>
          </cell>
          <cell r="D916">
            <v>7001</v>
          </cell>
          <cell r="E916" t="str">
            <v>0749</v>
          </cell>
          <cell r="F916" t="str">
            <v>C5</v>
          </cell>
          <cell r="G916" t="str">
            <v>SP</v>
          </cell>
          <cell r="H916" t="str">
            <v>DISTRIBUIÇÃO</v>
          </cell>
          <cell r="I916" t="str">
            <v>FOOD SERVICE</v>
          </cell>
          <cell r="J916" t="str">
            <v>FLAC 3</v>
          </cell>
          <cell r="K916" t="str">
            <v>LACTALIS</v>
          </cell>
          <cell r="L916" t="str">
            <v>RODRIGO</v>
          </cell>
          <cell r="M916" t="str">
            <v>ALEXANDRO</v>
          </cell>
        </row>
        <row r="917">
          <cell r="B917">
            <v>5144160</v>
          </cell>
          <cell r="C917" t="str">
            <v>MAROMA IND E COM DE SORVETES LTDA E</v>
          </cell>
          <cell r="D917">
            <v>4001</v>
          </cell>
          <cell r="E917" t="str">
            <v>0423</v>
          </cell>
          <cell r="F917" t="str">
            <v>C5</v>
          </cell>
          <cell r="G917" t="str">
            <v>SC</v>
          </cell>
          <cell r="H917" t="str">
            <v>INGREDIENTS</v>
          </cell>
          <cell r="I917" t="str">
            <v>INGREDIENTS</v>
          </cell>
          <cell r="J917" t="str">
            <v>JOEL ELEOTÉRIO</v>
          </cell>
          <cell r="K917" t="str">
            <v>LACTALIS</v>
          </cell>
          <cell r="L917" t="str">
            <v>MAURICIO</v>
          </cell>
          <cell r="M917" t="str">
            <v>JOEL</v>
          </cell>
        </row>
        <row r="918">
          <cell r="B918">
            <v>5295540</v>
          </cell>
          <cell r="C918" t="str">
            <v>MARQUES E MIRANDA COMERCIAL E D</v>
          </cell>
          <cell r="D918">
            <v>4001</v>
          </cell>
          <cell r="E918" t="str">
            <v>0437</v>
          </cell>
          <cell r="F918" t="str">
            <v>C1</v>
          </cell>
          <cell r="G918" t="str">
            <v>SP</v>
          </cell>
          <cell r="H918" t="str">
            <v>INGREDIENTS</v>
          </cell>
          <cell r="I918" t="str">
            <v>INGREDIENTS</v>
          </cell>
          <cell r="J918" t="str">
            <v>JOEL ELEOTÉRIO</v>
          </cell>
          <cell r="K918" t="str">
            <v>LACTALIS</v>
          </cell>
          <cell r="L918" t="str">
            <v>MAURICIO</v>
          </cell>
          <cell r="M918" t="str">
            <v>JOEL</v>
          </cell>
        </row>
        <row r="919">
          <cell r="B919">
            <v>5291710</v>
          </cell>
          <cell r="C919" t="str">
            <v>MARQUES FABRICACAO E COMERC ALIM LT</v>
          </cell>
          <cell r="D919">
            <v>7001</v>
          </cell>
          <cell r="E919" t="str">
            <v>0749</v>
          </cell>
          <cell r="F919" t="str">
            <v>C5</v>
          </cell>
          <cell r="G919" t="str">
            <v>SP</v>
          </cell>
          <cell r="H919" t="str">
            <v>DISTRIBUIÇÃO</v>
          </cell>
          <cell r="I919" t="str">
            <v>FOOD SERVICE</v>
          </cell>
          <cell r="J919" t="str">
            <v>FLAC 6</v>
          </cell>
          <cell r="K919" t="str">
            <v>LACTALIS</v>
          </cell>
          <cell r="L919" t="str">
            <v>RODRIGO</v>
          </cell>
          <cell r="M919" t="str">
            <v>ALEXANDRO</v>
          </cell>
        </row>
        <row r="920">
          <cell r="B920">
            <v>5266124</v>
          </cell>
          <cell r="C920" t="str">
            <v>MARSELHESA CAFE LTDA</v>
          </cell>
          <cell r="D920">
            <v>7001</v>
          </cell>
          <cell r="E920" t="str">
            <v>0749</v>
          </cell>
          <cell r="F920" t="str">
            <v>C5</v>
          </cell>
          <cell r="G920" t="str">
            <v>SP</v>
          </cell>
          <cell r="H920" t="str">
            <v>DISTRIBUIÇÃO</v>
          </cell>
          <cell r="I920" t="str">
            <v>FOOD SERVICE</v>
          </cell>
          <cell r="J920" t="str">
            <v>FLAC 3</v>
          </cell>
          <cell r="K920" t="str">
            <v>LACTALIS</v>
          </cell>
          <cell r="L920" t="str">
            <v>RODRIGO</v>
          </cell>
          <cell r="M920" t="str">
            <v>ALEXANDRO</v>
          </cell>
        </row>
        <row r="921">
          <cell r="B921">
            <v>5174977</v>
          </cell>
          <cell r="C921" t="str">
            <v>MARTINS DA COSTA E CIA LTDA</v>
          </cell>
          <cell r="D921">
            <v>6001</v>
          </cell>
          <cell r="E921" t="str">
            <v>6125</v>
          </cell>
          <cell r="F921" t="str">
            <v>C1</v>
          </cell>
          <cell r="G921" t="str">
            <v>SP</v>
          </cell>
          <cell r="H921" t="str">
            <v>QSR</v>
          </cell>
          <cell r="I921" t="str">
            <v>FOOD SERVICE</v>
          </cell>
          <cell r="J921" t="str">
            <v>ANA MENIQUETE</v>
          </cell>
          <cell r="K921" t="str">
            <v>ITAMBÉ</v>
          </cell>
          <cell r="L921" t="str">
            <v>PEDRO</v>
          </cell>
          <cell r="M921" t="str">
            <v>ANA MENIQUETE</v>
          </cell>
        </row>
        <row r="922">
          <cell r="B922">
            <v>5174977</v>
          </cell>
          <cell r="C922" t="str">
            <v>MARTINS DA COSTA E CIA LTDA</v>
          </cell>
          <cell r="D922">
            <v>7001</v>
          </cell>
          <cell r="E922" t="str">
            <v>0722</v>
          </cell>
          <cell r="F922" t="str">
            <v>C1</v>
          </cell>
          <cell r="G922" t="str">
            <v>SP</v>
          </cell>
          <cell r="H922" t="str">
            <v>QSR</v>
          </cell>
          <cell r="I922" t="str">
            <v>FOOD SERVICE</v>
          </cell>
          <cell r="J922" t="str">
            <v>ANA MENIQUETE</v>
          </cell>
          <cell r="K922" t="str">
            <v>LACTALIS</v>
          </cell>
          <cell r="L922" t="str">
            <v>PEDRO</v>
          </cell>
          <cell r="M922" t="str">
            <v>ANA MENIQUETE</v>
          </cell>
        </row>
        <row r="923">
          <cell r="B923">
            <v>5329377</v>
          </cell>
          <cell r="C923" t="str">
            <v>MARTOCA PADEIRA COMERCIO DE ALIMENT</v>
          </cell>
          <cell r="D923">
            <v>7001</v>
          </cell>
          <cell r="E923" t="str">
            <v>0749</v>
          </cell>
          <cell r="F923" t="str">
            <v>C5</v>
          </cell>
          <cell r="G923" t="str">
            <v>SP</v>
          </cell>
          <cell r="H923" t="str">
            <v>DISTRIBUIÇÃO</v>
          </cell>
          <cell r="I923" t="str">
            <v>FOOD SERVICE</v>
          </cell>
          <cell r="J923" t="str">
            <v>FLAC 2</v>
          </cell>
          <cell r="K923" t="str">
            <v>LACTALIS</v>
          </cell>
          <cell r="L923" t="str">
            <v>RODRIGO</v>
          </cell>
          <cell r="M923" t="str">
            <v>ALEXANDRO</v>
          </cell>
        </row>
        <row r="924">
          <cell r="B924">
            <v>5261487</v>
          </cell>
          <cell r="C924" t="str">
            <v>MARTS RESTAURANTE E CAFETERIA LTDA</v>
          </cell>
          <cell r="D924">
            <v>7001</v>
          </cell>
          <cell r="E924" t="str">
            <v>0749</v>
          </cell>
          <cell r="F924" t="str">
            <v>C5</v>
          </cell>
          <cell r="G924" t="str">
            <v>SP</v>
          </cell>
          <cell r="H924" t="str">
            <v>DISTRIBUIÇÃO</v>
          </cell>
          <cell r="I924" t="str">
            <v>FOOD SERVICE</v>
          </cell>
          <cell r="J924" t="str">
            <v>FLAC 6</v>
          </cell>
          <cell r="K924" t="str">
            <v>LACTALIS</v>
          </cell>
          <cell r="L924" t="str">
            <v>RODRIGO</v>
          </cell>
          <cell r="M924" t="str">
            <v>ALEXANDRO</v>
          </cell>
        </row>
        <row r="925">
          <cell r="B925">
            <v>5174117</v>
          </cell>
          <cell r="C925" t="str">
            <v>MASSIMA ALIMENTACAO SA</v>
          </cell>
          <cell r="D925">
            <v>4001</v>
          </cell>
          <cell r="E925" t="str">
            <v>0450</v>
          </cell>
          <cell r="F925" t="str">
            <v>C5</v>
          </cell>
          <cell r="G925" t="str">
            <v>RJ</v>
          </cell>
          <cell r="H925" t="str">
            <v>QSR</v>
          </cell>
          <cell r="I925" t="str">
            <v>FOOD SERVICE</v>
          </cell>
          <cell r="J925" t="str">
            <v>NUTRI</v>
          </cell>
          <cell r="K925" t="str">
            <v>LACTALIS</v>
          </cell>
          <cell r="L925" t="str">
            <v>PEDRO</v>
          </cell>
          <cell r="M925" t="str">
            <v>AMANDA</v>
          </cell>
        </row>
        <row r="926">
          <cell r="B926">
            <v>5175227</v>
          </cell>
          <cell r="C926" t="str">
            <v>MASSIMA SOLUCOES EM ALIMENTACAO</v>
          </cell>
          <cell r="D926">
            <v>6001</v>
          </cell>
          <cell r="E926" t="str">
            <v>6125</v>
          </cell>
          <cell r="F926" t="str">
            <v>C1</v>
          </cell>
          <cell r="G926" t="str">
            <v>SP</v>
          </cell>
          <cell r="H926" t="str">
            <v>QSR</v>
          </cell>
          <cell r="I926" t="str">
            <v>FOOD SERVICE</v>
          </cell>
          <cell r="J926" t="str">
            <v>NUTRI</v>
          </cell>
          <cell r="K926" t="str">
            <v>ITAMBÉ</v>
          </cell>
          <cell r="L926" t="str">
            <v>PEDRO</v>
          </cell>
          <cell r="M926" t="str">
            <v>AMANDA</v>
          </cell>
        </row>
        <row r="927">
          <cell r="B927">
            <v>5175227</v>
          </cell>
          <cell r="C927" t="str">
            <v>MASSIMA SOLUCOES EM ALIMENTACAO</v>
          </cell>
          <cell r="D927">
            <v>7001</v>
          </cell>
          <cell r="E927" t="str">
            <v>0749</v>
          </cell>
          <cell r="F927" t="str">
            <v>C5</v>
          </cell>
          <cell r="G927" t="str">
            <v>SP</v>
          </cell>
          <cell r="H927" t="str">
            <v>QSR</v>
          </cell>
          <cell r="I927" t="str">
            <v>FOOD SERVICE</v>
          </cell>
          <cell r="J927" t="str">
            <v>NUTRI</v>
          </cell>
          <cell r="K927" t="str">
            <v>LACTALIS</v>
          </cell>
          <cell r="L927" t="str">
            <v>PEDRO</v>
          </cell>
          <cell r="M927" t="str">
            <v>AMANDA</v>
          </cell>
        </row>
        <row r="928">
          <cell r="B928">
            <v>5319027</v>
          </cell>
          <cell r="C928" t="str">
            <v>MATHEUS TORRES FELIPPE DE SOUZA 459</v>
          </cell>
          <cell r="D928">
            <v>7001</v>
          </cell>
          <cell r="E928" t="str">
            <v>0749</v>
          </cell>
          <cell r="F928" t="str">
            <v>C5</v>
          </cell>
          <cell r="G928" t="str">
            <v>SP</v>
          </cell>
          <cell r="H928" t="str">
            <v>DISTRIBUIÇÃO</v>
          </cell>
          <cell r="I928" t="str">
            <v>FOOD SERVICE</v>
          </cell>
          <cell r="J928" t="str">
            <v>FLAC 3</v>
          </cell>
          <cell r="K928" t="str">
            <v>LACTALIS</v>
          </cell>
          <cell r="L928" t="str">
            <v>RODRIGO</v>
          </cell>
          <cell r="M928" t="str">
            <v>ALEXANDRO</v>
          </cell>
        </row>
        <row r="929">
          <cell r="B929">
            <v>5096416</v>
          </cell>
          <cell r="C929" t="str">
            <v>MAURITEX DESCARTAVEIS E TECIDOS EIR</v>
          </cell>
          <cell r="D929">
            <v>3001</v>
          </cell>
          <cell r="E929" t="str">
            <v>0122</v>
          </cell>
          <cell r="F929" t="str">
            <v>C1</v>
          </cell>
          <cell r="G929" t="str">
            <v>MG</v>
          </cell>
          <cell r="H929" t="str">
            <v>DISTRIBUIÇÃO</v>
          </cell>
          <cell r="I929" t="str">
            <v>FOOD SERVICE</v>
          </cell>
          <cell r="J929" t="str">
            <v>MARCELO SILVA</v>
          </cell>
          <cell r="K929" t="str">
            <v>ITAMBÉ</v>
          </cell>
          <cell r="L929" t="str">
            <v>RODRIGO</v>
          </cell>
          <cell r="M929" t="str">
            <v>CELIO MARTINS</v>
          </cell>
        </row>
        <row r="930">
          <cell r="B930">
            <v>5235824</v>
          </cell>
          <cell r="C930" t="str">
            <v>MAURO SIQUEIRA DE MOURA JUNIOR</v>
          </cell>
          <cell r="D930">
            <v>4001</v>
          </cell>
          <cell r="E930" t="str">
            <v>0423</v>
          </cell>
          <cell r="F930" t="str">
            <v>C5</v>
          </cell>
          <cell r="G930" t="str">
            <v>GO</v>
          </cell>
          <cell r="H930" t="str">
            <v>INGREDIENTS</v>
          </cell>
          <cell r="I930" t="str">
            <v>INGREDIENTS</v>
          </cell>
          <cell r="J930" t="str">
            <v>JOEL ELEOTÉRIO</v>
          </cell>
          <cell r="K930" t="str">
            <v>LACTALIS</v>
          </cell>
          <cell r="L930" t="str">
            <v>MAURICIO</v>
          </cell>
          <cell r="M930" t="str">
            <v>JOEL</v>
          </cell>
        </row>
        <row r="931">
          <cell r="B931">
            <v>5160357</v>
          </cell>
          <cell r="C931" t="str">
            <v>MAVSA RESORT CONVENTION SPA EIR</v>
          </cell>
          <cell r="D931">
            <v>6001</v>
          </cell>
          <cell r="E931" t="str">
            <v>6125</v>
          </cell>
          <cell r="F931" t="str">
            <v>C1</v>
          </cell>
          <cell r="G931" t="str">
            <v>SP</v>
          </cell>
          <cell r="H931" t="str">
            <v>DISTRIBUIÇÃO</v>
          </cell>
          <cell r="I931" t="str">
            <v>FOOD SERVICE</v>
          </cell>
          <cell r="J931" t="str">
            <v>ALEXANDRO RODRIGUES</v>
          </cell>
          <cell r="K931" t="str">
            <v>ITAMBÉ</v>
          </cell>
          <cell r="L931" t="str">
            <v>RODRIGO</v>
          </cell>
          <cell r="M931" t="str">
            <v>ALEXANDRO</v>
          </cell>
        </row>
        <row r="932">
          <cell r="B932">
            <v>5248758</v>
          </cell>
          <cell r="C932" t="str">
            <v>MAXI FOOD REFEICOES IND EIRELI</v>
          </cell>
          <cell r="D932">
            <v>7001</v>
          </cell>
          <cell r="E932" t="str">
            <v>0749</v>
          </cell>
          <cell r="F932" t="str">
            <v>C5</v>
          </cell>
          <cell r="G932" t="str">
            <v>SP</v>
          </cell>
          <cell r="H932" t="str">
            <v>DISTRIBUIÇÃO</v>
          </cell>
          <cell r="I932" t="str">
            <v>FOOD SERVICE</v>
          </cell>
          <cell r="J932" t="str">
            <v>FLAC 3</v>
          </cell>
          <cell r="K932" t="str">
            <v>LACTALIS</v>
          </cell>
          <cell r="L932" t="str">
            <v>RODRIGO</v>
          </cell>
          <cell r="M932" t="str">
            <v>ALEXANDRO</v>
          </cell>
        </row>
        <row r="933">
          <cell r="B933">
            <v>5326437</v>
          </cell>
          <cell r="C933" t="str">
            <v>MAXIMA ADMINISTRACAO DE HOTEIS LTDA</v>
          </cell>
          <cell r="D933">
            <v>7001</v>
          </cell>
          <cell r="E933" t="str">
            <v>0749</v>
          </cell>
          <cell r="F933" t="str">
            <v>C5</v>
          </cell>
          <cell r="G933" t="str">
            <v>SP</v>
          </cell>
          <cell r="H933" t="str">
            <v>DISTRIBUIÇÃO</v>
          </cell>
          <cell r="I933" t="str">
            <v>FOOD SERVICE</v>
          </cell>
          <cell r="J933" t="str">
            <v>FLAC 2</v>
          </cell>
          <cell r="K933" t="str">
            <v>LACTALIS</v>
          </cell>
          <cell r="L933" t="str">
            <v>RODRIGO</v>
          </cell>
          <cell r="M933" t="str">
            <v>ALEXANDRO</v>
          </cell>
        </row>
        <row r="934">
          <cell r="B934">
            <v>5224563</v>
          </cell>
          <cell r="C934" t="str">
            <v>MC DAVE S INDUSTRIA DE SORVETES</v>
          </cell>
          <cell r="D934">
            <v>3001</v>
          </cell>
          <cell r="E934" t="str">
            <v>0028</v>
          </cell>
          <cell r="F934" t="str">
            <v>C1</v>
          </cell>
          <cell r="G934" t="str">
            <v>AM</v>
          </cell>
          <cell r="H934" t="str">
            <v>INGREDIENTS</v>
          </cell>
          <cell r="I934" t="str">
            <v>INGREDIENTS</v>
          </cell>
          <cell r="J934" t="str">
            <v>DUAS RODAS</v>
          </cell>
          <cell r="K934" t="str">
            <v>ITAMBÉ</v>
          </cell>
          <cell r="L934" t="str">
            <v>MAURICIO</v>
          </cell>
          <cell r="M934" t="str">
            <v>JOEL</v>
          </cell>
        </row>
        <row r="935">
          <cell r="B935">
            <v>5296842</v>
          </cell>
          <cell r="C935" t="str">
            <v>MC RESTAURANTE COM DE ALIM LTDA</v>
          </cell>
          <cell r="D935">
            <v>7001</v>
          </cell>
          <cell r="E935" t="str">
            <v>0749</v>
          </cell>
          <cell r="F935" t="str">
            <v>C5</v>
          </cell>
          <cell r="G935" t="str">
            <v>SP</v>
          </cell>
          <cell r="H935" t="str">
            <v>DISTRIBUIÇÃO</v>
          </cell>
          <cell r="I935" t="str">
            <v>FOOD SERVICE</v>
          </cell>
          <cell r="J935" t="str">
            <v>FLAC 3</v>
          </cell>
          <cell r="K935" t="str">
            <v>LACTALIS</v>
          </cell>
          <cell r="L935" t="str">
            <v>RODRIGO</v>
          </cell>
          <cell r="M935" t="str">
            <v>ALEXANDRO</v>
          </cell>
        </row>
        <row r="936">
          <cell r="B936">
            <v>5249332</v>
          </cell>
          <cell r="C936" t="str">
            <v>MCO CONFEITARIA EIRELI</v>
          </cell>
          <cell r="D936">
            <v>7001</v>
          </cell>
          <cell r="E936" t="str">
            <v>0749</v>
          </cell>
          <cell r="F936" t="str">
            <v>C5</v>
          </cell>
          <cell r="G936" t="str">
            <v>SP</v>
          </cell>
          <cell r="H936" t="str">
            <v>DISTRIBUIÇÃO</v>
          </cell>
          <cell r="I936" t="str">
            <v>FOOD SERVICE</v>
          </cell>
          <cell r="J936" t="str">
            <v>FLAC 6</v>
          </cell>
          <cell r="K936" t="str">
            <v>LACTALIS</v>
          </cell>
          <cell r="L936" t="str">
            <v>RODRIGO</v>
          </cell>
          <cell r="M936" t="str">
            <v>ALEXANDRO</v>
          </cell>
        </row>
        <row r="937">
          <cell r="B937">
            <v>5188352</v>
          </cell>
          <cell r="C937" t="str">
            <v>MDIAS BRANCO SA IND E COM DE ALIMEN</v>
          </cell>
          <cell r="D937">
            <v>4001</v>
          </cell>
          <cell r="E937" t="str">
            <v>0423</v>
          </cell>
          <cell r="F937" t="str">
            <v>C5</v>
          </cell>
          <cell r="G937" t="str">
            <v>CE</v>
          </cell>
          <cell r="H937" t="str">
            <v>INGREDIENTS</v>
          </cell>
          <cell r="I937" t="str">
            <v>INGREDIENTS</v>
          </cell>
          <cell r="J937" t="str">
            <v>JOEL ELEOTÉRIO</v>
          </cell>
          <cell r="K937" t="str">
            <v>LACTALIS</v>
          </cell>
          <cell r="L937" t="str">
            <v>MAURICIO</v>
          </cell>
          <cell r="M937" t="str">
            <v>JOEL</v>
          </cell>
        </row>
        <row r="938">
          <cell r="B938">
            <v>5264441</v>
          </cell>
          <cell r="C938" t="str">
            <v>MEC DOCES E BOLOS LTDA ME</v>
          </cell>
          <cell r="D938">
            <v>7001</v>
          </cell>
          <cell r="E938" t="str">
            <v>0749</v>
          </cell>
          <cell r="F938" t="str">
            <v>C5</v>
          </cell>
          <cell r="G938" t="str">
            <v>SP</v>
          </cell>
          <cell r="H938" t="str">
            <v>DISTRIBUIÇÃO</v>
          </cell>
          <cell r="I938" t="str">
            <v>FOOD SERVICE</v>
          </cell>
          <cell r="J938" t="str">
            <v>FLAC 6</v>
          </cell>
          <cell r="K938" t="str">
            <v>LACTALIS</v>
          </cell>
          <cell r="L938" t="str">
            <v>RODRIGO</v>
          </cell>
          <cell r="M938" t="str">
            <v>ALEXANDRO</v>
          </cell>
        </row>
        <row r="939">
          <cell r="B939">
            <v>5052329</v>
          </cell>
          <cell r="C939" t="str">
            <v>MECANO PACK EMBALAGENS SA</v>
          </cell>
          <cell r="D939">
            <v>7001</v>
          </cell>
          <cell r="E939" t="str">
            <v>0749</v>
          </cell>
          <cell r="F939" t="str">
            <v>C5</v>
          </cell>
          <cell r="G939" t="str">
            <v>SP</v>
          </cell>
          <cell r="H939" t="str">
            <v>DISTRIBUIÇÃO</v>
          </cell>
          <cell r="I939" t="str">
            <v>FOOD SERVICE</v>
          </cell>
          <cell r="J939" t="str">
            <v>FLAC 1</v>
          </cell>
          <cell r="K939" t="str">
            <v>LACTALIS</v>
          </cell>
          <cell r="L939" t="str">
            <v>RODRIGO</v>
          </cell>
          <cell r="M939" t="str">
            <v>ALEXANDRO</v>
          </cell>
        </row>
        <row r="940">
          <cell r="B940">
            <v>5042001</v>
          </cell>
          <cell r="C940" t="str">
            <v>MEGA PAN DISTRIBUIDORA ALIMENTI</v>
          </cell>
          <cell r="D940">
            <v>3001</v>
          </cell>
          <cell r="E940" t="str">
            <v>0169</v>
          </cell>
          <cell r="F940" t="str">
            <v>C1</v>
          </cell>
          <cell r="G940" t="str">
            <v>ES</v>
          </cell>
          <cell r="H940" t="str">
            <v>DISTRIBUIÇÃO</v>
          </cell>
          <cell r="I940" t="str">
            <v>FOOD SERVICE</v>
          </cell>
          <cell r="J940" t="str">
            <v>MARCELO DUARTE</v>
          </cell>
          <cell r="K940" t="str">
            <v>ITAMBÉ</v>
          </cell>
          <cell r="L940" t="str">
            <v>RODRIGO</v>
          </cell>
          <cell r="M940" t="str">
            <v>JESSICA</v>
          </cell>
        </row>
        <row r="941">
          <cell r="B941">
            <v>5213747</v>
          </cell>
          <cell r="C941" t="str">
            <v>MEGGA MANIA SORVETES</v>
          </cell>
          <cell r="D941">
            <v>6001</v>
          </cell>
          <cell r="E941" t="str">
            <v>6125</v>
          </cell>
          <cell r="F941" t="str">
            <v>C1</v>
          </cell>
          <cell r="G941" t="str">
            <v>SP</v>
          </cell>
          <cell r="H941" t="str">
            <v>INGREDIENTS</v>
          </cell>
          <cell r="I941" t="str">
            <v>INGREDIENTS</v>
          </cell>
          <cell r="J941" t="str">
            <v>DUAS RODAS</v>
          </cell>
          <cell r="K941" t="str">
            <v>ITAMBÉ</v>
          </cell>
          <cell r="L941" t="str">
            <v>MAURICIO</v>
          </cell>
          <cell r="M941" t="str">
            <v>TATIANA NITTA</v>
          </cell>
        </row>
        <row r="942">
          <cell r="B942">
            <v>5168997</v>
          </cell>
          <cell r="C942" t="str">
            <v>MEIRE ELOISE TREVISAN SIQUEIRA</v>
          </cell>
          <cell r="D942">
            <v>7001</v>
          </cell>
          <cell r="E942" t="str">
            <v>0749</v>
          </cell>
          <cell r="F942" t="str">
            <v>C5</v>
          </cell>
          <cell r="G942" t="str">
            <v>SP</v>
          </cell>
          <cell r="H942" t="str">
            <v>DISTRIBUIÇÃO</v>
          </cell>
          <cell r="I942" t="str">
            <v>FOOD SERVICE</v>
          </cell>
          <cell r="J942" t="str">
            <v>FLAC 6</v>
          </cell>
          <cell r="K942" t="str">
            <v>LACTALIS</v>
          </cell>
          <cell r="L942" t="str">
            <v>RODRIGO</v>
          </cell>
          <cell r="M942" t="str">
            <v>ALEXANDRO</v>
          </cell>
        </row>
        <row r="943">
          <cell r="B943">
            <v>5220002</v>
          </cell>
          <cell r="C943" t="str">
            <v>MEIRE F P LOURENCO ME</v>
          </cell>
          <cell r="D943">
            <v>3001</v>
          </cell>
          <cell r="E943" t="str">
            <v>0126</v>
          </cell>
          <cell r="F943" t="str">
            <v>C1</v>
          </cell>
          <cell r="G943" t="str">
            <v>PR</v>
          </cell>
          <cell r="H943" t="str">
            <v>DISTRIBUIÇÃO</v>
          </cell>
          <cell r="I943" t="str">
            <v>FOOD SERVICE</v>
          </cell>
          <cell r="J943" t="str">
            <v>ANTÔNIO SOUZA</v>
          </cell>
          <cell r="K943" t="str">
            <v>ITAMBÉ</v>
          </cell>
          <cell r="L943" t="str">
            <v>RODRIGO</v>
          </cell>
          <cell r="M943" t="str">
            <v>VAGO SUL</v>
          </cell>
        </row>
        <row r="944">
          <cell r="B944">
            <v>5261759</v>
          </cell>
          <cell r="C944" t="str">
            <v>MEJI ASSISTENCIA MEDICA LTDA</v>
          </cell>
          <cell r="D944">
            <v>7001</v>
          </cell>
          <cell r="E944" t="str">
            <v>0749</v>
          </cell>
          <cell r="F944" t="str">
            <v>C5</v>
          </cell>
          <cell r="G944" t="str">
            <v>SP</v>
          </cell>
          <cell r="H944" t="str">
            <v>DISTRIBUIÇÃO</v>
          </cell>
          <cell r="I944" t="str">
            <v>FOOD SERVICE</v>
          </cell>
          <cell r="J944" t="str">
            <v>FLAC 6</v>
          </cell>
          <cell r="K944" t="str">
            <v>LACTALIS</v>
          </cell>
          <cell r="L944" t="str">
            <v>RODRIGO</v>
          </cell>
          <cell r="M944" t="str">
            <v>ALEXANDRO</v>
          </cell>
        </row>
        <row r="945">
          <cell r="B945">
            <v>5282647</v>
          </cell>
          <cell r="C945" t="str">
            <v>MELIA ADM HOTELEIRA E COMERCIAL LTD</v>
          </cell>
          <cell r="D945">
            <v>7001</v>
          </cell>
          <cell r="E945" t="str">
            <v>0749</v>
          </cell>
          <cell r="F945" t="str">
            <v>C5</v>
          </cell>
          <cell r="G945" t="str">
            <v>SP</v>
          </cell>
          <cell r="H945" t="str">
            <v>DISTRIBUIÇÃO</v>
          </cell>
          <cell r="I945" t="str">
            <v>FOOD SERVICE</v>
          </cell>
          <cell r="J945" t="str">
            <v>FLAC 2</v>
          </cell>
          <cell r="K945" t="str">
            <v>LACTALIS</v>
          </cell>
          <cell r="L945" t="str">
            <v>RODRIGO</v>
          </cell>
          <cell r="M945" t="str">
            <v>ALEXANDRO</v>
          </cell>
        </row>
        <row r="946">
          <cell r="B946">
            <v>5280106</v>
          </cell>
          <cell r="C946" t="str">
            <v>MELIA BRASIL ADM HOT E COM LTDA</v>
          </cell>
          <cell r="D946">
            <v>7001</v>
          </cell>
          <cell r="E946" t="str">
            <v>0749</v>
          </cell>
          <cell r="F946" t="str">
            <v>C5</v>
          </cell>
          <cell r="G946" t="str">
            <v>SP</v>
          </cell>
          <cell r="H946" t="str">
            <v>DISTRIBUIÇÃO</v>
          </cell>
          <cell r="I946" t="str">
            <v>FOOD SERVICE</v>
          </cell>
          <cell r="J946" t="str">
            <v>FLAC 6</v>
          </cell>
          <cell r="K946" t="str">
            <v>LACTALIS</v>
          </cell>
          <cell r="L946" t="str">
            <v>RODRIGO</v>
          </cell>
          <cell r="M946" t="str">
            <v>ALEXANDRO</v>
          </cell>
        </row>
        <row r="947">
          <cell r="B947">
            <v>5279547</v>
          </cell>
          <cell r="C947" t="str">
            <v>MELIA BRASIL ADM HOTEL COML LTDA</v>
          </cell>
          <cell r="D947">
            <v>7001</v>
          </cell>
          <cell r="E947" t="str">
            <v>0749</v>
          </cell>
          <cell r="F947" t="str">
            <v>C5</v>
          </cell>
          <cell r="G947" t="str">
            <v>SP</v>
          </cell>
          <cell r="H947" t="str">
            <v>DISTRIBUIÇÃO</v>
          </cell>
          <cell r="I947" t="str">
            <v>FOOD SERVICE</v>
          </cell>
          <cell r="J947" t="str">
            <v>FLAC 2</v>
          </cell>
          <cell r="K947" t="str">
            <v>LACTALIS</v>
          </cell>
          <cell r="L947" t="str">
            <v>RODRIGO</v>
          </cell>
          <cell r="M947" t="str">
            <v>ALEXANDRO</v>
          </cell>
        </row>
        <row r="948">
          <cell r="B948">
            <v>5227109</v>
          </cell>
          <cell r="C948" t="str">
            <v>MELIA BRASIL ADM HOTELARIA C LTDA</v>
          </cell>
          <cell r="D948">
            <v>7001</v>
          </cell>
          <cell r="E948" t="str">
            <v>0749</v>
          </cell>
          <cell r="F948" t="str">
            <v>C5</v>
          </cell>
          <cell r="G948" t="str">
            <v>SP</v>
          </cell>
          <cell r="H948" t="str">
            <v>DISTRIBUIÇÃO</v>
          </cell>
          <cell r="I948" t="str">
            <v>FOOD SERVICE</v>
          </cell>
          <cell r="J948" t="str">
            <v>FLAC 6</v>
          </cell>
          <cell r="K948" t="str">
            <v>LACTALIS</v>
          </cell>
          <cell r="L948" t="str">
            <v>RODRIGO</v>
          </cell>
          <cell r="M948" t="str">
            <v>ALEXANDRO</v>
          </cell>
        </row>
        <row r="949">
          <cell r="B949">
            <v>5282908</v>
          </cell>
          <cell r="C949" t="str">
            <v>MELIA BRASIL ADM HOTELEIRA E COML L</v>
          </cell>
          <cell r="D949">
            <v>7001</v>
          </cell>
          <cell r="E949" t="str">
            <v>0749</v>
          </cell>
          <cell r="F949" t="str">
            <v>C5</v>
          </cell>
          <cell r="G949" t="str">
            <v>SP</v>
          </cell>
          <cell r="H949" t="str">
            <v>DISTRIBUIÇÃO</v>
          </cell>
          <cell r="I949" t="str">
            <v>FOOD SERVICE</v>
          </cell>
          <cell r="J949" t="str">
            <v>FLAC 2</v>
          </cell>
          <cell r="K949" t="str">
            <v>LACTALIS</v>
          </cell>
          <cell r="L949" t="str">
            <v>RODRIGO</v>
          </cell>
          <cell r="M949" t="str">
            <v>ALEXANDRO</v>
          </cell>
        </row>
        <row r="950">
          <cell r="B950">
            <v>5180079</v>
          </cell>
          <cell r="C950" t="str">
            <v>MELIA BRASIL ADMIN HOTELEIRA E COML</v>
          </cell>
          <cell r="D950">
            <v>7001</v>
          </cell>
          <cell r="E950" t="str">
            <v>0749</v>
          </cell>
          <cell r="F950" t="str">
            <v>C5</v>
          </cell>
          <cell r="G950" t="str">
            <v>SP</v>
          </cell>
          <cell r="H950" t="str">
            <v>DISTRIBUIÇÃO</v>
          </cell>
          <cell r="I950" t="str">
            <v>FOOD SERVICE</v>
          </cell>
          <cell r="J950" t="str">
            <v>FLAC 2</v>
          </cell>
          <cell r="K950" t="str">
            <v>LACTALIS</v>
          </cell>
          <cell r="L950" t="str">
            <v>RODRIGO</v>
          </cell>
          <cell r="M950" t="str">
            <v>ALEXANDRO</v>
          </cell>
        </row>
        <row r="951">
          <cell r="B951">
            <v>5286165</v>
          </cell>
          <cell r="C951" t="str">
            <v>MELIA BRASIL ADMINISTR HOTELEIRA C</v>
          </cell>
          <cell r="D951">
            <v>7001</v>
          </cell>
          <cell r="E951" t="str">
            <v>0749</v>
          </cell>
          <cell r="F951" t="str">
            <v>C5</v>
          </cell>
          <cell r="G951" t="str">
            <v>SP</v>
          </cell>
          <cell r="H951" t="str">
            <v>DISTRIBUIÇÃO</v>
          </cell>
          <cell r="I951" t="str">
            <v>FOOD SERVICE</v>
          </cell>
          <cell r="J951" t="str">
            <v>FLAC 2</v>
          </cell>
          <cell r="K951" t="str">
            <v>LACTALIS</v>
          </cell>
          <cell r="L951" t="str">
            <v>RODRIGO</v>
          </cell>
          <cell r="M951" t="str">
            <v>ALEXANDRO</v>
          </cell>
        </row>
        <row r="952">
          <cell r="B952">
            <v>5253475</v>
          </cell>
          <cell r="C952" t="str">
            <v>MENDES E FERRARINI IND DE BEBIDAS L</v>
          </cell>
          <cell r="D952">
            <v>7001</v>
          </cell>
          <cell r="E952" t="str">
            <v>0749</v>
          </cell>
          <cell r="F952" t="str">
            <v>C5</v>
          </cell>
          <cell r="G952" t="str">
            <v>SP</v>
          </cell>
          <cell r="H952" t="str">
            <v>DISTRIBUIÇÃO</v>
          </cell>
          <cell r="I952" t="str">
            <v>FOOD SERVICE</v>
          </cell>
          <cell r="J952" t="str">
            <v>FLAC 3</v>
          </cell>
          <cell r="K952" t="str">
            <v>LACTALIS</v>
          </cell>
          <cell r="L952" t="str">
            <v>RODRIGO</v>
          </cell>
          <cell r="M952" t="str">
            <v>ALEXANDRO</v>
          </cell>
        </row>
        <row r="953">
          <cell r="B953">
            <v>5185743</v>
          </cell>
          <cell r="C953" t="str">
            <v>MEQSO FRANGO COM DE PROD ALIM L</v>
          </cell>
          <cell r="D953">
            <v>7001</v>
          </cell>
          <cell r="E953" t="str">
            <v>0722</v>
          </cell>
          <cell r="F953" t="str">
            <v>C1</v>
          </cell>
          <cell r="G953" t="str">
            <v>SP</v>
          </cell>
          <cell r="H953" t="str">
            <v>DISTRIBUIÇÃO</v>
          </cell>
          <cell r="I953" t="str">
            <v>FOOD SERVICE</v>
          </cell>
          <cell r="J953" t="str">
            <v>LUCAS ANDRADE</v>
          </cell>
          <cell r="K953" t="str">
            <v>LACTALIS</v>
          </cell>
          <cell r="L953" t="str">
            <v>RODRIGO</v>
          </cell>
          <cell r="M953" t="str">
            <v>RAQUEL BARBOSA</v>
          </cell>
        </row>
        <row r="954">
          <cell r="B954">
            <v>5117795</v>
          </cell>
          <cell r="C954" t="str">
            <v>MERCANTIL SANTA PAULA LTDA</v>
          </cell>
          <cell r="D954">
            <v>7001</v>
          </cell>
          <cell r="E954" t="str">
            <v>0749</v>
          </cell>
          <cell r="F954" t="str">
            <v>C5</v>
          </cell>
          <cell r="G954" t="str">
            <v>SP</v>
          </cell>
          <cell r="H954" t="str">
            <v>DISTRIBUIÇÃO</v>
          </cell>
          <cell r="I954" t="str">
            <v>FOOD SERVICE</v>
          </cell>
          <cell r="J954" t="str">
            <v>FLAC 1</v>
          </cell>
          <cell r="K954" t="str">
            <v>LACTALIS</v>
          </cell>
          <cell r="L954" t="str">
            <v>RODRIGO</v>
          </cell>
          <cell r="M954" t="str">
            <v>ALEXANDRO</v>
          </cell>
        </row>
        <row r="955">
          <cell r="B955">
            <v>5006835</v>
          </cell>
          <cell r="C955" t="str">
            <v>MERPAN COMERCIAL LTDA</v>
          </cell>
          <cell r="D955">
            <v>3001</v>
          </cell>
          <cell r="E955" t="str">
            <v>0122</v>
          </cell>
          <cell r="F955" t="str">
            <v>C1</v>
          </cell>
          <cell r="G955" t="str">
            <v>MG</v>
          </cell>
          <cell r="H955" t="str">
            <v>DISTRIBUIÇÃO</v>
          </cell>
          <cell r="I955" t="str">
            <v>FOOD SERVICE</v>
          </cell>
          <cell r="J955" t="str">
            <v>MARCELO SILVA</v>
          </cell>
          <cell r="K955" t="str">
            <v>ITAMBÉ</v>
          </cell>
          <cell r="L955" t="str">
            <v>RODRIGO</v>
          </cell>
          <cell r="M955" t="str">
            <v>CELIO MARTINS</v>
          </cell>
        </row>
        <row r="956">
          <cell r="B956">
            <v>5337882</v>
          </cell>
          <cell r="C956" t="str">
            <v>MH CAFETERIA E SERV DE ALIMENTO</v>
          </cell>
          <cell r="D956">
            <v>7001</v>
          </cell>
          <cell r="E956" t="str">
            <v>0749</v>
          </cell>
          <cell r="F956" t="str">
            <v>C5</v>
          </cell>
          <cell r="G956" t="str">
            <v>SP</v>
          </cell>
          <cell r="H956" t="str">
            <v>DISTRIBUIÇÃO</v>
          </cell>
          <cell r="I956" t="str">
            <v>FOOD SERVICE</v>
          </cell>
          <cell r="J956" t="str">
            <v>FLAC 3</v>
          </cell>
          <cell r="K956" t="str">
            <v>LACTALIS</v>
          </cell>
          <cell r="L956" t="str">
            <v>RODRIGO</v>
          </cell>
          <cell r="M956" t="str">
            <v>ALEXANDRO</v>
          </cell>
        </row>
        <row r="957">
          <cell r="B957">
            <v>5337884</v>
          </cell>
          <cell r="C957" t="str">
            <v>MICAFE CAF E SERV DE ALIMENTOS</v>
          </cell>
          <cell r="D957">
            <v>7001</v>
          </cell>
          <cell r="E957" t="str">
            <v>0749</v>
          </cell>
          <cell r="F957" t="str">
            <v>C5</v>
          </cell>
          <cell r="G957" t="str">
            <v>SP</v>
          </cell>
          <cell r="H957" t="str">
            <v>DISTRIBUIÇÃO</v>
          </cell>
          <cell r="I957" t="str">
            <v>FOOD SERVICE</v>
          </cell>
          <cell r="J957" t="str">
            <v>FLAC 3</v>
          </cell>
          <cell r="K957" t="str">
            <v>LACTALIS</v>
          </cell>
          <cell r="L957" t="str">
            <v>RODRIGO</v>
          </cell>
          <cell r="M957" t="str">
            <v>ALEXANDRO</v>
          </cell>
        </row>
        <row r="958">
          <cell r="B958">
            <v>5224043</v>
          </cell>
          <cell r="C958" t="str">
            <v>MILANO COM VAREJ DE ALIMENTOS S</v>
          </cell>
          <cell r="D958">
            <v>3001</v>
          </cell>
          <cell r="E958" t="str">
            <v>0122</v>
          </cell>
          <cell r="F958" t="str">
            <v>C1</v>
          </cell>
          <cell r="G958" t="str">
            <v>MG</v>
          </cell>
          <cell r="H958" t="str">
            <v>QSR</v>
          </cell>
          <cell r="I958" t="str">
            <v>FOOD SERVICE</v>
          </cell>
          <cell r="J958" t="str">
            <v>ANA MENIQUETE</v>
          </cell>
          <cell r="K958" t="str">
            <v>ITAMBÉ</v>
          </cell>
          <cell r="L958" t="str">
            <v>PEDRO</v>
          </cell>
          <cell r="M958" t="str">
            <v>ANA MENIQUETE</v>
          </cell>
        </row>
        <row r="959">
          <cell r="B959">
            <v>5190692</v>
          </cell>
          <cell r="C959" t="str">
            <v>MILANO COMERCIO VAREJISTA DE ALIM S</v>
          </cell>
          <cell r="D959">
            <v>6001</v>
          </cell>
          <cell r="E959" t="str">
            <v>6125</v>
          </cell>
          <cell r="F959" t="str">
            <v>C1</v>
          </cell>
          <cell r="G959" t="str">
            <v>SP</v>
          </cell>
          <cell r="H959" t="str">
            <v>QSR</v>
          </cell>
          <cell r="I959" t="str">
            <v>FOOD SERVICE</v>
          </cell>
          <cell r="J959" t="str">
            <v>ANA MENIQUETE</v>
          </cell>
          <cell r="K959" t="str">
            <v>ITAMBÉ</v>
          </cell>
          <cell r="L959" t="str">
            <v>PEDRO</v>
          </cell>
          <cell r="M959" t="str">
            <v>ANA MENIQUETE</v>
          </cell>
        </row>
        <row r="960">
          <cell r="B960">
            <v>5190692</v>
          </cell>
          <cell r="C960" t="str">
            <v>MILANO COMERCIO VAREJISTA DE ALIM S</v>
          </cell>
          <cell r="D960">
            <v>7001</v>
          </cell>
          <cell r="E960" t="str">
            <v>0722</v>
          </cell>
          <cell r="F960" t="str">
            <v>C1</v>
          </cell>
          <cell r="G960" t="str">
            <v>SP</v>
          </cell>
          <cell r="H960" t="str">
            <v>QSR</v>
          </cell>
          <cell r="I960" t="str">
            <v>FOOD SERVICE</v>
          </cell>
          <cell r="J960" t="str">
            <v>ANA MENIQUETE</v>
          </cell>
          <cell r="K960" t="str">
            <v>LACTALIS</v>
          </cell>
          <cell r="L960" t="str">
            <v>PEDRO</v>
          </cell>
          <cell r="M960" t="str">
            <v>ANA MENIQUETE</v>
          </cell>
        </row>
        <row r="961">
          <cell r="B961">
            <v>5336828</v>
          </cell>
          <cell r="C961" t="str">
            <v>MILANO COMERCIO VAREJISTA DE ALIM SA</v>
          </cell>
          <cell r="D961">
            <v>6001</v>
          </cell>
          <cell r="E961" t="str">
            <v>6125</v>
          </cell>
          <cell r="F961" t="str">
            <v>C1</v>
          </cell>
          <cell r="G961" t="str">
            <v>SP</v>
          </cell>
          <cell r="H961" t="str">
            <v>QSR</v>
          </cell>
          <cell r="I961" t="str">
            <v>FOOD SERVICE</v>
          </cell>
          <cell r="J961" t="str">
            <v>ANA MENIQUETE</v>
          </cell>
          <cell r="K961" t="str">
            <v>ITAMBÉ</v>
          </cell>
          <cell r="L961" t="str">
            <v>PEDRO</v>
          </cell>
          <cell r="M961" t="str">
            <v>ANA MENIQUETE</v>
          </cell>
        </row>
        <row r="962">
          <cell r="B962">
            <v>5336828</v>
          </cell>
          <cell r="C962" t="str">
            <v>MILANO COMERCIO VAREJISTA DE ALIM SA</v>
          </cell>
          <cell r="D962">
            <v>7001</v>
          </cell>
          <cell r="E962" t="str">
            <v>0722</v>
          </cell>
          <cell r="F962" t="str">
            <v>C1</v>
          </cell>
          <cell r="G962" t="str">
            <v>SP</v>
          </cell>
          <cell r="H962" t="str">
            <v>QSR</v>
          </cell>
          <cell r="I962" t="str">
            <v>FOOD SERVICE</v>
          </cell>
          <cell r="J962" t="str">
            <v>ANA MENIQUETE</v>
          </cell>
          <cell r="K962" t="str">
            <v>LACTALIS</v>
          </cell>
          <cell r="L962" t="str">
            <v>PEDRO</v>
          </cell>
          <cell r="M962" t="str">
            <v>ANA MENIQUETE</v>
          </cell>
        </row>
        <row r="963">
          <cell r="B963">
            <v>5164138</v>
          </cell>
          <cell r="C963" t="str">
            <v>MILFRIOS DISTR DE PROD ALIM LTDA</v>
          </cell>
          <cell r="D963">
            <v>3001</v>
          </cell>
          <cell r="E963" t="str">
            <v>0127</v>
          </cell>
          <cell r="F963" t="str">
            <v>C1</v>
          </cell>
          <cell r="G963" t="str">
            <v>CE</v>
          </cell>
          <cell r="H963" t="str">
            <v>DISTRIBUIÇÃO</v>
          </cell>
          <cell r="I963" t="str">
            <v>FOOD SERVICE</v>
          </cell>
          <cell r="J963" t="str">
            <v>WH FOOD SERVICE CE</v>
          </cell>
          <cell r="K963" t="str">
            <v>ITAMBÉ</v>
          </cell>
          <cell r="L963" t="str">
            <v>RODRIGO</v>
          </cell>
          <cell r="M963" t="str">
            <v>VAGO NORDESTE</v>
          </cell>
        </row>
        <row r="964">
          <cell r="B964">
            <v>5338829</v>
          </cell>
          <cell r="C964" t="str">
            <v>MINIMALISTA PAO ARTESANAL LTDA</v>
          </cell>
          <cell r="D964">
            <v>7001</v>
          </cell>
          <cell r="E964" t="str">
            <v>0749</v>
          </cell>
          <cell r="F964" t="str">
            <v>C5</v>
          </cell>
          <cell r="G964" t="str">
            <v>SP</v>
          </cell>
          <cell r="H964" t="str">
            <v>DISTRIBUIÇÃO</v>
          </cell>
          <cell r="I964" t="str">
            <v>FOOD SERVICE</v>
          </cell>
          <cell r="J964" t="str">
            <v>FLAC 2</v>
          </cell>
          <cell r="K964" t="str">
            <v>LACTALIS</v>
          </cell>
          <cell r="L964" t="str">
            <v>RODRIGO</v>
          </cell>
          <cell r="M964" t="str">
            <v>ALEXANDRO</v>
          </cell>
        </row>
        <row r="965">
          <cell r="B965">
            <v>5212418</v>
          </cell>
          <cell r="C965" t="str">
            <v>MIRI PADARIA E CONFEITARIA LTDA</v>
          </cell>
          <cell r="D965">
            <v>3001</v>
          </cell>
          <cell r="E965" t="str">
            <v>0127</v>
          </cell>
          <cell r="F965" t="str">
            <v>C1</v>
          </cell>
          <cell r="G965" t="str">
            <v>BA</v>
          </cell>
          <cell r="H965" t="str">
            <v>DISTRIBUIÇÃO</v>
          </cell>
          <cell r="I965" t="str">
            <v>FOOD SERVICE</v>
          </cell>
          <cell r="J965" t="str">
            <v xml:space="preserve">KARIS FOOD / LUIZ </v>
          </cell>
          <cell r="K965" t="str">
            <v>ITAMBÉ</v>
          </cell>
          <cell r="L965" t="str">
            <v>RODRIGO</v>
          </cell>
          <cell r="M965" t="str">
            <v>VAGO NORDESTE</v>
          </cell>
        </row>
        <row r="966">
          <cell r="B966">
            <v>5190033</v>
          </cell>
          <cell r="C966" t="str">
            <v>MISTER SHAKE COM SORVETES E EQU</v>
          </cell>
          <cell r="D966">
            <v>3001</v>
          </cell>
          <cell r="E966" t="str">
            <v>0122</v>
          </cell>
          <cell r="F966" t="str">
            <v>C1</v>
          </cell>
          <cell r="G966" t="str">
            <v>MG</v>
          </cell>
          <cell r="H966" t="str">
            <v>INGREDIENTS</v>
          </cell>
          <cell r="I966" t="str">
            <v>INGREDIENTS</v>
          </cell>
          <cell r="J966" t="str">
            <v>HENRIQUE FERREIRA</v>
          </cell>
          <cell r="K966" t="str">
            <v>ITAMBÉ</v>
          </cell>
          <cell r="L966" t="str">
            <v>MAURICIO</v>
          </cell>
          <cell r="M966" t="str">
            <v>JOEL</v>
          </cell>
        </row>
        <row r="967">
          <cell r="B967">
            <v>5208028</v>
          </cell>
          <cell r="C967" t="str">
            <v>MISTUREX COMERCIO ATACA DE ALIMENT</v>
          </cell>
          <cell r="D967">
            <v>3001</v>
          </cell>
          <cell r="E967" t="str">
            <v>0169</v>
          </cell>
          <cell r="F967" t="str">
            <v>C1</v>
          </cell>
          <cell r="G967" t="str">
            <v>ES</v>
          </cell>
          <cell r="H967" t="str">
            <v>INGREDIENTS</v>
          </cell>
          <cell r="I967" t="str">
            <v>INGREDIENTS</v>
          </cell>
          <cell r="J967" t="str">
            <v>TATIANA NITTA</v>
          </cell>
          <cell r="K967" t="str">
            <v>ITAMBÉ</v>
          </cell>
          <cell r="L967" t="str">
            <v>MAURICIO</v>
          </cell>
          <cell r="M967" t="str">
            <v>TATIANA NITTA</v>
          </cell>
        </row>
        <row r="968">
          <cell r="B968">
            <v>5181104</v>
          </cell>
          <cell r="C968" t="str">
            <v>MIX TUDO COM ALIMENTOS E SERVICOS L</v>
          </cell>
          <cell r="D968">
            <v>3001</v>
          </cell>
          <cell r="E968" t="str">
            <v>0169</v>
          </cell>
          <cell r="F968" t="str">
            <v>C1</v>
          </cell>
          <cell r="G968" t="str">
            <v>ES</v>
          </cell>
          <cell r="H968" t="str">
            <v>DISTRIBUIÇÃO</v>
          </cell>
          <cell r="I968" t="str">
            <v>FOOD SERVICE</v>
          </cell>
          <cell r="J968" t="str">
            <v>MARCELO DUARTE</v>
          </cell>
          <cell r="K968" t="str">
            <v>ITAMBÉ</v>
          </cell>
          <cell r="L968" t="str">
            <v>RODRIGO</v>
          </cell>
          <cell r="M968" t="str">
            <v>JESSICA</v>
          </cell>
        </row>
        <row r="969">
          <cell r="B969">
            <v>5174259</v>
          </cell>
          <cell r="C969" t="str">
            <v>MIX TUDO COMERCIO E SERVICOS EI</v>
          </cell>
          <cell r="D969">
            <v>3001</v>
          </cell>
          <cell r="E969" t="str">
            <v>0169</v>
          </cell>
          <cell r="F969" t="str">
            <v>C1</v>
          </cell>
          <cell r="G969" t="str">
            <v>ES</v>
          </cell>
          <cell r="H969" t="str">
            <v>DISTRIBUIÇÃO</v>
          </cell>
          <cell r="I969" t="str">
            <v>FOOD SERVICE</v>
          </cell>
          <cell r="J969" t="str">
            <v>MARCELO DUARTE</v>
          </cell>
          <cell r="K969" t="str">
            <v>ITAMBÉ</v>
          </cell>
          <cell r="L969" t="str">
            <v>RODRIGO</v>
          </cell>
          <cell r="M969" t="str">
            <v>JESSICA</v>
          </cell>
        </row>
        <row r="970">
          <cell r="B970">
            <v>5120279</v>
          </cell>
          <cell r="C970" t="str">
            <v>MIXPAN INDUSTRIA E COMERCIO LTDA</v>
          </cell>
          <cell r="D970">
            <v>3001</v>
          </cell>
          <cell r="E970" t="str">
            <v>0122</v>
          </cell>
          <cell r="F970" t="str">
            <v>C1</v>
          </cell>
          <cell r="G970" t="str">
            <v>MG</v>
          </cell>
          <cell r="H970" t="str">
            <v>DISTRIBUIÇÃO</v>
          </cell>
          <cell r="I970" t="str">
            <v>FOOD SERVICE</v>
          </cell>
          <cell r="J970" t="str">
            <v>MARCELO SILVA</v>
          </cell>
          <cell r="K970" t="str">
            <v>ITAMBÉ</v>
          </cell>
          <cell r="L970" t="str">
            <v>RODRIGO</v>
          </cell>
          <cell r="M970" t="str">
            <v>CELIO MARTINS</v>
          </cell>
        </row>
        <row r="971">
          <cell r="B971">
            <v>5330552</v>
          </cell>
          <cell r="C971" t="str">
            <v>ML FLAVORS COMERCIO</v>
          </cell>
          <cell r="D971">
            <v>3001</v>
          </cell>
          <cell r="E971" t="str">
            <v>0028</v>
          </cell>
          <cell r="F971" t="str">
            <v>C1</v>
          </cell>
          <cell r="G971" t="str">
            <v>BA</v>
          </cell>
          <cell r="H971" t="str">
            <v>INGREDIENTS</v>
          </cell>
          <cell r="I971" t="str">
            <v>INGREDIENTS</v>
          </cell>
          <cell r="J971" t="str">
            <v>DUAS RODAS</v>
          </cell>
          <cell r="K971" t="str">
            <v>ITAMBÉ</v>
          </cell>
          <cell r="L971" t="str">
            <v>MAURICIO</v>
          </cell>
          <cell r="M971" t="str">
            <v>JOEL</v>
          </cell>
        </row>
        <row r="972">
          <cell r="B972">
            <v>5330552</v>
          </cell>
          <cell r="C972" t="str">
            <v>ML FLAVORS COMERCIO</v>
          </cell>
          <cell r="D972">
            <v>3001</v>
          </cell>
          <cell r="E972" t="str">
            <v>0127</v>
          </cell>
          <cell r="F972" t="str">
            <v>C1</v>
          </cell>
          <cell r="G972" t="str">
            <v>BA</v>
          </cell>
          <cell r="H972" t="str">
            <v>INGREDIENTS</v>
          </cell>
          <cell r="I972" t="str">
            <v>INGREDIENTS</v>
          </cell>
          <cell r="J972" t="str">
            <v>DUAS RODAS</v>
          </cell>
          <cell r="K972" t="str">
            <v>ITAMBÉ</v>
          </cell>
          <cell r="L972" t="str">
            <v>MAURICIO</v>
          </cell>
          <cell r="M972" t="str">
            <v>JOEL</v>
          </cell>
        </row>
        <row r="973">
          <cell r="B973">
            <v>5011058</v>
          </cell>
          <cell r="C973" t="str">
            <v>MOINHO GLOBO ALIMENTOS SA</v>
          </cell>
          <cell r="D973">
            <v>4001</v>
          </cell>
          <cell r="E973" t="str">
            <v>0455</v>
          </cell>
          <cell r="F973" t="str">
            <v>C1</v>
          </cell>
          <cell r="G973" t="str">
            <v>PR</v>
          </cell>
          <cell r="H973" t="str">
            <v>INGREDIENTS</v>
          </cell>
          <cell r="I973" t="str">
            <v>INGREDIENTS</v>
          </cell>
          <cell r="J973" t="str">
            <v>MARCELO RODRIGUES</v>
          </cell>
          <cell r="K973" t="str">
            <v>LACTALIS</v>
          </cell>
          <cell r="L973" t="str">
            <v>MAURICIO</v>
          </cell>
          <cell r="M973" t="str">
            <v>MARCELO</v>
          </cell>
        </row>
        <row r="974">
          <cell r="B974">
            <v>5187333</v>
          </cell>
          <cell r="C974" t="str">
            <v>MONTE CARLO COMERCIO DE ALIMENT</v>
          </cell>
          <cell r="D974">
            <v>3001</v>
          </cell>
          <cell r="E974" t="str">
            <v>0127</v>
          </cell>
          <cell r="F974" t="str">
            <v>C1</v>
          </cell>
          <cell r="G974" t="str">
            <v>CE</v>
          </cell>
          <cell r="H974" t="str">
            <v>DISTRIBUIÇÃO</v>
          </cell>
          <cell r="I974" t="str">
            <v>FOOD SERVICE</v>
          </cell>
          <cell r="J974" t="str">
            <v>WH FOOD SERVICE CE</v>
          </cell>
          <cell r="K974" t="str">
            <v>ITAMBÉ</v>
          </cell>
          <cell r="L974" t="str">
            <v>RODRIGO</v>
          </cell>
          <cell r="M974" t="str">
            <v>VAGO NORDESTE</v>
          </cell>
        </row>
        <row r="975">
          <cell r="B975">
            <v>5272287</v>
          </cell>
          <cell r="C975" t="str">
            <v>MONTE PASCOAL COM DE ALIM EIRELI</v>
          </cell>
          <cell r="D975">
            <v>7001</v>
          </cell>
          <cell r="E975" t="str">
            <v>0749</v>
          </cell>
          <cell r="F975" t="str">
            <v>C5</v>
          </cell>
          <cell r="G975" t="str">
            <v>SP</v>
          </cell>
          <cell r="H975" t="str">
            <v>DISTRIBUIÇÃO</v>
          </cell>
          <cell r="I975" t="str">
            <v>FOOD SERVICE</v>
          </cell>
          <cell r="J975" t="str">
            <v>FLAC 6</v>
          </cell>
          <cell r="K975" t="str">
            <v>LACTALIS</v>
          </cell>
          <cell r="L975" t="str">
            <v>RODRIGO</v>
          </cell>
          <cell r="M975" t="str">
            <v>ALEXANDRO</v>
          </cell>
        </row>
        <row r="976">
          <cell r="B976">
            <v>5329374</v>
          </cell>
          <cell r="C976" t="str">
            <v>MONTEMOR PAULISTA CAFETERIA LTDA</v>
          </cell>
          <cell r="D976">
            <v>7001</v>
          </cell>
          <cell r="E976" t="str">
            <v>0749</v>
          </cell>
          <cell r="F976" t="str">
            <v>C5</v>
          </cell>
          <cell r="G976" t="str">
            <v>SP</v>
          </cell>
          <cell r="H976" t="str">
            <v>DISTRIBUIÇÃO</v>
          </cell>
          <cell r="I976" t="str">
            <v>FOOD SERVICE</v>
          </cell>
          <cell r="J976" t="str">
            <v>FLAC 3</v>
          </cell>
          <cell r="K976" t="str">
            <v>LACTALIS</v>
          </cell>
          <cell r="L976" t="str">
            <v>RODRIGO</v>
          </cell>
          <cell r="M976" t="str">
            <v>ALEXANDRO</v>
          </cell>
        </row>
        <row r="977">
          <cell r="B977">
            <v>5178073</v>
          </cell>
          <cell r="C977" t="str">
            <v>MORUMBY HOTEIS LTDA</v>
          </cell>
          <cell r="D977">
            <v>7001</v>
          </cell>
          <cell r="E977" t="str">
            <v>0749</v>
          </cell>
          <cell r="F977" t="str">
            <v>C5</v>
          </cell>
          <cell r="G977" t="str">
            <v>SP</v>
          </cell>
          <cell r="H977" t="str">
            <v>DISTRIBUIÇÃO</v>
          </cell>
          <cell r="I977" t="str">
            <v>FOOD SERVICE</v>
          </cell>
          <cell r="J977" t="str">
            <v>FLAC 2</v>
          </cell>
          <cell r="K977" t="str">
            <v>LACTALIS</v>
          </cell>
          <cell r="L977" t="str">
            <v>RODRIGO</v>
          </cell>
          <cell r="M977" t="str">
            <v>ALEXANDRO</v>
          </cell>
        </row>
        <row r="978">
          <cell r="B978">
            <v>5287035</v>
          </cell>
          <cell r="C978" t="str">
            <v>MOTI CONFEITARIA EIRELI</v>
          </cell>
          <cell r="D978">
            <v>7001</v>
          </cell>
          <cell r="E978" t="str">
            <v>0749</v>
          </cell>
          <cell r="F978" t="str">
            <v>C5</v>
          </cell>
          <cell r="G978" t="str">
            <v>SP</v>
          </cell>
          <cell r="H978" t="str">
            <v>DISTRIBUIÇÃO</v>
          </cell>
          <cell r="I978" t="str">
            <v>FOOD SERVICE</v>
          </cell>
          <cell r="J978" t="str">
            <v>FLAC 2</v>
          </cell>
          <cell r="K978" t="str">
            <v>LACTALIS</v>
          </cell>
          <cell r="L978" t="str">
            <v>RODRIGO</v>
          </cell>
          <cell r="M978" t="str">
            <v>ALEXANDRO</v>
          </cell>
        </row>
        <row r="979">
          <cell r="B979">
            <v>5301053</v>
          </cell>
          <cell r="C979" t="str">
            <v>MOTI MOTI CAKE SHOP COM DE ALM LTDA</v>
          </cell>
          <cell r="D979">
            <v>7001</v>
          </cell>
          <cell r="E979" t="str">
            <v>0749</v>
          </cell>
          <cell r="F979" t="str">
            <v>C5</v>
          </cell>
          <cell r="G979" t="str">
            <v>SP</v>
          </cell>
          <cell r="H979" t="str">
            <v>DISTRIBUIÇÃO</v>
          </cell>
          <cell r="I979" t="str">
            <v>FOOD SERVICE</v>
          </cell>
          <cell r="J979" t="str">
            <v>FLAC 2</v>
          </cell>
          <cell r="K979" t="str">
            <v>LACTALIS</v>
          </cell>
          <cell r="L979" t="str">
            <v>RODRIGO</v>
          </cell>
          <cell r="M979" t="str">
            <v>ALEXANDRO</v>
          </cell>
        </row>
        <row r="980">
          <cell r="B980">
            <v>5214053</v>
          </cell>
          <cell r="C980" t="str">
            <v>MP MARTINS ALIMENTOS LTDA</v>
          </cell>
          <cell r="D980">
            <v>3001</v>
          </cell>
          <cell r="E980" t="str">
            <v>0126</v>
          </cell>
          <cell r="F980" t="str">
            <v>C1</v>
          </cell>
          <cell r="G980" t="str">
            <v>SC</v>
          </cell>
          <cell r="H980" t="str">
            <v>DISTRIBUIÇÃO</v>
          </cell>
          <cell r="I980" t="str">
            <v>FOOD SERVICE</v>
          </cell>
          <cell r="J980" t="str">
            <v>ANTÔNIO SOUZA</v>
          </cell>
          <cell r="K980" t="str">
            <v>ITAMBÉ</v>
          </cell>
          <cell r="L980" t="str">
            <v>RODRIGO</v>
          </cell>
          <cell r="M980" t="str">
            <v>VAGO SUL</v>
          </cell>
        </row>
        <row r="981">
          <cell r="B981">
            <v>5319475</v>
          </cell>
          <cell r="C981" t="str">
            <v>MPRM RESTAURANTE E EMPORIO LTDA</v>
          </cell>
          <cell r="D981">
            <v>7001</v>
          </cell>
          <cell r="E981" t="str">
            <v>0749</v>
          </cell>
          <cell r="F981" t="str">
            <v>C5</v>
          </cell>
          <cell r="G981" t="str">
            <v>SP</v>
          </cell>
          <cell r="H981" t="str">
            <v>DISTRIBUIÇÃO</v>
          </cell>
          <cell r="I981" t="str">
            <v>FOOD SERVICE</v>
          </cell>
          <cell r="J981" t="str">
            <v>FLAC 6</v>
          </cell>
          <cell r="K981" t="str">
            <v>LACTALIS</v>
          </cell>
          <cell r="L981" t="str">
            <v>RODRIGO</v>
          </cell>
          <cell r="M981" t="str">
            <v>ALEXANDRO</v>
          </cell>
        </row>
        <row r="982">
          <cell r="B982">
            <v>5319476</v>
          </cell>
          <cell r="C982" t="str">
            <v>MPRM RESTAURANTE E EMPORIO LTDA</v>
          </cell>
          <cell r="D982">
            <v>7001</v>
          </cell>
          <cell r="E982" t="str">
            <v>0749</v>
          </cell>
          <cell r="F982" t="str">
            <v>C5</v>
          </cell>
          <cell r="G982" t="str">
            <v>SP</v>
          </cell>
          <cell r="H982" t="str">
            <v>DISTRIBUIÇÃO</v>
          </cell>
          <cell r="I982" t="str">
            <v>FOOD SERVICE</v>
          </cell>
          <cell r="J982" t="str">
            <v>FLAC 6</v>
          </cell>
          <cell r="K982" t="str">
            <v>LACTALIS</v>
          </cell>
          <cell r="L982" t="str">
            <v>RODRIGO</v>
          </cell>
          <cell r="M982" t="str">
            <v>ALEXANDRO</v>
          </cell>
        </row>
        <row r="983">
          <cell r="B983">
            <v>5259994</v>
          </cell>
          <cell r="C983" t="str">
            <v>MR BAKER SUPERFOODS PANIFICADORA LT</v>
          </cell>
          <cell r="D983">
            <v>7001</v>
          </cell>
          <cell r="E983" t="str">
            <v>0749</v>
          </cell>
          <cell r="F983" t="str">
            <v>C5</v>
          </cell>
          <cell r="G983" t="str">
            <v>SP</v>
          </cell>
          <cell r="H983" t="str">
            <v>DISTRIBUIÇÃO</v>
          </cell>
          <cell r="I983" t="str">
            <v>FOOD SERVICE</v>
          </cell>
          <cell r="J983" t="str">
            <v>FLAC 2</v>
          </cell>
          <cell r="K983" t="str">
            <v>LACTALIS</v>
          </cell>
          <cell r="L983" t="str">
            <v>RODRIGO</v>
          </cell>
          <cell r="M983" t="str">
            <v>ALEXANDRO</v>
          </cell>
        </row>
        <row r="984">
          <cell r="B984">
            <v>5319195</v>
          </cell>
          <cell r="C984" t="str">
            <v>MT QUEIROZ COMERCIAL DE ALIMENTOS</v>
          </cell>
          <cell r="D984">
            <v>3001</v>
          </cell>
          <cell r="E984" t="str">
            <v>0127</v>
          </cell>
          <cell r="F984" t="str">
            <v>C1</v>
          </cell>
          <cell r="G984" t="str">
            <v>BA</v>
          </cell>
          <cell r="H984" t="str">
            <v>DISTRIBUIÇÃO</v>
          </cell>
          <cell r="I984" t="str">
            <v>FOOD SERVICE</v>
          </cell>
          <cell r="J984" t="str">
            <v xml:space="preserve">KARIS FOOD / LUIZ </v>
          </cell>
          <cell r="K984" t="str">
            <v>ITAMBÉ</v>
          </cell>
          <cell r="L984" t="str">
            <v>RODRIGO</v>
          </cell>
          <cell r="M984" t="str">
            <v>VAGO NORDESTE</v>
          </cell>
        </row>
        <row r="985">
          <cell r="B985">
            <v>5229717</v>
          </cell>
          <cell r="C985" t="str">
            <v>MULTIPEL EMBALAGENS UMUARAMA LTDA</v>
          </cell>
          <cell r="D985">
            <v>3001</v>
          </cell>
          <cell r="E985" t="str">
            <v>0126</v>
          </cell>
          <cell r="F985" t="str">
            <v>C1</v>
          </cell>
          <cell r="G985" t="str">
            <v>PR</v>
          </cell>
          <cell r="H985" t="str">
            <v>INGREDIENTS</v>
          </cell>
          <cell r="I985" t="str">
            <v>INGREDIENTS</v>
          </cell>
          <cell r="J985" t="str">
            <v>DUAS RODAS</v>
          </cell>
          <cell r="K985" t="str">
            <v>ITAMBÉ</v>
          </cell>
          <cell r="L985" t="str">
            <v>MAURICIO</v>
          </cell>
          <cell r="M985" t="str">
            <v>MARCELO</v>
          </cell>
        </row>
        <row r="986">
          <cell r="B986">
            <v>5027506</v>
          </cell>
          <cell r="C986" t="str">
            <v>MULTPEL COM DE PAPEIS E EMBALAG</v>
          </cell>
          <cell r="D986">
            <v>3001</v>
          </cell>
          <cell r="E986" t="str">
            <v>0169</v>
          </cell>
          <cell r="F986" t="str">
            <v>C1</v>
          </cell>
          <cell r="G986" t="str">
            <v>ES</v>
          </cell>
          <cell r="H986" t="str">
            <v>DISTRIBUIÇÃO</v>
          </cell>
          <cell r="I986" t="str">
            <v>FOOD SERVICE</v>
          </cell>
          <cell r="J986" t="str">
            <v>MARCELO DUARTE</v>
          </cell>
          <cell r="K986" t="str">
            <v>ITAMBÉ</v>
          </cell>
          <cell r="L986" t="str">
            <v>RODRIGO</v>
          </cell>
          <cell r="M986" t="str">
            <v>JESSICA</v>
          </cell>
        </row>
        <row r="987">
          <cell r="B987">
            <v>5173775</v>
          </cell>
          <cell r="C987" t="str">
            <v>N ZEPPONE E CIA LTDA</v>
          </cell>
          <cell r="D987">
            <v>4001</v>
          </cell>
          <cell r="E987" t="str">
            <v>0455</v>
          </cell>
          <cell r="F987" t="str">
            <v>C1</v>
          </cell>
          <cell r="G987" t="str">
            <v>PR</v>
          </cell>
          <cell r="H987" t="str">
            <v>INGREDIENTS</v>
          </cell>
          <cell r="I987" t="str">
            <v>INGREDIENTS</v>
          </cell>
          <cell r="J987" t="str">
            <v>MARCELO RODRIGUES</v>
          </cell>
          <cell r="K987" t="str">
            <v>LACTALIS</v>
          </cell>
          <cell r="L987" t="str">
            <v>MAURICIO</v>
          </cell>
          <cell r="M987" t="str">
            <v>MARCELO</v>
          </cell>
        </row>
        <row r="988">
          <cell r="B988">
            <v>5270159</v>
          </cell>
          <cell r="C988" t="str">
            <v>NANO CAFETERIA EIRELI</v>
          </cell>
          <cell r="D988">
            <v>7001</v>
          </cell>
          <cell r="E988" t="str">
            <v>0749</v>
          </cell>
          <cell r="F988" t="str">
            <v>C5</v>
          </cell>
          <cell r="G988" t="str">
            <v>SP</v>
          </cell>
          <cell r="H988" t="str">
            <v>DISTRIBUIÇÃO</v>
          </cell>
          <cell r="I988" t="str">
            <v>FOOD SERVICE</v>
          </cell>
          <cell r="J988" t="str">
            <v>FLAC 3</v>
          </cell>
          <cell r="K988" t="str">
            <v>LACTALIS</v>
          </cell>
          <cell r="L988" t="str">
            <v>RODRIGO</v>
          </cell>
          <cell r="M988" t="str">
            <v>ALEXANDRO</v>
          </cell>
        </row>
        <row r="989">
          <cell r="B989">
            <v>5332242</v>
          </cell>
          <cell r="C989" t="str">
            <v>NATHALIA PRODUTOS ALIMENTICIOS LTDA</v>
          </cell>
          <cell r="D989">
            <v>7001</v>
          </cell>
          <cell r="E989" t="str">
            <v>0749</v>
          </cell>
          <cell r="F989" t="str">
            <v>C5</v>
          </cell>
          <cell r="G989" t="str">
            <v>SP</v>
          </cell>
          <cell r="H989" t="str">
            <v>DISTRIBUIÇÃO</v>
          </cell>
          <cell r="I989" t="str">
            <v>FOOD SERVICE</v>
          </cell>
          <cell r="J989" t="str">
            <v>FLAC 2</v>
          </cell>
          <cell r="K989" t="str">
            <v>LACTALIS</v>
          </cell>
          <cell r="L989" t="str">
            <v>RODRIGO</v>
          </cell>
          <cell r="M989" t="str">
            <v>ALEXANDRO</v>
          </cell>
        </row>
        <row r="990">
          <cell r="B990">
            <v>5224751</v>
          </cell>
          <cell r="C990" t="str">
            <v>NATHALYA DE MOURA SANTOS</v>
          </cell>
          <cell r="D990">
            <v>7001</v>
          </cell>
          <cell r="E990" t="str">
            <v>0749</v>
          </cell>
          <cell r="F990" t="str">
            <v>C5</v>
          </cell>
          <cell r="G990" t="str">
            <v>SP</v>
          </cell>
          <cell r="H990" t="str">
            <v>DISTRIBUIÇÃO</v>
          </cell>
          <cell r="I990" t="str">
            <v>FOOD SERVICE</v>
          </cell>
          <cell r="J990" t="str">
            <v>FLAC 6</v>
          </cell>
          <cell r="K990" t="str">
            <v>LACTALIS</v>
          </cell>
          <cell r="L990" t="str">
            <v>RODRIGO</v>
          </cell>
          <cell r="M990" t="str">
            <v>ALEXANDRO</v>
          </cell>
        </row>
        <row r="991">
          <cell r="B991">
            <v>5248699</v>
          </cell>
          <cell r="C991" t="str">
            <v>NATULIGHT ALIMENTOS LTDA ME</v>
          </cell>
          <cell r="D991">
            <v>7001</v>
          </cell>
          <cell r="E991" t="str">
            <v>0749</v>
          </cell>
          <cell r="F991" t="str">
            <v>C5</v>
          </cell>
          <cell r="G991" t="str">
            <v>SP</v>
          </cell>
          <cell r="H991" t="str">
            <v>DISTRIBUIÇÃO</v>
          </cell>
          <cell r="I991" t="str">
            <v>FOOD SERVICE</v>
          </cell>
          <cell r="J991" t="str">
            <v>FLAC 2</v>
          </cell>
          <cell r="K991" t="str">
            <v>LACTALIS</v>
          </cell>
          <cell r="L991" t="str">
            <v>RODRIGO</v>
          </cell>
          <cell r="M991" t="str">
            <v>ALEXANDRO</v>
          </cell>
        </row>
        <row r="992">
          <cell r="B992">
            <v>5178518</v>
          </cell>
          <cell r="C992" t="str">
            <v>NECHIO COMERCIO DISTRIB DE ALIMENT</v>
          </cell>
          <cell r="D992">
            <v>3001</v>
          </cell>
          <cell r="E992" t="str">
            <v>0169</v>
          </cell>
          <cell r="F992" t="str">
            <v>C1</v>
          </cell>
          <cell r="G992" t="str">
            <v>RJ</v>
          </cell>
          <cell r="H992" t="str">
            <v>DISTRIBUIÇÃO</v>
          </cell>
          <cell r="I992" t="str">
            <v>FOOD SERVICE</v>
          </cell>
          <cell r="J992" t="str">
            <v>LUCIANA MARTINS</v>
          </cell>
          <cell r="K992" t="str">
            <v>ITAMBÉ</v>
          </cell>
          <cell r="L992" t="str">
            <v>RODRIGO</v>
          </cell>
          <cell r="M992" t="str">
            <v>JESSICA</v>
          </cell>
        </row>
        <row r="993">
          <cell r="B993">
            <v>5187817</v>
          </cell>
          <cell r="C993" t="str">
            <v>NESKACAI PROD COM DE GELADOS C LTDA</v>
          </cell>
          <cell r="D993">
            <v>3001</v>
          </cell>
          <cell r="E993" t="str">
            <v>0028</v>
          </cell>
          <cell r="F993" t="str">
            <v>C1</v>
          </cell>
          <cell r="G993" t="str">
            <v>RJ</v>
          </cell>
          <cell r="H993" t="str">
            <v>INGREDIENTS</v>
          </cell>
          <cell r="I993" t="str">
            <v>INGREDIENTS</v>
          </cell>
          <cell r="J993" t="str">
            <v>DUAS RODAS</v>
          </cell>
          <cell r="K993" t="str">
            <v>ITAMBÉ</v>
          </cell>
          <cell r="L993" t="str">
            <v>MAURICIO</v>
          </cell>
          <cell r="M993" t="str">
            <v>MARCELO</v>
          </cell>
        </row>
        <row r="994">
          <cell r="B994">
            <v>5320604</v>
          </cell>
          <cell r="C994" t="str">
            <v>NESTLE BRASIL LTDA</v>
          </cell>
          <cell r="D994">
            <v>3001</v>
          </cell>
          <cell r="E994" t="str">
            <v>0028</v>
          </cell>
          <cell r="F994" t="str">
            <v>C1</v>
          </cell>
          <cell r="G994" t="str">
            <v>SP</v>
          </cell>
          <cell r="H994" t="str">
            <v>INGREDIENTS</v>
          </cell>
          <cell r="I994" t="str">
            <v>INGREDIENTS</v>
          </cell>
          <cell r="J994" t="str">
            <v>MARCELO RODRIGUES</v>
          </cell>
          <cell r="K994" t="str">
            <v>ITAMBÉ</v>
          </cell>
          <cell r="L994" t="str">
            <v>MAURICIO</v>
          </cell>
          <cell r="M994" t="str">
            <v>MARCELO</v>
          </cell>
        </row>
        <row r="995">
          <cell r="B995">
            <v>5160879</v>
          </cell>
          <cell r="C995" t="str">
            <v>NEUGEBAUER ALIMENTOS SA</v>
          </cell>
          <cell r="D995">
            <v>3001</v>
          </cell>
          <cell r="E995" t="str">
            <v>0028</v>
          </cell>
          <cell r="F995" t="str">
            <v>C1</v>
          </cell>
          <cell r="G995" t="str">
            <v>RS</v>
          </cell>
          <cell r="H995" t="str">
            <v>INGREDIENTS</v>
          </cell>
          <cell r="I995" t="str">
            <v>INGREDIENTS</v>
          </cell>
          <cell r="J995" t="str">
            <v>MARCELO RODRIGUES</v>
          </cell>
          <cell r="K995" t="str">
            <v>ITAMBÉ</v>
          </cell>
          <cell r="L995" t="str">
            <v>MAURICIO</v>
          </cell>
          <cell r="M995" t="str">
            <v>MARCELO</v>
          </cell>
        </row>
        <row r="996">
          <cell r="B996">
            <v>5160879</v>
          </cell>
          <cell r="C996" t="str">
            <v>NEUGEBAUER ALIMENTOS SA</v>
          </cell>
          <cell r="D996">
            <v>4001</v>
          </cell>
          <cell r="E996" t="str">
            <v>0423</v>
          </cell>
          <cell r="F996" t="str">
            <v>C5</v>
          </cell>
          <cell r="G996" t="str">
            <v>RS</v>
          </cell>
          <cell r="H996" t="str">
            <v>INGREDIENTS</v>
          </cell>
          <cell r="I996" t="str">
            <v>INGREDIENTS</v>
          </cell>
          <cell r="J996" t="str">
            <v>MARCELO RODRIGUES</v>
          </cell>
          <cell r="K996" t="str">
            <v>LACTALIS</v>
          </cell>
          <cell r="L996" t="str">
            <v>MAURICIO</v>
          </cell>
          <cell r="M996" t="str">
            <v>MARCELO</v>
          </cell>
        </row>
        <row r="997">
          <cell r="B997">
            <v>5225690</v>
          </cell>
          <cell r="C997" t="str">
            <v>NEUGEBAUER ALIMENTOS SA</v>
          </cell>
          <cell r="D997">
            <v>4001</v>
          </cell>
          <cell r="E997" t="str">
            <v>0437</v>
          </cell>
          <cell r="F997" t="str">
            <v>C1</v>
          </cell>
          <cell r="G997" t="str">
            <v>RS</v>
          </cell>
          <cell r="H997" t="str">
            <v>INGREDIENTS</v>
          </cell>
          <cell r="I997" t="str">
            <v>INGREDIENTS</v>
          </cell>
          <cell r="J997" t="str">
            <v>MARCELO RODRIGUES</v>
          </cell>
          <cell r="K997" t="str">
            <v>LACTALIS</v>
          </cell>
          <cell r="L997" t="str">
            <v>MAURICIO</v>
          </cell>
          <cell r="M997" t="str">
            <v>MARCELO</v>
          </cell>
        </row>
        <row r="998">
          <cell r="B998">
            <v>5299341</v>
          </cell>
          <cell r="C998" t="str">
            <v>NEVASCA ALIMENTOS LTDA ME</v>
          </cell>
          <cell r="D998">
            <v>3001</v>
          </cell>
          <cell r="E998" t="str">
            <v>0126</v>
          </cell>
          <cell r="F998" t="str">
            <v>C1</v>
          </cell>
          <cell r="G998" t="str">
            <v>SC</v>
          </cell>
          <cell r="H998" t="str">
            <v>INGREDIENTS</v>
          </cell>
          <cell r="I998" t="str">
            <v>INGREDIENTS</v>
          </cell>
          <cell r="J998" t="str">
            <v>MARCELO RODRIGUES</v>
          </cell>
          <cell r="K998" t="str">
            <v>ITAMBÉ</v>
          </cell>
          <cell r="L998" t="str">
            <v>MAURICIO</v>
          </cell>
          <cell r="M998" t="str">
            <v>MARCELO</v>
          </cell>
        </row>
        <row r="999">
          <cell r="B999">
            <v>5285363</v>
          </cell>
          <cell r="C999" t="str">
            <v>NEW SPACE PROCESSAMENTO</v>
          </cell>
          <cell r="D999">
            <v>7001</v>
          </cell>
          <cell r="E999" t="str">
            <v>0749</v>
          </cell>
          <cell r="F999" t="str">
            <v>C5</v>
          </cell>
          <cell r="G999" t="str">
            <v>SP</v>
          </cell>
          <cell r="H999" t="str">
            <v>DISTRIBUIÇÃO</v>
          </cell>
          <cell r="I999" t="str">
            <v>FOOD SERVICE</v>
          </cell>
          <cell r="J999" t="str">
            <v>FLAC 2</v>
          </cell>
          <cell r="K999" t="str">
            <v>LACTALIS</v>
          </cell>
          <cell r="L999" t="str">
            <v>RODRIGO</v>
          </cell>
          <cell r="M999" t="str">
            <v>ALEXANDRO</v>
          </cell>
        </row>
        <row r="1000">
          <cell r="B1000">
            <v>5285544</v>
          </cell>
          <cell r="C1000" t="str">
            <v>NEW SPACE PROCESSAMENTO E SISTEMAS</v>
          </cell>
          <cell r="D1000">
            <v>7001</v>
          </cell>
          <cell r="E1000" t="str">
            <v>0749</v>
          </cell>
          <cell r="F1000" t="str">
            <v>C5</v>
          </cell>
          <cell r="G1000" t="str">
            <v>SP</v>
          </cell>
          <cell r="H1000" t="str">
            <v>DISTRIBUIÇÃO</v>
          </cell>
          <cell r="I1000" t="str">
            <v>FOOD SERVICE</v>
          </cell>
          <cell r="J1000" t="str">
            <v>FLAC 2</v>
          </cell>
          <cell r="K1000" t="str">
            <v>LACTALIS</v>
          </cell>
          <cell r="L1000" t="str">
            <v>RODRIGO</v>
          </cell>
          <cell r="M1000" t="str">
            <v>ALEXANDRO</v>
          </cell>
        </row>
        <row r="1001">
          <cell r="B1001">
            <v>5226499</v>
          </cell>
          <cell r="C1001" t="str">
            <v>NEWREST BR SERV AUX AO TRANS AEREO</v>
          </cell>
          <cell r="D1001">
            <v>7001</v>
          </cell>
          <cell r="E1001" t="str">
            <v>0722</v>
          </cell>
          <cell r="F1001" t="str">
            <v>C1</v>
          </cell>
          <cell r="G1001" t="str">
            <v>SP</v>
          </cell>
          <cell r="H1001" t="str">
            <v>QSR</v>
          </cell>
          <cell r="I1001" t="str">
            <v>FOOD SERVICE</v>
          </cell>
          <cell r="J1001" t="str">
            <v>ANA MENIQUETE</v>
          </cell>
          <cell r="K1001" t="str">
            <v>LACTALIS</v>
          </cell>
          <cell r="L1001" t="str">
            <v>PEDRO</v>
          </cell>
          <cell r="M1001" t="str">
            <v>ANA MENIQUETE</v>
          </cell>
        </row>
        <row r="1002">
          <cell r="B1002">
            <v>5207394</v>
          </cell>
          <cell r="C1002" t="str">
            <v>NEWREST BRASIL S A AO T AEREO LTDA</v>
          </cell>
          <cell r="D1002">
            <v>3001</v>
          </cell>
          <cell r="E1002" t="str">
            <v>0169</v>
          </cell>
          <cell r="F1002" t="str">
            <v>C1</v>
          </cell>
          <cell r="G1002" t="str">
            <v>RJ</v>
          </cell>
          <cell r="H1002" t="str">
            <v>QSR</v>
          </cell>
          <cell r="I1002" t="str">
            <v>FOOD SERVICE</v>
          </cell>
          <cell r="J1002" t="str">
            <v>ANA MENIQUETE</v>
          </cell>
          <cell r="K1002" t="str">
            <v>ITAMBÉ</v>
          </cell>
          <cell r="L1002" t="str">
            <v>PEDRO</v>
          </cell>
          <cell r="M1002" t="str">
            <v>ANA MENIQUETE</v>
          </cell>
        </row>
        <row r="1003">
          <cell r="B1003">
            <v>5207394</v>
          </cell>
          <cell r="C1003" t="str">
            <v>NEWREST BRASIL S A AO T AEREO LTDA</v>
          </cell>
          <cell r="D1003">
            <v>4001</v>
          </cell>
          <cell r="E1003" t="str">
            <v>0439</v>
          </cell>
          <cell r="F1003" t="str">
            <v>C1</v>
          </cell>
          <cell r="G1003" t="str">
            <v>RJ</v>
          </cell>
          <cell r="H1003" t="str">
            <v>QSR</v>
          </cell>
          <cell r="I1003" t="str">
            <v>FOOD SERVICE</v>
          </cell>
          <cell r="J1003" t="str">
            <v>ANA MENIQUETE</v>
          </cell>
          <cell r="K1003" t="str">
            <v>LACTALIS</v>
          </cell>
          <cell r="L1003" t="str">
            <v>PEDRO</v>
          </cell>
          <cell r="M1003" t="str">
            <v>ANA MENIQUETE</v>
          </cell>
        </row>
        <row r="1004">
          <cell r="B1004">
            <v>5249304</v>
          </cell>
          <cell r="C1004" t="str">
            <v>NEWTON PLAZA HOTEL LTDA</v>
          </cell>
          <cell r="D1004">
            <v>7001</v>
          </cell>
          <cell r="E1004" t="str">
            <v>0749</v>
          </cell>
          <cell r="F1004" t="str">
            <v>C5</v>
          </cell>
          <cell r="G1004" t="str">
            <v>SP</v>
          </cell>
          <cell r="H1004" t="str">
            <v>DISTRIBUIÇÃO</v>
          </cell>
          <cell r="I1004" t="str">
            <v>FOOD SERVICE</v>
          </cell>
          <cell r="J1004" t="str">
            <v>FLAC 6</v>
          </cell>
          <cell r="K1004" t="str">
            <v>LACTALIS</v>
          </cell>
          <cell r="L1004" t="str">
            <v>RODRIGO</v>
          </cell>
          <cell r="M1004" t="str">
            <v>ALEXANDRO</v>
          </cell>
        </row>
        <row r="1005">
          <cell r="B1005">
            <v>5234380</v>
          </cell>
          <cell r="C1005" t="str">
            <v>NICOLE CRISTINE DE BRUIJN COMERCIO</v>
          </cell>
          <cell r="D1005">
            <v>7001</v>
          </cell>
          <cell r="E1005" t="str">
            <v>0749</v>
          </cell>
          <cell r="F1005" t="str">
            <v>C5</v>
          </cell>
          <cell r="G1005" t="str">
            <v>SP</v>
          </cell>
          <cell r="H1005" t="str">
            <v>DISTRIBUIÇÃO</v>
          </cell>
          <cell r="I1005" t="str">
            <v>FOOD SERVICE</v>
          </cell>
          <cell r="J1005" t="str">
            <v>FLAC 5</v>
          </cell>
          <cell r="K1005" t="str">
            <v>LACTALIS</v>
          </cell>
          <cell r="L1005" t="str">
            <v>RODRIGO</v>
          </cell>
          <cell r="M1005" t="str">
            <v>ALEXANDRO</v>
          </cell>
        </row>
        <row r="1006">
          <cell r="B1006">
            <v>5211484</v>
          </cell>
          <cell r="C1006" t="str">
            <v>NMX COMERCIAL DE ALIMENTOS LTDA</v>
          </cell>
          <cell r="D1006">
            <v>3001</v>
          </cell>
          <cell r="E1006" t="str">
            <v>0169</v>
          </cell>
          <cell r="F1006" t="str">
            <v>C1</v>
          </cell>
          <cell r="G1006" t="str">
            <v>RJ</v>
          </cell>
          <cell r="H1006" t="str">
            <v>INGREDIENTS</v>
          </cell>
          <cell r="I1006" t="str">
            <v>INGREDIENTS</v>
          </cell>
          <cell r="J1006" t="str">
            <v>JOEL ELEOTÉRIO</v>
          </cell>
          <cell r="K1006" t="str">
            <v>ITAMBÉ</v>
          </cell>
          <cell r="L1006" t="str">
            <v>MAURICIO</v>
          </cell>
          <cell r="M1006" t="str">
            <v>JOEL</v>
          </cell>
        </row>
        <row r="1007">
          <cell r="B1007">
            <v>5226531</v>
          </cell>
          <cell r="C1007" t="str">
            <v>NOBREDO COMERCIO E LOGISTICA LTDA</v>
          </cell>
          <cell r="D1007">
            <v>3001</v>
          </cell>
          <cell r="E1007" t="str">
            <v>0169</v>
          </cell>
          <cell r="F1007" t="str">
            <v>C1</v>
          </cell>
          <cell r="G1007" t="str">
            <v>RJ</v>
          </cell>
          <cell r="H1007" t="str">
            <v>DISTRIBUIÇÃO</v>
          </cell>
          <cell r="I1007" t="str">
            <v>FOOD SERVICE</v>
          </cell>
          <cell r="J1007" t="str">
            <v>LUCIANA MARTINS</v>
          </cell>
          <cell r="K1007" t="str">
            <v>ITAMBÉ</v>
          </cell>
          <cell r="L1007" t="str">
            <v>RODRIGO</v>
          </cell>
          <cell r="M1007" t="str">
            <v>JESSICA</v>
          </cell>
        </row>
        <row r="1008">
          <cell r="B1008">
            <v>5334685</v>
          </cell>
          <cell r="C1008" t="str">
            <v>NONNA MARIANA COMERCIO DE ALIME</v>
          </cell>
          <cell r="D1008">
            <v>7001</v>
          </cell>
          <cell r="E1008" t="str">
            <v>0749</v>
          </cell>
          <cell r="F1008" t="str">
            <v>C5</v>
          </cell>
          <cell r="G1008" t="str">
            <v>SP</v>
          </cell>
          <cell r="H1008" t="str">
            <v>DISTRIBUIÇÃO</v>
          </cell>
          <cell r="I1008" t="str">
            <v>FOOD SERVICE</v>
          </cell>
          <cell r="J1008" t="str">
            <v>FLAC 3</v>
          </cell>
          <cell r="K1008" t="str">
            <v>LACTALIS</v>
          </cell>
          <cell r="L1008" t="str">
            <v>RODRIGO</v>
          </cell>
          <cell r="M1008" t="str">
            <v>ALEXANDRO</v>
          </cell>
        </row>
        <row r="1009">
          <cell r="B1009">
            <v>5179954</v>
          </cell>
          <cell r="C1009" t="str">
            <v>NORAC DO BRASIL IND E COM DE PROD A</v>
          </cell>
          <cell r="D1009">
            <v>6001</v>
          </cell>
          <cell r="E1009" t="str">
            <v>6125</v>
          </cell>
          <cell r="F1009" t="str">
            <v>C1</v>
          </cell>
          <cell r="G1009" t="str">
            <v>SP</v>
          </cell>
          <cell r="H1009" t="str">
            <v>INGREDIENTS</v>
          </cell>
          <cell r="I1009" t="str">
            <v>INGREDIENTS</v>
          </cell>
          <cell r="J1009" t="str">
            <v>HENRIQUE FERREIRA</v>
          </cell>
          <cell r="K1009" t="str">
            <v>ITAMBÉ</v>
          </cell>
          <cell r="L1009" t="str">
            <v>MAURICIO</v>
          </cell>
          <cell r="M1009" t="str">
            <v>JOEL</v>
          </cell>
        </row>
        <row r="1010">
          <cell r="B1010">
            <v>5179954</v>
          </cell>
          <cell r="C1010" t="str">
            <v>NORAC DO BRASIL IND E COM DE PROD A</v>
          </cell>
          <cell r="D1010">
            <v>7001</v>
          </cell>
          <cell r="E1010" t="str">
            <v>0722</v>
          </cell>
          <cell r="F1010" t="str">
            <v>C1</v>
          </cell>
          <cell r="G1010" t="str">
            <v>SP</v>
          </cell>
          <cell r="H1010" t="str">
            <v>INGREDIENTS</v>
          </cell>
          <cell r="I1010" t="str">
            <v>INGREDIENTS</v>
          </cell>
          <cell r="J1010" t="str">
            <v>HENRIQUE FERREIRA</v>
          </cell>
          <cell r="K1010" t="str">
            <v>LACTALIS</v>
          </cell>
          <cell r="L1010" t="str">
            <v>MAURICIO</v>
          </cell>
          <cell r="M1010" t="str">
            <v>JOEL</v>
          </cell>
        </row>
        <row r="1011">
          <cell r="B1011">
            <v>5316965</v>
          </cell>
          <cell r="C1011" t="str">
            <v>NORMA DE OLIVEIRA BROWN 59932716715</v>
          </cell>
          <cell r="D1011">
            <v>7001</v>
          </cell>
          <cell r="E1011" t="str">
            <v>0749</v>
          </cell>
          <cell r="F1011" t="str">
            <v>C5</v>
          </cell>
          <cell r="G1011" t="str">
            <v>SP</v>
          </cell>
          <cell r="H1011" t="str">
            <v>DISTRIBUIÇÃO</v>
          </cell>
          <cell r="I1011" t="str">
            <v>FOOD SERVICE</v>
          </cell>
          <cell r="J1011" t="str">
            <v>FLAC 6</v>
          </cell>
          <cell r="K1011" t="str">
            <v>LACTALIS</v>
          </cell>
          <cell r="L1011" t="str">
            <v>RODRIGO</v>
          </cell>
          <cell r="M1011" t="str">
            <v>ALEXANDRO</v>
          </cell>
        </row>
        <row r="1012">
          <cell r="B1012">
            <v>5114515</v>
          </cell>
          <cell r="C1012" t="str">
            <v>NOSSOS SABORES IND E COM DE ALIM EI</v>
          </cell>
          <cell r="D1012">
            <v>3001</v>
          </cell>
          <cell r="E1012" t="str">
            <v>0169</v>
          </cell>
          <cell r="F1012" t="str">
            <v>C1</v>
          </cell>
          <cell r="G1012" t="str">
            <v>RJ</v>
          </cell>
          <cell r="H1012" t="str">
            <v>INGREDIENTS</v>
          </cell>
          <cell r="I1012" t="str">
            <v>INGREDIENTS</v>
          </cell>
          <cell r="J1012" t="str">
            <v>TATIANA NITTA</v>
          </cell>
          <cell r="K1012" t="str">
            <v>ITAMBÉ</v>
          </cell>
          <cell r="L1012" t="str">
            <v>MAURICIO</v>
          </cell>
          <cell r="M1012" t="str">
            <v>TATIANA NITTA</v>
          </cell>
        </row>
        <row r="1013">
          <cell r="B1013">
            <v>5294982</v>
          </cell>
          <cell r="C1013" t="str">
            <v>NOVA BROOKLIN COMERCIO DE ALIMENTOS</v>
          </cell>
          <cell r="D1013">
            <v>7001</v>
          </cell>
          <cell r="E1013" t="str">
            <v>0749</v>
          </cell>
          <cell r="F1013" t="str">
            <v>C5</v>
          </cell>
          <cell r="G1013" t="str">
            <v>SP</v>
          </cell>
          <cell r="H1013" t="str">
            <v>DISTRIBUIÇÃO</v>
          </cell>
          <cell r="I1013" t="str">
            <v>FOOD SERVICE</v>
          </cell>
          <cell r="J1013" t="str">
            <v>FLAC 3</v>
          </cell>
          <cell r="K1013" t="str">
            <v>LACTALIS</v>
          </cell>
          <cell r="L1013" t="str">
            <v>RODRIGO</v>
          </cell>
          <cell r="M1013" t="str">
            <v>ALEXANDRO</v>
          </cell>
        </row>
        <row r="1014">
          <cell r="B1014">
            <v>5157891</v>
          </cell>
          <cell r="C1014" t="str">
            <v>NOVA MEGA G ATACADISTA DE ALIM SA</v>
          </cell>
          <cell r="D1014">
            <v>3001</v>
          </cell>
          <cell r="E1014" t="str">
            <v>0169</v>
          </cell>
          <cell r="F1014" t="str">
            <v>C1</v>
          </cell>
          <cell r="G1014" t="str">
            <v>SP</v>
          </cell>
          <cell r="H1014" t="str">
            <v>DISTRIBUIÇÃO</v>
          </cell>
          <cell r="I1014" t="str">
            <v>FOOD SERVICE</v>
          </cell>
          <cell r="J1014" t="str">
            <v>RAQUEL BARBOSA</v>
          </cell>
          <cell r="K1014" t="str">
            <v>ITAMBÉ</v>
          </cell>
          <cell r="L1014" t="str">
            <v>RODRIGO</v>
          </cell>
          <cell r="M1014" t="str">
            <v>RAQUEL BARBOSA</v>
          </cell>
        </row>
        <row r="1015">
          <cell r="B1015">
            <v>5157891</v>
          </cell>
          <cell r="C1015" t="str">
            <v>NOVA MEGA G ATACADISTA DE ALIM SA</v>
          </cell>
          <cell r="D1015">
            <v>6001</v>
          </cell>
          <cell r="E1015" t="str">
            <v>6125</v>
          </cell>
          <cell r="F1015" t="str">
            <v>C1</v>
          </cell>
          <cell r="G1015" t="str">
            <v>SP</v>
          </cell>
          <cell r="H1015" t="str">
            <v>DISTRIBUIÇÃO</v>
          </cell>
          <cell r="I1015" t="str">
            <v>FOOD SERVICE</v>
          </cell>
          <cell r="J1015" t="str">
            <v>RAQUEL BARBOSA</v>
          </cell>
          <cell r="K1015" t="str">
            <v>ITAMBÉ</v>
          </cell>
          <cell r="L1015" t="str">
            <v>RODRIGO</v>
          </cell>
          <cell r="M1015" t="str">
            <v>RAQUEL BARBOSA</v>
          </cell>
        </row>
        <row r="1016">
          <cell r="B1016">
            <v>5157891</v>
          </cell>
          <cell r="C1016" t="str">
            <v>NOVA MEGA G ATACADISTA DE ALIM SA</v>
          </cell>
          <cell r="D1016">
            <v>7001</v>
          </cell>
          <cell r="E1016" t="str">
            <v>0722</v>
          </cell>
          <cell r="F1016" t="str">
            <v>C1</v>
          </cell>
          <cell r="G1016" t="str">
            <v>SP</v>
          </cell>
          <cell r="H1016" t="str">
            <v>DISTRIBUIÇÃO</v>
          </cell>
          <cell r="I1016" t="str">
            <v>FOOD SERVICE</v>
          </cell>
          <cell r="J1016" t="str">
            <v>RAQUEL BARBOSA</v>
          </cell>
          <cell r="K1016" t="str">
            <v>LACTALIS</v>
          </cell>
          <cell r="L1016" t="str">
            <v>RODRIGO</v>
          </cell>
          <cell r="M1016" t="str">
            <v>RAQUEL BARBOSA</v>
          </cell>
        </row>
        <row r="1017">
          <cell r="B1017">
            <v>5253205</v>
          </cell>
          <cell r="C1017" t="str">
            <v>NOVA ROTINA PARTIC EMPREEND LTDA</v>
          </cell>
          <cell r="D1017">
            <v>7001</v>
          </cell>
          <cell r="E1017" t="str">
            <v>0749</v>
          </cell>
          <cell r="F1017" t="str">
            <v>C5</v>
          </cell>
          <cell r="G1017" t="str">
            <v>SP</v>
          </cell>
          <cell r="H1017" t="str">
            <v>DISTRIBUIÇÃO</v>
          </cell>
          <cell r="I1017" t="str">
            <v>FOOD SERVICE</v>
          </cell>
          <cell r="J1017" t="str">
            <v>FLAC 2</v>
          </cell>
          <cell r="K1017" t="str">
            <v>LACTALIS</v>
          </cell>
          <cell r="L1017" t="str">
            <v>RODRIGO</v>
          </cell>
          <cell r="M1017" t="str">
            <v>ALEXANDRO</v>
          </cell>
        </row>
        <row r="1018">
          <cell r="B1018">
            <v>5147462</v>
          </cell>
          <cell r="C1018" t="str">
            <v>NOVAMIX FOOD SERV COM DE ALIM LTDA</v>
          </cell>
          <cell r="D1018">
            <v>3001</v>
          </cell>
          <cell r="E1018" t="str">
            <v>0169</v>
          </cell>
          <cell r="F1018" t="str">
            <v>C1</v>
          </cell>
          <cell r="G1018" t="str">
            <v>RJ</v>
          </cell>
          <cell r="H1018" t="str">
            <v>DISTRIBUIÇÃO</v>
          </cell>
          <cell r="I1018" t="str">
            <v>FOOD SERVICE</v>
          </cell>
          <cell r="J1018" t="str">
            <v>JULIANA CORDEIRO</v>
          </cell>
          <cell r="K1018" t="str">
            <v>ITAMBÉ</v>
          </cell>
          <cell r="L1018" t="str">
            <v>RODRIGO</v>
          </cell>
          <cell r="M1018" t="str">
            <v>JESSICA</v>
          </cell>
        </row>
        <row r="1019">
          <cell r="B1019">
            <v>5122245</v>
          </cell>
          <cell r="C1019" t="str">
            <v>NOVAMIX FOOD SERVICE COM DE ALIM LT</v>
          </cell>
          <cell r="D1019">
            <v>3001</v>
          </cell>
          <cell r="E1019" t="str">
            <v>0169</v>
          </cell>
          <cell r="F1019" t="str">
            <v>C1</v>
          </cell>
          <cell r="G1019" t="str">
            <v>RJ</v>
          </cell>
          <cell r="H1019" t="str">
            <v>DISTRIBUIÇÃO</v>
          </cell>
          <cell r="I1019" t="str">
            <v>FOOD SERVICE</v>
          </cell>
          <cell r="J1019" t="str">
            <v>JULIANA CORDEIRO</v>
          </cell>
          <cell r="K1019" t="str">
            <v>ITAMBÉ</v>
          </cell>
          <cell r="L1019" t="str">
            <v>RODRIGO</v>
          </cell>
          <cell r="M1019" t="str">
            <v>JESSICA</v>
          </cell>
        </row>
        <row r="1020">
          <cell r="B1020">
            <v>5182435</v>
          </cell>
          <cell r="C1020" t="str">
            <v>NOVAMIX FOOD SERVICE COM DE ALIM LT</v>
          </cell>
          <cell r="D1020">
            <v>3001</v>
          </cell>
          <cell r="E1020" t="str">
            <v>0169</v>
          </cell>
          <cell r="F1020" t="str">
            <v>C1</v>
          </cell>
          <cell r="G1020" t="str">
            <v>RJ</v>
          </cell>
          <cell r="H1020" t="str">
            <v>DISTRIBUIÇÃO</v>
          </cell>
          <cell r="I1020" t="str">
            <v>FOOD SERVICE</v>
          </cell>
          <cell r="J1020" t="str">
            <v>JULIANA CORDEIRO</v>
          </cell>
          <cell r="K1020" t="str">
            <v>ITAMBÉ</v>
          </cell>
          <cell r="L1020" t="str">
            <v>RODRIGO</v>
          </cell>
          <cell r="M1020" t="str">
            <v>JESSICA</v>
          </cell>
        </row>
        <row r="1021">
          <cell r="B1021">
            <v>5282868</v>
          </cell>
          <cell r="C1021" t="str">
            <v>NOVO HAMBURGER LANCHONETE LTDA</v>
          </cell>
          <cell r="D1021">
            <v>7001</v>
          </cell>
          <cell r="E1021" t="str">
            <v>0749</v>
          </cell>
          <cell r="F1021" t="str">
            <v>C5</v>
          </cell>
          <cell r="G1021" t="str">
            <v>SP</v>
          </cell>
          <cell r="H1021" t="str">
            <v>DISTRIBUIÇÃO</v>
          </cell>
          <cell r="I1021" t="str">
            <v>FOOD SERVICE</v>
          </cell>
          <cell r="J1021" t="str">
            <v>FLAC 6</v>
          </cell>
          <cell r="K1021" t="str">
            <v>LACTALIS</v>
          </cell>
          <cell r="L1021" t="str">
            <v>RODRIGO</v>
          </cell>
          <cell r="M1021" t="str">
            <v>ALEXANDRO</v>
          </cell>
        </row>
        <row r="1022">
          <cell r="B1022">
            <v>5309166</v>
          </cell>
          <cell r="C1022" t="str">
            <v>NS MAZZA ALIMENTOS LTDA</v>
          </cell>
          <cell r="D1022">
            <v>7001</v>
          </cell>
          <cell r="E1022" t="str">
            <v>0749</v>
          </cell>
          <cell r="F1022" t="str">
            <v>C5</v>
          </cell>
          <cell r="G1022" t="str">
            <v>SP</v>
          </cell>
          <cell r="H1022" t="str">
            <v>DISTRIBUIÇÃO</v>
          </cell>
          <cell r="I1022" t="str">
            <v>FOOD SERVICE</v>
          </cell>
          <cell r="J1022" t="str">
            <v>FLAC 2</v>
          </cell>
          <cell r="K1022" t="str">
            <v>LACTALIS</v>
          </cell>
          <cell r="L1022" t="str">
            <v>RODRIGO</v>
          </cell>
          <cell r="M1022" t="str">
            <v>ALEXANDRO</v>
          </cell>
        </row>
        <row r="1023">
          <cell r="B1023">
            <v>5178343</v>
          </cell>
          <cell r="C1023" t="str">
            <v>NT INDSUTRIA E COM DE PANIFICAC</v>
          </cell>
          <cell r="D1023">
            <v>3001</v>
          </cell>
          <cell r="E1023" t="str">
            <v>0128</v>
          </cell>
          <cell r="F1023" t="str">
            <v>C1</v>
          </cell>
          <cell r="G1023" t="str">
            <v>AM</v>
          </cell>
          <cell r="H1023" t="str">
            <v>DISTRIBUIÇÃO</v>
          </cell>
          <cell r="I1023" t="str">
            <v>FOOD SERVICE</v>
          </cell>
          <cell r="J1023" t="str">
            <v>CLAUDIO JORGE</v>
          </cell>
          <cell r="K1023" t="str">
            <v>ITAMBÉ</v>
          </cell>
          <cell r="L1023" t="str">
            <v>RODRIGO</v>
          </cell>
          <cell r="M1023" t="str">
            <v>MARCO AURELIO</v>
          </cell>
        </row>
        <row r="1024">
          <cell r="B1024">
            <v>5325147</v>
          </cell>
          <cell r="C1024" t="str">
            <v>NUTRI E SAUDE REFEICOES COLETIVAS L</v>
          </cell>
          <cell r="D1024">
            <v>7001</v>
          </cell>
          <cell r="E1024" t="str">
            <v>0749</v>
          </cell>
          <cell r="F1024" t="str">
            <v>C5</v>
          </cell>
          <cell r="G1024" t="str">
            <v>SP</v>
          </cell>
          <cell r="H1024" t="str">
            <v>DISTRIBUIÇÃO</v>
          </cell>
          <cell r="I1024" t="str">
            <v>FOOD SERVICE</v>
          </cell>
          <cell r="J1024" t="str">
            <v>FLAC 3</v>
          </cell>
          <cell r="K1024" t="str">
            <v>LACTALIS</v>
          </cell>
          <cell r="L1024" t="str">
            <v>RODRIGO</v>
          </cell>
          <cell r="M1024" t="str">
            <v>ALEXANDRO</v>
          </cell>
        </row>
        <row r="1025">
          <cell r="B1025">
            <v>5328261</v>
          </cell>
          <cell r="C1025" t="str">
            <v>NUTRI HOSPITALAR ALIMENTACAO E SERV</v>
          </cell>
          <cell r="D1025">
            <v>7001</v>
          </cell>
          <cell r="E1025" t="str">
            <v>0749</v>
          </cell>
          <cell r="F1025" t="str">
            <v>C5</v>
          </cell>
          <cell r="G1025" t="str">
            <v>SP</v>
          </cell>
          <cell r="H1025" t="str">
            <v>DISTRIBUIÇÃO</v>
          </cell>
          <cell r="I1025" t="str">
            <v>FOOD SERVICE</v>
          </cell>
          <cell r="J1025" t="str">
            <v>FLAC 3</v>
          </cell>
          <cell r="K1025" t="str">
            <v>LACTALIS</v>
          </cell>
          <cell r="L1025" t="str">
            <v>RODRIGO</v>
          </cell>
          <cell r="M1025" t="str">
            <v>ALEXANDRO</v>
          </cell>
        </row>
        <row r="1026">
          <cell r="B1026">
            <v>5278611</v>
          </cell>
          <cell r="C1026" t="str">
            <v>NUTRI LINE REF LTDA</v>
          </cell>
          <cell r="D1026">
            <v>7001</v>
          </cell>
          <cell r="E1026" t="str">
            <v>0749</v>
          </cell>
          <cell r="F1026" t="str">
            <v>C5</v>
          </cell>
          <cell r="G1026" t="str">
            <v>SP</v>
          </cell>
          <cell r="H1026" t="str">
            <v>DISTRIBUIÇÃO</v>
          </cell>
          <cell r="I1026" t="str">
            <v>FOOD SERVICE</v>
          </cell>
          <cell r="J1026" t="str">
            <v>FLAC 3</v>
          </cell>
          <cell r="K1026" t="str">
            <v>LACTALIS</v>
          </cell>
          <cell r="L1026" t="str">
            <v>RODRIGO</v>
          </cell>
          <cell r="M1026" t="str">
            <v>ALEXANDRO</v>
          </cell>
        </row>
        <row r="1027">
          <cell r="B1027">
            <v>5006419</v>
          </cell>
          <cell r="C1027" t="str">
            <v>NUTRIFAZ CESTA LTDA EPP</v>
          </cell>
          <cell r="D1027">
            <v>3001</v>
          </cell>
          <cell r="E1027" t="str">
            <v>0122</v>
          </cell>
          <cell r="F1027" t="str">
            <v>C1</v>
          </cell>
          <cell r="G1027" t="str">
            <v>MG</v>
          </cell>
          <cell r="H1027" t="str">
            <v>DISTRIBUIÇÃO</v>
          </cell>
          <cell r="I1027" t="str">
            <v>FOOD SERVICE</v>
          </cell>
          <cell r="J1027" t="str">
            <v>MARCELO SILVA</v>
          </cell>
          <cell r="K1027" t="str">
            <v>ITAMBÉ</v>
          </cell>
          <cell r="L1027" t="str">
            <v>RODRIGO</v>
          </cell>
          <cell r="M1027" t="str">
            <v>CELIO MARTINS</v>
          </cell>
        </row>
        <row r="1028">
          <cell r="B1028">
            <v>5088696</v>
          </cell>
          <cell r="C1028" t="str">
            <v>NUTRIMENTAL SA IND COM ALIMENTOS</v>
          </cell>
          <cell r="D1028">
            <v>3001</v>
          </cell>
          <cell r="E1028" t="str">
            <v>0126</v>
          </cell>
          <cell r="F1028" t="str">
            <v>C1</v>
          </cell>
          <cell r="G1028" t="str">
            <v>PR</v>
          </cell>
          <cell r="H1028" t="str">
            <v>INGREDIENTS</v>
          </cell>
          <cell r="I1028" t="str">
            <v>INGREDIENTS</v>
          </cell>
          <cell r="J1028" t="str">
            <v>MARCELO RODRIGUES</v>
          </cell>
          <cell r="K1028" t="str">
            <v>ITAMBÉ</v>
          </cell>
          <cell r="L1028" t="str">
            <v>MAURICIO</v>
          </cell>
          <cell r="M1028" t="str">
            <v>MARCELO</v>
          </cell>
        </row>
        <row r="1029">
          <cell r="B1029">
            <v>5333061</v>
          </cell>
          <cell r="C1029" t="str">
            <v>NUTRISANTOS ALIMENTACAO ANIMAL</v>
          </cell>
          <cell r="D1029">
            <v>3001</v>
          </cell>
          <cell r="E1029" t="str">
            <v>0122</v>
          </cell>
          <cell r="F1029" t="str">
            <v>C1</v>
          </cell>
          <cell r="G1029" t="str">
            <v>MG</v>
          </cell>
          <cell r="H1029" t="str">
            <v>INGREDIENTS</v>
          </cell>
          <cell r="I1029" t="str">
            <v>INGREDIENTS</v>
          </cell>
          <cell r="J1029" t="str">
            <v>HENRIQUE FERREIRA</v>
          </cell>
          <cell r="K1029" t="str">
            <v>ITAMBÉ</v>
          </cell>
          <cell r="L1029" t="str">
            <v>MAURICIO</v>
          </cell>
          <cell r="M1029" t="str">
            <v>JOEL</v>
          </cell>
        </row>
        <row r="1030">
          <cell r="B1030">
            <v>5229621</v>
          </cell>
          <cell r="C1030" t="str">
            <v>NUTRY MAX COMERCIO DE PRODUTOS</v>
          </cell>
          <cell r="D1030">
            <v>3001</v>
          </cell>
          <cell r="E1030" t="str">
            <v>0169</v>
          </cell>
          <cell r="F1030" t="str">
            <v>C1</v>
          </cell>
          <cell r="G1030" t="str">
            <v>RJ</v>
          </cell>
          <cell r="H1030" t="str">
            <v>DISTRIBUIÇÃO</v>
          </cell>
          <cell r="I1030" t="str">
            <v>FOOD SERVICE</v>
          </cell>
          <cell r="J1030" t="str">
            <v>JESSICA CARLA</v>
          </cell>
          <cell r="K1030" t="str">
            <v>ITAMBÉ</v>
          </cell>
          <cell r="L1030" t="str">
            <v>RODRIGO</v>
          </cell>
          <cell r="M1030" t="str">
            <v>JESSICA</v>
          </cell>
        </row>
        <row r="1031">
          <cell r="B1031">
            <v>5258848</v>
          </cell>
          <cell r="C1031" t="str">
            <v>NVC COMERCIO DE ALIMENTOS LTDA</v>
          </cell>
          <cell r="D1031">
            <v>7001</v>
          </cell>
          <cell r="E1031" t="str">
            <v>0749</v>
          </cell>
          <cell r="F1031" t="str">
            <v>C5</v>
          </cell>
          <cell r="G1031" t="str">
            <v>SP</v>
          </cell>
          <cell r="H1031" t="str">
            <v>DISTRIBUIÇÃO</v>
          </cell>
          <cell r="I1031" t="str">
            <v>FOOD SERVICE</v>
          </cell>
          <cell r="J1031" t="str">
            <v>FLAC 3</v>
          </cell>
          <cell r="K1031" t="str">
            <v>LACTALIS</v>
          </cell>
          <cell r="L1031" t="str">
            <v>RODRIGO</v>
          </cell>
          <cell r="M1031" t="str">
            <v>ALEXANDRO</v>
          </cell>
        </row>
        <row r="1032">
          <cell r="B1032">
            <v>5321724</v>
          </cell>
          <cell r="C1032" t="str">
            <v>NWH RESTAURANTES LTDA</v>
          </cell>
          <cell r="D1032">
            <v>7001</v>
          </cell>
          <cell r="E1032" t="str">
            <v>0749</v>
          </cell>
          <cell r="F1032" t="str">
            <v>C5</v>
          </cell>
          <cell r="G1032" t="str">
            <v>SP</v>
          </cell>
          <cell r="H1032" t="str">
            <v>DISTRIBUIÇÃO</v>
          </cell>
          <cell r="I1032" t="str">
            <v>FOOD SERVICE</v>
          </cell>
          <cell r="J1032" t="str">
            <v>FLAC 5</v>
          </cell>
          <cell r="K1032" t="str">
            <v>LACTALIS</v>
          </cell>
          <cell r="L1032" t="str">
            <v>RODRIGO</v>
          </cell>
          <cell r="M1032" t="str">
            <v>ALEXANDRO</v>
          </cell>
        </row>
        <row r="1033">
          <cell r="B1033">
            <v>5225724</v>
          </cell>
          <cell r="C1033" t="str">
            <v>O A DE FRANCA BEBIDAS</v>
          </cell>
          <cell r="D1033">
            <v>7001</v>
          </cell>
          <cell r="E1033" t="str">
            <v>0749</v>
          </cell>
          <cell r="F1033" t="str">
            <v>C5</v>
          </cell>
          <cell r="G1033" t="str">
            <v>SP</v>
          </cell>
          <cell r="H1033" t="str">
            <v>DISTRIBUIÇÃO</v>
          </cell>
          <cell r="I1033" t="str">
            <v>FOOD SERVICE</v>
          </cell>
          <cell r="J1033" t="str">
            <v>FLAC 7</v>
          </cell>
          <cell r="K1033" t="str">
            <v>LACTALIS</v>
          </cell>
          <cell r="L1033" t="str">
            <v>RODRIGO</v>
          </cell>
          <cell r="M1033" t="str">
            <v>ALEXANDRO</v>
          </cell>
        </row>
        <row r="1034">
          <cell r="B1034">
            <v>5229017</v>
          </cell>
          <cell r="C1034" t="str">
            <v>O MUNDO DOS CHOCOLATES LTDA</v>
          </cell>
          <cell r="D1034">
            <v>3001</v>
          </cell>
          <cell r="E1034" t="str">
            <v>0127</v>
          </cell>
          <cell r="F1034" t="str">
            <v>C1</v>
          </cell>
          <cell r="G1034" t="str">
            <v>RN</v>
          </cell>
          <cell r="H1034" t="str">
            <v>DISTRIBUIÇÃO</v>
          </cell>
          <cell r="I1034" t="str">
            <v>FOOD SERVICE</v>
          </cell>
          <cell r="J1034" t="str">
            <v>CLAUDIO JORGE</v>
          </cell>
          <cell r="K1034" t="str">
            <v>ITAMBÉ</v>
          </cell>
          <cell r="L1034" t="str">
            <v>RODRIGO</v>
          </cell>
          <cell r="M1034" t="str">
            <v>VAGO NORDESTE</v>
          </cell>
        </row>
        <row r="1035">
          <cell r="B1035">
            <v>5272992</v>
          </cell>
          <cell r="C1035" t="str">
            <v>O PACHA EMPORIO E ASSESSORIA EIRELI</v>
          </cell>
          <cell r="D1035">
            <v>7001</v>
          </cell>
          <cell r="E1035" t="str">
            <v>0749</v>
          </cell>
          <cell r="F1035" t="str">
            <v>C5</v>
          </cell>
          <cell r="G1035" t="str">
            <v>SP</v>
          </cell>
          <cell r="H1035" t="str">
            <v>DISTRIBUIÇÃO</v>
          </cell>
          <cell r="I1035" t="str">
            <v>FOOD SERVICE</v>
          </cell>
          <cell r="J1035" t="str">
            <v>FLAC 2</v>
          </cell>
          <cell r="K1035" t="str">
            <v>LACTALIS</v>
          </cell>
          <cell r="L1035" t="str">
            <v>RODRIGO</v>
          </cell>
          <cell r="M1035" t="str">
            <v>ALEXANDRO</v>
          </cell>
        </row>
        <row r="1036">
          <cell r="B1036">
            <v>5278430</v>
          </cell>
          <cell r="C1036" t="str">
            <v>OBLATOS DE MARIA IMACULADA</v>
          </cell>
          <cell r="D1036">
            <v>7001</v>
          </cell>
          <cell r="E1036" t="str">
            <v>0749</v>
          </cell>
          <cell r="F1036" t="str">
            <v>C5</v>
          </cell>
          <cell r="G1036" t="str">
            <v>SP</v>
          </cell>
          <cell r="H1036" t="str">
            <v>DISTRIBUIÇÃO</v>
          </cell>
          <cell r="I1036" t="str">
            <v>FOOD SERVICE</v>
          </cell>
          <cell r="J1036" t="str">
            <v>FLAC 3</v>
          </cell>
          <cell r="K1036" t="str">
            <v>LACTALIS</v>
          </cell>
          <cell r="L1036" t="str">
            <v>RODRIGO</v>
          </cell>
          <cell r="M1036" t="str">
            <v>ALEXANDRO</v>
          </cell>
        </row>
        <row r="1037">
          <cell r="B1037">
            <v>5130738</v>
          </cell>
          <cell r="C1037" t="str">
            <v>ODAIR JOSE DA SILVA COUTO 882126105</v>
          </cell>
          <cell r="D1037">
            <v>3001</v>
          </cell>
          <cell r="E1037" t="str">
            <v>0127</v>
          </cell>
          <cell r="F1037" t="str">
            <v>C1</v>
          </cell>
          <cell r="G1037" t="str">
            <v>BA</v>
          </cell>
          <cell r="H1037" t="str">
            <v>DISTRIBUIÇÃO</v>
          </cell>
          <cell r="I1037" t="str">
            <v>FOOD SERVICE</v>
          </cell>
          <cell r="J1037" t="str">
            <v xml:space="preserve">KARIS FOOD / LUIZ </v>
          </cell>
          <cell r="K1037" t="str">
            <v>ITAMBÉ</v>
          </cell>
          <cell r="L1037" t="str">
            <v>RODRIGO</v>
          </cell>
          <cell r="M1037" t="str">
            <v>VAGO NORDESTE</v>
          </cell>
        </row>
        <row r="1038">
          <cell r="B1038">
            <v>5223419</v>
          </cell>
          <cell r="C1038" t="str">
            <v>OESA COMERCIO E REPRESENTACOES</v>
          </cell>
          <cell r="D1038">
            <v>3001</v>
          </cell>
          <cell r="E1038" t="str">
            <v>0123</v>
          </cell>
          <cell r="F1038" t="str">
            <v>C1</v>
          </cell>
          <cell r="G1038" t="str">
            <v>DF</v>
          </cell>
          <cell r="H1038" t="str">
            <v>DISTRIBUIÇÃO</v>
          </cell>
          <cell r="I1038" t="str">
            <v>FOOD SERVICE</v>
          </cell>
          <cell r="J1038" t="str">
            <v>CLAUDIO JORGE</v>
          </cell>
          <cell r="K1038" t="str">
            <v>ITAMBÉ</v>
          </cell>
          <cell r="L1038" t="str">
            <v>RODRIGO</v>
          </cell>
          <cell r="M1038" t="str">
            <v>MARCO AURELIO</v>
          </cell>
        </row>
        <row r="1039">
          <cell r="B1039">
            <v>5195927</v>
          </cell>
          <cell r="C1039" t="str">
            <v>OESA COMERCIO E REPRESENTACOES</v>
          </cell>
          <cell r="D1039">
            <v>3001</v>
          </cell>
          <cell r="E1039" t="str">
            <v>0126</v>
          </cell>
          <cell r="F1039" t="str">
            <v>C1</v>
          </cell>
          <cell r="G1039" t="str">
            <v>SC</v>
          </cell>
          <cell r="H1039" t="str">
            <v>DISTRIBUIÇÃO</v>
          </cell>
          <cell r="I1039" t="str">
            <v>FOOD SERVICE</v>
          </cell>
          <cell r="J1039" t="str">
            <v>ANTÔNIO SOUZA</v>
          </cell>
          <cell r="K1039" t="str">
            <v>ITAMBÉ</v>
          </cell>
          <cell r="L1039" t="str">
            <v>RODRIGO</v>
          </cell>
          <cell r="M1039" t="str">
            <v>VAGO SUL</v>
          </cell>
        </row>
        <row r="1040">
          <cell r="B1040">
            <v>5318875</v>
          </cell>
          <cell r="C1040" t="str">
            <v>OESA COMERCIO E REPRESENTACOES</v>
          </cell>
          <cell r="D1040">
            <v>3001</v>
          </cell>
          <cell r="E1040" t="str">
            <v>0122</v>
          </cell>
          <cell r="F1040" t="str">
            <v>C1</v>
          </cell>
          <cell r="G1040" t="str">
            <v>MG</v>
          </cell>
          <cell r="H1040" t="str">
            <v>DISTRIBUIÇÃO</v>
          </cell>
          <cell r="I1040" t="str">
            <v>FOOD SERVICE</v>
          </cell>
          <cell r="J1040" t="str">
            <v>CELIO/MARANATHA</v>
          </cell>
          <cell r="K1040" t="str">
            <v>ITAMBÉ</v>
          </cell>
          <cell r="L1040" t="str">
            <v>RODRIGO</v>
          </cell>
          <cell r="M1040" t="str">
            <v>CELIO MARTINS</v>
          </cell>
        </row>
        <row r="1041">
          <cell r="B1041">
            <v>5226805</v>
          </cell>
          <cell r="C1041" t="str">
            <v>OESA COMERCIO E REPRESENTACOES SA</v>
          </cell>
          <cell r="D1041">
            <v>3001</v>
          </cell>
          <cell r="E1041" t="str">
            <v>0122</v>
          </cell>
          <cell r="F1041" t="str">
            <v>C1</v>
          </cell>
          <cell r="G1041" t="str">
            <v>MG</v>
          </cell>
          <cell r="H1041" t="str">
            <v>DISTRIBUIÇÃO</v>
          </cell>
          <cell r="I1041" t="str">
            <v>FOOD SERVICE</v>
          </cell>
          <cell r="J1041" t="str">
            <v>CELIO/MARANATHA</v>
          </cell>
          <cell r="K1041" t="str">
            <v>ITAMBÉ</v>
          </cell>
          <cell r="L1041" t="str">
            <v>RODRIGO</v>
          </cell>
          <cell r="M1041" t="str">
            <v>CELIO MARTINS</v>
          </cell>
        </row>
        <row r="1042">
          <cell r="B1042">
            <v>5027658</v>
          </cell>
          <cell r="C1042" t="str">
            <v>OESA COMERCIO E REPRESENTACOES SA</v>
          </cell>
          <cell r="D1042">
            <v>3001</v>
          </cell>
          <cell r="E1042" t="str">
            <v>0126</v>
          </cell>
          <cell r="F1042" t="str">
            <v>C1</v>
          </cell>
          <cell r="G1042" t="str">
            <v>SC</v>
          </cell>
          <cell r="H1042" t="str">
            <v>DISTRIBUIÇÃO</v>
          </cell>
          <cell r="I1042" t="str">
            <v>FOOD SERVICE</v>
          </cell>
          <cell r="J1042" t="str">
            <v>ANTÔNIO SOUZA</v>
          </cell>
          <cell r="K1042" t="str">
            <v>ITAMBÉ</v>
          </cell>
          <cell r="L1042" t="str">
            <v>RODRIGO</v>
          </cell>
          <cell r="M1042" t="str">
            <v>VAGO SUL</v>
          </cell>
        </row>
        <row r="1043">
          <cell r="B1043">
            <v>5217293</v>
          </cell>
          <cell r="C1043" t="str">
            <v>OESA COMERCIO E REPRESENTACOES SA</v>
          </cell>
          <cell r="D1043">
            <v>6001</v>
          </cell>
          <cell r="E1043" t="str">
            <v>6125</v>
          </cell>
          <cell r="F1043" t="str">
            <v>C1</v>
          </cell>
          <cell r="G1043" t="str">
            <v>SP</v>
          </cell>
          <cell r="H1043" t="str">
            <v>DISTRIBUIÇÃO</v>
          </cell>
          <cell r="I1043" t="str">
            <v>FOOD SERVICE</v>
          </cell>
          <cell r="J1043" t="str">
            <v>LUCAS ANDRADE</v>
          </cell>
          <cell r="K1043" t="str">
            <v>ITAMBÉ</v>
          </cell>
          <cell r="L1043" t="str">
            <v>RODRIGO</v>
          </cell>
          <cell r="M1043" t="str">
            <v>RAQUEL BARBOSA</v>
          </cell>
        </row>
        <row r="1044">
          <cell r="B1044">
            <v>5133455</v>
          </cell>
          <cell r="C1044" t="str">
            <v>OF COMERCIO DE PROD ALIMENTICIOS LT</v>
          </cell>
          <cell r="D1044">
            <v>3001</v>
          </cell>
          <cell r="E1044" t="str">
            <v>0122</v>
          </cell>
          <cell r="F1044" t="str">
            <v>C1</v>
          </cell>
          <cell r="G1044" t="str">
            <v>MG</v>
          </cell>
          <cell r="H1044" t="str">
            <v>INGREDIENTS</v>
          </cell>
          <cell r="I1044" t="str">
            <v>INGREDIENTS</v>
          </cell>
          <cell r="J1044" t="str">
            <v>HENRIQUE FERREIRA</v>
          </cell>
          <cell r="K1044" t="str">
            <v>ITAMBÉ</v>
          </cell>
          <cell r="L1044" t="str">
            <v>MAURICIO</v>
          </cell>
          <cell r="M1044" t="str">
            <v>JOEL</v>
          </cell>
        </row>
        <row r="1045">
          <cell r="B1045">
            <v>5321723</v>
          </cell>
          <cell r="C1045" t="str">
            <v>OF RESTAURANTE LTDA</v>
          </cell>
          <cell r="D1045">
            <v>7001</v>
          </cell>
          <cell r="E1045" t="str">
            <v>0749</v>
          </cell>
          <cell r="F1045" t="str">
            <v>C5</v>
          </cell>
          <cell r="G1045" t="str">
            <v>SP</v>
          </cell>
          <cell r="H1045" t="str">
            <v>DISTRIBUIÇÃO</v>
          </cell>
          <cell r="I1045" t="str">
            <v>FOOD SERVICE</v>
          </cell>
          <cell r="J1045" t="str">
            <v>FLAC 5</v>
          </cell>
          <cell r="K1045" t="str">
            <v>LACTALIS</v>
          </cell>
          <cell r="L1045" t="str">
            <v>RODRIGO</v>
          </cell>
          <cell r="M1045" t="str">
            <v>ALEXANDRO</v>
          </cell>
        </row>
        <row r="1046">
          <cell r="B1046">
            <v>5230504</v>
          </cell>
          <cell r="C1046" t="str">
            <v>OFERTA EXPRESSA DISTRIBUIDORA DE AL</v>
          </cell>
          <cell r="D1046">
            <v>7001</v>
          </cell>
          <cell r="E1046" t="str">
            <v>0749</v>
          </cell>
          <cell r="F1046" t="str">
            <v>C5</v>
          </cell>
          <cell r="G1046" t="str">
            <v>SP</v>
          </cell>
          <cell r="H1046" t="str">
            <v>DISTRIBUIÇÃO</v>
          </cell>
          <cell r="I1046" t="str">
            <v>FOOD SERVICE</v>
          </cell>
          <cell r="J1046" t="str">
            <v>FLAC 6</v>
          </cell>
          <cell r="K1046" t="str">
            <v>LACTALIS</v>
          </cell>
          <cell r="L1046" t="str">
            <v>RODRIGO</v>
          </cell>
          <cell r="M1046" t="str">
            <v>ALEXANDRO</v>
          </cell>
        </row>
        <row r="1047">
          <cell r="B1047">
            <v>5334647</v>
          </cell>
          <cell r="C1047" t="str">
            <v>OGGI SORVETES  LTDA</v>
          </cell>
          <cell r="D1047">
            <v>3001</v>
          </cell>
          <cell r="E1047" t="str">
            <v>0127</v>
          </cell>
          <cell r="F1047" t="str">
            <v>C1</v>
          </cell>
          <cell r="G1047" t="str">
            <v>PE</v>
          </cell>
          <cell r="H1047" t="str">
            <v>INGREDIENTS</v>
          </cell>
          <cell r="I1047" t="str">
            <v>INGREDIENTS</v>
          </cell>
          <cell r="J1047" t="str">
            <v>MARCELO RODRIGUES</v>
          </cell>
          <cell r="K1047" t="str">
            <v>ITAMBÉ</v>
          </cell>
          <cell r="L1047" t="str">
            <v>MAURICIO</v>
          </cell>
          <cell r="M1047" t="str">
            <v>MARCELO</v>
          </cell>
        </row>
        <row r="1048">
          <cell r="B1048">
            <v>5195807</v>
          </cell>
          <cell r="C1048" t="str">
            <v>OIPAN DISTRIBUIDOR DE PROD ALIMENTI</v>
          </cell>
          <cell r="D1048">
            <v>6001</v>
          </cell>
          <cell r="E1048" t="str">
            <v>6125</v>
          </cell>
          <cell r="F1048" t="str">
            <v>C1</v>
          </cell>
          <cell r="G1048" t="str">
            <v>SP</v>
          </cell>
          <cell r="H1048" t="str">
            <v>DISTRIBUIÇÃO</v>
          </cell>
          <cell r="I1048" t="str">
            <v>FOOD SERVICE</v>
          </cell>
          <cell r="J1048" t="str">
            <v>VAGO SP - INTERIOR</v>
          </cell>
          <cell r="K1048" t="str">
            <v>ITAMBÉ</v>
          </cell>
          <cell r="L1048" t="str">
            <v>RODRIGO</v>
          </cell>
          <cell r="M1048" t="str">
            <v>ALEXANDRO</v>
          </cell>
        </row>
        <row r="1049">
          <cell r="B1049">
            <v>5075754</v>
          </cell>
          <cell r="C1049" t="str">
            <v>OMEGA DISTR DE PROD ALIM LTDA</v>
          </cell>
          <cell r="D1049">
            <v>3001</v>
          </cell>
          <cell r="E1049" t="str">
            <v>0127</v>
          </cell>
          <cell r="F1049" t="str">
            <v>C1</v>
          </cell>
          <cell r="G1049" t="str">
            <v>CE</v>
          </cell>
          <cell r="H1049" t="str">
            <v>DISTRIBUIÇÃO</v>
          </cell>
          <cell r="I1049" t="str">
            <v>FOOD SERVICE</v>
          </cell>
          <cell r="J1049" t="str">
            <v>WH FOOD SERVICE CE</v>
          </cell>
          <cell r="K1049" t="str">
            <v>ITAMBÉ</v>
          </cell>
          <cell r="L1049" t="str">
            <v>RODRIGO</v>
          </cell>
          <cell r="M1049" t="str">
            <v>VAGO NORDESTE</v>
          </cell>
        </row>
        <row r="1050">
          <cell r="B1050">
            <v>5308411</v>
          </cell>
          <cell r="C1050" t="str">
            <v>ORGANIZACOES BRAZALMEIDA COMERCIO D</v>
          </cell>
          <cell r="D1050">
            <v>3001</v>
          </cell>
          <cell r="E1050" t="str">
            <v>0122</v>
          </cell>
          <cell r="F1050" t="str">
            <v>C1</v>
          </cell>
          <cell r="G1050" t="str">
            <v>MG</v>
          </cell>
          <cell r="H1050" t="str">
            <v>DISTRIBUIÇÃO</v>
          </cell>
          <cell r="I1050" t="str">
            <v>FOOD SERVICE</v>
          </cell>
          <cell r="J1050" t="str">
            <v>MARCELO SILVA</v>
          </cell>
          <cell r="K1050" t="str">
            <v>ITAMBÉ</v>
          </cell>
          <cell r="L1050" t="str">
            <v>RODRIGO</v>
          </cell>
          <cell r="M1050" t="str">
            <v>CELIO MARTINS</v>
          </cell>
        </row>
        <row r="1051">
          <cell r="B1051">
            <v>5321058</v>
          </cell>
          <cell r="C1051" t="str">
            <v>ORLANDO C M PAES E DOCES ARTESANAIS</v>
          </cell>
          <cell r="D1051">
            <v>7001</v>
          </cell>
          <cell r="E1051" t="str">
            <v>0749</v>
          </cell>
          <cell r="F1051" t="str">
            <v>C5</v>
          </cell>
          <cell r="G1051" t="str">
            <v>SP</v>
          </cell>
          <cell r="H1051" t="str">
            <v>DISTRIBUIÇÃO</v>
          </cell>
          <cell r="I1051" t="str">
            <v>FOOD SERVICE</v>
          </cell>
          <cell r="J1051" t="str">
            <v>FLAC 6</v>
          </cell>
          <cell r="K1051" t="str">
            <v>LACTALIS</v>
          </cell>
          <cell r="L1051" t="str">
            <v>RODRIGO</v>
          </cell>
          <cell r="M1051" t="str">
            <v>ALEXANDRO</v>
          </cell>
        </row>
        <row r="1052">
          <cell r="B1052">
            <v>5269005</v>
          </cell>
          <cell r="C1052" t="str">
            <v>OSE APARECIDO GONCALVES DE MAT</v>
          </cell>
          <cell r="D1052">
            <v>7001</v>
          </cell>
          <cell r="E1052" t="str">
            <v>0749</v>
          </cell>
          <cell r="F1052" t="str">
            <v>C5</v>
          </cell>
          <cell r="G1052" t="str">
            <v>SP</v>
          </cell>
          <cell r="H1052" t="str">
            <v>DISTRIBUIÇÃO</v>
          </cell>
          <cell r="I1052" t="str">
            <v>FOOD SERVICE</v>
          </cell>
          <cell r="J1052" t="str">
            <v>FLAC 6</v>
          </cell>
          <cell r="K1052" t="str">
            <v>LACTALIS</v>
          </cell>
          <cell r="L1052" t="str">
            <v>RODRIGO</v>
          </cell>
          <cell r="M1052" t="str">
            <v>ALEXANDRO</v>
          </cell>
        </row>
        <row r="1053">
          <cell r="B1053">
            <v>5269006</v>
          </cell>
          <cell r="C1053" t="str">
            <v>OSMAR ROMANO PEREIRA 16996602807</v>
          </cell>
          <cell r="D1053">
            <v>7001</v>
          </cell>
          <cell r="E1053" t="str">
            <v>0749</v>
          </cell>
          <cell r="F1053" t="str">
            <v>C5</v>
          </cell>
          <cell r="G1053" t="str">
            <v>SP</v>
          </cell>
          <cell r="H1053" t="str">
            <v>DISTRIBUIÇÃO</v>
          </cell>
          <cell r="I1053" t="str">
            <v>FOOD SERVICE</v>
          </cell>
          <cell r="J1053" t="str">
            <v>FLAC 3</v>
          </cell>
          <cell r="K1053" t="str">
            <v>LACTALIS</v>
          </cell>
          <cell r="L1053" t="str">
            <v>RODRIGO</v>
          </cell>
          <cell r="M1053" t="str">
            <v>ALEXANDRO</v>
          </cell>
        </row>
        <row r="1054">
          <cell r="B1054">
            <v>5127995</v>
          </cell>
          <cell r="C1054" t="str">
            <v>OTTIMA ALIMENTOS BASICOS LT</v>
          </cell>
          <cell r="D1054">
            <v>7001</v>
          </cell>
          <cell r="E1054" t="str">
            <v>0749</v>
          </cell>
          <cell r="F1054" t="str">
            <v>C5</v>
          </cell>
          <cell r="G1054" t="str">
            <v>SP</v>
          </cell>
          <cell r="H1054" t="str">
            <v>DISTRIBUIÇÃO</v>
          </cell>
          <cell r="I1054" t="str">
            <v>FOOD SERVICE</v>
          </cell>
          <cell r="J1054" t="str">
            <v>FLAC 1</v>
          </cell>
          <cell r="K1054" t="str">
            <v>LACTALIS</v>
          </cell>
          <cell r="L1054" t="str">
            <v>RODRIGO</v>
          </cell>
          <cell r="M1054" t="str">
            <v>ALEXANDRO</v>
          </cell>
        </row>
        <row r="1055">
          <cell r="B1055">
            <v>5280471</v>
          </cell>
          <cell r="C1055" t="str">
            <v>P 3 ADM EM COMPLEXOS IMOBILIARIOS</v>
          </cell>
          <cell r="D1055">
            <v>7001</v>
          </cell>
          <cell r="E1055" t="str">
            <v>0749</v>
          </cell>
          <cell r="F1055" t="str">
            <v>C5</v>
          </cell>
          <cell r="G1055" t="str">
            <v>SP</v>
          </cell>
          <cell r="H1055" t="str">
            <v>DISTRIBUIÇÃO</v>
          </cell>
          <cell r="I1055" t="str">
            <v>FOOD SERVICE</v>
          </cell>
          <cell r="J1055" t="str">
            <v>FLAC 2</v>
          </cell>
          <cell r="K1055" t="str">
            <v>LACTALIS</v>
          </cell>
          <cell r="L1055" t="str">
            <v>RODRIGO</v>
          </cell>
          <cell r="M1055" t="str">
            <v>ALEXANDRO</v>
          </cell>
        </row>
        <row r="1056">
          <cell r="B1056">
            <v>5316251</v>
          </cell>
          <cell r="C1056" t="str">
            <v>P GASTRONOMIA LTDA</v>
          </cell>
          <cell r="D1056">
            <v>7001</v>
          </cell>
          <cell r="E1056" t="str">
            <v>0749</v>
          </cell>
          <cell r="F1056" t="str">
            <v>C5</v>
          </cell>
          <cell r="G1056" t="str">
            <v>SP</v>
          </cell>
          <cell r="H1056" t="str">
            <v>DISTRIBUIÇÃO</v>
          </cell>
          <cell r="I1056" t="str">
            <v>FOOD SERVICE</v>
          </cell>
          <cell r="J1056" t="str">
            <v>FLAC 3</v>
          </cell>
          <cell r="K1056" t="str">
            <v>LACTALIS</v>
          </cell>
          <cell r="L1056" t="str">
            <v>RODRIGO</v>
          </cell>
          <cell r="M1056" t="str">
            <v>ALEXANDRO</v>
          </cell>
        </row>
        <row r="1057">
          <cell r="B1057">
            <v>5339004</v>
          </cell>
          <cell r="C1057" t="str">
            <v>P S DISTRIBUIDORA LTDA</v>
          </cell>
          <cell r="D1057">
            <v>3001</v>
          </cell>
          <cell r="E1057" t="str">
            <v>0028</v>
          </cell>
          <cell r="F1057" t="str">
            <v>C1</v>
          </cell>
          <cell r="G1057" t="str">
            <v>PR</v>
          </cell>
          <cell r="H1057" t="str">
            <v>INGREDIENTS</v>
          </cell>
          <cell r="I1057" t="str">
            <v>INGREDIENTS</v>
          </cell>
          <cell r="J1057" t="str">
            <v>DUAS RODAS</v>
          </cell>
          <cell r="K1057" t="str">
            <v>ITAMBÉ</v>
          </cell>
          <cell r="L1057" t="str">
            <v>MAURICIO</v>
          </cell>
          <cell r="M1057" t="str">
            <v>MARCELO</v>
          </cell>
        </row>
        <row r="1058">
          <cell r="B1058">
            <v>5249184</v>
          </cell>
          <cell r="C1058" t="str">
            <v>P W CAFE E LANCHES LTDA</v>
          </cell>
          <cell r="D1058">
            <v>7001</v>
          </cell>
          <cell r="E1058" t="str">
            <v>0749</v>
          </cell>
          <cell r="F1058" t="str">
            <v>C5</v>
          </cell>
          <cell r="G1058" t="str">
            <v>SP</v>
          </cell>
          <cell r="H1058" t="str">
            <v>DISTRIBUIÇÃO</v>
          </cell>
          <cell r="I1058" t="str">
            <v>FOOD SERVICE</v>
          </cell>
          <cell r="J1058" t="str">
            <v>FLAC 2</v>
          </cell>
          <cell r="K1058" t="str">
            <v>LACTALIS</v>
          </cell>
          <cell r="L1058" t="str">
            <v>RODRIGO</v>
          </cell>
          <cell r="M1058" t="str">
            <v>ALEXANDRO</v>
          </cell>
        </row>
        <row r="1059">
          <cell r="B1059">
            <v>5337089</v>
          </cell>
          <cell r="C1059" t="str">
            <v>PADANG CAFETERIA LTDA</v>
          </cell>
          <cell r="D1059">
            <v>7001</v>
          </cell>
          <cell r="E1059" t="str">
            <v>0749</v>
          </cell>
          <cell r="F1059" t="str">
            <v>C5</v>
          </cell>
          <cell r="G1059" t="str">
            <v>SP</v>
          </cell>
          <cell r="H1059" t="str">
            <v>DISTRIBUIÇÃO</v>
          </cell>
          <cell r="I1059" t="str">
            <v>FOOD SERVICE</v>
          </cell>
          <cell r="J1059" t="str">
            <v>FLAC 2</v>
          </cell>
          <cell r="K1059" t="str">
            <v>LACTALIS</v>
          </cell>
          <cell r="L1059" t="str">
            <v>RODRIGO</v>
          </cell>
          <cell r="M1059" t="str">
            <v>ALEXANDRO</v>
          </cell>
        </row>
        <row r="1060">
          <cell r="B1060">
            <v>5262403</v>
          </cell>
          <cell r="C1060" t="str">
            <v>PADARIA ARTESANAL MEDITERRAIN LTDA</v>
          </cell>
          <cell r="D1060">
            <v>7001</v>
          </cell>
          <cell r="E1060" t="str">
            <v>0749</v>
          </cell>
          <cell r="F1060" t="str">
            <v>C5</v>
          </cell>
          <cell r="G1060" t="str">
            <v>SP</v>
          </cell>
          <cell r="H1060" t="str">
            <v>DISTRIBUIÇÃO</v>
          </cell>
          <cell r="I1060" t="str">
            <v>FOOD SERVICE</v>
          </cell>
          <cell r="J1060" t="str">
            <v>FLAC 2</v>
          </cell>
          <cell r="K1060" t="str">
            <v>LACTALIS</v>
          </cell>
          <cell r="L1060" t="str">
            <v>RODRIGO</v>
          </cell>
          <cell r="M1060" t="str">
            <v>ALEXANDRO</v>
          </cell>
        </row>
        <row r="1061">
          <cell r="B1061">
            <v>5255022</v>
          </cell>
          <cell r="C1061" t="str">
            <v>PADARIA E LOJA DE CONVENIENCIA</v>
          </cell>
          <cell r="D1061">
            <v>7001</v>
          </cell>
          <cell r="E1061" t="str">
            <v>0749</v>
          </cell>
          <cell r="F1061" t="str">
            <v>C5</v>
          </cell>
          <cell r="G1061" t="str">
            <v>SP</v>
          </cell>
          <cell r="H1061" t="str">
            <v>DISTRIBUIÇÃO</v>
          </cell>
          <cell r="I1061" t="str">
            <v>FOOD SERVICE</v>
          </cell>
          <cell r="J1061" t="str">
            <v>FLAC 2</v>
          </cell>
          <cell r="K1061" t="str">
            <v>LACTALIS</v>
          </cell>
          <cell r="L1061" t="str">
            <v>RODRIGO</v>
          </cell>
          <cell r="M1061" t="str">
            <v>ALEXANDRO</v>
          </cell>
        </row>
        <row r="1062">
          <cell r="B1062">
            <v>5340514</v>
          </cell>
          <cell r="C1062" t="str">
            <v>PADARIA PISELLI IND LTDA</v>
          </cell>
          <cell r="D1062">
            <v>7001</v>
          </cell>
          <cell r="E1062" t="str">
            <v>0749</v>
          </cell>
          <cell r="F1062" t="str">
            <v>C5</v>
          </cell>
          <cell r="G1062" t="str">
            <v>SP</v>
          </cell>
          <cell r="H1062" t="str">
            <v>DISTRIBUIÇÃO</v>
          </cell>
          <cell r="I1062" t="str">
            <v>FOOD SERVICE</v>
          </cell>
          <cell r="J1062" t="str">
            <v>FLAC 3</v>
          </cell>
          <cell r="K1062" t="str">
            <v>LACTALIS</v>
          </cell>
          <cell r="L1062" t="str">
            <v>RODRIGO</v>
          </cell>
          <cell r="M1062" t="str">
            <v>ALEXANDRO</v>
          </cell>
        </row>
        <row r="1063">
          <cell r="B1063">
            <v>5338666</v>
          </cell>
          <cell r="C1063" t="str">
            <v>PADEIRAO COM DE PROD PARA PANIF</v>
          </cell>
          <cell r="D1063">
            <v>3001</v>
          </cell>
          <cell r="E1063" t="str">
            <v>0127</v>
          </cell>
          <cell r="F1063" t="str">
            <v>C1</v>
          </cell>
          <cell r="G1063" t="str">
            <v>PB</v>
          </cell>
          <cell r="H1063" t="str">
            <v>DISTRIBUIÇÃO</v>
          </cell>
          <cell r="I1063" t="str">
            <v>FOOD SERVICE</v>
          </cell>
          <cell r="J1063" t="str">
            <v>CLAUDIO JORGE/AMANDA SANDS</v>
          </cell>
          <cell r="K1063" t="str">
            <v>ITAMBÉ</v>
          </cell>
          <cell r="L1063" t="str">
            <v>RODRIGO</v>
          </cell>
          <cell r="M1063" t="str">
            <v>VAGO NORDESTE</v>
          </cell>
        </row>
        <row r="1064">
          <cell r="B1064">
            <v>5338666</v>
          </cell>
          <cell r="C1064" t="str">
            <v>PADEIRAO COM DE PROD PARA PANIF</v>
          </cell>
          <cell r="D1064">
            <v>4001</v>
          </cell>
          <cell r="E1064" t="str">
            <v>0454</v>
          </cell>
          <cell r="F1064" t="str">
            <v>C1</v>
          </cell>
          <cell r="G1064" t="str">
            <v>PB</v>
          </cell>
          <cell r="H1064" t="str">
            <v>DISTRIBUIÇÃO</v>
          </cell>
          <cell r="I1064" t="str">
            <v>FOOD SERVICE</v>
          </cell>
          <cell r="J1064" t="str">
            <v>CLAUDIO JORGE/AMANDA SANDS</v>
          </cell>
          <cell r="K1064" t="str">
            <v>LACTALIS</v>
          </cell>
          <cell r="L1064" t="str">
            <v>RODRIGO</v>
          </cell>
          <cell r="M1064" t="str">
            <v>VAGO NORDESTE</v>
          </cell>
        </row>
        <row r="1065">
          <cell r="B1065">
            <v>5133664</v>
          </cell>
          <cell r="C1065" t="str">
            <v>PADEIRAO COMERCIO PROD PARA PANI LT</v>
          </cell>
          <cell r="D1065">
            <v>3001</v>
          </cell>
          <cell r="E1065" t="str">
            <v>0127</v>
          </cell>
          <cell r="F1065" t="str">
            <v>C1</v>
          </cell>
          <cell r="G1065" t="str">
            <v>PE</v>
          </cell>
          <cell r="H1065" t="str">
            <v>DISTRIBUIÇÃO</v>
          </cell>
          <cell r="I1065" t="str">
            <v>FOOD SERVICE</v>
          </cell>
          <cell r="J1065" t="str">
            <v>CLAUDIO JORGE</v>
          </cell>
          <cell r="K1065" t="str">
            <v>ITAMBÉ</v>
          </cell>
          <cell r="L1065" t="str">
            <v>RODRIGO</v>
          </cell>
          <cell r="M1065" t="str">
            <v>VAGO NORDESTE</v>
          </cell>
        </row>
        <row r="1066">
          <cell r="B1066">
            <v>5265320</v>
          </cell>
          <cell r="C1066" t="str">
            <v>PADOCA DO MANI ALIMENTOS LTDA</v>
          </cell>
          <cell r="D1066">
            <v>7001</v>
          </cell>
          <cell r="E1066" t="str">
            <v>0749</v>
          </cell>
          <cell r="F1066" t="str">
            <v>C5</v>
          </cell>
          <cell r="G1066" t="str">
            <v>SP</v>
          </cell>
          <cell r="H1066" t="str">
            <v>DISTRIBUIÇÃO</v>
          </cell>
          <cell r="I1066" t="str">
            <v>FOOD SERVICE</v>
          </cell>
          <cell r="J1066" t="str">
            <v>FLAC 6</v>
          </cell>
          <cell r="K1066" t="str">
            <v>LACTALIS</v>
          </cell>
          <cell r="L1066" t="str">
            <v>RODRIGO</v>
          </cell>
          <cell r="M1066" t="str">
            <v>ALEXANDRO</v>
          </cell>
        </row>
        <row r="1067">
          <cell r="B1067">
            <v>5315003</v>
          </cell>
          <cell r="C1067" t="str">
            <v>PADOCA DO MANI ALIMENTOS LTDA</v>
          </cell>
          <cell r="D1067">
            <v>7001</v>
          </cell>
          <cell r="E1067" t="str">
            <v>0749</v>
          </cell>
          <cell r="F1067" t="str">
            <v>C5</v>
          </cell>
          <cell r="G1067" t="str">
            <v>SP</v>
          </cell>
          <cell r="H1067" t="str">
            <v>DISTRIBUIÇÃO</v>
          </cell>
          <cell r="I1067" t="str">
            <v>FOOD SERVICE</v>
          </cell>
          <cell r="J1067" t="str">
            <v>FLAC 6</v>
          </cell>
          <cell r="K1067" t="str">
            <v>LACTALIS</v>
          </cell>
          <cell r="L1067" t="str">
            <v>RODRIGO</v>
          </cell>
          <cell r="M1067" t="str">
            <v>ALEXANDRO</v>
          </cell>
        </row>
        <row r="1068">
          <cell r="B1068">
            <v>5287152</v>
          </cell>
          <cell r="C1068" t="str">
            <v>PALADIO CAFE</v>
          </cell>
          <cell r="D1068">
            <v>7001</v>
          </cell>
          <cell r="E1068" t="str">
            <v>0749</v>
          </cell>
          <cell r="F1068" t="str">
            <v>C5</v>
          </cell>
          <cell r="G1068" t="str">
            <v>SP</v>
          </cell>
          <cell r="H1068" t="str">
            <v>DISTRIBUIÇÃO</v>
          </cell>
          <cell r="I1068" t="str">
            <v>FOOD SERVICE</v>
          </cell>
          <cell r="J1068" t="str">
            <v>FLAC 3</v>
          </cell>
          <cell r="K1068" t="str">
            <v>LACTALIS</v>
          </cell>
          <cell r="L1068" t="str">
            <v>RODRIGO</v>
          </cell>
          <cell r="M1068" t="str">
            <v>ALEXANDRO</v>
          </cell>
        </row>
        <row r="1069">
          <cell r="B1069">
            <v>5259915</v>
          </cell>
          <cell r="C1069" t="str">
            <v>PAMA COM DE GENEROS ALIMENTICIOS LT</v>
          </cell>
          <cell r="D1069">
            <v>7001</v>
          </cell>
          <cell r="E1069" t="str">
            <v>0722</v>
          </cell>
          <cell r="F1069" t="str">
            <v>C1</v>
          </cell>
          <cell r="G1069" t="str">
            <v>SP</v>
          </cell>
          <cell r="H1069" t="str">
            <v>DISTRIBUIÇÃO</v>
          </cell>
          <cell r="I1069" t="str">
            <v>FOOD SERVICE</v>
          </cell>
          <cell r="J1069" t="str">
            <v>GUILHERME NASCIMENTO</v>
          </cell>
          <cell r="K1069" t="str">
            <v>LACTALIS</v>
          </cell>
          <cell r="L1069" t="str">
            <v>RODRIGO</v>
          </cell>
          <cell r="M1069" t="str">
            <v>ALEXANDRO</v>
          </cell>
        </row>
        <row r="1070">
          <cell r="B1070">
            <v>5283024</v>
          </cell>
          <cell r="C1070" t="str">
            <v>PAMFIS ALIMENTOS INDUSTRIA E CO</v>
          </cell>
          <cell r="D1070">
            <v>4001</v>
          </cell>
          <cell r="E1070" t="str">
            <v>0437</v>
          </cell>
          <cell r="F1070" t="str">
            <v>C1</v>
          </cell>
          <cell r="G1070" t="str">
            <v>SP</v>
          </cell>
          <cell r="H1070" t="str">
            <v>INGREDIENTS</v>
          </cell>
          <cell r="I1070" t="str">
            <v>INGREDIENTS</v>
          </cell>
          <cell r="J1070" t="str">
            <v>JOEL ELEOTÉRIO</v>
          </cell>
          <cell r="K1070" t="str">
            <v>LACTALIS</v>
          </cell>
          <cell r="L1070" t="str">
            <v>MAURICIO</v>
          </cell>
          <cell r="M1070" t="str">
            <v>JOEL</v>
          </cell>
        </row>
        <row r="1071">
          <cell r="B1071">
            <v>5256963</v>
          </cell>
          <cell r="C1071" t="str">
            <v>PAN PIZZAS E REFEICOES RAPIDAS LTDA</v>
          </cell>
          <cell r="D1071">
            <v>7001</v>
          </cell>
          <cell r="E1071" t="str">
            <v>0749</v>
          </cell>
          <cell r="F1071" t="str">
            <v>C5</v>
          </cell>
          <cell r="G1071" t="str">
            <v>SP</v>
          </cell>
          <cell r="H1071" t="str">
            <v>DISTRIBUIÇÃO</v>
          </cell>
          <cell r="I1071" t="str">
            <v>FOOD SERVICE</v>
          </cell>
          <cell r="J1071" t="str">
            <v>FLAC 3</v>
          </cell>
          <cell r="K1071" t="str">
            <v>LACTALIS</v>
          </cell>
          <cell r="L1071" t="str">
            <v>RODRIGO</v>
          </cell>
          <cell r="M1071" t="str">
            <v>ALEXANDRO</v>
          </cell>
        </row>
        <row r="1072">
          <cell r="B1072">
            <v>5216004</v>
          </cell>
          <cell r="C1072" t="str">
            <v>PANCRISTAL LTDA</v>
          </cell>
          <cell r="D1072">
            <v>3001</v>
          </cell>
          <cell r="E1072" t="str">
            <v>0127</v>
          </cell>
          <cell r="F1072" t="str">
            <v>C1</v>
          </cell>
          <cell r="G1072" t="str">
            <v>PE</v>
          </cell>
          <cell r="H1072" t="str">
            <v>DISTRIBUIÇÃO</v>
          </cell>
          <cell r="I1072" t="str">
            <v>FOOD SERVICE</v>
          </cell>
          <cell r="J1072" t="str">
            <v>CLAUDIO JORGE</v>
          </cell>
          <cell r="K1072" t="str">
            <v>ITAMBÉ</v>
          </cell>
          <cell r="L1072" t="str">
            <v>RODRIGO</v>
          </cell>
          <cell r="M1072" t="str">
            <v>VAGO NORDESTE</v>
          </cell>
        </row>
        <row r="1073">
          <cell r="B1073">
            <v>5262453</v>
          </cell>
          <cell r="C1073" t="str">
            <v>PANDAREU RESTAURANTE LTDA</v>
          </cell>
          <cell r="D1073">
            <v>7001</v>
          </cell>
          <cell r="E1073" t="str">
            <v>0749</v>
          </cell>
          <cell r="F1073" t="str">
            <v>C5</v>
          </cell>
          <cell r="G1073" t="str">
            <v>SP</v>
          </cell>
          <cell r="H1073" t="str">
            <v>DISTRIBUIÇÃO</v>
          </cell>
          <cell r="I1073" t="str">
            <v>FOOD SERVICE</v>
          </cell>
          <cell r="J1073" t="str">
            <v>FLAC 3</v>
          </cell>
          <cell r="K1073" t="str">
            <v>LACTALIS</v>
          </cell>
          <cell r="L1073" t="str">
            <v>RODRIGO</v>
          </cell>
          <cell r="M1073" t="str">
            <v>ALEXANDRO</v>
          </cell>
        </row>
        <row r="1074">
          <cell r="B1074">
            <v>5256334</v>
          </cell>
          <cell r="C1074" t="str">
            <v>PANDAREU RESTAURANTE LTDA</v>
          </cell>
          <cell r="D1074">
            <v>7001</v>
          </cell>
          <cell r="E1074" t="str">
            <v>0749</v>
          </cell>
          <cell r="F1074" t="str">
            <v>C5</v>
          </cell>
          <cell r="G1074" t="str">
            <v>SP</v>
          </cell>
          <cell r="H1074" t="str">
            <v>DISTRIBUIÇÃO</v>
          </cell>
          <cell r="I1074" t="str">
            <v>FOOD SERVICE</v>
          </cell>
          <cell r="J1074" t="str">
            <v>FLAC 3</v>
          </cell>
          <cell r="K1074" t="str">
            <v>LACTALIS</v>
          </cell>
          <cell r="L1074" t="str">
            <v>RODRIGO</v>
          </cell>
          <cell r="M1074" t="str">
            <v>ALEXANDRO</v>
          </cell>
        </row>
        <row r="1075">
          <cell r="B1075">
            <v>5146429</v>
          </cell>
          <cell r="C1075" t="str">
            <v>PANDURATA ALIMENTOS LTDA</v>
          </cell>
          <cell r="D1075">
            <v>3001</v>
          </cell>
          <cell r="E1075" t="str">
            <v>0122</v>
          </cell>
          <cell r="F1075" t="str">
            <v>C1</v>
          </cell>
          <cell r="G1075" t="str">
            <v>MG</v>
          </cell>
          <cell r="H1075" t="str">
            <v>INGREDIENTS</v>
          </cell>
          <cell r="I1075" t="str">
            <v>INGREDIENTS</v>
          </cell>
          <cell r="J1075" t="str">
            <v>HENRIQUE FERREIRA</v>
          </cell>
          <cell r="K1075" t="str">
            <v>ITAMBÉ</v>
          </cell>
          <cell r="L1075" t="str">
            <v>MAURICIO</v>
          </cell>
          <cell r="M1075" t="str">
            <v>JOEL</v>
          </cell>
        </row>
        <row r="1076">
          <cell r="B1076">
            <v>5198698</v>
          </cell>
          <cell r="C1076" t="str">
            <v>PANDURATA ALIMENTOS LTDA</v>
          </cell>
          <cell r="D1076">
            <v>6001</v>
          </cell>
          <cell r="E1076" t="str">
            <v>6125</v>
          </cell>
          <cell r="F1076" t="str">
            <v>C1</v>
          </cell>
          <cell r="G1076" t="str">
            <v>SP</v>
          </cell>
          <cell r="H1076" t="str">
            <v>INGREDIENTS</v>
          </cell>
          <cell r="I1076" t="str">
            <v>INGREDIENTS</v>
          </cell>
          <cell r="J1076" t="str">
            <v>JOEL ELEOTÉRIO</v>
          </cell>
          <cell r="K1076" t="str">
            <v>ITAMBÉ</v>
          </cell>
          <cell r="L1076" t="str">
            <v>MAURICIO</v>
          </cell>
          <cell r="M1076" t="str">
            <v>JOEL</v>
          </cell>
        </row>
        <row r="1077">
          <cell r="B1077">
            <v>5198698</v>
          </cell>
          <cell r="C1077" t="str">
            <v>PANDURATA ALIMENTOS LTDA</v>
          </cell>
          <cell r="D1077">
            <v>4001</v>
          </cell>
          <cell r="E1077" t="str">
            <v>0437</v>
          </cell>
          <cell r="F1077" t="str">
            <v>C1</v>
          </cell>
          <cell r="G1077" t="str">
            <v>SP</v>
          </cell>
          <cell r="H1077" t="str">
            <v>INGREDIENTS</v>
          </cell>
          <cell r="I1077" t="str">
            <v>INGREDIENTS</v>
          </cell>
          <cell r="J1077" t="str">
            <v>JOEL ELEOTÉRIO</v>
          </cell>
          <cell r="K1077" t="str">
            <v>LACTALIS</v>
          </cell>
          <cell r="L1077" t="str">
            <v>MAURICIO</v>
          </cell>
          <cell r="M1077" t="str">
            <v>JOEL</v>
          </cell>
        </row>
        <row r="1078">
          <cell r="B1078">
            <v>5171400</v>
          </cell>
          <cell r="C1078" t="str">
            <v>PANIBRASIL MASSAS CONGELADAS LT</v>
          </cell>
          <cell r="D1078">
            <v>6001</v>
          </cell>
          <cell r="E1078" t="str">
            <v>6125</v>
          </cell>
          <cell r="F1078" t="str">
            <v>C1</v>
          </cell>
          <cell r="G1078" t="str">
            <v>SP</v>
          </cell>
          <cell r="H1078" t="str">
            <v>INGREDIENTS</v>
          </cell>
          <cell r="I1078" t="str">
            <v>INGREDIENTS</v>
          </cell>
          <cell r="J1078" t="str">
            <v>HENRIQUE FERREIRA</v>
          </cell>
          <cell r="K1078" t="str">
            <v>ITAMBÉ</v>
          </cell>
          <cell r="L1078" t="str">
            <v>MAURICIO</v>
          </cell>
          <cell r="M1078" t="str">
            <v>JOEL</v>
          </cell>
        </row>
        <row r="1079">
          <cell r="B1079">
            <v>5171400</v>
          </cell>
          <cell r="C1079" t="str">
            <v>PANIBRASIL MASSAS CONGELADAS LT</v>
          </cell>
          <cell r="D1079">
            <v>7001</v>
          </cell>
          <cell r="E1079" t="str">
            <v>0737</v>
          </cell>
          <cell r="F1079" t="str">
            <v>C1</v>
          </cell>
          <cell r="G1079" t="str">
            <v>SP</v>
          </cell>
          <cell r="H1079" t="str">
            <v>INGREDIENTS</v>
          </cell>
          <cell r="I1079" t="str">
            <v>INGREDIENTS</v>
          </cell>
          <cell r="J1079" t="str">
            <v>HENRIQUE FERREIRA</v>
          </cell>
          <cell r="K1079" t="str">
            <v>LACTALIS</v>
          </cell>
          <cell r="L1079" t="str">
            <v>MAURICIO</v>
          </cell>
          <cell r="M1079" t="str">
            <v>JOEL</v>
          </cell>
        </row>
        <row r="1080">
          <cell r="B1080">
            <v>5278455</v>
          </cell>
          <cell r="C1080" t="str">
            <v>PANIFICADORA DOM BOSCO LTDA</v>
          </cell>
          <cell r="D1080">
            <v>7001</v>
          </cell>
          <cell r="E1080" t="str">
            <v>0749</v>
          </cell>
          <cell r="F1080" t="str">
            <v>C5</v>
          </cell>
          <cell r="G1080" t="str">
            <v>SP</v>
          </cell>
          <cell r="H1080" t="str">
            <v>DISTRIBUIÇÃO</v>
          </cell>
          <cell r="I1080" t="str">
            <v>FOOD SERVICE</v>
          </cell>
          <cell r="J1080" t="str">
            <v>FLAC 3</v>
          </cell>
          <cell r="K1080" t="str">
            <v>LACTALIS</v>
          </cell>
          <cell r="L1080" t="str">
            <v>RODRIGO</v>
          </cell>
          <cell r="M1080" t="str">
            <v>ALEXANDRO</v>
          </cell>
        </row>
        <row r="1081">
          <cell r="B1081">
            <v>5314195</v>
          </cell>
          <cell r="C1081" t="str">
            <v>PANIFICADORA E CONFEITARIA SANTELMO</v>
          </cell>
          <cell r="D1081">
            <v>3001</v>
          </cell>
          <cell r="E1081" t="str">
            <v>0126</v>
          </cell>
          <cell r="F1081" t="str">
            <v>C1</v>
          </cell>
          <cell r="G1081" t="str">
            <v>SC</v>
          </cell>
          <cell r="H1081" t="str">
            <v>DISTRIBUIÇÃO</v>
          </cell>
          <cell r="I1081" t="str">
            <v>FOOD SERVICE</v>
          </cell>
          <cell r="J1081" t="str">
            <v>ANTÔNIO SOUZA</v>
          </cell>
          <cell r="K1081" t="str">
            <v>ITAMBÉ</v>
          </cell>
          <cell r="L1081" t="str">
            <v>RODRIGO</v>
          </cell>
          <cell r="M1081" t="str">
            <v>VAGO SUL</v>
          </cell>
        </row>
        <row r="1082">
          <cell r="B1082">
            <v>5333492</v>
          </cell>
          <cell r="C1082" t="str">
            <v>PANIFICADORA GRAO DE TRIGO LTDA</v>
          </cell>
          <cell r="D1082">
            <v>7001</v>
          </cell>
          <cell r="E1082" t="str">
            <v>0749</v>
          </cell>
          <cell r="F1082" t="str">
            <v>C5</v>
          </cell>
          <cell r="G1082" t="str">
            <v>SP</v>
          </cell>
          <cell r="H1082" t="str">
            <v>DISTRIBUIÇÃO</v>
          </cell>
          <cell r="I1082" t="str">
            <v>FOOD SERVICE</v>
          </cell>
          <cell r="J1082" t="str">
            <v>FLAC 5</v>
          </cell>
          <cell r="K1082" t="str">
            <v>LACTALIS</v>
          </cell>
          <cell r="L1082" t="str">
            <v>RODRIGO</v>
          </cell>
          <cell r="M1082" t="str">
            <v>ALEXANDRO</v>
          </cell>
        </row>
        <row r="1083">
          <cell r="B1083">
            <v>5337259</v>
          </cell>
          <cell r="C1083" t="str">
            <v>PARAIZO COMERCIAL DE PRODUTOS A</v>
          </cell>
          <cell r="D1083">
            <v>7001</v>
          </cell>
          <cell r="E1083" t="str">
            <v>0749</v>
          </cell>
          <cell r="F1083" t="str">
            <v>C5</v>
          </cell>
          <cell r="G1083" t="str">
            <v>SP</v>
          </cell>
          <cell r="H1083" t="str">
            <v>DISTRIBUIÇÃO</v>
          </cell>
          <cell r="I1083" t="str">
            <v>FOOD SERVICE</v>
          </cell>
          <cell r="J1083" t="str">
            <v>FLAC 2</v>
          </cell>
          <cell r="K1083" t="str">
            <v>LACTALIS</v>
          </cell>
          <cell r="L1083" t="str">
            <v>RODRIGO</v>
          </cell>
          <cell r="M1083" t="str">
            <v>ALEXANDRO</v>
          </cell>
        </row>
        <row r="1084">
          <cell r="B1084">
            <v>5138406</v>
          </cell>
          <cell r="C1084" t="str">
            <v>PARMEZAO INDUSTRIA E COM DE ALIM LT</v>
          </cell>
          <cell r="D1084">
            <v>3001</v>
          </cell>
          <cell r="E1084" t="str">
            <v>0028</v>
          </cell>
          <cell r="F1084" t="str">
            <v>C1</v>
          </cell>
          <cell r="G1084" t="str">
            <v>RJ</v>
          </cell>
          <cell r="H1084" t="str">
            <v>INGREDIENTS</v>
          </cell>
          <cell r="I1084" t="str">
            <v>INGREDIENTS</v>
          </cell>
          <cell r="J1084" t="str">
            <v>HENRIQUE FERREIRA</v>
          </cell>
          <cell r="K1084" t="str">
            <v>ITAMBÉ</v>
          </cell>
          <cell r="L1084" t="str">
            <v>MAURICIO</v>
          </cell>
          <cell r="M1084" t="str">
            <v>JOEL</v>
          </cell>
        </row>
        <row r="1085">
          <cell r="B1085">
            <v>5330187</v>
          </cell>
          <cell r="C1085" t="str">
            <v>PATISSERIE ALEXANDRIEN DOCERIA LTDA</v>
          </cell>
          <cell r="D1085">
            <v>7001</v>
          </cell>
          <cell r="E1085" t="str">
            <v>0749</v>
          </cell>
          <cell r="F1085" t="str">
            <v>C5</v>
          </cell>
          <cell r="G1085" t="str">
            <v>SP</v>
          </cell>
          <cell r="H1085" t="str">
            <v>DISTRIBUIÇÃO</v>
          </cell>
          <cell r="I1085" t="str">
            <v>FOOD SERVICE</v>
          </cell>
          <cell r="J1085" t="str">
            <v>FLAC 5</v>
          </cell>
          <cell r="K1085" t="str">
            <v>LACTALIS</v>
          </cell>
          <cell r="L1085" t="str">
            <v>RODRIGO</v>
          </cell>
          <cell r="M1085" t="str">
            <v>ALEXANDRO</v>
          </cell>
        </row>
        <row r="1086">
          <cell r="B1086">
            <v>5337689</v>
          </cell>
          <cell r="C1086" t="str">
            <v>PAULA RENATA CASTRO CURTOLO DE</v>
          </cell>
          <cell r="D1086">
            <v>7001</v>
          </cell>
          <cell r="E1086" t="str">
            <v>0749</v>
          </cell>
          <cell r="F1086" t="str">
            <v>C5</v>
          </cell>
          <cell r="G1086" t="str">
            <v>SP</v>
          </cell>
          <cell r="H1086" t="str">
            <v>DISTRIBUIÇÃO</v>
          </cell>
          <cell r="I1086" t="str">
            <v>FOOD SERVICE</v>
          </cell>
          <cell r="J1086" t="str">
            <v>FLAC 2</v>
          </cell>
          <cell r="K1086" t="str">
            <v>LACTALIS</v>
          </cell>
          <cell r="L1086" t="str">
            <v>RODRIGO</v>
          </cell>
          <cell r="M1086" t="str">
            <v>ALEXANDRO</v>
          </cell>
        </row>
        <row r="1087">
          <cell r="B1087">
            <v>5266265</v>
          </cell>
          <cell r="C1087" t="str">
            <v>PAULINO RESTAURANTE LTDA</v>
          </cell>
          <cell r="D1087">
            <v>7001</v>
          </cell>
          <cell r="E1087" t="str">
            <v>0749</v>
          </cell>
          <cell r="F1087" t="str">
            <v>C5</v>
          </cell>
          <cell r="G1087" t="str">
            <v>SP</v>
          </cell>
          <cell r="H1087" t="str">
            <v>DISTRIBUIÇÃO</v>
          </cell>
          <cell r="I1087" t="str">
            <v>FOOD SERVICE</v>
          </cell>
          <cell r="J1087" t="str">
            <v>FLAC 3</v>
          </cell>
          <cell r="K1087" t="str">
            <v>LACTALIS</v>
          </cell>
          <cell r="L1087" t="str">
            <v>RODRIGO</v>
          </cell>
          <cell r="M1087" t="str">
            <v>ALEXANDRO</v>
          </cell>
        </row>
        <row r="1088">
          <cell r="B1088">
            <v>5301137</v>
          </cell>
          <cell r="C1088" t="str">
            <v>PAULO ROBERTO DE GODOY</v>
          </cell>
          <cell r="D1088">
            <v>7001</v>
          </cell>
          <cell r="E1088" t="str">
            <v>0749</v>
          </cell>
          <cell r="F1088" t="str">
            <v>C5</v>
          </cell>
          <cell r="G1088" t="str">
            <v>SP</v>
          </cell>
          <cell r="H1088" t="str">
            <v>DISTRIBUIÇÃO</v>
          </cell>
          <cell r="I1088" t="str">
            <v>FOOD SERVICE</v>
          </cell>
          <cell r="J1088" t="str">
            <v>FLAC 3</v>
          </cell>
          <cell r="K1088" t="str">
            <v>LACTALIS</v>
          </cell>
          <cell r="L1088" t="str">
            <v>RODRIGO</v>
          </cell>
          <cell r="M1088" t="str">
            <v>ALEXANDRO</v>
          </cell>
        </row>
        <row r="1089">
          <cell r="B1089">
            <v>5228457</v>
          </cell>
          <cell r="C1089" t="str">
            <v>PDA DISTRIBUIDORA DE ALIM LTDA</v>
          </cell>
          <cell r="D1089">
            <v>3001</v>
          </cell>
          <cell r="E1089" t="str">
            <v>0126</v>
          </cell>
          <cell r="F1089" t="str">
            <v>C1</v>
          </cell>
          <cell r="G1089" t="str">
            <v>PR</v>
          </cell>
          <cell r="H1089" t="str">
            <v>DISTRIBUIÇÃO</v>
          </cell>
          <cell r="I1089" t="str">
            <v>FOOD SERVICE</v>
          </cell>
          <cell r="J1089" t="str">
            <v>ANTÔNIO SOUZA</v>
          </cell>
          <cell r="K1089" t="str">
            <v>ITAMBÉ</v>
          </cell>
          <cell r="L1089" t="str">
            <v>RODRIGO</v>
          </cell>
          <cell r="M1089" t="str">
            <v>VAGO SUL</v>
          </cell>
        </row>
        <row r="1090">
          <cell r="B1090">
            <v>5198979</v>
          </cell>
          <cell r="C1090" t="str">
            <v>PENIEL DIST DE MEDICAMENTOS E A</v>
          </cell>
          <cell r="D1090">
            <v>3001</v>
          </cell>
          <cell r="E1090" t="str">
            <v>0126</v>
          </cell>
          <cell r="F1090" t="str">
            <v>C1</v>
          </cell>
          <cell r="G1090" t="str">
            <v>PR</v>
          </cell>
          <cell r="H1090" t="str">
            <v>DISTRIBUIÇÃO</v>
          </cell>
          <cell r="I1090" t="str">
            <v>FOOD SERVICE</v>
          </cell>
          <cell r="J1090" t="str">
            <v>ANTÔNIO SOUZA</v>
          </cell>
          <cell r="K1090" t="str">
            <v>ITAMBÉ</v>
          </cell>
          <cell r="L1090" t="str">
            <v>RODRIGO</v>
          </cell>
          <cell r="M1090" t="str">
            <v>VAGO SUL</v>
          </cell>
        </row>
        <row r="1091">
          <cell r="B1091">
            <v>5016719</v>
          </cell>
          <cell r="C1091" t="str">
            <v>PENNACCHI E CIA LTDA</v>
          </cell>
          <cell r="D1091">
            <v>3001</v>
          </cell>
          <cell r="E1091" t="str">
            <v>0126</v>
          </cell>
          <cell r="F1091" t="str">
            <v>C1</v>
          </cell>
          <cell r="G1091" t="str">
            <v>PR</v>
          </cell>
          <cell r="H1091" t="str">
            <v>DISTRIBUIÇÃO</v>
          </cell>
          <cell r="I1091" t="str">
            <v>FOOD SERVICE</v>
          </cell>
          <cell r="J1091" t="str">
            <v>ANTÔNIO SOUZA</v>
          </cell>
          <cell r="K1091" t="str">
            <v>ITAMBÉ</v>
          </cell>
          <cell r="L1091" t="str">
            <v>RODRIGO</v>
          </cell>
          <cell r="M1091" t="str">
            <v>VAGO SUL</v>
          </cell>
        </row>
        <row r="1092">
          <cell r="B1092">
            <v>5109539</v>
          </cell>
          <cell r="C1092" t="str">
            <v>PEQUENAS DELICIAS DOCERIA LTDA</v>
          </cell>
          <cell r="D1092">
            <v>7001</v>
          </cell>
          <cell r="E1092" t="str">
            <v>0749</v>
          </cell>
          <cell r="F1092" t="str">
            <v>C5</v>
          </cell>
          <cell r="G1092" t="str">
            <v>SP</v>
          </cell>
          <cell r="H1092" t="str">
            <v>DISTRIBUIÇÃO</v>
          </cell>
          <cell r="I1092" t="str">
            <v>FOOD SERVICE</v>
          </cell>
          <cell r="J1092" t="str">
            <v>FLAC 5</v>
          </cell>
          <cell r="K1092" t="str">
            <v>LACTALIS</v>
          </cell>
          <cell r="L1092" t="str">
            <v>RODRIGO</v>
          </cell>
          <cell r="M1092" t="str">
            <v>ALEXANDRO</v>
          </cell>
        </row>
        <row r="1093">
          <cell r="B1093">
            <v>5310045</v>
          </cell>
          <cell r="C1093" t="str">
            <v>PEREZ E DAMIANI COMUNICACAO LTDA</v>
          </cell>
          <cell r="D1093">
            <v>7001</v>
          </cell>
          <cell r="E1093" t="str">
            <v>0749</v>
          </cell>
          <cell r="F1093" t="str">
            <v>C5</v>
          </cell>
          <cell r="G1093" t="str">
            <v>SP</v>
          </cell>
          <cell r="H1093" t="str">
            <v>DISTRIBUIÇÃO</v>
          </cell>
          <cell r="I1093" t="str">
            <v>FOOD SERVICE</v>
          </cell>
          <cell r="J1093" t="str">
            <v>FLAC 4</v>
          </cell>
          <cell r="K1093" t="str">
            <v>LACTALIS</v>
          </cell>
          <cell r="L1093" t="str">
            <v>RODRIGO</v>
          </cell>
          <cell r="M1093" t="str">
            <v>ALEXANDRO</v>
          </cell>
        </row>
        <row r="1094">
          <cell r="B1094">
            <v>5192423</v>
          </cell>
          <cell r="C1094" t="str">
            <v>PERFETTO ALIMENTOS LTDA</v>
          </cell>
          <cell r="D1094">
            <v>4001</v>
          </cell>
          <cell r="E1094" t="str">
            <v>0423</v>
          </cell>
          <cell r="F1094" t="str">
            <v>C5</v>
          </cell>
          <cell r="G1094" t="str">
            <v>SP</v>
          </cell>
          <cell r="H1094" t="str">
            <v>INGREDIENTS</v>
          </cell>
          <cell r="I1094" t="str">
            <v>INGREDIENTS</v>
          </cell>
          <cell r="J1094" t="str">
            <v>JOEL ELEOTÉRIO</v>
          </cell>
          <cell r="K1094" t="str">
            <v>LACTALIS</v>
          </cell>
          <cell r="L1094" t="str">
            <v>MAURICIO</v>
          </cell>
          <cell r="M1094" t="str">
            <v>JOEL</v>
          </cell>
        </row>
        <row r="1095">
          <cell r="B1095">
            <v>5183962</v>
          </cell>
          <cell r="C1095" t="str">
            <v>PETIBOM SORVETES LTDA</v>
          </cell>
          <cell r="D1095">
            <v>3001</v>
          </cell>
          <cell r="E1095" t="str">
            <v>0028</v>
          </cell>
          <cell r="F1095" t="str">
            <v>C1</v>
          </cell>
          <cell r="G1095" t="str">
            <v>SC</v>
          </cell>
          <cell r="H1095" t="str">
            <v>INGREDIENTS</v>
          </cell>
          <cell r="I1095" t="str">
            <v>INGREDIENTS</v>
          </cell>
          <cell r="J1095" t="str">
            <v>DUAS RODAS</v>
          </cell>
          <cell r="K1095" t="str">
            <v>ITAMBÉ</v>
          </cell>
          <cell r="L1095" t="str">
            <v>MAURICIO</v>
          </cell>
          <cell r="M1095" t="str">
            <v>MARCELO</v>
          </cell>
        </row>
        <row r="1096">
          <cell r="B1096">
            <v>5138043</v>
          </cell>
          <cell r="C1096" t="str">
            <v>PH E B COM E SERVICOS LTDA ME</v>
          </cell>
          <cell r="D1096">
            <v>3001</v>
          </cell>
          <cell r="E1096" t="str">
            <v>0127</v>
          </cell>
          <cell r="F1096" t="str">
            <v>C1</v>
          </cell>
          <cell r="G1096" t="str">
            <v>CE</v>
          </cell>
          <cell r="H1096" t="str">
            <v>DISTRIBUIÇÃO</v>
          </cell>
          <cell r="I1096" t="str">
            <v>FOOD SERVICE</v>
          </cell>
          <cell r="J1096" t="str">
            <v>WH FOOD SERVICE CE</v>
          </cell>
          <cell r="K1096" t="str">
            <v>ITAMBÉ</v>
          </cell>
          <cell r="L1096" t="str">
            <v>RODRIGO</v>
          </cell>
          <cell r="M1096" t="str">
            <v>VAGO NORDESTE</v>
          </cell>
        </row>
        <row r="1097">
          <cell r="B1097">
            <v>5181208</v>
          </cell>
          <cell r="C1097" t="str">
            <v>PILLAR DISTRIB DE ALIMENTOS EIRELI</v>
          </cell>
          <cell r="D1097">
            <v>3001</v>
          </cell>
          <cell r="E1097" t="str">
            <v>0169</v>
          </cell>
          <cell r="F1097" t="str">
            <v>C1</v>
          </cell>
          <cell r="G1097" t="str">
            <v>ES</v>
          </cell>
          <cell r="H1097" t="str">
            <v>DISTRIBUIÇÃO</v>
          </cell>
          <cell r="I1097" t="str">
            <v>FOOD SERVICE</v>
          </cell>
          <cell r="J1097" t="str">
            <v>MARCELO DUARTE</v>
          </cell>
          <cell r="K1097" t="str">
            <v>ITAMBÉ</v>
          </cell>
          <cell r="L1097" t="str">
            <v>RODRIGO</v>
          </cell>
          <cell r="M1097" t="str">
            <v>JESSICA</v>
          </cell>
        </row>
        <row r="1098">
          <cell r="B1098">
            <v>5186815</v>
          </cell>
          <cell r="C1098" t="str">
            <v>PILLAR DOCES E EMBALAGENS LTDA</v>
          </cell>
          <cell r="D1098">
            <v>3001</v>
          </cell>
          <cell r="E1098" t="str">
            <v>0169</v>
          </cell>
          <cell r="F1098" t="str">
            <v>C1</v>
          </cell>
          <cell r="G1098" t="str">
            <v>ES</v>
          </cell>
          <cell r="H1098" t="str">
            <v>DISTRIBUIÇÃO</v>
          </cell>
          <cell r="I1098" t="str">
            <v>FOOD SERVICE</v>
          </cell>
          <cell r="J1098" t="str">
            <v>MARCELO DUARTE</v>
          </cell>
          <cell r="K1098" t="str">
            <v>ITAMBÉ</v>
          </cell>
          <cell r="L1098" t="str">
            <v>RODRIGO</v>
          </cell>
          <cell r="M1098" t="str">
            <v>JESSICA</v>
          </cell>
        </row>
        <row r="1099">
          <cell r="B1099">
            <v>5174274</v>
          </cell>
          <cell r="C1099" t="str">
            <v>PIMENTA VERDE ALIMENTOS LTDA</v>
          </cell>
          <cell r="D1099">
            <v>6001</v>
          </cell>
          <cell r="E1099" t="str">
            <v>6125</v>
          </cell>
          <cell r="F1099" t="str">
            <v>C1</v>
          </cell>
          <cell r="G1099" t="str">
            <v>SP</v>
          </cell>
          <cell r="H1099" t="str">
            <v>QSR</v>
          </cell>
          <cell r="I1099" t="str">
            <v>FOOD SERVICE</v>
          </cell>
          <cell r="J1099" t="str">
            <v>AMANDA CARVALHO</v>
          </cell>
          <cell r="K1099" t="str">
            <v>ITAMBÉ</v>
          </cell>
          <cell r="L1099" t="str">
            <v>PEDRO</v>
          </cell>
          <cell r="M1099" t="str">
            <v>AMANDA</v>
          </cell>
        </row>
        <row r="1100">
          <cell r="B1100">
            <v>5194319</v>
          </cell>
          <cell r="C1100" t="str">
            <v>PIMENTA VERDE ALIMENTOS LTDA</v>
          </cell>
          <cell r="D1100">
            <v>6001</v>
          </cell>
          <cell r="E1100" t="str">
            <v>6125</v>
          </cell>
          <cell r="F1100" t="str">
            <v>C1</v>
          </cell>
          <cell r="G1100" t="str">
            <v>SP</v>
          </cell>
          <cell r="H1100" t="str">
            <v>QSR</v>
          </cell>
          <cell r="I1100" t="str">
            <v>FOOD SERVICE</v>
          </cell>
          <cell r="J1100" t="str">
            <v>AMANDA CARVALHO</v>
          </cell>
          <cell r="K1100" t="str">
            <v>ITAMBÉ</v>
          </cell>
          <cell r="L1100" t="str">
            <v>PEDRO</v>
          </cell>
          <cell r="M1100" t="str">
            <v>AMANDA</v>
          </cell>
        </row>
        <row r="1101">
          <cell r="B1101">
            <v>5262287</v>
          </cell>
          <cell r="C1101" t="str">
            <v>PINA RESTAURANTE EIRELI</v>
          </cell>
          <cell r="D1101">
            <v>7001</v>
          </cell>
          <cell r="E1101" t="str">
            <v>0749</v>
          </cell>
          <cell r="F1101" t="str">
            <v>C5</v>
          </cell>
          <cell r="G1101" t="str">
            <v>SP</v>
          </cell>
          <cell r="H1101" t="str">
            <v>DISTRIBUIÇÃO</v>
          </cell>
          <cell r="I1101" t="str">
            <v>FOOD SERVICE</v>
          </cell>
          <cell r="J1101" t="str">
            <v>FLAC 4</v>
          </cell>
          <cell r="K1101" t="str">
            <v>LACTALIS</v>
          </cell>
          <cell r="L1101" t="str">
            <v>RODRIGO</v>
          </cell>
          <cell r="M1101" t="str">
            <v>ALEXANDRO</v>
          </cell>
        </row>
        <row r="1102">
          <cell r="B1102">
            <v>5331632</v>
          </cell>
          <cell r="C1102" t="str">
            <v>PINHEIROS BAR E TRATORIA LTDA</v>
          </cell>
          <cell r="D1102">
            <v>7001</v>
          </cell>
          <cell r="E1102" t="str">
            <v>0749</v>
          </cell>
          <cell r="F1102" t="str">
            <v>C5</v>
          </cell>
          <cell r="G1102" t="str">
            <v>SP</v>
          </cell>
          <cell r="H1102" t="str">
            <v>DISTRIBUIÇÃO</v>
          </cell>
          <cell r="I1102" t="str">
            <v>FOOD SERVICE</v>
          </cell>
          <cell r="J1102" t="str">
            <v>FLAC 4</v>
          </cell>
          <cell r="K1102" t="str">
            <v>LACTALIS</v>
          </cell>
          <cell r="L1102" t="str">
            <v>RODRIGO</v>
          </cell>
          <cell r="M1102" t="str">
            <v>ALEXANDRO</v>
          </cell>
        </row>
        <row r="1103">
          <cell r="B1103">
            <v>5252890</v>
          </cell>
          <cell r="C1103" t="str">
            <v>PITA SANDWICHES LTDA ME</v>
          </cell>
          <cell r="D1103">
            <v>7001</v>
          </cell>
          <cell r="E1103" t="str">
            <v>0749</v>
          </cell>
          <cell r="F1103" t="str">
            <v>C5</v>
          </cell>
          <cell r="G1103" t="str">
            <v>SP</v>
          </cell>
          <cell r="H1103" t="str">
            <v>DISTRIBUIÇÃO</v>
          </cell>
          <cell r="I1103" t="str">
            <v>FOOD SERVICE</v>
          </cell>
          <cell r="J1103" t="str">
            <v>FLAC 3</v>
          </cell>
          <cell r="K1103" t="str">
            <v>LACTALIS</v>
          </cell>
          <cell r="L1103" t="str">
            <v>RODRIGO</v>
          </cell>
          <cell r="M1103" t="str">
            <v>ALEXANDRO</v>
          </cell>
        </row>
        <row r="1104">
          <cell r="B1104">
            <v>5315264</v>
          </cell>
          <cell r="C1104" t="str">
            <v>PITAYA DELIVERY E COMERCIO DE ALIME</v>
          </cell>
          <cell r="D1104">
            <v>7001</v>
          </cell>
          <cell r="E1104" t="str">
            <v>0749</v>
          </cell>
          <cell r="F1104" t="str">
            <v>C5</v>
          </cell>
          <cell r="G1104" t="str">
            <v>SP</v>
          </cell>
          <cell r="H1104" t="str">
            <v>DISTRIBUIÇÃO</v>
          </cell>
          <cell r="I1104" t="str">
            <v>FOOD SERVICE</v>
          </cell>
          <cell r="J1104" t="str">
            <v>FLAC 3</v>
          </cell>
          <cell r="K1104" t="str">
            <v>LACTALIS</v>
          </cell>
          <cell r="L1104" t="str">
            <v>RODRIGO</v>
          </cell>
          <cell r="M1104" t="str">
            <v>ALEXANDRO</v>
          </cell>
        </row>
        <row r="1105">
          <cell r="B1105">
            <v>5279575</v>
          </cell>
          <cell r="C1105" t="str">
            <v>PIZZARIA E CHURR NOVA MACEDO LTDA E</v>
          </cell>
          <cell r="D1105">
            <v>7001</v>
          </cell>
          <cell r="E1105" t="str">
            <v>0749</v>
          </cell>
          <cell r="F1105" t="str">
            <v>C5</v>
          </cell>
          <cell r="G1105" t="str">
            <v>SP</v>
          </cell>
          <cell r="H1105" t="str">
            <v>DISTRIBUIÇÃO</v>
          </cell>
          <cell r="I1105" t="str">
            <v>FOOD SERVICE</v>
          </cell>
          <cell r="J1105" t="str">
            <v>FLAC 6</v>
          </cell>
          <cell r="K1105" t="str">
            <v>LACTALIS</v>
          </cell>
          <cell r="L1105" t="str">
            <v>RODRIGO</v>
          </cell>
          <cell r="M1105" t="str">
            <v>ALEXANDRO</v>
          </cell>
        </row>
        <row r="1106">
          <cell r="B1106">
            <v>5308084</v>
          </cell>
          <cell r="C1106" t="str">
            <v>PLAISIR PATISSERI LTDA</v>
          </cell>
          <cell r="D1106">
            <v>7001</v>
          </cell>
          <cell r="E1106" t="str">
            <v>0749</v>
          </cell>
          <cell r="F1106" t="str">
            <v>C5</v>
          </cell>
          <cell r="G1106" t="str">
            <v>SP</v>
          </cell>
          <cell r="H1106" t="str">
            <v>DISTRIBUIÇÃO</v>
          </cell>
          <cell r="I1106" t="str">
            <v>FOOD SERVICE</v>
          </cell>
          <cell r="J1106" t="str">
            <v>FLAC 6</v>
          </cell>
          <cell r="K1106" t="str">
            <v>LACTALIS</v>
          </cell>
          <cell r="L1106" t="str">
            <v>RODRIGO</v>
          </cell>
          <cell r="M1106" t="str">
            <v>ALEXANDRO</v>
          </cell>
        </row>
        <row r="1107">
          <cell r="B1107">
            <v>5195605</v>
          </cell>
          <cell r="C1107" t="str">
            <v>PLANETA DOCES E ALIMENTICIOS EIRELI</v>
          </cell>
          <cell r="D1107">
            <v>6001</v>
          </cell>
          <cell r="E1107" t="str">
            <v>6125</v>
          </cell>
          <cell r="F1107" t="str">
            <v>C1</v>
          </cell>
          <cell r="G1107" t="str">
            <v>SP</v>
          </cell>
          <cell r="H1107" t="str">
            <v>DISTRIBUIÇÃO</v>
          </cell>
          <cell r="I1107" t="str">
            <v>FOOD SERVICE</v>
          </cell>
          <cell r="J1107" t="str">
            <v>EMMANUEL FRANCISCO</v>
          </cell>
          <cell r="K1107" t="str">
            <v>ITAMBÉ</v>
          </cell>
          <cell r="L1107" t="str">
            <v>RODRIGO</v>
          </cell>
          <cell r="M1107" t="str">
            <v>ALEXANDRO</v>
          </cell>
        </row>
        <row r="1108">
          <cell r="B1108">
            <v>5223996</v>
          </cell>
          <cell r="C1108" t="str">
            <v>PLASTIC DISTRIBUIDORA LTDA</v>
          </cell>
          <cell r="D1108">
            <v>3001</v>
          </cell>
          <cell r="E1108" t="str">
            <v>0028</v>
          </cell>
          <cell r="F1108" t="str">
            <v>C1</v>
          </cell>
          <cell r="G1108" t="str">
            <v>ES</v>
          </cell>
          <cell r="H1108" t="str">
            <v>INGREDIENTS</v>
          </cell>
          <cell r="I1108" t="str">
            <v>INGREDIENTS</v>
          </cell>
          <cell r="J1108" t="str">
            <v>DUAS RODAS</v>
          </cell>
          <cell r="K1108" t="str">
            <v>ITAMBÉ</v>
          </cell>
          <cell r="L1108" t="str">
            <v>MAURICIO</v>
          </cell>
          <cell r="M1108" t="str">
            <v>JOEL</v>
          </cell>
        </row>
        <row r="1109">
          <cell r="B1109">
            <v>5060465</v>
          </cell>
          <cell r="C1109" t="str">
            <v>PLATANUS LATICINIOS LTDA</v>
          </cell>
          <cell r="D1109">
            <v>7001</v>
          </cell>
          <cell r="E1109" t="str">
            <v>0749</v>
          </cell>
          <cell r="F1109" t="str">
            <v>C5</v>
          </cell>
          <cell r="G1109" t="str">
            <v>SP</v>
          </cell>
          <cell r="H1109" t="str">
            <v>DISTRIBUIÇÃO</v>
          </cell>
          <cell r="I1109" t="str">
            <v>FOOD SERVICE</v>
          </cell>
          <cell r="J1109" t="str">
            <v>FLAC 1</v>
          </cell>
          <cell r="K1109" t="str">
            <v>LACTALIS</v>
          </cell>
          <cell r="L1109" t="str">
            <v>RODRIGO</v>
          </cell>
          <cell r="M1109" t="str">
            <v>ALEXANDRO</v>
          </cell>
        </row>
        <row r="1110">
          <cell r="B1110">
            <v>5227253</v>
          </cell>
          <cell r="C1110" t="str">
            <v>PLATLOG IMPORTACAO LOG DIST LTDA</v>
          </cell>
          <cell r="D1110">
            <v>6001</v>
          </cell>
          <cell r="E1110" t="str">
            <v>6125</v>
          </cell>
          <cell r="F1110" t="str">
            <v>C1</v>
          </cell>
          <cell r="G1110" t="str">
            <v>SP</v>
          </cell>
          <cell r="H1110" t="str">
            <v>QSR</v>
          </cell>
          <cell r="I1110" t="str">
            <v>FOOD SERVICE</v>
          </cell>
          <cell r="J1110" t="str">
            <v>ANA MENIQUETE</v>
          </cell>
          <cell r="K1110" t="str">
            <v>ITAMBÉ</v>
          </cell>
          <cell r="L1110" t="str">
            <v>PEDRO</v>
          </cell>
          <cell r="M1110" t="str">
            <v>ANA MENIQUETE</v>
          </cell>
        </row>
        <row r="1111">
          <cell r="B1111">
            <v>5227253</v>
          </cell>
          <cell r="C1111" t="str">
            <v>PLATLOG IMPORTACAO LOG DIST LTDA</v>
          </cell>
          <cell r="D1111">
            <v>7001</v>
          </cell>
          <cell r="E1111" t="str">
            <v>0722</v>
          </cell>
          <cell r="F1111" t="str">
            <v>C1</v>
          </cell>
          <cell r="G1111" t="str">
            <v>SP</v>
          </cell>
          <cell r="H1111" t="str">
            <v>QSR</v>
          </cell>
          <cell r="I1111" t="str">
            <v>FOOD SERVICE</v>
          </cell>
          <cell r="J1111" t="str">
            <v>ANA MENIQUETE</v>
          </cell>
          <cell r="K1111" t="str">
            <v>LACTALIS</v>
          </cell>
          <cell r="L1111" t="str">
            <v>PEDRO</v>
          </cell>
          <cell r="M1111" t="str">
            <v>ANA MENIQUETE</v>
          </cell>
        </row>
        <row r="1112">
          <cell r="B1112">
            <v>5229130</v>
          </cell>
          <cell r="C1112" t="str">
            <v>PLATLOG IMPORTACAO LOGISTICA E DIST</v>
          </cell>
          <cell r="D1112">
            <v>6001</v>
          </cell>
          <cell r="E1112" t="str">
            <v>6125</v>
          </cell>
          <cell r="F1112" t="str">
            <v>C1</v>
          </cell>
          <cell r="G1112" t="str">
            <v>SP</v>
          </cell>
          <cell r="H1112" t="str">
            <v>QSR</v>
          </cell>
          <cell r="I1112" t="str">
            <v>FOOD SERVICE</v>
          </cell>
          <cell r="J1112" t="str">
            <v>ANA MENIQUETE</v>
          </cell>
          <cell r="K1112" t="str">
            <v>ITAMBÉ</v>
          </cell>
          <cell r="L1112" t="str">
            <v>PEDRO</v>
          </cell>
          <cell r="M1112" t="str">
            <v>ANA MENIQUETE</v>
          </cell>
        </row>
        <row r="1113">
          <cell r="B1113">
            <v>5229130</v>
          </cell>
          <cell r="C1113" t="str">
            <v>PLATLOG IMPORTACAO LOGISTICA E DIST</v>
          </cell>
          <cell r="D1113">
            <v>7001</v>
          </cell>
          <cell r="E1113" t="str">
            <v>0722</v>
          </cell>
          <cell r="F1113" t="str">
            <v>C1</v>
          </cell>
          <cell r="G1113" t="str">
            <v>SP</v>
          </cell>
          <cell r="H1113" t="str">
            <v>QSR</v>
          </cell>
          <cell r="I1113" t="str">
            <v>FOOD SERVICE</v>
          </cell>
          <cell r="J1113" t="str">
            <v>ANA MENIQUETE</v>
          </cell>
          <cell r="K1113" t="str">
            <v>LACTALIS</v>
          </cell>
          <cell r="L1113" t="str">
            <v>PEDRO</v>
          </cell>
          <cell r="M1113" t="str">
            <v>ANA MENIQUETE</v>
          </cell>
        </row>
        <row r="1114">
          <cell r="B1114">
            <v>5307746</v>
          </cell>
          <cell r="C1114" t="str">
            <v>PLENA SAUDE SA</v>
          </cell>
          <cell r="D1114">
            <v>7001</v>
          </cell>
          <cell r="E1114" t="str">
            <v>0749</v>
          </cell>
          <cell r="F1114" t="str">
            <v>C5</v>
          </cell>
          <cell r="G1114" t="str">
            <v>SP</v>
          </cell>
          <cell r="H1114" t="str">
            <v>DISTRIBUIÇÃO</v>
          </cell>
          <cell r="I1114" t="str">
            <v>FOOD SERVICE</v>
          </cell>
          <cell r="J1114" t="str">
            <v>FLAC 3</v>
          </cell>
          <cell r="K1114" t="str">
            <v>LACTALIS</v>
          </cell>
          <cell r="L1114" t="str">
            <v>RODRIGO</v>
          </cell>
          <cell r="M1114" t="str">
            <v>ALEXANDRO</v>
          </cell>
        </row>
        <row r="1115">
          <cell r="B1115">
            <v>5334673</v>
          </cell>
          <cell r="C1115" t="str">
            <v>PLENA SAUDE SA</v>
          </cell>
          <cell r="D1115">
            <v>7001</v>
          </cell>
          <cell r="E1115" t="str">
            <v>0749</v>
          </cell>
          <cell r="F1115" t="str">
            <v>C5</v>
          </cell>
          <cell r="G1115" t="str">
            <v>SP</v>
          </cell>
          <cell r="H1115" t="str">
            <v>DISTRIBUIÇÃO</v>
          </cell>
          <cell r="I1115" t="str">
            <v>FOOD SERVICE</v>
          </cell>
          <cell r="J1115" t="str">
            <v>FLAC 3</v>
          </cell>
          <cell r="K1115" t="str">
            <v>LACTALIS</v>
          </cell>
          <cell r="L1115" t="str">
            <v>RODRIGO</v>
          </cell>
          <cell r="M1115" t="str">
            <v>ALEXANDRO</v>
          </cell>
        </row>
        <row r="1116">
          <cell r="B1116">
            <v>5162493</v>
          </cell>
          <cell r="C1116" t="str">
            <v>PLIMAX IMP E EXP EIRELI</v>
          </cell>
          <cell r="D1116">
            <v>3001</v>
          </cell>
          <cell r="E1116" t="str">
            <v>0122</v>
          </cell>
          <cell r="F1116" t="str">
            <v>C1</v>
          </cell>
          <cell r="G1116" t="str">
            <v>MG</v>
          </cell>
          <cell r="H1116" t="str">
            <v>DISTRIBUIÇÃO</v>
          </cell>
          <cell r="I1116" t="str">
            <v>FOOD SERVICE</v>
          </cell>
          <cell r="J1116" t="str">
            <v>MARCELO SILVA</v>
          </cell>
          <cell r="K1116" t="str">
            <v>ITAMBÉ</v>
          </cell>
          <cell r="L1116" t="str">
            <v>RODRIGO</v>
          </cell>
          <cell r="M1116" t="str">
            <v>CELIO MARTINS</v>
          </cell>
        </row>
        <row r="1117">
          <cell r="B1117">
            <v>5059695</v>
          </cell>
          <cell r="C1117" t="str">
            <v>POLENGHI INDUSTRIAS ALIMS LTDA</v>
          </cell>
          <cell r="D1117">
            <v>3001</v>
          </cell>
          <cell r="E1117" t="str">
            <v>0028</v>
          </cell>
          <cell r="F1117" t="str">
            <v>C1</v>
          </cell>
          <cell r="G1117" t="str">
            <v>SP</v>
          </cell>
          <cell r="H1117" t="str">
            <v>INGREDIENTS</v>
          </cell>
          <cell r="I1117" t="str">
            <v>INGREDIENTS</v>
          </cell>
          <cell r="J1117" t="str">
            <v>TATIANA NITTA</v>
          </cell>
          <cell r="K1117" t="str">
            <v>ITAMBÉ</v>
          </cell>
          <cell r="L1117" t="str">
            <v>MAURICIO</v>
          </cell>
          <cell r="M1117" t="str">
            <v>TATIANA NITTA</v>
          </cell>
        </row>
        <row r="1118">
          <cell r="B1118">
            <v>5059695</v>
          </cell>
          <cell r="C1118" t="str">
            <v>POLENGHI INDUSTRIAS ALIMS LTDA</v>
          </cell>
          <cell r="D1118">
            <v>4001</v>
          </cell>
          <cell r="E1118" t="str">
            <v>0437</v>
          </cell>
          <cell r="F1118" t="str">
            <v>C1</v>
          </cell>
          <cell r="G1118" t="str">
            <v>SP</v>
          </cell>
          <cell r="H1118" t="str">
            <v>MC DONALDS</v>
          </cell>
          <cell r="I1118" t="str">
            <v>MC DONALDS</v>
          </cell>
          <cell r="J1118" t="str">
            <v>MAURICIO GALLI</v>
          </cell>
          <cell r="K1118" t="str">
            <v>LACTALIS</v>
          </cell>
          <cell r="L1118" t="str">
            <v>MAURICIO</v>
          </cell>
          <cell r="M1118" t="str">
            <v>MAURICIO</v>
          </cell>
        </row>
        <row r="1119">
          <cell r="B1119">
            <v>5059695</v>
          </cell>
          <cell r="C1119" t="str">
            <v>POLENGHI INDUSTRIAS ALIMS LTDA</v>
          </cell>
          <cell r="D1119">
            <v>4001</v>
          </cell>
          <cell r="E1119" t="str">
            <v>0445</v>
          </cell>
          <cell r="F1119" t="str">
            <v>C7</v>
          </cell>
          <cell r="G1119" t="str">
            <v>SP</v>
          </cell>
          <cell r="H1119" t="str">
            <v>INGREDIENTS</v>
          </cell>
          <cell r="I1119" t="str">
            <v>INGREDIENTS</v>
          </cell>
          <cell r="J1119" t="str">
            <v>TATIANA NITTA</v>
          </cell>
          <cell r="K1119" t="str">
            <v>LACTALIS</v>
          </cell>
          <cell r="L1119" t="str">
            <v>MAURICIO</v>
          </cell>
          <cell r="M1119" t="str">
            <v>TATIANA NITTA</v>
          </cell>
        </row>
        <row r="1120">
          <cell r="B1120">
            <v>5223459</v>
          </cell>
          <cell r="C1120" t="str">
            <v>POMPEIA SA INDUSTRIA E COMERCIO</v>
          </cell>
          <cell r="D1120">
            <v>4001</v>
          </cell>
          <cell r="E1120" t="str">
            <v>0423</v>
          </cell>
          <cell r="F1120" t="str">
            <v>C5</v>
          </cell>
          <cell r="G1120" t="str">
            <v>SP</v>
          </cell>
          <cell r="H1120" t="str">
            <v>INGREDIENTS</v>
          </cell>
          <cell r="I1120" t="str">
            <v>INGREDIENTS</v>
          </cell>
          <cell r="J1120" t="str">
            <v>MARCELO RODRIGUES</v>
          </cell>
          <cell r="K1120" t="str">
            <v>LACTALIS</v>
          </cell>
          <cell r="L1120" t="str">
            <v>MAURICIO</v>
          </cell>
          <cell r="M1120" t="str">
            <v>MARCELO</v>
          </cell>
        </row>
        <row r="1121">
          <cell r="B1121">
            <v>5166429</v>
          </cell>
          <cell r="C1121" t="str">
            <v>PONTEVECCHIO ALIMENTOS LTDA</v>
          </cell>
          <cell r="D1121">
            <v>7001</v>
          </cell>
          <cell r="E1121" t="str">
            <v>0749</v>
          </cell>
          <cell r="F1121" t="str">
            <v>C5</v>
          </cell>
          <cell r="G1121" t="str">
            <v>SP</v>
          </cell>
          <cell r="H1121" t="str">
            <v>DISTRIBUIÇÃO</v>
          </cell>
          <cell r="I1121" t="str">
            <v>FOOD SERVICE</v>
          </cell>
          <cell r="J1121" t="str">
            <v>FLAC 3</v>
          </cell>
          <cell r="K1121" t="str">
            <v>LACTALIS</v>
          </cell>
          <cell r="L1121" t="str">
            <v>RODRIGO</v>
          </cell>
          <cell r="M1121" t="str">
            <v>ALEXANDRO</v>
          </cell>
        </row>
        <row r="1122">
          <cell r="B1122">
            <v>5162420</v>
          </cell>
          <cell r="C1122" t="str">
            <v>PONTO DO SORVETEIRO LTDA</v>
          </cell>
          <cell r="D1122">
            <v>3001</v>
          </cell>
          <cell r="E1122" t="str">
            <v>0126</v>
          </cell>
          <cell r="F1122" t="str">
            <v>C1</v>
          </cell>
          <cell r="G1122" t="str">
            <v>PR</v>
          </cell>
          <cell r="H1122" t="str">
            <v>INGREDIENTS</v>
          </cell>
          <cell r="I1122" t="str">
            <v>INGREDIENTS</v>
          </cell>
          <cell r="J1122" t="str">
            <v>DUAS RODAS</v>
          </cell>
          <cell r="K1122" t="str">
            <v>ITAMBÉ</v>
          </cell>
          <cell r="L1122" t="str">
            <v>MAURICIO</v>
          </cell>
          <cell r="M1122" t="str">
            <v>MARCELO</v>
          </cell>
        </row>
        <row r="1123">
          <cell r="B1123">
            <v>5313456</v>
          </cell>
          <cell r="C1123" t="str">
            <v>PORTEFRIO DISTRIBUIDORA DE GENEROS</v>
          </cell>
          <cell r="D1123">
            <v>3001</v>
          </cell>
          <cell r="E1123" t="str">
            <v>0169</v>
          </cell>
          <cell r="F1123" t="str">
            <v>C1</v>
          </cell>
          <cell r="G1123" t="str">
            <v>RJ</v>
          </cell>
          <cell r="H1123" t="str">
            <v>DISTRIBUIÇÃO</v>
          </cell>
          <cell r="I1123" t="str">
            <v>FOOD SERVICE</v>
          </cell>
          <cell r="J1123" t="str">
            <v>JULIANA CORDEIRO</v>
          </cell>
          <cell r="K1123" t="str">
            <v>ITAMBÉ</v>
          </cell>
          <cell r="L1123" t="str">
            <v>RODRIGO</v>
          </cell>
          <cell r="M1123" t="str">
            <v>JESSICA</v>
          </cell>
        </row>
        <row r="1124">
          <cell r="B1124">
            <v>5250841</v>
          </cell>
          <cell r="C1124" t="str">
            <v>PRADO PEREIRA ALIMENTOS LTDA</v>
          </cell>
          <cell r="D1124">
            <v>3001</v>
          </cell>
          <cell r="E1124" t="str">
            <v>0126</v>
          </cell>
          <cell r="F1124" t="str">
            <v>C1</v>
          </cell>
          <cell r="G1124" t="str">
            <v>PR</v>
          </cell>
          <cell r="H1124" t="str">
            <v>DISTRIBUIÇÃO</v>
          </cell>
          <cell r="I1124" t="str">
            <v>FOOD SERVICE</v>
          </cell>
          <cell r="J1124" t="str">
            <v>ANTÔNIO SOUZA</v>
          </cell>
          <cell r="K1124" t="str">
            <v>ITAMBÉ</v>
          </cell>
          <cell r="L1124" t="str">
            <v>RODRIGO</v>
          </cell>
          <cell r="M1124" t="str">
            <v>VAGO SUL</v>
          </cell>
        </row>
        <row r="1125">
          <cell r="B1125">
            <v>5223413</v>
          </cell>
          <cell r="C1125" t="str">
            <v>PRANA IND E COM DE ALIM LTDA</v>
          </cell>
          <cell r="D1125">
            <v>3001</v>
          </cell>
          <cell r="E1125" t="str">
            <v>0122</v>
          </cell>
          <cell r="F1125" t="str">
            <v>C1</v>
          </cell>
          <cell r="G1125" t="str">
            <v>MG</v>
          </cell>
          <cell r="H1125" t="str">
            <v>DISTRIBUIÇÃO</v>
          </cell>
          <cell r="I1125" t="str">
            <v>FOOD SERVICE</v>
          </cell>
          <cell r="J1125" t="str">
            <v>MARCELO SILVA</v>
          </cell>
          <cell r="K1125" t="str">
            <v>ITAMBÉ</v>
          </cell>
          <cell r="L1125" t="str">
            <v>RODRIGO</v>
          </cell>
          <cell r="M1125" t="str">
            <v>CELIO MARTINS</v>
          </cell>
        </row>
        <row r="1126">
          <cell r="B1126">
            <v>5254158</v>
          </cell>
          <cell r="C1126" t="str">
            <v>PREMIER RESIDENCE HOSPITAL LTDA</v>
          </cell>
          <cell r="D1126">
            <v>7001</v>
          </cell>
          <cell r="E1126" t="str">
            <v>0749</v>
          </cell>
          <cell r="F1126" t="str">
            <v>C5</v>
          </cell>
          <cell r="G1126" t="str">
            <v>SP</v>
          </cell>
          <cell r="H1126" t="str">
            <v>DISTRIBUIÇÃO</v>
          </cell>
          <cell r="I1126" t="str">
            <v>FOOD SERVICE</v>
          </cell>
          <cell r="J1126" t="str">
            <v>FLAC 6</v>
          </cell>
          <cell r="K1126" t="str">
            <v>LACTALIS</v>
          </cell>
          <cell r="L1126" t="str">
            <v>RODRIGO</v>
          </cell>
          <cell r="M1126" t="str">
            <v>ALEXANDRO</v>
          </cell>
        </row>
        <row r="1127">
          <cell r="B1127">
            <v>5280659</v>
          </cell>
          <cell r="C1127" t="str">
            <v>PRET A MANGER COM ALIM LTDA ME</v>
          </cell>
          <cell r="D1127">
            <v>7001</v>
          </cell>
          <cell r="E1127" t="str">
            <v>0749</v>
          </cell>
          <cell r="F1127" t="str">
            <v>C5</v>
          </cell>
          <cell r="G1127" t="str">
            <v>SP</v>
          </cell>
          <cell r="H1127" t="str">
            <v>DISTRIBUIÇÃO</v>
          </cell>
          <cell r="I1127" t="str">
            <v>FOOD SERVICE</v>
          </cell>
          <cell r="J1127" t="str">
            <v>FLAC 3</v>
          </cell>
          <cell r="K1127" t="str">
            <v>LACTALIS</v>
          </cell>
          <cell r="L1127" t="str">
            <v>RODRIGO</v>
          </cell>
          <cell r="M1127" t="str">
            <v>ALEXANDRO</v>
          </cell>
        </row>
        <row r="1128">
          <cell r="B1128">
            <v>5264404</v>
          </cell>
          <cell r="C1128" t="str">
            <v>PRIME ONE CAFETERIA LTDA</v>
          </cell>
          <cell r="D1128">
            <v>7001</v>
          </cell>
          <cell r="E1128" t="str">
            <v>0749</v>
          </cell>
          <cell r="F1128" t="str">
            <v>C5</v>
          </cell>
          <cell r="G1128" t="str">
            <v>SP</v>
          </cell>
          <cell r="H1128" t="str">
            <v>DISTRIBUIÇÃO</v>
          </cell>
          <cell r="I1128" t="str">
            <v>FOOD SERVICE</v>
          </cell>
          <cell r="J1128" t="str">
            <v>FLAC 6</v>
          </cell>
          <cell r="K1128" t="str">
            <v>LACTALIS</v>
          </cell>
          <cell r="L1128" t="str">
            <v>RODRIGO</v>
          </cell>
          <cell r="M1128" t="str">
            <v>ALEXANDRO</v>
          </cell>
        </row>
        <row r="1129">
          <cell r="B1129">
            <v>5264168</v>
          </cell>
          <cell r="C1129" t="str">
            <v>PRISCILA SIZUKO KANASHIRO</v>
          </cell>
          <cell r="D1129">
            <v>7001</v>
          </cell>
          <cell r="E1129" t="str">
            <v>0749</v>
          </cell>
          <cell r="F1129" t="str">
            <v>C5</v>
          </cell>
          <cell r="G1129" t="str">
            <v>SP</v>
          </cell>
          <cell r="H1129" t="str">
            <v>DISTRIBUIÇÃO</v>
          </cell>
          <cell r="I1129" t="str">
            <v>FOOD SERVICE</v>
          </cell>
          <cell r="J1129" t="str">
            <v>FLAC 6</v>
          </cell>
          <cell r="K1129" t="str">
            <v>LACTALIS</v>
          </cell>
          <cell r="L1129" t="str">
            <v>RODRIGO</v>
          </cell>
          <cell r="M1129" t="str">
            <v>ALEXANDRO</v>
          </cell>
        </row>
        <row r="1130">
          <cell r="B1130">
            <v>5262507</v>
          </cell>
          <cell r="C1130" t="str">
            <v>PROJETO POVO DA PERIFERIA</v>
          </cell>
          <cell r="D1130">
            <v>7001</v>
          </cell>
          <cell r="E1130" t="str">
            <v>0749</v>
          </cell>
          <cell r="F1130" t="str">
            <v>C5</v>
          </cell>
          <cell r="G1130" t="str">
            <v>SP</v>
          </cell>
          <cell r="H1130" t="str">
            <v>DISTRIBUIÇÃO</v>
          </cell>
          <cell r="I1130" t="str">
            <v>FOOD SERVICE</v>
          </cell>
          <cell r="J1130" t="str">
            <v>FLAC 6</v>
          </cell>
          <cell r="K1130" t="str">
            <v>LACTALIS</v>
          </cell>
          <cell r="L1130" t="str">
            <v>RODRIGO</v>
          </cell>
          <cell r="M1130" t="str">
            <v>ALEXANDRO</v>
          </cell>
        </row>
        <row r="1131">
          <cell r="B1131">
            <v>5267832</v>
          </cell>
          <cell r="C1131" t="str">
            <v>PROJETO POVO DA PERIFERIA</v>
          </cell>
          <cell r="D1131">
            <v>7001</v>
          </cell>
          <cell r="E1131" t="str">
            <v>0749</v>
          </cell>
          <cell r="F1131" t="str">
            <v>C5</v>
          </cell>
          <cell r="G1131" t="str">
            <v>SP</v>
          </cell>
          <cell r="H1131" t="str">
            <v>DISTRIBUIÇÃO</v>
          </cell>
          <cell r="I1131" t="str">
            <v>FOOD SERVICE</v>
          </cell>
          <cell r="J1131" t="str">
            <v>FLAC 6</v>
          </cell>
          <cell r="K1131" t="str">
            <v>LACTALIS</v>
          </cell>
          <cell r="L1131" t="str">
            <v>RODRIGO</v>
          </cell>
          <cell r="M1131" t="str">
            <v>ALEXANDRO</v>
          </cell>
        </row>
        <row r="1132">
          <cell r="B1132">
            <v>5312476</v>
          </cell>
          <cell r="C1132" t="str">
            <v>PROJETO POVO DA PERIFERIA</v>
          </cell>
          <cell r="D1132">
            <v>7001</v>
          </cell>
          <cell r="E1132" t="str">
            <v>0749</v>
          </cell>
          <cell r="F1132" t="str">
            <v>C5</v>
          </cell>
          <cell r="G1132" t="str">
            <v>SP</v>
          </cell>
          <cell r="H1132" t="str">
            <v>DISTRIBUIÇÃO</v>
          </cell>
          <cell r="I1132" t="str">
            <v>FOOD SERVICE</v>
          </cell>
          <cell r="J1132" t="str">
            <v>FLAC 6</v>
          </cell>
          <cell r="K1132" t="str">
            <v>LACTALIS</v>
          </cell>
          <cell r="L1132" t="str">
            <v>RODRIGO</v>
          </cell>
          <cell r="M1132" t="str">
            <v>ALEXANDRO</v>
          </cell>
        </row>
        <row r="1133">
          <cell r="B1133">
            <v>5267513</v>
          </cell>
          <cell r="C1133" t="str">
            <v>PROJETO POVO DA PERIFERIA</v>
          </cell>
          <cell r="D1133">
            <v>7001</v>
          </cell>
          <cell r="E1133" t="str">
            <v>0749</v>
          </cell>
          <cell r="F1133" t="str">
            <v>C5</v>
          </cell>
          <cell r="G1133" t="str">
            <v>SP</v>
          </cell>
          <cell r="H1133" t="str">
            <v>DISTRIBUIÇÃO</v>
          </cell>
          <cell r="I1133" t="str">
            <v>FOOD SERVICE</v>
          </cell>
          <cell r="J1133" t="str">
            <v>FLAC 6</v>
          </cell>
          <cell r="K1133" t="str">
            <v>LACTALIS</v>
          </cell>
          <cell r="L1133" t="str">
            <v>RODRIGO</v>
          </cell>
          <cell r="M1133" t="str">
            <v>ALEXANDRO</v>
          </cell>
        </row>
        <row r="1134">
          <cell r="B1134">
            <v>5230884</v>
          </cell>
          <cell r="C1134" t="str">
            <v>PROREGI IND COM E IMPORT LTDA</v>
          </cell>
          <cell r="D1134">
            <v>3001</v>
          </cell>
          <cell r="E1134" t="str">
            <v>0122</v>
          </cell>
          <cell r="F1134" t="str">
            <v>C1</v>
          </cell>
          <cell r="G1134" t="str">
            <v>MG</v>
          </cell>
          <cell r="H1134" t="str">
            <v>INGREDIENTS</v>
          </cell>
          <cell r="I1134" t="str">
            <v>INGREDIENTS</v>
          </cell>
          <cell r="J1134" t="str">
            <v>HENRIQUE FERREIRA</v>
          </cell>
          <cell r="K1134" t="str">
            <v>ITAMBÉ</v>
          </cell>
          <cell r="L1134" t="str">
            <v>MAURICIO</v>
          </cell>
          <cell r="M1134" t="str">
            <v>JOEL</v>
          </cell>
        </row>
        <row r="1135">
          <cell r="B1135">
            <v>5289223</v>
          </cell>
          <cell r="C1135" t="str">
            <v>PROTTI CONFEITARIA E CAFETERIA LTDA</v>
          </cell>
          <cell r="D1135">
            <v>7001</v>
          </cell>
          <cell r="E1135" t="str">
            <v>0749</v>
          </cell>
          <cell r="F1135" t="str">
            <v>C5</v>
          </cell>
          <cell r="G1135" t="str">
            <v>SP</v>
          </cell>
          <cell r="H1135" t="str">
            <v>DISTRIBUIÇÃO</v>
          </cell>
          <cell r="I1135" t="str">
            <v>FOOD SERVICE</v>
          </cell>
          <cell r="J1135" t="str">
            <v>FLAC 6</v>
          </cell>
          <cell r="K1135" t="str">
            <v>LACTALIS</v>
          </cell>
          <cell r="L1135" t="str">
            <v>RODRIGO</v>
          </cell>
          <cell r="M1135" t="str">
            <v>ALEXANDRO</v>
          </cell>
        </row>
        <row r="1136">
          <cell r="B1136">
            <v>5334782</v>
          </cell>
          <cell r="C1136" t="str">
            <v>QUALISABOR REFEICOES LTDA</v>
          </cell>
          <cell r="D1136">
            <v>7001</v>
          </cell>
          <cell r="E1136" t="str">
            <v>0749</v>
          </cell>
          <cell r="F1136" t="str">
            <v>C5</v>
          </cell>
          <cell r="G1136" t="str">
            <v>SP</v>
          </cell>
          <cell r="H1136" t="str">
            <v>DISTRIBUIÇÃO</v>
          </cell>
          <cell r="I1136" t="str">
            <v>FOOD SERVICE</v>
          </cell>
          <cell r="J1136" t="str">
            <v>FLAC 4</v>
          </cell>
          <cell r="K1136" t="str">
            <v>LACTALIS</v>
          </cell>
          <cell r="L1136" t="str">
            <v>RODRIGO</v>
          </cell>
          <cell r="M1136" t="str">
            <v>ALEXANDRO</v>
          </cell>
        </row>
        <row r="1137">
          <cell r="B1137">
            <v>5235868</v>
          </cell>
          <cell r="C1137" t="str">
            <v>QUI O QUA PASTICCIOTTERIA LTDA</v>
          </cell>
          <cell r="D1137">
            <v>7001</v>
          </cell>
          <cell r="E1137" t="str">
            <v>0749</v>
          </cell>
          <cell r="F1137" t="str">
            <v>C5</v>
          </cell>
          <cell r="G1137" t="str">
            <v>SP</v>
          </cell>
          <cell r="H1137" t="str">
            <v>DISTRIBUIÇÃO</v>
          </cell>
          <cell r="I1137" t="str">
            <v>FOOD SERVICE</v>
          </cell>
          <cell r="J1137" t="str">
            <v>FLAC 6</v>
          </cell>
          <cell r="K1137" t="str">
            <v>LACTALIS</v>
          </cell>
          <cell r="L1137" t="str">
            <v>RODRIGO</v>
          </cell>
          <cell r="M1137" t="str">
            <v>ALEXANDRO</v>
          </cell>
        </row>
        <row r="1138">
          <cell r="B1138">
            <v>5229137</v>
          </cell>
          <cell r="C1138" t="str">
            <v>QUINTAL NAT EMPORIO DE ALIM ORG</v>
          </cell>
          <cell r="D1138">
            <v>7001</v>
          </cell>
          <cell r="E1138" t="str">
            <v>0749</v>
          </cell>
          <cell r="F1138" t="str">
            <v>C5</v>
          </cell>
          <cell r="G1138" t="str">
            <v>SP</v>
          </cell>
          <cell r="H1138" t="str">
            <v>DISTRIBUIÇÃO</v>
          </cell>
          <cell r="I1138" t="str">
            <v>FOOD SERVICE</v>
          </cell>
          <cell r="J1138" t="str">
            <v>FLAC 5</v>
          </cell>
          <cell r="K1138" t="str">
            <v>LACTALIS</v>
          </cell>
          <cell r="L1138" t="str">
            <v>RODRIGO</v>
          </cell>
          <cell r="M1138" t="str">
            <v>ALEXANDRO</v>
          </cell>
        </row>
        <row r="1139">
          <cell r="B1139">
            <v>5320540</v>
          </cell>
          <cell r="C1139" t="str">
            <v>QUINTANA COMERCIO DE ALIMENTOS LTDA</v>
          </cell>
          <cell r="D1139">
            <v>7001</v>
          </cell>
          <cell r="E1139" t="str">
            <v>0749</v>
          </cell>
          <cell r="F1139" t="str">
            <v>C5</v>
          </cell>
          <cell r="G1139" t="str">
            <v>SP</v>
          </cell>
          <cell r="H1139" t="str">
            <v>DISTRIBUIÇÃO</v>
          </cell>
          <cell r="I1139" t="str">
            <v>FOOD SERVICE</v>
          </cell>
          <cell r="J1139" t="str">
            <v>FLAC 3</v>
          </cell>
          <cell r="K1139" t="str">
            <v>LACTALIS</v>
          </cell>
          <cell r="L1139" t="str">
            <v>RODRIGO</v>
          </cell>
          <cell r="M1139" t="str">
            <v>ALEXANDRO</v>
          </cell>
        </row>
        <row r="1140">
          <cell r="B1140">
            <v>5275244</v>
          </cell>
          <cell r="C1140" t="str">
            <v>QUIOSQUE DO MATE CAFETERIA EIRELI</v>
          </cell>
          <cell r="D1140">
            <v>7001</v>
          </cell>
          <cell r="E1140" t="str">
            <v>0749</v>
          </cell>
          <cell r="F1140" t="str">
            <v>C5</v>
          </cell>
          <cell r="G1140" t="str">
            <v>SP</v>
          </cell>
          <cell r="H1140" t="str">
            <v>DISTRIBUIÇÃO</v>
          </cell>
          <cell r="I1140" t="str">
            <v>FOOD SERVICE</v>
          </cell>
          <cell r="J1140" t="str">
            <v>FLAC 7</v>
          </cell>
          <cell r="K1140" t="str">
            <v>LACTALIS</v>
          </cell>
          <cell r="L1140" t="str">
            <v>RODRIGO</v>
          </cell>
          <cell r="M1140" t="str">
            <v>ALEXANDRO</v>
          </cell>
        </row>
        <row r="1141">
          <cell r="B1141">
            <v>5145758</v>
          </cell>
          <cell r="C1141" t="str">
            <v>R E M COM DE PROD ALIM E ART PA</v>
          </cell>
          <cell r="D1141">
            <v>6001</v>
          </cell>
          <cell r="E1141" t="str">
            <v>6125</v>
          </cell>
          <cell r="F1141" t="str">
            <v>C1</v>
          </cell>
          <cell r="G1141" t="str">
            <v>SP</v>
          </cell>
          <cell r="H1141" t="str">
            <v>INGREDIENTS</v>
          </cell>
          <cell r="I1141" t="str">
            <v>INGREDIENTS</v>
          </cell>
          <cell r="J1141" t="str">
            <v>DUAS RODAS</v>
          </cell>
          <cell r="K1141" t="str">
            <v>ITAMBÉ</v>
          </cell>
          <cell r="L1141" t="str">
            <v>MAURICIO</v>
          </cell>
          <cell r="M1141" t="str">
            <v>TATIANA NITTA</v>
          </cell>
        </row>
        <row r="1142">
          <cell r="B1142">
            <v>5160852</v>
          </cell>
          <cell r="C1142" t="str">
            <v>R S TOLEDO MIX</v>
          </cell>
          <cell r="D1142">
            <v>3001</v>
          </cell>
          <cell r="E1142" t="str">
            <v>0122</v>
          </cell>
          <cell r="F1142" t="str">
            <v>C1</v>
          </cell>
          <cell r="G1142" t="str">
            <v>MG</v>
          </cell>
          <cell r="H1142" t="str">
            <v>DISTRIBUIÇÃO</v>
          </cell>
          <cell r="I1142" t="str">
            <v>FOOD SERVICE</v>
          </cell>
          <cell r="J1142" t="str">
            <v>MARCELO SILVA</v>
          </cell>
          <cell r="K1142" t="str">
            <v>ITAMBÉ</v>
          </cell>
          <cell r="L1142" t="str">
            <v>RODRIGO</v>
          </cell>
          <cell r="M1142" t="str">
            <v>CELIO MARTINS</v>
          </cell>
        </row>
        <row r="1143">
          <cell r="B1143">
            <v>5335321</v>
          </cell>
          <cell r="C1143" t="str">
            <v>RA CATERING DO BRASIL LTDA</v>
          </cell>
          <cell r="D1143">
            <v>7001</v>
          </cell>
          <cell r="E1143" t="str">
            <v>0722</v>
          </cell>
          <cell r="F1143" t="str">
            <v>C1</v>
          </cell>
          <cell r="G1143" t="str">
            <v>SP</v>
          </cell>
          <cell r="H1143" t="str">
            <v>QSR</v>
          </cell>
          <cell r="I1143" t="str">
            <v>FOOD SERVICE</v>
          </cell>
          <cell r="J1143" t="str">
            <v>AMANDA CARVALHO</v>
          </cell>
          <cell r="K1143" t="str">
            <v>LACTALIS</v>
          </cell>
          <cell r="L1143" t="str">
            <v>PEDRO</v>
          </cell>
          <cell r="M1143" t="str">
            <v>AMANDA</v>
          </cell>
        </row>
        <row r="1144">
          <cell r="B1144">
            <v>5292769</v>
          </cell>
          <cell r="C1144" t="str">
            <v>RAF MERCADO SAUDAVEL LTDA</v>
          </cell>
          <cell r="D1144">
            <v>7001</v>
          </cell>
          <cell r="E1144" t="str">
            <v>0749</v>
          </cell>
          <cell r="F1144" t="str">
            <v>C5</v>
          </cell>
          <cell r="G1144" t="str">
            <v>SP</v>
          </cell>
          <cell r="H1144" t="str">
            <v>DISTRIBUIÇÃO</v>
          </cell>
          <cell r="I1144" t="str">
            <v>FOOD SERVICE</v>
          </cell>
          <cell r="J1144" t="str">
            <v>FLAC 2</v>
          </cell>
          <cell r="K1144" t="str">
            <v>LACTALIS</v>
          </cell>
          <cell r="L1144" t="str">
            <v>RODRIGO</v>
          </cell>
          <cell r="M1144" t="str">
            <v>ALEXANDRO</v>
          </cell>
        </row>
        <row r="1145">
          <cell r="B1145">
            <v>5333153</v>
          </cell>
          <cell r="C1145" t="str">
            <v>RAROS INDUSTRIA E COM DE MASSAS AL LTDA</v>
          </cell>
          <cell r="D1145">
            <v>3001</v>
          </cell>
          <cell r="E1145" t="str">
            <v>0122</v>
          </cell>
          <cell r="F1145" t="str">
            <v>C1</v>
          </cell>
          <cell r="G1145" t="str">
            <v>MG</v>
          </cell>
          <cell r="H1145" t="str">
            <v>INGREDIENTS</v>
          </cell>
          <cell r="I1145" t="str">
            <v>INGREDIENTS</v>
          </cell>
          <cell r="J1145" t="str">
            <v>HENRIQUE FERREIRA</v>
          </cell>
          <cell r="K1145" t="str">
            <v>ITAMBÉ</v>
          </cell>
          <cell r="L1145" t="str">
            <v>MAURICIO</v>
          </cell>
          <cell r="M1145" t="str">
            <v>JOEL</v>
          </cell>
        </row>
        <row r="1146">
          <cell r="B1146">
            <v>5139542</v>
          </cell>
          <cell r="C1146" t="str">
            <v>RAYENNA KAMILA MALKUT 10657744603</v>
          </cell>
          <cell r="D1146">
            <v>3001</v>
          </cell>
          <cell r="E1146" t="str">
            <v>0122</v>
          </cell>
          <cell r="F1146" t="str">
            <v>C1</v>
          </cell>
          <cell r="G1146" t="str">
            <v>MG</v>
          </cell>
          <cell r="H1146" t="str">
            <v>DISTRIBUIÇÃO</v>
          </cell>
          <cell r="I1146" t="str">
            <v>FOOD SERVICE</v>
          </cell>
          <cell r="J1146" t="str">
            <v>MARCELO SILVA</v>
          </cell>
          <cell r="K1146" t="str">
            <v>ITAMBÉ</v>
          </cell>
          <cell r="L1146" t="str">
            <v>RODRIGO</v>
          </cell>
          <cell r="M1146" t="str">
            <v>CELIO MARTINS</v>
          </cell>
        </row>
        <row r="1147">
          <cell r="B1147">
            <v>5338523</v>
          </cell>
          <cell r="C1147" t="str">
            <v>RB DISTRIBUIDORA LTDA</v>
          </cell>
          <cell r="D1147">
            <v>3001</v>
          </cell>
          <cell r="E1147" t="str">
            <v>0028</v>
          </cell>
          <cell r="F1147" t="str">
            <v>C1</v>
          </cell>
          <cell r="G1147" t="str">
            <v>GO</v>
          </cell>
          <cell r="H1147" t="str">
            <v>INGREDIENTS</v>
          </cell>
          <cell r="I1147" t="str">
            <v>INGREDIENTS</v>
          </cell>
          <cell r="J1147" t="str">
            <v>DUAS RODAS</v>
          </cell>
          <cell r="K1147" t="str">
            <v>ITAMBÉ</v>
          </cell>
          <cell r="L1147" t="str">
            <v>MAURICIO</v>
          </cell>
          <cell r="M1147" t="str">
            <v>JOEL</v>
          </cell>
        </row>
        <row r="1148">
          <cell r="B1148">
            <v>5334202</v>
          </cell>
          <cell r="C1148" t="str">
            <v>RCP RESTAURANTE LTDA</v>
          </cell>
          <cell r="D1148">
            <v>7001</v>
          </cell>
          <cell r="E1148" t="str">
            <v>0749</v>
          </cell>
          <cell r="F1148" t="str">
            <v>C5</v>
          </cell>
          <cell r="G1148" t="str">
            <v>SP</v>
          </cell>
          <cell r="H1148" t="str">
            <v>DISTRIBUIÇÃO</v>
          </cell>
          <cell r="I1148" t="str">
            <v>FOOD SERVICE</v>
          </cell>
          <cell r="J1148" t="str">
            <v>FLAC 2</v>
          </cell>
          <cell r="K1148" t="str">
            <v>LACTALIS</v>
          </cell>
          <cell r="L1148" t="str">
            <v>RODRIGO</v>
          </cell>
          <cell r="M1148" t="str">
            <v>ALEXANDRO</v>
          </cell>
        </row>
        <row r="1149">
          <cell r="B1149">
            <v>5265010</v>
          </cell>
          <cell r="C1149" t="str">
            <v>RDG CIDADE ALIMENTOS LTDA</v>
          </cell>
          <cell r="D1149">
            <v>7001</v>
          </cell>
          <cell r="E1149" t="str">
            <v>0749</v>
          </cell>
          <cell r="F1149" t="str">
            <v>C5</v>
          </cell>
          <cell r="G1149" t="str">
            <v>SP</v>
          </cell>
          <cell r="H1149" t="str">
            <v>DISTRIBUIÇÃO</v>
          </cell>
          <cell r="I1149" t="str">
            <v>FOOD SERVICE</v>
          </cell>
          <cell r="J1149" t="str">
            <v>FLAC 3</v>
          </cell>
          <cell r="K1149" t="str">
            <v>LACTALIS</v>
          </cell>
          <cell r="L1149" t="str">
            <v>RODRIGO</v>
          </cell>
          <cell r="M1149" t="str">
            <v>ALEXANDRO</v>
          </cell>
        </row>
        <row r="1150">
          <cell r="B1150">
            <v>5333984</v>
          </cell>
          <cell r="C1150" t="str">
            <v>RDG EBPARK ALIMENTOS LTDA</v>
          </cell>
          <cell r="D1150">
            <v>7001</v>
          </cell>
          <cell r="E1150" t="str">
            <v>0749</v>
          </cell>
          <cell r="F1150" t="str">
            <v>C5</v>
          </cell>
          <cell r="G1150" t="str">
            <v>SP</v>
          </cell>
          <cell r="H1150" t="str">
            <v>DISTRIBUIÇÃO</v>
          </cell>
          <cell r="I1150" t="str">
            <v>FOOD SERVICE</v>
          </cell>
          <cell r="J1150" t="str">
            <v>FLAC 3</v>
          </cell>
          <cell r="K1150" t="str">
            <v>LACTALIS</v>
          </cell>
          <cell r="L1150" t="str">
            <v>RODRIGO</v>
          </cell>
          <cell r="M1150" t="str">
            <v>ALEXANDRO</v>
          </cell>
        </row>
        <row r="1151">
          <cell r="B1151">
            <v>5263133</v>
          </cell>
          <cell r="C1151" t="str">
            <v>RDG KAVE ALIMENTOS LTDA ME</v>
          </cell>
          <cell r="D1151">
            <v>7001</v>
          </cell>
          <cell r="E1151" t="str">
            <v>0749</v>
          </cell>
          <cell r="F1151" t="str">
            <v>C5</v>
          </cell>
          <cell r="G1151" t="str">
            <v>SP</v>
          </cell>
          <cell r="H1151" t="str">
            <v>DISTRIBUIÇÃO</v>
          </cell>
          <cell r="I1151" t="str">
            <v>FOOD SERVICE</v>
          </cell>
          <cell r="J1151" t="str">
            <v>FLAC 3</v>
          </cell>
          <cell r="K1151" t="str">
            <v>LACTALIS</v>
          </cell>
          <cell r="L1151" t="str">
            <v>RODRIGO</v>
          </cell>
          <cell r="M1151" t="str">
            <v>ALEXANDRO</v>
          </cell>
        </row>
        <row r="1152">
          <cell r="B1152">
            <v>5320370</v>
          </cell>
          <cell r="C1152" t="str">
            <v>RDG LAGO 58 ALIMENTOS LTDA</v>
          </cell>
          <cell r="D1152">
            <v>7001</v>
          </cell>
          <cell r="E1152" t="str">
            <v>0749</v>
          </cell>
          <cell r="F1152" t="str">
            <v>C5</v>
          </cell>
          <cell r="G1152" t="str">
            <v>SP</v>
          </cell>
          <cell r="H1152" t="str">
            <v>DISTRIBUIÇÃO</v>
          </cell>
          <cell r="I1152" t="str">
            <v>FOOD SERVICE</v>
          </cell>
          <cell r="J1152" t="str">
            <v>FLAC 7</v>
          </cell>
          <cell r="K1152" t="str">
            <v>LACTALIS</v>
          </cell>
          <cell r="L1152" t="str">
            <v>RODRIGO</v>
          </cell>
          <cell r="M1152" t="str">
            <v>ALEXANDRO</v>
          </cell>
        </row>
        <row r="1153">
          <cell r="B1153">
            <v>5320542</v>
          </cell>
          <cell r="C1153" t="str">
            <v>RDG LAGO 64 ALIMENTOS LTDA</v>
          </cell>
          <cell r="D1153">
            <v>7001</v>
          </cell>
          <cell r="E1153" t="str">
            <v>0749</v>
          </cell>
          <cell r="F1153" t="str">
            <v>C5</v>
          </cell>
          <cell r="G1153" t="str">
            <v>SP</v>
          </cell>
          <cell r="H1153" t="str">
            <v>DISTRIBUIÇÃO</v>
          </cell>
          <cell r="I1153" t="str">
            <v>FOOD SERVICE</v>
          </cell>
          <cell r="J1153" t="str">
            <v>FLAC 7</v>
          </cell>
          <cell r="K1153" t="str">
            <v>LACTALIS</v>
          </cell>
          <cell r="L1153" t="str">
            <v>RODRIGO</v>
          </cell>
          <cell r="M1153" t="str">
            <v>ALEXANDRO</v>
          </cell>
        </row>
        <row r="1154">
          <cell r="B1154">
            <v>5289019</v>
          </cell>
          <cell r="C1154" t="str">
            <v>RDG TOP ALIMENTOS EIRELI</v>
          </cell>
          <cell r="D1154">
            <v>7001</v>
          </cell>
          <cell r="E1154" t="str">
            <v>0749</v>
          </cell>
          <cell r="F1154" t="str">
            <v>C5</v>
          </cell>
          <cell r="G1154" t="str">
            <v>SP</v>
          </cell>
          <cell r="H1154" t="str">
            <v>DISTRIBUIÇÃO</v>
          </cell>
          <cell r="I1154" t="str">
            <v>FOOD SERVICE</v>
          </cell>
          <cell r="J1154" t="str">
            <v>FLAC 3</v>
          </cell>
          <cell r="K1154" t="str">
            <v>LACTALIS</v>
          </cell>
          <cell r="L1154" t="str">
            <v>RODRIGO</v>
          </cell>
          <cell r="M1154" t="str">
            <v>ALEXANDRO</v>
          </cell>
        </row>
        <row r="1155">
          <cell r="B1155">
            <v>5187443</v>
          </cell>
          <cell r="C1155" t="str">
            <v>REALPAN DISTRIBUIDORA LTDA</v>
          </cell>
          <cell r="D1155">
            <v>3001</v>
          </cell>
          <cell r="E1155" t="str">
            <v>0125</v>
          </cell>
          <cell r="F1155" t="str">
            <v>C1</v>
          </cell>
          <cell r="G1155" t="str">
            <v>SP</v>
          </cell>
          <cell r="H1155" t="str">
            <v>DISTRIBUIÇÃO</v>
          </cell>
          <cell r="I1155" t="str">
            <v>FOOD SERVICE</v>
          </cell>
          <cell r="J1155" t="str">
            <v>LUCAS ANDRADE</v>
          </cell>
          <cell r="K1155" t="str">
            <v>ITAMBÉ</v>
          </cell>
          <cell r="L1155" t="str">
            <v>RODRIGO</v>
          </cell>
          <cell r="M1155" t="str">
            <v>RAQUEL BARBOSA</v>
          </cell>
        </row>
        <row r="1156">
          <cell r="B1156">
            <v>5187443</v>
          </cell>
          <cell r="C1156" t="str">
            <v>REALPAN DISTRIBUIDORA LTDA</v>
          </cell>
          <cell r="D1156">
            <v>6001</v>
          </cell>
          <cell r="E1156" t="str">
            <v>6125</v>
          </cell>
          <cell r="F1156" t="str">
            <v>C1</v>
          </cell>
          <cell r="G1156" t="str">
            <v>SP</v>
          </cell>
          <cell r="H1156" t="str">
            <v>DISTRIBUIÇÃO</v>
          </cell>
          <cell r="I1156" t="str">
            <v>FOOD SERVICE</v>
          </cell>
          <cell r="J1156" t="str">
            <v>LUCAS ANDRADE</v>
          </cell>
          <cell r="K1156" t="str">
            <v>ITAMBÉ</v>
          </cell>
          <cell r="L1156" t="str">
            <v>RODRIGO</v>
          </cell>
          <cell r="M1156" t="str">
            <v>RAQUEL BARBOSA</v>
          </cell>
        </row>
        <row r="1157">
          <cell r="B1157">
            <v>5041698</v>
          </cell>
          <cell r="C1157" t="str">
            <v>REFFEL PRODUTOS ALIMENTICIOS LT</v>
          </cell>
          <cell r="D1157">
            <v>6001</v>
          </cell>
          <cell r="E1157" t="str">
            <v>6125</v>
          </cell>
          <cell r="F1157" t="str">
            <v>C1</v>
          </cell>
          <cell r="G1157" t="str">
            <v>SP</v>
          </cell>
          <cell r="H1157" t="str">
            <v>INGREDIENTS</v>
          </cell>
          <cell r="I1157" t="str">
            <v>INGREDIENTS</v>
          </cell>
          <cell r="J1157" t="str">
            <v>HENRIQUE FERREIRA</v>
          </cell>
          <cell r="K1157" t="str">
            <v>ITAMBÉ</v>
          </cell>
          <cell r="L1157" t="str">
            <v>MAURICIO</v>
          </cell>
          <cell r="M1157" t="str">
            <v>JOEL</v>
          </cell>
        </row>
        <row r="1158">
          <cell r="B1158">
            <v>5041698</v>
          </cell>
          <cell r="C1158" t="str">
            <v>REFFEL PRODUTOS ALIMENTICIOS LT</v>
          </cell>
          <cell r="D1158">
            <v>7001</v>
          </cell>
          <cell r="E1158" t="str">
            <v>0722</v>
          </cell>
          <cell r="F1158" t="str">
            <v>C1</v>
          </cell>
          <cell r="G1158" t="str">
            <v>SP</v>
          </cell>
          <cell r="H1158" t="str">
            <v>INGREDIENTS</v>
          </cell>
          <cell r="I1158" t="str">
            <v>INGREDIENTS</v>
          </cell>
          <cell r="J1158" t="str">
            <v>HENRIQUE FERREIRA</v>
          </cell>
          <cell r="K1158" t="str">
            <v>LACTALIS</v>
          </cell>
          <cell r="L1158" t="str">
            <v>MAURICIO</v>
          </cell>
          <cell r="M1158" t="str">
            <v>JOEL</v>
          </cell>
        </row>
        <row r="1159">
          <cell r="B1159">
            <v>5208114</v>
          </cell>
          <cell r="C1159" t="str">
            <v>REFINE REFEICOES INDUSTRIAIS ESPECI</v>
          </cell>
          <cell r="D1159">
            <v>3001</v>
          </cell>
          <cell r="E1159" t="str">
            <v>0127</v>
          </cell>
          <cell r="F1159" t="str">
            <v>C1</v>
          </cell>
          <cell r="G1159" t="str">
            <v>PE</v>
          </cell>
          <cell r="H1159" t="str">
            <v>DISTRIBUIÇÃO</v>
          </cell>
          <cell r="I1159" t="str">
            <v>FOOD SERVICE</v>
          </cell>
          <cell r="J1159" t="str">
            <v>CLAUDIO JORGE</v>
          </cell>
          <cell r="K1159" t="str">
            <v>ITAMBÉ</v>
          </cell>
          <cell r="L1159" t="str">
            <v>RODRIGO</v>
          </cell>
          <cell r="M1159" t="str">
            <v>VAGO NORDESTE</v>
          </cell>
        </row>
        <row r="1160">
          <cell r="B1160">
            <v>5335701</v>
          </cell>
          <cell r="C1160" t="str">
            <v>REFUGIO COMERCIO DE ALIMENTOS E</v>
          </cell>
          <cell r="D1160">
            <v>7001</v>
          </cell>
          <cell r="E1160" t="str">
            <v>0749</v>
          </cell>
          <cell r="F1160" t="str">
            <v>C5</v>
          </cell>
          <cell r="G1160" t="str">
            <v>SP</v>
          </cell>
          <cell r="H1160" t="str">
            <v>DISTRIBUIÇÃO</v>
          </cell>
          <cell r="I1160" t="str">
            <v>FOOD SERVICE</v>
          </cell>
          <cell r="J1160" t="str">
            <v>FLAC 6</v>
          </cell>
          <cell r="K1160" t="str">
            <v>LACTALIS</v>
          </cell>
          <cell r="L1160" t="str">
            <v>RODRIGO</v>
          </cell>
          <cell r="M1160" t="str">
            <v>ALEXANDRO</v>
          </cell>
        </row>
        <row r="1161">
          <cell r="B1161">
            <v>5263181</v>
          </cell>
          <cell r="C1161" t="str">
            <v>RENATA KIMIE ARASSIRO ME</v>
          </cell>
          <cell r="D1161">
            <v>7001</v>
          </cell>
          <cell r="E1161" t="str">
            <v>0749</v>
          </cell>
          <cell r="F1161" t="str">
            <v>C5</v>
          </cell>
          <cell r="G1161" t="str">
            <v>SP</v>
          </cell>
          <cell r="H1161" t="str">
            <v>DISTRIBUIÇÃO</v>
          </cell>
          <cell r="I1161" t="str">
            <v>FOOD SERVICE</v>
          </cell>
          <cell r="J1161" t="str">
            <v>FLAC 3</v>
          </cell>
          <cell r="K1161" t="str">
            <v>LACTALIS</v>
          </cell>
          <cell r="L1161" t="str">
            <v>RODRIGO</v>
          </cell>
          <cell r="M1161" t="str">
            <v>ALEXANDRO</v>
          </cell>
        </row>
        <row r="1162">
          <cell r="B1162">
            <v>5116958</v>
          </cell>
          <cell r="C1162" t="str">
            <v>RENATA RODRIGUES ANTONELLI ME</v>
          </cell>
          <cell r="D1162">
            <v>7001</v>
          </cell>
          <cell r="E1162" t="str">
            <v>0749</v>
          </cell>
          <cell r="F1162" t="str">
            <v>C5</v>
          </cell>
          <cell r="G1162" t="str">
            <v>SP</v>
          </cell>
          <cell r="H1162" t="str">
            <v>DISTRIBUIÇÃO</v>
          </cell>
          <cell r="I1162" t="str">
            <v>FOOD SERVICE</v>
          </cell>
          <cell r="J1162" t="str">
            <v>FLAC 3</v>
          </cell>
          <cell r="K1162" t="str">
            <v>LACTALIS</v>
          </cell>
          <cell r="L1162" t="str">
            <v>RODRIGO</v>
          </cell>
          <cell r="M1162" t="str">
            <v>ALEXANDRO</v>
          </cell>
        </row>
        <row r="1163">
          <cell r="B1163">
            <v>5256567</v>
          </cell>
          <cell r="C1163" t="str">
            <v>REPITA COMIDA ARABE LTDA ME</v>
          </cell>
          <cell r="D1163">
            <v>7001</v>
          </cell>
          <cell r="E1163" t="str">
            <v>0749</v>
          </cell>
          <cell r="F1163" t="str">
            <v>C5</v>
          </cell>
          <cell r="G1163" t="str">
            <v>SP</v>
          </cell>
          <cell r="H1163" t="str">
            <v>DISTRIBUIÇÃO</v>
          </cell>
          <cell r="I1163" t="str">
            <v>FOOD SERVICE</v>
          </cell>
          <cell r="J1163" t="str">
            <v>FLAC 6</v>
          </cell>
          <cell r="K1163" t="str">
            <v>LACTALIS</v>
          </cell>
          <cell r="L1163" t="str">
            <v>RODRIGO</v>
          </cell>
          <cell r="M1163" t="str">
            <v>ALEXANDRO</v>
          </cell>
        </row>
        <row r="1164">
          <cell r="B1164">
            <v>5330784</v>
          </cell>
          <cell r="C1164" t="str">
            <v>REST E LANCHONETE PALADAR LTda</v>
          </cell>
          <cell r="D1164">
            <v>7001</v>
          </cell>
          <cell r="E1164" t="str">
            <v>0749</v>
          </cell>
          <cell r="F1164" t="str">
            <v>C5</v>
          </cell>
          <cell r="G1164" t="str">
            <v>SP</v>
          </cell>
          <cell r="H1164" t="str">
            <v>DISTRIBUIÇÃO</v>
          </cell>
          <cell r="I1164" t="str">
            <v>FOOD SERVICE</v>
          </cell>
          <cell r="J1164" t="str">
            <v>FLAC 2</v>
          </cell>
          <cell r="K1164" t="str">
            <v>LACTALIS</v>
          </cell>
          <cell r="L1164" t="str">
            <v>RODRIGO</v>
          </cell>
          <cell r="M1164" t="str">
            <v>ALEXANDRO</v>
          </cell>
        </row>
        <row r="1165">
          <cell r="B1165">
            <v>5270919</v>
          </cell>
          <cell r="C1165" t="str">
            <v>REST FAGUNDES FRANGIONE E NEV SOC L</v>
          </cell>
          <cell r="D1165">
            <v>7001</v>
          </cell>
          <cell r="E1165" t="str">
            <v>0749</v>
          </cell>
          <cell r="F1165" t="str">
            <v>C5</v>
          </cell>
          <cell r="G1165" t="str">
            <v>SP</v>
          </cell>
          <cell r="H1165" t="str">
            <v>DISTRIBUIÇÃO</v>
          </cell>
          <cell r="I1165" t="str">
            <v>FOOD SERVICE</v>
          </cell>
          <cell r="J1165" t="str">
            <v>FLAC 6</v>
          </cell>
          <cell r="K1165" t="str">
            <v>LACTALIS</v>
          </cell>
          <cell r="L1165" t="str">
            <v>RODRIGO</v>
          </cell>
          <cell r="M1165" t="str">
            <v>ALEXANDRO</v>
          </cell>
        </row>
        <row r="1166">
          <cell r="B1166">
            <v>5115070</v>
          </cell>
          <cell r="C1166" t="str">
            <v>REST KAZU FOOD SERVICE LTDA</v>
          </cell>
          <cell r="D1166">
            <v>7001</v>
          </cell>
          <cell r="E1166" t="str">
            <v>0749</v>
          </cell>
          <cell r="F1166" t="str">
            <v>C5</v>
          </cell>
          <cell r="G1166" t="str">
            <v>SP</v>
          </cell>
          <cell r="H1166" t="str">
            <v>DISTRIBUIÇÃO</v>
          </cell>
          <cell r="I1166" t="str">
            <v>FOOD SERVICE</v>
          </cell>
          <cell r="J1166" t="str">
            <v>FLAC 3</v>
          </cell>
          <cell r="K1166" t="str">
            <v>LACTALIS</v>
          </cell>
          <cell r="L1166" t="str">
            <v>RODRIGO</v>
          </cell>
          <cell r="M1166" t="str">
            <v>ALEXANDRO</v>
          </cell>
        </row>
        <row r="1167">
          <cell r="B1167">
            <v>5279914</v>
          </cell>
          <cell r="C1167" t="str">
            <v>RESTAURANTE ALTO D OURO LTDA ME</v>
          </cell>
          <cell r="D1167">
            <v>7001</v>
          </cell>
          <cell r="E1167" t="str">
            <v>0749</v>
          </cell>
          <cell r="F1167" t="str">
            <v>C5</v>
          </cell>
          <cell r="G1167" t="str">
            <v>SP</v>
          </cell>
          <cell r="H1167" t="str">
            <v>DISTRIBUIÇÃO</v>
          </cell>
          <cell r="I1167" t="str">
            <v>FOOD SERVICE</v>
          </cell>
          <cell r="J1167" t="str">
            <v>FLAC 2</v>
          </cell>
          <cell r="K1167" t="str">
            <v>LACTALIS</v>
          </cell>
          <cell r="L1167" t="str">
            <v>RODRIGO</v>
          </cell>
          <cell r="M1167" t="str">
            <v>ALEXANDRO</v>
          </cell>
        </row>
        <row r="1168">
          <cell r="B1168">
            <v>5332548</v>
          </cell>
          <cell r="C1168" t="str">
            <v>RESTAURANTE BOB COMERCIO DE ALI</v>
          </cell>
          <cell r="D1168">
            <v>7001</v>
          </cell>
          <cell r="E1168" t="str">
            <v>0749</v>
          </cell>
          <cell r="F1168" t="str">
            <v>C5</v>
          </cell>
          <cell r="G1168" t="str">
            <v>SP</v>
          </cell>
          <cell r="H1168" t="str">
            <v>DISTRIBUIÇÃO</v>
          </cell>
          <cell r="I1168" t="str">
            <v>FOOD SERVICE</v>
          </cell>
          <cell r="J1168" t="str">
            <v>FLAC 2</v>
          </cell>
          <cell r="K1168" t="str">
            <v>LACTALIS</v>
          </cell>
          <cell r="L1168" t="str">
            <v>RODRIGO</v>
          </cell>
          <cell r="M1168" t="str">
            <v>ALEXANDRO</v>
          </cell>
        </row>
        <row r="1169">
          <cell r="B1169">
            <v>5248121</v>
          </cell>
          <cell r="C1169" t="str">
            <v>RESTAURANTE LILLO LTDA</v>
          </cell>
          <cell r="D1169">
            <v>7001</v>
          </cell>
          <cell r="E1169" t="str">
            <v>0749</v>
          </cell>
          <cell r="F1169" t="str">
            <v>C5</v>
          </cell>
          <cell r="G1169" t="str">
            <v>SP</v>
          </cell>
          <cell r="H1169" t="str">
            <v>DISTRIBUIÇÃO</v>
          </cell>
          <cell r="I1169" t="str">
            <v>FOOD SERVICE</v>
          </cell>
          <cell r="J1169" t="str">
            <v>FLAC 3</v>
          </cell>
          <cell r="K1169" t="str">
            <v>LACTALIS</v>
          </cell>
          <cell r="L1169" t="str">
            <v>RODRIGO</v>
          </cell>
          <cell r="M1169" t="str">
            <v>ALEXANDRO</v>
          </cell>
        </row>
        <row r="1170">
          <cell r="B1170">
            <v>5089996</v>
          </cell>
          <cell r="C1170" t="str">
            <v>COOP AGROPECUARIA PETROPOLIS LT</v>
          </cell>
          <cell r="D1170">
            <v>4001</v>
          </cell>
          <cell r="E1170" t="str">
            <v>0437</v>
          </cell>
          <cell r="F1170" t="str">
            <v>C1</v>
          </cell>
          <cell r="G1170" t="str">
            <v>RS</v>
          </cell>
          <cell r="H1170" t="str">
            <v>INGREDIENTS</v>
          </cell>
          <cell r="I1170" t="str">
            <v>INGREDIENTS</v>
          </cell>
          <cell r="J1170" t="str">
            <v>JOEL ELEOTÉRIO</v>
          </cell>
          <cell r="K1170" t="str">
            <v>LACTALIS</v>
          </cell>
          <cell r="L1170" t="str">
            <v>MAURICIO</v>
          </cell>
          <cell r="M1170" t="str">
            <v>JOEL</v>
          </cell>
        </row>
        <row r="1171">
          <cell r="B1171">
            <v>5326669</v>
          </cell>
          <cell r="C1171" t="str">
            <v>RESTAURANTE MANIOCA FARIA LIMA</v>
          </cell>
          <cell r="D1171">
            <v>7001</v>
          </cell>
          <cell r="E1171" t="str">
            <v>0749</v>
          </cell>
          <cell r="F1171" t="str">
            <v>C5</v>
          </cell>
          <cell r="G1171" t="str">
            <v>SP</v>
          </cell>
          <cell r="H1171" t="str">
            <v>DISTRIBUIÇÃO</v>
          </cell>
          <cell r="I1171" t="str">
            <v>FOOD SERVICE</v>
          </cell>
          <cell r="J1171" t="str">
            <v>FLAC 6</v>
          </cell>
          <cell r="K1171" t="str">
            <v>LACTALIS</v>
          </cell>
          <cell r="L1171" t="str">
            <v>RODRIGO</v>
          </cell>
          <cell r="M1171" t="str">
            <v>ALEXANDRO</v>
          </cell>
        </row>
        <row r="1172">
          <cell r="B1172">
            <v>5315014</v>
          </cell>
          <cell r="C1172" t="str">
            <v>RESTAURANTE MANIOCA FARIA LIMA LTDA</v>
          </cell>
          <cell r="D1172">
            <v>7001</v>
          </cell>
          <cell r="E1172" t="str">
            <v>0749</v>
          </cell>
          <cell r="F1172" t="str">
            <v>C5</v>
          </cell>
          <cell r="G1172" t="str">
            <v>SP</v>
          </cell>
          <cell r="H1172" t="str">
            <v>DISTRIBUIÇÃO</v>
          </cell>
          <cell r="I1172" t="str">
            <v>FOOD SERVICE</v>
          </cell>
          <cell r="J1172" t="str">
            <v>FLAC 6</v>
          </cell>
          <cell r="K1172" t="str">
            <v>LACTALIS</v>
          </cell>
          <cell r="L1172" t="str">
            <v>RODRIGO</v>
          </cell>
          <cell r="M1172" t="str">
            <v>ALEXANDRO</v>
          </cell>
        </row>
        <row r="1173">
          <cell r="B1173">
            <v>5334170</v>
          </cell>
          <cell r="C1173" t="str">
            <v>RESTAURANTE PAND LTDA</v>
          </cell>
          <cell r="D1173">
            <v>7001</v>
          </cell>
          <cell r="E1173" t="str">
            <v>0749</v>
          </cell>
          <cell r="F1173" t="str">
            <v>C5</v>
          </cell>
          <cell r="G1173" t="str">
            <v>SP</v>
          </cell>
          <cell r="H1173" t="str">
            <v>DISTRIBUIÇÃO</v>
          </cell>
          <cell r="I1173" t="str">
            <v>FOOD SERVICE</v>
          </cell>
          <cell r="J1173" t="str">
            <v>FLAC 3</v>
          </cell>
          <cell r="K1173" t="str">
            <v>LACTALIS</v>
          </cell>
          <cell r="L1173" t="str">
            <v>RODRIGO</v>
          </cell>
          <cell r="M1173" t="str">
            <v>ALEXANDRO</v>
          </cell>
        </row>
        <row r="1174">
          <cell r="B1174">
            <v>5328988</v>
          </cell>
          <cell r="C1174" t="str">
            <v>RESTAURANTE PIMENTA BRASSERIE S</v>
          </cell>
          <cell r="D1174">
            <v>7001</v>
          </cell>
          <cell r="E1174" t="str">
            <v>0749</v>
          </cell>
          <cell r="F1174" t="str">
            <v>C5</v>
          </cell>
          <cell r="G1174" t="str">
            <v>SP</v>
          </cell>
          <cell r="H1174" t="str">
            <v>DISTRIBUIÇÃO</v>
          </cell>
          <cell r="I1174" t="str">
            <v>FOOD SERVICE</v>
          </cell>
          <cell r="J1174" t="str">
            <v>FLAC 4</v>
          </cell>
          <cell r="K1174" t="str">
            <v>LACTALIS</v>
          </cell>
          <cell r="L1174" t="str">
            <v>RODRIGO</v>
          </cell>
          <cell r="M1174" t="str">
            <v>ALEXANDRO</v>
          </cell>
        </row>
        <row r="1175">
          <cell r="B1175">
            <v>5248099</v>
          </cell>
          <cell r="C1175" t="str">
            <v>RESTAURANTE SANTA JULIA LTDA</v>
          </cell>
          <cell r="D1175">
            <v>7001</v>
          </cell>
          <cell r="E1175" t="str">
            <v>0749</v>
          </cell>
          <cell r="F1175" t="str">
            <v>C5</v>
          </cell>
          <cell r="G1175" t="str">
            <v>SP</v>
          </cell>
          <cell r="H1175" t="str">
            <v>DISTRIBUIÇÃO</v>
          </cell>
          <cell r="I1175" t="str">
            <v>FOOD SERVICE</v>
          </cell>
          <cell r="J1175" t="str">
            <v>FLAC 2</v>
          </cell>
          <cell r="K1175" t="str">
            <v>LACTALIS</v>
          </cell>
          <cell r="L1175" t="str">
            <v>RODRIGO</v>
          </cell>
          <cell r="M1175" t="str">
            <v>ALEXANDRO</v>
          </cell>
        </row>
        <row r="1176">
          <cell r="B1176">
            <v>5259743</v>
          </cell>
          <cell r="C1176" t="str">
            <v>RESTAURANTE VICOLO NOSTRO LTDA</v>
          </cell>
          <cell r="D1176">
            <v>7001</v>
          </cell>
          <cell r="E1176" t="str">
            <v>0749</v>
          </cell>
          <cell r="F1176" t="str">
            <v>C5</v>
          </cell>
          <cell r="G1176" t="str">
            <v>SP</v>
          </cell>
          <cell r="H1176" t="str">
            <v>DISTRIBUIÇÃO</v>
          </cell>
          <cell r="I1176" t="str">
            <v>FOOD SERVICE</v>
          </cell>
          <cell r="J1176" t="str">
            <v>FLAC 3</v>
          </cell>
          <cell r="K1176" t="str">
            <v>LACTALIS</v>
          </cell>
          <cell r="L1176" t="str">
            <v>RODRIGO</v>
          </cell>
          <cell r="M1176" t="str">
            <v>ALEXANDRO</v>
          </cell>
        </row>
        <row r="1177">
          <cell r="B1177">
            <v>5270562</v>
          </cell>
          <cell r="C1177" t="str">
            <v>REVO MANUFACTORY LTDA</v>
          </cell>
          <cell r="D1177">
            <v>7001</v>
          </cell>
          <cell r="E1177" t="str">
            <v>0749</v>
          </cell>
          <cell r="F1177" t="str">
            <v>C5</v>
          </cell>
          <cell r="G1177" t="str">
            <v>SP</v>
          </cell>
          <cell r="H1177" t="str">
            <v>DISTRIBUIÇÃO</v>
          </cell>
          <cell r="I1177" t="str">
            <v>FOOD SERVICE</v>
          </cell>
          <cell r="J1177" t="str">
            <v>FLAC 2</v>
          </cell>
          <cell r="K1177" t="str">
            <v>LACTALIS</v>
          </cell>
          <cell r="L1177" t="str">
            <v>RODRIGO</v>
          </cell>
          <cell r="M1177" t="str">
            <v>ALEXANDRO</v>
          </cell>
        </row>
        <row r="1178">
          <cell r="B1178">
            <v>5171625</v>
          </cell>
          <cell r="C1178" t="str">
            <v>RFG COMERCIO TRANSPORTES E SERVICOS</v>
          </cell>
          <cell r="D1178">
            <v>4001</v>
          </cell>
          <cell r="E1178" t="str">
            <v>0437</v>
          </cell>
          <cell r="F1178" t="str">
            <v>C1</v>
          </cell>
          <cell r="G1178" t="str">
            <v>SP</v>
          </cell>
          <cell r="H1178" t="str">
            <v>MC DONALDS</v>
          </cell>
          <cell r="I1178" t="str">
            <v>MC DONALDS</v>
          </cell>
          <cell r="J1178" t="str">
            <v>MAURICIO GALLI</v>
          </cell>
          <cell r="K1178" t="str">
            <v>LACTALIS</v>
          </cell>
          <cell r="L1178" t="str">
            <v>MAURICIO</v>
          </cell>
          <cell r="M1178" t="str">
            <v>MAURICIO</v>
          </cell>
        </row>
        <row r="1179">
          <cell r="B1179">
            <v>5279462</v>
          </cell>
          <cell r="C1179" t="str">
            <v>RFG COMERCIO TRANSPORTES E SERVICOS</v>
          </cell>
          <cell r="D1179">
            <v>4001</v>
          </cell>
          <cell r="E1179" t="str">
            <v>0445</v>
          </cell>
          <cell r="F1179" t="str">
            <v>C7</v>
          </cell>
          <cell r="G1179" t="str">
            <v>SP</v>
          </cell>
          <cell r="H1179" t="str">
            <v>MC DONALDS</v>
          </cell>
          <cell r="I1179" t="str">
            <v>MC DONALDS</v>
          </cell>
          <cell r="J1179" t="str">
            <v>MAURICIO GALLI</v>
          </cell>
          <cell r="K1179" t="str">
            <v>LACTALIS</v>
          </cell>
          <cell r="L1179" t="str">
            <v>MAURICIO</v>
          </cell>
          <cell r="M1179" t="str">
            <v>MAURICIO</v>
          </cell>
        </row>
        <row r="1180">
          <cell r="B1180">
            <v>5282760</v>
          </cell>
          <cell r="C1180" t="str">
            <v>RFG COMERCIO TRANSPORTES E SERVICOS</v>
          </cell>
          <cell r="D1180">
            <v>4001</v>
          </cell>
          <cell r="E1180" t="str">
            <v>0454</v>
          </cell>
          <cell r="F1180" t="str">
            <v>C1</v>
          </cell>
          <cell r="G1180" t="str">
            <v>PE</v>
          </cell>
          <cell r="H1180" t="str">
            <v>MC DONALDS</v>
          </cell>
          <cell r="I1180" t="str">
            <v>MC DONALDS</v>
          </cell>
          <cell r="J1180" t="str">
            <v>MAURICIO GALLI</v>
          </cell>
          <cell r="K1180" t="str">
            <v>LACTALIS</v>
          </cell>
          <cell r="L1180" t="str">
            <v>MAURICIO</v>
          </cell>
          <cell r="M1180" t="str">
            <v>MAURICIO</v>
          </cell>
        </row>
        <row r="1181">
          <cell r="B1181">
            <v>5280734</v>
          </cell>
          <cell r="C1181" t="str">
            <v>RFG COMERCIO TRANSPORTES E SERVICOS</v>
          </cell>
          <cell r="D1181">
            <v>4001</v>
          </cell>
          <cell r="E1181" t="str">
            <v>0455</v>
          </cell>
          <cell r="F1181" t="str">
            <v>C1</v>
          </cell>
          <cell r="G1181" t="str">
            <v>PR</v>
          </cell>
          <cell r="H1181" t="str">
            <v>MC DONALDS</v>
          </cell>
          <cell r="I1181" t="str">
            <v>MC DONALDS</v>
          </cell>
          <cell r="J1181" t="str">
            <v>MAURICIO GALLI</v>
          </cell>
          <cell r="K1181" t="str">
            <v>LACTALIS</v>
          </cell>
          <cell r="L1181" t="str">
            <v>MAURICIO</v>
          </cell>
          <cell r="M1181" t="str">
            <v>MAURICIO</v>
          </cell>
        </row>
        <row r="1182">
          <cell r="B1182">
            <v>5311421</v>
          </cell>
          <cell r="C1182" t="str">
            <v>RFG COMERCIOTRANSP E SERVICOS LTDA</v>
          </cell>
          <cell r="D1182">
            <v>4001</v>
          </cell>
          <cell r="E1182" t="str">
            <v>0445</v>
          </cell>
          <cell r="F1182" t="str">
            <v>C7</v>
          </cell>
          <cell r="G1182" t="str">
            <v>SP</v>
          </cell>
          <cell r="H1182" t="str">
            <v>MC DONALDS</v>
          </cell>
          <cell r="I1182" t="str">
            <v>MC DONALDS</v>
          </cell>
          <cell r="J1182" t="str">
            <v>MAURICIO GALLI</v>
          </cell>
          <cell r="K1182" t="str">
            <v>LACTALIS</v>
          </cell>
          <cell r="L1182" t="str">
            <v>MAURICIO</v>
          </cell>
          <cell r="M1182" t="str">
            <v>MAURICIO</v>
          </cell>
        </row>
        <row r="1183">
          <cell r="B1183">
            <v>5264167</v>
          </cell>
          <cell r="C1183" t="str">
            <v>RGGR COMERCIAL EIRELI</v>
          </cell>
          <cell r="D1183">
            <v>7001</v>
          </cell>
          <cell r="E1183" t="str">
            <v>0749</v>
          </cell>
          <cell r="F1183" t="str">
            <v>C5</v>
          </cell>
          <cell r="G1183" t="str">
            <v>SP</v>
          </cell>
          <cell r="H1183" t="str">
            <v>DISTRIBUIÇÃO</v>
          </cell>
          <cell r="I1183" t="str">
            <v>FOOD SERVICE</v>
          </cell>
          <cell r="J1183" t="str">
            <v>FLAC 8</v>
          </cell>
          <cell r="K1183" t="str">
            <v>LACTALIS</v>
          </cell>
          <cell r="L1183" t="str">
            <v>RODRIGO</v>
          </cell>
          <cell r="M1183" t="str">
            <v>ALEXANDRO</v>
          </cell>
        </row>
        <row r="1184">
          <cell r="B1184">
            <v>5326252</v>
          </cell>
          <cell r="C1184" t="str">
            <v>RIALAC INDUSTRIA E COMERCIO</v>
          </cell>
          <cell r="D1184">
            <v>3001</v>
          </cell>
          <cell r="E1184" t="str">
            <v>0028</v>
          </cell>
          <cell r="F1184" t="str">
            <v>C1</v>
          </cell>
          <cell r="G1184" t="str">
            <v>GO</v>
          </cell>
          <cell r="H1184" t="str">
            <v>INGREDIENTS</v>
          </cell>
          <cell r="I1184" t="str">
            <v>INGREDIENTS</v>
          </cell>
          <cell r="J1184" t="str">
            <v>HENRIQUE FERREIRA</v>
          </cell>
          <cell r="K1184" t="str">
            <v>ITAMBÉ</v>
          </cell>
          <cell r="L1184" t="str">
            <v>MAURICIO</v>
          </cell>
          <cell r="M1184" t="str">
            <v>JOEL</v>
          </cell>
        </row>
        <row r="1185">
          <cell r="B1185">
            <v>5264602</v>
          </cell>
          <cell r="C1185" t="str">
            <v>RIBEIRO COM ATAC DE ALIM LTDA</v>
          </cell>
          <cell r="D1185">
            <v>3001</v>
          </cell>
          <cell r="E1185" t="str">
            <v>0127</v>
          </cell>
          <cell r="F1185" t="str">
            <v>C1</v>
          </cell>
          <cell r="G1185" t="str">
            <v>PE</v>
          </cell>
          <cell r="H1185" t="str">
            <v>DISTRIBUIÇÃO</v>
          </cell>
          <cell r="I1185" t="str">
            <v>FOOD SERVICE</v>
          </cell>
          <cell r="J1185" t="str">
            <v>CLAUDIO JORGE</v>
          </cell>
          <cell r="K1185" t="str">
            <v>ITAMBÉ</v>
          </cell>
          <cell r="L1185" t="str">
            <v>RODRIGO</v>
          </cell>
          <cell r="M1185" t="str">
            <v>VAGO NORDESTE</v>
          </cell>
        </row>
        <row r="1186">
          <cell r="B1186">
            <v>5109656</v>
          </cell>
          <cell r="C1186" t="str">
            <v>RIBERFOODS PRODUTOS ALIMENTICIOS LT</v>
          </cell>
          <cell r="D1186">
            <v>3001</v>
          </cell>
          <cell r="E1186" t="str">
            <v>0125</v>
          </cell>
          <cell r="F1186" t="str">
            <v>C1</v>
          </cell>
          <cell r="G1186" t="str">
            <v>SP</v>
          </cell>
          <cell r="H1186" t="str">
            <v>DISTRIBUIÇÃO</v>
          </cell>
          <cell r="I1186" t="str">
            <v>FOOD SERVICE</v>
          </cell>
          <cell r="J1186" t="str">
            <v>VAGO SP - INTERIOR</v>
          </cell>
          <cell r="K1186" t="str">
            <v>ITAMBÉ</v>
          </cell>
          <cell r="L1186" t="str">
            <v>RODRIGO</v>
          </cell>
          <cell r="M1186" t="str">
            <v>VAGO SP - INTERIOR</v>
          </cell>
        </row>
        <row r="1187">
          <cell r="B1187">
            <v>5109656</v>
          </cell>
          <cell r="C1187" t="str">
            <v>RIBERFOODS PRODUTOS ALIMENTICIOS LT</v>
          </cell>
          <cell r="D1187">
            <v>6001</v>
          </cell>
          <cell r="E1187" t="str">
            <v>6125</v>
          </cell>
          <cell r="F1187" t="str">
            <v>C1</v>
          </cell>
          <cell r="G1187" t="str">
            <v>SP</v>
          </cell>
          <cell r="H1187" t="str">
            <v>DISTRIBUIÇÃO</v>
          </cell>
          <cell r="I1187" t="str">
            <v>FOOD SERVICE</v>
          </cell>
          <cell r="J1187" t="str">
            <v>VAGO SP - INTERIOR</v>
          </cell>
          <cell r="K1187" t="str">
            <v>ITAMBÉ</v>
          </cell>
          <cell r="L1187" t="str">
            <v>RODRIGO</v>
          </cell>
          <cell r="M1187" t="str">
            <v>VAGO SP - INTERIOR</v>
          </cell>
        </row>
        <row r="1188">
          <cell r="B1188">
            <v>5109656</v>
          </cell>
          <cell r="C1188" t="str">
            <v>RIBERFOODS PRODUTOS ALIMENTICIOS LT</v>
          </cell>
          <cell r="D1188">
            <v>7001</v>
          </cell>
          <cell r="E1188" t="str">
            <v>0722</v>
          </cell>
          <cell r="F1188" t="str">
            <v>C1</v>
          </cell>
          <cell r="G1188" t="str">
            <v>SP</v>
          </cell>
          <cell r="H1188" t="str">
            <v>DISTRIBUIÇÃO</v>
          </cell>
          <cell r="I1188" t="str">
            <v>FOOD SERVICE</v>
          </cell>
          <cell r="J1188" t="str">
            <v>VAGO SP - INTERIOR</v>
          </cell>
          <cell r="K1188" t="str">
            <v>LACTALIS</v>
          </cell>
          <cell r="L1188" t="str">
            <v>RODRIGO</v>
          </cell>
          <cell r="M1188" t="str">
            <v>VAGO SP - INTERIOR</v>
          </cell>
        </row>
        <row r="1189">
          <cell r="B1189">
            <v>5219839</v>
          </cell>
          <cell r="C1189" t="str">
            <v>RIBERPAN COMERCIO DE ALIMENTOS LTDA</v>
          </cell>
          <cell r="D1189">
            <v>3001</v>
          </cell>
          <cell r="E1189" t="str">
            <v>0126</v>
          </cell>
          <cell r="F1189" t="str">
            <v>C1</v>
          </cell>
          <cell r="G1189" t="str">
            <v>RS</v>
          </cell>
          <cell r="H1189" t="str">
            <v>DISTRIBUIÇÃO</v>
          </cell>
          <cell r="I1189" t="str">
            <v>FOOD SERVICE</v>
          </cell>
          <cell r="J1189" t="str">
            <v>ANTÔNIO SOUZA</v>
          </cell>
          <cell r="K1189" t="str">
            <v>ITAMBÉ</v>
          </cell>
          <cell r="L1189" t="str">
            <v>RODRIGO</v>
          </cell>
          <cell r="M1189" t="str">
            <v>VAGO SUL</v>
          </cell>
        </row>
        <row r="1190">
          <cell r="B1190">
            <v>5026399</v>
          </cell>
          <cell r="C1190" t="str">
            <v>RIO QUALITY COMERCIO DE ALIMENTOS</v>
          </cell>
          <cell r="D1190">
            <v>3001</v>
          </cell>
          <cell r="E1190" t="str">
            <v>0169</v>
          </cell>
          <cell r="F1190" t="str">
            <v>C1</v>
          </cell>
          <cell r="G1190" t="str">
            <v>RJ</v>
          </cell>
          <cell r="H1190" t="str">
            <v>DISTRIBUIÇÃO</v>
          </cell>
          <cell r="I1190" t="str">
            <v>FOOD SERVICE</v>
          </cell>
          <cell r="J1190" t="str">
            <v>JESSICA CARLA</v>
          </cell>
          <cell r="K1190" t="str">
            <v>ITAMBÉ</v>
          </cell>
          <cell r="L1190" t="str">
            <v>RODRIGO</v>
          </cell>
          <cell r="M1190" t="str">
            <v>JESSICA</v>
          </cell>
        </row>
        <row r="1191">
          <cell r="B1191">
            <v>5026399</v>
          </cell>
          <cell r="C1191" t="str">
            <v>RIO QUALITY COMERCIO DE ALIMENTOS</v>
          </cell>
          <cell r="D1191">
            <v>4001</v>
          </cell>
          <cell r="E1191" t="str">
            <v>0439</v>
          </cell>
          <cell r="F1191" t="str">
            <v>C1</v>
          </cell>
          <cell r="G1191" t="str">
            <v>RJ</v>
          </cell>
          <cell r="H1191" t="str">
            <v>DISTRIBUIÇÃO</v>
          </cell>
          <cell r="I1191" t="str">
            <v>FOOD SERVICE</v>
          </cell>
          <cell r="J1191" t="str">
            <v>JESSICA CARLA</v>
          </cell>
          <cell r="K1191" t="str">
            <v>LACTALIS</v>
          </cell>
          <cell r="L1191" t="str">
            <v>RODRIGO</v>
          </cell>
          <cell r="M1191" t="str">
            <v>JESSICA</v>
          </cell>
        </row>
        <row r="1192">
          <cell r="B1192">
            <v>5247523</v>
          </cell>
          <cell r="C1192" t="str">
            <v>RIPA NA BRASA RESTAURANTE LTDA ME</v>
          </cell>
          <cell r="D1192">
            <v>7001</v>
          </cell>
          <cell r="E1192" t="str">
            <v>0749</v>
          </cell>
          <cell r="F1192" t="str">
            <v>C5</v>
          </cell>
          <cell r="G1192" t="str">
            <v>SP</v>
          </cell>
          <cell r="H1192" t="str">
            <v>DISTRIBUIÇÃO</v>
          </cell>
          <cell r="I1192" t="str">
            <v>FOOD SERVICE</v>
          </cell>
          <cell r="J1192" t="str">
            <v>FLAC 2</v>
          </cell>
          <cell r="K1192" t="str">
            <v>LACTALIS</v>
          </cell>
          <cell r="L1192" t="str">
            <v>RODRIGO</v>
          </cell>
          <cell r="M1192" t="str">
            <v>ALEXANDRO</v>
          </cell>
        </row>
        <row r="1193">
          <cell r="B1193">
            <v>5273892</v>
          </cell>
          <cell r="C1193" t="str">
            <v>RISOTOLANDIA SERVICOS DE ALIMEN</v>
          </cell>
          <cell r="D1193">
            <v>7001</v>
          </cell>
          <cell r="E1193" t="str">
            <v>0749</v>
          </cell>
          <cell r="F1193" t="str">
            <v>C5</v>
          </cell>
          <cell r="G1193" t="str">
            <v>SP</v>
          </cell>
          <cell r="H1193" t="str">
            <v>DISTRIBUIÇÃO</v>
          </cell>
          <cell r="I1193" t="str">
            <v>FOOD SERVICE</v>
          </cell>
          <cell r="J1193" t="str">
            <v>FLAC 2</v>
          </cell>
          <cell r="K1193" t="str">
            <v>LACTALIS</v>
          </cell>
          <cell r="L1193" t="str">
            <v>RODRIGO</v>
          </cell>
          <cell r="M1193" t="str">
            <v>ALEXANDRO</v>
          </cell>
        </row>
        <row r="1194">
          <cell r="B1194">
            <v>5330378</v>
          </cell>
          <cell r="C1194" t="str">
            <v>RIZZO IMPORT LTDA</v>
          </cell>
          <cell r="D1194">
            <v>6001</v>
          </cell>
          <cell r="E1194" t="str">
            <v>6125</v>
          </cell>
          <cell r="F1194" t="str">
            <v>C1</v>
          </cell>
          <cell r="G1194" t="str">
            <v>SP</v>
          </cell>
          <cell r="H1194" t="str">
            <v>DISTRIBUIÇÃO</v>
          </cell>
          <cell r="I1194" t="str">
            <v>FOOD SERVICE</v>
          </cell>
          <cell r="J1194" t="str">
            <v>GUILHERME NASCIMENTO</v>
          </cell>
          <cell r="K1194" t="str">
            <v>ITAMBÉ</v>
          </cell>
          <cell r="L1194" t="str">
            <v>RODRIGO</v>
          </cell>
          <cell r="M1194" t="str">
            <v>ALEXANDRO</v>
          </cell>
        </row>
        <row r="1195">
          <cell r="B1195">
            <v>5292065</v>
          </cell>
          <cell r="C1195" t="str">
            <v>RJR ALIMENTACOES LTDA</v>
          </cell>
          <cell r="D1195">
            <v>7001</v>
          </cell>
          <cell r="E1195" t="str">
            <v>0749</v>
          </cell>
          <cell r="F1195" t="str">
            <v>C5</v>
          </cell>
          <cell r="G1195" t="str">
            <v>SP</v>
          </cell>
          <cell r="H1195" t="str">
            <v>DISTRIBUIÇÃO</v>
          </cell>
          <cell r="I1195" t="str">
            <v>FOOD SERVICE</v>
          </cell>
          <cell r="J1195" t="str">
            <v>FLAC 2</v>
          </cell>
          <cell r="K1195" t="str">
            <v>LACTALIS</v>
          </cell>
          <cell r="L1195" t="str">
            <v>RODRIGO</v>
          </cell>
          <cell r="M1195" t="str">
            <v>ALEXANDRO</v>
          </cell>
        </row>
        <row r="1196">
          <cell r="B1196">
            <v>5322184</v>
          </cell>
          <cell r="C1196" t="str">
            <v>RJR ALIMENTACOES LTDA</v>
          </cell>
          <cell r="D1196">
            <v>7001</v>
          </cell>
          <cell r="E1196" t="str">
            <v>0749</v>
          </cell>
          <cell r="F1196" t="str">
            <v>C5</v>
          </cell>
          <cell r="G1196" t="str">
            <v>SP</v>
          </cell>
          <cell r="H1196" t="str">
            <v>DISTRIBUIÇÃO</v>
          </cell>
          <cell r="I1196" t="str">
            <v>FOOD SERVICE</v>
          </cell>
          <cell r="J1196" t="str">
            <v>FLAC 2</v>
          </cell>
          <cell r="K1196" t="str">
            <v>LACTALIS</v>
          </cell>
          <cell r="L1196" t="str">
            <v>RODRIGO</v>
          </cell>
          <cell r="M1196" t="str">
            <v>ALEXANDRO</v>
          </cell>
        </row>
        <row r="1197">
          <cell r="B1197">
            <v>5312763</v>
          </cell>
          <cell r="C1197" t="str">
            <v>RJR GASTRONOMIA EVENTOS LTDA</v>
          </cell>
          <cell r="D1197">
            <v>7001</v>
          </cell>
          <cell r="E1197" t="str">
            <v>0749</v>
          </cell>
          <cell r="F1197" t="str">
            <v>C5</v>
          </cell>
          <cell r="G1197" t="str">
            <v>SP</v>
          </cell>
          <cell r="H1197" t="str">
            <v>DISTRIBUIÇÃO</v>
          </cell>
          <cell r="I1197" t="str">
            <v>FOOD SERVICE</v>
          </cell>
          <cell r="J1197" t="str">
            <v>FLAC 6</v>
          </cell>
          <cell r="K1197" t="str">
            <v>LACTALIS</v>
          </cell>
          <cell r="L1197" t="str">
            <v>RODRIGO</v>
          </cell>
          <cell r="M1197" t="str">
            <v>ALEXANDRO</v>
          </cell>
        </row>
        <row r="1198">
          <cell r="B1198">
            <v>5261087</v>
          </cell>
          <cell r="C1198" t="str">
            <v>RJR GASTRONOMIA EVENTOS LTDA ME</v>
          </cell>
          <cell r="D1198">
            <v>7001</v>
          </cell>
          <cell r="E1198" t="str">
            <v>0749</v>
          </cell>
          <cell r="F1198" t="str">
            <v>C5</v>
          </cell>
          <cell r="G1198" t="str">
            <v>SP</v>
          </cell>
          <cell r="H1198" t="str">
            <v>DISTRIBUIÇÃO</v>
          </cell>
          <cell r="I1198" t="str">
            <v>FOOD SERVICE</v>
          </cell>
          <cell r="J1198" t="str">
            <v>FLAC 6</v>
          </cell>
          <cell r="K1198" t="str">
            <v>LACTALIS</v>
          </cell>
          <cell r="L1198" t="str">
            <v>RODRIGO</v>
          </cell>
          <cell r="M1198" t="str">
            <v>ALEXANDRO</v>
          </cell>
        </row>
        <row r="1199">
          <cell r="B1199">
            <v>5338830</v>
          </cell>
          <cell r="C1199" t="str">
            <v>RKWSP PATISSERIE LTDA</v>
          </cell>
          <cell r="D1199">
            <v>7001</v>
          </cell>
          <cell r="E1199" t="str">
            <v>0749</v>
          </cell>
          <cell r="F1199" t="str">
            <v>C5</v>
          </cell>
          <cell r="G1199" t="str">
            <v>SP</v>
          </cell>
          <cell r="H1199" t="str">
            <v>DISTRIBUIÇÃO</v>
          </cell>
          <cell r="I1199" t="str">
            <v>FOOD SERVICE</v>
          </cell>
          <cell r="J1199" t="str">
            <v>FLAC 2</v>
          </cell>
          <cell r="K1199" t="str">
            <v>LACTALIS</v>
          </cell>
          <cell r="L1199" t="str">
            <v>RODRIGO</v>
          </cell>
          <cell r="M1199" t="str">
            <v>ALEXANDRO</v>
          </cell>
        </row>
        <row r="1200">
          <cell r="B1200">
            <v>5329771</v>
          </cell>
          <cell r="C1200" t="str">
            <v>ROAD BISTRO STEAK HOUSE LTDA</v>
          </cell>
          <cell r="D1200">
            <v>7001</v>
          </cell>
          <cell r="E1200" t="str">
            <v>0749</v>
          </cell>
          <cell r="F1200" t="str">
            <v>C5</v>
          </cell>
          <cell r="G1200" t="str">
            <v>SP</v>
          </cell>
          <cell r="H1200" t="str">
            <v>DISTRIBUIÇÃO</v>
          </cell>
          <cell r="I1200" t="str">
            <v>FOOD SERVICE</v>
          </cell>
          <cell r="J1200" t="str">
            <v>FLAC 4</v>
          </cell>
          <cell r="K1200" t="str">
            <v>LACTALIS</v>
          </cell>
          <cell r="L1200" t="str">
            <v>RODRIGO</v>
          </cell>
          <cell r="M1200" t="str">
            <v>ALEXANDRO</v>
          </cell>
        </row>
        <row r="1201">
          <cell r="B1201">
            <v>5019126</v>
          </cell>
          <cell r="C1201" t="str">
            <v>ROCHA PAN INDUSTRIA E COMERCIO LTDA</v>
          </cell>
          <cell r="D1201">
            <v>6001</v>
          </cell>
          <cell r="E1201" t="str">
            <v>6125</v>
          </cell>
          <cell r="F1201" t="str">
            <v>C1</v>
          </cell>
          <cell r="G1201" t="str">
            <v>SP</v>
          </cell>
          <cell r="H1201" t="str">
            <v>DISTRIBUIÇÃO</v>
          </cell>
          <cell r="I1201" t="str">
            <v>FOOD SERVICE</v>
          </cell>
          <cell r="J1201" t="str">
            <v>LUCAS ANDRADE</v>
          </cell>
          <cell r="K1201" t="str">
            <v>ITAMBÉ</v>
          </cell>
          <cell r="L1201" t="str">
            <v>RODRIGO</v>
          </cell>
          <cell r="M1201" t="str">
            <v>RAQUEL BARBOSA</v>
          </cell>
        </row>
        <row r="1202">
          <cell r="B1202">
            <v>5019126</v>
          </cell>
          <cell r="C1202" t="str">
            <v>ROCHA PAN INDUSTRIA E COMERCIO LTDA</v>
          </cell>
          <cell r="D1202">
            <v>7001</v>
          </cell>
          <cell r="E1202" t="str">
            <v>0722</v>
          </cell>
          <cell r="F1202" t="str">
            <v>C1</v>
          </cell>
          <cell r="G1202" t="str">
            <v>SP</v>
          </cell>
          <cell r="H1202" t="str">
            <v>DISTRIBUIÇÃO</v>
          </cell>
          <cell r="I1202" t="str">
            <v>FOOD SERVICE</v>
          </cell>
          <cell r="J1202" t="str">
            <v>LUCAS ANDRADE</v>
          </cell>
          <cell r="K1202" t="str">
            <v>LACTALIS</v>
          </cell>
          <cell r="L1202" t="str">
            <v>RODRIGO</v>
          </cell>
          <cell r="M1202" t="str">
            <v>RAQUEL BARBOSA</v>
          </cell>
        </row>
        <row r="1203">
          <cell r="B1203">
            <v>5300119</v>
          </cell>
          <cell r="C1203" t="str">
            <v>ROCKAFE ARRUDA BOTELHO LTDA</v>
          </cell>
          <cell r="D1203">
            <v>7001</v>
          </cell>
          <cell r="E1203" t="str">
            <v>0749</v>
          </cell>
          <cell r="F1203" t="str">
            <v>C5</v>
          </cell>
          <cell r="G1203" t="str">
            <v>SP</v>
          </cell>
          <cell r="H1203" t="str">
            <v>DISTRIBUIÇÃO</v>
          </cell>
          <cell r="I1203" t="str">
            <v>FOOD SERVICE</v>
          </cell>
          <cell r="J1203" t="str">
            <v>FLAC 6</v>
          </cell>
          <cell r="K1203" t="str">
            <v>LACTALIS</v>
          </cell>
          <cell r="L1203" t="str">
            <v>RODRIGO</v>
          </cell>
          <cell r="M1203" t="str">
            <v>ALEXANDRO</v>
          </cell>
        </row>
        <row r="1204">
          <cell r="B1204">
            <v>5321889</v>
          </cell>
          <cell r="C1204" t="str">
            <v>RODOLFO BEGALI CAMPOS 11452272603</v>
          </cell>
          <cell r="D1204">
            <v>7001</v>
          </cell>
          <cell r="E1204" t="str">
            <v>0749</v>
          </cell>
          <cell r="F1204" t="str">
            <v>C5</v>
          </cell>
          <cell r="G1204" t="str">
            <v>SP</v>
          </cell>
          <cell r="H1204" t="str">
            <v>DISTRIBUIÇÃO</v>
          </cell>
          <cell r="I1204" t="str">
            <v>FOOD SERVICE</v>
          </cell>
          <cell r="J1204" t="str">
            <v>FLAC 6</v>
          </cell>
          <cell r="K1204" t="str">
            <v>LACTALIS</v>
          </cell>
          <cell r="L1204" t="str">
            <v>RODRIGO</v>
          </cell>
          <cell r="M1204" t="str">
            <v>ALEXANDRO</v>
          </cell>
        </row>
        <row r="1205">
          <cell r="B1205">
            <v>5324461</v>
          </cell>
          <cell r="C1205" t="str">
            <v>RODOLUKI COMERCIO LOGISTICA</v>
          </cell>
          <cell r="D1205">
            <v>6001</v>
          </cell>
          <cell r="E1205" t="str">
            <v>6125</v>
          </cell>
          <cell r="F1205" t="str">
            <v>C1</v>
          </cell>
          <cell r="G1205" t="str">
            <v>SP</v>
          </cell>
          <cell r="H1205" t="str">
            <v>QSR</v>
          </cell>
          <cell r="I1205" t="str">
            <v>FOOD SERVICE</v>
          </cell>
          <cell r="J1205" t="str">
            <v>ANA MENIQUETE</v>
          </cell>
          <cell r="K1205" t="str">
            <v>ITAMBÉ</v>
          </cell>
          <cell r="L1205" t="str">
            <v>PEDRO</v>
          </cell>
          <cell r="M1205" t="str">
            <v>ANA MENIQUETE</v>
          </cell>
        </row>
        <row r="1206">
          <cell r="B1206">
            <v>5077852</v>
          </cell>
          <cell r="C1206" t="str">
            <v>RODRIGO FITZGERALD LUPIANHES</v>
          </cell>
          <cell r="D1206">
            <v>6001</v>
          </cell>
          <cell r="E1206" t="str">
            <v>6125</v>
          </cell>
          <cell r="F1206" t="str">
            <v>C1</v>
          </cell>
          <cell r="G1206" t="str">
            <v>SP</v>
          </cell>
          <cell r="H1206" t="str">
            <v>DISTRIBUIÇÃO</v>
          </cell>
          <cell r="I1206" t="str">
            <v>FOOD SERVICE</v>
          </cell>
          <cell r="J1206" t="str">
            <v>EMMANUEL FRANCISCO</v>
          </cell>
          <cell r="K1206" t="str">
            <v>ITAMBÉ</v>
          </cell>
          <cell r="L1206" t="str">
            <v>RODRIGO</v>
          </cell>
          <cell r="M1206" t="str">
            <v>VAGO SP - INTERIOR</v>
          </cell>
        </row>
        <row r="1207">
          <cell r="B1207">
            <v>5077852</v>
          </cell>
          <cell r="C1207" t="str">
            <v>RODRIGO FITZGERALD LUPIANHES</v>
          </cell>
          <cell r="D1207">
            <v>7001</v>
          </cell>
          <cell r="E1207" t="str">
            <v>0722</v>
          </cell>
          <cell r="F1207" t="str">
            <v>C1</v>
          </cell>
          <cell r="G1207" t="str">
            <v>SP</v>
          </cell>
          <cell r="H1207" t="str">
            <v>DISTRIBUIÇÃO</v>
          </cell>
          <cell r="I1207" t="str">
            <v>FOOD SERVICE</v>
          </cell>
          <cell r="J1207" t="str">
            <v>EMMANUEL FRANCISCO</v>
          </cell>
          <cell r="K1207" t="str">
            <v>LACTALIS</v>
          </cell>
          <cell r="L1207" t="str">
            <v>RODRIGO</v>
          </cell>
          <cell r="M1207" t="str">
            <v>VAGO SP - INTERIOR</v>
          </cell>
        </row>
        <row r="1208">
          <cell r="B1208">
            <v>5324115</v>
          </cell>
          <cell r="C1208" t="str">
            <v>ROGER BAKERY CONFEITARIA LTDA</v>
          </cell>
          <cell r="D1208">
            <v>7001</v>
          </cell>
          <cell r="E1208" t="str">
            <v>0749</v>
          </cell>
          <cell r="F1208" t="str">
            <v>C5</v>
          </cell>
          <cell r="G1208" t="str">
            <v>SP</v>
          </cell>
          <cell r="H1208" t="str">
            <v>DISTRIBUIÇÃO</v>
          </cell>
          <cell r="I1208" t="str">
            <v>FOOD SERVICE</v>
          </cell>
          <cell r="J1208" t="str">
            <v>FLAC 2</v>
          </cell>
          <cell r="K1208" t="str">
            <v>LACTALIS</v>
          </cell>
          <cell r="L1208" t="str">
            <v>RODRIGO</v>
          </cell>
          <cell r="M1208" t="str">
            <v>ALEXANDRO</v>
          </cell>
        </row>
        <row r="1209">
          <cell r="B1209">
            <v>5191729</v>
          </cell>
          <cell r="C1209" t="str">
            <v>ROGER COM E DIST DE PROD ALIM LTDA</v>
          </cell>
          <cell r="D1209">
            <v>6001</v>
          </cell>
          <cell r="E1209" t="str">
            <v>6125</v>
          </cell>
          <cell r="F1209" t="str">
            <v>C1</v>
          </cell>
          <cell r="G1209" t="str">
            <v>SP</v>
          </cell>
          <cell r="H1209" t="str">
            <v>DISTRIBUIÇÃO</v>
          </cell>
          <cell r="I1209" t="str">
            <v>FOOD SERVICE</v>
          </cell>
          <cell r="J1209" t="str">
            <v>EMMANUEL FRANCISCO</v>
          </cell>
          <cell r="K1209" t="str">
            <v>ITAMBÉ</v>
          </cell>
          <cell r="L1209" t="str">
            <v>RODRIGO</v>
          </cell>
          <cell r="M1209" t="str">
            <v>ALEXANDRO</v>
          </cell>
        </row>
        <row r="1210">
          <cell r="B1210">
            <v>5191729</v>
          </cell>
          <cell r="C1210" t="str">
            <v>ROGER COM E DIST DE PROD ALIM LTDA</v>
          </cell>
          <cell r="D1210">
            <v>7001</v>
          </cell>
          <cell r="E1210" t="str">
            <v>0722</v>
          </cell>
          <cell r="F1210" t="str">
            <v>C1</v>
          </cell>
          <cell r="G1210" t="str">
            <v>SP</v>
          </cell>
          <cell r="H1210" t="str">
            <v>DISTRIBUIÇÃO</v>
          </cell>
          <cell r="I1210" t="str">
            <v>FOOD SERVICE</v>
          </cell>
          <cell r="J1210" t="str">
            <v>FLAC 8</v>
          </cell>
          <cell r="K1210" t="str">
            <v>LACTALIS</v>
          </cell>
          <cell r="L1210" t="str">
            <v>RODRIGO</v>
          </cell>
          <cell r="M1210" t="str">
            <v>ALEXANDRO</v>
          </cell>
        </row>
        <row r="1211">
          <cell r="B1211">
            <v>5091134</v>
          </cell>
          <cell r="C1211" t="str">
            <v>ROMABEL ALIMENTOS EIRELI</v>
          </cell>
          <cell r="D1211">
            <v>7001</v>
          </cell>
          <cell r="E1211" t="str">
            <v>0749</v>
          </cell>
          <cell r="F1211" t="str">
            <v>C5</v>
          </cell>
          <cell r="G1211" t="str">
            <v>SP</v>
          </cell>
          <cell r="H1211" t="str">
            <v>DISTRIBUIÇÃO</v>
          </cell>
          <cell r="I1211" t="str">
            <v>FOOD SERVICE</v>
          </cell>
          <cell r="J1211" t="str">
            <v>FLAC 6</v>
          </cell>
          <cell r="K1211" t="str">
            <v>LACTALIS</v>
          </cell>
          <cell r="L1211" t="str">
            <v>RODRIGO</v>
          </cell>
          <cell r="M1211" t="str">
            <v>ALEXANDRO</v>
          </cell>
        </row>
        <row r="1212">
          <cell r="B1212">
            <v>5196675</v>
          </cell>
          <cell r="C1212" t="str">
            <v>ROMAPAN ALIMENTOS LTDA</v>
          </cell>
          <cell r="D1212">
            <v>3001</v>
          </cell>
          <cell r="E1212" t="str">
            <v>0123</v>
          </cell>
          <cell r="F1212" t="str">
            <v>C1</v>
          </cell>
          <cell r="G1212" t="str">
            <v>GO</v>
          </cell>
          <cell r="H1212" t="str">
            <v>DISTRIBUIÇÃO</v>
          </cell>
          <cell r="I1212" t="str">
            <v>FOOD SERVICE</v>
          </cell>
          <cell r="J1212" t="str">
            <v>CLAUDIO JORGE</v>
          </cell>
          <cell r="K1212" t="str">
            <v>ITAMBÉ</v>
          </cell>
          <cell r="L1212" t="str">
            <v>RODRIGO</v>
          </cell>
          <cell r="M1212" t="str">
            <v>MARCO AURELIO</v>
          </cell>
        </row>
        <row r="1213">
          <cell r="B1213">
            <v>5267810</v>
          </cell>
          <cell r="C1213" t="str">
            <v>ROSELY ANGELA GONCALVES DIAS</v>
          </cell>
          <cell r="D1213">
            <v>7001</v>
          </cell>
          <cell r="E1213" t="str">
            <v>0749</v>
          </cell>
          <cell r="F1213" t="str">
            <v>C5</v>
          </cell>
          <cell r="G1213" t="str">
            <v>SP</v>
          </cell>
          <cell r="H1213" t="str">
            <v>DISTRIBUIÇÃO</v>
          </cell>
          <cell r="I1213" t="str">
            <v>FOOD SERVICE</v>
          </cell>
          <cell r="J1213" t="str">
            <v>FLAC 3</v>
          </cell>
          <cell r="K1213" t="str">
            <v>LACTALIS</v>
          </cell>
          <cell r="L1213" t="str">
            <v>RODRIGO</v>
          </cell>
          <cell r="M1213" t="str">
            <v>ALEXANDRO</v>
          </cell>
        </row>
        <row r="1214">
          <cell r="B1214">
            <v>5340377</v>
          </cell>
          <cell r="C1214" t="str">
            <v>ROST GUIMARAES DIST E TRANSPORT</v>
          </cell>
          <cell r="D1214">
            <v>6001</v>
          </cell>
          <cell r="E1214" t="str">
            <v>6125</v>
          </cell>
          <cell r="F1214" t="str">
            <v>C1</v>
          </cell>
          <cell r="G1214" t="str">
            <v>SP</v>
          </cell>
          <cell r="H1214" t="str">
            <v>DISTRIBUIÇÃO</v>
          </cell>
          <cell r="I1214" t="str">
            <v>FOOD SERVICE</v>
          </cell>
          <cell r="J1214" t="str">
            <v>VAGO SP - INTERIOR</v>
          </cell>
          <cell r="K1214" t="str">
            <v>ITAMBÉ</v>
          </cell>
          <cell r="L1214" t="str">
            <v>RODRIGO</v>
          </cell>
          <cell r="M1214" t="str">
            <v>ALEXANDRO</v>
          </cell>
        </row>
        <row r="1215">
          <cell r="B1215">
            <v>5340377</v>
          </cell>
          <cell r="C1215" t="str">
            <v>ROST GUIMARAES DIST E TRANSPORT</v>
          </cell>
          <cell r="D1215">
            <v>7001</v>
          </cell>
          <cell r="E1215" t="str">
            <v>0722</v>
          </cell>
          <cell r="F1215" t="str">
            <v>C1</v>
          </cell>
          <cell r="G1215" t="str">
            <v>SP</v>
          </cell>
          <cell r="H1215" t="str">
            <v>DISTRIBUIÇÃO</v>
          </cell>
          <cell r="I1215" t="str">
            <v>FOOD SERVICE</v>
          </cell>
          <cell r="J1215" t="str">
            <v>FLAC 8</v>
          </cell>
          <cell r="K1215" t="str">
            <v>LACTALIS</v>
          </cell>
          <cell r="L1215" t="str">
            <v>RODRIGO</v>
          </cell>
          <cell r="M1215" t="str">
            <v>ALEXANDRO</v>
          </cell>
        </row>
        <row r="1216">
          <cell r="B1216">
            <v>5296014</v>
          </cell>
          <cell r="C1216" t="str">
            <v>ROTAMA SALGADOS LTDA</v>
          </cell>
          <cell r="D1216">
            <v>7001</v>
          </cell>
          <cell r="E1216" t="str">
            <v>0749</v>
          </cell>
          <cell r="F1216" t="str">
            <v>C5</v>
          </cell>
          <cell r="G1216" t="str">
            <v>SP</v>
          </cell>
          <cell r="H1216" t="str">
            <v>DISTRIBUIÇÃO</v>
          </cell>
          <cell r="I1216" t="str">
            <v>FOOD SERVICE</v>
          </cell>
          <cell r="J1216" t="str">
            <v>FLAC 2</v>
          </cell>
          <cell r="K1216" t="str">
            <v>LACTALIS</v>
          </cell>
          <cell r="L1216" t="str">
            <v>RODRIGO</v>
          </cell>
          <cell r="M1216" t="str">
            <v>ALEXANDRO</v>
          </cell>
        </row>
        <row r="1217">
          <cell r="B1217">
            <v>5009122</v>
          </cell>
          <cell r="C1217" t="str">
            <v>ROTTA DISTRI DE ALIMENTOS LTDA</v>
          </cell>
          <cell r="D1217">
            <v>3001</v>
          </cell>
          <cell r="E1217" t="str">
            <v>0126</v>
          </cell>
          <cell r="F1217" t="str">
            <v>C1</v>
          </cell>
          <cell r="G1217" t="str">
            <v>PR</v>
          </cell>
          <cell r="H1217" t="str">
            <v>DISTRIBUIÇÃO</v>
          </cell>
          <cell r="I1217" t="str">
            <v>FOOD SERVICE</v>
          </cell>
          <cell r="J1217" t="str">
            <v>ANTÔNIO SOUZA</v>
          </cell>
          <cell r="K1217" t="str">
            <v>ITAMBÉ</v>
          </cell>
          <cell r="L1217" t="str">
            <v>RODRIGO</v>
          </cell>
          <cell r="M1217" t="str">
            <v>VAGO SUL</v>
          </cell>
        </row>
        <row r="1218">
          <cell r="B1218">
            <v>5009122</v>
          </cell>
          <cell r="C1218" t="str">
            <v>ROTTA DISTRI DE ALIMENTOS LTDA</v>
          </cell>
          <cell r="D1218">
            <v>4001</v>
          </cell>
          <cell r="E1218" t="str">
            <v>0422</v>
          </cell>
          <cell r="F1218" t="str">
            <v>C1</v>
          </cell>
          <cell r="G1218" t="str">
            <v>PR</v>
          </cell>
          <cell r="H1218" t="str">
            <v>DISTRIBUIÇÃO</v>
          </cell>
          <cell r="I1218" t="str">
            <v>FOOD SERVICE</v>
          </cell>
          <cell r="J1218" t="str">
            <v>ANTÔNIO SOUZA</v>
          </cell>
          <cell r="K1218" t="str">
            <v>LACTALIS</v>
          </cell>
          <cell r="L1218" t="str">
            <v>RODRIGO</v>
          </cell>
          <cell r="M1218" t="str">
            <v>VAGO SUL</v>
          </cell>
        </row>
        <row r="1219">
          <cell r="B1219">
            <v>5009122</v>
          </cell>
          <cell r="C1219" t="str">
            <v>ROTTA DISTRI DE ALIMENTOS LTDA</v>
          </cell>
          <cell r="D1219">
            <v>4001</v>
          </cell>
          <cell r="E1219" t="str">
            <v>0455</v>
          </cell>
          <cell r="F1219" t="str">
            <v>C1</v>
          </cell>
          <cell r="G1219" t="str">
            <v>PR</v>
          </cell>
          <cell r="H1219" t="str">
            <v>DISTRIBUIÇÃO</v>
          </cell>
          <cell r="I1219" t="str">
            <v>FOOD SERVICE</v>
          </cell>
          <cell r="J1219" t="str">
            <v>ANTÔNIO SOUZA</v>
          </cell>
          <cell r="K1219" t="str">
            <v>LACTALIS</v>
          </cell>
          <cell r="L1219" t="str">
            <v>RODRIGO</v>
          </cell>
          <cell r="M1219" t="str">
            <v>VAGO SUL</v>
          </cell>
        </row>
        <row r="1220">
          <cell r="B1220">
            <v>5314417</v>
          </cell>
          <cell r="C1220" t="str">
            <v>ROYAL TOWERS S A</v>
          </cell>
          <cell r="D1220">
            <v>7001</v>
          </cell>
          <cell r="E1220" t="str">
            <v>0749</v>
          </cell>
          <cell r="F1220" t="str">
            <v>C5</v>
          </cell>
          <cell r="G1220" t="str">
            <v>SP</v>
          </cell>
          <cell r="H1220" t="str">
            <v>DISTRIBUIÇÃO</v>
          </cell>
          <cell r="I1220" t="str">
            <v>FOOD SERVICE</v>
          </cell>
          <cell r="J1220" t="str">
            <v>FLAC 5</v>
          </cell>
          <cell r="K1220" t="str">
            <v>LACTALIS</v>
          </cell>
          <cell r="L1220" t="str">
            <v>RODRIGO</v>
          </cell>
          <cell r="M1220" t="str">
            <v>ALEXANDRO</v>
          </cell>
        </row>
        <row r="1221">
          <cell r="B1221">
            <v>5023334</v>
          </cell>
          <cell r="C1221" t="str">
            <v>S P PRODUTOS LTDA</v>
          </cell>
          <cell r="D1221">
            <v>3001</v>
          </cell>
          <cell r="E1221" t="str">
            <v>0169</v>
          </cell>
          <cell r="F1221" t="str">
            <v>C1</v>
          </cell>
          <cell r="G1221" t="str">
            <v>ES</v>
          </cell>
          <cell r="H1221" t="str">
            <v>DISTRIBUIÇÃO</v>
          </cell>
          <cell r="I1221" t="str">
            <v>FOOD SERVICE</v>
          </cell>
          <cell r="J1221" t="str">
            <v>MARCELO DUARTE</v>
          </cell>
          <cell r="K1221" t="str">
            <v>ITAMBÉ</v>
          </cell>
          <cell r="L1221" t="str">
            <v>RODRIGO</v>
          </cell>
          <cell r="M1221" t="str">
            <v>JESSICA</v>
          </cell>
        </row>
        <row r="1222">
          <cell r="B1222">
            <v>5134556</v>
          </cell>
          <cell r="C1222" t="str">
            <v>S P PRODUTOS LTDA</v>
          </cell>
          <cell r="D1222">
            <v>3001</v>
          </cell>
          <cell r="E1222" t="str">
            <v>0169</v>
          </cell>
          <cell r="F1222" t="str">
            <v>C1</v>
          </cell>
          <cell r="G1222" t="str">
            <v>ES</v>
          </cell>
          <cell r="H1222" t="str">
            <v>DISTRIBUIÇÃO</v>
          </cell>
          <cell r="I1222" t="str">
            <v>FOOD SERVICE</v>
          </cell>
          <cell r="J1222" t="str">
            <v>MARCELO DUARTE</v>
          </cell>
          <cell r="K1222" t="str">
            <v>ITAMBÉ</v>
          </cell>
          <cell r="L1222" t="str">
            <v>RODRIGO</v>
          </cell>
          <cell r="M1222" t="str">
            <v>JESSICA</v>
          </cell>
        </row>
        <row r="1223">
          <cell r="B1223">
            <v>5263659</v>
          </cell>
          <cell r="C1223" t="str">
            <v>S2FT COMERCIO DE BOLOS E CAFE LTDA</v>
          </cell>
          <cell r="D1223">
            <v>7001</v>
          </cell>
          <cell r="E1223" t="str">
            <v>0749</v>
          </cell>
          <cell r="F1223" t="str">
            <v>C5</v>
          </cell>
          <cell r="G1223" t="str">
            <v>SP</v>
          </cell>
          <cell r="H1223" t="str">
            <v>DISTRIBUIÇÃO</v>
          </cell>
          <cell r="I1223" t="str">
            <v>FOOD SERVICE</v>
          </cell>
          <cell r="J1223" t="str">
            <v>FLAC 3</v>
          </cell>
          <cell r="K1223" t="str">
            <v>LACTALIS</v>
          </cell>
          <cell r="L1223" t="str">
            <v>RODRIGO</v>
          </cell>
          <cell r="M1223" t="str">
            <v>ALEXANDRO</v>
          </cell>
        </row>
        <row r="1224">
          <cell r="B1224">
            <v>5176952</v>
          </cell>
          <cell r="C1224" t="str">
            <v>CLUBE DO CONFEITEIRO LTDA</v>
          </cell>
          <cell r="D1224">
            <v>6001</v>
          </cell>
          <cell r="E1224" t="str">
            <v>6125</v>
          </cell>
          <cell r="F1224" t="str">
            <v>C1</v>
          </cell>
          <cell r="G1224" t="str">
            <v>SP</v>
          </cell>
          <cell r="H1224" t="str">
            <v>DISTRIBUIÇÃO</v>
          </cell>
          <cell r="I1224" t="str">
            <v>FOOD SERVICE</v>
          </cell>
          <cell r="J1224" t="str">
            <v>EMMANUEL FRANCISCO</v>
          </cell>
          <cell r="K1224" t="str">
            <v>ITAMBÉ</v>
          </cell>
          <cell r="L1224" t="str">
            <v>RODRIGO</v>
          </cell>
          <cell r="M1224" t="str">
            <v>ALEXANDRO</v>
          </cell>
        </row>
        <row r="1225">
          <cell r="B1225">
            <v>5265947</v>
          </cell>
          <cell r="C1225" t="str">
            <v>SABOR DA INFANCIA DOCERIA LTDA</v>
          </cell>
          <cell r="D1225">
            <v>7001</v>
          </cell>
          <cell r="E1225" t="str">
            <v>0749</v>
          </cell>
          <cell r="F1225" t="str">
            <v>C5</v>
          </cell>
          <cell r="G1225" t="str">
            <v>SP</v>
          </cell>
          <cell r="H1225" t="str">
            <v>DISTRIBUIÇÃO</v>
          </cell>
          <cell r="I1225" t="str">
            <v>FOOD SERVICE</v>
          </cell>
          <cell r="J1225" t="str">
            <v>FLAC 3</v>
          </cell>
          <cell r="K1225" t="str">
            <v>LACTALIS</v>
          </cell>
          <cell r="L1225" t="str">
            <v>RODRIGO</v>
          </cell>
          <cell r="M1225" t="str">
            <v>ALEXANDRO</v>
          </cell>
        </row>
        <row r="1226">
          <cell r="B1226">
            <v>5265948</v>
          </cell>
          <cell r="C1226" t="str">
            <v>SABOR DA INFANCIA DOCERIA LTDA</v>
          </cell>
          <cell r="D1226">
            <v>7001</v>
          </cell>
          <cell r="E1226" t="str">
            <v>0749</v>
          </cell>
          <cell r="F1226" t="str">
            <v>C5</v>
          </cell>
          <cell r="G1226" t="str">
            <v>SP</v>
          </cell>
          <cell r="H1226" t="str">
            <v>DISTRIBUIÇÃO</v>
          </cell>
          <cell r="I1226" t="str">
            <v>FOOD SERVICE</v>
          </cell>
          <cell r="J1226" t="str">
            <v>FLAC 3</v>
          </cell>
          <cell r="K1226" t="str">
            <v>LACTALIS</v>
          </cell>
          <cell r="L1226" t="str">
            <v>RODRIGO</v>
          </cell>
          <cell r="M1226" t="str">
            <v>ALEXANDRO</v>
          </cell>
        </row>
        <row r="1227">
          <cell r="B1227">
            <v>5036214</v>
          </cell>
          <cell r="C1227" t="str">
            <v>ESPACO CHEF COMERCIO E DIST LTD</v>
          </cell>
          <cell r="D1227">
            <v>3001</v>
          </cell>
          <cell r="E1227" t="str">
            <v>0127</v>
          </cell>
          <cell r="F1227" t="str">
            <v>C1</v>
          </cell>
          <cell r="G1227" t="str">
            <v>CE</v>
          </cell>
          <cell r="H1227" t="str">
            <v>DISTRIBUIÇÃO</v>
          </cell>
          <cell r="I1227" t="str">
            <v>FOOD SERVICE</v>
          </cell>
          <cell r="J1227" t="str">
            <v>WH FOOD SERVICE CE</v>
          </cell>
          <cell r="K1227" t="str">
            <v>ITAMBÉ</v>
          </cell>
          <cell r="L1227" t="str">
            <v>RODRIGO</v>
          </cell>
          <cell r="M1227" t="str">
            <v>VAGO NORDESTE</v>
          </cell>
        </row>
        <row r="1228">
          <cell r="B1228">
            <v>5166365</v>
          </cell>
          <cell r="C1228" t="str">
            <v>SABOR REAL INDUSTRIA E COMERCIO LTD</v>
          </cell>
          <cell r="D1228">
            <v>3001</v>
          </cell>
          <cell r="E1228" t="str">
            <v>0122</v>
          </cell>
          <cell r="F1228" t="str">
            <v>C1</v>
          </cell>
          <cell r="G1228" t="str">
            <v>ES</v>
          </cell>
          <cell r="H1228" t="str">
            <v>INGREDIENTS</v>
          </cell>
          <cell r="I1228" t="str">
            <v>INGREDIENTS</v>
          </cell>
          <cell r="J1228" t="str">
            <v>HENRIQUE FERREIRA</v>
          </cell>
          <cell r="K1228" t="str">
            <v>ITAMBÉ</v>
          </cell>
          <cell r="L1228" t="str">
            <v>MAURICIO</v>
          </cell>
          <cell r="M1228" t="str">
            <v>JOEL</v>
          </cell>
        </row>
        <row r="1229">
          <cell r="B1229">
            <v>5262284</v>
          </cell>
          <cell r="C1229" t="str">
            <v>SABORES DO CACAU CHOCOLATE</v>
          </cell>
          <cell r="D1229">
            <v>7001</v>
          </cell>
          <cell r="E1229" t="str">
            <v>0749</v>
          </cell>
          <cell r="F1229" t="str">
            <v>C5</v>
          </cell>
          <cell r="G1229" t="str">
            <v>SP</v>
          </cell>
          <cell r="H1229" t="str">
            <v>DISTRIBUIÇÃO</v>
          </cell>
          <cell r="I1229" t="str">
            <v>FOOD SERVICE</v>
          </cell>
          <cell r="J1229" t="str">
            <v>FLAC 6</v>
          </cell>
          <cell r="K1229" t="str">
            <v>LACTALIS</v>
          </cell>
          <cell r="L1229" t="str">
            <v>RODRIGO</v>
          </cell>
          <cell r="M1229" t="str">
            <v>ALEXANDRO</v>
          </cell>
        </row>
        <row r="1230">
          <cell r="B1230">
            <v>5318686</v>
          </cell>
          <cell r="C1230" t="str">
            <v xml:space="preserve">SAGRADA MASSA COMERCIO ALIMENTICIO </v>
          </cell>
          <cell r="D1230">
            <v>7001</v>
          </cell>
          <cell r="E1230" t="str">
            <v>0749</v>
          </cell>
          <cell r="F1230" t="str">
            <v>C5</v>
          </cell>
          <cell r="G1230" t="str">
            <v>SP</v>
          </cell>
          <cell r="H1230" t="str">
            <v>DISTRIBUIÇÃO</v>
          </cell>
          <cell r="I1230" t="str">
            <v>FOOD SERVICE</v>
          </cell>
          <cell r="J1230" t="str">
            <v>FLAC 5</v>
          </cell>
          <cell r="K1230" t="str">
            <v>LACTALIS</v>
          </cell>
          <cell r="L1230" t="str">
            <v>RODRIGO</v>
          </cell>
          <cell r="M1230" t="str">
            <v>ALEXANDRO</v>
          </cell>
        </row>
        <row r="1231">
          <cell r="B1231">
            <v>5285506</v>
          </cell>
          <cell r="C1231" t="str">
            <v>SAINT PATRICK BAR RESTAURANTE L</v>
          </cell>
          <cell r="D1231">
            <v>7001</v>
          </cell>
          <cell r="E1231" t="str">
            <v>0749</v>
          </cell>
          <cell r="F1231" t="str">
            <v>C5</v>
          </cell>
          <cell r="G1231" t="str">
            <v>SP</v>
          </cell>
          <cell r="H1231" t="str">
            <v>DISTRIBUIÇÃO</v>
          </cell>
          <cell r="I1231" t="str">
            <v>FOOD SERVICE</v>
          </cell>
          <cell r="J1231" t="str">
            <v>FLAC 2</v>
          </cell>
          <cell r="K1231" t="str">
            <v>LACTALIS</v>
          </cell>
          <cell r="L1231" t="str">
            <v>RODRIGO</v>
          </cell>
          <cell r="M1231" t="str">
            <v>ALEXANDRO</v>
          </cell>
        </row>
        <row r="1232">
          <cell r="B1232">
            <v>5294426</v>
          </cell>
          <cell r="C1232" t="str">
            <v>SAKA CAFETERIA LTDA</v>
          </cell>
          <cell r="D1232">
            <v>7001</v>
          </cell>
          <cell r="E1232" t="str">
            <v>0749</v>
          </cell>
          <cell r="F1232" t="str">
            <v>C5</v>
          </cell>
          <cell r="G1232" t="str">
            <v>SP</v>
          </cell>
          <cell r="H1232" t="str">
            <v>DISTRIBUIÇÃO</v>
          </cell>
          <cell r="I1232" t="str">
            <v>FOOD SERVICE</v>
          </cell>
          <cell r="J1232" t="str">
            <v>FLAC 2</v>
          </cell>
          <cell r="K1232" t="str">
            <v>LACTALIS</v>
          </cell>
          <cell r="L1232" t="str">
            <v>RODRIGO</v>
          </cell>
          <cell r="M1232" t="str">
            <v>ALEXANDRO</v>
          </cell>
        </row>
        <row r="1233">
          <cell r="B1233">
            <v>5210640</v>
          </cell>
          <cell r="C1233" t="str">
            <v>SALT PIE INDUSTRIA COMERCIO</v>
          </cell>
          <cell r="D1233">
            <v>6001</v>
          </cell>
          <cell r="E1233" t="str">
            <v>6125</v>
          </cell>
          <cell r="F1233" t="str">
            <v>C1</v>
          </cell>
          <cell r="G1233" t="str">
            <v>SP</v>
          </cell>
          <cell r="H1233" t="str">
            <v>INGREDIENTS</v>
          </cell>
          <cell r="I1233" t="str">
            <v>INGREDIENTS</v>
          </cell>
          <cell r="J1233" t="str">
            <v>HENRIQUE FERREIRA</v>
          </cell>
          <cell r="K1233" t="str">
            <v>ITAMBÉ</v>
          </cell>
          <cell r="L1233" t="str">
            <v>MAURICIO</v>
          </cell>
          <cell r="M1233" t="str">
            <v>JOEL</v>
          </cell>
        </row>
        <row r="1234">
          <cell r="B1234">
            <v>5330092</v>
          </cell>
          <cell r="C1234" t="str">
            <v>SAMPA GERAIS COM DE CAFE E ALIM</v>
          </cell>
          <cell r="D1234">
            <v>7001</v>
          </cell>
          <cell r="E1234" t="str">
            <v>0749</v>
          </cell>
          <cell r="F1234" t="str">
            <v>C5</v>
          </cell>
          <cell r="G1234" t="str">
            <v>SP</v>
          </cell>
          <cell r="H1234" t="str">
            <v>DISTRIBUIÇÃO</v>
          </cell>
          <cell r="I1234" t="str">
            <v>FOOD SERVICE</v>
          </cell>
          <cell r="J1234" t="str">
            <v>FLAC 5</v>
          </cell>
          <cell r="K1234" t="str">
            <v>LACTALIS</v>
          </cell>
          <cell r="L1234" t="str">
            <v>RODRIGO</v>
          </cell>
          <cell r="M1234" t="str">
            <v>ALEXANDRO</v>
          </cell>
        </row>
        <row r="1235">
          <cell r="B1235">
            <v>5320716</v>
          </cell>
          <cell r="C1235" t="str">
            <v>SAMUEL ELIAS MASSOU LTDA</v>
          </cell>
          <cell r="D1235">
            <v>7001</v>
          </cell>
          <cell r="E1235" t="str">
            <v>0749</v>
          </cell>
          <cell r="F1235" t="str">
            <v>C5</v>
          </cell>
          <cell r="G1235" t="str">
            <v>SP</v>
          </cell>
          <cell r="H1235" t="str">
            <v>DISTRIBUIÇÃO</v>
          </cell>
          <cell r="I1235" t="str">
            <v>FOOD SERVICE</v>
          </cell>
          <cell r="J1235" t="str">
            <v>FLAC 2</v>
          </cell>
          <cell r="K1235" t="str">
            <v>LACTALIS</v>
          </cell>
          <cell r="L1235" t="str">
            <v>RODRIGO</v>
          </cell>
          <cell r="M1235" t="str">
            <v>ALEXANDRO</v>
          </cell>
        </row>
        <row r="1236">
          <cell r="B1236">
            <v>5249870</v>
          </cell>
          <cell r="C1236" t="str">
            <v>SAN JUAN SAO PAULO HOTEL LT</v>
          </cell>
          <cell r="D1236">
            <v>7001</v>
          </cell>
          <cell r="E1236" t="str">
            <v>0749</v>
          </cell>
          <cell r="F1236" t="str">
            <v>C5</v>
          </cell>
          <cell r="G1236" t="str">
            <v>SP</v>
          </cell>
          <cell r="H1236" t="str">
            <v>DISTRIBUIÇÃO</v>
          </cell>
          <cell r="I1236" t="str">
            <v>FOOD SERVICE</v>
          </cell>
          <cell r="J1236" t="str">
            <v>FLAC 6</v>
          </cell>
          <cell r="K1236" t="str">
            <v>LACTALIS</v>
          </cell>
          <cell r="L1236" t="str">
            <v>RODRIGO</v>
          </cell>
          <cell r="M1236" t="str">
            <v>ALEXANDRO</v>
          </cell>
        </row>
        <row r="1237">
          <cell r="B1237">
            <v>5255030</v>
          </cell>
          <cell r="C1237" t="str">
            <v>SANTO GRAO ITAIM LTDA</v>
          </cell>
          <cell r="D1237">
            <v>7001</v>
          </cell>
          <cell r="E1237" t="str">
            <v>0749</v>
          </cell>
          <cell r="F1237" t="str">
            <v>C5</v>
          </cell>
          <cell r="G1237" t="str">
            <v>SP</v>
          </cell>
          <cell r="H1237" t="str">
            <v>DISTRIBUIÇÃO</v>
          </cell>
          <cell r="I1237" t="str">
            <v>FOOD SERVICE</v>
          </cell>
          <cell r="J1237" t="str">
            <v>FLAC 6</v>
          </cell>
          <cell r="K1237" t="str">
            <v>LACTALIS</v>
          </cell>
          <cell r="L1237" t="str">
            <v>RODRIGO</v>
          </cell>
          <cell r="M1237" t="str">
            <v>ALEXANDRO</v>
          </cell>
        </row>
        <row r="1238">
          <cell r="B1238">
            <v>5278660</v>
          </cell>
          <cell r="C1238" t="str">
            <v>SAO PAULO GOLF CLUB</v>
          </cell>
          <cell r="D1238">
            <v>7001</v>
          </cell>
          <cell r="E1238" t="str">
            <v>0749</v>
          </cell>
          <cell r="F1238" t="str">
            <v>C5</v>
          </cell>
          <cell r="G1238" t="str">
            <v>SP</v>
          </cell>
          <cell r="H1238" t="str">
            <v>DISTRIBUIÇÃO</v>
          </cell>
          <cell r="I1238" t="str">
            <v>FOOD SERVICE</v>
          </cell>
          <cell r="J1238" t="str">
            <v>FLAC 3</v>
          </cell>
          <cell r="K1238" t="str">
            <v>LACTALIS</v>
          </cell>
          <cell r="L1238" t="str">
            <v>RODRIGO</v>
          </cell>
          <cell r="M1238" t="str">
            <v>ALEXANDRO</v>
          </cell>
        </row>
        <row r="1239">
          <cell r="B1239">
            <v>5282188</v>
          </cell>
          <cell r="C1239" t="str">
            <v>SAO PAULO NIKKEY PALACE HOTEL</v>
          </cell>
          <cell r="D1239">
            <v>7001</v>
          </cell>
          <cell r="E1239" t="str">
            <v>0749</v>
          </cell>
          <cell r="F1239" t="str">
            <v>C5</v>
          </cell>
          <cell r="G1239" t="str">
            <v>SP</v>
          </cell>
          <cell r="H1239" t="str">
            <v>DISTRIBUIÇÃO</v>
          </cell>
          <cell r="I1239" t="str">
            <v>FOOD SERVICE</v>
          </cell>
          <cell r="J1239" t="str">
            <v>FLAC 6</v>
          </cell>
          <cell r="K1239" t="str">
            <v>LACTALIS</v>
          </cell>
          <cell r="L1239" t="str">
            <v>RODRIGO</v>
          </cell>
          <cell r="M1239" t="str">
            <v>ALEXANDRO</v>
          </cell>
        </row>
        <row r="1240">
          <cell r="B1240">
            <v>5147526</v>
          </cell>
          <cell r="C1240" t="str">
            <v>SAPORE SA</v>
          </cell>
          <cell r="D1240">
            <v>3001</v>
          </cell>
          <cell r="E1240" t="str">
            <v>0028</v>
          </cell>
          <cell r="F1240" t="str">
            <v>C1</v>
          </cell>
          <cell r="G1240" t="str">
            <v>RJ</v>
          </cell>
          <cell r="H1240" t="str">
            <v>QSR</v>
          </cell>
          <cell r="I1240" t="str">
            <v>FOOD SERVICE</v>
          </cell>
          <cell r="J1240" t="str">
            <v>NUTRI</v>
          </cell>
          <cell r="K1240" t="str">
            <v>ITAMBÉ</v>
          </cell>
          <cell r="L1240" t="str">
            <v>PEDRO</v>
          </cell>
          <cell r="M1240" t="str">
            <v>AMANDA</v>
          </cell>
        </row>
        <row r="1241">
          <cell r="B1241">
            <v>5001788</v>
          </cell>
          <cell r="C1241" t="str">
            <v>SAPORE SA</v>
          </cell>
          <cell r="D1241">
            <v>3001</v>
          </cell>
          <cell r="E1241" t="str">
            <v>0028</v>
          </cell>
          <cell r="F1241" t="str">
            <v>C1</v>
          </cell>
          <cell r="G1241" t="str">
            <v>MG</v>
          </cell>
          <cell r="H1241" t="str">
            <v>QSR</v>
          </cell>
          <cell r="I1241" t="str">
            <v>FOOD SERVICE</v>
          </cell>
          <cell r="J1241" t="str">
            <v>NUTRI</v>
          </cell>
          <cell r="K1241" t="str">
            <v>ITAMBÉ</v>
          </cell>
          <cell r="L1241" t="str">
            <v>PEDRO</v>
          </cell>
          <cell r="M1241" t="str">
            <v>AMANDA</v>
          </cell>
        </row>
        <row r="1242">
          <cell r="B1242">
            <v>5147526</v>
          </cell>
          <cell r="C1242" t="str">
            <v>SAPORE SA</v>
          </cell>
          <cell r="D1242">
            <v>4001</v>
          </cell>
          <cell r="E1242" t="str">
            <v>0450</v>
          </cell>
          <cell r="F1242" t="str">
            <v>C5</v>
          </cell>
          <cell r="G1242" t="str">
            <v>RJ</v>
          </cell>
          <cell r="H1242" t="str">
            <v>QSR</v>
          </cell>
          <cell r="I1242" t="str">
            <v>FOOD SERVICE</v>
          </cell>
          <cell r="J1242" t="str">
            <v>NUTRI</v>
          </cell>
          <cell r="K1242" t="str">
            <v>LACTALIS</v>
          </cell>
          <cell r="L1242" t="str">
            <v>PEDRO</v>
          </cell>
          <cell r="M1242" t="str">
            <v>AMANDA</v>
          </cell>
        </row>
        <row r="1243">
          <cell r="B1243">
            <v>5063519</v>
          </cell>
          <cell r="C1243" t="str">
            <v>SAPORE SA</v>
          </cell>
          <cell r="D1243">
            <v>6001</v>
          </cell>
          <cell r="E1243" t="str">
            <v>6028</v>
          </cell>
          <cell r="F1243" t="str">
            <v>C1</v>
          </cell>
          <cell r="G1243" t="str">
            <v>SP</v>
          </cell>
          <cell r="H1243" t="str">
            <v>QSR</v>
          </cell>
          <cell r="I1243" t="str">
            <v>FOOD SERVICE</v>
          </cell>
          <cell r="J1243" t="str">
            <v>NUTRI</v>
          </cell>
          <cell r="K1243" t="str">
            <v>ITAMBÉ</v>
          </cell>
          <cell r="L1243" t="str">
            <v>PEDRO</v>
          </cell>
          <cell r="M1243" t="str">
            <v>AMANDA</v>
          </cell>
        </row>
        <row r="1244">
          <cell r="B1244">
            <v>5063519</v>
          </cell>
          <cell r="C1244" t="str">
            <v>SAPORE SA</v>
          </cell>
          <cell r="D1244">
            <v>7001</v>
          </cell>
          <cell r="E1244" t="str">
            <v>0749</v>
          </cell>
          <cell r="F1244" t="str">
            <v>C5</v>
          </cell>
          <cell r="G1244" t="str">
            <v>SP</v>
          </cell>
          <cell r="H1244" t="str">
            <v>QSR</v>
          </cell>
          <cell r="I1244" t="str">
            <v>FOOD SERVICE</v>
          </cell>
          <cell r="J1244" t="str">
            <v>NUTRI</v>
          </cell>
          <cell r="K1244" t="str">
            <v>LACTALIS</v>
          </cell>
          <cell r="L1244" t="str">
            <v>PEDRO</v>
          </cell>
          <cell r="M1244" t="str">
            <v>AMANDA</v>
          </cell>
        </row>
        <row r="1245">
          <cell r="B1245">
            <v>5304919</v>
          </cell>
          <cell r="C1245" t="str">
            <v>SARTORATTO MORETO INDUSTRIA DE ALIM</v>
          </cell>
          <cell r="D1245">
            <v>7001</v>
          </cell>
          <cell r="E1245" t="str">
            <v>0749</v>
          </cell>
          <cell r="F1245" t="str">
            <v>C5</v>
          </cell>
          <cell r="G1245" t="str">
            <v>SP</v>
          </cell>
          <cell r="H1245" t="str">
            <v>DISTRIBUIÇÃO</v>
          </cell>
          <cell r="I1245" t="str">
            <v>FOOD SERVICE</v>
          </cell>
          <cell r="J1245" t="str">
            <v>FLAC 6</v>
          </cell>
          <cell r="K1245" t="str">
            <v>LACTALIS</v>
          </cell>
          <cell r="L1245" t="str">
            <v>RODRIGO</v>
          </cell>
          <cell r="M1245" t="str">
            <v>ALEXANDRO</v>
          </cell>
        </row>
        <row r="1246">
          <cell r="B1246">
            <v>5144654</v>
          </cell>
          <cell r="C1246" t="str">
            <v>SAUIPE SA</v>
          </cell>
          <cell r="D1246">
            <v>3001</v>
          </cell>
          <cell r="E1246" t="str">
            <v>0127</v>
          </cell>
          <cell r="F1246" t="str">
            <v>C1</v>
          </cell>
          <cell r="G1246" t="str">
            <v>BA</v>
          </cell>
          <cell r="H1246" t="str">
            <v>DISTRIBUIÇÃO</v>
          </cell>
          <cell r="I1246" t="str">
            <v>FOOD SERVICE</v>
          </cell>
          <cell r="J1246" t="str">
            <v xml:space="preserve">KARIS FOOD / LUIZ </v>
          </cell>
          <cell r="K1246" t="str">
            <v>ITAMBÉ</v>
          </cell>
          <cell r="L1246" t="str">
            <v>RODRIGO</v>
          </cell>
          <cell r="M1246" t="str">
            <v>VAGO NORDESTE</v>
          </cell>
        </row>
        <row r="1247">
          <cell r="B1247">
            <v>5314633</v>
          </cell>
          <cell r="C1247" t="str">
            <v>SBC PADARIA E CONFEITARIA ARTESANAL</v>
          </cell>
          <cell r="D1247">
            <v>7001</v>
          </cell>
          <cell r="E1247" t="str">
            <v>0749</v>
          </cell>
          <cell r="F1247" t="str">
            <v>C5</v>
          </cell>
          <cell r="G1247" t="str">
            <v>SP</v>
          </cell>
          <cell r="H1247" t="str">
            <v>DISTRIBUIÇÃO</v>
          </cell>
          <cell r="I1247" t="str">
            <v>FOOD SERVICE</v>
          </cell>
          <cell r="J1247" t="str">
            <v>FLAC 2</v>
          </cell>
          <cell r="K1247" t="str">
            <v>LACTALIS</v>
          </cell>
          <cell r="L1247" t="str">
            <v>RODRIGO</v>
          </cell>
          <cell r="M1247" t="str">
            <v>ALEXANDRO</v>
          </cell>
        </row>
        <row r="1248">
          <cell r="B1248">
            <v>5090159</v>
          </cell>
          <cell r="C1248" t="str">
            <v>SCALON E CHERCHI LTDA</v>
          </cell>
          <cell r="D1248">
            <v>4001</v>
          </cell>
          <cell r="E1248" t="str">
            <v>0437</v>
          </cell>
          <cell r="F1248" t="str">
            <v>C1</v>
          </cell>
          <cell r="G1248" t="str">
            <v>MG</v>
          </cell>
          <cell r="H1248" t="str">
            <v>INGREDIENTS</v>
          </cell>
          <cell r="I1248" t="str">
            <v>INGREDIENTS</v>
          </cell>
          <cell r="J1248" t="str">
            <v>JOEL ELEOTÉRIO</v>
          </cell>
          <cell r="K1248" t="str">
            <v>LACTALIS</v>
          </cell>
          <cell r="L1248" t="str">
            <v>MAURICIO</v>
          </cell>
          <cell r="M1248" t="str">
            <v>JOEL</v>
          </cell>
        </row>
        <row r="1249">
          <cell r="B1249">
            <v>5090159</v>
          </cell>
          <cell r="C1249" t="str">
            <v>SCALON E CHERCHI LTDA</v>
          </cell>
          <cell r="D1249">
            <v>4001</v>
          </cell>
          <cell r="E1249" t="str">
            <v>0458</v>
          </cell>
          <cell r="F1249" t="str">
            <v>C1</v>
          </cell>
          <cell r="G1249" t="str">
            <v>MG</v>
          </cell>
          <cell r="H1249" t="str">
            <v>INGREDIENTS</v>
          </cell>
          <cell r="I1249" t="str">
            <v>INGREDIENTS</v>
          </cell>
          <cell r="J1249" t="str">
            <v>JOEL ELEOTÉRIO</v>
          </cell>
          <cell r="K1249" t="str">
            <v>LACTALIS</v>
          </cell>
          <cell r="L1249" t="str">
            <v>MAURICIO</v>
          </cell>
          <cell r="M1249" t="str">
            <v>JOEL</v>
          </cell>
        </row>
        <row r="1250">
          <cell r="B1250">
            <v>5331983</v>
          </cell>
          <cell r="C1250" t="str">
            <v>SCALONA ALIMENTOS LTDA</v>
          </cell>
          <cell r="D1250">
            <v>3001</v>
          </cell>
          <cell r="E1250" t="str">
            <v>0127</v>
          </cell>
          <cell r="F1250" t="str">
            <v>C1</v>
          </cell>
          <cell r="G1250" t="str">
            <v>BA</v>
          </cell>
          <cell r="H1250" t="str">
            <v>DISTRIBUIÇÃO</v>
          </cell>
          <cell r="I1250" t="str">
            <v>FOOD SERVICE</v>
          </cell>
          <cell r="J1250" t="str">
            <v xml:space="preserve">KARIS FOOD / LUIZ </v>
          </cell>
          <cell r="K1250" t="str">
            <v>ITAMBÉ</v>
          </cell>
          <cell r="L1250" t="str">
            <v>RODRIGO</v>
          </cell>
          <cell r="M1250" t="str">
            <v>VAGO NORDESTE</v>
          </cell>
        </row>
        <row r="1251">
          <cell r="B1251">
            <v>5326116</v>
          </cell>
          <cell r="C1251" t="str">
            <v>SCHOOL ALIMENTACAO ESCOLAR LTDA</v>
          </cell>
          <cell r="D1251">
            <v>7001</v>
          </cell>
          <cell r="E1251" t="str">
            <v>0749</v>
          </cell>
          <cell r="F1251" t="str">
            <v>C5</v>
          </cell>
          <cell r="G1251" t="str">
            <v>SP</v>
          </cell>
          <cell r="H1251" t="str">
            <v>DISTRIBUIÇÃO</v>
          </cell>
          <cell r="I1251" t="str">
            <v>FOOD SERVICE</v>
          </cell>
          <cell r="J1251" t="str">
            <v>FLAC 6</v>
          </cell>
          <cell r="K1251" t="str">
            <v>LACTALIS</v>
          </cell>
          <cell r="L1251" t="str">
            <v>RODRIGO</v>
          </cell>
          <cell r="M1251" t="str">
            <v>ALEXANDRO</v>
          </cell>
        </row>
        <row r="1252">
          <cell r="B1252">
            <v>5060394</v>
          </cell>
          <cell r="C1252" t="str">
            <v>SCHREIBER FOODS BRASIL IND ALIM LTD</v>
          </cell>
          <cell r="D1252">
            <v>4001</v>
          </cell>
          <cell r="E1252" t="str">
            <v>0445</v>
          </cell>
          <cell r="F1252" t="str">
            <v>C7</v>
          </cell>
          <cell r="G1252" t="str">
            <v>PR</v>
          </cell>
          <cell r="H1252" t="str">
            <v>MC DONALDS</v>
          </cell>
          <cell r="I1252" t="str">
            <v>MC DONALDS</v>
          </cell>
          <cell r="J1252" t="str">
            <v>MAURICIO GALLI</v>
          </cell>
          <cell r="K1252" t="str">
            <v>LACTALIS</v>
          </cell>
          <cell r="L1252" t="str">
            <v>MAURICIO</v>
          </cell>
          <cell r="M1252" t="str">
            <v>MAURICIO</v>
          </cell>
        </row>
        <row r="1253">
          <cell r="B1253">
            <v>5060394</v>
          </cell>
          <cell r="C1253" t="str">
            <v>SCHREIBER FOODS BRASIL IND ALIM LTD</v>
          </cell>
          <cell r="D1253">
            <v>3001</v>
          </cell>
          <cell r="E1253" t="str">
            <v>0028</v>
          </cell>
          <cell r="F1253" t="str">
            <v>C1</v>
          </cell>
          <cell r="G1253" t="str">
            <v>PR</v>
          </cell>
          <cell r="H1253" t="str">
            <v>INGREDIENTS</v>
          </cell>
          <cell r="I1253" t="str">
            <v>INGREDIENTS</v>
          </cell>
          <cell r="J1253" t="str">
            <v>MARCELO RODRIGUES</v>
          </cell>
          <cell r="K1253" t="str">
            <v>ITAMBÉ</v>
          </cell>
          <cell r="L1253" t="str">
            <v>MAURICIO</v>
          </cell>
          <cell r="M1253" t="str">
            <v>MARCELO</v>
          </cell>
        </row>
        <row r="1254">
          <cell r="B1254">
            <v>5130053</v>
          </cell>
          <cell r="C1254" t="str">
            <v>SEARA ALIMENTOS LTDA</v>
          </cell>
          <cell r="D1254">
            <v>4001</v>
          </cell>
          <cell r="E1254" t="str">
            <v>0437</v>
          </cell>
          <cell r="F1254" t="str">
            <v>C1</v>
          </cell>
          <cell r="G1254" t="str">
            <v>SC</v>
          </cell>
          <cell r="H1254" t="str">
            <v>INGREDIENTS</v>
          </cell>
          <cell r="I1254" t="str">
            <v>INGREDIENTS</v>
          </cell>
          <cell r="J1254" t="str">
            <v>JOEL ELEOTÉRIO</v>
          </cell>
          <cell r="K1254" t="str">
            <v>LACTALIS</v>
          </cell>
          <cell r="L1254" t="str">
            <v>MAURICIO</v>
          </cell>
          <cell r="M1254" t="str">
            <v>JOEL</v>
          </cell>
        </row>
        <row r="1255">
          <cell r="B1255">
            <v>5272667</v>
          </cell>
          <cell r="C1255" t="str">
            <v>SEARA ALIMENTOS LTDA</v>
          </cell>
          <cell r="D1255">
            <v>4001</v>
          </cell>
          <cell r="E1255" t="str">
            <v>0437</v>
          </cell>
          <cell r="F1255" t="str">
            <v>C1</v>
          </cell>
          <cell r="G1255" t="str">
            <v>SP</v>
          </cell>
          <cell r="H1255" t="str">
            <v>INGREDIENTS</v>
          </cell>
          <cell r="I1255" t="str">
            <v>INGREDIENTS</v>
          </cell>
          <cell r="J1255" t="str">
            <v>JOEL ELEOTÉRIO</v>
          </cell>
          <cell r="K1255" t="str">
            <v>LACTALIS</v>
          </cell>
          <cell r="L1255" t="str">
            <v>MAURICIO</v>
          </cell>
          <cell r="M1255" t="str">
            <v>JOEL</v>
          </cell>
        </row>
        <row r="1256">
          <cell r="B1256">
            <v>5218855</v>
          </cell>
          <cell r="C1256" t="str">
            <v>SEBASTIAO FREITAS ALVES JUNIOR</v>
          </cell>
          <cell r="D1256">
            <v>7001</v>
          </cell>
          <cell r="E1256" t="str">
            <v>0749</v>
          </cell>
          <cell r="F1256" t="str">
            <v>C5</v>
          </cell>
          <cell r="G1256" t="str">
            <v>SP</v>
          </cell>
          <cell r="H1256" t="str">
            <v>DISTRIBUIÇÃO</v>
          </cell>
          <cell r="I1256" t="str">
            <v>FOOD SERVICE</v>
          </cell>
          <cell r="J1256" t="str">
            <v>FLAC 2</v>
          </cell>
          <cell r="K1256" t="str">
            <v>LACTALIS</v>
          </cell>
          <cell r="L1256" t="str">
            <v>RODRIGO</v>
          </cell>
          <cell r="M1256" t="str">
            <v>ALEXANDRO</v>
          </cell>
        </row>
        <row r="1257">
          <cell r="B1257">
            <v>5317442</v>
          </cell>
          <cell r="C1257" t="str">
            <v>SEBASTIAO MARIO GIRALDELLI E CIA LT</v>
          </cell>
          <cell r="D1257">
            <v>3001</v>
          </cell>
          <cell r="E1257" t="str">
            <v>0123</v>
          </cell>
          <cell r="F1257" t="str">
            <v>C1</v>
          </cell>
          <cell r="G1257" t="str">
            <v>MT</v>
          </cell>
          <cell r="H1257" t="str">
            <v>DISTRIBUIÇÃO</v>
          </cell>
          <cell r="I1257" t="str">
            <v>FOOD SERVICE</v>
          </cell>
          <cell r="J1257" t="str">
            <v>CLAUDIO JORGE</v>
          </cell>
          <cell r="K1257" t="str">
            <v>ITAMBÉ</v>
          </cell>
          <cell r="L1257" t="str">
            <v>RODRIGO</v>
          </cell>
          <cell r="M1257" t="str">
            <v>MARCO AURELIO</v>
          </cell>
        </row>
        <row r="1258">
          <cell r="B1258">
            <v>5225381</v>
          </cell>
          <cell r="C1258" t="str">
            <v>SEC INDUSTRIA E COMERCIO LTDA</v>
          </cell>
          <cell r="D1258">
            <v>3001</v>
          </cell>
          <cell r="E1258" t="str">
            <v>0122</v>
          </cell>
          <cell r="F1258" t="str">
            <v>C1</v>
          </cell>
          <cell r="G1258" t="str">
            <v>MG</v>
          </cell>
          <cell r="H1258" t="str">
            <v>INGREDIENTS</v>
          </cell>
          <cell r="I1258" t="str">
            <v>INGREDIENTS</v>
          </cell>
          <cell r="J1258" t="str">
            <v>HENRIQUE FERREIRA</v>
          </cell>
          <cell r="K1258" t="str">
            <v>ITAMBÉ</v>
          </cell>
          <cell r="L1258" t="str">
            <v>MAURICIO</v>
          </cell>
          <cell r="M1258" t="str">
            <v>JOEL</v>
          </cell>
        </row>
        <row r="1259">
          <cell r="B1259">
            <v>5127549</v>
          </cell>
          <cell r="C1259" t="str">
            <v>SECOMANDI IND E COM DE SORVETES LTD</v>
          </cell>
          <cell r="D1259">
            <v>3001</v>
          </cell>
          <cell r="E1259" t="str">
            <v>0122</v>
          </cell>
          <cell r="F1259" t="str">
            <v>C1</v>
          </cell>
          <cell r="G1259" t="str">
            <v>ES</v>
          </cell>
          <cell r="H1259" t="str">
            <v>INGREDIENTS</v>
          </cell>
          <cell r="I1259" t="str">
            <v>INGREDIENTS</v>
          </cell>
          <cell r="J1259" t="str">
            <v>HENRIQUE FERREIRA</v>
          </cell>
          <cell r="K1259" t="str">
            <v>ITAMBÉ</v>
          </cell>
          <cell r="L1259" t="str">
            <v>MAURICIO</v>
          </cell>
          <cell r="M1259" t="str">
            <v>JOEL</v>
          </cell>
        </row>
        <row r="1260">
          <cell r="B1260">
            <v>5212456</v>
          </cell>
          <cell r="C1260" t="str">
            <v>SEJA LETS FIT COMERCIO DE ALIM</v>
          </cell>
          <cell r="D1260">
            <v>3001</v>
          </cell>
          <cell r="E1260" t="str">
            <v>0127</v>
          </cell>
          <cell r="F1260" t="str">
            <v>C1</v>
          </cell>
          <cell r="G1260" t="str">
            <v>CE</v>
          </cell>
          <cell r="H1260" t="str">
            <v>DISTRIBUIÇÃO</v>
          </cell>
          <cell r="I1260" t="str">
            <v>FOOD SERVICE</v>
          </cell>
          <cell r="J1260" t="str">
            <v>WH FOOD SERVICE CE</v>
          </cell>
          <cell r="K1260" t="str">
            <v>ITAMBÉ</v>
          </cell>
          <cell r="L1260" t="str">
            <v>RODRIGO</v>
          </cell>
          <cell r="M1260" t="str">
            <v>VAGO NORDESTE</v>
          </cell>
        </row>
        <row r="1261">
          <cell r="B1261">
            <v>5150509</v>
          </cell>
          <cell r="C1261" t="str">
            <v>SELECIONATA IND ALIM</v>
          </cell>
          <cell r="D1261">
            <v>3001</v>
          </cell>
          <cell r="E1261" t="str">
            <v>0122</v>
          </cell>
          <cell r="F1261" t="str">
            <v>C1</v>
          </cell>
          <cell r="G1261" t="str">
            <v>MG</v>
          </cell>
          <cell r="H1261" t="str">
            <v>INGREDIENTS</v>
          </cell>
          <cell r="I1261" t="str">
            <v>INGREDIENTS</v>
          </cell>
          <cell r="J1261" t="str">
            <v>HENRIQUE FERREIRA</v>
          </cell>
          <cell r="K1261" t="str">
            <v>ITAMBÉ</v>
          </cell>
          <cell r="L1261" t="str">
            <v>MAURICIO</v>
          </cell>
          <cell r="M1261" t="str">
            <v>JOEL</v>
          </cell>
        </row>
        <row r="1262">
          <cell r="B1262">
            <v>5130996</v>
          </cell>
          <cell r="C1262" t="str">
            <v>SELO VERDE IND TEXTIL LT</v>
          </cell>
          <cell r="D1262">
            <v>7001</v>
          </cell>
          <cell r="E1262" t="str">
            <v>0749</v>
          </cell>
          <cell r="F1262" t="str">
            <v>C5</v>
          </cell>
          <cell r="G1262" t="str">
            <v>SP</v>
          </cell>
          <cell r="H1262" t="str">
            <v>DISTRIBUIÇÃO</v>
          </cell>
          <cell r="I1262" t="str">
            <v>FOOD SERVICE</v>
          </cell>
          <cell r="J1262" t="str">
            <v>FLAC 5</v>
          </cell>
          <cell r="K1262" t="str">
            <v>LACTALIS</v>
          </cell>
          <cell r="L1262" t="str">
            <v>RODRIGO</v>
          </cell>
          <cell r="M1262" t="str">
            <v>ALEXANDRO</v>
          </cell>
        </row>
        <row r="1263">
          <cell r="B1263">
            <v>5224828</v>
          </cell>
          <cell r="C1263" t="str">
            <v>SEMENTINHA PRODUTOS DE SORVETES</v>
          </cell>
          <cell r="D1263">
            <v>3001</v>
          </cell>
          <cell r="E1263" t="str">
            <v>0028</v>
          </cell>
          <cell r="F1263" t="str">
            <v>C1</v>
          </cell>
          <cell r="G1263" t="str">
            <v>AM</v>
          </cell>
          <cell r="H1263" t="str">
            <v>INGREDIENTS</v>
          </cell>
          <cell r="I1263" t="str">
            <v>INGREDIENTS</v>
          </cell>
          <cell r="J1263" t="str">
            <v>DUAS RODAS</v>
          </cell>
          <cell r="K1263" t="str">
            <v>ITAMBÉ</v>
          </cell>
          <cell r="L1263" t="str">
            <v>MAURICIO</v>
          </cell>
          <cell r="M1263" t="str">
            <v>JOEL</v>
          </cell>
        </row>
        <row r="1264">
          <cell r="B1264">
            <v>5257654</v>
          </cell>
          <cell r="C1264" t="str">
            <v>SENHOR EMPADAO LTDA ME</v>
          </cell>
          <cell r="D1264">
            <v>7001</v>
          </cell>
          <cell r="E1264" t="str">
            <v>0749</v>
          </cell>
          <cell r="F1264" t="str">
            <v>C5</v>
          </cell>
          <cell r="G1264" t="str">
            <v>SP</v>
          </cell>
          <cell r="H1264" t="str">
            <v>DISTRIBUIÇÃO</v>
          </cell>
          <cell r="I1264" t="str">
            <v>FOOD SERVICE</v>
          </cell>
          <cell r="J1264" t="str">
            <v>FLAC 3</v>
          </cell>
          <cell r="K1264" t="str">
            <v>LACTALIS</v>
          </cell>
          <cell r="L1264" t="str">
            <v>RODRIGO</v>
          </cell>
          <cell r="M1264" t="str">
            <v>ALEXANDRO</v>
          </cell>
        </row>
        <row r="1265">
          <cell r="B1265">
            <v>5315911</v>
          </cell>
          <cell r="C1265" t="str">
            <v>SENSACAO DE SABORES CONFEITARIA GOU</v>
          </cell>
          <cell r="D1265">
            <v>7001</v>
          </cell>
          <cell r="E1265" t="str">
            <v>0749</v>
          </cell>
          <cell r="F1265" t="str">
            <v>C5</v>
          </cell>
          <cell r="G1265" t="str">
            <v>SP</v>
          </cell>
          <cell r="H1265" t="str">
            <v>DISTRIBUIÇÃO</v>
          </cell>
          <cell r="I1265" t="str">
            <v>FOOD SERVICE</v>
          </cell>
          <cell r="J1265" t="str">
            <v>FLAC 3</v>
          </cell>
          <cell r="K1265" t="str">
            <v>LACTALIS</v>
          </cell>
          <cell r="L1265" t="str">
            <v>RODRIGO</v>
          </cell>
          <cell r="M1265" t="str">
            <v>ALEXANDRO</v>
          </cell>
        </row>
        <row r="1266">
          <cell r="B1266">
            <v>5231638</v>
          </cell>
          <cell r="C1266" t="str">
            <v>SERGIO DO CARMO BRIONE</v>
          </cell>
          <cell r="D1266">
            <v>3001</v>
          </cell>
          <cell r="E1266" t="str">
            <v>0126</v>
          </cell>
          <cell r="F1266" t="str">
            <v>C1</v>
          </cell>
          <cell r="G1266" t="str">
            <v>PR</v>
          </cell>
          <cell r="H1266" t="str">
            <v>INGREDIENTS</v>
          </cell>
          <cell r="I1266" t="str">
            <v>INGREDIENTS</v>
          </cell>
          <cell r="J1266" t="str">
            <v>MARCELO RODRIGUES</v>
          </cell>
          <cell r="K1266" t="str">
            <v>ITAMBÉ</v>
          </cell>
          <cell r="L1266" t="str">
            <v>MAURICIO</v>
          </cell>
          <cell r="M1266" t="str">
            <v>MARCELO</v>
          </cell>
        </row>
        <row r="1267">
          <cell r="B1267">
            <v>5002549</v>
          </cell>
          <cell r="C1267" t="str">
            <v>SERVCATER INTERNACIONAL LTDA</v>
          </cell>
          <cell r="D1267">
            <v>7001</v>
          </cell>
          <cell r="E1267" t="str">
            <v>0722</v>
          </cell>
          <cell r="F1267" t="str">
            <v>C1</v>
          </cell>
          <cell r="G1267" t="str">
            <v>SP</v>
          </cell>
          <cell r="H1267" t="str">
            <v>QSR</v>
          </cell>
          <cell r="I1267" t="str">
            <v>FOOD SERVICE</v>
          </cell>
          <cell r="J1267" t="str">
            <v>ANA MENIQUETE</v>
          </cell>
          <cell r="K1267" t="str">
            <v>LACTALIS</v>
          </cell>
          <cell r="L1267" t="str">
            <v>PEDRO</v>
          </cell>
          <cell r="M1267" t="str">
            <v>ANA MENIQUETE</v>
          </cell>
        </row>
        <row r="1268">
          <cell r="B1268">
            <v>5002549</v>
          </cell>
          <cell r="C1268" t="str">
            <v>SERVCATER INTERNACIONAL LTDA</v>
          </cell>
          <cell r="D1268">
            <v>6001</v>
          </cell>
          <cell r="E1268" t="str">
            <v>6028</v>
          </cell>
          <cell r="F1268" t="str">
            <v>C1</v>
          </cell>
          <cell r="G1268" t="str">
            <v>SP</v>
          </cell>
          <cell r="H1268" t="str">
            <v>QSR</v>
          </cell>
          <cell r="I1268" t="str">
            <v>FOOD SERVICE</v>
          </cell>
          <cell r="J1268" t="str">
            <v>ANA MENIQUETE</v>
          </cell>
          <cell r="K1268" t="str">
            <v>ITAMBÉ</v>
          </cell>
          <cell r="L1268" t="str">
            <v>PEDRO</v>
          </cell>
          <cell r="M1268" t="str">
            <v>ANA MENIQUETE</v>
          </cell>
        </row>
        <row r="1269">
          <cell r="B1269">
            <v>5002549</v>
          </cell>
          <cell r="C1269" t="str">
            <v>SERVCATER INTERNACIONAL LTDA</v>
          </cell>
          <cell r="D1269">
            <v>6001</v>
          </cell>
          <cell r="E1269" t="str">
            <v>6125</v>
          </cell>
          <cell r="F1269" t="str">
            <v>C1</v>
          </cell>
          <cell r="G1269" t="str">
            <v>SP</v>
          </cell>
          <cell r="H1269" t="str">
            <v>QSR</v>
          </cell>
          <cell r="I1269" t="str">
            <v>FOOD SERVICE</v>
          </cell>
          <cell r="J1269" t="str">
            <v>ANA MENIQUETE</v>
          </cell>
          <cell r="K1269" t="str">
            <v>ITAMBÉ</v>
          </cell>
          <cell r="L1269" t="str">
            <v>PEDRO</v>
          </cell>
          <cell r="M1269" t="str">
            <v>ANA MENIQUETE</v>
          </cell>
        </row>
        <row r="1270">
          <cell r="B1270">
            <v>5318916</v>
          </cell>
          <cell r="C1270" t="str">
            <v>SEVEN COMERCIO DE BOLOS E DOCES</v>
          </cell>
          <cell r="D1270">
            <v>7001</v>
          </cell>
          <cell r="E1270" t="str">
            <v>0749</v>
          </cell>
          <cell r="F1270" t="str">
            <v>C5</v>
          </cell>
          <cell r="G1270" t="str">
            <v>SP</v>
          </cell>
          <cell r="H1270" t="str">
            <v>DISTRIBUIÇÃO</v>
          </cell>
          <cell r="I1270" t="str">
            <v>FOOD SERVICE</v>
          </cell>
          <cell r="J1270" t="str">
            <v>FLAC 6</v>
          </cell>
          <cell r="K1270" t="str">
            <v>LACTALIS</v>
          </cell>
          <cell r="L1270" t="str">
            <v>RODRIGO</v>
          </cell>
          <cell r="M1270" t="str">
            <v>ALEXANDRO</v>
          </cell>
        </row>
        <row r="1271">
          <cell r="B1271">
            <v>5338750</v>
          </cell>
          <cell r="C1271" t="str">
            <v>SGOBB E YAMAGUTE COM PROD ALI L</v>
          </cell>
          <cell r="D1271">
            <v>7001</v>
          </cell>
          <cell r="E1271" t="str">
            <v>0722</v>
          </cell>
          <cell r="F1271" t="str">
            <v>C1</v>
          </cell>
          <cell r="G1271" t="str">
            <v>SP</v>
          </cell>
          <cell r="H1271" t="str">
            <v>DISTRIBUIÇÃO</v>
          </cell>
          <cell r="I1271" t="str">
            <v>FOOD SERVICE</v>
          </cell>
          <cell r="J1271" t="str">
            <v>VAGO SP - INTERIOR</v>
          </cell>
          <cell r="K1271" t="str">
            <v>LACTALIS</v>
          </cell>
          <cell r="L1271" t="str">
            <v>RODRIGO</v>
          </cell>
          <cell r="M1271" t="str">
            <v>ALEXANDRO</v>
          </cell>
        </row>
        <row r="1272">
          <cell r="B1272">
            <v>5338750</v>
          </cell>
          <cell r="C1272" t="str">
            <v>SGOBB E YAMAGUTE COM PROD ALI L</v>
          </cell>
          <cell r="D1272">
            <v>6001</v>
          </cell>
          <cell r="E1272" t="str">
            <v>6125</v>
          </cell>
          <cell r="F1272" t="str">
            <v>C1</v>
          </cell>
          <cell r="G1272" t="str">
            <v>SP</v>
          </cell>
          <cell r="H1272" t="str">
            <v>DISTRIBUIÇÃO</v>
          </cell>
          <cell r="I1272" t="str">
            <v>FOOD SERVICE</v>
          </cell>
          <cell r="J1272" t="str">
            <v>VAGO SP - INTERIOR</v>
          </cell>
          <cell r="K1272" t="str">
            <v>ITAMBÉ</v>
          </cell>
          <cell r="L1272" t="str">
            <v>RODRIGO</v>
          </cell>
          <cell r="M1272" t="str">
            <v>ALEXANDRO</v>
          </cell>
        </row>
        <row r="1273">
          <cell r="B1273">
            <v>5026855</v>
          </cell>
          <cell r="C1273" t="str">
            <v>SIBELE ALIMENTOS LTDA</v>
          </cell>
          <cell r="D1273">
            <v>4001</v>
          </cell>
          <cell r="E1273" t="str">
            <v>0437</v>
          </cell>
          <cell r="F1273" t="str">
            <v>C1</v>
          </cell>
          <cell r="G1273" t="str">
            <v>MG</v>
          </cell>
          <cell r="H1273" t="str">
            <v>INGREDIENTS</v>
          </cell>
          <cell r="I1273" t="str">
            <v>INGREDIENTS</v>
          </cell>
          <cell r="J1273" t="str">
            <v>HENRIQUE FERREIRA</v>
          </cell>
          <cell r="K1273" t="str">
            <v>LACTALIS</v>
          </cell>
          <cell r="L1273" t="str">
            <v>MAURICIO</v>
          </cell>
          <cell r="M1273" t="str">
            <v>JOEL</v>
          </cell>
        </row>
        <row r="1274">
          <cell r="B1274">
            <v>5026855</v>
          </cell>
          <cell r="C1274" t="str">
            <v>SIBELE ALIMENTOS LTDA</v>
          </cell>
          <cell r="D1274">
            <v>4001</v>
          </cell>
          <cell r="E1274" t="str">
            <v>0458</v>
          </cell>
          <cell r="F1274" t="str">
            <v>C1</v>
          </cell>
          <cell r="G1274" t="str">
            <v>MG</v>
          </cell>
          <cell r="H1274" t="str">
            <v>INGREDIENTS</v>
          </cell>
          <cell r="I1274" t="str">
            <v>INGREDIENTS</v>
          </cell>
          <cell r="J1274" t="str">
            <v>HENRIQUE FERREIRA</v>
          </cell>
          <cell r="K1274" t="str">
            <v>LACTALIS</v>
          </cell>
          <cell r="L1274" t="str">
            <v>MAURICIO</v>
          </cell>
          <cell r="M1274" t="str">
            <v>JOEL</v>
          </cell>
        </row>
        <row r="1275">
          <cell r="B1275">
            <v>5257756</v>
          </cell>
          <cell r="C1275" t="str">
            <v>SIGTELY REST E FORN DE REFEICOES LT</v>
          </cell>
          <cell r="D1275">
            <v>7001</v>
          </cell>
          <cell r="E1275" t="str">
            <v>0749</v>
          </cell>
          <cell r="F1275" t="str">
            <v>C5</v>
          </cell>
          <cell r="G1275" t="str">
            <v>SP</v>
          </cell>
          <cell r="H1275" t="str">
            <v>DISTRIBUIÇÃO</v>
          </cell>
          <cell r="I1275" t="str">
            <v>FOOD SERVICE</v>
          </cell>
          <cell r="J1275" t="str">
            <v>FLAC 6</v>
          </cell>
          <cell r="K1275" t="str">
            <v>LACTALIS</v>
          </cell>
          <cell r="L1275" t="str">
            <v>RODRIGO</v>
          </cell>
          <cell r="M1275" t="str">
            <v>ALEXANDRO</v>
          </cell>
        </row>
        <row r="1276">
          <cell r="B1276">
            <v>5285931</v>
          </cell>
          <cell r="C1276" t="str">
            <v>SIND TRAB IND DE PANIFICAC CONF AFI</v>
          </cell>
          <cell r="D1276">
            <v>7001</v>
          </cell>
          <cell r="E1276" t="str">
            <v>0749</v>
          </cell>
          <cell r="F1276" t="str">
            <v>C5</v>
          </cell>
          <cell r="G1276" t="str">
            <v>SP</v>
          </cell>
          <cell r="H1276" t="str">
            <v>DISTRIBUIÇÃO</v>
          </cell>
          <cell r="I1276" t="str">
            <v>FOOD SERVICE</v>
          </cell>
          <cell r="J1276" t="str">
            <v>FLAC 6</v>
          </cell>
          <cell r="K1276" t="str">
            <v>LACTALIS</v>
          </cell>
          <cell r="L1276" t="str">
            <v>RODRIGO</v>
          </cell>
          <cell r="M1276" t="str">
            <v>ALEXANDRO</v>
          </cell>
        </row>
        <row r="1277">
          <cell r="B1277">
            <v>5031156</v>
          </cell>
          <cell r="C1277" t="str">
            <v>SIRLEI MENDES DE OLIVEIRA</v>
          </cell>
          <cell r="D1277">
            <v>6001</v>
          </cell>
          <cell r="E1277" t="str">
            <v>6125</v>
          </cell>
          <cell r="F1277" t="str">
            <v>C1</v>
          </cell>
          <cell r="G1277" t="str">
            <v>SP</v>
          </cell>
          <cell r="H1277" t="str">
            <v>DISTRIBUIÇÃO</v>
          </cell>
          <cell r="I1277" t="str">
            <v>FOOD SERVICE</v>
          </cell>
          <cell r="J1277" t="str">
            <v>GUILHERME NASCIMENTO</v>
          </cell>
          <cell r="K1277" t="str">
            <v>ITAMBÉ</v>
          </cell>
          <cell r="L1277" t="str">
            <v>RODRIGO</v>
          </cell>
          <cell r="M1277" t="str">
            <v>ALEXANDRO</v>
          </cell>
        </row>
        <row r="1278">
          <cell r="B1278">
            <v>5188667</v>
          </cell>
          <cell r="C1278" t="str">
            <v>SLAVIERO EMPREEND  HOTELEIROS LTDA</v>
          </cell>
          <cell r="D1278">
            <v>7001</v>
          </cell>
          <cell r="E1278" t="str">
            <v>0749</v>
          </cell>
          <cell r="F1278" t="str">
            <v>C5</v>
          </cell>
          <cell r="G1278" t="str">
            <v>SP</v>
          </cell>
          <cell r="H1278" t="str">
            <v>DISTRIBUIÇÃO</v>
          </cell>
          <cell r="I1278" t="str">
            <v>FOOD SERVICE</v>
          </cell>
          <cell r="J1278" t="str">
            <v>FLAC 3</v>
          </cell>
          <cell r="K1278" t="str">
            <v>LACTALIS</v>
          </cell>
          <cell r="L1278" t="str">
            <v>RODRIGO</v>
          </cell>
          <cell r="M1278" t="str">
            <v>ALEXANDRO</v>
          </cell>
        </row>
        <row r="1279">
          <cell r="B1279">
            <v>5165046</v>
          </cell>
          <cell r="C1279" t="str">
            <v>SLOOP IND COM DE ALIM LTDA</v>
          </cell>
          <cell r="D1279">
            <v>3001</v>
          </cell>
          <cell r="E1279" t="str">
            <v>0169</v>
          </cell>
          <cell r="F1279" t="str">
            <v>C1</v>
          </cell>
          <cell r="G1279" t="str">
            <v>RJ</v>
          </cell>
          <cell r="H1279" t="str">
            <v>INGREDIENTS</v>
          </cell>
          <cell r="I1279" t="str">
            <v>INGREDIENTS</v>
          </cell>
          <cell r="J1279" t="str">
            <v>HENRIQUE FERREIRA</v>
          </cell>
          <cell r="K1279" t="str">
            <v>ITAMBÉ</v>
          </cell>
          <cell r="L1279" t="str">
            <v>MAURICIO</v>
          </cell>
          <cell r="M1279" t="str">
            <v>JOEL</v>
          </cell>
        </row>
        <row r="1280">
          <cell r="B1280">
            <v>5273675</v>
          </cell>
          <cell r="C1280" t="str">
            <v>SM FERREIRA COMERCIO DE ALIMENT</v>
          </cell>
          <cell r="D1280">
            <v>7001</v>
          </cell>
          <cell r="E1280" t="str">
            <v>0722</v>
          </cell>
          <cell r="F1280" t="str">
            <v>C1</v>
          </cell>
          <cell r="G1280" t="str">
            <v>SP</v>
          </cell>
          <cell r="H1280" t="str">
            <v>DISTRIBUIÇÃO</v>
          </cell>
          <cell r="I1280" t="str">
            <v>FOOD SERVICE</v>
          </cell>
          <cell r="J1280" t="str">
            <v>FLAC 8</v>
          </cell>
          <cell r="K1280" t="str">
            <v>LACTALIS</v>
          </cell>
          <cell r="L1280" t="str">
            <v>RODRIGO</v>
          </cell>
          <cell r="M1280" t="str">
            <v>ALEXANDRO</v>
          </cell>
        </row>
        <row r="1281">
          <cell r="B1281">
            <v>5315289</v>
          </cell>
          <cell r="C1281" t="str">
            <v>SNF EVENTOS LTDA</v>
          </cell>
          <cell r="D1281">
            <v>7001</v>
          </cell>
          <cell r="E1281" t="str">
            <v>0749</v>
          </cell>
          <cell r="F1281" t="str">
            <v>C5</v>
          </cell>
          <cell r="G1281" t="str">
            <v>SP</v>
          </cell>
          <cell r="H1281" t="str">
            <v>DISTRIBUIÇÃO</v>
          </cell>
          <cell r="I1281" t="str">
            <v>FOOD SERVICE</v>
          </cell>
          <cell r="J1281" t="str">
            <v>FLAC 5</v>
          </cell>
          <cell r="K1281" t="str">
            <v>LACTALIS</v>
          </cell>
          <cell r="L1281" t="str">
            <v>RODRIGO</v>
          </cell>
          <cell r="M1281" t="str">
            <v>ALEXANDRO</v>
          </cell>
        </row>
        <row r="1282">
          <cell r="B1282">
            <v>5308710</v>
          </cell>
          <cell r="C1282" t="str">
            <v>SODEXO DO BRASIL COMERCIAL SA</v>
          </cell>
          <cell r="D1282">
            <v>4001</v>
          </cell>
          <cell r="E1282" t="str">
            <v>0450</v>
          </cell>
          <cell r="F1282" t="str">
            <v>C5</v>
          </cell>
          <cell r="G1282" t="str">
            <v>RJ</v>
          </cell>
          <cell r="H1282" t="str">
            <v>QSR</v>
          </cell>
          <cell r="I1282" t="str">
            <v>FOOD SERVICE</v>
          </cell>
          <cell r="J1282" t="str">
            <v>NUTRI</v>
          </cell>
          <cell r="K1282" t="str">
            <v>LACTALIS</v>
          </cell>
          <cell r="L1282" t="str">
            <v>PEDRO</v>
          </cell>
          <cell r="M1282" t="str">
            <v>AMANDA</v>
          </cell>
        </row>
        <row r="1283">
          <cell r="B1283">
            <v>5144206</v>
          </cell>
          <cell r="C1283" t="str">
            <v>SODEXO DO BRASIL COMERCIAL SA</v>
          </cell>
          <cell r="D1283">
            <v>4001</v>
          </cell>
          <cell r="E1283" t="str">
            <v>0452</v>
          </cell>
          <cell r="F1283" t="str">
            <v>C5</v>
          </cell>
          <cell r="G1283" t="str">
            <v>PR</v>
          </cell>
          <cell r="H1283" t="str">
            <v>QSR</v>
          </cell>
          <cell r="I1283" t="str">
            <v>FOOD SERVICE</v>
          </cell>
          <cell r="J1283" t="str">
            <v>NUTRI</v>
          </cell>
          <cell r="K1283" t="str">
            <v>LACTALIS</v>
          </cell>
          <cell r="L1283" t="str">
            <v>PEDRO</v>
          </cell>
          <cell r="M1283" t="str">
            <v>AMANDA</v>
          </cell>
        </row>
        <row r="1284">
          <cell r="B1284">
            <v>5144208</v>
          </cell>
          <cell r="C1284" t="str">
            <v>SODEXO DO BRASIL COMERCIAL SA</v>
          </cell>
          <cell r="D1284">
            <v>4001</v>
          </cell>
          <cell r="E1284" t="str">
            <v>0453</v>
          </cell>
          <cell r="F1284" t="str">
            <v>C5</v>
          </cell>
          <cell r="G1284" t="str">
            <v>RS</v>
          </cell>
          <cell r="H1284" t="str">
            <v>QSR</v>
          </cell>
          <cell r="I1284" t="str">
            <v>FOOD SERVICE</v>
          </cell>
          <cell r="J1284" t="str">
            <v>NUTRI</v>
          </cell>
          <cell r="K1284" t="str">
            <v>LACTALIS</v>
          </cell>
          <cell r="L1284" t="str">
            <v>PEDRO</v>
          </cell>
          <cell r="M1284" t="str">
            <v>AMANDA</v>
          </cell>
        </row>
        <row r="1285">
          <cell r="B1285">
            <v>5002362</v>
          </cell>
          <cell r="C1285" t="str">
            <v>SOLAR DAS FESTAS LTDA</v>
          </cell>
          <cell r="D1285">
            <v>3001</v>
          </cell>
          <cell r="E1285" t="str">
            <v>0122</v>
          </cell>
          <cell r="F1285" t="str">
            <v>C1</v>
          </cell>
          <cell r="G1285" t="str">
            <v>MG</v>
          </cell>
          <cell r="H1285" t="str">
            <v>DISTRIBUIÇÃO</v>
          </cell>
          <cell r="I1285" t="str">
            <v>FOOD SERVICE</v>
          </cell>
          <cell r="J1285" t="str">
            <v>MARCELO SILVA</v>
          </cell>
          <cell r="K1285" t="str">
            <v>ITAMBÉ</v>
          </cell>
          <cell r="L1285" t="str">
            <v>RODRIGO</v>
          </cell>
          <cell r="M1285" t="str">
            <v>CELIO MARTINS</v>
          </cell>
        </row>
        <row r="1286">
          <cell r="B1286">
            <v>5023770</v>
          </cell>
          <cell r="C1286" t="str">
            <v>SOLMAR DIST DE ALIMENTOS LTDA</v>
          </cell>
          <cell r="D1286">
            <v>3001</v>
          </cell>
          <cell r="E1286" t="str">
            <v>0127</v>
          </cell>
          <cell r="F1286" t="str">
            <v>C1</v>
          </cell>
          <cell r="G1286" t="str">
            <v>CE</v>
          </cell>
          <cell r="H1286" t="str">
            <v>DISTRIBUIÇÃO</v>
          </cell>
          <cell r="I1286" t="str">
            <v>FOOD SERVICE</v>
          </cell>
          <cell r="J1286" t="str">
            <v>WH FOOD SERVICE CE</v>
          </cell>
          <cell r="K1286" t="str">
            <v>ITAMBÉ</v>
          </cell>
          <cell r="L1286" t="str">
            <v>RODRIGO</v>
          </cell>
          <cell r="M1286" t="str">
            <v>VAGO NORDESTE</v>
          </cell>
        </row>
        <row r="1287">
          <cell r="B1287">
            <v>5332546</v>
          </cell>
          <cell r="C1287" t="str">
            <v>SOLO DUE PROMOCOES DE VENDAS E</v>
          </cell>
          <cell r="D1287">
            <v>7001</v>
          </cell>
          <cell r="E1287" t="str">
            <v>0749</v>
          </cell>
          <cell r="F1287" t="str">
            <v>C5</v>
          </cell>
          <cell r="G1287" t="str">
            <v>SP</v>
          </cell>
          <cell r="H1287" t="str">
            <v>DISTRIBUIÇÃO</v>
          </cell>
          <cell r="I1287" t="str">
            <v>FOOD SERVICE</v>
          </cell>
          <cell r="J1287" t="str">
            <v>FLAC 2</v>
          </cell>
          <cell r="K1287" t="str">
            <v>LACTALIS</v>
          </cell>
          <cell r="L1287" t="str">
            <v>RODRIGO</v>
          </cell>
          <cell r="M1287" t="str">
            <v>ALEXANDRO</v>
          </cell>
        </row>
        <row r="1288">
          <cell r="B1288">
            <v>5209004</v>
          </cell>
          <cell r="C1288" t="str">
            <v>SOLSOR DISTRIBUIDORA DE DOCES</v>
          </cell>
          <cell r="D1288">
            <v>3001</v>
          </cell>
          <cell r="E1288" t="str">
            <v>0126</v>
          </cell>
          <cell r="F1288" t="str">
            <v>C1</v>
          </cell>
          <cell r="G1288" t="str">
            <v>PR</v>
          </cell>
          <cell r="H1288" t="str">
            <v>INGREDIENTS</v>
          </cell>
          <cell r="I1288" t="str">
            <v>INGREDIENTS</v>
          </cell>
          <cell r="J1288" t="str">
            <v>DUAS RODAS</v>
          </cell>
          <cell r="K1288" t="str">
            <v>ITAMBÉ</v>
          </cell>
          <cell r="L1288" t="str">
            <v>MAURICIO</v>
          </cell>
          <cell r="M1288" t="str">
            <v>MARCELO</v>
          </cell>
        </row>
        <row r="1289">
          <cell r="B1289">
            <v>5253709</v>
          </cell>
          <cell r="C1289" t="str">
            <v>SOLUTION ADM DE HOTEIS E RESORTS LT</v>
          </cell>
          <cell r="D1289">
            <v>7001</v>
          </cell>
          <cell r="E1289" t="str">
            <v>0749</v>
          </cell>
          <cell r="F1289" t="str">
            <v>C5</v>
          </cell>
          <cell r="G1289" t="str">
            <v>SP</v>
          </cell>
          <cell r="H1289" t="str">
            <v>DISTRIBUIÇÃO</v>
          </cell>
          <cell r="I1289" t="str">
            <v>FOOD SERVICE</v>
          </cell>
          <cell r="J1289" t="str">
            <v>FLAC 2</v>
          </cell>
          <cell r="K1289" t="str">
            <v>LACTALIS</v>
          </cell>
          <cell r="L1289" t="str">
            <v>RODRIGO</v>
          </cell>
          <cell r="M1289" t="str">
            <v>ALEXANDRO</v>
          </cell>
        </row>
        <row r="1290">
          <cell r="B1290">
            <v>5282181</v>
          </cell>
          <cell r="C1290" t="str">
            <v>SONDEQ IND DE SONDAS E EQUIP LTDA</v>
          </cell>
          <cell r="D1290">
            <v>7001</v>
          </cell>
          <cell r="E1290" t="str">
            <v>0749</v>
          </cell>
          <cell r="F1290" t="str">
            <v>C5</v>
          </cell>
          <cell r="G1290" t="str">
            <v>SP</v>
          </cell>
          <cell r="H1290" t="str">
            <v>DISTRIBUIÇÃO</v>
          </cell>
          <cell r="I1290" t="str">
            <v>FOOD SERVICE</v>
          </cell>
          <cell r="J1290" t="str">
            <v>FLAC 2</v>
          </cell>
          <cell r="K1290" t="str">
            <v>LACTALIS</v>
          </cell>
          <cell r="L1290" t="str">
            <v>RODRIGO</v>
          </cell>
          <cell r="M1290" t="str">
            <v>ALEXANDRO</v>
          </cell>
        </row>
        <row r="1291">
          <cell r="B1291">
            <v>5008675</v>
          </cell>
          <cell r="C1291" t="str">
            <v>SONIA SILVA FERNANDES</v>
          </cell>
          <cell r="D1291">
            <v>7001</v>
          </cell>
          <cell r="E1291" t="str">
            <v>0749</v>
          </cell>
          <cell r="F1291" t="str">
            <v>C5</v>
          </cell>
          <cell r="G1291" t="str">
            <v>SP</v>
          </cell>
          <cell r="H1291" t="str">
            <v>DISTRIBUIÇÃO</v>
          </cell>
          <cell r="I1291" t="str">
            <v>FOOD SERVICE</v>
          </cell>
          <cell r="J1291" t="str">
            <v>FLAC 4</v>
          </cell>
          <cell r="K1291" t="str">
            <v>LACTALIS</v>
          </cell>
          <cell r="L1291" t="str">
            <v>RODRIGO</v>
          </cell>
          <cell r="M1291" t="str">
            <v>ALEXANDRO</v>
          </cell>
        </row>
        <row r="1292">
          <cell r="B1292">
            <v>5261409</v>
          </cell>
          <cell r="C1292" t="str">
            <v>SOPHINSKI SUCOS E ALIMENTOS LTD</v>
          </cell>
          <cell r="D1292">
            <v>7001</v>
          </cell>
          <cell r="E1292" t="str">
            <v>0749</v>
          </cell>
          <cell r="F1292" t="str">
            <v>C5</v>
          </cell>
          <cell r="G1292" t="str">
            <v>SP</v>
          </cell>
          <cell r="H1292" t="str">
            <v>QSR</v>
          </cell>
          <cell r="I1292" t="str">
            <v>FOOD SERVICE</v>
          </cell>
          <cell r="J1292" t="str">
            <v>NUTRI</v>
          </cell>
          <cell r="K1292" t="str">
            <v>LACTALIS</v>
          </cell>
          <cell r="L1292" t="str">
            <v>PEDRO</v>
          </cell>
          <cell r="M1292" t="str">
            <v>AMANDA</v>
          </cell>
        </row>
        <row r="1293">
          <cell r="B1293">
            <v>5114882</v>
          </cell>
          <cell r="C1293" t="str">
            <v>SORVEDOCES IND E COM DE PROD ALIM L</v>
          </cell>
          <cell r="D1293">
            <v>3001</v>
          </cell>
          <cell r="E1293" t="str">
            <v>0169</v>
          </cell>
          <cell r="F1293" t="str">
            <v>C1</v>
          </cell>
          <cell r="G1293" t="str">
            <v>ES</v>
          </cell>
          <cell r="H1293" t="str">
            <v>DISTRIBUIÇÃO</v>
          </cell>
          <cell r="I1293" t="str">
            <v>FOOD SERVICE</v>
          </cell>
          <cell r="J1293" t="str">
            <v>MARCELO DUARTE</v>
          </cell>
          <cell r="K1293" t="str">
            <v>ITAMBÉ</v>
          </cell>
          <cell r="L1293" t="str">
            <v>RODRIGO</v>
          </cell>
          <cell r="M1293" t="str">
            <v>JESSICA</v>
          </cell>
        </row>
        <row r="1294">
          <cell r="B1294">
            <v>5163884</v>
          </cell>
          <cell r="C1294" t="str">
            <v>SORVEMIX COMERCIO DE ALIM LTDA</v>
          </cell>
          <cell r="D1294">
            <v>6001</v>
          </cell>
          <cell r="E1294" t="str">
            <v>6125</v>
          </cell>
          <cell r="F1294" t="str">
            <v>C1</v>
          </cell>
          <cell r="G1294" t="str">
            <v>SP</v>
          </cell>
          <cell r="H1294" t="str">
            <v>INGREDIENTS</v>
          </cell>
          <cell r="I1294" t="str">
            <v>INGREDIENTS</v>
          </cell>
          <cell r="J1294" t="str">
            <v>MARCELO RODRIGUES</v>
          </cell>
          <cell r="K1294" t="str">
            <v>ITAMBÉ</v>
          </cell>
          <cell r="L1294" t="str">
            <v>MAURICIO</v>
          </cell>
          <cell r="M1294" t="str">
            <v>MARCELO</v>
          </cell>
        </row>
        <row r="1295">
          <cell r="B1295">
            <v>5165963</v>
          </cell>
          <cell r="C1295" t="str">
            <v>SORVEMIX COMERCIO DE ALIM LTDA</v>
          </cell>
          <cell r="D1295">
            <v>6001</v>
          </cell>
          <cell r="E1295" t="str">
            <v>6125</v>
          </cell>
          <cell r="F1295" t="str">
            <v>C1</v>
          </cell>
          <cell r="G1295" t="str">
            <v>SP</v>
          </cell>
          <cell r="H1295" t="str">
            <v>INGREDIENTS</v>
          </cell>
          <cell r="I1295" t="str">
            <v>INGREDIENTS</v>
          </cell>
          <cell r="J1295" t="str">
            <v>DUAS RODAS</v>
          </cell>
          <cell r="K1295" t="str">
            <v>ITAMBÉ</v>
          </cell>
          <cell r="L1295" t="str">
            <v>MAURICIO</v>
          </cell>
          <cell r="M1295" t="str">
            <v>TATIANA NITTA</v>
          </cell>
        </row>
        <row r="1296">
          <cell r="B1296">
            <v>5149044</v>
          </cell>
          <cell r="C1296" t="str">
            <v>SORVEMIX COMERCIO DE ALIMENTOS LTDA</v>
          </cell>
          <cell r="D1296">
            <v>6001</v>
          </cell>
          <cell r="E1296" t="str">
            <v>6125</v>
          </cell>
          <cell r="F1296" t="str">
            <v>C1</v>
          </cell>
          <cell r="G1296" t="str">
            <v>SP</v>
          </cell>
          <cell r="H1296" t="str">
            <v>INGREDIENTS</v>
          </cell>
          <cell r="I1296" t="str">
            <v>INGREDIENTS</v>
          </cell>
          <cell r="J1296" t="str">
            <v>DUAS RODAS</v>
          </cell>
          <cell r="K1296" t="str">
            <v>ITAMBÉ</v>
          </cell>
          <cell r="L1296" t="str">
            <v>MAURICIO</v>
          </cell>
          <cell r="M1296" t="str">
            <v>MARCELO</v>
          </cell>
        </row>
        <row r="1297">
          <cell r="B1297">
            <v>5186266</v>
          </cell>
          <cell r="C1297" t="str">
            <v>SORVEPANI COMERCIAL E DISTRIBUIDORA</v>
          </cell>
          <cell r="D1297">
            <v>3001</v>
          </cell>
          <cell r="E1297" t="str">
            <v>0128</v>
          </cell>
          <cell r="F1297" t="str">
            <v>C1</v>
          </cell>
          <cell r="G1297" t="str">
            <v>AM</v>
          </cell>
          <cell r="H1297" t="str">
            <v>DISTRIBUIÇÃO</v>
          </cell>
          <cell r="I1297" t="str">
            <v>FOOD SERVICE</v>
          </cell>
          <cell r="J1297" t="str">
            <v>CLAUDIO JORGE</v>
          </cell>
          <cell r="K1297" t="str">
            <v>ITAMBÉ</v>
          </cell>
          <cell r="L1297" t="str">
            <v>RODRIGO</v>
          </cell>
          <cell r="M1297" t="str">
            <v>MARCO AURELIO</v>
          </cell>
        </row>
        <row r="1298">
          <cell r="B1298">
            <v>5162348</v>
          </cell>
          <cell r="C1298" t="str">
            <v>SORVEPEL LTDA EPP</v>
          </cell>
          <cell r="D1298">
            <v>3001</v>
          </cell>
          <cell r="E1298" t="str">
            <v>0028</v>
          </cell>
          <cell r="F1298" t="str">
            <v>C1</v>
          </cell>
          <cell r="G1298" t="str">
            <v>MG</v>
          </cell>
          <cell r="H1298" t="str">
            <v>INGREDIENTS</v>
          </cell>
          <cell r="I1298" t="str">
            <v>INGREDIENTS</v>
          </cell>
          <cell r="J1298" t="str">
            <v>DUAS RODAS</v>
          </cell>
          <cell r="K1298" t="str">
            <v>ITAMBÉ</v>
          </cell>
          <cell r="L1298" t="str">
            <v>MAURICIO</v>
          </cell>
          <cell r="M1298" t="str">
            <v>TATIANA NITTA</v>
          </cell>
        </row>
        <row r="1299">
          <cell r="B1299">
            <v>5162348</v>
          </cell>
          <cell r="C1299" t="str">
            <v>SORVEPEL LTDA EPP</v>
          </cell>
          <cell r="D1299">
            <v>3001</v>
          </cell>
          <cell r="E1299" t="str">
            <v>0122</v>
          </cell>
          <cell r="F1299" t="str">
            <v>C1</v>
          </cell>
          <cell r="G1299" t="str">
            <v>MG</v>
          </cell>
          <cell r="H1299" t="str">
            <v>INGREDIENTS</v>
          </cell>
          <cell r="I1299" t="str">
            <v>INGREDIENTS</v>
          </cell>
          <cell r="J1299" t="str">
            <v>DUAS RODAS</v>
          </cell>
          <cell r="K1299" t="str">
            <v>ITAMBÉ</v>
          </cell>
          <cell r="L1299" t="str">
            <v>MAURICIO</v>
          </cell>
          <cell r="M1299" t="str">
            <v>TATIANA NITTA</v>
          </cell>
        </row>
        <row r="1300">
          <cell r="B1300">
            <v>5174699</v>
          </cell>
          <cell r="C1300" t="str">
            <v>SORVETERIA AVENIDA LTDA</v>
          </cell>
          <cell r="D1300">
            <v>3001</v>
          </cell>
          <cell r="E1300" t="str">
            <v>0126</v>
          </cell>
          <cell r="F1300" t="str">
            <v>C1</v>
          </cell>
          <cell r="G1300" t="str">
            <v>PR</v>
          </cell>
          <cell r="H1300" t="str">
            <v>INGREDIENTS</v>
          </cell>
          <cell r="I1300" t="str">
            <v>INGREDIENTS</v>
          </cell>
          <cell r="J1300" t="str">
            <v>DUAS RODAS</v>
          </cell>
          <cell r="K1300" t="str">
            <v>ITAMBÉ</v>
          </cell>
          <cell r="L1300" t="str">
            <v>MAURICIO</v>
          </cell>
          <cell r="M1300" t="str">
            <v>MARCELO</v>
          </cell>
        </row>
        <row r="1301">
          <cell r="B1301">
            <v>5174861</v>
          </cell>
          <cell r="C1301" t="str">
            <v>SORVETERIA DRAGAO NEGRO LTDA</v>
          </cell>
          <cell r="D1301">
            <v>3001</v>
          </cell>
          <cell r="E1301" t="str">
            <v>0169</v>
          </cell>
          <cell r="F1301" t="str">
            <v>C1</v>
          </cell>
          <cell r="G1301" t="str">
            <v>RJ</v>
          </cell>
          <cell r="H1301" t="str">
            <v>DISTRIBUIÇÃO</v>
          </cell>
          <cell r="I1301" t="str">
            <v>FOOD SERVICE</v>
          </cell>
          <cell r="J1301" t="str">
            <v>JULIANA CORDEIRO</v>
          </cell>
          <cell r="K1301" t="str">
            <v>ITAMBÉ</v>
          </cell>
          <cell r="L1301" t="str">
            <v>RODRIGO</v>
          </cell>
          <cell r="M1301" t="str">
            <v>JESSICA</v>
          </cell>
        </row>
        <row r="1302">
          <cell r="B1302">
            <v>5262765</v>
          </cell>
          <cell r="C1302" t="str">
            <v>SORVETERIA ERATURF AICILED LTDA</v>
          </cell>
          <cell r="D1302">
            <v>7001</v>
          </cell>
          <cell r="E1302" t="str">
            <v>0749</v>
          </cell>
          <cell r="F1302" t="str">
            <v>C5</v>
          </cell>
          <cell r="G1302" t="str">
            <v>SP</v>
          </cell>
          <cell r="H1302" t="str">
            <v>DISTRIBUIÇÃO</v>
          </cell>
          <cell r="I1302" t="str">
            <v>FOOD SERVICE</v>
          </cell>
          <cell r="J1302" t="str">
            <v>FLAC 3</v>
          </cell>
          <cell r="K1302" t="str">
            <v>LACTALIS</v>
          </cell>
          <cell r="L1302" t="str">
            <v>RODRIGO</v>
          </cell>
          <cell r="M1302" t="str">
            <v>ALEXANDRO</v>
          </cell>
        </row>
        <row r="1303">
          <cell r="B1303">
            <v>5339146</v>
          </cell>
          <cell r="C1303" t="str">
            <v>SORVETERIA IMPERA LEOPOLDINA LT</v>
          </cell>
          <cell r="D1303">
            <v>7001</v>
          </cell>
          <cell r="E1303" t="str">
            <v>0749</v>
          </cell>
          <cell r="F1303" t="str">
            <v>C5</v>
          </cell>
          <cell r="G1303" t="str">
            <v>SP</v>
          </cell>
          <cell r="H1303" t="str">
            <v>DISTRIBUIÇÃO</v>
          </cell>
          <cell r="I1303" t="str">
            <v>FOOD SERVICE</v>
          </cell>
          <cell r="J1303" t="str">
            <v>FLAC 3</v>
          </cell>
          <cell r="K1303" t="str">
            <v>LACTALIS</v>
          </cell>
          <cell r="L1303" t="str">
            <v>RODRIGO</v>
          </cell>
          <cell r="M1303" t="str">
            <v>ALEXANDRO</v>
          </cell>
        </row>
        <row r="1304">
          <cell r="B1304">
            <v>5339140</v>
          </cell>
          <cell r="C1304" t="str">
            <v>SORVETERIA NORONHA LTDA</v>
          </cell>
          <cell r="D1304">
            <v>3001</v>
          </cell>
          <cell r="E1304" t="str">
            <v>0028</v>
          </cell>
          <cell r="F1304" t="str">
            <v>C1</v>
          </cell>
          <cell r="G1304" t="str">
            <v>MS</v>
          </cell>
          <cell r="H1304" t="str">
            <v>INGREDIENTS</v>
          </cell>
          <cell r="I1304" t="str">
            <v>INGREDIENTS</v>
          </cell>
          <cell r="J1304" t="str">
            <v>DUAS RODAS</v>
          </cell>
          <cell r="K1304" t="str">
            <v>ITAMBÉ</v>
          </cell>
          <cell r="L1304" t="str">
            <v>MAURICIO</v>
          </cell>
          <cell r="M1304" t="str">
            <v>MARCELO</v>
          </cell>
        </row>
        <row r="1305">
          <cell r="B1305">
            <v>5262833</v>
          </cell>
          <cell r="C1305" t="str">
            <v>SORVETERIA PABLO E ROSELI LTDA</v>
          </cell>
          <cell r="D1305">
            <v>7001</v>
          </cell>
          <cell r="E1305" t="str">
            <v>0749</v>
          </cell>
          <cell r="F1305" t="str">
            <v>C5</v>
          </cell>
          <cell r="G1305" t="str">
            <v>SP</v>
          </cell>
          <cell r="H1305" t="str">
            <v>DISTRIBUIÇÃO</v>
          </cell>
          <cell r="I1305" t="str">
            <v>FOOD SERVICE</v>
          </cell>
          <cell r="J1305" t="str">
            <v>FLAC 7</v>
          </cell>
          <cell r="K1305" t="str">
            <v>LACTALIS</v>
          </cell>
          <cell r="L1305" t="str">
            <v>RODRIGO</v>
          </cell>
          <cell r="M1305" t="str">
            <v>ALEXANDRO</v>
          </cell>
        </row>
        <row r="1306">
          <cell r="B1306">
            <v>5110910</v>
          </cell>
          <cell r="C1306" t="str">
            <v>SORVETERIA RIBEIRA LTDA</v>
          </cell>
          <cell r="D1306">
            <v>3001</v>
          </cell>
          <cell r="E1306" t="str">
            <v>0127</v>
          </cell>
          <cell r="F1306" t="str">
            <v>C1</v>
          </cell>
          <cell r="G1306" t="str">
            <v>BA</v>
          </cell>
          <cell r="H1306" t="str">
            <v>DISTRIBUIÇÃO</v>
          </cell>
          <cell r="I1306" t="str">
            <v>FOOD SERVICE</v>
          </cell>
          <cell r="J1306" t="str">
            <v xml:space="preserve">KARIS FOOD / LUIZ </v>
          </cell>
          <cell r="K1306" t="str">
            <v>ITAMBÉ</v>
          </cell>
          <cell r="L1306" t="str">
            <v>RODRIGO</v>
          </cell>
          <cell r="M1306" t="str">
            <v>VAGO NORDESTE</v>
          </cell>
        </row>
        <row r="1307">
          <cell r="B1307">
            <v>5028282</v>
          </cell>
          <cell r="C1307" t="str">
            <v>SORVETES JUNDIA INDU E COM LTDA</v>
          </cell>
          <cell r="D1307">
            <v>4001</v>
          </cell>
          <cell r="E1307" t="str">
            <v>0423</v>
          </cell>
          <cell r="F1307" t="str">
            <v>C5</v>
          </cell>
          <cell r="G1307" t="str">
            <v>SP</v>
          </cell>
          <cell r="H1307" t="str">
            <v>INGREDIENTS</v>
          </cell>
          <cell r="I1307" t="str">
            <v>INGREDIENTS</v>
          </cell>
          <cell r="J1307" t="str">
            <v>JOEL ELEOTÉRIO</v>
          </cell>
          <cell r="K1307" t="str">
            <v>LACTALIS</v>
          </cell>
          <cell r="L1307" t="str">
            <v>MAURICIO</v>
          </cell>
          <cell r="M1307" t="str">
            <v>JOEL</v>
          </cell>
        </row>
        <row r="1308">
          <cell r="B1308">
            <v>5028282</v>
          </cell>
          <cell r="C1308" t="str">
            <v>SORVETES JUNDIA INDU E COM LTDA</v>
          </cell>
          <cell r="D1308">
            <v>3001</v>
          </cell>
          <cell r="E1308" t="str">
            <v>0028</v>
          </cell>
          <cell r="F1308" t="str">
            <v>C1</v>
          </cell>
          <cell r="G1308" t="str">
            <v>SP</v>
          </cell>
          <cell r="H1308" t="str">
            <v>INGREDIENTS</v>
          </cell>
          <cell r="I1308" t="str">
            <v>INGREDIENTS</v>
          </cell>
          <cell r="J1308" t="str">
            <v>JOEL ELEOTÉRIO</v>
          </cell>
          <cell r="K1308" t="str">
            <v>ITAMBÉ</v>
          </cell>
          <cell r="L1308" t="str">
            <v>MAURICIO</v>
          </cell>
          <cell r="M1308" t="str">
            <v>JOEL</v>
          </cell>
        </row>
        <row r="1309">
          <cell r="B1309">
            <v>5173565</v>
          </cell>
          <cell r="C1309" t="str">
            <v>SORVETES RITZ INDUSTRIA E COMERCIO LTDA</v>
          </cell>
          <cell r="D1309">
            <v>3001</v>
          </cell>
          <cell r="E1309" t="str">
            <v>0028</v>
          </cell>
          <cell r="F1309" t="str">
            <v>C1</v>
          </cell>
          <cell r="G1309" t="str">
            <v>PR</v>
          </cell>
          <cell r="H1309" t="str">
            <v>INGREDIENTS</v>
          </cell>
          <cell r="I1309" t="str">
            <v>INGREDIENTS</v>
          </cell>
          <cell r="J1309" t="str">
            <v>DUAS RODAS</v>
          </cell>
          <cell r="K1309" t="str">
            <v>ITAMBÉ</v>
          </cell>
          <cell r="L1309" t="str">
            <v>MAURICIO</v>
          </cell>
          <cell r="M1309" t="str">
            <v>MARCELO</v>
          </cell>
        </row>
        <row r="1310">
          <cell r="B1310">
            <v>5173565</v>
          </cell>
          <cell r="C1310" t="str">
            <v>SORVETES RITZ INDUSTRIA E COMERCIO LTDA</v>
          </cell>
          <cell r="D1310">
            <v>3001</v>
          </cell>
          <cell r="E1310" t="str">
            <v>0126</v>
          </cell>
          <cell r="F1310" t="str">
            <v>C1</v>
          </cell>
          <cell r="G1310" t="str">
            <v>PR</v>
          </cell>
          <cell r="H1310" t="str">
            <v>INGREDIENTS</v>
          </cell>
          <cell r="I1310" t="str">
            <v>INGREDIENTS</v>
          </cell>
          <cell r="J1310" t="str">
            <v>DUAS RODAS</v>
          </cell>
          <cell r="K1310" t="str">
            <v>ITAMBÉ</v>
          </cell>
          <cell r="L1310" t="str">
            <v>MAURICIO</v>
          </cell>
          <cell r="M1310" t="str">
            <v>MARCELO</v>
          </cell>
        </row>
        <row r="1311">
          <cell r="B1311">
            <v>5159202</v>
          </cell>
          <cell r="C1311" t="str">
            <v>SORVETES SUPLES INDUSTRIA E COM</v>
          </cell>
          <cell r="D1311">
            <v>4001</v>
          </cell>
          <cell r="E1311" t="str">
            <v>0437</v>
          </cell>
          <cell r="F1311" t="str">
            <v>C1</v>
          </cell>
          <cell r="G1311" t="str">
            <v>SP</v>
          </cell>
          <cell r="H1311" t="str">
            <v>INGREDIENTS</v>
          </cell>
          <cell r="I1311" t="str">
            <v>INGREDIENTS</v>
          </cell>
          <cell r="J1311" t="str">
            <v>TATIANA NITTA</v>
          </cell>
          <cell r="K1311" t="str">
            <v>LACTALIS</v>
          </cell>
          <cell r="L1311" t="str">
            <v>MAURICIO</v>
          </cell>
          <cell r="M1311" t="str">
            <v>TATIANA NITTA</v>
          </cell>
        </row>
        <row r="1312">
          <cell r="B1312">
            <v>5033323</v>
          </cell>
          <cell r="C1312" t="str">
            <v>SORVESHOPES COMERCIAL LTDA</v>
          </cell>
          <cell r="D1312">
            <v>3001</v>
          </cell>
          <cell r="E1312" t="str">
            <v>0028</v>
          </cell>
          <cell r="F1312" t="str">
            <v>C1</v>
          </cell>
          <cell r="G1312" t="str">
            <v>ES</v>
          </cell>
          <cell r="H1312" t="str">
            <v>DISTRIBUIÇÃO</v>
          </cell>
          <cell r="I1312" t="str">
            <v>FOOD SERVICE</v>
          </cell>
          <cell r="J1312" t="str">
            <v>MARCELO DUARTE</v>
          </cell>
          <cell r="K1312" t="str">
            <v>ITAMBÉ</v>
          </cell>
          <cell r="L1312" t="str">
            <v>RODRIGO</v>
          </cell>
          <cell r="M1312" t="str">
            <v>JESSICA</v>
          </cell>
        </row>
        <row r="1313">
          <cell r="B1313">
            <v>5033323</v>
          </cell>
          <cell r="C1313" t="str">
            <v>SORVESHOPES COMERCIAL LTDA</v>
          </cell>
          <cell r="D1313">
            <v>3001</v>
          </cell>
          <cell r="E1313" t="str">
            <v>0169</v>
          </cell>
          <cell r="F1313" t="str">
            <v>C1</v>
          </cell>
          <cell r="G1313" t="str">
            <v>ES</v>
          </cell>
          <cell r="H1313" t="str">
            <v>DISTRIBUIÇÃO</v>
          </cell>
          <cell r="I1313" t="str">
            <v>FOOD SERVICE</v>
          </cell>
          <cell r="J1313" t="str">
            <v>MARCELO DUARTE</v>
          </cell>
          <cell r="K1313" t="str">
            <v>ITAMBÉ</v>
          </cell>
          <cell r="L1313" t="str">
            <v>RODRIGO</v>
          </cell>
          <cell r="M1313" t="str">
            <v>JESSICA</v>
          </cell>
        </row>
        <row r="1314">
          <cell r="B1314">
            <v>5226350</v>
          </cell>
          <cell r="C1314" t="str">
            <v>SOS ALIMENTOS E TRANSPORTES LTDA</v>
          </cell>
          <cell r="D1314">
            <v>3001</v>
          </cell>
          <cell r="E1314" t="str">
            <v>0126</v>
          </cell>
          <cell r="F1314" t="str">
            <v>C1</v>
          </cell>
          <cell r="G1314" t="str">
            <v>SC</v>
          </cell>
          <cell r="H1314" t="str">
            <v>DISTRIBUIÇÃO</v>
          </cell>
          <cell r="I1314" t="str">
            <v>FOOD SERVICE</v>
          </cell>
          <cell r="J1314" t="str">
            <v>ANTÔNIO SOUZA</v>
          </cell>
          <cell r="K1314" t="str">
            <v>ITAMBÉ</v>
          </cell>
          <cell r="L1314" t="str">
            <v>RODRIGO</v>
          </cell>
          <cell r="M1314" t="str">
            <v>VAGO SUL</v>
          </cell>
        </row>
        <row r="1315">
          <cell r="B1315">
            <v>5226350</v>
          </cell>
          <cell r="C1315" t="str">
            <v>SOS ALIMENTOS E TRANSPORTES LTDA</v>
          </cell>
          <cell r="D1315">
            <v>4001</v>
          </cell>
          <cell r="E1315" t="str">
            <v>0422</v>
          </cell>
          <cell r="F1315" t="str">
            <v>C1</v>
          </cell>
          <cell r="G1315" t="str">
            <v>SC</v>
          </cell>
          <cell r="H1315" t="str">
            <v>DISTRIBUIÇÃO</v>
          </cell>
          <cell r="I1315" t="str">
            <v>FOOD SERVICE</v>
          </cell>
          <cell r="J1315" t="str">
            <v>ANTÔNIO SOUZA</v>
          </cell>
          <cell r="K1315" t="str">
            <v>LACTALIS</v>
          </cell>
          <cell r="L1315" t="str">
            <v>RODRIGO</v>
          </cell>
          <cell r="M1315" t="str">
            <v>VAGO SUL</v>
          </cell>
        </row>
        <row r="1316">
          <cell r="B1316">
            <v>5020319</v>
          </cell>
          <cell r="C1316" t="str">
            <v>SOST IND E COM DE ALIMENTOS EIRELI</v>
          </cell>
          <cell r="D1316">
            <v>3001</v>
          </cell>
          <cell r="E1316" t="str">
            <v>0127</v>
          </cell>
          <cell r="F1316" t="str">
            <v>C1</v>
          </cell>
          <cell r="G1316" t="str">
            <v>BA</v>
          </cell>
          <cell r="H1316" t="str">
            <v>DISTRIBUIÇÃO</v>
          </cell>
          <cell r="I1316" t="str">
            <v>FOOD SERVICE</v>
          </cell>
          <cell r="J1316" t="str">
            <v xml:space="preserve">KARIS FOOD / LUIZ </v>
          </cell>
          <cell r="K1316" t="str">
            <v>ITAMBÉ</v>
          </cell>
          <cell r="L1316" t="str">
            <v>RODRIGO</v>
          </cell>
          <cell r="M1316" t="str">
            <v>VAGO NORDESTE</v>
          </cell>
        </row>
        <row r="1317">
          <cell r="B1317">
            <v>5264990</v>
          </cell>
          <cell r="C1317" t="str">
            <v>SOU PRATICO HORTIFRUTI LTDA</v>
          </cell>
          <cell r="D1317">
            <v>7001</v>
          </cell>
          <cell r="E1317" t="str">
            <v>0749</v>
          </cell>
          <cell r="F1317" t="str">
            <v>C5</v>
          </cell>
          <cell r="G1317" t="str">
            <v>SP</v>
          </cell>
          <cell r="H1317" t="str">
            <v>DISTRIBUIÇÃO</v>
          </cell>
          <cell r="I1317" t="str">
            <v>FOOD SERVICE</v>
          </cell>
          <cell r="J1317" t="str">
            <v>FLAC 2</v>
          </cell>
          <cell r="K1317" t="str">
            <v>LACTALIS</v>
          </cell>
          <cell r="L1317" t="str">
            <v>RODRIGO</v>
          </cell>
          <cell r="M1317" t="str">
            <v>ALEXANDRO</v>
          </cell>
        </row>
        <row r="1318">
          <cell r="B1318">
            <v>5254073</v>
          </cell>
          <cell r="C1318" t="str">
            <v>SP GRILL LANCHONETE E REST LTDA</v>
          </cell>
          <cell r="D1318">
            <v>7001</v>
          </cell>
          <cell r="E1318" t="str">
            <v>0749</v>
          </cell>
          <cell r="F1318" t="str">
            <v>C5</v>
          </cell>
          <cell r="G1318" t="str">
            <v>SP</v>
          </cell>
          <cell r="H1318" t="str">
            <v>DISTRIBUIÇÃO</v>
          </cell>
          <cell r="I1318" t="str">
            <v>FOOD SERVICE</v>
          </cell>
          <cell r="J1318" t="str">
            <v>FLAC 6</v>
          </cell>
          <cell r="K1318" t="str">
            <v>LACTALIS</v>
          </cell>
          <cell r="L1318" t="str">
            <v>RODRIGO</v>
          </cell>
          <cell r="M1318" t="str">
            <v>ALEXANDRO</v>
          </cell>
        </row>
        <row r="1319">
          <cell r="B1319">
            <v>5020352</v>
          </cell>
          <cell r="C1319" t="str">
            <v>SPAN VALE COM DE PROD ALIM LTDA</v>
          </cell>
          <cell r="D1319">
            <v>6001</v>
          </cell>
          <cell r="E1319" t="str">
            <v>6125</v>
          </cell>
          <cell r="F1319" t="str">
            <v>C1</v>
          </cell>
          <cell r="G1319" t="str">
            <v>SP</v>
          </cell>
          <cell r="H1319" t="str">
            <v>DISTRIBUIÇÃO</v>
          </cell>
          <cell r="I1319" t="str">
            <v>FOOD SERVICE</v>
          </cell>
          <cell r="J1319" t="str">
            <v>GUILHERME NASCIMENTO</v>
          </cell>
          <cell r="K1319" t="str">
            <v>ITAMBÉ</v>
          </cell>
          <cell r="L1319" t="str">
            <v>RODRIGO</v>
          </cell>
          <cell r="M1319" t="str">
            <v>ALEXANDRO</v>
          </cell>
        </row>
        <row r="1320">
          <cell r="B1320">
            <v>5020352</v>
          </cell>
          <cell r="C1320" t="str">
            <v>SPAN VALE COM DE PROD ALIM LTDA</v>
          </cell>
          <cell r="D1320">
            <v>7001</v>
          </cell>
          <cell r="E1320" t="str">
            <v>0722</v>
          </cell>
          <cell r="F1320" t="str">
            <v>C1</v>
          </cell>
          <cell r="G1320" t="str">
            <v>SP</v>
          </cell>
          <cell r="H1320" t="str">
            <v>DISTRIBUIÇÃO</v>
          </cell>
          <cell r="I1320" t="str">
            <v>FOOD SERVICE</v>
          </cell>
          <cell r="J1320" t="str">
            <v>GUILHERME NASCIMENTO</v>
          </cell>
          <cell r="K1320" t="str">
            <v>LACTALIS</v>
          </cell>
          <cell r="L1320" t="str">
            <v>RODRIGO</v>
          </cell>
          <cell r="M1320" t="str">
            <v>ALEXANDRO</v>
          </cell>
        </row>
        <row r="1321">
          <cell r="B1321">
            <v>5016060</v>
          </cell>
          <cell r="C1321" t="str">
            <v>SPB PAD E COM LTDA</v>
          </cell>
          <cell r="D1321">
            <v>3001</v>
          </cell>
          <cell r="E1321" t="str">
            <v>0122</v>
          </cell>
          <cell r="F1321" t="str">
            <v>C1</v>
          </cell>
          <cell r="G1321" t="str">
            <v>MG</v>
          </cell>
          <cell r="H1321" t="str">
            <v>DISTRIBUIÇÃO</v>
          </cell>
          <cell r="I1321" t="str">
            <v>FOOD SERVICE</v>
          </cell>
          <cell r="J1321" t="str">
            <v>MARCELO SILVA</v>
          </cell>
          <cell r="K1321" t="str">
            <v>ITAMBÉ</v>
          </cell>
          <cell r="L1321" t="str">
            <v>RODRIGO</v>
          </cell>
          <cell r="M1321" t="str">
            <v>CELIO MARTINS</v>
          </cell>
        </row>
        <row r="1322">
          <cell r="B1322">
            <v>5283788</v>
          </cell>
          <cell r="C1322" t="str">
            <v>SPORT CLUB CORINTHIANS PAULISTA</v>
          </cell>
          <cell r="D1322">
            <v>7001</v>
          </cell>
          <cell r="E1322" t="str">
            <v>0749</v>
          </cell>
          <cell r="F1322" t="str">
            <v>C5</v>
          </cell>
          <cell r="G1322" t="str">
            <v>SP</v>
          </cell>
          <cell r="H1322" t="str">
            <v>DISTRIBUIÇÃO</v>
          </cell>
          <cell r="I1322" t="str">
            <v>FOOD SERVICE</v>
          </cell>
          <cell r="J1322" t="str">
            <v>FLAC 6</v>
          </cell>
          <cell r="K1322" t="str">
            <v>LACTALIS</v>
          </cell>
          <cell r="L1322" t="str">
            <v>RODRIGO</v>
          </cell>
          <cell r="M1322" t="str">
            <v>ALEXANDRO</v>
          </cell>
        </row>
        <row r="1323">
          <cell r="B1323">
            <v>5177972</v>
          </cell>
          <cell r="C1323" t="str">
            <v>SR FAB E COM SORVETES E CHOC LTDA M</v>
          </cell>
          <cell r="D1323">
            <v>3001</v>
          </cell>
          <cell r="E1323" t="str">
            <v>0127</v>
          </cell>
          <cell r="F1323" t="str">
            <v>C1</v>
          </cell>
          <cell r="G1323" t="str">
            <v>PE</v>
          </cell>
          <cell r="H1323" t="str">
            <v>DISTRIBUIÇÃO</v>
          </cell>
          <cell r="I1323" t="str">
            <v>FOOD SERVICE</v>
          </cell>
          <cell r="J1323" t="str">
            <v>CLAUDIO JORGE</v>
          </cell>
          <cell r="K1323" t="str">
            <v>ITAMBÉ</v>
          </cell>
          <cell r="L1323" t="str">
            <v>RODRIGO</v>
          </cell>
          <cell r="M1323" t="str">
            <v>VAGO NORDESTE</v>
          </cell>
        </row>
        <row r="1324">
          <cell r="B1324">
            <v>5167579</v>
          </cell>
          <cell r="C1324" t="str">
            <v>SR PAO PANIFICACAO ALIM CONGELADOS</v>
          </cell>
          <cell r="D1324">
            <v>3001</v>
          </cell>
          <cell r="E1324" t="str">
            <v>0126</v>
          </cell>
          <cell r="F1324" t="str">
            <v>C1</v>
          </cell>
          <cell r="G1324" t="str">
            <v>SC</v>
          </cell>
          <cell r="H1324" t="str">
            <v>INGREDIENTS</v>
          </cell>
          <cell r="I1324" t="str">
            <v>INGREDIENTS</v>
          </cell>
          <cell r="J1324" t="str">
            <v>MARCELO RODRIGUES</v>
          </cell>
          <cell r="K1324" t="str">
            <v>ITAMBÉ</v>
          </cell>
          <cell r="L1324" t="str">
            <v>MAURICIO</v>
          </cell>
          <cell r="M1324" t="str">
            <v>MARCELO</v>
          </cell>
        </row>
        <row r="1325">
          <cell r="B1325">
            <v>5335178</v>
          </cell>
          <cell r="C1325" t="str">
            <v>SSL CAFETERIA LTDA</v>
          </cell>
          <cell r="D1325">
            <v>7001</v>
          </cell>
          <cell r="E1325" t="str">
            <v>0749</v>
          </cell>
          <cell r="F1325" t="str">
            <v>C5</v>
          </cell>
          <cell r="G1325" t="str">
            <v>SP</v>
          </cell>
          <cell r="H1325" t="str">
            <v>DISTRIBUIÇÃO</v>
          </cell>
          <cell r="I1325" t="str">
            <v>FOOD SERVICE</v>
          </cell>
          <cell r="J1325" t="str">
            <v>FLAC 6</v>
          </cell>
          <cell r="K1325" t="str">
            <v>LACTALIS</v>
          </cell>
          <cell r="L1325" t="str">
            <v>RODRIGO</v>
          </cell>
          <cell r="M1325" t="str">
            <v>ALEXANDRO</v>
          </cell>
        </row>
        <row r="1326">
          <cell r="B1326">
            <v>5115189</v>
          </cell>
          <cell r="C1326" t="str">
            <v>STA DISTRIBUIDORA DE ALIMENTOS LTDA</v>
          </cell>
          <cell r="D1326">
            <v>3001</v>
          </cell>
          <cell r="E1326" t="str">
            <v>0123</v>
          </cell>
          <cell r="F1326" t="str">
            <v>C1</v>
          </cell>
          <cell r="G1326" t="str">
            <v>GO</v>
          </cell>
          <cell r="H1326" t="str">
            <v>DISTRIBUIÇÃO</v>
          </cell>
          <cell r="I1326" t="str">
            <v>FOOD SERVICE</v>
          </cell>
          <cell r="J1326" t="str">
            <v>CLAUDIO JORGE/MARIA LAURA</v>
          </cell>
          <cell r="K1326" t="str">
            <v>ITAMBÉ</v>
          </cell>
          <cell r="L1326" t="str">
            <v>RODRIGO</v>
          </cell>
          <cell r="M1326" t="str">
            <v>MARCO AURELIO</v>
          </cell>
        </row>
        <row r="1327">
          <cell r="B1327">
            <v>5175512</v>
          </cell>
          <cell r="C1327" t="str">
            <v>STA RESTAURANTE E COM DE ALIM LTDA</v>
          </cell>
          <cell r="D1327">
            <v>7001</v>
          </cell>
          <cell r="E1327" t="str">
            <v>0749</v>
          </cell>
          <cell r="F1327" t="str">
            <v>C5</v>
          </cell>
          <cell r="G1327" t="str">
            <v>SP</v>
          </cell>
          <cell r="H1327" t="str">
            <v>DISTRIBUIÇÃO</v>
          </cell>
          <cell r="I1327" t="str">
            <v>FOOD SERVICE</v>
          </cell>
          <cell r="J1327" t="str">
            <v>FLAC 3</v>
          </cell>
          <cell r="K1327" t="str">
            <v>LACTALIS</v>
          </cell>
          <cell r="L1327" t="str">
            <v>RODRIGO</v>
          </cell>
          <cell r="M1327" t="str">
            <v>ALEXANDRO</v>
          </cell>
        </row>
        <row r="1328">
          <cell r="B1328">
            <v>5173494</v>
          </cell>
          <cell r="C1328" t="str">
            <v>STAMPA PET E FOOD LTDA</v>
          </cell>
          <cell r="D1328">
            <v>3001</v>
          </cell>
          <cell r="E1328" t="str">
            <v>0126</v>
          </cell>
          <cell r="F1328" t="str">
            <v>C1</v>
          </cell>
          <cell r="G1328" t="str">
            <v>PR</v>
          </cell>
          <cell r="H1328" t="str">
            <v>DISTRIBUIÇÃO</v>
          </cell>
          <cell r="I1328" t="str">
            <v>FOOD SERVICE</v>
          </cell>
          <cell r="J1328" t="str">
            <v>ANTÔNIO SOUZA</v>
          </cell>
          <cell r="K1328" t="str">
            <v>ITAMBÉ</v>
          </cell>
          <cell r="L1328" t="str">
            <v>RODRIGO</v>
          </cell>
          <cell r="M1328" t="str">
            <v>VAGO SUL</v>
          </cell>
        </row>
        <row r="1329">
          <cell r="B1329">
            <v>5173494</v>
          </cell>
          <cell r="C1329" t="str">
            <v>STAMPA PET E FOOD LTDA</v>
          </cell>
          <cell r="D1329">
            <v>4001</v>
          </cell>
          <cell r="E1329" t="str">
            <v>0422</v>
          </cell>
          <cell r="F1329" t="str">
            <v>C1</v>
          </cell>
          <cell r="G1329" t="str">
            <v>PR</v>
          </cell>
          <cell r="H1329" t="str">
            <v>DISTRIBUIÇÃO</v>
          </cell>
          <cell r="I1329" t="str">
            <v>FOOD SERVICE</v>
          </cell>
          <cell r="J1329" t="str">
            <v>ANTÔNIO SOUZA</v>
          </cell>
          <cell r="K1329" t="str">
            <v>LACTALIS</v>
          </cell>
          <cell r="L1329" t="str">
            <v>RODRIGO</v>
          </cell>
          <cell r="M1329" t="str">
            <v>VAGO SUL</v>
          </cell>
        </row>
        <row r="1330">
          <cell r="B1330">
            <v>5173494</v>
          </cell>
          <cell r="C1330" t="str">
            <v>STAMPA PET E FOOD LTDA</v>
          </cell>
          <cell r="D1330">
            <v>4001</v>
          </cell>
          <cell r="E1330" t="str">
            <v>0455</v>
          </cell>
          <cell r="F1330" t="str">
            <v>C1</v>
          </cell>
          <cell r="G1330" t="str">
            <v>PR</v>
          </cell>
          <cell r="H1330" t="str">
            <v>DISTRIBUIÇÃO</v>
          </cell>
          <cell r="I1330" t="str">
            <v>FOOD SERVICE</v>
          </cell>
          <cell r="J1330" t="str">
            <v>ANTÔNIO SOUZA</v>
          </cell>
          <cell r="K1330" t="str">
            <v>LACTALIS</v>
          </cell>
          <cell r="L1330" t="str">
            <v>RODRIGO</v>
          </cell>
          <cell r="M1330" t="str">
            <v>VAGO SUL</v>
          </cell>
        </row>
        <row r="1331">
          <cell r="B1331">
            <v>5259851</v>
          </cell>
          <cell r="C1331" t="str">
            <v>STOQ V E V ALIMENTOS LTDA</v>
          </cell>
          <cell r="D1331">
            <v>7001</v>
          </cell>
          <cell r="E1331" t="str">
            <v>0749</v>
          </cell>
          <cell r="F1331" t="str">
            <v>C5</v>
          </cell>
          <cell r="G1331" t="str">
            <v>SP</v>
          </cell>
          <cell r="H1331" t="str">
            <v>DISTRIBUIÇÃO</v>
          </cell>
          <cell r="I1331" t="str">
            <v>FOOD SERVICE</v>
          </cell>
          <cell r="J1331" t="str">
            <v>FLAC 1</v>
          </cell>
          <cell r="K1331" t="str">
            <v>LACTALIS</v>
          </cell>
          <cell r="L1331" t="str">
            <v>RODRIGO</v>
          </cell>
          <cell r="M1331" t="str">
            <v>ALEXANDRO</v>
          </cell>
        </row>
        <row r="1332">
          <cell r="B1332">
            <v>5252882</v>
          </cell>
          <cell r="C1332" t="str">
            <v>STRULLER E RULLER RESTAURANTE LT</v>
          </cell>
          <cell r="D1332">
            <v>7001</v>
          </cell>
          <cell r="E1332" t="str">
            <v>0749</v>
          </cell>
          <cell r="F1332" t="str">
            <v>C5</v>
          </cell>
          <cell r="G1332" t="str">
            <v>SP</v>
          </cell>
          <cell r="H1332" t="str">
            <v>DISTRIBUIÇÃO</v>
          </cell>
          <cell r="I1332" t="str">
            <v>FOOD SERVICE</v>
          </cell>
          <cell r="J1332" t="str">
            <v>FLAC 2</v>
          </cell>
          <cell r="K1332" t="str">
            <v>LACTALIS</v>
          </cell>
          <cell r="L1332" t="str">
            <v>RODRIGO</v>
          </cell>
          <cell r="M1332" t="str">
            <v>ALEXANDRO</v>
          </cell>
        </row>
        <row r="1333">
          <cell r="B1333">
            <v>5249505</v>
          </cell>
          <cell r="C1333" t="str">
            <v>SUPER GRILL EXPRESS GUARU CHURR LTD</v>
          </cell>
          <cell r="D1333">
            <v>7001</v>
          </cell>
          <cell r="E1333" t="str">
            <v>0749</v>
          </cell>
          <cell r="F1333" t="str">
            <v>C5</v>
          </cell>
          <cell r="G1333" t="str">
            <v>SP</v>
          </cell>
          <cell r="H1333" t="str">
            <v>DISTRIBUIÇÃO</v>
          </cell>
          <cell r="I1333" t="str">
            <v>FOOD SERVICE</v>
          </cell>
          <cell r="J1333" t="str">
            <v>FLAC 2</v>
          </cell>
          <cell r="K1333" t="str">
            <v>LACTALIS</v>
          </cell>
          <cell r="L1333" t="str">
            <v>RODRIGO</v>
          </cell>
          <cell r="M1333" t="str">
            <v>ALEXANDRO</v>
          </cell>
        </row>
        <row r="1334">
          <cell r="B1334">
            <v>5235392</v>
          </cell>
          <cell r="C1334" t="str">
            <v>SUPER QUENTE LANCHES E RESTAURANTE</v>
          </cell>
          <cell r="D1334">
            <v>7001</v>
          </cell>
          <cell r="E1334" t="str">
            <v>0749</v>
          </cell>
          <cell r="F1334" t="str">
            <v>C5</v>
          </cell>
          <cell r="G1334" t="str">
            <v>SP</v>
          </cell>
          <cell r="H1334" t="str">
            <v>DISTRIBUIÇÃO</v>
          </cell>
          <cell r="I1334" t="str">
            <v>FOOD SERVICE</v>
          </cell>
          <cell r="J1334" t="str">
            <v>FLAC 2</v>
          </cell>
          <cell r="K1334" t="str">
            <v>LACTALIS</v>
          </cell>
          <cell r="L1334" t="str">
            <v>RODRIGO</v>
          </cell>
          <cell r="M1334" t="str">
            <v>ALEXANDRO</v>
          </cell>
        </row>
        <row r="1335">
          <cell r="B1335">
            <v>5231303</v>
          </cell>
          <cell r="C1335" t="str">
            <v>SUPER VINHOS DISTRIBUIDORA S A</v>
          </cell>
          <cell r="D1335">
            <v>3001</v>
          </cell>
          <cell r="E1335" t="str">
            <v>0169</v>
          </cell>
          <cell r="F1335" t="str">
            <v>C1</v>
          </cell>
          <cell r="G1335" t="str">
            <v>RJ</v>
          </cell>
          <cell r="H1335" t="str">
            <v>DISTRIBUIÇÃO</v>
          </cell>
          <cell r="I1335" t="str">
            <v>FOOD SERVICE</v>
          </cell>
          <cell r="J1335" t="str">
            <v>LUCIANA MARTINS</v>
          </cell>
          <cell r="K1335" t="str">
            <v>ITAMBÉ</v>
          </cell>
          <cell r="L1335" t="str">
            <v>RODRIGO</v>
          </cell>
          <cell r="M1335" t="str">
            <v>JESSICA</v>
          </cell>
        </row>
        <row r="1336">
          <cell r="B1336">
            <v>5231303</v>
          </cell>
          <cell r="C1336" t="str">
            <v>SUPER VINHOS DISTRIBUIDORA S A</v>
          </cell>
          <cell r="D1336">
            <v>4001</v>
          </cell>
          <cell r="E1336" t="str">
            <v>0439</v>
          </cell>
          <cell r="F1336" t="str">
            <v>C1</v>
          </cell>
          <cell r="G1336" t="str">
            <v>RJ</v>
          </cell>
          <cell r="H1336" t="str">
            <v>DISTRIBUIÇÃO</v>
          </cell>
          <cell r="I1336" t="str">
            <v>FOOD SERVICE</v>
          </cell>
          <cell r="J1336" t="str">
            <v>LUCIANA MARTINS</v>
          </cell>
          <cell r="K1336" t="str">
            <v>LACTALIS</v>
          </cell>
          <cell r="L1336" t="str">
            <v>RODRIGO</v>
          </cell>
          <cell r="M1336" t="str">
            <v>JESSICA</v>
          </cell>
        </row>
        <row r="1337">
          <cell r="B1337">
            <v>5320664</v>
          </cell>
          <cell r="C1337" t="str">
            <v>SUPRA ALIMENTOS E BEBIDAS LTDA</v>
          </cell>
          <cell r="D1337">
            <v>7001</v>
          </cell>
          <cell r="E1337" t="str">
            <v>0749</v>
          </cell>
          <cell r="F1337" t="str">
            <v>C5</v>
          </cell>
          <cell r="G1337" t="str">
            <v>SP</v>
          </cell>
          <cell r="H1337" t="str">
            <v>DISTRIBUIÇÃO</v>
          </cell>
          <cell r="I1337" t="str">
            <v>FOOD SERVICE</v>
          </cell>
          <cell r="J1337" t="str">
            <v>FLAC 2</v>
          </cell>
          <cell r="K1337" t="str">
            <v>LACTALIS</v>
          </cell>
          <cell r="L1337" t="str">
            <v>RODRIGO</v>
          </cell>
          <cell r="M1337" t="str">
            <v>ALEXANDRO</v>
          </cell>
        </row>
        <row r="1338">
          <cell r="B1338">
            <v>5257801</v>
          </cell>
          <cell r="C1338" t="str">
            <v>SUPRA ALIMENTOS E BEBIDAS LTDA</v>
          </cell>
          <cell r="D1338">
            <v>7001</v>
          </cell>
          <cell r="E1338" t="str">
            <v>0749</v>
          </cell>
          <cell r="F1338" t="str">
            <v>C5</v>
          </cell>
          <cell r="G1338" t="str">
            <v>SP</v>
          </cell>
          <cell r="H1338" t="str">
            <v>DISTRIBUIÇÃO</v>
          </cell>
          <cell r="I1338" t="str">
            <v>FOOD SERVICE</v>
          </cell>
          <cell r="J1338" t="str">
            <v>FLAC 2</v>
          </cell>
          <cell r="K1338" t="str">
            <v>LACTALIS</v>
          </cell>
          <cell r="L1338" t="str">
            <v>RODRIGO</v>
          </cell>
          <cell r="M1338" t="str">
            <v>ALEXANDRO</v>
          </cell>
        </row>
        <row r="1339">
          <cell r="B1339">
            <v>5264575</v>
          </cell>
          <cell r="C1339" t="str">
            <v>SUPREMO COMERCIO DE ALIMENTOS</v>
          </cell>
          <cell r="D1339">
            <v>7001</v>
          </cell>
          <cell r="E1339" t="str">
            <v>0749</v>
          </cell>
          <cell r="F1339" t="str">
            <v>C5</v>
          </cell>
          <cell r="G1339" t="str">
            <v>SP</v>
          </cell>
          <cell r="H1339" t="str">
            <v>DISTRIBUIÇÃO</v>
          </cell>
          <cell r="I1339" t="str">
            <v>FOOD SERVICE</v>
          </cell>
          <cell r="J1339" t="str">
            <v>FLAC 2</v>
          </cell>
          <cell r="K1339" t="str">
            <v>LACTALIS</v>
          </cell>
          <cell r="L1339" t="str">
            <v>RODRIGO</v>
          </cell>
          <cell r="M1339" t="str">
            <v>ALEXANDRO</v>
          </cell>
        </row>
        <row r="1340">
          <cell r="B1340">
            <v>5335635</v>
          </cell>
          <cell r="C1340" t="str">
            <v>SUSANA SALES SIQUEIRA 159179698</v>
          </cell>
          <cell r="D1340">
            <v>3001</v>
          </cell>
          <cell r="E1340" t="str">
            <v>0028</v>
          </cell>
          <cell r="F1340" t="str">
            <v>C1</v>
          </cell>
          <cell r="G1340" t="str">
            <v>BA</v>
          </cell>
          <cell r="H1340" t="str">
            <v>INGREDIENTS</v>
          </cell>
          <cell r="I1340" t="str">
            <v>INGREDIENTS</v>
          </cell>
          <cell r="J1340" t="str">
            <v>DUAS RODAS</v>
          </cell>
          <cell r="K1340" t="str">
            <v>ITAMBÉ</v>
          </cell>
          <cell r="L1340" t="str">
            <v>MAURICIO</v>
          </cell>
          <cell r="M1340" t="str">
            <v>JOEL</v>
          </cell>
        </row>
        <row r="1341">
          <cell r="B1341">
            <v>5020347</v>
          </cell>
          <cell r="C1341" t="str">
            <v>SVP COMERCIO DE ALIMENTOS LTDA</v>
          </cell>
          <cell r="D1341">
            <v>6001</v>
          </cell>
          <cell r="E1341" t="str">
            <v>6125</v>
          </cell>
          <cell r="F1341" t="str">
            <v>C1</v>
          </cell>
          <cell r="G1341" t="str">
            <v>SP</v>
          </cell>
          <cell r="H1341" t="str">
            <v>DISTRIBUIÇÃO</v>
          </cell>
          <cell r="I1341" t="str">
            <v>FOOD SERVICE</v>
          </cell>
          <cell r="J1341" t="str">
            <v>GUILHERME NASCIMENTO</v>
          </cell>
          <cell r="K1341" t="str">
            <v>ITAMBÉ</v>
          </cell>
          <cell r="L1341" t="str">
            <v>RODRIGO</v>
          </cell>
          <cell r="M1341" t="str">
            <v>ALEXANDRO</v>
          </cell>
        </row>
        <row r="1342">
          <cell r="B1342">
            <v>5020347</v>
          </cell>
          <cell r="C1342" t="str">
            <v>SVP COMERCIO DE ALIMENTOS LTDA</v>
          </cell>
          <cell r="D1342">
            <v>7001</v>
          </cell>
          <cell r="E1342" t="str">
            <v>0722</v>
          </cell>
          <cell r="F1342" t="str">
            <v>C1</v>
          </cell>
          <cell r="G1342" t="str">
            <v>SP</v>
          </cell>
          <cell r="H1342" t="str">
            <v>DISTRIBUIÇÃO</v>
          </cell>
          <cell r="I1342" t="str">
            <v>FOOD SERVICE</v>
          </cell>
          <cell r="J1342" t="str">
            <v>GUILHERME NASCIMENTO</v>
          </cell>
          <cell r="K1342" t="str">
            <v>LACTALIS</v>
          </cell>
          <cell r="L1342" t="str">
            <v>RODRIGO</v>
          </cell>
          <cell r="M1342" t="str">
            <v>ALEXANDRO</v>
          </cell>
        </row>
        <row r="1343">
          <cell r="B1343">
            <v>5148870</v>
          </cell>
          <cell r="C1343" t="str">
            <v>SWEET SHOT ATELIER DE CONF E DOCES</v>
          </cell>
          <cell r="D1343">
            <v>7001</v>
          </cell>
          <cell r="E1343" t="str">
            <v>0749</v>
          </cell>
          <cell r="F1343" t="str">
            <v>C5</v>
          </cell>
          <cell r="G1343" t="str">
            <v>SP</v>
          </cell>
          <cell r="H1343" t="str">
            <v>DISTRIBUIÇÃO</v>
          </cell>
          <cell r="I1343" t="str">
            <v>FOOD SERVICE</v>
          </cell>
          <cell r="J1343" t="str">
            <v>FLAC 6</v>
          </cell>
          <cell r="K1343" t="str">
            <v>LACTALIS</v>
          </cell>
          <cell r="L1343" t="str">
            <v>RODRIGO</v>
          </cell>
          <cell r="M1343" t="str">
            <v>ALEXANDRO</v>
          </cell>
        </row>
        <row r="1344">
          <cell r="B1344">
            <v>5193349</v>
          </cell>
          <cell r="C1344" t="str">
            <v>SYACABA NO SORVETE LTDA</v>
          </cell>
          <cell r="D1344">
            <v>3001</v>
          </cell>
          <cell r="E1344" t="str">
            <v>0122</v>
          </cell>
          <cell r="F1344" t="str">
            <v>C1</v>
          </cell>
          <cell r="G1344" t="str">
            <v>MG</v>
          </cell>
          <cell r="H1344" t="str">
            <v>INGREDIENTS</v>
          </cell>
          <cell r="I1344" t="str">
            <v>INGREDIENTS</v>
          </cell>
          <cell r="J1344" t="str">
            <v>HENRIQUE FERREIRA</v>
          </cell>
          <cell r="K1344" t="str">
            <v>ITAMBÉ</v>
          </cell>
          <cell r="L1344" t="str">
            <v>MAURICIO</v>
          </cell>
          <cell r="M1344" t="str">
            <v>JOEL</v>
          </cell>
        </row>
        <row r="1345">
          <cell r="B1345">
            <v>5334471</v>
          </cell>
          <cell r="C1345" t="str">
            <v>T E R GOUVEIA VAREJO DE ALIMENT</v>
          </cell>
          <cell r="D1345">
            <v>7001</v>
          </cell>
          <cell r="E1345" t="str">
            <v>0749</v>
          </cell>
          <cell r="F1345" t="str">
            <v>C5</v>
          </cell>
          <cell r="G1345" t="str">
            <v>SP</v>
          </cell>
          <cell r="H1345" t="str">
            <v>DISTRIBUIÇÃO</v>
          </cell>
          <cell r="I1345" t="str">
            <v>FOOD SERVICE</v>
          </cell>
          <cell r="J1345" t="str">
            <v>FLAC 3</v>
          </cell>
          <cell r="K1345" t="str">
            <v>LACTALIS</v>
          </cell>
          <cell r="L1345" t="str">
            <v>RODRIGO</v>
          </cell>
          <cell r="M1345" t="str">
            <v>ALEXANDRO</v>
          </cell>
        </row>
        <row r="1346">
          <cell r="B1346">
            <v>5332358</v>
          </cell>
          <cell r="C1346" t="str">
            <v>T I SERVICO DE ALIMENTACAO LTDA</v>
          </cell>
          <cell r="D1346">
            <v>7001</v>
          </cell>
          <cell r="E1346" t="str">
            <v>0749</v>
          </cell>
          <cell r="F1346" t="str">
            <v>C5</v>
          </cell>
          <cell r="G1346" t="str">
            <v>SP</v>
          </cell>
          <cell r="H1346" t="str">
            <v>DISTRIBUIÇÃO</v>
          </cell>
          <cell r="I1346" t="str">
            <v>FOOD SERVICE</v>
          </cell>
          <cell r="J1346" t="str">
            <v>FLAC 2</v>
          </cell>
          <cell r="K1346" t="str">
            <v>LACTALIS</v>
          </cell>
          <cell r="L1346" t="str">
            <v>RODRIGO</v>
          </cell>
          <cell r="M1346" t="str">
            <v>ALEXANDRO</v>
          </cell>
        </row>
        <row r="1347">
          <cell r="B1347">
            <v>5198565</v>
          </cell>
          <cell r="C1347" t="str">
            <v>T M L DA SILVA EIRELI</v>
          </cell>
          <cell r="D1347">
            <v>3001</v>
          </cell>
          <cell r="E1347" t="str">
            <v>0028</v>
          </cell>
          <cell r="F1347" t="str">
            <v>C1</v>
          </cell>
          <cell r="G1347" t="str">
            <v>AM</v>
          </cell>
          <cell r="H1347" t="str">
            <v>INGREDIENTS</v>
          </cell>
          <cell r="I1347" t="str">
            <v>INGREDIENTS</v>
          </cell>
          <cell r="J1347" t="str">
            <v>DUAS RODAS</v>
          </cell>
          <cell r="K1347" t="str">
            <v>ITAMBÉ</v>
          </cell>
          <cell r="L1347" t="str">
            <v>MAURICIO</v>
          </cell>
          <cell r="M1347" t="str">
            <v>JOEL</v>
          </cell>
        </row>
        <row r="1348">
          <cell r="B1348">
            <v>5281650</v>
          </cell>
          <cell r="C1348" t="str">
            <v>T R KLEINCIA LTDA</v>
          </cell>
          <cell r="D1348">
            <v>4001</v>
          </cell>
          <cell r="E1348" t="str">
            <v>0423</v>
          </cell>
          <cell r="F1348" t="str">
            <v>C5</v>
          </cell>
          <cell r="G1348" t="str">
            <v>RS</v>
          </cell>
          <cell r="H1348" t="str">
            <v>INGREDIENTS</v>
          </cell>
          <cell r="I1348" t="str">
            <v>INGREDIENTS</v>
          </cell>
          <cell r="J1348" t="str">
            <v>JOEL ELEOTÉRIO</v>
          </cell>
          <cell r="K1348" t="str">
            <v>LACTALIS</v>
          </cell>
          <cell r="L1348" t="str">
            <v>MAURICIO</v>
          </cell>
          <cell r="M1348" t="str">
            <v>JOEL</v>
          </cell>
        </row>
        <row r="1349">
          <cell r="B1349">
            <v>5281650</v>
          </cell>
          <cell r="C1349" t="str">
            <v>T R KLEINCIA LTDA</v>
          </cell>
          <cell r="D1349">
            <v>4001</v>
          </cell>
          <cell r="E1349" t="str">
            <v>0437</v>
          </cell>
          <cell r="F1349" t="str">
            <v>C1</v>
          </cell>
          <cell r="G1349" t="str">
            <v>RS</v>
          </cell>
          <cell r="H1349" t="str">
            <v>INGREDIENTS</v>
          </cell>
          <cell r="I1349" t="str">
            <v>INGREDIENTS</v>
          </cell>
          <cell r="J1349" t="str">
            <v>JOEL ELEOTÉRIO</v>
          </cell>
          <cell r="K1349" t="str">
            <v>LACTALIS</v>
          </cell>
          <cell r="L1349" t="str">
            <v>MAURICIO</v>
          </cell>
          <cell r="M1349" t="str">
            <v>JOEL</v>
          </cell>
        </row>
        <row r="1350">
          <cell r="B1350">
            <v>5192822</v>
          </cell>
          <cell r="C1350" t="str">
            <v>T T F ALIMENTOS SOROCABA LTDA</v>
          </cell>
          <cell r="D1350">
            <v>6001</v>
          </cell>
          <cell r="E1350" t="str">
            <v>6125</v>
          </cell>
          <cell r="F1350" t="str">
            <v>C1</v>
          </cell>
          <cell r="G1350" t="str">
            <v>SP</v>
          </cell>
          <cell r="H1350" t="str">
            <v>DISTRIBUIÇÃO</v>
          </cell>
          <cell r="I1350" t="str">
            <v>FOOD SERVICE</v>
          </cell>
          <cell r="J1350" t="str">
            <v>LUCAS ANDRADE</v>
          </cell>
          <cell r="K1350" t="str">
            <v>ITAMBÉ</v>
          </cell>
          <cell r="L1350" t="str">
            <v>RODRIGO</v>
          </cell>
          <cell r="M1350" t="str">
            <v>RAQUEL BARBOSA</v>
          </cell>
        </row>
        <row r="1351">
          <cell r="B1351">
            <v>5171396</v>
          </cell>
          <cell r="C1351" t="str">
            <v>TANGARA DESENVOLVIMENTO IMOBILIARIO</v>
          </cell>
          <cell r="D1351">
            <v>7001</v>
          </cell>
          <cell r="E1351" t="str">
            <v>0749</v>
          </cell>
          <cell r="F1351" t="str">
            <v>C5</v>
          </cell>
          <cell r="G1351" t="str">
            <v>SP</v>
          </cell>
          <cell r="H1351" t="str">
            <v>DISTRIBUIÇÃO</v>
          </cell>
          <cell r="I1351" t="str">
            <v>FOOD SERVICE</v>
          </cell>
          <cell r="J1351" t="str">
            <v>FLAC 2</v>
          </cell>
          <cell r="K1351" t="str">
            <v>LACTALIS</v>
          </cell>
          <cell r="L1351" t="str">
            <v>RODRIGO</v>
          </cell>
          <cell r="M1351" t="str">
            <v>ALEXANDRO</v>
          </cell>
        </row>
        <row r="1352">
          <cell r="B1352">
            <v>5027769</v>
          </cell>
          <cell r="C1352" t="str">
            <v>TAPIOCARIA DE ITAPUA LTDA ME</v>
          </cell>
          <cell r="D1352">
            <v>3001</v>
          </cell>
          <cell r="E1352" t="str">
            <v>0127</v>
          </cell>
          <cell r="F1352" t="str">
            <v>C1</v>
          </cell>
          <cell r="G1352" t="str">
            <v>BA</v>
          </cell>
          <cell r="H1352" t="str">
            <v>DISTRIBUIÇÃO</v>
          </cell>
          <cell r="I1352" t="str">
            <v>FOOD SERVICE</v>
          </cell>
          <cell r="J1352" t="str">
            <v xml:space="preserve">KARIS FOOD / LUIZ </v>
          </cell>
          <cell r="K1352" t="str">
            <v>ITAMBÉ</v>
          </cell>
          <cell r="L1352" t="str">
            <v>RODRIGO</v>
          </cell>
          <cell r="M1352" t="str">
            <v>VAGO NORDESTE</v>
          </cell>
        </row>
        <row r="1353">
          <cell r="B1353">
            <v>5136048</v>
          </cell>
          <cell r="C1353" t="str">
            <v>TARGUZ COMERCIO LTDA</v>
          </cell>
          <cell r="D1353">
            <v>3001</v>
          </cell>
          <cell r="E1353" t="str">
            <v>0127</v>
          </cell>
          <cell r="F1353" t="str">
            <v>C1</v>
          </cell>
          <cell r="G1353" t="str">
            <v>AL</v>
          </cell>
          <cell r="H1353" t="str">
            <v>DISTRIBUIÇÃO</v>
          </cell>
          <cell r="I1353" t="str">
            <v>FOOD SERVICE</v>
          </cell>
          <cell r="J1353" t="str">
            <v>DIGMA REPR LTDA</v>
          </cell>
          <cell r="K1353" t="str">
            <v>ITAMBÉ</v>
          </cell>
          <cell r="L1353" t="str">
            <v>RODRIGO</v>
          </cell>
          <cell r="M1353" t="str">
            <v>VAGO NORDESTE</v>
          </cell>
        </row>
        <row r="1354">
          <cell r="B1354">
            <v>5263392</v>
          </cell>
          <cell r="C1354" t="str">
            <v>TATIANA SIMAO MILIAN ME</v>
          </cell>
          <cell r="D1354">
            <v>7001</v>
          </cell>
          <cell r="E1354" t="str">
            <v>0749</v>
          </cell>
          <cell r="F1354" t="str">
            <v>C5</v>
          </cell>
          <cell r="G1354" t="str">
            <v>SP</v>
          </cell>
          <cell r="H1354" t="str">
            <v>DISTRIBUIÇÃO</v>
          </cell>
          <cell r="I1354" t="str">
            <v>FOOD SERVICE</v>
          </cell>
          <cell r="J1354" t="str">
            <v>FLAC 6</v>
          </cell>
          <cell r="K1354" t="str">
            <v>LACTALIS</v>
          </cell>
          <cell r="L1354" t="str">
            <v>RODRIGO</v>
          </cell>
          <cell r="M1354" t="str">
            <v>ALEXANDRO</v>
          </cell>
        </row>
        <row r="1355">
          <cell r="B1355">
            <v>5319095</v>
          </cell>
          <cell r="C1355" t="str">
            <v>TATIANE MONTEIRO DANTAS 3563359</v>
          </cell>
          <cell r="D1355">
            <v>7001</v>
          </cell>
          <cell r="E1355" t="str">
            <v>0749</v>
          </cell>
          <cell r="F1355" t="str">
            <v>C5</v>
          </cell>
          <cell r="G1355" t="str">
            <v>SP</v>
          </cell>
          <cell r="H1355" t="str">
            <v>DISTRIBUIÇÃO</v>
          </cell>
          <cell r="I1355" t="str">
            <v>FOOD SERVICE</v>
          </cell>
          <cell r="J1355" t="str">
            <v>FLAC 3</v>
          </cell>
          <cell r="K1355" t="str">
            <v>LACTALIS</v>
          </cell>
          <cell r="L1355" t="str">
            <v>RODRIGO</v>
          </cell>
          <cell r="M1355" t="str">
            <v>ALEXANDRO</v>
          </cell>
        </row>
        <row r="1356">
          <cell r="B1356">
            <v>5263398</v>
          </cell>
          <cell r="C1356" t="str">
            <v>TDC RESTAURANTE DELIVERY LTDA</v>
          </cell>
          <cell r="D1356">
            <v>7001</v>
          </cell>
          <cell r="E1356" t="str">
            <v>0749</v>
          </cell>
          <cell r="F1356" t="str">
            <v>C5</v>
          </cell>
          <cell r="G1356" t="str">
            <v>SP</v>
          </cell>
          <cell r="H1356" t="str">
            <v>DISTRIBUIÇÃO</v>
          </cell>
          <cell r="I1356" t="str">
            <v>FOOD SERVICE</v>
          </cell>
          <cell r="J1356" t="str">
            <v>FLAC 2</v>
          </cell>
          <cell r="K1356" t="str">
            <v>LACTALIS</v>
          </cell>
          <cell r="L1356" t="str">
            <v>RODRIGO</v>
          </cell>
          <cell r="M1356" t="str">
            <v>ALEXANDRO</v>
          </cell>
        </row>
        <row r="1357">
          <cell r="B1357">
            <v>5304927</v>
          </cell>
          <cell r="C1357" t="str">
            <v>TEA CENTAURO ITAIM COMERCIO DE ALIM</v>
          </cell>
          <cell r="D1357">
            <v>7001</v>
          </cell>
          <cell r="E1357" t="str">
            <v>0749</v>
          </cell>
          <cell r="F1357" t="str">
            <v>C5</v>
          </cell>
          <cell r="G1357" t="str">
            <v>SP</v>
          </cell>
          <cell r="H1357" t="str">
            <v>DISTRIBUIÇÃO</v>
          </cell>
          <cell r="I1357" t="str">
            <v>FOOD SERVICE</v>
          </cell>
          <cell r="J1357" t="str">
            <v>FLAC 6</v>
          </cell>
          <cell r="K1357" t="str">
            <v>LACTALIS</v>
          </cell>
          <cell r="L1357" t="str">
            <v>RODRIGO</v>
          </cell>
          <cell r="M1357" t="str">
            <v>ALEXANDRO</v>
          </cell>
        </row>
        <row r="1358">
          <cell r="B1358">
            <v>5264044</v>
          </cell>
          <cell r="C1358" t="str">
            <v>TEA CONECTION COMERCIO DE ALIMENTOS</v>
          </cell>
          <cell r="D1358">
            <v>7001</v>
          </cell>
          <cell r="E1358" t="str">
            <v>0749</v>
          </cell>
          <cell r="F1358" t="str">
            <v>C5</v>
          </cell>
          <cell r="G1358" t="str">
            <v>SP</v>
          </cell>
          <cell r="H1358" t="str">
            <v>DISTRIBUIÇÃO</v>
          </cell>
          <cell r="I1358" t="str">
            <v>FOOD SERVICE</v>
          </cell>
          <cell r="J1358" t="str">
            <v>FLAC 6</v>
          </cell>
          <cell r="K1358" t="str">
            <v>LACTALIS</v>
          </cell>
          <cell r="L1358" t="str">
            <v>RODRIGO</v>
          </cell>
          <cell r="M1358" t="str">
            <v>ALEXANDRO</v>
          </cell>
        </row>
        <row r="1359">
          <cell r="B1359">
            <v>5293180</v>
          </cell>
          <cell r="C1359" t="str">
            <v>TEA HARMONIA COMERCIO DE ALIMENTOS</v>
          </cell>
          <cell r="D1359">
            <v>7001</v>
          </cell>
          <cell r="E1359" t="str">
            <v>0749</v>
          </cell>
          <cell r="F1359" t="str">
            <v>C5</v>
          </cell>
          <cell r="G1359" t="str">
            <v>SP</v>
          </cell>
          <cell r="H1359" t="str">
            <v>DISTRIBUIÇÃO</v>
          </cell>
          <cell r="I1359" t="str">
            <v>FOOD SERVICE</v>
          </cell>
          <cell r="J1359" t="str">
            <v>FLAC 6</v>
          </cell>
          <cell r="K1359" t="str">
            <v>LACTALIS</v>
          </cell>
          <cell r="L1359" t="str">
            <v>RODRIGO</v>
          </cell>
          <cell r="M1359" t="str">
            <v>ALEXANDRO</v>
          </cell>
        </row>
        <row r="1360">
          <cell r="B1360">
            <v>5104419</v>
          </cell>
          <cell r="C1360" t="str">
            <v>TEGEDA COM E DIST LTDA</v>
          </cell>
          <cell r="D1360">
            <v>6001</v>
          </cell>
          <cell r="E1360" t="str">
            <v>6125</v>
          </cell>
          <cell r="F1360" t="str">
            <v>C1</v>
          </cell>
          <cell r="G1360" t="str">
            <v>SP</v>
          </cell>
          <cell r="H1360" t="str">
            <v>DISTRIBUIÇÃO</v>
          </cell>
          <cell r="I1360" t="str">
            <v>FOOD SERVICE</v>
          </cell>
          <cell r="J1360" t="str">
            <v>LUCAS ANDRADE</v>
          </cell>
          <cell r="K1360" t="str">
            <v>ITAMBÉ</v>
          </cell>
          <cell r="L1360" t="str">
            <v>RODRIGO</v>
          </cell>
          <cell r="M1360" t="str">
            <v>RAQUEL BARBOSA</v>
          </cell>
        </row>
        <row r="1361">
          <cell r="B1361">
            <v>5273105</v>
          </cell>
          <cell r="C1361" t="str">
            <v>TEJU BAKERY LTDA</v>
          </cell>
          <cell r="D1361">
            <v>7001</v>
          </cell>
          <cell r="E1361" t="str">
            <v>0749</v>
          </cell>
          <cell r="F1361" t="str">
            <v>C5</v>
          </cell>
          <cell r="G1361" t="str">
            <v>SP</v>
          </cell>
          <cell r="H1361" t="str">
            <v>DISTRIBUIÇÃO</v>
          </cell>
          <cell r="I1361" t="str">
            <v>FOOD SERVICE</v>
          </cell>
          <cell r="J1361" t="str">
            <v>FLAC 7</v>
          </cell>
          <cell r="K1361" t="str">
            <v>LACTALIS</v>
          </cell>
          <cell r="L1361" t="str">
            <v>RODRIGO</v>
          </cell>
          <cell r="M1361" t="str">
            <v>ALEXANDRO</v>
          </cell>
        </row>
        <row r="1362">
          <cell r="B1362">
            <v>5309134</v>
          </cell>
          <cell r="C1362" t="str">
            <v>TERAPIA CAFE LTDA</v>
          </cell>
          <cell r="D1362">
            <v>7001</v>
          </cell>
          <cell r="E1362" t="str">
            <v>0749</v>
          </cell>
          <cell r="F1362" t="str">
            <v>C5</v>
          </cell>
          <cell r="G1362" t="str">
            <v>SP</v>
          </cell>
          <cell r="H1362" t="str">
            <v>DISTRIBUIÇÃO</v>
          </cell>
          <cell r="I1362" t="str">
            <v>FOOD SERVICE</v>
          </cell>
          <cell r="J1362" t="str">
            <v>FLAC 2</v>
          </cell>
          <cell r="K1362" t="str">
            <v>LACTALIS</v>
          </cell>
          <cell r="L1362" t="str">
            <v>RODRIGO</v>
          </cell>
          <cell r="M1362" t="str">
            <v>ALEXANDRO</v>
          </cell>
        </row>
        <row r="1363">
          <cell r="B1363">
            <v>5278610</v>
          </cell>
          <cell r="C1363" t="str">
            <v>TERRAS ALTAS EMP HOT LAZER LTDA</v>
          </cell>
          <cell r="D1363">
            <v>7001</v>
          </cell>
          <cell r="E1363" t="str">
            <v>0749</v>
          </cell>
          <cell r="F1363" t="str">
            <v>C5</v>
          </cell>
          <cell r="G1363" t="str">
            <v>SP</v>
          </cell>
          <cell r="H1363" t="str">
            <v>DISTRIBUIÇÃO</v>
          </cell>
          <cell r="I1363" t="str">
            <v>FOOD SERVICE</v>
          </cell>
          <cell r="J1363" t="str">
            <v>FLAC 2</v>
          </cell>
          <cell r="K1363" t="str">
            <v>LACTALIS</v>
          </cell>
          <cell r="L1363" t="str">
            <v>RODRIGO</v>
          </cell>
          <cell r="M1363" t="str">
            <v>ALEXANDRO</v>
          </cell>
        </row>
        <row r="1364">
          <cell r="B1364">
            <v>5179227</v>
          </cell>
          <cell r="C1364" t="str">
            <v>TFGS ALIMENTOS E CONFEITARIA LTDA</v>
          </cell>
          <cell r="D1364">
            <v>7001</v>
          </cell>
          <cell r="E1364" t="str">
            <v>0749</v>
          </cell>
          <cell r="F1364" t="str">
            <v>C5</v>
          </cell>
          <cell r="G1364" t="str">
            <v>SP</v>
          </cell>
          <cell r="H1364" t="str">
            <v>DISTRIBUIÇÃO</v>
          </cell>
          <cell r="I1364" t="str">
            <v>FOOD SERVICE</v>
          </cell>
          <cell r="J1364" t="str">
            <v>FLAC 3</v>
          </cell>
          <cell r="K1364" t="str">
            <v>LACTALIS</v>
          </cell>
          <cell r="L1364" t="str">
            <v>RODRIGO</v>
          </cell>
          <cell r="M1364" t="str">
            <v>ALEXANDRO</v>
          </cell>
        </row>
        <row r="1365">
          <cell r="B1365">
            <v>5321719</v>
          </cell>
          <cell r="C1365" t="str">
            <v>TH RESTAURANTES E EVENTOS LTDA</v>
          </cell>
          <cell r="D1365">
            <v>7001</v>
          </cell>
          <cell r="E1365" t="str">
            <v>0749</v>
          </cell>
          <cell r="F1365" t="str">
            <v>C5</v>
          </cell>
          <cell r="G1365" t="str">
            <v>SP</v>
          </cell>
          <cell r="H1365" t="str">
            <v>DISTRIBUIÇÃO</v>
          </cell>
          <cell r="I1365" t="str">
            <v>FOOD SERVICE</v>
          </cell>
          <cell r="J1365" t="str">
            <v>FLAC 5</v>
          </cell>
          <cell r="K1365" t="str">
            <v>LACTALIS</v>
          </cell>
          <cell r="L1365" t="str">
            <v>RODRIGO</v>
          </cell>
          <cell r="M1365" t="str">
            <v>ALEXANDRO</v>
          </cell>
        </row>
        <row r="1366">
          <cell r="B1366">
            <v>5302755</v>
          </cell>
          <cell r="C1366" t="str">
            <v>THAINA DUARTE BRASIL 4738314980</v>
          </cell>
          <cell r="D1366">
            <v>7001</v>
          </cell>
          <cell r="E1366" t="str">
            <v>0749</v>
          </cell>
          <cell r="F1366" t="str">
            <v>C5</v>
          </cell>
          <cell r="G1366" t="str">
            <v>SP</v>
          </cell>
          <cell r="H1366" t="str">
            <v>DISTRIBUIÇÃO</v>
          </cell>
          <cell r="I1366" t="str">
            <v>FOOD SERVICE</v>
          </cell>
          <cell r="J1366" t="str">
            <v>FLAC 2</v>
          </cell>
          <cell r="K1366" t="str">
            <v>LACTALIS</v>
          </cell>
          <cell r="L1366" t="str">
            <v>RODRIGO</v>
          </cell>
          <cell r="M1366" t="str">
            <v>ALEXANDRO</v>
          </cell>
        </row>
        <row r="1367">
          <cell r="B1367">
            <v>5292229</v>
          </cell>
          <cell r="C1367" t="str">
            <v>THE BAKER FACTORY PANIF E CONF LTDA</v>
          </cell>
          <cell r="D1367">
            <v>7001</v>
          </cell>
          <cell r="E1367" t="str">
            <v>0749</v>
          </cell>
          <cell r="F1367" t="str">
            <v>C5</v>
          </cell>
          <cell r="G1367" t="str">
            <v>SP</v>
          </cell>
          <cell r="H1367" t="str">
            <v>DISTRIBUIÇÃO</v>
          </cell>
          <cell r="I1367" t="str">
            <v>FOOD SERVICE</v>
          </cell>
          <cell r="J1367" t="str">
            <v>FLAC 2</v>
          </cell>
          <cell r="K1367" t="str">
            <v>LACTALIS</v>
          </cell>
          <cell r="L1367" t="str">
            <v>RODRIGO</v>
          </cell>
          <cell r="M1367" t="str">
            <v>ALEXANDRO</v>
          </cell>
        </row>
        <row r="1368">
          <cell r="B1368">
            <v>5328788</v>
          </cell>
          <cell r="C1368" t="str">
            <v>THE VIEW BAR RESTAURANTES E EVENTOS LTDA</v>
          </cell>
          <cell r="D1368">
            <v>7001</v>
          </cell>
          <cell r="E1368" t="str">
            <v>0749</v>
          </cell>
          <cell r="F1368" t="str">
            <v>C5</v>
          </cell>
          <cell r="G1368" t="str">
            <v>SP</v>
          </cell>
          <cell r="H1368" t="str">
            <v>DISTRIBUIÇÃO</v>
          </cell>
          <cell r="I1368" t="str">
            <v>FOOD SERVICE</v>
          </cell>
          <cell r="J1368" t="str">
            <v>FLAC 2</v>
          </cell>
          <cell r="K1368" t="str">
            <v>LACTALIS</v>
          </cell>
          <cell r="L1368" t="str">
            <v>RODRIGO</v>
          </cell>
          <cell r="M1368" t="str">
            <v>ALEXANDRO</v>
          </cell>
        </row>
        <row r="1369">
          <cell r="B1369">
            <v>5291412</v>
          </cell>
          <cell r="C1369" t="str">
            <v>THE WAFFLE FACTORY EMPORIO E CAFE L</v>
          </cell>
          <cell r="D1369">
            <v>7001</v>
          </cell>
          <cell r="E1369" t="str">
            <v>0749</v>
          </cell>
          <cell r="F1369" t="str">
            <v>C5</v>
          </cell>
          <cell r="G1369" t="str">
            <v>SP</v>
          </cell>
          <cell r="H1369" t="str">
            <v>DISTRIBUIÇÃO</v>
          </cell>
          <cell r="I1369" t="str">
            <v>FOOD SERVICE</v>
          </cell>
          <cell r="J1369" t="str">
            <v>FLAC 6</v>
          </cell>
          <cell r="K1369" t="str">
            <v>LACTALIS</v>
          </cell>
          <cell r="L1369" t="str">
            <v>RODRIGO</v>
          </cell>
          <cell r="M1369" t="str">
            <v>ALEXANDRO</v>
          </cell>
        </row>
        <row r="1370">
          <cell r="B1370">
            <v>5230508</v>
          </cell>
          <cell r="C1370" t="str">
            <v>THIAGO MAGNO SILVERIO DA FONSEC</v>
          </cell>
          <cell r="D1370">
            <v>3001</v>
          </cell>
          <cell r="E1370" t="str">
            <v>0127</v>
          </cell>
          <cell r="F1370" t="str">
            <v>C1</v>
          </cell>
          <cell r="G1370" t="str">
            <v>CE</v>
          </cell>
          <cell r="H1370" t="str">
            <v>DISTRIBUIÇÃO</v>
          </cell>
          <cell r="I1370" t="str">
            <v>FOOD SERVICE</v>
          </cell>
          <cell r="J1370" t="str">
            <v>WH FOOD SERVICE CE</v>
          </cell>
          <cell r="K1370" t="str">
            <v>ITAMBÉ</v>
          </cell>
          <cell r="L1370" t="str">
            <v>RODRIGO</v>
          </cell>
          <cell r="M1370" t="str">
            <v>VAGO NORDESTE</v>
          </cell>
        </row>
        <row r="1371">
          <cell r="B1371">
            <v>5210748</v>
          </cell>
          <cell r="C1371" t="str">
            <v>THYANACRIS HARA SCUOTEGUAZZA</v>
          </cell>
          <cell r="D1371">
            <v>7001</v>
          </cell>
          <cell r="E1371" t="str">
            <v>0749</v>
          </cell>
          <cell r="F1371" t="str">
            <v>C5</v>
          </cell>
          <cell r="G1371" t="str">
            <v>SP</v>
          </cell>
          <cell r="H1371" t="str">
            <v>DISTRIBUIÇÃO</v>
          </cell>
          <cell r="I1371" t="str">
            <v>FOOD SERVICE</v>
          </cell>
          <cell r="J1371" t="str">
            <v>FLAC 5</v>
          </cell>
          <cell r="K1371" t="str">
            <v>LACTALIS</v>
          </cell>
          <cell r="L1371" t="str">
            <v>RODRIGO</v>
          </cell>
          <cell r="M1371" t="str">
            <v>ALEXANDRO</v>
          </cell>
        </row>
        <row r="1372">
          <cell r="B1372">
            <v>5266544</v>
          </cell>
          <cell r="C1372" t="str">
            <v>TIMBIRAS PALACE HOTEL LTDA</v>
          </cell>
          <cell r="D1372">
            <v>7001</v>
          </cell>
          <cell r="E1372" t="str">
            <v>0749</v>
          </cell>
          <cell r="F1372" t="str">
            <v>C5</v>
          </cell>
          <cell r="G1372" t="str">
            <v>SP</v>
          </cell>
          <cell r="H1372" t="str">
            <v>DISTRIBUIÇÃO</v>
          </cell>
          <cell r="I1372" t="str">
            <v>FOOD SERVICE</v>
          </cell>
          <cell r="J1372" t="str">
            <v>FLAC 3</v>
          </cell>
          <cell r="K1372" t="str">
            <v>LACTALIS</v>
          </cell>
          <cell r="L1372" t="str">
            <v>RODRIGO</v>
          </cell>
          <cell r="M1372" t="str">
            <v>ALEXANDRO</v>
          </cell>
        </row>
        <row r="1373">
          <cell r="B1373">
            <v>5312629</v>
          </cell>
          <cell r="C1373" t="str">
            <v>TIMBIRAS PALACE HOTEL LTDA</v>
          </cell>
          <cell r="D1373">
            <v>7001</v>
          </cell>
          <cell r="E1373" t="str">
            <v>0749</v>
          </cell>
          <cell r="F1373" t="str">
            <v>C5</v>
          </cell>
          <cell r="G1373" t="str">
            <v>SP</v>
          </cell>
          <cell r="H1373" t="str">
            <v>DISTRIBUIÇÃO</v>
          </cell>
          <cell r="I1373" t="str">
            <v>FOOD SERVICE</v>
          </cell>
          <cell r="J1373" t="str">
            <v>FLAC 3</v>
          </cell>
          <cell r="K1373" t="str">
            <v>LACTALIS</v>
          </cell>
          <cell r="L1373" t="str">
            <v>RODRIGO</v>
          </cell>
          <cell r="M1373" t="str">
            <v>ALEXANDRO</v>
          </cell>
        </row>
        <row r="1374">
          <cell r="B1374">
            <v>5315163</v>
          </cell>
          <cell r="C1374" t="str">
            <v>TIMBIRAS PALACE HOTEL LTDA</v>
          </cell>
          <cell r="D1374">
            <v>7001</v>
          </cell>
          <cell r="E1374" t="str">
            <v>0749</v>
          </cell>
          <cell r="F1374" t="str">
            <v>C5</v>
          </cell>
          <cell r="G1374" t="str">
            <v>SP</v>
          </cell>
          <cell r="H1374" t="str">
            <v>DISTRIBUIÇÃO</v>
          </cell>
          <cell r="I1374" t="str">
            <v>FOOD SERVICE</v>
          </cell>
          <cell r="J1374" t="str">
            <v>FLAC 3</v>
          </cell>
          <cell r="K1374" t="str">
            <v>LACTALIS</v>
          </cell>
          <cell r="L1374" t="str">
            <v>RODRIGO</v>
          </cell>
          <cell r="M1374" t="str">
            <v>ALEXANDRO</v>
          </cell>
        </row>
        <row r="1375">
          <cell r="B1375">
            <v>5266191</v>
          </cell>
          <cell r="C1375" t="str">
            <v>TKS CAFE LTDA</v>
          </cell>
          <cell r="D1375">
            <v>7001</v>
          </cell>
          <cell r="E1375" t="str">
            <v>0749</v>
          </cell>
          <cell r="F1375" t="str">
            <v>C5</v>
          </cell>
          <cell r="G1375" t="str">
            <v>SP</v>
          </cell>
          <cell r="H1375" t="str">
            <v>DISTRIBUIÇÃO</v>
          </cell>
          <cell r="I1375" t="str">
            <v>FOOD SERVICE</v>
          </cell>
          <cell r="J1375" t="str">
            <v>FLAC 6</v>
          </cell>
          <cell r="K1375" t="str">
            <v>LACTALIS</v>
          </cell>
          <cell r="L1375" t="str">
            <v>RODRIGO</v>
          </cell>
          <cell r="M1375" t="str">
            <v>ALEXANDRO</v>
          </cell>
        </row>
        <row r="1376">
          <cell r="B1376">
            <v>5263140</v>
          </cell>
          <cell r="C1376" t="str">
            <v>TOGETHER AGENCIA DE VIAGEM TURISMO</v>
          </cell>
          <cell r="D1376">
            <v>7001</v>
          </cell>
          <cell r="E1376" t="str">
            <v>0749</v>
          </cell>
          <cell r="F1376" t="str">
            <v>C5</v>
          </cell>
          <cell r="G1376" t="str">
            <v>SP</v>
          </cell>
          <cell r="H1376" t="str">
            <v>DISTRIBUIÇÃO</v>
          </cell>
          <cell r="I1376" t="str">
            <v>FOOD SERVICE</v>
          </cell>
          <cell r="J1376" t="str">
            <v>FLAC 6</v>
          </cell>
          <cell r="K1376" t="str">
            <v>LACTALIS</v>
          </cell>
          <cell r="L1376" t="str">
            <v>RODRIGO</v>
          </cell>
          <cell r="M1376" t="str">
            <v>ALEXANDRO</v>
          </cell>
        </row>
        <row r="1377">
          <cell r="B1377">
            <v>5339246</v>
          </cell>
          <cell r="C1377" t="str">
            <v>TOGO MARKET COM DE ALIM LTDA</v>
          </cell>
          <cell r="D1377">
            <v>7001</v>
          </cell>
          <cell r="E1377" t="str">
            <v>0749</v>
          </cell>
          <cell r="F1377" t="str">
            <v>C5</v>
          </cell>
          <cell r="G1377" t="str">
            <v>SP</v>
          </cell>
          <cell r="H1377" t="str">
            <v>DISTRIBUIÇÃO</v>
          </cell>
          <cell r="I1377" t="str">
            <v>FOOD SERVICE</v>
          </cell>
          <cell r="J1377" t="str">
            <v>FLAC 2</v>
          </cell>
          <cell r="K1377" t="str">
            <v>LACTALIS</v>
          </cell>
          <cell r="L1377" t="str">
            <v>RODRIGO</v>
          </cell>
          <cell r="M1377" t="str">
            <v>ALEXANDRO</v>
          </cell>
        </row>
        <row r="1378">
          <cell r="B1378">
            <v>5042464</v>
          </cell>
          <cell r="C1378" t="str">
            <v>TONDO SA</v>
          </cell>
          <cell r="D1378">
            <v>4001</v>
          </cell>
          <cell r="E1378" t="str">
            <v>0423</v>
          </cell>
          <cell r="F1378" t="str">
            <v>C5</v>
          </cell>
          <cell r="G1378" t="str">
            <v>RS</v>
          </cell>
          <cell r="H1378" t="str">
            <v>INGREDIENTS</v>
          </cell>
          <cell r="I1378" t="str">
            <v>INGREDIENTS</v>
          </cell>
          <cell r="J1378" t="str">
            <v>MARCELO RODRIGUES</v>
          </cell>
          <cell r="K1378" t="str">
            <v>LACTALIS</v>
          </cell>
          <cell r="L1378" t="str">
            <v>MAURICIO</v>
          </cell>
          <cell r="M1378" t="str">
            <v>MARCELO</v>
          </cell>
        </row>
        <row r="1379">
          <cell r="B1379">
            <v>5042464</v>
          </cell>
          <cell r="C1379" t="str">
            <v>TONDO SA</v>
          </cell>
          <cell r="D1379">
            <v>4001</v>
          </cell>
          <cell r="E1379" t="str">
            <v>0437</v>
          </cell>
          <cell r="F1379" t="str">
            <v>C1</v>
          </cell>
          <cell r="G1379" t="str">
            <v>RS</v>
          </cell>
          <cell r="H1379" t="str">
            <v>INGREDIENTS</v>
          </cell>
          <cell r="I1379" t="str">
            <v>INGREDIENTS</v>
          </cell>
          <cell r="J1379" t="str">
            <v>MARCELO RODRIGUES</v>
          </cell>
          <cell r="K1379" t="str">
            <v>LACTALIS</v>
          </cell>
          <cell r="L1379" t="str">
            <v>MAURICIO</v>
          </cell>
          <cell r="M1379" t="str">
            <v>MARCELO</v>
          </cell>
        </row>
        <row r="1380">
          <cell r="B1380">
            <v>5161386</v>
          </cell>
          <cell r="C1380" t="str">
            <v>TOP ALTO PARTICIPACOES E COM LTDA</v>
          </cell>
          <cell r="D1380">
            <v>3001</v>
          </cell>
          <cell r="E1380" t="str">
            <v>0169</v>
          </cell>
          <cell r="F1380" t="str">
            <v>C1</v>
          </cell>
          <cell r="G1380" t="str">
            <v>RJ</v>
          </cell>
          <cell r="H1380" t="str">
            <v>DISTRIBUIÇÃO</v>
          </cell>
          <cell r="I1380" t="str">
            <v>FOOD SERVICE</v>
          </cell>
          <cell r="J1380" t="str">
            <v>JESSICA CARLA</v>
          </cell>
          <cell r="K1380" t="str">
            <v>ITAMBÉ</v>
          </cell>
          <cell r="L1380" t="str">
            <v>RODRIGO</v>
          </cell>
          <cell r="M1380" t="str">
            <v>JESSICA</v>
          </cell>
        </row>
        <row r="1381">
          <cell r="B1381">
            <v>5179953</v>
          </cell>
          <cell r="C1381" t="str">
            <v>TOP ARABE RESTAURANTE LTDA</v>
          </cell>
          <cell r="D1381">
            <v>7001</v>
          </cell>
          <cell r="E1381" t="str">
            <v>0749</v>
          </cell>
          <cell r="F1381" t="str">
            <v>C5</v>
          </cell>
          <cell r="G1381" t="str">
            <v>SP</v>
          </cell>
          <cell r="H1381" t="str">
            <v>DISTRIBUIÇÃO</v>
          </cell>
          <cell r="I1381" t="str">
            <v>FOOD SERVICE</v>
          </cell>
          <cell r="J1381" t="str">
            <v>FLAC 3</v>
          </cell>
          <cell r="K1381" t="str">
            <v>LACTALIS</v>
          </cell>
          <cell r="L1381" t="str">
            <v>RODRIGO</v>
          </cell>
          <cell r="M1381" t="str">
            <v>ALEXANDRO</v>
          </cell>
        </row>
        <row r="1382">
          <cell r="B1382">
            <v>5023997</v>
          </cell>
          <cell r="C1382" t="str">
            <v>TOP CESTA DE ALIMENTOS LTDA</v>
          </cell>
          <cell r="D1382">
            <v>3001</v>
          </cell>
          <cell r="E1382" t="str">
            <v>0122</v>
          </cell>
          <cell r="F1382" t="str">
            <v>C1</v>
          </cell>
          <cell r="G1382" t="str">
            <v>MG</v>
          </cell>
          <cell r="H1382" t="str">
            <v>DISTRIBUIÇÃO</v>
          </cell>
          <cell r="I1382" t="str">
            <v>FOOD SERVICE</v>
          </cell>
          <cell r="J1382" t="str">
            <v>MARCELO SILVA</v>
          </cell>
          <cell r="K1382" t="str">
            <v>ITAMBÉ</v>
          </cell>
          <cell r="L1382" t="str">
            <v>RODRIGO</v>
          </cell>
          <cell r="M1382" t="str">
            <v>CELIO MARTINS</v>
          </cell>
        </row>
        <row r="1383">
          <cell r="B1383">
            <v>5263331</v>
          </cell>
          <cell r="C1383" t="str">
            <v>TOQUE DE AMOR RESTAURANTE LTDA ME</v>
          </cell>
          <cell r="D1383">
            <v>7001</v>
          </cell>
          <cell r="E1383" t="str">
            <v>0749</v>
          </cell>
          <cell r="F1383" t="str">
            <v>C5</v>
          </cell>
          <cell r="G1383" t="str">
            <v>SP</v>
          </cell>
          <cell r="H1383" t="str">
            <v>DISTRIBUIÇÃO</v>
          </cell>
          <cell r="I1383" t="str">
            <v>FOOD SERVICE</v>
          </cell>
          <cell r="J1383" t="str">
            <v>FLAC 6</v>
          </cell>
          <cell r="K1383" t="str">
            <v>LACTALIS</v>
          </cell>
          <cell r="L1383" t="str">
            <v>RODRIGO</v>
          </cell>
          <cell r="M1383" t="str">
            <v>ALEXANDRO</v>
          </cell>
        </row>
        <row r="1384">
          <cell r="B1384">
            <v>5269528</v>
          </cell>
          <cell r="C1384" t="str">
            <v>TOR ALIMENTOS E COMERCIO LTDA</v>
          </cell>
          <cell r="D1384">
            <v>7001</v>
          </cell>
          <cell r="E1384" t="str">
            <v>0749</v>
          </cell>
          <cell r="F1384" t="str">
            <v>C5</v>
          </cell>
          <cell r="G1384" t="str">
            <v>SP</v>
          </cell>
          <cell r="H1384" t="str">
            <v>DISTRIBUIÇÃO</v>
          </cell>
          <cell r="I1384" t="str">
            <v>FOOD SERVICE</v>
          </cell>
          <cell r="J1384" t="str">
            <v>FLAC 3</v>
          </cell>
          <cell r="K1384" t="str">
            <v>LACTALIS</v>
          </cell>
          <cell r="L1384" t="str">
            <v>RODRIGO</v>
          </cell>
          <cell r="M1384" t="str">
            <v>ALEXANDRO</v>
          </cell>
        </row>
        <row r="1385">
          <cell r="B1385">
            <v>5327150</v>
          </cell>
          <cell r="C1385" t="str">
            <v>TP PATISSERIE COMERCIO DE ALIME</v>
          </cell>
          <cell r="D1385">
            <v>7001</v>
          </cell>
          <cell r="E1385" t="str">
            <v>0749</v>
          </cell>
          <cell r="F1385" t="str">
            <v>C5</v>
          </cell>
          <cell r="G1385" t="str">
            <v>SP</v>
          </cell>
          <cell r="H1385" t="str">
            <v>DISTRIBUIÇÃO</v>
          </cell>
          <cell r="I1385" t="str">
            <v>FOOD SERVICE</v>
          </cell>
          <cell r="J1385" t="str">
            <v>FLAC 6</v>
          </cell>
          <cell r="K1385" t="str">
            <v>LACTALIS</v>
          </cell>
          <cell r="L1385" t="str">
            <v>RODRIGO</v>
          </cell>
          <cell r="M1385" t="str">
            <v>ALEXANDRO</v>
          </cell>
        </row>
        <row r="1386">
          <cell r="B1386">
            <v>5302653</v>
          </cell>
          <cell r="C1386" t="str">
            <v>TRE BIMBI IND E COM DE ALIM LTDA</v>
          </cell>
          <cell r="D1386">
            <v>7001</v>
          </cell>
          <cell r="E1386" t="str">
            <v>0749</v>
          </cell>
          <cell r="F1386" t="str">
            <v>C5</v>
          </cell>
          <cell r="G1386" t="str">
            <v>SP</v>
          </cell>
          <cell r="H1386" t="str">
            <v>DISTRIBUIÇÃO</v>
          </cell>
          <cell r="I1386" t="str">
            <v>FOOD SERVICE</v>
          </cell>
          <cell r="J1386" t="str">
            <v>FLAC 2</v>
          </cell>
          <cell r="K1386" t="str">
            <v>LACTALIS</v>
          </cell>
          <cell r="L1386" t="str">
            <v>RODRIGO</v>
          </cell>
          <cell r="M1386" t="str">
            <v>ALEXANDRO</v>
          </cell>
        </row>
        <row r="1387">
          <cell r="B1387">
            <v>5160241</v>
          </cell>
          <cell r="C1387" t="str">
            <v>TRES CORACOES ALIMENTOS SA</v>
          </cell>
          <cell r="D1387">
            <v>3001</v>
          </cell>
          <cell r="E1387" t="str">
            <v>0126</v>
          </cell>
          <cell r="F1387" t="str">
            <v>C1</v>
          </cell>
          <cell r="G1387" t="str">
            <v>RN</v>
          </cell>
          <cell r="H1387" t="str">
            <v>INGREDIENTS</v>
          </cell>
          <cell r="I1387" t="str">
            <v>INGREDIENTS</v>
          </cell>
          <cell r="J1387" t="str">
            <v>JOEL ELEOTÉRIO</v>
          </cell>
          <cell r="K1387" t="str">
            <v>ITAMBÉ</v>
          </cell>
          <cell r="L1387" t="str">
            <v>MAURICIO</v>
          </cell>
          <cell r="M1387" t="str">
            <v>JOEL</v>
          </cell>
        </row>
        <row r="1388">
          <cell r="B1388">
            <v>5167171</v>
          </cell>
          <cell r="C1388" t="str">
            <v>TREVO LACTEOS SA</v>
          </cell>
          <cell r="D1388">
            <v>3001</v>
          </cell>
          <cell r="E1388" t="str">
            <v>0028</v>
          </cell>
          <cell r="F1388" t="str">
            <v>C1</v>
          </cell>
          <cell r="G1388" t="str">
            <v>MG</v>
          </cell>
          <cell r="H1388" t="str">
            <v>INGREDIENTS</v>
          </cell>
          <cell r="I1388" t="str">
            <v>INGREDIENTS</v>
          </cell>
          <cell r="J1388" t="str">
            <v>JOEL ELEOTÉRIO</v>
          </cell>
          <cell r="K1388" t="str">
            <v>ITAMBÉ</v>
          </cell>
          <cell r="L1388" t="str">
            <v>MAURICIO</v>
          </cell>
          <cell r="M1388" t="str">
            <v>JOEL</v>
          </cell>
        </row>
        <row r="1389">
          <cell r="B1389">
            <v>5322137</v>
          </cell>
          <cell r="C1389" t="str">
            <v>TREZ PADARIA ARTESANAL LTDA</v>
          </cell>
          <cell r="D1389">
            <v>7001</v>
          </cell>
          <cell r="E1389" t="str">
            <v>0749</v>
          </cell>
          <cell r="F1389" t="str">
            <v>C5</v>
          </cell>
          <cell r="G1389" t="str">
            <v>SP</v>
          </cell>
          <cell r="H1389" t="str">
            <v>DISTRIBUIÇÃO</v>
          </cell>
          <cell r="I1389" t="str">
            <v>FOOD SERVICE</v>
          </cell>
          <cell r="J1389" t="str">
            <v>FLAC 6</v>
          </cell>
          <cell r="K1389" t="str">
            <v>LACTALIS</v>
          </cell>
          <cell r="L1389" t="str">
            <v>RODRIGO</v>
          </cell>
          <cell r="M1389" t="str">
            <v>ALEXANDRO</v>
          </cell>
        </row>
        <row r="1390">
          <cell r="B1390">
            <v>5038591</v>
          </cell>
          <cell r="C1390" t="str">
            <v>TRIGAL IMP EXP PROD ALIM LTDA</v>
          </cell>
          <cell r="D1390">
            <v>3001</v>
          </cell>
          <cell r="E1390" t="str">
            <v>0127</v>
          </cell>
          <cell r="F1390" t="str">
            <v>C1</v>
          </cell>
          <cell r="G1390" t="str">
            <v>BA</v>
          </cell>
          <cell r="H1390" t="str">
            <v>DISTRIBUIÇÃO</v>
          </cell>
          <cell r="I1390" t="str">
            <v>FOOD SERVICE</v>
          </cell>
          <cell r="J1390" t="str">
            <v xml:space="preserve">KARIS FOOD / LUIZ </v>
          </cell>
          <cell r="K1390" t="str">
            <v>ITAMBÉ</v>
          </cell>
          <cell r="L1390" t="str">
            <v>RODRIGO</v>
          </cell>
          <cell r="M1390" t="str">
            <v>VAGO NORDESTE</v>
          </cell>
        </row>
        <row r="1391">
          <cell r="B1391">
            <v>5317575</v>
          </cell>
          <cell r="C1391" t="str">
            <v>TRINO LISTENING BAR LTDA</v>
          </cell>
          <cell r="D1391">
            <v>7001</v>
          </cell>
          <cell r="E1391" t="str">
            <v>0749</v>
          </cell>
          <cell r="F1391" t="str">
            <v>C5</v>
          </cell>
          <cell r="G1391" t="str">
            <v>SP</v>
          </cell>
          <cell r="H1391" t="str">
            <v>DISTRIBUIÇÃO</v>
          </cell>
          <cell r="I1391" t="str">
            <v>FOOD SERVICE</v>
          </cell>
          <cell r="J1391" t="str">
            <v>FLAC 5</v>
          </cell>
          <cell r="K1391" t="str">
            <v>LACTALIS</v>
          </cell>
          <cell r="L1391" t="str">
            <v>RODRIGO</v>
          </cell>
          <cell r="M1391" t="str">
            <v>ALEXANDRO</v>
          </cell>
        </row>
        <row r="1392">
          <cell r="B1392">
            <v>5022694</v>
          </cell>
          <cell r="C1392" t="str">
            <v>TRIUNFO IMPORT AND EXPORT FOOD CORP</v>
          </cell>
          <cell r="D1392">
            <v>3001</v>
          </cell>
          <cell r="E1392" t="str">
            <v>0062</v>
          </cell>
          <cell r="F1392" t="str">
            <v>C1</v>
          </cell>
          <cell r="G1392" t="str">
            <v>NJ</v>
          </cell>
          <cell r="H1392" t="str">
            <v>OUTROS</v>
          </cell>
          <cell r="I1392" t="str">
            <v>OUTROS</v>
          </cell>
          <cell r="J1392" t="str">
            <v>ITAMBE - EXPORTACAO</v>
          </cell>
          <cell r="K1392" t="str">
            <v>OUTROS</v>
          </cell>
          <cell r="L1392" t="str">
            <v>OUTROS</v>
          </cell>
          <cell r="M1392" t="str">
            <v>EXPORTAÇÃO</v>
          </cell>
        </row>
        <row r="1393">
          <cell r="B1393">
            <v>5308627</v>
          </cell>
          <cell r="C1393" t="str">
            <v>TRIUNFO SPECIALTY FOODS CORP</v>
          </cell>
          <cell r="D1393">
            <v>3001</v>
          </cell>
          <cell r="E1393" t="str">
            <v>0062</v>
          </cell>
          <cell r="F1393" t="str">
            <v>C1</v>
          </cell>
          <cell r="G1393" t="str">
            <v/>
          </cell>
          <cell r="H1393" t="str">
            <v>OUTROS</v>
          </cell>
          <cell r="I1393" t="str">
            <v>OUTROS</v>
          </cell>
          <cell r="J1393" t="str">
            <v>ITAMBE - EXPORTACAO</v>
          </cell>
          <cell r="K1393" t="str">
            <v>OUTROS</v>
          </cell>
          <cell r="L1393" t="str">
            <v>OUTROS</v>
          </cell>
          <cell r="M1393" t="str">
            <v>EXPORTAÇÃO</v>
          </cell>
        </row>
        <row r="1394">
          <cell r="B1394">
            <v>5311265</v>
          </cell>
          <cell r="C1394" t="str">
            <v>TRIVENTO RESTAURANTE E ROTISSER</v>
          </cell>
          <cell r="D1394">
            <v>7001</v>
          </cell>
          <cell r="E1394" t="str">
            <v>0749</v>
          </cell>
          <cell r="F1394" t="str">
            <v>C5</v>
          </cell>
          <cell r="G1394" t="str">
            <v>SP</v>
          </cell>
          <cell r="H1394" t="str">
            <v>DISTRIBUIÇÃO</v>
          </cell>
          <cell r="I1394" t="str">
            <v>FOOD SERVICE</v>
          </cell>
          <cell r="J1394" t="str">
            <v>FLAC 6</v>
          </cell>
          <cell r="K1394" t="str">
            <v>LACTALIS</v>
          </cell>
          <cell r="L1394" t="str">
            <v>RODRIGO</v>
          </cell>
          <cell r="M1394" t="str">
            <v>ALEXANDRO</v>
          </cell>
        </row>
        <row r="1395">
          <cell r="B1395">
            <v>5279507</v>
          </cell>
          <cell r="C1395" t="str">
            <v>TRIVIAL COMERCIO DE ALIM LTDA</v>
          </cell>
          <cell r="D1395">
            <v>7001</v>
          </cell>
          <cell r="E1395" t="str">
            <v>0749</v>
          </cell>
          <cell r="F1395" t="str">
            <v>C5</v>
          </cell>
          <cell r="G1395" t="str">
            <v>SP</v>
          </cell>
          <cell r="H1395" t="str">
            <v>DISTRIBUIÇÃO</v>
          </cell>
          <cell r="I1395" t="str">
            <v>FOOD SERVICE</v>
          </cell>
          <cell r="J1395" t="str">
            <v>FLAC 6</v>
          </cell>
          <cell r="K1395" t="str">
            <v>LACTALIS</v>
          </cell>
          <cell r="L1395" t="str">
            <v>RODRIGO</v>
          </cell>
          <cell r="M1395" t="str">
            <v>ALEXANDRO</v>
          </cell>
        </row>
        <row r="1396">
          <cell r="B1396">
            <v>5338457</v>
          </cell>
          <cell r="C1396" t="str">
            <v>TRIX ALIMENTACAO LTDA</v>
          </cell>
          <cell r="D1396">
            <v>7001</v>
          </cell>
          <cell r="E1396" t="str">
            <v>0749</v>
          </cell>
          <cell r="F1396" t="str">
            <v>C5</v>
          </cell>
          <cell r="G1396" t="str">
            <v>SP</v>
          </cell>
          <cell r="H1396" t="str">
            <v>DISTRIBUIÇÃO</v>
          </cell>
          <cell r="I1396" t="str">
            <v>FOOD SERVICE</v>
          </cell>
          <cell r="J1396" t="str">
            <v>FLAC 6</v>
          </cell>
          <cell r="K1396" t="str">
            <v>LACTALIS</v>
          </cell>
          <cell r="L1396" t="str">
            <v>RODRIGO</v>
          </cell>
          <cell r="M1396" t="str">
            <v>ALEXANDRO</v>
          </cell>
        </row>
        <row r="1397">
          <cell r="B1397">
            <v>5326106</v>
          </cell>
          <cell r="C1397" t="str">
            <v>TRIX PREMIUM ALIMENTACAO ESCOLA</v>
          </cell>
          <cell r="D1397">
            <v>7001</v>
          </cell>
          <cell r="E1397" t="str">
            <v>0749</v>
          </cell>
          <cell r="F1397" t="str">
            <v>C5</v>
          </cell>
          <cell r="G1397" t="str">
            <v>SP</v>
          </cell>
          <cell r="H1397" t="str">
            <v>DISTRIBUIÇÃO</v>
          </cell>
          <cell r="I1397" t="str">
            <v>FOOD SERVICE</v>
          </cell>
          <cell r="J1397" t="str">
            <v>FLAC 6</v>
          </cell>
          <cell r="K1397" t="str">
            <v>LACTALIS</v>
          </cell>
          <cell r="L1397" t="str">
            <v>RODRIGO</v>
          </cell>
          <cell r="M1397" t="str">
            <v>ALEXANDRO</v>
          </cell>
        </row>
        <row r="1398">
          <cell r="B1398">
            <v>5150168</v>
          </cell>
          <cell r="C1398" t="str">
            <v>TRUE ACAI DISTRIBUIDORA LTDA ME</v>
          </cell>
          <cell r="D1398">
            <v>3001</v>
          </cell>
          <cell r="E1398" t="str">
            <v>0127</v>
          </cell>
          <cell r="F1398" t="str">
            <v>C1</v>
          </cell>
          <cell r="G1398" t="str">
            <v>CE</v>
          </cell>
          <cell r="H1398" t="str">
            <v>DISTRIBUIÇÃO</v>
          </cell>
          <cell r="I1398" t="str">
            <v>FOOD SERVICE</v>
          </cell>
          <cell r="J1398" t="str">
            <v>WH FOOD SERVICE CE</v>
          </cell>
          <cell r="K1398" t="str">
            <v>ITAMBÉ</v>
          </cell>
          <cell r="L1398" t="str">
            <v>RODRIGO</v>
          </cell>
          <cell r="M1398" t="str">
            <v>VAGO NORDESTE</v>
          </cell>
        </row>
        <row r="1399">
          <cell r="B1399">
            <v>5261543</v>
          </cell>
          <cell r="C1399" t="str">
            <v>TRUFATTI INDUSTRIA E COM DE ALIM LT</v>
          </cell>
          <cell r="D1399">
            <v>7001</v>
          </cell>
          <cell r="E1399" t="str">
            <v>0749</v>
          </cell>
          <cell r="F1399" t="str">
            <v>C5</v>
          </cell>
          <cell r="G1399" t="str">
            <v>SP</v>
          </cell>
          <cell r="H1399" t="str">
            <v>DISTRIBUIÇÃO</v>
          </cell>
          <cell r="I1399" t="str">
            <v>FOOD SERVICE</v>
          </cell>
          <cell r="J1399" t="str">
            <v>FLAC 7</v>
          </cell>
          <cell r="K1399" t="str">
            <v>LACTALIS</v>
          </cell>
          <cell r="L1399" t="str">
            <v>RODRIGO</v>
          </cell>
          <cell r="M1399" t="str">
            <v>ALEXANDRO</v>
          </cell>
        </row>
        <row r="1400">
          <cell r="B1400">
            <v>5008588</v>
          </cell>
          <cell r="C1400" t="str">
            <v>TUDO TORTAS COM SOBREMESAS LTDA ME</v>
          </cell>
          <cell r="D1400">
            <v>7001</v>
          </cell>
          <cell r="E1400" t="str">
            <v>0749</v>
          </cell>
          <cell r="F1400" t="str">
            <v>C5</v>
          </cell>
          <cell r="G1400" t="str">
            <v>SP</v>
          </cell>
          <cell r="H1400" t="str">
            <v>DISTRIBUIÇÃO</v>
          </cell>
          <cell r="I1400" t="str">
            <v>FOOD SERVICE</v>
          </cell>
          <cell r="J1400" t="str">
            <v>FLAC 5</v>
          </cell>
          <cell r="K1400" t="str">
            <v>LACTALIS</v>
          </cell>
          <cell r="L1400" t="str">
            <v>RODRIGO</v>
          </cell>
          <cell r="M1400" t="str">
            <v>ALEXANDRO</v>
          </cell>
        </row>
        <row r="1401">
          <cell r="B1401">
            <v>5073333</v>
          </cell>
          <cell r="C1401" t="str">
            <v>TUFFUS</v>
          </cell>
          <cell r="D1401">
            <v>3001</v>
          </cell>
          <cell r="E1401" t="str">
            <v>0127</v>
          </cell>
          <cell r="F1401" t="str">
            <v>C1</v>
          </cell>
          <cell r="G1401" t="str">
            <v>BA</v>
          </cell>
          <cell r="H1401" t="str">
            <v>DISTRIBUIÇÃO</v>
          </cell>
          <cell r="I1401" t="str">
            <v>FOOD SERVICE</v>
          </cell>
          <cell r="J1401" t="str">
            <v xml:space="preserve">KARIS FOOD / LUIZ </v>
          </cell>
          <cell r="K1401" t="str">
            <v>ITAMBÉ</v>
          </cell>
          <cell r="L1401" t="str">
            <v>RODRIGO</v>
          </cell>
          <cell r="M1401" t="str">
            <v>VAGO NORDESTE</v>
          </cell>
        </row>
        <row r="1402">
          <cell r="B1402">
            <v>5172996</v>
          </cell>
          <cell r="C1402" t="str">
            <v>TVL FOODS E DISTRIBUICAO EIRELI</v>
          </cell>
          <cell r="D1402">
            <v>3001</v>
          </cell>
          <cell r="E1402" t="str">
            <v>0128</v>
          </cell>
          <cell r="F1402" t="str">
            <v>C1</v>
          </cell>
          <cell r="G1402" t="str">
            <v>PA</v>
          </cell>
          <cell r="H1402" t="str">
            <v>DISTRIBUIÇÃO</v>
          </cell>
          <cell r="I1402" t="str">
            <v>FOOD SERVICE</v>
          </cell>
          <cell r="J1402" t="str">
            <v>TC REPRESENTAÇÕES</v>
          </cell>
          <cell r="K1402" t="str">
            <v>ITAMBÉ</v>
          </cell>
          <cell r="L1402" t="str">
            <v>RODRIGO</v>
          </cell>
          <cell r="M1402" t="str">
            <v>MARCO AURELIO</v>
          </cell>
        </row>
        <row r="1403">
          <cell r="B1403">
            <v>5266351</v>
          </cell>
          <cell r="C1403" t="str">
            <v>UBAIA CAFE LTDA</v>
          </cell>
          <cell r="D1403">
            <v>7001</v>
          </cell>
          <cell r="E1403" t="str">
            <v>0749</v>
          </cell>
          <cell r="F1403" t="str">
            <v>C5</v>
          </cell>
          <cell r="G1403" t="str">
            <v>SP</v>
          </cell>
          <cell r="H1403" t="str">
            <v>DISTRIBUIÇÃO</v>
          </cell>
          <cell r="I1403" t="str">
            <v>FOOD SERVICE</v>
          </cell>
          <cell r="J1403" t="str">
            <v>FLAC 3</v>
          </cell>
          <cell r="K1403" t="str">
            <v>LACTALIS</v>
          </cell>
          <cell r="L1403" t="str">
            <v>RODRIGO</v>
          </cell>
          <cell r="M1403" t="str">
            <v>ALEXANDRO</v>
          </cell>
        </row>
        <row r="1404">
          <cell r="B1404">
            <v>5337960</v>
          </cell>
          <cell r="C1404" t="str">
            <v>ULTRASUCAR LTDA</v>
          </cell>
          <cell r="D1404">
            <v>4001</v>
          </cell>
          <cell r="E1404" t="str">
            <v>0455</v>
          </cell>
          <cell r="F1404" t="str">
            <v>C1</v>
          </cell>
          <cell r="G1404" t="str">
            <v>SP</v>
          </cell>
          <cell r="H1404" t="str">
            <v>INGREDIENTS</v>
          </cell>
          <cell r="I1404" t="str">
            <v>INGREDIENTS</v>
          </cell>
          <cell r="J1404" t="str">
            <v>MARCELO RODRIGUES</v>
          </cell>
          <cell r="K1404" t="str">
            <v>LACTALIS</v>
          </cell>
          <cell r="L1404" t="str">
            <v>MAURICIO</v>
          </cell>
          <cell r="M1404" t="str">
            <v>MARCELO</v>
          </cell>
        </row>
        <row r="1405">
          <cell r="B1405">
            <v>5337960</v>
          </cell>
          <cell r="C1405" t="str">
            <v>ULTRASUCAR LTDA</v>
          </cell>
          <cell r="D1405">
            <v>3001</v>
          </cell>
          <cell r="E1405" t="str">
            <v>0122</v>
          </cell>
          <cell r="F1405" t="str">
            <v>C1</v>
          </cell>
          <cell r="G1405" t="str">
            <v>SP</v>
          </cell>
          <cell r="H1405" t="str">
            <v>INGREDIENTS</v>
          </cell>
          <cell r="I1405" t="str">
            <v>INGREDIENTS</v>
          </cell>
          <cell r="J1405" t="str">
            <v>MARCELO RODRIGUES</v>
          </cell>
          <cell r="K1405" t="str">
            <v>ITAMBÉ</v>
          </cell>
          <cell r="L1405" t="str">
            <v>MAURICIO</v>
          </cell>
          <cell r="M1405" t="str">
            <v>MARCELO</v>
          </cell>
        </row>
        <row r="1406">
          <cell r="B1406">
            <v>5159431</v>
          </cell>
          <cell r="C1406" t="str">
            <v>UNICENA LLC</v>
          </cell>
          <cell r="D1406">
            <v>3001</v>
          </cell>
          <cell r="E1406" t="str">
            <v>0062</v>
          </cell>
          <cell r="F1406" t="str">
            <v>C1</v>
          </cell>
          <cell r="G1406" t="str">
            <v/>
          </cell>
          <cell r="H1406" t="str">
            <v>OUTROS</v>
          </cell>
          <cell r="I1406" t="str">
            <v>OUTROS</v>
          </cell>
          <cell r="J1406" t="str">
            <v>ITAMBE - EXPORTACAO</v>
          </cell>
          <cell r="K1406" t="str">
            <v>OUTROS</v>
          </cell>
          <cell r="L1406" t="str">
            <v>OUTROS</v>
          </cell>
          <cell r="M1406" t="str">
            <v>EXPORTAÇÃO</v>
          </cell>
        </row>
        <row r="1407">
          <cell r="B1407">
            <v>5302013</v>
          </cell>
          <cell r="C1407" t="str">
            <v>UNIFLAVOR FROZEN YOGURT DO BRASIL L</v>
          </cell>
          <cell r="D1407">
            <v>7001</v>
          </cell>
          <cell r="E1407" t="str">
            <v>0749</v>
          </cell>
          <cell r="F1407" t="str">
            <v>C5</v>
          </cell>
          <cell r="G1407" t="str">
            <v>SP</v>
          </cell>
          <cell r="H1407" t="str">
            <v>DISTRIBUIÇÃO</v>
          </cell>
          <cell r="I1407" t="str">
            <v>FOOD SERVICE</v>
          </cell>
          <cell r="J1407" t="str">
            <v>FLAC 6</v>
          </cell>
          <cell r="K1407" t="str">
            <v>LACTALIS</v>
          </cell>
          <cell r="L1407" t="str">
            <v>RODRIGO</v>
          </cell>
          <cell r="M1407" t="str">
            <v>ALEXANDRO</v>
          </cell>
        </row>
        <row r="1408">
          <cell r="B1408">
            <v>5146491</v>
          </cell>
          <cell r="C1408" t="str">
            <v>UNILEVER BRASIL GELADOS LTDA</v>
          </cell>
          <cell r="D1408">
            <v>3001</v>
          </cell>
          <cell r="E1408" t="str">
            <v>0028</v>
          </cell>
          <cell r="F1408" t="str">
            <v>C1</v>
          </cell>
          <cell r="G1408" t="str">
            <v>SP</v>
          </cell>
          <cell r="H1408" t="str">
            <v>INGREDIENTS</v>
          </cell>
          <cell r="I1408" t="str">
            <v>INGREDIENTS</v>
          </cell>
          <cell r="J1408" t="str">
            <v>TATIANA NITTA</v>
          </cell>
          <cell r="K1408" t="str">
            <v>ITAMBÉ</v>
          </cell>
          <cell r="L1408" t="str">
            <v>MAURICIO</v>
          </cell>
          <cell r="M1408" t="str">
            <v>TATIANA NITTA</v>
          </cell>
        </row>
        <row r="1409">
          <cell r="B1409">
            <v>5146491</v>
          </cell>
          <cell r="C1409" t="str">
            <v>UNILEVER BRASIL GELADOS LTDA</v>
          </cell>
          <cell r="D1409">
            <v>6001</v>
          </cell>
          <cell r="E1409" t="str">
            <v>6028</v>
          </cell>
          <cell r="F1409" t="str">
            <v>C1</v>
          </cell>
          <cell r="G1409" t="str">
            <v>SP</v>
          </cell>
          <cell r="H1409" t="str">
            <v>INGREDIENTS</v>
          </cell>
          <cell r="I1409" t="str">
            <v>INGREDIENTS</v>
          </cell>
          <cell r="J1409" t="str">
            <v>TATIANA NITTA</v>
          </cell>
          <cell r="K1409" t="str">
            <v>ITAMBÉ</v>
          </cell>
          <cell r="L1409" t="str">
            <v>MAURICIO</v>
          </cell>
          <cell r="M1409" t="str">
            <v>TATIANA NITTA</v>
          </cell>
        </row>
        <row r="1410">
          <cell r="B1410">
            <v>5167678</v>
          </cell>
          <cell r="C1410" t="str">
            <v>UNIPAN COMERCIO DE PRODUTOS ALIM LT</v>
          </cell>
          <cell r="D1410">
            <v>3001</v>
          </cell>
          <cell r="E1410" t="str">
            <v>0123</v>
          </cell>
          <cell r="F1410" t="str">
            <v>C1</v>
          </cell>
          <cell r="G1410" t="str">
            <v>GO</v>
          </cell>
          <cell r="H1410" t="str">
            <v>DISTRIBUIÇÃO</v>
          </cell>
          <cell r="I1410" t="str">
            <v>FOOD SERVICE</v>
          </cell>
          <cell r="J1410" t="str">
            <v>CLAUDIO JORGE</v>
          </cell>
          <cell r="K1410" t="str">
            <v>ITAMBÉ</v>
          </cell>
          <cell r="L1410" t="str">
            <v>RODRIGO</v>
          </cell>
          <cell r="M1410" t="str">
            <v>MARCO AURELIO</v>
          </cell>
        </row>
        <row r="1411">
          <cell r="B1411">
            <v>5043976</v>
          </cell>
          <cell r="C1411" t="str">
            <v>UP DIST DE PRODS DESCARTAVEIS LTDA</v>
          </cell>
          <cell r="D1411">
            <v>3001</v>
          </cell>
          <cell r="E1411" t="str">
            <v>0127</v>
          </cell>
          <cell r="F1411" t="str">
            <v>C1</v>
          </cell>
          <cell r="G1411" t="str">
            <v>AL</v>
          </cell>
          <cell r="H1411" t="str">
            <v>DISTRIBUIÇÃO</v>
          </cell>
          <cell r="I1411" t="str">
            <v>FOOD SERVICE</v>
          </cell>
          <cell r="J1411" t="str">
            <v>DIGMA REPR LTDA</v>
          </cell>
          <cell r="K1411" t="str">
            <v>ITAMBÉ</v>
          </cell>
          <cell r="L1411" t="str">
            <v>RODRIGO</v>
          </cell>
          <cell r="M1411" t="str">
            <v>VAGO NORDESTE</v>
          </cell>
        </row>
        <row r="1412">
          <cell r="B1412">
            <v>5323074</v>
          </cell>
          <cell r="C1412" t="str">
            <v>URBANATURE HOSPEDAGENS E SERVICOS L</v>
          </cell>
          <cell r="D1412">
            <v>7001</v>
          </cell>
          <cell r="E1412" t="str">
            <v>0749</v>
          </cell>
          <cell r="F1412" t="str">
            <v>C5</v>
          </cell>
          <cell r="G1412" t="str">
            <v>SP</v>
          </cell>
          <cell r="H1412" t="str">
            <v>DISTRIBUIÇÃO</v>
          </cell>
          <cell r="I1412" t="str">
            <v>FOOD SERVICE</v>
          </cell>
          <cell r="J1412" t="str">
            <v>FLAC 4</v>
          </cell>
          <cell r="K1412" t="str">
            <v>LACTALIS</v>
          </cell>
          <cell r="L1412" t="str">
            <v>RODRIGO</v>
          </cell>
          <cell r="M1412" t="str">
            <v>ALEXANDRO</v>
          </cell>
        </row>
        <row r="1413">
          <cell r="B1413">
            <v>5288228</v>
          </cell>
          <cell r="C1413" t="str">
            <v>URCA COMERCIO DE PAES EIRELI</v>
          </cell>
          <cell r="D1413">
            <v>7001</v>
          </cell>
          <cell r="E1413" t="str">
            <v>0749</v>
          </cell>
          <cell r="F1413" t="str">
            <v>C5</v>
          </cell>
          <cell r="G1413" t="str">
            <v>SP</v>
          </cell>
          <cell r="H1413" t="str">
            <v>DISTRIBUIÇÃO</v>
          </cell>
          <cell r="I1413" t="str">
            <v>FOOD SERVICE</v>
          </cell>
          <cell r="J1413" t="str">
            <v>FLAC 6</v>
          </cell>
          <cell r="K1413" t="str">
            <v>LACTALIS</v>
          </cell>
          <cell r="L1413" t="str">
            <v>RODRIGO</v>
          </cell>
          <cell r="M1413" t="str">
            <v>ALEXANDRO</v>
          </cell>
        </row>
        <row r="1414">
          <cell r="B1414">
            <v>5146430</v>
          </cell>
          <cell r="C1414" t="str">
            <v>USINA DE LATICINIOS JUSSARA SA</v>
          </cell>
          <cell r="D1414">
            <v>3001</v>
          </cell>
          <cell r="E1414" t="str">
            <v>0122</v>
          </cell>
          <cell r="F1414" t="str">
            <v>C1</v>
          </cell>
          <cell r="G1414" t="str">
            <v>MG</v>
          </cell>
          <cell r="H1414" t="str">
            <v>INGREDIENTS</v>
          </cell>
          <cell r="I1414" t="str">
            <v>INGREDIENTS</v>
          </cell>
          <cell r="J1414" t="str">
            <v>TATIANA NITTA</v>
          </cell>
          <cell r="K1414" t="str">
            <v>ITAMBÉ</v>
          </cell>
          <cell r="L1414" t="str">
            <v>MAURICIO</v>
          </cell>
          <cell r="M1414" t="str">
            <v>TATIANA NITTA</v>
          </cell>
        </row>
        <row r="1415">
          <cell r="B1415">
            <v>5141759</v>
          </cell>
          <cell r="C1415" t="str">
            <v>V C F BOM DOCE LTDA</v>
          </cell>
          <cell r="D1415">
            <v>3001</v>
          </cell>
          <cell r="E1415" t="str">
            <v>0169</v>
          </cell>
          <cell r="F1415" t="str">
            <v>C1</v>
          </cell>
          <cell r="G1415" t="str">
            <v>ES</v>
          </cell>
          <cell r="H1415" t="str">
            <v>DISTRIBUIÇÃO</v>
          </cell>
          <cell r="I1415" t="str">
            <v>FOOD SERVICE</v>
          </cell>
          <cell r="J1415" t="str">
            <v>MARCELO DUARTE</v>
          </cell>
          <cell r="K1415" t="str">
            <v>ITAMBÉ</v>
          </cell>
          <cell r="L1415" t="str">
            <v>RODRIGO</v>
          </cell>
          <cell r="M1415" t="str">
            <v>JESSICA</v>
          </cell>
        </row>
        <row r="1416">
          <cell r="B1416">
            <v>5141759</v>
          </cell>
          <cell r="C1416" t="str">
            <v>V C F BOM DOCE LTDA</v>
          </cell>
          <cell r="D1416">
            <v>3001</v>
          </cell>
          <cell r="E1416" t="str">
            <v>0122</v>
          </cell>
          <cell r="F1416" t="str">
            <v>C1</v>
          </cell>
          <cell r="G1416" t="str">
            <v>ES</v>
          </cell>
          <cell r="H1416" t="str">
            <v>DISTRIBUIÇÃO</v>
          </cell>
          <cell r="I1416" t="str">
            <v>FOOD SERVICE</v>
          </cell>
          <cell r="J1416" t="str">
            <v>MARCELO DUARTE</v>
          </cell>
          <cell r="K1416" t="str">
            <v>ITAMBÉ</v>
          </cell>
          <cell r="L1416" t="str">
            <v>RODRIGO</v>
          </cell>
          <cell r="M1416" t="str">
            <v>JESSICA</v>
          </cell>
        </row>
        <row r="1417">
          <cell r="B1417">
            <v>5339798</v>
          </cell>
          <cell r="C1417" t="str">
            <v>VALDINEI DE OLIVEIRA PANIFICADO</v>
          </cell>
          <cell r="D1417">
            <v>7001</v>
          </cell>
          <cell r="E1417" t="str">
            <v>0749</v>
          </cell>
          <cell r="F1417" t="str">
            <v>C5</v>
          </cell>
          <cell r="G1417" t="str">
            <v>SP</v>
          </cell>
          <cell r="H1417" t="str">
            <v>DISTRIBUIÇÃO</v>
          </cell>
          <cell r="I1417" t="str">
            <v>FOOD SERVICE</v>
          </cell>
          <cell r="J1417" t="str">
            <v>FLAC 7</v>
          </cell>
          <cell r="K1417" t="str">
            <v>LACTALIS</v>
          </cell>
          <cell r="L1417" t="str">
            <v>RODRIGO</v>
          </cell>
          <cell r="M1417" t="str">
            <v>ALEXANDRO</v>
          </cell>
        </row>
        <row r="1418">
          <cell r="B1418">
            <v>5106559</v>
          </cell>
          <cell r="C1418" t="str">
            <v>VALE DO ACO EMBALAGENS EIRELI</v>
          </cell>
          <cell r="D1418">
            <v>3001</v>
          </cell>
          <cell r="E1418" t="str">
            <v>0122</v>
          </cell>
          <cell r="F1418" t="str">
            <v>C1</v>
          </cell>
          <cell r="G1418" t="str">
            <v>MG</v>
          </cell>
          <cell r="H1418" t="str">
            <v>DISTRIBUIÇÃO</v>
          </cell>
          <cell r="I1418" t="str">
            <v>FOOD SERVICE</v>
          </cell>
          <cell r="J1418" t="str">
            <v>MARCELO SILVA</v>
          </cell>
          <cell r="K1418" t="str">
            <v>ITAMBÉ</v>
          </cell>
          <cell r="L1418" t="str">
            <v>RODRIGO</v>
          </cell>
          <cell r="M1418" t="str">
            <v>CELIO MARTINS</v>
          </cell>
        </row>
        <row r="1419">
          <cell r="B1419">
            <v>5214364</v>
          </cell>
          <cell r="C1419" t="str">
            <v>VALE DO ACO EMBALAGENS EIRELI</v>
          </cell>
          <cell r="D1419">
            <v>3001</v>
          </cell>
          <cell r="E1419" t="str">
            <v>0122</v>
          </cell>
          <cell r="F1419" t="str">
            <v>C1</v>
          </cell>
          <cell r="G1419" t="str">
            <v>MG</v>
          </cell>
          <cell r="H1419" t="str">
            <v>DISTRIBUIÇÃO</v>
          </cell>
          <cell r="I1419" t="str">
            <v>FOOD SERVICE</v>
          </cell>
          <cell r="J1419" t="str">
            <v>MARCELO SILVA</v>
          </cell>
          <cell r="K1419" t="str">
            <v>ITAMBÉ</v>
          </cell>
          <cell r="L1419" t="str">
            <v>RODRIGO</v>
          </cell>
          <cell r="M1419" t="str">
            <v>CELIO MARTINS</v>
          </cell>
        </row>
        <row r="1420">
          <cell r="B1420">
            <v>5192611</v>
          </cell>
          <cell r="C1420" t="str">
            <v>VALENTE E CASTRO DIST DE ALIMENTOS</v>
          </cell>
          <cell r="D1420">
            <v>3001</v>
          </cell>
          <cell r="E1420" t="str">
            <v>0169</v>
          </cell>
          <cell r="F1420" t="str">
            <v>C1</v>
          </cell>
          <cell r="G1420" t="str">
            <v>RJ</v>
          </cell>
          <cell r="H1420" t="str">
            <v>DISTRIBUIÇÃO</v>
          </cell>
          <cell r="I1420" t="str">
            <v>FOOD SERVICE</v>
          </cell>
          <cell r="J1420" t="str">
            <v>JULIANA CORDEIRO</v>
          </cell>
          <cell r="K1420" t="str">
            <v>ITAMBÉ</v>
          </cell>
          <cell r="L1420" t="str">
            <v>RODRIGO</v>
          </cell>
          <cell r="M1420" t="str">
            <v>JESSICA</v>
          </cell>
        </row>
        <row r="1421">
          <cell r="B1421">
            <v>5189062</v>
          </cell>
          <cell r="C1421" t="str">
            <v>VENTURA ALIMENTOS EIRELI ME</v>
          </cell>
          <cell r="D1421">
            <v>3001</v>
          </cell>
          <cell r="E1421" t="str">
            <v>0122</v>
          </cell>
          <cell r="F1421" t="str">
            <v>C1</v>
          </cell>
          <cell r="G1421" t="str">
            <v>ES</v>
          </cell>
          <cell r="H1421" t="str">
            <v>DISTRIBUIÇÃO</v>
          </cell>
          <cell r="I1421" t="str">
            <v>FOOD SERVICE</v>
          </cell>
          <cell r="J1421" t="str">
            <v>MARCELO DUARTE</v>
          </cell>
          <cell r="K1421" t="str">
            <v>ITAMBÉ</v>
          </cell>
          <cell r="L1421" t="str">
            <v>RODRIGO</v>
          </cell>
          <cell r="M1421" t="str">
            <v>JESSICA</v>
          </cell>
        </row>
        <row r="1422">
          <cell r="B1422">
            <v>5129364</v>
          </cell>
          <cell r="C1422" t="str">
            <v>VEP FROZEN FOODS IMPORT E EXPORT LT</v>
          </cell>
          <cell r="D1422">
            <v>6001</v>
          </cell>
          <cell r="E1422" t="str">
            <v>6125</v>
          </cell>
          <cell r="F1422" t="str">
            <v>C1</v>
          </cell>
          <cell r="G1422" t="str">
            <v>SP</v>
          </cell>
          <cell r="H1422" t="str">
            <v>INGREDIENTS</v>
          </cell>
          <cell r="I1422" t="str">
            <v>INGREDIENTS</v>
          </cell>
          <cell r="J1422" t="str">
            <v>TATIANA NITTA</v>
          </cell>
          <cell r="K1422" t="str">
            <v>ITAMBÉ</v>
          </cell>
          <cell r="L1422" t="str">
            <v>MAURICIO</v>
          </cell>
          <cell r="M1422" t="str">
            <v>TATIANA NITTA</v>
          </cell>
        </row>
        <row r="1423">
          <cell r="B1423">
            <v>5323737</v>
          </cell>
          <cell r="C1423" t="str">
            <v>VERMMER RESTAURANTES E EVENTOS LTDA</v>
          </cell>
          <cell r="D1423">
            <v>7001</v>
          </cell>
          <cell r="E1423" t="str">
            <v>0749</v>
          </cell>
          <cell r="F1423" t="str">
            <v>C5</v>
          </cell>
          <cell r="G1423" t="str">
            <v>SP</v>
          </cell>
          <cell r="H1423" t="str">
            <v>DISTRIBUIÇÃO</v>
          </cell>
          <cell r="I1423" t="str">
            <v>FOOD SERVICE</v>
          </cell>
          <cell r="J1423" t="str">
            <v>FLAC 6</v>
          </cell>
          <cell r="K1423" t="str">
            <v>LACTALIS</v>
          </cell>
          <cell r="L1423" t="str">
            <v>RODRIGO</v>
          </cell>
          <cell r="M1423" t="str">
            <v>ALEXANDRO</v>
          </cell>
        </row>
        <row r="1424">
          <cell r="B1424">
            <v>5098965</v>
          </cell>
          <cell r="C1424" t="str">
            <v>VHS ALIMENTOS LTDA</v>
          </cell>
          <cell r="D1424">
            <v>4001</v>
          </cell>
          <cell r="E1424" t="str">
            <v>0455</v>
          </cell>
          <cell r="F1424" t="str">
            <v>C1</v>
          </cell>
          <cell r="G1424" t="str">
            <v>PR</v>
          </cell>
          <cell r="H1424" t="str">
            <v>INGREDIENTS</v>
          </cell>
          <cell r="I1424" t="str">
            <v>INGREDIENTS</v>
          </cell>
          <cell r="J1424" t="str">
            <v>MARCELO RODRIGUES</v>
          </cell>
          <cell r="K1424" t="str">
            <v>LACTALIS</v>
          </cell>
          <cell r="L1424" t="str">
            <v>MAURICIO</v>
          </cell>
          <cell r="M1424" t="str">
            <v>MARCELO</v>
          </cell>
        </row>
        <row r="1425">
          <cell r="B1425">
            <v>5338552</v>
          </cell>
          <cell r="C1425" t="str">
            <v>VICENTE DE OLIVEIRA ALMEIDA 265</v>
          </cell>
          <cell r="D1425">
            <v>7001</v>
          </cell>
          <cell r="E1425" t="str">
            <v>0749</v>
          </cell>
          <cell r="F1425" t="str">
            <v>C5</v>
          </cell>
          <cell r="G1425" t="str">
            <v>SP</v>
          </cell>
          <cell r="H1425" t="str">
            <v>DISTRIBUIÇÃO</v>
          </cell>
          <cell r="I1425" t="str">
            <v>FOOD SERVICE</v>
          </cell>
          <cell r="J1425" t="str">
            <v>FLAC 3</v>
          </cell>
          <cell r="K1425" t="str">
            <v>LACTALIS</v>
          </cell>
          <cell r="L1425" t="str">
            <v>RODRIGO</v>
          </cell>
          <cell r="M1425" t="str">
            <v>ALEXANDRO</v>
          </cell>
        </row>
        <row r="1426">
          <cell r="B1426">
            <v>5012007</v>
          </cell>
          <cell r="C1426" t="str">
            <v>VIENA COMERCIO DE ALIMENTOS LTD</v>
          </cell>
          <cell r="D1426">
            <v>3001</v>
          </cell>
          <cell r="E1426" t="str">
            <v>0127</v>
          </cell>
          <cell r="F1426" t="str">
            <v>C1</v>
          </cell>
          <cell r="G1426" t="str">
            <v>BA</v>
          </cell>
          <cell r="H1426" t="str">
            <v>DISTRIBUIÇÃO</v>
          </cell>
          <cell r="I1426" t="str">
            <v>FOOD SERVICE</v>
          </cell>
          <cell r="J1426" t="str">
            <v xml:space="preserve">KARIS FOOD / LUIZ </v>
          </cell>
          <cell r="K1426" t="str">
            <v>ITAMBÉ</v>
          </cell>
          <cell r="L1426" t="str">
            <v>RODRIGO</v>
          </cell>
          <cell r="M1426" t="str">
            <v>VAGO NORDESTE</v>
          </cell>
        </row>
        <row r="1427">
          <cell r="B1427">
            <v>5340762</v>
          </cell>
          <cell r="C1427" t="str">
            <v>VILAREJO DA BRITES LTDA</v>
          </cell>
          <cell r="D1427">
            <v>7001</v>
          </cell>
          <cell r="E1427" t="str">
            <v>0749</v>
          </cell>
          <cell r="F1427" t="str">
            <v>C5</v>
          </cell>
          <cell r="G1427" t="str">
            <v>SP</v>
          </cell>
          <cell r="H1427" t="str">
            <v>DISTRIBUIÇÃO</v>
          </cell>
          <cell r="I1427" t="str">
            <v>FOOD SERVICE</v>
          </cell>
          <cell r="J1427" t="str">
            <v>FLAC 5</v>
          </cell>
          <cell r="K1427" t="str">
            <v>LACTALIS</v>
          </cell>
          <cell r="L1427" t="str">
            <v>RODRIGO</v>
          </cell>
          <cell r="M1427" t="str">
            <v>ALEXANDRO</v>
          </cell>
        </row>
        <row r="1428">
          <cell r="B1428">
            <v>5323849</v>
          </cell>
          <cell r="C1428" t="str">
            <v>VILLAGIO GASTRONOMIA E EVENTOS LTDA</v>
          </cell>
          <cell r="D1428">
            <v>7001</v>
          </cell>
          <cell r="E1428" t="str">
            <v>0749</v>
          </cell>
          <cell r="F1428" t="str">
            <v>C5</v>
          </cell>
          <cell r="G1428" t="str">
            <v>SP</v>
          </cell>
          <cell r="H1428" t="str">
            <v>DISTRIBUIÇÃO</v>
          </cell>
          <cell r="I1428" t="str">
            <v>FOOD SERVICE</v>
          </cell>
          <cell r="J1428" t="str">
            <v>FLAC 2</v>
          </cell>
          <cell r="K1428" t="str">
            <v>LACTALIS</v>
          </cell>
          <cell r="L1428" t="str">
            <v>RODRIGO</v>
          </cell>
          <cell r="M1428" t="str">
            <v>ALEXANDRO</v>
          </cell>
        </row>
        <row r="1429">
          <cell r="B1429">
            <v>5150121</v>
          </cell>
          <cell r="C1429" t="str">
            <v>VITAO ALIMENTOS LTDA</v>
          </cell>
          <cell r="D1429">
            <v>4001</v>
          </cell>
          <cell r="E1429" t="str">
            <v>0437</v>
          </cell>
          <cell r="F1429" t="str">
            <v>C1</v>
          </cell>
          <cell r="G1429" t="str">
            <v>PR</v>
          </cell>
          <cell r="H1429" t="str">
            <v>INGREDIENTS</v>
          </cell>
          <cell r="I1429" t="str">
            <v>INGREDIENTS</v>
          </cell>
          <cell r="J1429" t="str">
            <v>MARCELO RODRIGUES</v>
          </cell>
          <cell r="K1429" t="str">
            <v>LACTALIS</v>
          </cell>
          <cell r="L1429" t="str">
            <v>MAURICIO</v>
          </cell>
          <cell r="M1429" t="str">
            <v>MARCELO</v>
          </cell>
        </row>
        <row r="1430">
          <cell r="B1430">
            <v>5261411</v>
          </cell>
          <cell r="C1430" t="str">
            <v>VITHINSKI SUCOS E ALIMENTOS LTDA ME</v>
          </cell>
          <cell r="D1430">
            <v>7001</v>
          </cell>
          <cell r="E1430" t="str">
            <v>0749</v>
          </cell>
          <cell r="F1430" t="str">
            <v>C5</v>
          </cell>
          <cell r="G1430" t="str">
            <v>SP</v>
          </cell>
          <cell r="H1430" t="str">
            <v>QSR</v>
          </cell>
          <cell r="I1430" t="str">
            <v>FOOD SERVICE</v>
          </cell>
          <cell r="J1430" t="str">
            <v>NUTRI</v>
          </cell>
          <cell r="K1430" t="str">
            <v>LACTALIS</v>
          </cell>
          <cell r="L1430" t="str">
            <v>PEDRO</v>
          </cell>
          <cell r="M1430" t="str">
            <v>AMANDA</v>
          </cell>
        </row>
        <row r="1431">
          <cell r="B1431">
            <v>5113476</v>
          </cell>
          <cell r="C1431" t="str">
            <v>VITORIA HOTEIS LTDA</v>
          </cell>
          <cell r="D1431">
            <v>7001</v>
          </cell>
          <cell r="E1431" t="str">
            <v>0749</v>
          </cell>
          <cell r="F1431" t="str">
            <v>C5</v>
          </cell>
          <cell r="G1431" t="str">
            <v>SP</v>
          </cell>
          <cell r="H1431" t="str">
            <v>DISTRIBUIÇÃO</v>
          </cell>
          <cell r="I1431" t="str">
            <v>FOOD SERVICE</v>
          </cell>
          <cell r="J1431" t="str">
            <v>FLAC 3</v>
          </cell>
          <cell r="K1431" t="str">
            <v>LACTALIS</v>
          </cell>
          <cell r="L1431" t="str">
            <v>RODRIGO</v>
          </cell>
          <cell r="M1431" t="str">
            <v>ALEXANDRO</v>
          </cell>
        </row>
        <row r="1432">
          <cell r="B1432">
            <v>5180549</v>
          </cell>
          <cell r="C1432" t="str">
            <v>VITORIA HOTEIS LTDA</v>
          </cell>
          <cell r="D1432">
            <v>7001</v>
          </cell>
          <cell r="E1432" t="str">
            <v>0749</v>
          </cell>
          <cell r="F1432" t="str">
            <v>C5</v>
          </cell>
          <cell r="G1432" t="str">
            <v>SP</v>
          </cell>
          <cell r="H1432" t="str">
            <v>DISTRIBUIÇÃO</v>
          </cell>
          <cell r="I1432" t="str">
            <v>FOOD SERVICE</v>
          </cell>
          <cell r="J1432" t="str">
            <v>FLAC 7</v>
          </cell>
          <cell r="K1432" t="str">
            <v>LACTALIS</v>
          </cell>
          <cell r="L1432" t="str">
            <v>RODRIGO</v>
          </cell>
          <cell r="M1432" t="str">
            <v>ALEXANDRO</v>
          </cell>
        </row>
        <row r="1433">
          <cell r="B1433">
            <v>5268712</v>
          </cell>
          <cell r="C1433" t="str">
            <v>VIVA BAKERY PANIFICADORA E CONFEITA</v>
          </cell>
          <cell r="D1433">
            <v>7001</v>
          </cell>
          <cell r="E1433" t="str">
            <v>0749</v>
          </cell>
          <cell r="F1433" t="str">
            <v>C5</v>
          </cell>
          <cell r="G1433" t="str">
            <v>SP</v>
          </cell>
          <cell r="H1433" t="str">
            <v>DISTRIBUIÇÃO</v>
          </cell>
          <cell r="I1433" t="str">
            <v>FOOD SERVICE</v>
          </cell>
          <cell r="J1433" t="str">
            <v>FLAC 7</v>
          </cell>
          <cell r="K1433" t="str">
            <v>LACTALIS</v>
          </cell>
          <cell r="L1433" t="str">
            <v>RODRIGO</v>
          </cell>
          <cell r="M1433" t="str">
            <v>ALEXANDRO</v>
          </cell>
        </row>
        <row r="1434">
          <cell r="B1434">
            <v>5228856</v>
          </cell>
          <cell r="C1434" t="str">
            <v>VIVIANE BUZZO RODRIGUES</v>
          </cell>
          <cell r="D1434">
            <v>7001</v>
          </cell>
          <cell r="E1434" t="str">
            <v>0749</v>
          </cell>
          <cell r="F1434" t="str">
            <v>C5</v>
          </cell>
          <cell r="G1434" t="str">
            <v>SP</v>
          </cell>
          <cell r="H1434" t="str">
            <v>DISTRIBUIÇÃO</v>
          </cell>
          <cell r="I1434" t="str">
            <v>FOOD SERVICE</v>
          </cell>
          <cell r="J1434" t="str">
            <v>FLAC 2</v>
          </cell>
          <cell r="K1434" t="str">
            <v>LACTALIS</v>
          </cell>
          <cell r="L1434" t="str">
            <v>RODRIGO</v>
          </cell>
          <cell r="M1434" t="str">
            <v>ALEXANDRO</v>
          </cell>
        </row>
        <row r="1435">
          <cell r="B1435">
            <v>5288519</v>
          </cell>
          <cell r="C1435" t="str">
            <v>VIVIANE H V MENDOLA PATISSIERE LTDA</v>
          </cell>
          <cell r="D1435">
            <v>7001</v>
          </cell>
          <cell r="E1435" t="str">
            <v>0749</v>
          </cell>
          <cell r="F1435" t="str">
            <v>C5</v>
          </cell>
          <cell r="G1435" t="str">
            <v>SP</v>
          </cell>
          <cell r="H1435" t="str">
            <v>DISTRIBUIÇÃO</v>
          </cell>
          <cell r="I1435" t="str">
            <v>FOOD SERVICE</v>
          </cell>
          <cell r="J1435" t="str">
            <v>FLAC 6</v>
          </cell>
          <cell r="K1435" t="str">
            <v>LACTALIS</v>
          </cell>
          <cell r="L1435" t="str">
            <v>RODRIGO</v>
          </cell>
          <cell r="M1435" t="str">
            <v>ALEXANDRO</v>
          </cell>
        </row>
        <row r="1436">
          <cell r="B1436">
            <v>5182195</v>
          </cell>
          <cell r="C1436" t="str">
            <v>VR BUZIM COMERCIO PROD ALIMENTICIOS</v>
          </cell>
          <cell r="D1436">
            <v>3001</v>
          </cell>
          <cell r="E1436" t="str">
            <v>0169</v>
          </cell>
          <cell r="F1436" t="str">
            <v>C1</v>
          </cell>
          <cell r="G1436" t="str">
            <v>ES</v>
          </cell>
          <cell r="H1436" t="str">
            <v>DISTRIBUIÇÃO</v>
          </cell>
          <cell r="I1436" t="str">
            <v>FOOD SERVICE</v>
          </cell>
          <cell r="J1436" t="str">
            <v>MARCELO DUARTE</v>
          </cell>
          <cell r="K1436" t="str">
            <v>ITAMBÉ</v>
          </cell>
          <cell r="L1436" t="str">
            <v>RODRIGO</v>
          </cell>
          <cell r="M1436" t="str">
            <v>JESSICA</v>
          </cell>
        </row>
        <row r="1437">
          <cell r="B1437">
            <v>5230833</v>
          </cell>
          <cell r="C1437" t="str">
            <v>VSG DISTRIBUIDORA LTDA</v>
          </cell>
          <cell r="D1437">
            <v>3001</v>
          </cell>
          <cell r="E1437" t="str">
            <v>0028</v>
          </cell>
          <cell r="F1437" t="str">
            <v>C1</v>
          </cell>
          <cell r="G1437" t="str">
            <v>PR</v>
          </cell>
          <cell r="H1437" t="str">
            <v>INGREDIENTS</v>
          </cell>
          <cell r="I1437" t="str">
            <v>INGREDIENTS</v>
          </cell>
          <cell r="J1437" t="str">
            <v>DUAS RODAS</v>
          </cell>
          <cell r="K1437" t="str">
            <v>ITAMBÉ</v>
          </cell>
          <cell r="L1437" t="str">
            <v>MAURICIO</v>
          </cell>
          <cell r="M1437" t="str">
            <v>MARCELO</v>
          </cell>
        </row>
        <row r="1438">
          <cell r="B1438">
            <v>5160848</v>
          </cell>
          <cell r="C1438" t="str">
            <v>W AMARAL INDUSTRIA E COMERCIO LTDA</v>
          </cell>
          <cell r="D1438">
            <v>3001</v>
          </cell>
          <cell r="E1438" t="str">
            <v>0121</v>
          </cell>
          <cell r="F1438" t="str">
            <v>C1</v>
          </cell>
          <cell r="G1438" t="str">
            <v>MG</v>
          </cell>
          <cell r="H1438" t="str">
            <v>INGREDIENTS</v>
          </cell>
          <cell r="I1438" t="str">
            <v>INGREDIENTS</v>
          </cell>
          <cell r="J1438" t="str">
            <v>JOEL ELEOTÉRIO</v>
          </cell>
          <cell r="K1438" t="str">
            <v>ITAMBÉ</v>
          </cell>
          <cell r="L1438" t="str">
            <v>MAURICIO</v>
          </cell>
          <cell r="M1438" t="str">
            <v>JOEL</v>
          </cell>
        </row>
        <row r="1439">
          <cell r="B1439">
            <v>5319094</v>
          </cell>
          <cell r="C1439" t="str">
            <v>W RODRIGUES REFEICOES LTDA</v>
          </cell>
          <cell r="D1439">
            <v>7001</v>
          </cell>
          <cell r="E1439" t="str">
            <v>0749</v>
          </cell>
          <cell r="F1439" t="str">
            <v>C5</v>
          </cell>
          <cell r="G1439" t="str">
            <v>SP</v>
          </cell>
          <cell r="H1439" t="str">
            <v>DISTRIBUIÇÃO</v>
          </cell>
          <cell r="I1439" t="str">
            <v>FOOD SERVICE</v>
          </cell>
          <cell r="J1439" t="str">
            <v>FLAC 3</v>
          </cell>
          <cell r="K1439" t="str">
            <v>LACTALIS</v>
          </cell>
          <cell r="L1439" t="str">
            <v>RODRIGO</v>
          </cell>
          <cell r="M1439" t="str">
            <v>ALEXANDRO</v>
          </cell>
        </row>
        <row r="1440">
          <cell r="B1440">
            <v>5169969</v>
          </cell>
          <cell r="C1440" t="str">
            <v>WCN COM E REPRESENTACAO DE ALIM LTD</v>
          </cell>
          <cell r="D1440">
            <v>3001</v>
          </cell>
          <cell r="E1440" t="str">
            <v>0127</v>
          </cell>
          <cell r="F1440" t="str">
            <v>C1</v>
          </cell>
          <cell r="G1440" t="str">
            <v>BA</v>
          </cell>
          <cell r="H1440" t="str">
            <v>DISTRIBUIÇÃO</v>
          </cell>
          <cell r="I1440" t="str">
            <v>FOOD SERVICE</v>
          </cell>
          <cell r="J1440" t="str">
            <v xml:space="preserve">KARIS FOOD / LUIZ </v>
          </cell>
          <cell r="K1440" t="str">
            <v>ITAMBÉ</v>
          </cell>
          <cell r="L1440" t="str">
            <v>RODRIGO</v>
          </cell>
          <cell r="M1440" t="str">
            <v>VAGO NORDESTE</v>
          </cell>
        </row>
        <row r="1441">
          <cell r="B1441">
            <v>5070522</v>
          </cell>
          <cell r="C1441" t="str">
            <v>WEA COM DE PROD DE PANIF LTDA</v>
          </cell>
          <cell r="D1441">
            <v>6001</v>
          </cell>
          <cell r="E1441" t="str">
            <v>6125</v>
          </cell>
          <cell r="F1441" t="str">
            <v>C1</v>
          </cell>
          <cell r="G1441" t="str">
            <v>SP</v>
          </cell>
          <cell r="H1441" t="str">
            <v>DISTRIBUIÇÃO</v>
          </cell>
          <cell r="I1441" t="str">
            <v>FOOD SERVICE</v>
          </cell>
          <cell r="J1441" t="str">
            <v>GUILHERME NASCIMENTO</v>
          </cell>
          <cell r="K1441" t="str">
            <v>ITAMBÉ</v>
          </cell>
          <cell r="L1441" t="str">
            <v>RODRIGO</v>
          </cell>
          <cell r="M1441" t="str">
            <v>ALEXANDRO</v>
          </cell>
        </row>
        <row r="1442">
          <cell r="B1442">
            <v>5099068</v>
          </cell>
          <cell r="C1442" t="str">
            <v>WICKBOLD NOSSO PAO INDUSTRIAS ALIMEN</v>
          </cell>
          <cell r="D1442">
            <v>4001</v>
          </cell>
          <cell r="E1442" t="str">
            <v>0445</v>
          </cell>
          <cell r="F1442" t="str">
            <v>C7</v>
          </cell>
          <cell r="G1442" t="str">
            <v>SP</v>
          </cell>
          <cell r="H1442" t="str">
            <v>INGREDIENTS</v>
          </cell>
          <cell r="I1442" t="str">
            <v>INGREDIENTS</v>
          </cell>
          <cell r="J1442" t="str">
            <v>MARCELO RODRIGUES</v>
          </cell>
          <cell r="K1442" t="str">
            <v>LACTALIS</v>
          </cell>
          <cell r="L1442" t="str">
            <v>MAURICIO</v>
          </cell>
          <cell r="M1442" t="str">
            <v>MARCELO</v>
          </cell>
        </row>
        <row r="1443">
          <cell r="B1443">
            <v>5253730</v>
          </cell>
          <cell r="C1443" t="str">
            <v>WK COMERCIO DE DOCES E SALGADOS EIR</v>
          </cell>
          <cell r="D1443">
            <v>7001</v>
          </cell>
          <cell r="E1443" t="str">
            <v>0749</v>
          </cell>
          <cell r="F1443" t="str">
            <v>C5</v>
          </cell>
          <cell r="G1443" t="str">
            <v>SP</v>
          </cell>
          <cell r="H1443" t="str">
            <v>DISTRIBUIÇÃO</v>
          </cell>
          <cell r="I1443" t="str">
            <v>FOOD SERVICE</v>
          </cell>
          <cell r="J1443" t="str">
            <v>FLAC 3</v>
          </cell>
          <cell r="K1443" t="str">
            <v>LACTALIS</v>
          </cell>
          <cell r="L1443" t="str">
            <v>RODRIGO</v>
          </cell>
          <cell r="M1443" t="str">
            <v>ALEXANDRO</v>
          </cell>
        </row>
        <row r="1444">
          <cell r="B1444">
            <v>5098986</v>
          </cell>
          <cell r="C1444" t="str">
            <v>WRN INDUSTRIA DE ALIMENTOS LTDA</v>
          </cell>
          <cell r="D1444">
            <v>4001</v>
          </cell>
          <cell r="E1444" t="str">
            <v>0455</v>
          </cell>
          <cell r="F1444" t="str">
            <v>C1</v>
          </cell>
          <cell r="G1444" t="str">
            <v>PR</v>
          </cell>
          <cell r="H1444" t="str">
            <v>INGREDIENTS</v>
          </cell>
          <cell r="I1444" t="str">
            <v>INGREDIENTS</v>
          </cell>
          <cell r="J1444" t="str">
            <v>MARCELO RODRIGUES</v>
          </cell>
          <cell r="K1444" t="str">
            <v>LACTALIS</v>
          </cell>
          <cell r="L1444" t="str">
            <v>MAURICIO</v>
          </cell>
          <cell r="M1444" t="str">
            <v>MARCELO</v>
          </cell>
        </row>
        <row r="1445">
          <cell r="B1445">
            <v>5209627</v>
          </cell>
          <cell r="C1445" t="str">
            <v>WS COM E IND DE GEN ALIM LTDA</v>
          </cell>
          <cell r="D1445">
            <v>3001</v>
          </cell>
          <cell r="E1445" t="str">
            <v>0126</v>
          </cell>
          <cell r="F1445" t="str">
            <v>C1</v>
          </cell>
          <cell r="G1445" t="str">
            <v>SC</v>
          </cell>
          <cell r="H1445" t="str">
            <v>DISTRIBUIÇÃO</v>
          </cell>
          <cell r="I1445" t="str">
            <v>FOOD SERVICE</v>
          </cell>
          <cell r="J1445" t="str">
            <v>ANTÔNIO SOUZA</v>
          </cell>
          <cell r="K1445" t="str">
            <v>ITAMBÉ</v>
          </cell>
          <cell r="L1445" t="str">
            <v>RODRIGO</v>
          </cell>
          <cell r="M1445" t="str">
            <v>VAGO SUL</v>
          </cell>
        </row>
        <row r="1446">
          <cell r="B1446">
            <v>5264034</v>
          </cell>
          <cell r="C1446" t="str">
            <v>YANAGI CAFETERIA EIRELI</v>
          </cell>
          <cell r="D1446">
            <v>7001</v>
          </cell>
          <cell r="E1446" t="str">
            <v>0749</v>
          </cell>
          <cell r="F1446" t="str">
            <v>C5</v>
          </cell>
          <cell r="G1446" t="str">
            <v>SP</v>
          </cell>
          <cell r="H1446" t="str">
            <v>DISTRIBUIÇÃO</v>
          </cell>
          <cell r="I1446" t="str">
            <v>FOOD SERVICE</v>
          </cell>
          <cell r="J1446" t="str">
            <v>FLAC 2</v>
          </cell>
          <cell r="K1446" t="str">
            <v>LACTALIS</v>
          </cell>
          <cell r="L1446" t="str">
            <v>RODRIGO</v>
          </cell>
          <cell r="M1446" t="str">
            <v>ALEXANDRO</v>
          </cell>
        </row>
        <row r="1447">
          <cell r="B1447">
            <v>5190271</v>
          </cell>
          <cell r="C1447" t="str">
            <v>Z E Z DISTRIBUIDORA LTDA</v>
          </cell>
          <cell r="D1447">
            <v>7001</v>
          </cell>
          <cell r="E1447" t="str">
            <v>0722</v>
          </cell>
          <cell r="F1447" t="str">
            <v>C1</v>
          </cell>
          <cell r="G1447" t="str">
            <v>SP</v>
          </cell>
          <cell r="H1447" t="str">
            <v>DISTRIBUIÇÃO</v>
          </cell>
          <cell r="I1447" t="str">
            <v>FOOD SERVICE</v>
          </cell>
          <cell r="J1447" t="str">
            <v>GUILHERME NASCIMENTO</v>
          </cell>
          <cell r="K1447" t="str">
            <v>LACTALIS</v>
          </cell>
          <cell r="L1447" t="str">
            <v>RODRIGO</v>
          </cell>
          <cell r="M1447" t="str">
            <v>ALEXANDRO</v>
          </cell>
        </row>
        <row r="1448">
          <cell r="B1448">
            <v>5190271</v>
          </cell>
          <cell r="C1448" t="str">
            <v>Z E Z DISTRIBUIDORA LTDA</v>
          </cell>
          <cell r="D1448">
            <v>6001</v>
          </cell>
          <cell r="E1448" t="str">
            <v>6170</v>
          </cell>
          <cell r="F1448" t="str">
            <v>C1</v>
          </cell>
          <cell r="G1448" t="str">
            <v>SP</v>
          </cell>
          <cell r="H1448" t="str">
            <v>DISTRIBUIÇÃO</v>
          </cell>
          <cell r="I1448" t="str">
            <v>FOOD SERVICE</v>
          </cell>
          <cell r="J1448" t="str">
            <v>GUILHERME NASCIMENTO</v>
          </cell>
          <cell r="K1448" t="str">
            <v>ITAMBÉ</v>
          </cell>
          <cell r="L1448" t="str">
            <v>RODRIGO</v>
          </cell>
          <cell r="M1448" t="str">
            <v>ALEXANDRO</v>
          </cell>
        </row>
        <row r="1449">
          <cell r="B1449">
            <v>5110498</v>
          </cell>
          <cell r="C1449" t="str">
            <v>ZANEPAN COM ATAC DE GENEROS ALIM EI</v>
          </cell>
          <cell r="D1449">
            <v>3001</v>
          </cell>
          <cell r="E1449" t="str">
            <v>0169</v>
          </cell>
          <cell r="F1449" t="str">
            <v>C1</v>
          </cell>
          <cell r="G1449" t="str">
            <v>ES</v>
          </cell>
          <cell r="H1449" t="str">
            <v>DISTRIBUIÇÃO</v>
          </cell>
          <cell r="I1449" t="str">
            <v>FOOD SERVICE</v>
          </cell>
          <cell r="J1449" t="str">
            <v>MARCELO DUARTE</v>
          </cell>
          <cell r="K1449" t="str">
            <v>ITAMBÉ</v>
          </cell>
          <cell r="L1449" t="str">
            <v>RODRIGO</v>
          </cell>
          <cell r="M1449" t="str">
            <v>JESSICA</v>
          </cell>
        </row>
        <row r="1450">
          <cell r="B1450">
            <v>5317703</v>
          </cell>
          <cell r="C1450" t="str">
            <v>ZAP FOODS LLC</v>
          </cell>
          <cell r="D1450">
            <v>3001</v>
          </cell>
          <cell r="E1450" t="str">
            <v>0062</v>
          </cell>
          <cell r="F1450" t="str">
            <v>C1</v>
          </cell>
          <cell r="G1450" t="str">
            <v>FL</v>
          </cell>
          <cell r="H1450" t="str">
            <v>OUTROS</v>
          </cell>
          <cell r="I1450" t="str">
            <v>OUTROS</v>
          </cell>
          <cell r="J1450" t="str">
            <v>ITAMBE - EXPORTACAO</v>
          </cell>
          <cell r="K1450" t="str">
            <v>OUTROS</v>
          </cell>
          <cell r="L1450" t="str">
            <v>OUTROS</v>
          </cell>
          <cell r="M1450" t="str">
            <v>EXPORTAÇÃO</v>
          </cell>
        </row>
        <row r="1451">
          <cell r="B1451">
            <v>5339831</v>
          </cell>
          <cell r="C1451" t="str">
            <v>ZAPATTA E RIBEIRO LTDA</v>
          </cell>
          <cell r="D1451">
            <v>3001</v>
          </cell>
          <cell r="E1451" t="str">
            <v>0028</v>
          </cell>
          <cell r="F1451" t="str">
            <v>C1</v>
          </cell>
          <cell r="G1451" t="str">
            <v>PR</v>
          </cell>
          <cell r="H1451" t="str">
            <v>INGREDIENTS</v>
          </cell>
          <cell r="I1451" t="str">
            <v>INGREDIENTS</v>
          </cell>
          <cell r="J1451" t="str">
            <v>DUAS RODAS</v>
          </cell>
          <cell r="K1451" t="str">
            <v>ITAMBÉ</v>
          </cell>
          <cell r="L1451" t="str">
            <v>MAURICIO</v>
          </cell>
          <cell r="M1451" t="str">
            <v>MARCELO</v>
          </cell>
        </row>
        <row r="1452">
          <cell r="B1452">
            <v>5270927</v>
          </cell>
          <cell r="C1452" t="str">
            <v>ZESTZING PAD E COZINHA ARTESANAL LT</v>
          </cell>
          <cell r="D1452">
            <v>7001</v>
          </cell>
          <cell r="E1452" t="str">
            <v>0749</v>
          </cell>
          <cell r="F1452" t="str">
            <v>C5</v>
          </cell>
          <cell r="G1452" t="str">
            <v>SP</v>
          </cell>
          <cell r="H1452" t="str">
            <v>DISTRIBUIÇÃO</v>
          </cell>
          <cell r="I1452" t="str">
            <v>FOOD SERVICE</v>
          </cell>
          <cell r="J1452" t="str">
            <v>FLAC 2</v>
          </cell>
          <cell r="K1452" t="str">
            <v>LACTALIS</v>
          </cell>
          <cell r="L1452" t="str">
            <v>RODRIGO</v>
          </cell>
          <cell r="M1452" t="str">
            <v>ALEXANDRO</v>
          </cell>
        </row>
        <row r="1453">
          <cell r="B1453">
            <v>5296532</v>
          </cell>
          <cell r="C1453" t="str">
            <v>ZM COMERCIO E ADM HOTELAR LTDA</v>
          </cell>
          <cell r="D1453">
            <v>7001</v>
          </cell>
          <cell r="E1453" t="str">
            <v>0749</v>
          </cell>
          <cell r="F1453" t="str">
            <v>C5</v>
          </cell>
          <cell r="G1453" t="str">
            <v>SP</v>
          </cell>
          <cell r="H1453" t="str">
            <v>DISTRIBUIÇÃO</v>
          </cell>
          <cell r="I1453" t="str">
            <v>FOOD SERVICE</v>
          </cell>
          <cell r="J1453" t="str">
            <v>FLAC 3</v>
          </cell>
          <cell r="K1453" t="str">
            <v>LACTALIS</v>
          </cell>
          <cell r="L1453" t="str">
            <v>RODRIGO</v>
          </cell>
          <cell r="M1453" t="str">
            <v>ALEXANDRO</v>
          </cell>
        </row>
        <row r="1454">
          <cell r="B1454">
            <v>5337686</v>
          </cell>
          <cell r="C1454" t="str">
            <v>ZUCKER BISTRO 1 LTDA</v>
          </cell>
          <cell r="D1454">
            <v>7001</v>
          </cell>
          <cell r="E1454" t="str">
            <v>0749</v>
          </cell>
          <cell r="F1454" t="str">
            <v>C5</v>
          </cell>
          <cell r="G1454" t="str">
            <v>SP</v>
          </cell>
          <cell r="H1454" t="str">
            <v>DISTRIBUIÇÃO</v>
          </cell>
          <cell r="I1454" t="str">
            <v>FOOD SERVICE</v>
          </cell>
          <cell r="J1454" t="str">
            <v>FLAC 2</v>
          </cell>
          <cell r="K1454" t="str">
            <v>LACTALIS</v>
          </cell>
          <cell r="L1454" t="str">
            <v>RODRIGO</v>
          </cell>
          <cell r="M1454" t="str">
            <v>ALEXANDRO</v>
          </cell>
        </row>
        <row r="1455">
          <cell r="B1455">
            <v>5269327</v>
          </cell>
          <cell r="C1455" t="str">
            <v>ZUNZAL COMERCIO DE ALIMENTOS LTDA</v>
          </cell>
          <cell r="D1455">
            <v>7001</v>
          </cell>
          <cell r="E1455" t="str">
            <v>0749</v>
          </cell>
          <cell r="F1455" t="str">
            <v>C5</v>
          </cell>
          <cell r="G1455" t="str">
            <v>SP</v>
          </cell>
          <cell r="H1455" t="str">
            <v>DISTRIBUIÇÃO</v>
          </cell>
          <cell r="I1455" t="str">
            <v>FOOD SERVICE</v>
          </cell>
          <cell r="J1455" t="str">
            <v>FLAC 6</v>
          </cell>
          <cell r="K1455" t="str">
            <v>LACTALIS</v>
          </cell>
          <cell r="L1455" t="str">
            <v>RODRIGO</v>
          </cell>
          <cell r="M1455" t="str">
            <v>ALEXANDRO</v>
          </cell>
        </row>
        <row r="1456">
          <cell r="B1456">
            <v>5009328</v>
          </cell>
          <cell r="C1456" t="str">
            <v>NUTRICESTA COMERCIO DE ALIMENTOS LT</v>
          </cell>
          <cell r="D1456">
            <v>7001</v>
          </cell>
          <cell r="E1456" t="str">
            <v>0749</v>
          </cell>
          <cell r="F1456" t="str">
            <v>C5</v>
          </cell>
          <cell r="G1456" t="str">
            <v>SP</v>
          </cell>
          <cell r="H1456" t="str">
            <v>DISTRIBUIÇÃO</v>
          </cell>
          <cell r="I1456" t="str">
            <v>FOOD SERVICE</v>
          </cell>
          <cell r="J1456" t="str">
            <v>FLAC 1</v>
          </cell>
          <cell r="K1456" t="str">
            <v>LACTALIS</v>
          </cell>
          <cell r="L1456" t="str">
            <v>RODRIGO</v>
          </cell>
          <cell r="M1456" t="str">
            <v>ALEXANDRO</v>
          </cell>
        </row>
        <row r="1457">
          <cell r="B1457">
            <v>5222398</v>
          </cell>
          <cell r="C1457" t="str">
            <v>GOURMET EXPRESS ALIMENTACAO LTD</v>
          </cell>
          <cell r="D1457">
            <v>7001</v>
          </cell>
          <cell r="E1457" t="str">
            <v>0749</v>
          </cell>
          <cell r="F1457" t="str">
            <v>C5</v>
          </cell>
          <cell r="G1457" t="str">
            <v>SP</v>
          </cell>
          <cell r="H1457" t="str">
            <v>DISTRIBUIÇÃO</v>
          </cell>
          <cell r="I1457" t="str">
            <v>FOOD SERVICE</v>
          </cell>
          <cell r="J1457" t="str">
            <v>FLAC 3</v>
          </cell>
          <cell r="K1457" t="str">
            <v>LACTALIS</v>
          </cell>
          <cell r="L1457" t="str">
            <v>RODRIGO</v>
          </cell>
          <cell r="M1457" t="str">
            <v>ALEXANDRO</v>
          </cell>
        </row>
        <row r="1458">
          <cell r="B1458">
            <v>5270191</v>
          </cell>
          <cell r="C1458" t="str">
            <v>INTEGRAL NUTTRI ALIM E SERV LTD</v>
          </cell>
          <cell r="D1458">
            <v>7001</v>
          </cell>
          <cell r="E1458" t="str">
            <v>0749</v>
          </cell>
          <cell r="F1458" t="str">
            <v>C5</v>
          </cell>
          <cell r="G1458" t="str">
            <v>SP</v>
          </cell>
          <cell r="H1458" t="str">
            <v>DISTRIBUIÇÃO</v>
          </cell>
          <cell r="I1458" t="str">
            <v>FOOD SERVICE</v>
          </cell>
          <cell r="J1458" t="str">
            <v>FLAC 6</v>
          </cell>
          <cell r="K1458" t="str">
            <v>LACTALIS</v>
          </cell>
          <cell r="L1458" t="str">
            <v>RODRIGO</v>
          </cell>
          <cell r="M1458" t="str">
            <v>ALEXANDRO</v>
          </cell>
        </row>
        <row r="1459">
          <cell r="B1459">
            <v>5341269</v>
          </cell>
          <cell r="C1459" t="str">
            <v>FREAK CAFE BOMBONIER E DOCERIA</v>
          </cell>
          <cell r="D1459">
            <v>7001</v>
          </cell>
          <cell r="E1459" t="str">
            <v>0749</v>
          </cell>
          <cell r="F1459" t="str">
            <v>C5</v>
          </cell>
          <cell r="G1459" t="str">
            <v>SP</v>
          </cell>
          <cell r="H1459" t="str">
            <v>DISTRIBUIÇÃO</v>
          </cell>
          <cell r="I1459" t="str">
            <v>FOOD SERVICE</v>
          </cell>
          <cell r="J1459" t="str">
            <v>FLAC 4</v>
          </cell>
          <cell r="K1459" t="str">
            <v>LACTALIS</v>
          </cell>
          <cell r="L1459" t="str">
            <v>RODRIGO</v>
          </cell>
          <cell r="M1459" t="str">
            <v>ALEXANDRO</v>
          </cell>
        </row>
        <row r="1460">
          <cell r="B1460">
            <v>5341743</v>
          </cell>
          <cell r="C1460" t="str">
            <v>MAURO SIQUEIRA DE MOURA JUNIOR</v>
          </cell>
          <cell r="D1460">
            <v>4001</v>
          </cell>
          <cell r="E1460" t="str">
            <v>0423</v>
          </cell>
          <cell r="F1460" t="str">
            <v>C5</v>
          </cell>
          <cell r="G1460" t="str">
            <v>SP</v>
          </cell>
          <cell r="H1460" t="str">
            <v>INGREDIENTS</v>
          </cell>
          <cell r="I1460" t="str">
            <v>INGREDIENTS</v>
          </cell>
          <cell r="J1460" t="str">
            <v>JOEL ELEOTÉRIO</v>
          </cell>
          <cell r="K1460" t="str">
            <v>LACTALIS</v>
          </cell>
          <cell r="L1460" t="str">
            <v>MAURICIO</v>
          </cell>
          <cell r="M1460" t="str">
            <v>JOEL</v>
          </cell>
        </row>
        <row r="1461">
          <cell r="B1461">
            <v>5098939</v>
          </cell>
          <cell r="C1461" t="str">
            <v>STEVIA NATUS PRODUTOS NATURAIS LTDA</v>
          </cell>
          <cell r="D1461">
            <v>4001</v>
          </cell>
          <cell r="E1461" t="str">
            <v>0455</v>
          </cell>
          <cell r="F1461" t="str">
            <v>C1</v>
          </cell>
          <cell r="G1461" t="str">
            <v>PR</v>
          </cell>
          <cell r="H1461" t="str">
            <v>INGREDIENTS</v>
          </cell>
          <cell r="I1461" t="str">
            <v>INGREDIENTS</v>
          </cell>
          <cell r="J1461" t="str">
            <v>MARCELO RODRIGUES</v>
          </cell>
          <cell r="K1461" t="str">
            <v>LACTALIS</v>
          </cell>
          <cell r="L1461" t="str">
            <v>MAURICIO</v>
          </cell>
          <cell r="M1461" t="str">
            <v>MARCELO</v>
          </cell>
        </row>
        <row r="1462">
          <cell r="B1462">
            <v>5149044</v>
          </cell>
          <cell r="C1462" t="str">
            <v>SORVEMIX COMERCIO DE ALIMENTOS LTDA</v>
          </cell>
          <cell r="D1462">
            <v>6001</v>
          </cell>
          <cell r="E1462" t="str">
            <v>6028</v>
          </cell>
          <cell r="F1462" t="str">
            <v>C1</v>
          </cell>
          <cell r="G1462" t="str">
            <v>SP</v>
          </cell>
          <cell r="H1462" t="str">
            <v>INGREDIENTS</v>
          </cell>
          <cell r="I1462" t="str">
            <v>INGREDIENTS</v>
          </cell>
          <cell r="J1462" t="str">
            <v>DUAS RODAS</v>
          </cell>
          <cell r="K1462" t="str">
            <v>ITAMBÉ</v>
          </cell>
          <cell r="L1462" t="str">
            <v>MAURICIO</v>
          </cell>
          <cell r="M1462" t="str">
            <v>MARCELO</v>
          </cell>
        </row>
        <row r="1463">
          <cell r="B1463">
            <v>5339863</v>
          </cell>
          <cell r="C1463" t="str">
            <v>LIVIA FELICORI CARVALHO 0906289</v>
          </cell>
          <cell r="D1463">
            <v>7001</v>
          </cell>
          <cell r="E1463" t="str">
            <v>0749</v>
          </cell>
          <cell r="F1463" t="str">
            <v>C5</v>
          </cell>
          <cell r="G1463" t="str">
            <v>SP</v>
          </cell>
          <cell r="H1463" t="str">
            <v>DISTRIBUIÇÃO</v>
          </cell>
          <cell r="I1463" t="str">
            <v>FOOD SERVICE</v>
          </cell>
          <cell r="J1463" t="str">
            <v>FLAC 2</v>
          </cell>
          <cell r="K1463" t="str">
            <v>LACTALIS</v>
          </cell>
          <cell r="L1463" t="str">
            <v>RODRIGO</v>
          </cell>
          <cell r="M1463" t="str">
            <v>ALEXANDRO</v>
          </cell>
        </row>
        <row r="1464">
          <cell r="B1464">
            <v>5341682</v>
          </cell>
          <cell r="C1464" t="str">
            <v>TRANSWERLE COM DE ALIM LTDA</v>
          </cell>
          <cell r="D1464">
            <v>4001</v>
          </cell>
          <cell r="E1464" t="str">
            <v>0437</v>
          </cell>
          <cell r="F1464" t="str">
            <v>C1</v>
          </cell>
          <cell r="G1464" t="str">
            <v>RS</v>
          </cell>
          <cell r="H1464" t="str">
            <v>INGREDIENTS</v>
          </cell>
          <cell r="I1464" t="str">
            <v>INGREDIENTS</v>
          </cell>
          <cell r="J1464" t="str">
            <v>JOEL ELEOTÉRIO</v>
          </cell>
          <cell r="K1464" t="str">
            <v>LACTALIS</v>
          </cell>
          <cell r="L1464" t="str">
            <v>MAURICIO</v>
          </cell>
          <cell r="M1464" t="str">
            <v>JOEL</v>
          </cell>
        </row>
        <row r="1465">
          <cell r="B1465">
            <v>5034560</v>
          </cell>
          <cell r="C1465" t="str">
            <v>CHIENI COMERCIO DE ALIMENTOS LTDA</v>
          </cell>
          <cell r="D1465">
            <v>7001</v>
          </cell>
          <cell r="E1465" t="str">
            <v>0749</v>
          </cell>
          <cell r="F1465" t="str">
            <v>C5</v>
          </cell>
          <cell r="G1465" t="str">
            <v>SP</v>
          </cell>
          <cell r="H1465" t="str">
            <v>DISTRIBUIÇÃO</v>
          </cell>
          <cell r="I1465" t="str">
            <v>FOOD SERVICE</v>
          </cell>
          <cell r="J1465" t="str">
            <v>FLAC 3</v>
          </cell>
          <cell r="K1465" t="str">
            <v>LACTALIS</v>
          </cell>
          <cell r="L1465" t="str">
            <v>RODRIGO</v>
          </cell>
          <cell r="M1465" t="str">
            <v>ALEXANDRO</v>
          </cell>
        </row>
        <row r="1466">
          <cell r="B1466">
            <v>5099089</v>
          </cell>
          <cell r="C1466" t="str">
            <v>LATICINIOS SAO JOAO S/A</v>
          </cell>
          <cell r="D1466">
            <v>4001</v>
          </cell>
          <cell r="E1466" t="str">
            <v>0456</v>
          </cell>
          <cell r="F1466" t="str">
            <v>C1</v>
          </cell>
          <cell r="G1466" t="str">
            <v>SC</v>
          </cell>
          <cell r="H1466" t="str">
            <v>INGREDIENTS</v>
          </cell>
          <cell r="I1466" t="str">
            <v>INGREDIENTS</v>
          </cell>
          <cell r="J1466" t="str">
            <v>MARCELO RODRIGUES</v>
          </cell>
          <cell r="K1466" t="str">
            <v>LACTALIS</v>
          </cell>
          <cell r="L1466" t="str">
            <v>MAURICIO</v>
          </cell>
          <cell r="M1466" t="str">
            <v>MARCELO</v>
          </cell>
        </row>
        <row r="1467">
          <cell r="B1467">
            <v>5099125</v>
          </cell>
          <cell r="C1467" t="str">
            <v>JOSAPAR JOAQUIM OLIVEIRA SA PAR</v>
          </cell>
          <cell r="D1467">
            <v>4001</v>
          </cell>
          <cell r="E1467" t="str">
            <v>0456</v>
          </cell>
          <cell r="F1467" t="str">
            <v>C1</v>
          </cell>
          <cell r="G1467" t="str">
            <v>RS</v>
          </cell>
          <cell r="H1467" t="str">
            <v>INGREDIENTS</v>
          </cell>
          <cell r="I1467" t="str">
            <v>INGREDIENTS</v>
          </cell>
          <cell r="J1467" t="str">
            <v>MARCELO RODRIGUES</v>
          </cell>
          <cell r="K1467" t="str">
            <v>LACTALIS</v>
          </cell>
          <cell r="L1467" t="str">
            <v>MAURICIO</v>
          </cell>
          <cell r="M1467" t="str">
            <v>MARCELO</v>
          </cell>
        </row>
        <row r="1468">
          <cell r="B1468">
            <v>5261912</v>
          </cell>
          <cell r="C1468" t="str">
            <v>KOMAH RESTAURANTE TREINAMENTO E</v>
          </cell>
          <cell r="D1468">
            <v>7001</v>
          </cell>
          <cell r="E1468" t="str">
            <v>0749</v>
          </cell>
          <cell r="F1468" t="str">
            <v>C5</v>
          </cell>
          <cell r="G1468" t="str">
            <v>SP</v>
          </cell>
          <cell r="H1468" t="str">
            <v>DISTRIBUIÇÃO</v>
          </cell>
          <cell r="I1468" t="str">
            <v>FOOD SERVICE</v>
          </cell>
          <cell r="J1468" t="str">
            <v>FLAC 6</v>
          </cell>
          <cell r="K1468" t="str">
            <v>LACTALIS</v>
          </cell>
          <cell r="L1468" t="str">
            <v>RODRIGO</v>
          </cell>
          <cell r="M1468" t="str">
            <v>ALEXANDRO</v>
          </cell>
        </row>
        <row r="1469">
          <cell r="B1469">
            <v>5341874</v>
          </cell>
          <cell r="C1469" t="str">
            <v>EMPORIO MIQUELINA LTDA</v>
          </cell>
          <cell r="D1469">
            <v>7001</v>
          </cell>
          <cell r="E1469" t="str">
            <v>0749</v>
          </cell>
          <cell r="F1469" t="str">
            <v>C5</v>
          </cell>
          <cell r="G1469" t="str">
            <v>SP</v>
          </cell>
          <cell r="H1469" t="str">
            <v>DISTRIBUIÇÃO</v>
          </cell>
          <cell r="I1469" t="str">
            <v>FOOD SERVICE</v>
          </cell>
          <cell r="J1469" t="str">
            <v>FLAC 6</v>
          </cell>
          <cell r="K1469" t="str">
            <v>LACTALIS</v>
          </cell>
          <cell r="L1469" t="str">
            <v>RODRIGO</v>
          </cell>
          <cell r="M1469" t="str">
            <v>ALEXANDRO</v>
          </cell>
        </row>
        <row r="1470">
          <cell r="B1470">
            <v>5023334</v>
          </cell>
          <cell r="C1470" t="str">
            <v>S P PRODUTOS LTDA</v>
          </cell>
          <cell r="D1470">
            <v>4001</v>
          </cell>
          <cell r="E1470" t="str">
            <v>0439</v>
          </cell>
          <cell r="F1470" t="str">
            <v>C1</v>
          </cell>
          <cell r="G1470" t="str">
            <v>ES</v>
          </cell>
          <cell r="H1470" t="str">
            <v>DISTRIBUIÇÃO</v>
          </cell>
          <cell r="I1470" t="str">
            <v>FOOD SERVICE</v>
          </cell>
          <cell r="J1470" t="str">
            <v>MARCELO DUARTE</v>
          </cell>
          <cell r="K1470" t="str">
            <v>LACTALIS</v>
          </cell>
          <cell r="L1470" t="str">
            <v>RODRIGO</v>
          </cell>
          <cell r="M1470" t="str">
            <v>JESSICA</v>
          </cell>
        </row>
        <row r="1471">
          <cell r="B1471">
            <v>5034557</v>
          </cell>
          <cell r="C1471" t="str">
            <v>CHIENI COMERCIO DE ALIMENTOS LT</v>
          </cell>
          <cell r="D1471">
            <v>7001</v>
          </cell>
          <cell r="E1471" t="str">
            <v>0749</v>
          </cell>
          <cell r="F1471" t="str">
            <v>C5</v>
          </cell>
          <cell r="G1471" t="str">
            <v>SP</v>
          </cell>
          <cell r="H1471" t="str">
            <v>DISTRIBUIÇÃO</v>
          </cell>
          <cell r="I1471" t="str">
            <v>FOOD SERVICE</v>
          </cell>
          <cell r="J1471" t="str">
            <v>FLAC 3</v>
          </cell>
          <cell r="K1471" t="str">
            <v>LACTALIS</v>
          </cell>
          <cell r="L1471" t="str">
            <v>RODRIGO</v>
          </cell>
          <cell r="M1471" t="str">
            <v>ALEXANDRO</v>
          </cell>
        </row>
        <row r="1472">
          <cell r="B1472">
            <v>5034558</v>
          </cell>
          <cell r="C1472" t="str">
            <v>CHIENI COMERCIO DE ALIMENTOS LT</v>
          </cell>
          <cell r="D1472">
            <v>7001</v>
          </cell>
          <cell r="E1472" t="str">
            <v>0749</v>
          </cell>
          <cell r="F1472" t="str">
            <v>C5</v>
          </cell>
          <cell r="G1472" t="str">
            <v>SP</v>
          </cell>
          <cell r="H1472" t="str">
            <v>DISTRIBUIÇÃO</v>
          </cell>
          <cell r="I1472" t="str">
            <v>FOOD SERVICE</v>
          </cell>
          <cell r="J1472" t="str">
            <v>FLAC 3</v>
          </cell>
          <cell r="K1472" t="str">
            <v>LACTALIS</v>
          </cell>
          <cell r="L1472" t="str">
            <v>RODRIGO</v>
          </cell>
          <cell r="M1472" t="str">
            <v>ALEXANDRO</v>
          </cell>
        </row>
        <row r="1473">
          <cell r="B1473">
            <v>5034559</v>
          </cell>
          <cell r="C1473" t="str">
            <v>CHIENI COMERCIO DE ALIMENTOS LT</v>
          </cell>
          <cell r="D1473">
            <v>7001</v>
          </cell>
          <cell r="E1473" t="str">
            <v>0749</v>
          </cell>
          <cell r="F1473" t="str">
            <v>C5</v>
          </cell>
          <cell r="G1473" t="str">
            <v>SP</v>
          </cell>
          <cell r="H1473" t="str">
            <v>DISTRIBUIÇÃO</v>
          </cell>
          <cell r="I1473" t="str">
            <v>FOOD SERVICE</v>
          </cell>
          <cell r="J1473" t="str">
            <v>FLAC 3</v>
          </cell>
          <cell r="K1473" t="str">
            <v>LACTALIS</v>
          </cell>
          <cell r="L1473" t="str">
            <v>RODRIGO</v>
          </cell>
          <cell r="M1473" t="str">
            <v>ALEXANDRO</v>
          </cell>
        </row>
        <row r="1474">
          <cell r="B1474">
            <v>5034562</v>
          </cell>
          <cell r="C1474" t="str">
            <v>CHIENI COMERCIO DE ALIMENTOS LT</v>
          </cell>
          <cell r="D1474">
            <v>7001</v>
          </cell>
          <cell r="E1474" t="str">
            <v>0749</v>
          </cell>
          <cell r="F1474" t="str">
            <v>C5</v>
          </cell>
          <cell r="G1474" t="str">
            <v>SP</v>
          </cell>
          <cell r="H1474" t="str">
            <v>DISTRIBUIÇÃO</v>
          </cell>
          <cell r="I1474" t="str">
            <v>FOOD SERVICE</v>
          </cell>
          <cell r="J1474" t="str">
            <v>FLAC 3</v>
          </cell>
          <cell r="K1474" t="str">
            <v>LACTALIS</v>
          </cell>
          <cell r="L1474" t="str">
            <v>RODRIGO</v>
          </cell>
          <cell r="M1474" t="str">
            <v>ALEXANDRO</v>
          </cell>
        </row>
        <row r="1475">
          <cell r="B1475">
            <v>5111398</v>
          </cell>
          <cell r="C1475" t="str">
            <v>SCANIA LATIN AMERICA LTDA</v>
          </cell>
          <cell r="D1475">
            <v>6001</v>
          </cell>
          <cell r="E1475" t="str">
            <v>6125</v>
          </cell>
          <cell r="F1475" t="str">
            <v>C1</v>
          </cell>
          <cell r="G1475" t="str">
            <v>SP</v>
          </cell>
          <cell r="H1475" t="str">
            <v>QSR</v>
          </cell>
          <cell r="I1475" t="str">
            <v>FOOD SERVICE</v>
          </cell>
          <cell r="J1475" t="str">
            <v>AMANDA CARVALHO</v>
          </cell>
          <cell r="K1475" t="str">
            <v>ITAMBÉ</v>
          </cell>
          <cell r="L1475" t="str">
            <v>PEDRO</v>
          </cell>
          <cell r="M1475" t="str">
            <v>AMANDA</v>
          </cell>
        </row>
        <row r="1476">
          <cell r="B1476">
            <v>5160241</v>
          </cell>
          <cell r="C1476" t="str">
            <v>TRES CORACOES ALIMENTOS SA</v>
          </cell>
          <cell r="D1476">
            <v>3001</v>
          </cell>
          <cell r="E1476" t="str">
            <v>0028</v>
          </cell>
          <cell r="F1476" t="str">
            <v>C1</v>
          </cell>
          <cell r="G1476" t="str">
            <v>RN</v>
          </cell>
          <cell r="H1476" t="str">
            <v>INGREDIENTS</v>
          </cell>
          <cell r="I1476" t="str">
            <v>INGREDIENTS</v>
          </cell>
          <cell r="J1476" t="str">
            <v>JOEL ELEOTÉRIO</v>
          </cell>
          <cell r="K1476" t="str">
            <v>ITAMBÉ</v>
          </cell>
          <cell r="L1476" t="str">
            <v>MAURICIO</v>
          </cell>
          <cell r="M1476" t="str">
            <v>JOEL</v>
          </cell>
        </row>
        <row r="1477">
          <cell r="B1477">
            <v>5163906</v>
          </cell>
          <cell r="C1477" t="str">
            <v>E N COM PROD FESTAS E SORVETES EIRE</v>
          </cell>
          <cell r="D1477">
            <v>6001</v>
          </cell>
          <cell r="E1477" t="str">
            <v>6028</v>
          </cell>
          <cell r="F1477" t="str">
            <v>C1</v>
          </cell>
          <cell r="G1477" t="str">
            <v>SP</v>
          </cell>
          <cell r="H1477" t="str">
            <v>INGREDIENTS</v>
          </cell>
          <cell r="I1477" t="str">
            <v>INGREDIENTS</v>
          </cell>
          <cell r="J1477" t="str">
            <v>DUAS RODAS</v>
          </cell>
          <cell r="K1477" t="str">
            <v>ITAMBÉ</v>
          </cell>
          <cell r="L1477" t="str">
            <v>MAURICIO</v>
          </cell>
          <cell r="M1477" t="str">
            <v>TATIANA NITTA</v>
          </cell>
        </row>
        <row r="1478">
          <cell r="B1478">
            <v>5167905</v>
          </cell>
          <cell r="C1478" t="str">
            <v>CHIENI COMERCIO DE ALIMENTOS LT</v>
          </cell>
          <cell r="D1478">
            <v>7001</v>
          </cell>
          <cell r="E1478" t="str">
            <v>0749</v>
          </cell>
          <cell r="F1478" t="str">
            <v>C5</v>
          </cell>
          <cell r="G1478" t="str">
            <v>SP</v>
          </cell>
          <cell r="H1478" t="str">
            <v>DISTRIBUIÇÃO</v>
          </cell>
          <cell r="I1478" t="str">
            <v>FOOD SERVICE</v>
          </cell>
          <cell r="J1478" t="str">
            <v>FLAC 3</v>
          </cell>
          <cell r="K1478" t="str">
            <v>LACTALIS</v>
          </cell>
          <cell r="L1478" t="str">
            <v>RODRIGO</v>
          </cell>
          <cell r="M1478" t="str">
            <v>ALEXANDRO</v>
          </cell>
        </row>
        <row r="1479">
          <cell r="B1479">
            <v>5199893</v>
          </cell>
          <cell r="C1479" t="str">
            <v>JADE COM ATAC DE PROD EM SACHES LTD</v>
          </cell>
          <cell r="D1479">
            <v>4001</v>
          </cell>
          <cell r="E1479" t="str">
            <v>0456</v>
          </cell>
          <cell r="F1479" t="str">
            <v>C1</v>
          </cell>
          <cell r="G1479" t="str">
            <v>SC</v>
          </cell>
          <cell r="H1479" t="str">
            <v>DISTRIBUIÇÃO</v>
          </cell>
          <cell r="I1479" t="str">
            <v>FOOD SERVICE</v>
          </cell>
          <cell r="J1479" t="str">
            <v>ANTÔNIO SOUZA</v>
          </cell>
          <cell r="K1479" t="str">
            <v>LACTALIS</v>
          </cell>
          <cell r="L1479" t="str">
            <v>RODRIGO</v>
          </cell>
          <cell r="M1479" t="str">
            <v>VAGO SUL</v>
          </cell>
        </row>
        <row r="1480">
          <cell r="B1480">
            <v>5209004</v>
          </cell>
          <cell r="C1480" t="str">
            <v>SOLSOR DISTRIBUIDORA DE DOCES</v>
          </cell>
          <cell r="D1480">
            <v>3001</v>
          </cell>
          <cell r="E1480" t="str">
            <v>0028</v>
          </cell>
          <cell r="F1480" t="str">
            <v>C1</v>
          </cell>
          <cell r="G1480" t="str">
            <v>PR</v>
          </cell>
          <cell r="H1480" t="str">
            <v>INGREDIENTS</v>
          </cell>
          <cell r="I1480" t="str">
            <v>INGREDIENTS</v>
          </cell>
          <cell r="J1480" t="str">
            <v>DUAS RODAS</v>
          </cell>
          <cell r="K1480" t="str">
            <v>ITAMBÉ</v>
          </cell>
          <cell r="L1480" t="str">
            <v>MAURICIO</v>
          </cell>
          <cell r="M1480" t="str">
            <v>MARCELO</v>
          </cell>
        </row>
        <row r="1481">
          <cell r="B1481">
            <v>5260577</v>
          </cell>
          <cell r="C1481" t="str">
            <v>MAFRIOS DIST E IMPORTADORA LTDA</v>
          </cell>
          <cell r="D1481">
            <v>4001</v>
          </cell>
          <cell r="E1481" t="str">
            <v>0423</v>
          </cell>
          <cell r="F1481" t="str">
            <v>C5</v>
          </cell>
          <cell r="G1481" t="str">
            <v>SE</v>
          </cell>
          <cell r="H1481" t="str">
            <v>DISTRIBUIÇÃO</v>
          </cell>
          <cell r="I1481" t="str">
            <v>FOOD SERVICE</v>
          </cell>
          <cell r="J1481" t="str">
            <v>CLAUDIO JORGE</v>
          </cell>
          <cell r="K1481" t="str">
            <v>LACTALIS</v>
          </cell>
          <cell r="L1481" t="str">
            <v>RODRIGO</v>
          </cell>
          <cell r="M1481" t="str">
            <v>VAGO NORDESTE</v>
          </cell>
        </row>
        <row r="1482">
          <cell r="B1482">
            <v>5292923</v>
          </cell>
          <cell r="C1482" t="str">
            <v>EPCA EMPRESA PAULISTA DE CESTA</v>
          </cell>
          <cell r="D1482">
            <v>7001</v>
          </cell>
          <cell r="E1482" t="str">
            <v>0749</v>
          </cell>
          <cell r="F1482" t="str">
            <v>C5</v>
          </cell>
          <cell r="G1482" t="str">
            <v>SP</v>
          </cell>
          <cell r="H1482" t="str">
            <v>DISTRIBUIÇÃO</v>
          </cell>
          <cell r="I1482" t="str">
            <v>FOOD SERVICE</v>
          </cell>
          <cell r="J1482" t="str">
            <v>FLAC 1</v>
          </cell>
          <cell r="K1482" t="str">
            <v>LACTALIS</v>
          </cell>
          <cell r="L1482" t="str">
            <v>RODRIGO</v>
          </cell>
          <cell r="M1482" t="str">
            <v>ALEXANDRO</v>
          </cell>
        </row>
        <row r="1483">
          <cell r="B1483">
            <v>5315266</v>
          </cell>
          <cell r="C1483" t="str">
            <v>DELICATTO GASTRONOM ROTISSER CO</v>
          </cell>
          <cell r="D1483">
            <v>7001</v>
          </cell>
          <cell r="E1483" t="str">
            <v>0749</v>
          </cell>
          <cell r="F1483" t="str">
            <v>C5</v>
          </cell>
          <cell r="G1483" t="str">
            <v>SP</v>
          </cell>
          <cell r="H1483" t="str">
            <v>DISTRIBUIÇÃO</v>
          </cell>
          <cell r="I1483" t="str">
            <v>FOOD SERVICE</v>
          </cell>
          <cell r="J1483" t="str">
            <v>FLAC 3</v>
          </cell>
          <cell r="K1483" t="str">
            <v>LACTALIS</v>
          </cell>
          <cell r="L1483" t="str">
            <v>RODRIGO</v>
          </cell>
          <cell r="M1483" t="str">
            <v>ALEXANDRO</v>
          </cell>
        </row>
        <row r="1484">
          <cell r="B1484">
            <v>5320070</v>
          </cell>
          <cell r="C1484" t="str">
            <v>MON CHOU COM IMPORTACAO E EXPOR</v>
          </cell>
          <cell r="D1484">
            <v>4001</v>
          </cell>
          <cell r="E1484" t="str">
            <v>0439</v>
          </cell>
          <cell r="F1484" t="str">
            <v>C1</v>
          </cell>
          <cell r="G1484" t="str">
            <v>RJ</v>
          </cell>
          <cell r="H1484" t="str">
            <v>DISTRIBUIÇÃO</v>
          </cell>
          <cell r="I1484" t="str">
            <v>FOOD SERVICE</v>
          </cell>
          <cell r="J1484" t="str">
            <v>LUCIANA MARTINS</v>
          </cell>
          <cell r="K1484" t="str">
            <v>LACTALIS</v>
          </cell>
          <cell r="L1484" t="str">
            <v>RODRIGO</v>
          </cell>
          <cell r="M1484" t="str">
            <v>JESSICA</v>
          </cell>
        </row>
        <row r="1485">
          <cell r="B1485">
            <v>5338679</v>
          </cell>
          <cell r="C1485" t="str">
            <v>AIZOME LTDA</v>
          </cell>
          <cell r="D1485">
            <v>7001</v>
          </cell>
          <cell r="E1485" t="str">
            <v>0749</v>
          </cell>
          <cell r="F1485" t="str">
            <v>C5</v>
          </cell>
          <cell r="G1485" t="str">
            <v>SP</v>
          </cell>
          <cell r="H1485" t="str">
            <v>DISTRIBUIÇÃO</v>
          </cell>
          <cell r="I1485" t="str">
            <v>FOOD SERVICE</v>
          </cell>
          <cell r="J1485" t="str">
            <v>FLAC 4</v>
          </cell>
          <cell r="K1485" t="str">
            <v>LACTALIS</v>
          </cell>
          <cell r="L1485" t="str">
            <v>RODRIGO</v>
          </cell>
          <cell r="M1485" t="str">
            <v>ALEXANDRO</v>
          </cell>
        </row>
        <row r="1486">
          <cell r="B1486">
            <v>5338918</v>
          </cell>
          <cell r="C1486" t="str">
            <v>40511051 JONAS JUNG</v>
          </cell>
          <cell r="D1486">
            <v>7001</v>
          </cell>
          <cell r="E1486" t="str">
            <v>0749</v>
          </cell>
          <cell r="F1486" t="str">
            <v>C5</v>
          </cell>
          <cell r="G1486" t="str">
            <v>SP</v>
          </cell>
          <cell r="H1486" t="str">
            <v>DISTRIBUIÇÃO</v>
          </cell>
          <cell r="I1486" t="str">
            <v>FOOD SERVICE</v>
          </cell>
          <cell r="J1486" t="str">
            <v>FLAC 2</v>
          </cell>
          <cell r="K1486" t="str">
            <v>LACTALIS</v>
          </cell>
          <cell r="L1486" t="str">
            <v>RODRIGO</v>
          </cell>
          <cell r="M1486" t="str">
            <v>ALEXANDRO</v>
          </cell>
        </row>
        <row r="1487">
          <cell r="B1487">
            <v>5341995</v>
          </cell>
          <cell r="C1487" t="str">
            <v>RESTAURANTE MANIOCA FARIA LIMA</v>
          </cell>
          <cell r="D1487">
            <v>7001</v>
          </cell>
          <cell r="E1487" t="str">
            <v>0749</v>
          </cell>
          <cell r="F1487" t="str">
            <v>C5</v>
          </cell>
          <cell r="G1487" t="str">
            <v>SP</v>
          </cell>
          <cell r="H1487" t="str">
            <v>DISTRIBUIÇÃO</v>
          </cell>
          <cell r="I1487" t="str">
            <v>FOOD SERVICE</v>
          </cell>
          <cell r="J1487" t="str">
            <v>FLAC 6</v>
          </cell>
          <cell r="K1487" t="str">
            <v>LACTALIS</v>
          </cell>
          <cell r="L1487" t="str">
            <v>RODRIGO</v>
          </cell>
          <cell r="M1487" t="str">
            <v>ALEXANDRO</v>
          </cell>
        </row>
        <row r="1488">
          <cell r="B1488">
            <v>5174699</v>
          </cell>
          <cell r="C1488" t="str">
            <v>SORVETERIA AVENIDA LTDA</v>
          </cell>
          <cell r="D1488">
            <v>3001</v>
          </cell>
          <cell r="E1488" t="str">
            <v>0028</v>
          </cell>
          <cell r="F1488" t="str">
            <v>C1</v>
          </cell>
          <cell r="G1488" t="str">
            <v>PR</v>
          </cell>
          <cell r="H1488" t="str">
            <v>INGREDIENTS</v>
          </cell>
          <cell r="I1488" t="str">
            <v>INGREDIENTS</v>
          </cell>
          <cell r="J1488" t="str">
            <v>DUAS RODAS</v>
          </cell>
          <cell r="K1488" t="str">
            <v>ITAMBÉ</v>
          </cell>
          <cell r="L1488" t="str">
            <v>MAURICIO</v>
          </cell>
          <cell r="M1488" t="str">
            <v>MARCELO</v>
          </cell>
        </row>
        <row r="1489">
          <cell r="B1489">
            <v>5001794</v>
          </cell>
          <cell r="C1489" t="str">
            <v>GATE GOURMET LTDA</v>
          </cell>
          <cell r="D1489">
            <v>7001</v>
          </cell>
          <cell r="E1489" t="str">
            <v>0739</v>
          </cell>
          <cell r="F1489" t="str">
            <v>C1</v>
          </cell>
          <cell r="G1489" t="str">
            <v>RJ</v>
          </cell>
          <cell r="H1489" t="str">
            <v>QSR</v>
          </cell>
          <cell r="I1489" t="str">
            <v>FOOD SERVICE</v>
          </cell>
          <cell r="J1489" t="str">
            <v>ANA MENIQUETE</v>
          </cell>
          <cell r="K1489" t="str">
            <v>LACTALIS</v>
          </cell>
          <cell r="L1489" t="str">
            <v>PEDRO</v>
          </cell>
          <cell r="M1489" t="str">
            <v>ANA MENIQUETE</v>
          </cell>
        </row>
        <row r="1490">
          <cell r="B1490">
            <v>5008636</v>
          </cell>
          <cell r="C1490" t="str">
            <v>GR SERVICOS E ALIMENTACAO LTDA</v>
          </cell>
          <cell r="D1490">
            <v>7001</v>
          </cell>
          <cell r="E1490" t="str">
            <v>0750</v>
          </cell>
          <cell r="F1490" t="str">
            <v>C5</v>
          </cell>
          <cell r="G1490" t="str">
            <v>RJ</v>
          </cell>
          <cell r="H1490" t="str">
            <v>QSR</v>
          </cell>
          <cell r="I1490" t="str">
            <v>FOOD SERVICE</v>
          </cell>
          <cell r="J1490" t="str">
            <v>NUTRI</v>
          </cell>
          <cell r="K1490" t="str">
            <v>LACTALIS</v>
          </cell>
          <cell r="L1490" t="str">
            <v>PEDRO</v>
          </cell>
          <cell r="M1490" t="str">
            <v>AMANDA</v>
          </cell>
        </row>
        <row r="1491">
          <cell r="B1491">
            <v>5017576</v>
          </cell>
          <cell r="C1491" t="str">
            <v>COMERCIAL DISKPAN LTDA</v>
          </cell>
          <cell r="D1491">
            <v>7001</v>
          </cell>
          <cell r="E1491" t="str">
            <v>0739</v>
          </cell>
          <cell r="F1491" t="str">
            <v>C1</v>
          </cell>
          <cell r="G1491" t="str">
            <v>ES</v>
          </cell>
          <cell r="H1491" t="str">
            <v>DISTRIBUIÇÃO</v>
          </cell>
          <cell r="I1491" t="str">
            <v>FOOD SERVICE</v>
          </cell>
          <cell r="J1491" t="str">
            <v>MARCELO DUARTE</v>
          </cell>
          <cell r="K1491" t="str">
            <v>LACTALIS</v>
          </cell>
          <cell r="L1491" t="str">
            <v>RODRIGO</v>
          </cell>
          <cell r="M1491" t="str">
            <v>JESSICA</v>
          </cell>
        </row>
        <row r="1492">
          <cell r="B1492">
            <v>5023770</v>
          </cell>
          <cell r="C1492" t="str">
            <v>SOLMAR DIST DE ALIMENTOS LTDA</v>
          </cell>
          <cell r="D1492">
            <v>3001</v>
          </cell>
          <cell r="E1492" t="str">
            <v>0075</v>
          </cell>
          <cell r="F1492" t="str">
            <v>C1</v>
          </cell>
          <cell r="G1492" t="str">
            <v>CE</v>
          </cell>
          <cell r="H1492" t="str">
            <v>DISTRIBUIÇÃO</v>
          </cell>
          <cell r="I1492" t="str">
            <v>FOOD SERVICE</v>
          </cell>
          <cell r="J1492" t="str">
            <v>WH FOOD SERVICE CE</v>
          </cell>
          <cell r="K1492" t="str">
            <v>ITAMBÉ</v>
          </cell>
          <cell r="L1492" t="str">
            <v>RODRIGO</v>
          </cell>
          <cell r="M1492" t="str">
            <v>VAGO NORDESTE</v>
          </cell>
        </row>
        <row r="1493">
          <cell r="B1493">
            <v>5026399</v>
          </cell>
          <cell r="C1493" t="str">
            <v>RIO QUALITY COMERCIO DE ALIMENTOS</v>
          </cell>
          <cell r="D1493">
            <v>7001</v>
          </cell>
          <cell r="E1493" t="str">
            <v>0739</v>
          </cell>
          <cell r="F1493" t="str">
            <v>C1</v>
          </cell>
          <cell r="G1493" t="str">
            <v>RJ</v>
          </cell>
          <cell r="H1493" t="str">
            <v>DISTRIBUIÇÃO</v>
          </cell>
          <cell r="I1493" t="str">
            <v>FOOD SERVICE</v>
          </cell>
          <cell r="J1493" t="str">
            <v>JESSICA CARLA</v>
          </cell>
          <cell r="K1493" t="str">
            <v>LACTALIS</v>
          </cell>
          <cell r="L1493" t="str">
            <v>RODRIGO</v>
          </cell>
          <cell r="M1493" t="str">
            <v>JESSICA</v>
          </cell>
        </row>
        <row r="1494">
          <cell r="B1494">
            <v>5108984</v>
          </cell>
          <cell r="C1494" t="str">
            <v>IRMAOS BENASSI PROD E DIST DE F</v>
          </cell>
          <cell r="D1494">
            <v>7001</v>
          </cell>
          <cell r="E1494" t="str">
            <v>0739</v>
          </cell>
          <cell r="F1494" t="str">
            <v>C1</v>
          </cell>
          <cell r="G1494" t="str">
            <v>RJ</v>
          </cell>
          <cell r="H1494" t="str">
            <v>DISTRIBUIÇÃO</v>
          </cell>
          <cell r="I1494" t="str">
            <v>FOOD SERVICE</v>
          </cell>
          <cell r="J1494" t="str">
            <v>LUCIANA MARTINS</v>
          </cell>
          <cell r="K1494" t="str">
            <v>LACTALIS</v>
          </cell>
          <cell r="L1494" t="str">
            <v>RODRIGO</v>
          </cell>
          <cell r="M1494" t="str">
            <v>JESSICA</v>
          </cell>
        </row>
        <row r="1495">
          <cell r="B1495">
            <v>5147526</v>
          </cell>
          <cell r="C1495" t="str">
            <v>SAPORE SA</v>
          </cell>
          <cell r="D1495">
            <v>7001</v>
          </cell>
          <cell r="E1495" t="str">
            <v>0750</v>
          </cell>
          <cell r="F1495" t="str">
            <v>C5</v>
          </cell>
          <cell r="G1495" t="str">
            <v>RJ</v>
          </cell>
          <cell r="H1495" t="str">
            <v>QSR</v>
          </cell>
          <cell r="I1495" t="str">
            <v>FOOD SERVICE</v>
          </cell>
          <cell r="J1495" t="str">
            <v>NUTRI</v>
          </cell>
          <cell r="K1495" t="str">
            <v>LACTALIS</v>
          </cell>
          <cell r="L1495" t="str">
            <v>PEDRO</v>
          </cell>
          <cell r="M1495" t="str">
            <v>AMANDA</v>
          </cell>
        </row>
        <row r="1496">
          <cell r="B1496">
            <v>5174117</v>
          </cell>
          <cell r="C1496" t="str">
            <v>MASSIMA ALIMENTACAO SA</v>
          </cell>
          <cell r="D1496">
            <v>7001</v>
          </cell>
          <cell r="E1496" t="str">
            <v>0750</v>
          </cell>
          <cell r="F1496" t="str">
            <v>C5</v>
          </cell>
          <cell r="G1496" t="str">
            <v>RJ</v>
          </cell>
          <cell r="H1496" t="str">
            <v>QSR</v>
          </cell>
          <cell r="I1496" t="str">
            <v>FOOD SERVICE</v>
          </cell>
          <cell r="J1496" t="str">
            <v>NUTRI</v>
          </cell>
          <cell r="K1496" t="str">
            <v>LACTALIS</v>
          </cell>
          <cell r="L1496" t="str">
            <v>PEDRO</v>
          </cell>
          <cell r="M1496" t="str">
            <v>AMANDA</v>
          </cell>
        </row>
        <row r="1497">
          <cell r="B1497">
            <v>5231303</v>
          </cell>
          <cell r="C1497" t="str">
            <v>SUPER VINHOS DISTRIBUIDORA S A</v>
          </cell>
          <cell r="D1497">
            <v>7001</v>
          </cell>
          <cell r="E1497" t="str">
            <v>0739</v>
          </cell>
          <cell r="F1497" t="str">
            <v>C1</v>
          </cell>
          <cell r="G1497" t="str">
            <v>RJ</v>
          </cell>
          <cell r="H1497" t="str">
            <v>DISTRIBUIÇÃO</v>
          </cell>
          <cell r="I1497" t="str">
            <v>FOOD SERVICE</v>
          </cell>
          <cell r="J1497" t="str">
            <v>LUCIANA MARTINS</v>
          </cell>
          <cell r="K1497" t="str">
            <v>LACTALIS</v>
          </cell>
          <cell r="L1497" t="str">
            <v>RODRIGO</v>
          </cell>
          <cell r="M1497" t="str">
            <v>JESSICA</v>
          </cell>
        </row>
        <row r="1498">
          <cell r="B1498">
            <v>5254650</v>
          </cell>
          <cell r="C1498" t="str">
            <v>IACAO NOSSA SENHORA DO PARI</v>
          </cell>
          <cell r="D1498">
            <v>7001</v>
          </cell>
          <cell r="E1498" t="str">
            <v>0749</v>
          </cell>
          <cell r="F1498" t="str">
            <v>C5</v>
          </cell>
          <cell r="G1498" t="str">
            <v>SP</v>
          </cell>
          <cell r="H1498" t="str">
            <v>DISTRIBUIÇÃO</v>
          </cell>
          <cell r="I1498" t="str">
            <v>FOOD SERVICE</v>
          </cell>
          <cell r="J1498" t="str">
            <v>FLAC 3</v>
          </cell>
          <cell r="K1498" t="str">
            <v>LACTALIS</v>
          </cell>
          <cell r="L1498" t="str">
            <v>RODRIGO</v>
          </cell>
          <cell r="M1498" t="str">
            <v>ALEXANDRO</v>
          </cell>
        </row>
        <row r="1499">
          <cell r="B1499">
            <v>5308710</v>
          </cell>
          <cell r="C1499" t="str">
            <v>SODEXO DO BRASIL COMERCIAL SA</v>
          </cell>
          <cell r="D1499">
            <v>7001</v>
          </cell>
          <cell r="E1499" t="str">
            <v>0750</v>
          </cell>
          <cell r="F1499" t="str">
            <v>C5</v>
          </cell>
          <cell r="G1499" t="str">
            <v>RJ</v>
          </cell>
          <cell r="H1499" t="str">
            <v>QSR</v>
          </cell>
          <cell r="I1499" t="str">
            <v>FOOD SERVICE</v>
          </cell>
          <cell r="J1499" t="str">
            <v>NUTRI</v>
          </cell>
          <cell r="K1499" t="str">
            <v>LACTALIS</v>
          </cell>
          <cell r="L1499" t="str">
            <v>PEDRO</v>
          </cell>
          <cell r="M1499" t="str">
            <v>AMANDA</v>
          </cell>
        </row>
        <row r="1500">
          <cell r="B1500">
            <v>5341970</v>
          </cell>
          <cell r="C1500" t="str">
            <v>AQUI TEM SAGRADA MASSA COMERCIO</v>
          </cell>
          <cell r="D1500">
            <v>7001</v>
          </cell>
          <cell r="E1500" t="str">
            <v>0749</v>
          </cell>
          <cell r="F1500" t="str">
            <v>C5</v>
          </cell>
          <cell r="G1500" t="str">
            <v>SP</v>
          </cell>
          <cell r="H1500" t="str">
            <v>DISTRIBUIÇÃO</v>
          </cell>
          <cell r="I1500" t="str">
            <v>FOOD SERVICE</v>
          </cell>
          <cell r="J1500" t="str">
            <v>FLAC 5</v>
          </cell>
          <cell r="K1500" t="str">
            <v>LACTALIS</v>
          </cell>
          <cell r="L1500" t="str">
            <v>RODRIGO</v>
          </cell>
          <cell r="M1500" t="str">
            <v>ALEXANDRO</v>
          </cell>
        </row>
        <row r="1501">
          <cell r="B1501">
            <v>5023870</v>
          </cell>
          <cell r="C1501" t="str">
            <v>GOLD INDUSTRIA E COMERCIO LTDA</v>
          </cell>
          <cell r="D1501">
            <v>4001</v>
          </cell>
          <cell r="E1501" t="str">
            <v>0455</v>
          </cell>
          <cell r="F1501" t="str">
            <v>C1</v>
          </cell>
          <cell r="G1501" t="str">
            <v>PR</v>
          </cell>
          <cell r="H1501" t="str">
            <v>DISTRIBUIÇÃO</v>
          </cell>
          <cell r="I1501" t="str">
            <v>FOOD SERVICE</v>
          </cell>
          <cell r="J1501" t="str">
            <v>ANTÔNIO SOUZA</v>
          </cell>
          <cell r="K1501" t="str">
            <v>LACTALIS</v>
          </cell>
          <cell r="L1501" t="str">
            <v>RODRIGO</v>
          </cell>
          <cell r="M1501" t="str">
            <v>VAGO SUL</v>
          </cell>
        </row>
        <row r="1502">
          <cell r="B1502">
            <v>5227283</v>
          </cell>
          <cell r="C1502" t="str">
            <v>ACAITERIA EXPRESS LTDA</v>
          </cell>
          <cell r="D1502">
            <v>3001</v>
          </cell>
          <cell r="E1502" t="str">
            <v>0028</v>
          </cell>
          <cell r="F1502" t="str">
            <v>C1</v>
          </cell>
          <cell r="G1502" t="str">
            <v>MG</v>
          </cell>
          <cell r="H1502" t="str">
            <v>INGREDIENTS</v>
          </cell>
          <cell r="I1502" t="str">
            <v>INGREDIENTS</v>
          </cell>
          <cell r="J1502" t="str">
            <v>HENRIQUE FERREIRA</v>
          </cell>
          <cell r="K1502" t="str">
            <v>ITAMBÉ</v>
          </cell>
          <cell r="L1502" t="str">
            <v>MAURICIO</v>
          </cell>
          <cell r="M1502" t="str">
            <v>JOEL</v>
          </cell>
        </row>
        <row r="1503">
          <cell r="B1503">
            <v>5266993</v>
          </cell>
          <cell r="C1503" t="str">
            <v>HOTELARIA ACCOR BRASIL SA</v>
          </cell>
          <cell r="D1503">
            <v>7001</v>
          </cell>
          <cell r="E1503" t="str">
            <v>0749</v>
          </cell>
          <cell r="F1503" t="str">
            <v>C5</v>
          </cell>
          <cell r="G1503" t="str">
            <v>SP</v>
          </cell>
          <cell r="H1503" t="str">
            <v>DISTRIBUIÇÃO</v>
          </cell>
          <cell r="I1503" t="str">
            <v>FOOD SERVICE</v>
          </cell>
          <cell r="J1503" t="str">
            <v>FLAC 6</v>
          </cell>
          <cell r="K1503" t="str">
            <v>LACTALIS</v>
          </cell>
          <cell r="L1503" t="str">
            <v>RODRIGO</v>
          </cell>
          <cell r="M1503" t="str">
            <v>ALEXANDRO</v>
          </cell>
        </row>
        <row r="1504">
          <cell r="B1504">
            <v>5280639</v>
          </cell>
          <cell r="C1504" t="str">
            <v>DALVA E DITO RESTAURANTE LTDA</v>
          </cell>
          <cell r="D1504">
            <v>7001</v>
          </cell>
          <cell r="E1504" t="str">
            <v>0749</v>
          </cell>
          <cell r="F1504" t="str">
            <v>C5</v>
          </cell>
          <cell r="G1504" t="str">
            <v>SP</v>
          </cell>
          <cell r="H1504" t="str">
            <v>DISTRIBUIÇÃO</v>
          </cell>
          <cell r="I1504" t="str">
            <v>FOOD SERVICE</v>
          </cell>
          <cell r="J1504" t="str">
            <v>FLAC 4</v>
          </cell>
          <cell r="K1504" t="str">
            <v>LACTALIS</v>
          </cell>
          <cell r="L1504" t="str">
            <v>RODRIGO</v>
          </cell>
          <cell r="M1504" t="str">
            <v>ALEXANDRO</v>
          </cell>
        </row>
        <row r="1505">
          <cell r="B1505">
            <v>5320070</v>
          </cell>
          <cell r="C1505" t="str">
            <v>MON CHOU COM IMPORTACAO E EXPOR</v>
          </cell>
          <cell r="D1505">
            <v>7001</v>
          </cell>
          <cell r="E1505" t="str">
            <v>0739</v>
          </cell>
          <cell r="F1505" t="str">
            <v>C1</v>
          </cell>
          <cell r="G1505" t="str">
            <v>RJ</v>
          </cell>
          <cell r="H1505" t="str">
            <v>DISTRIBUIÇÃO</v>
          </cell>
          <cell r="I1505" t="str">
            <v>FOOD SERVICE</v>
          </cell>
          <cell r="J1505" t="str">
            <v>LUCIANA MARTINS</v>
          </cell>
          <cell r="K1505" t="str">
            <v>LACTALIS</v>
          </cell>
          <cell r="L1505" t="str">
            <v>RODRIGO</v>
          </cell>
          <cell r="M1505" t="str">
            <v>JESSICA</v>
          </cell>
        </row>
        <row r="1506">
          <cell r="B1506">
            <v>5033323</v>
          </cell>
          <cell r="C1506" t="str">
            <v>SORVESHOPES COMERCIAL LTDA</v>
          </cell>
          <cell r="D1506">
            <v>6001</v>
          </cell>
          <cell r="E1506" t="str">
            <v>6028</v>
          </cell>
          <cell r="F1506" t="str">
            <v>C1</v>
          </cell>
          <cell r="G1506" t="str">
            <v>ES</v>
          </cell>
          <cell r="H1506" t="str">
            <v>DISTRIBUIÇÃO</v>
          </cell>
          <cell r="I1506" t="str">
            <v>FOOD SERVICE</v>
          </cell>
          <cell r="J1506" t="str">
            <v>MARCELO DUARTE</v>
          </cell>
          <cell r="K1506" t="str">
            <v>ITAMBÉ</v>
          </cell>
          <cell r="L1506" t="str">
            <v>RODRIGO</v>
          </cell>
          <cell r="M1506" t="str">
            <v>JESSICA</v>
          </cell>
        </row>
        <row r="1507">
          <cell r="B1507">
            <v>5223996</v>
          </cell>
          <cell r="C1507" t="str">
            <v>PLASTIC DISTRIBUIDORA LTDA</v>
          </cell>
          <cell r="D1507">
            <v>6001</v>
          </cell>
          <cell r="E1507" t="str">
            <v>6028</v>
          </cell>
          <cell r="F1507" t="str">
            <v>C1</v>
          </cell>
          <cell r="G1507" t="str">
            <v>ES</v>
          </cell>
          <cell r="H1507" t="str">
            <v>INGREDIENTS</v>
          </cell>
          <cell r="I1507" t="str">
            <v>INGREDIENTS</v>
          </cell>
          <cell r="J1507" t="str">
            <v>DUAS RODAS</v>
          </cell>
          <cell r="K1507" t="str">
            <v>ITAMBÉ</v>
          </cell>
          <cell r="L1507" t="str">
            <v>MAURICIO</v>
          </cell>
          <cell r="M1507" t="str">
            <v>JOEL</v>
          </cell>
        </row>
        <row r="1508">
          <cell r="B1508">
            <v>5234290</v>
          </cell>
          <cell r="C1508" t="str">
            <v>ZAQUI E ZAQUI IND E COM BEBIDAS</v>
          </cell>
          <cell r="D1508">
            <v>6001</v>
          </cell>
          <cell r="E1508" t="str">
            <v>6125</v>
          </cell>
          <cell r="F1508" t="str">
            <v>C1</v>
          </cell>
          <cell r="G1508" t="str">
            <v>SP</v>
          </cell>
          <cell r="H1508" t="str">
            <v>INGREDIENTS</v>
          </cell>
          <cell r="I1508" t="str">
            <v>INGREDIENTS</v>
          </cell>
          <cell r="J1508" t="str">
            <v>TATIANA NITTA</v>
          </cell>
          <cell r="K1508" t="str">
            <v>ITAMBÉ</v>
          </cell>
          <cell r="L1508" t="str">
            <v>MAURICIO</v>
          </cell>
          <cell r="M1508" t="str">
            <v>TATIANA NITTA</v>
          </cell>
        </row>
        <row r="1509">
          <cell r="B1509">
            <v>5260663</v>
          </cell>
          <cell r="C1509" t="str">
            <v>M DIAS BRANCO SA IND E COM DE A</v>
          </cell>
          <cell r="D1509">
            <v>4001</v>
          </cell>
          <cell r="E1509" t="str">
            <v>0437</v>
          </cell>
          <cell r="F1509" t="str">
            <v>C1</v>
          </cell>
          <cell r="G1509" t="str">
            <v>RS</v>
          </cell>
          <cell r="H1509" t="str">
            <v>INGREDIENTS</v>
          </cell>
          <cell r="I1509" t="str">
            <v>INGREDIENTS</v>
          </cell>
          <cell r="J1509" t="str">
            <v>JOEL ELEOTÉRIO</v>
          </cell>
          <cell r="K1509" t="str">
            <v>LACTALIS</v>
          </cell>
          <cell r="L1509" t="str">
            <v>MAURICIO</v>
          </cell>
          <cell r="M1509" t="str">
            <v>JOEL</v>
          </cell>
        </row>
        <row r="1510">
          <cell r="B1510">
            <v>5287883</v>
          </cell>
          <cell r="C1510" t="str">
            <v>GISELE C L BIT CEGALINI 2898376</v>
          </cell>
          <cell r="D1510">
            <v>7001</v>
          </cell>
          <cell r="E1510" t="str">
            <v>0749</v>
          </cell>
          <cell r="F1510" t="str">
            <v>C5</v>
          </cell>
          <cell r="G1510" t="str">
            <v>SP</v>
          </cell>
          <cell r="H1510" t="str">
            <v>DISTRIBUIÇÃO</v>
          </cell>
          <cell r="I1510" t="str">
            <v>FOOD SERVICE</v>
          </cell>
          <cell r="J1510" t="str">
            <v>FLAC 6</v>
          </cell>
          <cell r="K1510" t="str">
            <v>LACTALIS</v>
          </cell>
          <cell r="L1510" t="str">
            <v>RODRIGO</v>
          </cell>
          <cell r="M1510" t="str">
            <v>ALEXANDRO</v>
          </cell>
        </row>
        <row r="1511">
          <cell r="B1511">
            <v>5328531</v>
          </cell>
          <cell r="C1511" t="str">
            <v>JOYA COMERCIO DE ALIMENTOS LTDA</v>
          </cell>
          <cell r="D1511">
            <v>7001</v>
          </cell>
          <cell r="E1511" t="str">
            <v>0749</v>
          </cell>
          <cell r="F1511" t="str">
            <v>C5</v>
          </cell>
          <cell r="G1511" t="str">
            <v>SP</v>
          </cell>
          <cell r="H1511" t="str">
            <v>DISTRIBUIÇÃO</v>
          </cell>
          <cell r="I1511" t="str">
            <v>FOOD SERVICE</v>
          </cell>
          <cell r="J1511" t="str">
            <v>FLAC 6</v>
          </cell>
          <cell r="K1511" t="str">
            <v>LACTALIS</v>
          </cell>
          <cell r="L1511" t="str">
            <v>RODRIGO</v>
          </cell>
          <cell r="M1511" t="str">
            <v>ALEXANDRO</v>
          </cell>
        </row>
        <row r="1512">
          <cell r="B1512">
            <v>5008636</v>
          </cell>
          <cell r="C1512" t="str">
            <v>GR SERVICOS E ALIMENTACAO LTDA</v>
          </cell>
          <cell r="D1512">
            <v>6001</v>
          </cell>
          <cell r="E1512" t="str">
            <v>6028</v>
          </cell>
          <cell r="F1512" t="str">
            <v>C1</v>
          </cell>
          <cell r="G1512" t="str">
            <v>RJ</v>
          </cell>
          <cell r="H1512" t="str">
            <v>QSR</v>
          </cell>
          <cell r="I1512" t="str">
            <v>FOOD SERVICE</v>
          </cell>
          <cell r="J1512" t="str">
            <v>NUTRI</v>
          </cell>
          <cell r="K1512" t="str">
            <v>ITAMBÉ</v>
          </cell>
          <cell r="L1512" t="str">
            <v>PEDRO</v>
          </cell>
          <cell r="M1512" t="str">
            <v>AMANDA</v>
          </cell>
        </row>
        <row r="1513">
          <cell r="B1513">
            <v>5017576</v>
          </cell>
          <cell r="C1513" t="str">
            <v>COMERCIAL DISKPAN LTDA</v>
          </cell>
          <cell r="D1513">
            <v>6001</v>
          </cell>
          <cell r="E1513" t="str">
            <v>6169</v>
          </cell>
          <cell r="F1513" t="str">
            <v>C1</v>
          </cell>
          <cell r="G1513" t="str">
            <v>ES</v>
          </cell>
          <cell r="H1513" t="str">
            <v>DISTRIBUIÇÃO</v>
          </cell>
          <cell r="I1513" t="str">
            <v>FOOD SERVICE</v>
          </cell>
          <cell r="J1513" t="str">
            <v>MARCELO DUARTE</v>
          </cell>
          <cell r="K1513" t="str">
            <v>ITAMBÉ</v>
          </cell>
          <cell r="L1513" t="str">
            <v>RODRIGO</v>
          </cell>
          <cell r="M1513" t="str">
            <v>JESSICA</v>
          </cell>
        </row>
        <row r="1514">
          <cell r="B1514">
            <v>5099077</v>
          </cell>
          <cell r="C1514" t="str">
            <v>ITAMARATY INDUSTRIA E COMERCIO S/A</v>
          </cell>
          <cell r="D1514">
            <v>4001</v>
          </cell>
          <cell r="E1514" t="str">
            <v>0455</v>
          </cell>
          <cell r="F1514" t="str">
            <v>C1</v>
          </cell>
          <cell r="G1514" t="str">
            <v>PR</v>
          </cell>
          <cell r="H1514" t="str">
            <v>INGREDIENTS</v>
          </cell>
          <cell r="I1514" t="str">
            <v>INGREDIENTS</v>
          </cell>
          <cell r="J1514" t="str">
            <v>MARCELO RODRIGUES</v>
          </cell>
          <cell r="K1514" t="str">
            <v>LACTALIS</v>
          </cell>
          <cell r="L1514" t="str">
            <v>MAURICIO</v>
          </cell>
          <cell r="M1514" t="str">
            <v>MARCELO</v>
          </cell>
        </row>
        <row r="1515">
          <cell r="B1515">
            <v>5131661</v>
          </cell>
          <cell r="C1515" t="str">
            <v>GR SERVICOS E ALIMENTACAO LTDA</v>
          </cell>
          <cell r="D1515">
            <v>6001</v>
          </cell>
          <cell r="E1515" t="str">
            <v>6028</v>
          </cell>
          <cell r="F1515" t="str">
            <v>C1</v>
          </cell>
          <cell r="G1515" t="str">
            <v>RJ</v>
          </cell>
          <cell r="H1515" t="str">
            <v>QSR</v>
          </cell>
          <cell r="I1515" t="str">
            <v>FOOD SERVICE</v>
          </cell>
          <cell r="J1515" t="str">
            <v>NUTRI</v>
          </cell>
          <cell r="K1515" t="str">
            <v>ITAMBÉ</v>
          </cell>
          <cell r="L1515" t="str">
            <v>PEDRO</v>
          </cell>
          <cell r="M1515" t="str">
            <v>AMANDA</v>
          </cell>
        </row>
        <row r="1516">
          <cell r="B1516">
            <v>5138406</v>
          </cell>
          <cell r="C1516" t="str">
            <v>PARMEZAO INDUSTRIA E COM DE ALIM LT</v>
          </cell>
          <cell r="D1516">
            <v>6001</v>
          </cell>
          <cell r="E1516" t="str">
            <v>6028</v>
          </cell>
          <cell r="F1516" t="str">
            <v>C1</v>
          </cell>
          <cell r="G1516" t="str">
            <v>RJ</v>
          </cell>
          <cell r="H1516" t="str">
            <v>INGREDIENTS</v>
          </cell>
          <cell r="I1516" t="str">
            <v>INGREDIENTS</v>
          </cell>
          <cell r="J1516" t="str">
            <v>HENRIQUE FERREIRA</v>
          </cell>
          <cell r="K1516" t="str">
            <v>ITAMBÉ</v>
          </cell>
          <cell r="L1516" t="str">
            <v>MAURICIO</v>
          </cell>
          <cell r="M1516" t="str">
            <v>JOEL</v>
          </cell>
        </row>
        <row r="1517">
          <cell r="B1517">
            <v>5145238</v>
          </cell>
          <cell r="C1517" t="str">
            <v>BIMBO DO BRASIL LTDA</v>
          </cell>
          <cell r="D1517">
            <v>6001</v>
          </cell>
          <cell r="E1517" t="str">
            <v>6125</v>
          </cell>
          <cell r="F1517" t="str">
            <v>C1</v>
          </cell>
          <cell r="G1517" t="str">
            <v>SP</v>
          </cell>
          <cell r="H1517" t="str">
            <v>INGREDIENTS</v>
          </cell>
          <cell r="I1517" t="str">
            <v>INGREDIENTS</v>
          </cell>
          <cell r="J1517" t="str">
            <v>TATIANA NITTA</v>
          </cell>
          <cell r="K1517" t="str">
            <v>ITAMBÉ</v>
          </cell>
          <cell r="L1517" t="str">
            <v>MAURICIO</v>
          </cell>
          <cell r="M1517" t="str">
            <v>TATIANA NITTA</v>
          </cell>
        </row>
        <row r="1518">
          <cell r="B1518">
            <v>5172313</v>
          </cell>
          <cell r="C1518" t="str">
            <v>FRONERI BRASIL DIST DE SORV E CONG</v>
          </cell>
          <cell r="D1518">
            <v>6001</v>
          </cell>
          <cell r="E1518" t="str">
            <v>6028</v>
          </cell>
          <cell r="F1518" t="str">
            <v>C1</v>
          </cell>
          <cell r="G1518" t="str">
            <v>RJ</v>
          </cell>
          <cell r="H1518" t="str">
            <v>INGREDIENTS</v>
          </cell>
          <cell r="I1518" t="str">
            <v>INGREDIENTS</v>
          </cell>
          <cell r="J1518" t="str">
            <v>JOEL ELEOTÉRIO</v>
          </cell>
          <cell r="K1518" t="str">
            <v>ITAMBÉ</v>
          </cell>
          <cell r="L1518" t="str">
            <v>MAURICIO</v>
          </cell>
          <cell r="M1518" t="str">
            <v>JOEL</v>
          </cell>
        </row>
        <row r="1519">
          <cell r="B1519">
            <v>5184715</v>
          </cell>
          <cell r="C1519" t="str">
            <v>CARLOS GEOVANE ALMEIDA DE PAULA LTDA</v>
          </cell>
          <cell r="D1519">
            <v>6001</v>
          </cell>
          <cell r="E1519" t="str">
            <v>6028</v>
          </cell>
          <cell r="F1519" t="str">
            <v>C1</v>
          </cell>
          <cell r="G1519" t="str">
            <v>MS</v>
          </cell>
          <cell r="H1519" t="str">
            <v>INGREDIENTS</v>
          </cell>
          <cell r="I1519" t="str">
            <v>INGREDIENTS</v>
          </cell>
          <cell r="J1519" t="str">
            <v>DUAS RODAS</v>
          </cell>
          <cell r="K1519" t="str">
            <v>ITAMBÉ</v>
          </cell>
          <cell r="L1519" t="str">
            <v>MAURICIO</v>
          </cell>
          <cell r="M1519" t="str">
            <v>MARCELO</v>
          </cell>
        </row>
        <row r="1520">
          <cell r="B1520">
            <v>5186251</v>
          </cell>
          <cell r="C1520" t="str">
            <v>GABRIELA MACHADO MATOS</v>
          </cell>
          <cell r="D1520">
            <v>6001</v>
          </cell>
          <cell r="E1520" t="str">
            <v>6028</v>
          </cell>
          <cell r="F1520" t="str">
            <v>C1</v>
          </cell>
          <cell r="G1520" t="str">
            <v>MS</v>
          </cell>
          <cell r="H1520" t="str">
            <v>INGREDIENTS</v>
          </cell>
          <cell r="I1520" t="str">
            <v>INGREDIENTS</v>
          </cell>
          <cell r="J1520" t="str">
            <v>DUAS RODAS</v>
          </cell>
          <cell r="K1520" t="str">
            <v>ITAMBÉ</v>
          </cell>
          <cell r="L1520" t="str">
            <v>MAURICIO</v>
          </cell>
          <cell r="M1520" t="str">
            <v>MARCELO</v>
          </cell>
        </row>
        <row r="1521">
          <cell r="B1521">
            <v>5198698</v>
          </cell>
          <cell r="C1521" t="str">
            <v>PANDURATA ALIMENTOS LTDA</v>
          </cell>
          <cell r="D1521">
            <v>7001</v>
          </cell>
          <cell r="E1521" t="str">
            <v>0737</v>
          </cell>
          <cell r="F1521" t="str">
            <v>C1</v>
          </cell>
          <cell r="G1521" t="str">
            <v>SP</v>
          </cell>
          <cell r="H1521" t="str">
            <v>INGREDIENTS</v>
          </cell>
          <cell r="I1521" t="str">
            <v>INGREDIENTS</v>
          </cell>
          <cell r="J1521" t="str">
            <v>JOEL ELEOTÉRIO</v>
          </cell>
          <cell r="K1521" t="str">
            <v>LACTALIS</v>
          </cell>
          <cell r="L1521" t="str">
            <v>MAURICIO</v>
          </cell>
          <cell r="M1521" t="str">
            <v>JOEL</v>
          </cell>
        </row>
        <row r="1522">
          <cell r="B1522">
            <v>5207394</v>
          </cell>
          <cell r="C1522" t="str">
            <v>NEWREST BRASIL S A AO T AEREO LTDA</v>
          </cell>
          <cell r="D1522">
            <v>7001</v>
          </cell>
          <cell r="E1522" t="str">
            <v>0739</v>
          </cell>
          <cell r="F1522" t="str">
            <v>C1</v>
          </cell>
          <cell r="G1522" t="str">
            <v>RJ</v>
          </cell>
          <cell r="H1522" t="str">
            <v>QSR</v>
          </cell>
          <cell r="I1522" t="str">
            <v>FOOD SERVICE</v>
          </cell>
          <cell r="J1522" t="str">
            <v>ANA MENIQUETE</v>
          </cell>
          <cell r="K1522" t="str">
            <v>LACTALIS</v>
          </cell>
          <cell r="L1522" t="str">
            <v>PEDRO</v>
          </cell>
          <cell r="M1522" t="str">
            <v>ANA MENIQUETE</v>
          </cell>
        </row>
        <row r="1523">
          <cell r="B1523">
            <v>5220627</v>
          </cell>
          <cell r="C1523" t="str">
            <v>JME RAUTA COMERCIAL DISTRIBUIDORA</v>
          </cell>
          <cell r="D1523">
            <v>6001</v>
          </cell>
          <cell r="E1523" t="str">
            <v>6028</v>
          </cell>
          <cell r="F1523" t="str">
            <v>C1</v>
          </cell>
          <cell r="G1523" t="str">
            <v>RJ</v>
          </cell>
          <cell r="H1523" t="str">
            <v>DISTRIBUIÇÃO</v>
          </cell>
          <cell r="I1523" t="str">
            <v>FOOD SERVICE</v>
          </cell>
          <cell r="J1523" t="str">
            <v>LUCIANA MARTINS</v>
          </cell>
          <cell r="K1523" t="str">
            <v>ITAMBÉ</v>
          </cell>
          <cell r="L1523" t="str">
            <v>RODRIGO</v>
          </cell>
          <cell r="M1523" t="str">
            <v>JESSICA</v>
          </cell>
        </row>
        <row r="1524">
          <cell r="B1524">
            <v>5228371</v>
          </cell>
          <cell r="C1524" t="str">
            <v>PLUMA SORVETES LTDA</v>
          </cell>
          <cell r="D1524">
            <v>6001</v>
          </cell>
          <cell r="E1524" t="str">
            <v>6028</v>
          </cell>
          <cell r="F1524" t="str">
            <v>C1</v>
          </cell>
          <cell r="G1524" t="str">
            <v>MS</v>
          </cell>
          <cell r="H1524" t="str">
            <v>INGREDIENTS</v>
          </cell>
          <cell r="I1524" t="str">
            <v>INGREDIENTS</v>
          </cell>
          <cell r="J1524" t="str">
            <v>DUAS RODAS</v>
          </cell>
          <cell r="K1524" t="str">
            <v>ITAMBÉ</v>
          </cell>
          <cell r="L1524" t="str">
            <v>MAURICIO</v>
          </cell>
          <cell r="M1524" t="str">
            <v>MARCELO</v>
          </cell>
        </row>
        <row r="1525">
          <cell r="B1525">
            <v>5293026</v>
          </cell>
          <cell r="C1525" t="str">
            <v>DOORMAN ROCHA DE PROD ALIM LTDA</v>
          </cell>
          <cell r="D1525">
            <v>7001</v>
          </cell>
          <cell r="E1525" t="str">
            <v>0749</v>
          </cell>
          <cell r="F1525" t="str">
            <v>C5</v>
          </cell>
          <cell r="G1525" t="str">
            <v>SP</v>
          </cell>
          <cell r="H1525" t="str">
            <v>DISTRIBUIÇÃO</v>
          </cell>
          <cell r="I1525" t="str">
            <v>FOOD SERVICE</v>
          </cell>
          <cell r="J1525" t="str">
            <v>FLAC 7</v>
          </cell>
          <cell r="K1525" t="str">
            <v>LACTALIS</v>
          </cell>
          <cell r="L1525" t="str">
            <v>RODRIGO</v>
          </cell>
          <cell r="M1525" t="str">
            <v>ALEXANDRO</v>
          </cell>
        </row>
        <row r="1526">
          <cell r="B1526">
            <v>5317846</v>
          </cell>
          <cell r="C1526" t="str">
            <v>ACAI GRUMARI AVARE LTDA</v>
          </cell>
          <cell r="D1526">
            <v>6001</v>
          </cell>
          <cell r="E1526" t="str">
            <v>6028</v>
          </cell>
          <cell r="F1526" t="str">
            <v>C1</v>
          </cell>
          <cell r="G1526" t="str">
            <v>RJ</v>
          </cell>
          <cell r="H1526" t="str">
            <v>INGREDIENTS</v>
          </cell>
          <cell r="I1526" t="str">
            <v>INGREDIENTS</v>
          </cell>
          <cell r="J1526" t="str">
            <v>DUAS RODAS</v>
          </cell>
          <cell r="K1526" t="str">
            <v>ITAMBÉ</v>
          </cell>
          <cell r="L1526" t="str">
            <v>MAURICIO</v>
          </cell>
          <cell r="M1526" t="str">
            <v>TATIANA NITTA</v>
          </cell>
        </row>
        <row r="1527">
          <cell r="B1527">
            <v>5337583</v>
          </cell>
          <cell r="C1527" t="str">
            <v>ARKEO FOODS ALIMENTOS LTDA</v>
          </cell>
          <cell r="D1527">
            <v>3001</v>
          </cell>
          <cell r="E1527" t="str">
            <v>0122</v>
          </cell>
          <cell r="F1527" t="str">
            <v>C1</v>
          </cell>
          <cell r="G1527" t="str">
            <v>MG</v>
          </cell>
          <cell r="H1527" t="str">
            <v>INGREDIENTS</v>
          </cell>
          <cell r="I1527" t="str">
            <v>INGREDIENTS</v>
          </cell>
          <cell r="J1527" t="str">
            <v>HENRIQUE FERREIRA</v>
          </cell>
          <cell r="K1527" t="str">
            <v>ITAMBÉ</v>
          </cell>
          <cell r="L1527" t="str">
            <v>MAURICIO</v>
          </cell>
          <cell r="M1527" t="str">
            <v>JOEL</v>
          </cell>
        </row>
        <row r="1528">
          <cell r="B1528">
            <v>5008636</v>
          </cell>
          <cell r="C1528" t="str">
            <v>GR SERVICOS E ALIMENTACAO LTDA</v>
          </cell>
          <cell r="D1528">
            <v>7001</v>
          </cell>
          <cell r="E1528" t="str">
            <v>0739</v>
          </cell>
          <cell r="F1528" t="str">
            <v>C1</v>
          </cell>
          <cell r="G1528" t="str">
            <v>RJ</v>
          </cell>
          <cell r="H1528" t="str">
            <v>QSR</v>
          </cell>
          <cell r="I1528" t="str">
            <v>FOOD SERVICE</v>
          </cell>
          <cell r="J1528" t="str">
            <v>NUTRI</v>
          </cell>
          <cell r="K1528" t="str">
            <v>LACTALIS</v>
          </cell>
          <cell r="L1528" t="str">
            <v>PEDRO</v>
          </cell>
          <cell r="M1528" t="str">
            <v>AMANDA</v>
          </cell>
        </row>
        <row r="1529">
          <cell r="B1529">
            <v>5009328</v>
          </cell>
          <cell r="C1529" t="str">
            <v>NUTRICESTA COMERCIO DE ALIMENTOS LT</v>
          </cell>
          <cell r="D1529">
            <v>7001</v>
          </cell>
          <cell r="E1529" t="str">
            <v>0722</v>
          </cell>
          <cell r="F1529" t="str">
            <v>C1</v>
          </cell>
          <cell r="G1529" t="str">
            <v>SP</v>
          </cell>
          <cell r="H1529" t="str">
            <v>DISTRIBUIÇÃO</v>
          </cell>
          <cell r="I1529" t="str">
            <v>FOOD SERVICE</v>
          </cell>
          <cell r="J1529" t="str">
            <v>FLAC 1</v>
          </cell>
          <cell r="K1529" t="str">
            <v>LACTALIS</v>
          </cell>
          <cell r="L1529" t="str">
            <v>RODRIGO</v>
          </cell>
          <cell r="M1529" t="str">
            <v>ALEXANDRO</v>
          </cell>
        </row>
        <row r="1530">
          <cell r="B1530">
            <v>5015298</v>
          </cell>
          <cell r="C1530" t="str">
            <v>CASA DA PANI COM DE PROD PARA PANI</v>
          </cell>
          <cell r="D1530">
            <v>4001</v>
          </cell>
          <cell r="E1530" t="str">
            <v>0456</v>
          </cell>
          <cell r="F1530" t="str">
            <v>C1</v>
          </cell>
          <cell r="G1530" t="str">
            <v>SC</v>
          </cell>
          <cell r="H1530" t="str">
            <v>DISTRIBUIÇÃO</v>
          </cell>
          <cell r="I1530" t="str">
            <v>FOOD SERVICE</v>
          </cell>
          <cell r="J1530" t="str">
            <v>ANTÔNIO SOUZA</v>
          </cell>
          <cell r="K1530" t="str">
            <v>LACTALIS</v>
          </cell>
          <cell r="L1530" t="str">
            <v>RODRIGO</v>
          </cell>
          <cell r="M1530" t="str">
            <v>VAGO SUL</v>
          </cell>
        </row>
        <row r="1531">
          <cell r="B1531">
            <v>5017000</v>
          </cell>
          <cell r="C1531" t="str">
            <v>ESTANPLAZA ADM HOT E COM LTDA</v>
          </cell>
          <cell r="D1531">
            <v>7001</v>
          </cell>
          <cell r="E1531" t="str">
            <v>0722</v>
          </cell>
          <cell r="F1531" t="str">
            <v>C1</v>
          </cell>
          <cell r="G1531" t="str">
            <v>SP</v>
          </cell>
          <cell r="H1531" t="str">
            <v>QSR</v>
          </cell>
          <cell r="I1531" t="str">
            <v>FOOD SERVICE</v>
          </cell>
          <cell r="J1531" t="str">
            <v>NUTRI</v>
          </cell>
          <cell r="K1531" t="str">
            <v>LACTALIS</v>
          </cell>
          <cell r="L1531" t="str">
            <v>PEDRO</v>
          </cell>
          <cell r="M1531" t="str">
            <v>AMANDA</v>
          </cell>
        </row>
        <row r="1532">
          <cell r="B1532">
            <v>5023334</v>
          </cell>
          <cell r="C1532" t="str">
            <v>S P PRODUTOS LTDA</v>
          </cell>
          <cell r="D1532">
            <v>6001</v>
          </cell>
          <cell r="E1532" t="str">
            <v>6169</v>
          </cell>
          <cell r="F1532" t="str">
            <v>C1</v>
          </cell>
          <cell r="G1532" t="str">
            <v>ES</v>
          </cell>
          <cell r="H1532" t="str">
            <v>DISTRIBUIÇÃO</v>
          </cell>
          <cell r="I1532" t="str">
            <v>FOOD SERVICE</v>
          </cell>
          <cell r="J1532" t="str">
            <v>MARCELO DUARTE</v>
          </cell>
          <cell r="K1532" t="str">
            <v>ITAMBÉ</v>
          </cell>
          <cell r="L1532" t="str">
            <v>RODRIGO</v>
          </cell>
          <cell r="M1532" t="str">
            <v>JESSICA</v>
          </cell>
        </row>
        <row r="1533">
          <cell r="B1533">
            <v>5023334</v>
          </cell>
          <cell r="C1533" t="str">
            <v>S P PRODUTOS LTDA</v>
          </cell>
          <cell r="D1533">
            <v>7001</v>
          </cell>
          <cell r="E1533" t="str">
            <v>0739</v>
          </cell>
          <cell r="F1533" t="str">
            <v>C1</v>
          </cell>
          <cell r="G1533" t="str">
            <v>ES</v>
          </cell>
          <cell r="H1533" t="str">
            <v>DISTRIBUIÇÃO</v>
          </cell>
          <cell r="I1533" t="str">
            <v>FOOD SERVICE</v>
          </cell>
          <cell r="J1533" t="str">
            <v>MARCELO DUARTE</v>
          </cell>
          <cell r="K1533" t="str">
            <v>LACTALIS</v>
          </cell>
          <cell r="L1533" t="str">
            <v>RODRIGO</v>
          </cell>
          <cell r="M1533" t="str">
            <v>JESSICA</v>
          </cell>
        </row>
        <row r="1534">
          <cell r="B1534">
            <v>5024011</v>
          </cell>
          <cell r="C1534" t="str">
            <v>M C MORAES ME</v>
          </cell>
          <cell r="D1534">
            <v>6001</v>
          </cell>
          <cell r="E1534" t="str">
            <v>6169</v>
          </cell>
          <cell r="F1534" t="str">
            <v>C1</v>
          </cell>
          <cell r="G1534" t="str">
            <v>ES</v>
          </cell>
          <cell r="H1534" t="str">
            <v>DISTRIBUIÇÃO</v>
          </cell>
          <cell r="I1534" t="str">
            <v>FOOD SERVICE</v>
          </cell>
          <cell r="J1534" t="str">
            <v>MARCELO DUARTE</v>
          </cell>
          <cell r="K1534" t="str">
            <v>ITAMBÉ</v>
          </cell>
          <cell r="L1534" t="str">
            <v>RODRIGO</v>
          </cell>
          <cell r="M1534" t="str">
            <v>JESSICA</v>
          </cell>
        </row>
        <row r="1535">
          <cell r="B1535">
            <v>5026399</v>
          </cell>
          <cell r="C1535" t="str">
            <v>RIO QUALITY COMERCIO DE ALIMENTOS</v>
          </cell>
          <cell r="D1535">
            <v>6001</v>
          </cell>
          <cell r="E1535" t="str">
            <v>6169</v>
          </cell>
          <cell r="F1535" t="str">
            <v>C1</v>
          </cell>
          <cell r="G1535" t="str">
            <v>RJ</v>
          </cell>
          <cell r="H1535" t="str">
            <v>DISTRIBUIÇÃO</v>
          </cell>
          <cell r="I1535" t="str">
            <v>FOOD SERVICE</v>
          </cell>
          <cell r="J1535" t="str">
            <v>JESSICA CARLA</v>
          </cell>
          <cell r="K1535" t="str">
            <v>ITAMBÉ</v>
          </cell>
          <cell r="L1535" t="str">
            <v>RODRIGO</v>
          </cell>
          <cell r="M1535" t="str">
            <v>JESSICA</v>
          </cell>
        </row>
        <row r="1536">
          <cell r="B1536">
            <v>5027506</v>
          </cell>
          <cell r="C1536" t="str">
            <v>MULTPEL COM DE PAPEIS E EMBALAG</v>
          </cell>
          <cell r="D1536">
            <v>6001</v>
          </cell>
          <cell r="E1536" t="str">
            <v>6169</v>
          </cell>
          <cell r="F1536" t="str">
            <v>C1</v>
          </cell>
          <cell r="G1536" t="str">
            <v>ES</v>
          </cell>
          <cell r="H1536" t="str">
            <v>DISTRIBUIÇÃO</v>
          </cell>
          <cell r="I1536" t="str">
            <v>FOOD SERVICE</v>
          </cell>
          <cell r="J1536" t="str">
            <v>MARCELO DUARTE</v>
          </cell>
          <cell r="K1536" t="str">
            <v>ITAMBÉ</v>
          </cell>
          <cell r="L1536" t="str">
            <v>RODRIGO</v>
          </cell>
          <cell r="M1536" t="str">
            <v>JESSICA</v>
          </cell>
        </row>
        <row r="1537">
          <cell r="B1537">
            <v>5028282</v>
          </cell>
          <cell r="C1537" t="str">
            <v>SORVETES JUNDIA INDU E COM LTDA</v>
          </cell>
          <cell r="D1537">
            <v>4001</v>
          </cell>
          <cell r="E1537" t="str">
            <v>0437</v>
          </cell>
          <cell r="F1537" t="str">
            <v>C1</v>
          </cell>
          <cell r="G1537" t="str">
            <v>SP</v>
          </cell>
          <cell r="H1537" t="str">
            <v>INGREDIENTS</v>
          </cell>
          <cell r="I1537" t="str">
            <v>INGREDIENTS</v>
          </cell>
          <cell r="J1537" t="str">
            <v>JOEL ELEOTÉRIO</v>
          </cell>
          <cell r="K1537" t="str">
            <v>LACTALIS</v>
          </cell>
          <cell r="L1537" t="str">
            <v>MAURICIO</v>
          </cell>
          <cell r="M1537" t="str">
            <v>JOEL</v>
          </cell>
        </row>
        <row r="1538">
          <cell r="B1538">
            <v>5028457</v>
          </cell>
          <cell r="C1538" t="str">
            <v>F L EMBALAGENS LTDA</v>
          </cell>
          <cell r="D1538">
            <v>6001</v>
          </cell>
          <cell r="E1538" t="str">
            <v>6169</v>
          </cell>
          <cell r="F1538" t="str">
            <v>C1</v>
          </cell>
          <cell r="G1538" t="str">
            <v>ES</v>
          </cell>
          <cell r="H1538" t="str">
            <v>DISTRIBUIÇÃO</v>
          </cell>
          <cell r="I1538" t="str">
            <v>FOOD SERVICE</v>
          </cell>
          <cell r="J1538" t="str">
            <v>MARCELO DUARTE</v>
          </cell>
          <cell r="K1538" t="str">
            <v>ITAMBÉ</v>
          </cell>
          <cell r="L1538" t="str">
            <v>RODRIGO</v>
          </cell>
          <cell r="M1538" t="str">
            <v>JESSICA</v>
          </cell>
        </row>
        <row r="1539">
          <cell r="B1539">
            <v>5028647</v>
          </cell>
          <cell r="C1539" t="str">
            <v>LAURO DELEVEDOVE</v>
          </cell>
          <cell r="D1539">
            <v>6001</v>
          </cell>
          <cell r="E1539" t="str">
            <v>6169</v>
          </cell>
          <cell r="F1539" t="str">
            <v>C1</v>
          </cell>
          <cell r="G1539" t="str">
            <v>ES</v>
          </cell>
          <cell r="H1539" t="str">
            <v>DISTRIBUIÇÃO</v>
          </cell>
          <cell r="I1539" t="str">
            <v>FOOD SERVICE</v>
          </cell>
          <cell r="J1539" t="str">
            <v>MARCELO DUARTE</v>
          </cell>
          <cell r="K1539" t="str">
            <v>ITAMBÉ</v>
          </cell>
          <cell r="L1539" t="str">
            <v>RODRIGO</v>
          </cell>
          <cell r="M1539" t="str">
            <v>JESSICA</v>
          </cell>
        </row>
        <row r="1540">
          <cell r="B1540">
            <v>5034828</v>
          </cell>
          <cell r="C1540" t="str">
            <v>IMPERIO DOS DOCES CONFEITARIA LTDA</v>
          </cell>
          <cell r="D1540">
            <v>6001</v>
          </cell>
          <cell r="E1540" t="str">
            <v>6169</v>
          </cell>
          <cell r="F1540" t="str">
            <v>C1</v>
          </cell>
          <cell r="G1540" t="str">
            <v>RJ</v>
          </cell>
          <cell r="H1540" t="str">
            <v>DISTRIBUIÇÃO</v>
          </cell>
          <cell r="I1540" t="str">
            <v>FOOD SERVICE</v>
          </cell>
          <cell r="J1540" t="str">
            <v>JULIANA CORDEIRO</v>
          </cell>
          <cell r="K1540" t="str">
            <v>ITAMBÉ</v>
          </cell>
          <cell r="L1540" t="str">
            <v>RODRIGO</v>
          </cell>
          <cell r="M1540" t="str">
            <v>JESSICA</v>
          </cell>
        </row>
        <row r="1541">
          <cell r="B1541">
            <v>5035471</v>
          </cell>
          <cell r="C1541" t="str">
            <v>FLASH RIO PRODUTOS PARA PANIF LTDA</v>
          </cell>
          <cell r="D1541">
            <v>6001</v>
          </cell>
          <cell r="E1541" t="str">
            <v>6169</v>
          </cell>
          <cell r="F1541" t="str">
            <v>C1</v>
          </cell>
          <cell r="G1541" t="str">
            <v>RJ</v>
          </cell>
          <cell r="H1541" t="str">
            <v>DISTRIBUIÇÃO</v>
          </cell>
          <cell r="I1541" t="str">
            <v>FOOD SERVICE</v>
          </cell>
          <cell r="J1541" t="str">
            <v>JULIANA CORDEIRO</v>
          </cell>
          <cell r="K1541" t="str">
            <v>ITAMBÉ</v>
          </cell>
          <cell r="L1541" t="str">
            <v>RODRIGO</v>
          </cell>
          <cell r="M1541" t="str">
            <v>JESSICA</v>
          </cell>
        </row>
        <row r="1542">
          <cell r="B1542">
            <v>5040108</v>
          </cell>
          <cell r="C1542" t="str">
            <v>CCN COMERCIO CENTRO NORTE ALIM LTDA</v>
          </cell>
          <cell r="D1542">
            <v>6001</v>
          </cell>
          <cell r="E1542" t="str">
            <v>6169</v>
          </cell>
          <cell r="F1542" t="str">
            <v>C1</v>
          </cell>
          <cell r="G1542" t="str">
            <v>RJ</v>
          </cell>
          <cell r="H1542" t="str">
            <v>DISTRIBUIÇÃO</v>
          </cell>
          <cell r="I1542" t="str">
            <v>FOOD SERVICE</v>
          </cell>
          <cell r="J1542" t="str">
            <v>CLAUDIO JORGE</v>
          </cell>
          <cell r="K1542" t="str">
            <v>ITAMBÉ</v>
          </cell>
          <cell r="L1542" t="str">
            <v>RODRIGO</v>
          </cell>
          <cell r="M1542" t="str">
            <v>JESSICA</v>
          </cell>
        </row>
        <row r="1543">
          <cell r="B1543">
            <v>5042001</v>
          </cell>
          <cell r="C1543" t="str">
            <v>MEGA PAN DISTRIBUIDORA ALIMENTI</v>
          </cell>
          <cell r="D1543">
            <v>6001</v>
          </cell>
          <cell r="E1543" t="str">
            <v>6169</v>
          </cell>
          <cell r="F1543" t="str">
            <v>C1</v>
          </cell>
          <cell r="G1543" t="str">
            <v>ES</v>
          </cell>
          <cell r="H1543" t="str">
            <v>DISTRIBUIÇÃO</v>
          </cell>
          <cell r="I1543" t="str">
            <v>FOOD SERVICE</v>
          </cell>
          <cell r="J1543" t="str">
            <v>MARCELO DUARTE</v>
          </cell>
          <cell r="K1543" t="str">
            <v>ITAMBÉ</v>
          </cell>
          <cell r="L1543" t="str">
            <v>RODRIGO</v>
          </cell>
          <cell r="M1543" t="str">
            <v>JESSICA</v>
          </cell>
        </row>
        <row r="1544">
          <cell r="B1544">
            <v>5045491</v>
          </cell>
          <cell r="C1544" t="str">
            <v>LC ADMINISTRACAO DE RESTAURANTE</v>
          </cell>
          <cell r="D1544">
            <v>7001</v>
          </cell>
          <cell r="E1544" t="str">
            <v>0722</v>
          </cell>
          <cell r="F1544" t="str">
            <v>C1</v>
          </cell>
          <cell r="G1544" t="str">
            <v>SP</v>
          </cell>
          <cell r="H1544" t="str">
            <v>QSR</v>
          </cell>
          <cell r="I1544" t="str">
            <v>FOOD SERVICE</v>
          </cell>
          <cell r="J1544" t="str">
            <v>NUTRI</v>
          </cell>
          <cell r="K1544" t="str">
            <v>LACTALIS</v>
          </cell>
          <cell r="L1544" t="str">
            <v>PEDRO</v>
          </cell>
          <cell r="M1544" t="str">
            <v>AMANDA</v>
          </cell>
        </row>
        <row r="1545">
          <cell r="B1545">
            <v>5060394</v>
          </cell>
          <cell r="C1545" t="str">
            <v>SCHREIBER FOODS BRASIL IND ALIM LTD</v>
          </cell>
          <cell r="D1545">
            <v>4001</v>
          </cell>
          <cell r="E1545" t="str">
            <v>0437</v>
          </cell>
          <cell r="F1545" t="str">
            <v>C1</v>
          </cell>
          <cell r="G1545" t="str">
            <v>PR</v>
          </cell>
          <cell r="H1545" t="str">
            <v>INGREDIENTS</v>
          </cell>
          <cell r="I1545" t="str">
            <v>INGREDIENTS</v>
          </cell>
          <cell r="J1545" t="str">
            <v>MARCELO RODRIGUES</v>
          </cell>
          <cell r="K1545" t="str">
            <v>LACTALIS</v>
          </cell>
          <cell r="L1545" t="str">
            <v>MAURICIO</v>
          </cell>
          <cell r="M1545" t="str">
            <v>MARCELO</v>
          </cell>
        </row>
        <row r="1546">
          <cell r="B1546">
            <v>5063519</v>
          </cell>
          <cell r="C1546" t="str">
            <v>SAPORE SA</v>
          </cell>
          <cell r="D1546">
            <v>7001</v>
          </cell>
          <cell r="E1546" t="str">
            <v>0722</v>
          </cell>
          <cell r="F1546" t="str">
            <v>C1</v>
          </cell>
          <cell r="G1546" t="str">
            <v>SP</v>
          </cell>
          <cell r="H1546" t="str">
            <v>QSR</v>
          </cell>
          <cell r="I1546" t="str">
            <v>FOOD SERVICE</v>
          </cell>
          <cell r="J1546" t="str">
            <v>NUTRI</v>
          </cell>
          <cell r="K1546" t="str">
            <v>LACTALIS</v>
          </cell>
          <cell r="L1546" t="str">
            <v>PEDRO</v>
          </cell>
          <cell r="M1546" t="str">
            <v>AMANDA</v>
          </cell>
        </row>
        <row r="1547">
          <cell r="B1547">
            <v>5077482</v>
          </cell>
          <cell r="C1547" t="str">
            <v>DOREMUS ALIMENTOS LTDA</v>
          </cell>
          <cell r="D1547">
            <v>7001</v>
          </cell>
          <cell r="E1547" t="str">
            <v>0737</v>
          </cell>
          <cell r="F1547" t="str">
            <v>C1</v>
          </cell>
          <cell r="G1547" t="str">
            <v>SP</v>
          </cell>
          <cell r="H1547" t="str">
            <v>INGREDIENTS</v>
          </cell>
          <cell r="I1547" t="str">
            <v>INGREDIENTS</v>
          </cell>
          <cell r="J1547" t="str">
            <v>TATIANA NITTA</v>
          </cell>
          <cell r="K1547" t="str">
            <v>LACTALIS</v>
          </cell>
          <cell r="L1547" t="str">
            <v>MAURICIO</v>
          </cell>
          <cell r="M1547" t="str">
            <v>TATIANA NITTA</v>
          </cell>
        </row>
        <row r="1548">
          <cell r="B1548">
            <v>5108984</v>
          </cell>
          <cell r="C1548" t="str">
            <v>IRMAOS BENASSI PROD E DIST DE F</v>
          </cell>
          <cell r="D1548">
            <v>6001</v>
          </cell>
          <cell r="E1548" t="str">
            <v>6169</v>
          </cell>
          <cell r="F1548" t="str">
            <v>C1</v>
          </cell>
          <cell r="G1548" t="str">
            <v>RJ</v>
          </cell>
          <cell r="H1548" t="str">
            <v>DISTRIBUIÇÃO</v>
          </cell>
          <cell r="I1548" t="str">
            <v>FOOD SERVICE</v>
          </cell>
          <cell r="J1548" t="str">
            <v>LUCIANA MARTINS</v>
          </cell>
          <cell r="K1548" t="str">
            <v>ITAMBÉ</v>
          </cell>
          <cell r="L1548" t="str">
            <v>RODRIGO</v>
          </cell>
          <cell r="M1548" t="str">
            <v>JESSICA</v>
          </cell>
        </row>
        <row r="1549">
          <cell r="B1549">
            <v>5110498</v>
          </cell>
          <cell r="C1549" t="str">
            <v>ZANEPAN COM ATAC DE GENEROS ALIM EI</v>
          </cell>
          <cell r="D1549">
            <v>6001</v>
          </cell>
          <cell r="E1549" t="str">
            <v>6169</v>
          </cell>
          <cell r="F1549" t="str">
            <v>C1</v>
          </cell>
          <cell r="G1549" t="str">
            <v>ES</v>
          </cell>
          <cell r="H1549" t="str">
            <v>DISTRIBUIÇÃO</v>
          </cell>
          <cell r="I1549" t="str">
            <v>FOOD SERVICE</v>
          </cell>
          <cell r="J1549" t="str">
            <v>MARCELO DUARTE</v>
          </cell>
          <cell r="K1549" t="str">
            <v>ITAMBÉ</v>
          </cell>
          <cell r="L1549" t="str">
            <v>RODRIGO</v>
          </cell>
          <cell r="M1549" t="str">
            <v>JESSICA</v>
          </cell>
        </row>
        <row r="1550">
          <cell r="B1550">
            <v>5114515</v>
          </cell>
          <cell r="C1550" t="str">
            <v>NOSSOS SABORES IND E COM DE ALIM EI</v>
          </cell>
          <cell r="D1550">
            <v>6001</v>
          </cell>
          <cell r="E1550" t="str">
            <v>6169</v>
          </cell>
          <cell r="F1550" t="str">
            <v>C1</v>
          </cell>
          <cell r="G1550" t="str">
            <v>RJ</v>
          </cell>
          <cell r="H1550" t="str">
            <v>INGREDIENTS</v>
          </cell>
          <cell r="I1550" t="str">
            <v>INGREDIENTS</v>
          </cell>
          <cell r="J1550" t="str">
            <v>TATIANA NITTA</v>
          </cell>
          <cell r="K1550" t="str">
            <v>ITAMBÉ</v>
          </cell>
          <cell r="L1550" t="str">
            <v>MAURICIO</v>
          </cell>
          <cell r="M1550" t="str">
            <v>TATIANA NITTA</v>
          </cell>
        </row>
        <row r="1551">
          <cell r="B1551">
            <v>5114882</v>
          </cell>
          <cell r="C1551" t="str">
            <v>SORVEDOCES IND E COM DE PROD ALIM L</v>
          </cell>
          <cell r="D1551">
            <v>6001</v>
          </cell>
          <cell r="E1551" t="str">
            <v>6169</v>
          </cell>
          <cell r="F1551" t="str">
            <v>C1</v>
          </cell>
          <cell r="G1551" t="str">
            <v>ES</v>
          </cell>
          <cell r="H1551" t="str">
            <v>DISTRIBUIÇÃO</v>
          </cell>
          <cell r="I1551" t="str">
            <v>FOOD SERVICE</v>
          </cell>
          <cell r="J1551" t="str">
            <v>MARCELO DUARTE</v>
          </cell>
          <cell r="K1551" t="str">
            <v>ITAMBÉ</v>
          </cell>
          <cell r="L1551" t="str">
            <v>RODRIGO</v>
          </cell>
          <cell r="M1551" t="str">
            <v>JESSICA</v>
          </cell>
        </row>
        <row r="1552">
          <cell r="B1552">
            <v>5115019</v>
          </cell>
          <cell r="C1552" t="str">
            <v>J ARAUJO DISTRIBUIDORA IMP E EXP SA</v>
          </cell>
          <cell r="D1552">
            <v>6001</v>
          </cell>
          <cell r="E1552" t="str">
            <v>6169</v>
          </cell>
          <cell r="F1552" t="str">
            <v>C1</v>
          </cell>
          <cell r="G1552" t="str">
            <v>RJ</v>
          </cell>
          <cell r="H1552" t="str">
            <v>DISTRIBUIÇÃO</v>
          </cell>
          <cell r="I1552" t="str">
            <v>FOOD SERVICE</v>
          </cell>
          <cell r="J1552" t="str">
            <v>JESSICA CARLA</v>
          </cell>
          <cell r="K1552" t="str">
            <v>ITAMBÉ</v>
          </cell>
          <cell r="L1552" t="str">
            <v>RODRIGO</v>
          </cell>
          <cell r="M1552" t="str">
            <v>JESSICA</v>
          </cell>
        </row>
        <row r="1553">
          <cell r="B1553">
            <v>5118346</v>
          </cell>
          <cell r="C1553" t="str">
            <v>CONFESPAN COMERCIO E DISTRIBUICAO L</v>
          </cell>
          <cell r="D1553">
            <v>7001</v>
          </cell>
          <cell r="E1553" t="str">
            <v>0722</v>
          </cell>
          <cell r="F1553" t="str">
            <v>C1</v>
          </cell>
          <cell r="G1553" t="str">
            <v>SP</v>
          </cell>
          <cell r="H1553" t="str">
            <v>DISTRIBUIÇÃO</v>
          </cell>
          <cell r="I1553" t="str">
            <v>FOOD SERVICE</v>
          </cell>
          <cell r="J1553" t="str">
            <v>GUILHERME NASCIMENTO</v>
          </cell>
          <cell r="K1553" t="str">
            <v>LACTALIS</v>
          </cell>
          <cell r="L1553" t="str">
            <v>RODRIGO</v>
          </cell>
          <cell r="M1553" t="str">
            <v>ALEXANDRO</v>
          </cell>
        </row>
        <row r="1554">
          <cell r="B1554">
            <v>5122245</v>
          </cell>
          <cell r="C1554" t="str">
            <v>NOVAMIX FOOD SERVICE COM DE ALIM LT</v>
          </cell>
          <cell r="D1554">
            <v>6001</v>
          </cell>
          <cell r="E1554" t="str">
            <v>6169</v>
          </cell>
          <cell r="F1554" t="str">
            <v>C1</v>
          </cell>
          <cell r="G1554" t="str">
            <v>RJ</v>
          </cell>
          <cell r="H1554" t="str">
            <v>DISTRIBUIÇÃO</v>
          </cell>
          <cell r="I1554" t="str">
            <v>FOOD SERVICE</v>
          </cell>
          <cell r="J1554" t="str">
            <v>JULIANA CORDEIRO</v>
          </cell>
          <cell r="K1554" t="str">
            <v>ITAMBÉ</v>
          </cell>
          <cell r="L1554" t="str">
            <v>RODRIGO</v>
          </cell>
          <cell r="M1554" t="str">
            <v>JESSICA</v>
          </cell>
        </row>
        <row r="1555">
          <cell r="B1555">
            <v>5133641</v>
          </cell>
          <cell r="C1555" t="str">
            <v>FESTA MIX COMERCIO LTDA</v>
          </cell>
          <cell r="D1555">
            <v>6001</v>
          </cell>
          <cell r="E1555" t="str">
            <v>6169</v>
          </cell>
          <cell r="F1555" t="str">
            <v>C1</v>
          </cell>
          <cell r="G1555" t="str">
            <v>ES</v>
          </cell>
          <cell r="H1555" t="str">
            <v>DISTRIBUIÇÃO</v>
          </cell>
          <cell r="I1555" t="str">
            <v>FOOD SERVICE</v>
          </cell>
          <cell r="J1555" t="str">
            <v>MARCELO DUARTE</v>
          </cell>
          <cell r="K1555" t="str">
            <v>ITAMBÉ</v>
          </cell>
          <cell r="L1555" t="str">
            <v>RODRIGO</v>
          </cell>
          <cell r="M1555" t="str">
            <v>JESSICA</v>
          </cell>
        </row>
        <row r="1556">
          <cell r="B1556">
            <v>5134556</v>
          </cell>
          <cell r="C1556" t="str">
            <v>S P PRODUTOS LTDA</v>
          </cell>
          <cell r="D1556">
            <v>6001</v>
          </cell>
          <cell r="E1556" t="str">
            <v>6169</v>
          </cell>
          <cell r="F1556" t="str">
            <v>C1</v>
          </cell>
          <cell r="G1556" t="str">
            <v>ES</v>
          </cell>
          <cell r="H1556" t="str">
            <v>DISTRIBUIÇÃO</v>
          </cell>
          <cell r="I1556" t="str">
            <v>FOOD SERVICE</v>
          </cell>
          <cell r="J1556" t="str">
            <v>MARCELO DUARTE</v>
          </cell>
          <cell r="K1556" t="str">
            <v>ITAMBÉ</v>
          </cell>
          <cell r="L1556" t="str">
            <v>RODRIGO</v>
          </cell>
          <cell r="M1556" t="str">
            <v>JESSICA</v>
          </cell>
        </row>
        <row r="1557">
          <cell r="B1557">
            <v>5141759</v>
          </cell>
          <cell r="C1557" t="str">
            <v>V C F BOM DOCE LTDA</v>
          </cell>
          <cell r="D1557">
            <v>6001</v>
          </cell>
          <cell r="E1557" t="str">
            <v>6169</v>
          </cell>
          <cell r="F1557" t="str">
            <v>C1</v>
          </cell>
          <cell r="G1557" t="str">
            <v>ES</v>
          </cell>
          <cell r="H1557" t="str">
            <v>DISTRIBUIÇÃO</v>
          </cell>
          <cell r="I1557" t="str">
            <v>FOOD SERVICE</v>
          </cell>
          <cell r="J1557" t="str">
            <v>MARCELO DUARTE</v>
          </cell>
          <cell r="K1557" t="str">
            <v>ITAMBÉ</v>
          </cell>
          <cell r="L1557" t="str">
            <v>RODRIGO</v>
          </cell>
          <cell r="M1557" t="str">
            <v>JESSICA</v>
          </cell>
        </row>
        <row r="1558">
          <cell r="B1558">
            <v>5147462</v>
          </cell>
          <cell r="C1558" t="str">
            <v>NOVAMIX FOOD SERV COM DE ALIM LTDA</v>
          </cell>
          <cell r="D1558">
            <v>6001</v>
          </cell>
          <cell r="E1558" t="str">
            <v>6169</v>
          </cell>
          <cell r="F1558" t="str">
            <v>C1</v>
          </cell>
          <cell r="G1558" t="str">
            <v>RJ</v>
          </cell>
          <cell r="H1558" t="str">
            <v>DISTRIBUIÇÃO</v>
          </cell>
          <cell r="I1558" t="str">
            <v>FOOD SERVICE</v>
          </cell>
          <cell r="J1558" t="str">
            <v>JULIANA CORDEIRO</v>
          </cell>
          <cell r="K1558" t="str">
            <v>ITAMBÉ</v>
          </cell>
          <cell r="L1558" t="str">
            <v>RODRIGO</v>
          </cell>
          <cell r="M1558" t="str">
            <v>JESSICA</v>
          </cell>
        </row>
        <row r="1559">
          <cell r="B1559">
            <v>5147526</v>
          </cell>
          <cell r="C1559" t="str">
            <v>SAPORE SA</v>
          </cell>
          <cell r="D1559">
            <v>7001</v>
          </cell>
          <cell r="E1559" t="str">
            <v>0739</v>
          </cell>
          <cell r="F1559" t="str">
            <v>C1</v>
          </cell>
          <cell r="G1559" t="str">
            <v>RJ</v>
          </cell>
          <cell r="H1559" t="str">
            <v>QSR</v>
          </cell>
          <cell r="I1559" t="str">
            <v>FOOD SERVICE</v>
          </cell>
          <cell r="J1559" t="str">
            <v>NUTRI</v>
          </cell>
          <cell r="K1559" t="str">
            <v>LACTALIS</v>
          </cell>
          <cell r="L1559" t="str">
            <v>PEDRO</v>
          </cell>
          <cell r="M1559" t="str">
            <v>AMANDA</v>
          </cell>
        </row>
        <row r="1560">
          <cell r="B1560">
            <v>5161386</v>
          </cell>
          <cell r="C1560" t="str">
            <v>TOP ALTO PARTICIPACOES E COM LTDA</v>
          </cell>
          <cell r="D1560">
            <v>6001</v>
          </cell>
          <cell r="E1560" t="str">
            <v>6169</v>
          </cell>
          <cell r="F1560" t="str">
            <v>C1</v>
          </cell>
          <cell r="G1560" t="str">
            <v>RJ</v>
          </cell>
          <cell r="H1560" t="str">
            <v>DISTRIBUIÇÃO</v>
          </cell>
          <cell r="I1560" t="str">
            <v>FOOD SERVICE</v>
          </cell>
          <cell r="J1560" t="str">
            <v>JESSICA CARLA</v>
          </cell>
          <cell r="K1560" t="str">
            <v>ITAMBÉ</v>
          </cell>
          <cell r="L1560" t="str">
            <v>RODRIGO</v>
          </cell>
          <cell r="M1560" t="str">
            <v>JESSICA</v>
          </cell>
        </row>
        <row r="1561">
          <cell r="B1561">
            <v>5161504</v>
          </cell>
          <cell r="C1561" t="str">
            <v>BOX 34 COMERCIO DE PROD ALIMENT LTDA EPP</v>
          </cell>
          <cell r="D1561">
            <v>6001</v>
          </cell>
          <cell r="E1561" t="str">
            <v>6169</v>
          </cell>
          <cell r="F1561" t="str">
            <v>C1</v>
          </cell>
          <cell r="G1561" t="str">
            <v>RJ</v>
          </cell>
          <cell r="H1561" t="str">
            <v>DISTRIBUIÇÃO</v>
          </cell>
          <cell r="I1561" t="str">
            <v>FOOD SERVICE</v>
          </cell>
          <cell r="J1561" t="str">
            <v>JULIANA CORDEIRO</v>
          </cell>
          <cell r="K1561" t="str">
            <v>ITAMBÉ</v>
          </cell>
          <cell r="L1561" t="str">
            <v>RODRIGO</v>
          </cell>
          <cell r="M1561" t="str">
            <v>JESSICA</v>
          </cell>
        </row>
        <row r="1562">
          <cell r="B1562">
            <v>5161612</v>
          </cell>
          <cell r="C1562" t="str">
            <v>ESTANPLAZA ADMI HOTELEIRA E COML LT</v>
          </cell>
          <cell r="D1562">
            <v>7001</v>
          </cell>
          <cell r="E1562" t="str">
            <v>0722</v>
          </cell>
          <cell r="F1562" t="str">
            <v>C1</v>
          </cell>
          <cell r="G1562" t="str">
            <v>SP</v>
          </cell>
          <cell r="H1562" t="str">
            <v>QSR</v>
          </cell>
          <cell r="I1562" t="str">
            <v>FOOD SERVICE</v>
          </cell>
          <cell r="J1562" t="str">
            <v>NUTRI</v>
          </cell>
          <cell r="K1562" t="str">
            <v>LACTALIS</v>
          </cell>
          <cell r="L1562" t="str">
            <v>PEDRO</v>
          </cell>
          <cell r="M1562" t="str">
            <v>AMANDA</v>
          </cell>
        </row>
        <row r="1563">
          <cell r="B1563">
            <v>5161651</v>
          </cell>
          <cell r="C1563" t="str">
            <v>ESTANPLAZA ADM HOTELEIRA E COML LTD</v>
          </cell>
          <cell r="D1563">
            <v>7001</v>
          </cell>
          <cell r="E1563" t="str">
            <v>0722</v>
          </cell>
          <cell r="F1563" t="str">
            <v>C1</v>
          </cell>
          <cell r="G1563" t="str">
            <v>SP</v>
          </cell>
          <cell r="H1563" t="str">
            <v>QSR</v>
          </cell>
          <cell r="I1563" t="str">
            <v>FOOD SERVICE</v>
          </cell>
          <cell r="J1563" t="str">
            <v>NUTRI</v>
          </cell>
          <cell r="K1563" t="str">
            <v>LACTALIS</v>
          </cell>
          <cell r="L1563" t="str">
            <v>PEDRO</v>
          </cell>
          <cell r="M1563" t="str">
            <v>AMANDA</v>
          </cell>
        </row>
        <row r="1564">
          <cell r="B1564">
            <v>5161653</v>
          </cell>
          <cell r="C1564" t="str">
            <v>ESTANPLAZA ADM HOTELEIRA E COML LTD</v>
          </cell>
          <cell r="D1564">
            <v>7001</v>
          </cell>
          <cell r="E1564" t="str">
            <v>0722</v>
          </cell>
          <cell r="F1564" t="str">
            <v>C1</v>
          </cell>
          <cell r="G1564" t="str">
            <v>SP</v>
          </cell>
          <cell r="H1564" t="str">
            <v>QSR</v>
          </cell>
          <cell r="I1564" t="str">
            <v>FOOD SERVICE</v>
          </cell>
          <cell r="J1564" t="str">
            <v>NUTRI</v>
          </cell>
          <cell r="K1564" t="str">
            <v>LACTALIS</v>
          </cell>
          <cell r="L1564" t="str">
            <v>PEDRO</v>
          </cell>
          <cell r="M1564" t="str">
            <v>AMANDA</v>
          </cell>
        </row>
        <row r="1565">
          <cell r="B1565">
            <v>5161660</v>
          </cell>
          <cell r="C1565" t="str">
            <v>ESTANPLAZA ADM HOTELEIRA E COM</v>
          </cell>
          <cell r="D1565">
            <v>7001</v>
          </cell>
          <cell r="E1565" t="str">
            <v>0722</v>
          </cell>
          <cell r="F1565" t="str">
            <v>C1</v>
          </cell>
          <cell r="G1565" t="str">
            <v>SP</v>
          </cell>
          <cell r="H1565" t="str">
            <v>DISTRIBUIÇÃO</v>
          </cell>
          <cell r="I1565" t="str">
            <v>FOOD SERVICE</v>
          </cell>
          <cell r="J1565" t="str">
            <v>GUILHERME NASCIMENTO</v>
          </cell>
          <cell r="K1565" t="str">
            <v>LACTALIS</v>
          </cell>
          <cell r="L1565" t="str">
            <v>RODRIGO</v>
          </cell>
          <cell r="M1565" t="str">
            <v>ALEXANDRO</v>
          </cell>
        </row>
        <row r="1566">
          <cell r="B1566">
            <v>5162513</v>
          </cell>
          <cell r="C1566" t="str">
            <v>EG MARTINS COM REPRESENTACOES ALIM</v>
          </cell>
          <cell r="D1566">
            <v>6001</v>
          </cell>
          <cell r="E1566" t="str">
            <v>6169</v>
          </cell>
          <cell r="F1566" t="str">
            <v>C1</v>
          </cell>
          <cell r="G1566" t="str">
            <v>RJ</v>
          </cell>
          <cell r="H1566" t="str">
            <v>INGREDIENTS</v>
          </cell>
          <cell r="I1566" t="str">
            <v>INGREDIENTS</v>
          </cell>
          <cell r="J1566" t="str">
            <v>HENRIQUE FERREIRA</v>
          </cell>
          <cell r="K1566" t="str">
            <v>ITAMBÉ</v>
          </cell>
          <cell r="L1566" t="str">
            <v>MAURICIO</v>
          </cell>
          <cell r="M1566" t="str">
            <v>JOEL</v>
          </cell>
        </row>
        <row r="1567">
          <cell r="B1567">
            <v>5165046</v>
          </cell>
          <cell r="C1567" t="str">
            <v>SLOOP IND COM DE ALIM LTDA</v>
          </cell>
          <cell r="D1567">
            <v>6001</v>
          </cell>
          <cell r="E1567" t="str">
            <v>6169</v>
          </cell>
          <cell r="F1567" t="str">
            <v>C1</v>
          </cell>
          <cell r="G1567" t="str">
            <v>RJ</v>
          </cell>
          <cell r="H1567" t="str">
            <v>INGREDIENTS</v>
          </cell>
          <cell r="I1567" t="str">
            <v>INGREDIENTS</v>
          </cell>
          <cell r="J1567" t="str">
            <v>HENRIQUE FERREIRA</v>
          </cell>
          <cell r="K1567" t="str">
            <v>ITAMBÉ</v>
          </cell>
          <cell r="L1567" t="str">
            <v>MAURICIO</v>
          </cell>
          <cell r="M1567" t="str">
            <v>JOEL</v>
          </cell>
        </row>
        <row r="1568">
          <cell r="B1568">
            <v>5166159</v>
          </cell>
          <cell r="C1568" t="str">
            <v>JME RAUTA COM DIST LTDA</v>
          </cell>
          <cell r="D1568">
            <v>6001</v>
          </cell>
          <cell r="E1568" t="str">
            <v>6169</v>
          </cell>
          <cell r="F1568" t="str">
            <v>C1</v>
          </cell>
          <cell r="G1568" t="str">
            <v>RJ</v>
          </cell>
          <cell r="H1568" t="str">
            <v>DISTRIBUIÇÃO</v>
          </cell>
          <cell r="I1568" t="str">
            <v>FOOD SERVICE</v>
          </cell>
          <cell r="J1568" t="str">
            <v>LUCIANA MARTINS</v>
          </cell>
          <cell r="K1568" t="str">
            <v>ITAMBÉ</v>
          </cell>
          <cell r="L1568" t="str">
            <v>RODRIGO</v>
          </cell>
          <cell r="M1568" t="str">
            <v>JESSICA</v>
          </cell>
        </row>
        <row r="1569">
          <cell r="B1569">
            <v>5168173</v>
          </cell>
          <cell r="C1569" t="str">
            <v>CARNIELLI DISTRIBUIDORA EIRELI EPP</v>
          </cell>
          <cell r="D1569">
            <v>6001</v>
          </cell>
          <cell r="E1569" t="str">
            <v>6169</v>
          </cell>
          <cell r="F1569" t="str">
            <v>C1</v>
          </cell>
          <cell r="G1569" t="str">
            <v>ES</v>
          </cell>
          <cell r="H1569" t="str">
            <v>DISTRIBUIÇÃO</v>
          </cell>
          <cell r="I1569" t="str">
            <v>FOOD SERVICE</v>
          </cell>
          <cell r="J1569" t="str">
            <v>MARCELO DUARTE</v>
          </cell>
          <cell r="K1569" t="str">
            <v>ITAMBÉ</v>
          </cell>
          <cell r="L1569" t="str">
            <v>RODRIGO</v>
          </cell>
          <cell r="M1569" t="str">
            <v>JESSICA</v>
          </cell>
        </row>
        <row r="1570">
          <cell r="B1570">
            <v>5174117</v>
          </cell>
          <cell r="C1570" t="str">
            <v>MASSIMA ALIMENTACAO SA</v>
          </cell>
          <cell r="D1570">
            <v>7001</v>
          </cell>
          <cell r="E1570" t="str">
            <v>0739</v>
          </cell>
          <cell r="F1570" t="str">
            <v>C1</v>
          </cell>
          <cell r="G1570" t="str">
            <v>RJ</v>
          </cell>
          <cell r="H1570" t="str">
            <v>QSR</v>
          </cell>
          <cell r="I1570" t="str">
            <v>FOOD SERVICE</v>
          </cell>
          <cell r="J1570" t="str">
            <v>NUTRI</v>
          </cell>
          <cell r="K1570" t="str">
            <v>LACTALIS</v>
          </cell>
          <cell r="L1570" t="str">
            <v>PEDRO</v>
          </cell>
          <cell r="M1570" t="str">
            <v>AMANDA</v>
          </cell>
        </row>
        <row r="1571">
          <cell r="B1571">
            <v>5174259</v>
          </cell>
          <cell r="C1571" t="str">
            <v>MIX TUDO COMERCIO E SERVICOS EI</v>
          </cell>
          <cell r="D1571">
            <v>6001</v>
          </cell>
          <cell r="E1571" t="str">
            <v>6169</v>
          </cell>
          <cell r="F1571" t="str">
            <v>C1</v>
          </cell>
          <cell r="G1571" t="str">
            <v>ES</v>
          </cell>
          <cell r="H1571" t="str">
            <v>DISTRIBUIÇÃO</v>
          </cell>
          <cell r="I1571" t="str">
            <v>FOOD SERVICE</v>
          </cell>
          <cell r="J1571" t="str">
            <v>MARCELO DUARTE</v>
          </cell>
          <cell r="K1571" t="str">
            <v>ITAMBÉ</v>
          </cell>
          <cell r="L1571" t="str">
            <v>RODRIGO</v>
          </cell>
          <cell r="M1571" t="str">
            <v>JESSICA</v>
          </cell>
        </row>
        <row r="1572">
          <cell r="B1572">
            <v>5174861</v>
          </cell>
          <cell r="C1572" t="str">
            <v>SORVETERIA DRAGAO NEGRO LTDA</v>
          </cell>
          <cell r="D1572">
            <v>6001</v>
          </cell>
          <cell r="E1572" t="str">
            <v>6169</v>
          </cell>
          <cell r="F1572" t="str">
            <v>C1</v>
          </cell>
          <cell r="G1572" t="str">
            <v>RJ</v>
          </cell>
          <cell r="H1572" t="str">
            <v>DISTRIBUIÇÃO</v>
          </cell>
          <cell r="I1572" t="str">
            <v>FOOD SERVICE</v>
          </cell>
          <cell r="J1572" t="str">
            <v>JULIANA CORDEIRO</v>
          </cell>
          <cell r="K1572" t="str">
            <v>ITAMBÉ</v>
          </cell>
          <cell r="L1572" t="str">
            <v>RODRIGO</v>
          </cell>
          <cell r="M1572" t="str">
            <v>JESSICA</v>
          </cell>
        </row>
        <row r="1573">
          <cell r="B1573">
            <v>5175205</v>
          </cell>
          <cell r="C1573" t="str">
            <v>CANELA VERDE DIST E TRANSP LTDA ME</v>
          </cell>
          <cell r="D1573">
            <v>6001</v>
          </cell>
          <cell r="E1573" t="str">
            <v>6169</v>
          </cell>
          <cell r="F1573" t="str">
            <v>C1</v>
          </cell>
          <cell r="G1573" t="str">
            <v>ES</v>
          </cell>
          <cell r="H1573" t="str">
            <v>DISTRIBUIÇÃO</v>
          </cell>
          <cell r="I1573" t="str">
            <v>FOOD SERVICE</v>
          </cell>
          <cell r="J1573" t="str">
            <v>MARCELO DUARTE</v>
          </cell>
          <cell r="K1573" t="str">
            <v>ITAMBÉ</v>
          </cell>
          <cell r="L1573" t="str">
            <v>RODRIGO</v>
          </cell>
          <cell r="M1573" t="str">
            <v>JESSICA</v>
          </cell>
        </row>
        <row r="1574">
          <cell r="B1574">
            <v>5175227</v>
          </cell>
          <cell r="C1574" t="str">
            <v>MASSIMA SOLUCOES EM ALIMENTACAO</v>
          </cell>
          <cell r="D1574">
            <v>7001</v>
          </cell>
          <cell r="E1574" t="str">
            <v>0722</v>
          </cell>
          <cell r="F1574" t="str">
            <v>C1</v>
          </cell>
          <cell r="G1574" t="str">
            <v>SP</v>
          </cell>
          <cell r="H1574" t="str">
            <v>QSR</v>
          </cell>
          <cell r="I1574" t="str">
            <v>FOOD SERVICE</v>
          </cell>
          <cell r="J1574" t="str">
            <v>NUTRI</v>
          </cell>
          <cell r="K1574" t="str">
            <v>LACTALIS</v>
          </cell>
          <cell r="L1574" t="str">
            <v>PEDRO</v>
          </cell>
          <cell r="M1574" t="str">
            <v>AMANDA</v>
          </cell>
        </row>
        <row r="1575">
          <cell r="B1575">
            <v>5178518</v>
          </cell>
          <cell r="C1575" t="str">
            <v>NECHIO COMERCIO DISTRIB DE ALIMENT</v>
          </cell>
          <cell r="D1575">
            <v>6001</v>
          </cell>
          <cell r="E1575" t="str">
            <v>6169</v>
          </cell>
          <cell r="F1575" t="str">
            <v>C1</v>
          </cell>
          <cell r="G1575" t="str">
            <v>RJ</v>
          </cell>
          <cell r="H1575" t="str">
            <v>DISTRIBUIÇÃO</v>
          </cell>
          <cell r="I1575" t="str">
            <v>FOOD SERVICE</v>
          </cell>
          <cell r="J1575" t="str">
            <v>LUCIANA MARTINS</v>
          </cell>
          <cell r="K1575" t="str">
            <v>ITAMBÉ</v>
          </cell>
          <cell r="L1575" t="str">
            <v>RODRIGO</v>
          </cell>
          <cell r="M1575" t="str">
            <v>JESSICA</v>
          </cell>
        </row>
        <row r="1576">
          <cell r="B1576">
            <v>5181104</v>
          </cell>
          <cell r="C1576" t="str">
            <v>MIX TUDO COM ALIMENTOS E SERVICOS L</v>
          </cell>
          <cell r="D1576">
            <v>6001</v>
          </cell>
          <cell r="E1576" t="str">
            <v>6169</v>
          </cell>
          <cell r="F1576" t="str">
            <v>C1</v>
          </cell>
          <cell r="G1576" t="str">
            <v>ES</v>
          </cell>
          <cell r="H1576" t="str">
            <v>DISTRIBUIÇÃO</v>
          </cell>
          <cell r="I1576" t="str">
            <v>FOOD SERVICE</v>
          </cell>
          <cell r="J1576" t="str">
            <v>MARCELO DUARTE</v>
          </cell>
          <cell r="K1576" t="str">
            <v>ITAMBÉ</v>
          </cell>
          <cell r="L1576" t="str">
            <v>RODRIGO</v>
          </cell>
          <cell r="M1576" t="str">
            <v>JESSICA</v>
          </cell>
        </row>
        <row r="1577">
          <cell r="B1577">
            <v>5181208</v>
          </cell>
          <cell r="C1577" t="str">
            <v>PILLAR DISTRIB DE ALIMENTOS EIRELI</v>
          </cell>
          <cell r="D1577">
            <v>6001</v>
          </cell>
          <cell r="E1577" t="str">
            <v>6169</v>
          </cell>
          <cell r="F1577" t="str">
            <v>C1</v>
          </cell>
          <cell r="G1577" t="str">
            <v>ES</v>
          </cell>
          <cell r="H1577" t="str">
            <v>DISTRIBUIÇÃO</v>
          </cell>
          <cell r="I1577" t="str">
            <v>FOOD SERVICE</v>
          </cell>
          <cell r="J1577" t="str">
            <v>MARCELO DUARTE</v>
          </cell>
          <cell r="K1577" t="str">
            <v>ITAMBÉ</v>
          </cell>
          <cell r="L1577" t="str">
            <v>RODRIGO</v>
          </cell>
          <cell r="M1577" t="str">
            <v>JESSICA</v>
          </cell>
        </row>
        <row r="1578">
          <cell r="B1578">
            <v>5182195</v>
          </cell>
          <cell r="C1578" t="str">
            <v>VR BUZIM COMERCIO PROD ALIMENTICIOS</v>
          </cell>
          <cell r="D1578">
            <v>6001</v>
          </cell>
          <cell r="E1578" t="str">
            <v>6169</v>
          </cell>
          <cell r="F1578" t="str">
            <v>C1</v>
          </cell>
          <cell r="G1578" t="str">
            <v>ES</v>
          </cell>
          <cell r="H1578" t="str">
            <v>DISTRIBUIÇÃO</v>
          </cell>
          <cell r="I1578" t="str">
            <v>FOOD SERVICE</v>
          </cell>
          <cell r="J1578" t="str">
            <v>MARCELO DUARTE</v>
          </cell>
          <cell r="K1578" t="str">
            <v>ITAMBÉ</v>
          </cell>
          <cell r="L1578" t="str">
            <v>RODRIGO</v>
          </cell>
          <cell r="M1578" t="str">
            <v>JESSICA</v>
          </cell>
        </row>
        <row r="1579">
          <cell r="B1579">
            <v>5182435</v>
          </cell>
          <cell r="C1579" t="str">
            <v>NOVAMIX FOOD SERVICE COM DE ALIM LT</v>
          </cell>
          <cell r="D1579">
            <v>6001</v>
          </cell>
          <cell r="E1579" t="str">
            <v>6169</v>
          </cell>
          <cell r="F1579" t="str">
            <v>C1</v>
          </cell>
          <cell r="G1579" t="str">
            <v>RJ</v>
          </cell>
          <cell r="H1579" t="str">
            <v>DISTRIBUIÇÃO</v>
          </cell>
          <cell r="I1579" t="str">
            <v>FOOD SERVICE</v>
          </cell>
          <cell r="J1579" t="str">
            <v>JULIANA CORDEIRO</v>
          </cell>
          <cell r="K1579" t="str">
            <v>ITAMBÉ</v>
          </cell>
          <cell r="L1579" t="str">
            <v>RODRIGO</v>
          </cell>
          <cell r="M1579" t="str">
            <v>JESSICA</v>
          </cell>
        </row>
        <row r="1580">
          <cell r="B1580">
            <v>5184310</v>
          </cell>
          <cell r="C1580" t="str">
            <v>CONDOMINIO VILLA JARDINS</v>
          </cell>
          <cell r="D1580">
            <v>7001</v>
          </cell>
          <cell r="E1580" t="str">
            <v>0722</v>
          </cell>
          <cell r="F1580" t="str">
            <v>C1</v>
          </cell>
          <cell r="G1580" t="str">
            <v>SP</v>
          </cell>
          <cell r="H1580" t="str">
            <v>QSR</v>
          </cell>
          <cell r="I1580" t="str">
            <v>FOOD SERVICE</v>
          </cell>
          <cell r="J1580" t="str">
            <v>NUTRI</v>
          </cell>
          <cell r="K1580" t="str">
            <v>LACTALIS</v>
          </cell>
          <cell r="L1580" t="str">
            <v>PEDRO</v>
          </cell>
          <cell r="M1580" t="str">
            <v>AMANDA</v>
          </cell>
        </row>
        <row r="1581">
          <cell r="B1581">
            <v>5186815</v>
          </cell>
          <cell r="C1581" t="str">
            <v>PILLAR DOCES E EMBALAGENS LTDA</v>
          </cell>
          <cell r="D1581">
            <v>6001</v>
          </cell>
          <cell r="E1581" t="str">
            <v>6169</v>
          </cell>
          <cell r="F1581" t="str">
            <v>C1</v>
          </cell>
          <cell r="G1581" t="str">
            <v>ES</v>
          </cell>
          <cell r="H1581" t="str">
            <v>DISTRIBUIÇÃO</v>
          </cell>
          <cell r="I1581" t="str">
            <v>FOOD SERVICE</v>
          </cell>
          <cell r="J1581" t="str">
            <v>MARCELO DUARTE</v>
          </cell>
          <cell r="K1581" t="str">
            <v>ITAMBÉ</v>
          </cell>
          <cell r="L1581" t="str">
            <v>RODRIGO</v>
          </cell>
          <cell r="M1581" t="str">
            <v>JESSICA</v>
          </cell>
        </row>
        <row r="1582">
          <cell r="B1582">
            <v>5188352</v>
          </cell>
          <cell r="C1582" t="str">
            <v>MDIAS BRANCO SA IND E COM DE ALIMEN</v>
          </cell>
          <cell r="D1582">
            <v>7001</v>
          </cell>
          <cell r="E1582" t="str">
            <v>0737</v>
          </cell>
          <cell r="F1582" t="str">
            <v>C1</v>
          </cell>
          <cell r="G1582" t="str">
            <v>CE</v>
          </cell>
          <cell r="H1582" t="str">
            <v>INGREDIENTS</v>
          </cell>
          <cell r="I1582" t="str">
            <v>INGREDIENTS</v>
          </cell>
          <cell r="J1582" t="str">
            <v>JOEL ELEOTÉRIO</v>
          </cell>
          <cell r="K1582" t="str">
            <v>LACTALIS</v>
          </cell>
          <cell r="L1582" t="str">
            <v>MAURICIO</v>
          </cell>
          <cell r="M1582" t="str">
            <v>JOEL</v>
          </cell>
        </row>
        <row r="1583">
          <cell r="B1583">
            <v>5191804</v>
          </cell>
          <cell r="C1583" t="str">
            <v>BOX 81 DISTR DE PRODS ALIMENT</v>
          </cell>
          <cell r="D1583">
            <v>6001</v>
          </cell>
          <cell r="E1583" t="str">
            <v>6169</v>
          </cell>
          <cell r="F1583" t="str">
            <v>C1</v>
          </cell>
          <cell r="G1583" t="str">
            <v>RJ</v>
          </cell>
          <cell r="H1583" t="str">
            <v>DISTRIBUIÇÃO</v>
          </cell>
          <cell r="I1583" t="str">
            <v>FOOD SERVICE</v>
          </cell>
          <cell r="J1583" t="str">
            <v>JULIANA CORDEIRO</v>
          </cell>
          <cell r="K1583" t="str">
            <v>ITAMBÉ</v>
          </cell>
          <cell r="L1583" t="str">
            <v>RODRIGO</v>
          </cell>
          <cell r="M1583" t="str">
            <v>JESSICA</v>
          </cell>
        </row>
        <row r="1584">
          <cell r="B1584">
            <v>5192611</v>
          </cell>
          <cell r="C1584" t="str">
            <v>VALENTE E CASTRO DIST DE ALIMENTOS</v>
          </cell>
          <cell r="D1584">
            <v>6001</v>
          </cell>
          <cell r="E1584" t="str">
            <v>6169</v>
          </cell>
          <cell r="F1584" t="str">
            <v>C1</v>
          </cell>
          <cell r="G1584" t="str">
            <v>RJ</v>
          </cell>
          <cell r="H1584" t="str">
            <v>DISTRIBUIÇÃO</v>
          </cell>
          <cell r="I1584" t="str">
            <v>FOOD SERVICE</v>
          </cell>
          <cell r="J1584" t="str">
            <v>JULIANA CORDEIRO</v>
          </cell>
          <cell r="K1584" t="str">
            <v>ITAMBÉ</v>
          </cell>
          <cell r="L1584" t="str">
            <v>RODRIGO</v>
          </cell>
          <cell r="M1584" t="str">
            <v>JESSICA</v>
          </cell>
        </row>
        <row r="1585">
          <cell r="B1585">
            <v>5194018</v>
          </cell>
          <cell r="C1585" t="str">
            <v>GURIRI EMBALAGENS LTDA ME</v>
          </cell>
          <cell r="D1585">
            <v>6001</v>
          </cell>
          <cell r="E1585" t="str">
            <v>6169</v>
          </cell>
          <cell r="F1585" t="str">
            <v>C1</v>
          </cell>
          <cell r="G1585" t="str">
            <v>ES</v>
          </cell>
          <cell r="H1585" t="str">
            <v>DISTRIBUIÇÃO</v>
          </cell>
          <cell r="I1585" t="str">
            <v>FOOD SERVICE</v>
          </cell>
          <cell r="J1585" t="str">
            <v>MARCELO DUARTE</v>
          </cell>
          <cell r="K1585" t="str">
            <v>ITAMBÉ</v>
          </cell>
          <cell r="L1585" t="str">
            <v>RODRIGO</v>
          </cell>
          <cell r="M1585" t="str">
            <v>JESSICA</v>
          </cell>
        </row>
        <row r="1586">
          <cell r="B1586">
            <v>5194321</v>
          </cell>
          <cell r="C1586" t="str">
            <v>G PIEROTTI SHIP SUPPLIER LTDA</v>
          </cell>
          <cell r="D1586">
            <v>7001</v>
          </cell>
          <cell r="E1586" t="str">
            <v>0722</v>
          </cell>
          <cell r="F1586" t="str">
            <v>C1</v>
          </cell>
          <cell r="G1586" t="str">
            <v>SP</v>
          </cell>
          <cell r="H1586" t="str">
            <v>QSR</v>
          </cell>
          <cell r="I1586" t="str">
            <v>FOOD SERVICE</v>
          </cell>
          <cell r="J1586" t="str">
            <v>NUTRI</v>
          </cell>
          <cell r="K1586" t="str">
            <v>LACTALIS</v>
          </cell>
          <cell r="L1586" t="str">
            <v>PEDRO</v>
          </cell>
          <cell r="M1586" t="str">
            <v>AMANDA</v>
          </cell>
        </row>
        <row r="1587">
          <cell r="B1587">
            <v>5204180</v>
          </cell>
          <cell r="C1587" t="str">
            <v>E E MODOLO ME</v>
          </cell>
          <cell r="D1587">
            <v>6001</v>
          </cell>
          <cell r="E1587" t="str">
            <v>6169</v>
          </cell>
          <cell r="F1587" t="str">
            <v>C1</v>
          </cell>
          <cell r="G1587" t="str">
            <v>ES</v>
          </cell>
          <cell r="H1587" t="str">
            <v>DISTRIBUIÇÃO</v>
          </cell>
          <cell r="I1587" t="str">
            <v>FOOD SERVICE</v>
          </cell>
          <cell r="J1587" t="str">
            <v>MARCELO DUARTE</v>
          </cell>
          <cell r="K1587" t="str">
            <v>ITAMBÉ</v>
          </cell>
          <cell r="L1587" t="str">
            <v>RODRIGO</v>
          </cell>
          <cell r="M1587" t="str">
            <v>JESSICA</v>
          </cell>
        </row>
        <row r="1588">
          <cell r="B1588">
            <v>5206830</v>
          </cell>
          <cell r="C1588" t="str">
            <v>IND E COM DE SORVETES FRUTAMIX LTDA</v>
          </cell>
          <cell r="D1588">
            <v>4001</v>
          </cell>
          <cell r="E1588" t="str">
            <v>0458</v>
          </cell>
          <cell r="F1588" t="str">
            <v>C1</v>
          </cell>
          <cell r="G1588" t="str">
            <v>MG</v>
          </cell>
          <cell r="H1588" t="str">
            <v>INGREDIENTS</v>
          </cell>
          <cell r="I1588" t="str">
            <v>INGREDIENTS</v>
          </cell>
          <cell r="J1588" t="str">
            <v>HENRIQUE FERREIRA</v>
          </cell>
          <cell r="K1588" t="str">
            <v>LACTALIS</v>
          </cell>
          <cell r="L1588" t="str">
            <v>MAURICIO</v>
          </cell>
          <cell r="M1588" t="str">
            <v>JOEL</v>
          </cell>
        </row>
        <row r="1589">
          <cell r="B1589">
            <v>5207394</v>
          </cell>
          <cell r="C1589" t="str">
            <v>NEWREST BRASIL S A AO T AEREO LTDA</v>
          </cell>
          <cell r="D1589">
            <v>6001</v>
          </cell>
          <cell r="E1589" t="str">
            <v>6169</v>
          </cell>
          <cell r="F1589" t="str">
            <v>C1</v>
          </cell>
          <cell r="G1589" t="str">
            <v>RJ</v>
          </cell>
          <cell r="H1589" t="str">
            <v>QSR</v>
          </cell>
          <cell r="I1589" t="str">
            <v>FOOD SERVICE</v>
          </cell>
          <cell r="J1589" t="str">
            <v>ANA MENIQUETE</v>
          </cell>
          <cell r="K1589" t="str">
            <v>ITAMBÉ</v>
          </cell>
          <cell r="L1589" t="str">
            <v>PEDRO</v>
          </cell>
          <cell r="M1589" t="str">
            <v>ANA MENIQUETE</v>
          </cell>
        </row>
        <row r="1590">
          <cell r="B1590">
            <v>5211484</v>
          </cell>
          <cell r="C1590" t="str">
            <v>NMX COMERCIAL DE ALIMENTOS LTDA</v>
          </cell>
          <cell r="D1590">
            <v>6001</v>
          </cell>
          <cell r="E1590" t="str">
            <v>6169</v>
          </cell>
          <cell r="F1590" t="str">
            <v>C1</v>
          </cell>
          <cell r="G1590" t="str">
            <v>RJ</v>
          </cell>
          <cell r="H1590" t="str">
            <v>INGREDIENTS</v>
          </cell>
          <cell r="I1590" t="str">
            <v>INGREDIENTS</v>
          </cell>
          <cell r="J1590" t="str">
            <v>JOEL ELEOTÉRIO</v>
          </cell>
          <cell r="K1590" t="str">
            <v>ITAMBÉ</v>
          </cell>
          <cell r="L1590" t="str">
            <v>MAURICIO</v>
          </cell>
          <cell r="M1590" t="str">
            <v>JOEL</v>
          </cell>
        </row>
        <row r="1591">
          <cell r="B1591">
            <v>5213905</v>
          </cell>
          <cell r="C1591" t="str">
            <v>COLORADO FESTAS LTDA</v>
          </cell>
          <cell r="D1591">
            <v>6001</v>
          </cell>
          <cell r="E1591" t="str">
            <v>6169</v>
          </cell>
          <cell r="F1591" t="str">
            <v>C1</v>
          </cell>
          <cell r="G1591" t="str">
            <v>ES</v>
          </cell>
          <cell r="H1591" t="str">
            <v>DISTRIBUIÇÃO</v>
          </cell>
          <cell r="I1591" t="str">
            <v>FOOD SERVICE</v>
          </cell>
          <cell r="J1591" t="str">
            <v>MARCELO DUARTE</v>
          </cell>
          <cell r="K1591" t="str">
            <v>ITAMBÉ</v>
          </cell>
          <cell r="L1591" t="str">
            <v>RODRIGO</v>
          </cell>
          <cell r="M1591" t="str">
            <v>JESSICA</v>
          </cell>
        </row>
        <row r="1592">
          <cell r="B1592">
            <v>5219741</v>
          </cell>
          <cell r="C1592" t="str">
            <v>CASABLANCA CAFES LTDA</v>
          </cell>
          <cell r="D1592">
            <v>6001</v>
          </cell>
          <cell r="E1592" t="str">
            <v>6169</v>
          </cell>
          <cell r="F1592" t="str">
            <v>C1</v>
          </cell>
          <cell r="G1592" t="str">
            <v>ES</v>
          </cell>
          <cell r="H1592" t="str">
            <v>DISTRIBUIÇÃO</v>
          </cell>
          <cell r="I1592" t="str">
            <v>FOOD SERVICE</v>
          </cell>
          <cell r="J1592" t="str">
            <v>MARCELO DUARTE</v>
          </cell>
          <cell r="K1592" t="str">
            <v>ITAMBÉ</v>
          </cell>
          <cell r="L1592" t="str">
            <v>RODRIGO</v>
          </cell>
          <cell r="M1592" t="str">
            <v>JESSICA</v>
          </cell>
        </row>
        <row r="1593">
          <cell r="B1593">
            <v>5223816</v>
          </cell>
          <cell r="C1593" t="str">
            <v>CAMPO GRANDE C DE P ALIMENTICIOS LT</v>
          </cell>
          <cell r="D1593">
            <v>6001</v>
          </cell>
          <cell r="E1593" t="str">
            <v>6169</v>
          </cell>
          <cell r="F1593" t="str">
            <v>C1</v>
          </cell>
          <cell r="G1593" t="str">
            <v>ES</v>
          </cell>
          <cell r="H1593" t="str">
            <v>DISTRIBUIÇÃO</v>
          </cell>
          <cell r="I1593" t="str">
            <v>FOOD SERVICE</v>
          </cell>
          <cell r="J1593" t="str">
            <v>MARCELO DUARTE</v>
          </cell>
          <cell r="K1593" t="str">
            <v>ITAMBÉ</v>
          </cell>
          <cell r="L1593" t="str">
            <v>RODRIGO</v>
          </cell>
          <cell r="M1593" t="str">
            <v>JESSICA</v>
          </cell>
        </row>
        <row r="1594">
          <cell r="B1594">
            <v>5225153</v>
          </cell>
          <cell r="C1594" t="str">
            <v>JD DISTRIBUIDORA LTDA</v>
          </cell>
          <cell r="D1594">
            <v>6001</v>
          </cell>
          <cell r="E1594" t="str">
            <v>6169</v>
          </cell>
          <cell r="F1594" t="str">
            <v>C1</v>
          </cell>
          <cell r="G1594" t="str">
            <v>ES</v>
          </cell>
          <cell r="H1594" t="str">
            <v>DISTRIBUIÇÃO</v>
          </cell>
          <cell r="I1594" t="str">
            <v>FOOD SERVICE</v>
          </cell>
          <cell r="J1594" t="str">
            <v>MARCELO DUARTE</v>
          </cell>
          <cell r="K1594" t="str">
            <v>ITAMBÉ</v>
          </cell>
          <cell r="L1594" t="str">
            <v>RODRIGO</v>
          </cell>
          <cell r="M1594" t="str">
            <v>JESSICA</v>
          </cell>
        </row>
        <row r="1595">
          <cell r="B1595">
            <v>5226129</v>
          </cell>
          <cell r="C1595" t="str">
            <v>HSBL COMERCIO DE DESCARTAVEIS EIREL</v>
          </cell>
          <cell r="D1595">
            <v>6001</v>
          </cell>
          <cell r="E1595" t="str">
            <v>6169</v>
          </cell>
          <cell r="F1595" t="str">
            <v>C1</v>
          </cell>
          <cell r="G1595" t="str">
            <v>ES</v>
          </cell>
          <cell r="H1595" t="str">
            <v>DISTRIBUIÇÃO</v>
          </cell>
          <cell r="I1595" t="str">
            <v>FOOD SERVICE</v>
          </cell>
          <cell r="J1595" t="str">
            <v>MARCELO DUARTE</v>
          </cell>
          <cell r="K1595" t="str">
            <v>ITAMBÉ</v>
          </cell>
          <cell r="L1595" t="str">
            <v>RODRIGO</v>
          </cell>
          <cell r="M1595" t="str">
            <v>JESSICA</v>
          </cell>
        </row>
        <row r="1596">
          <cell r="B1596">
            <v>5226350</v>
          </cell>
          <cell r="C1596" t="str">
            <v>SOS ALIMENTOS E TRANSPORTES LTDA</v>
          </cell>
          <cell r="D1596">
            <v>4001</v>
          </cell>
          <cell r="E1596" t="str">
            <v>0456</v>
          </cell>
          <cell r="F1596" t="str">
            <v>C1</v>
          </cell>
          <cell r="G1596" t="str">
            <v>SC</v>
          </cell>
          <cell r="H1596" t="str">
            <v>DISTRIBUIÇÃO</v>
          </cell>
          <cell r="I1596" t="str">
            <v>FOOD SERVICE</v>
          </cell>
          <cell r="J1596" t="str">
            <v>ANTÔNIO SOUZA</v>
          </cell>
          <cell r="K1596" t="str">
            <v>LACTALIS</v>
          </cell>
          <cell r="L1596" t="str">
            <v>RODRIGO</v>
          </cell>
          <cell r="M1596" t="str">
            <v>VAGO SUL</v>
          </cell>
        </row>
        <row r="1597">
          <cell r="B1597">
            <v>5226531</v>
          </cell>
          <cell r="C1597" t="str">
            <v>NOBREDO COMERCIO E LOGISTICA LTDA</v>
          </cell>
          <cell r="D1597">
            <v>6001</v>
          </cell>
          <cell r="E1597" t="str">
            <v>6169</v>
          </cell>
          <cell r="F1597" t="str">
            <v>C1</v>
          </cell>
          <cell r="G1597" t="str">
            <v>RJ</v>
          </cell>
          <cell r="H1597" t="str">
            <v>DISTRIBUIÇÃO</v>
          </cell>
          <cell r="I1597" t="str">
            <v>FOOD SERVICE</v>
          </cell>
          <cell r="J1597" t="str">
            <v>LUCIANA MARTINS</v>
          </cell>
          <cell r="K1597" t="str">
            <v>ITAMBÉ</v>
          </cell>
          <cell r="L1597" t="str">
            <v>RODRIGO</v>
          </cell>
          <cell r="M1597" t="str">
            <v>JESSICA</v>
          </cell>
        </row>
        <row r="1598">
          <cell r="B1598">
            <v>5228955</v>
          </cell>
          <cell r="C1598" t="str">
            <v>GP SORVETERIA DISTRIBUIDORA LTDA</v>
          </cell>
          <cell r="D1598">
            <v>6001</v>
          </cell>
          <cell r="E1598" t="str">
            <v>6169</v>
          </cell>
          <cell r="F1598" t="str">
            <v>C1</v>
          </cell>
          <cell r="G1598" t="str">
            <v>ES</v>
          </cell>
          <cell r="H1598" t="str">
            <v>DISTRIBUIÇÃO</v>
          </cell>
          <cell r="I1598" t="str">
            <v>FOOD SERVICE</v>
          </cell>
          <cell r="J1598" t="str">
            <v>MARCELO DUARTE</v>
          </cell>
          <cell r="K1598" t="str">
            <v>ITAMBÉ</v>
          </cell>
          <cell r="L1598" t="str">
            <v>RODRIGO</v>
          </cell>
          <cell r="M1598" t="str">
            <v>JESSICA</v>
          </cell>
        </row>
        <row r="1599">
          <cell r="B1599">
            <v>5229621</v>
          </cell>
          <cell r="C1599" t="str">
            <v>NUTRY MAX COMERCIO DE PRODUTOS</v>
          </cell>
          <cell r="D1599">
            <v>6001</v>
          </cell>
          <cell r="E1599" t="str">
            <v>6169</v>
          </cell>
          <cell r="F1599" t="str">
            <v>C1</v>
          </cell>
          <cell r="G1599" t="str">
            <v>RJ</v>
          </cell>
          <cell r="H1599" t="str">
            <v>DISTRIBUIÇÃO</v>
          </cell>
          <cell r="I1599" t="str">
            <v>FOOD SERVICE</v>
          </cell>
          <cell r="J1599" t="str">
            <v>JESSICA CARLA</v>
          </cell>
          <cell r="K1599" t="str">
            <v>ITAMBÉ</v>
          </cell>
          <cell r="L1599" t="str">
            <v>RODRIGO</v>
          </cell>
          <cell r="M1599" t="str">
            <v>JESSICA</v>
          </cell>
        </row>
        <row r="1600">
          <cell r="B1600">
            <v>5230884</v>
          </cell>
          <cell r="C1600" t="str">
            <v>PROREGI IND COM E IMPORT LTDA</v>
          </cell>
          <cell r="D1600">
            <v>3001</v>
          </cell>
          <cell r="E1600" t="str">
            <v>0028</v>
          </cell>
          <cell r="F1600" t="str">
            <v>C1</v>
          </cell>
          <cell r="G1600" t="str">
            <v>MG</v>
          </cell>
          <cell r="H1600" t="str">
            <v>INGREDIENTS</v>
          </cell>
          <cell r="I1600" t="str">
            <v>INGREDIENTS</v>
          </cell>
          <cell r="J1600" t="str">
            <v>HENRIQUE FERREIRA</v>
          </cell>
          <cell r="K1600" t="str">
            <v>ITAMBÉ</v>
          </cell>
          <cell r="L1600" t="str">
            <v>MAURICIO</v>
          </cell>
          <cell r="M1600" t="str">
            <v>JOEL</v>
          </cell>
        </row>
        <row r="1601">
          <cell r="B1601">
            <v>5231303</v>
          </cell>
          <cell r="C1601" t="str">
            <v>SUPER VINHOS DISTRIBUIDORA S A</v>
          </cell>
          <cell r="D1601">
            <v>6001</v>
          </cell>
          <cell r="E1601" t="str">
            <v>6169</v>
          </cell>
          <cell r="F1601" t="str">
            <v>C1</v>
          </cell>
          <cell r="G1601" t="str">
            <v>RJ</v>
          </cell>
          <cell r="H1601" t="str">
            <v>DISTRIBUIÇÃO</v>
          </cell>
          <cell r="I1601" t="str">
            <v>FOOD SERVICE</v>
          </cell>
          <cell r="J1601" t="str">
            <v>LUCIANA MARTINS</v>
          </cell>
          <cell r="K1601" t="str">
            <v>ITAMBÉ</v>
          </cell>
          <cell r="L1601" t="str">
            <v>RODRIGO</v>
          </cell>
          <cell r="M1601" t="str">
            <v>JESSICA</v>
          </cell>
        </row>
        <row r="1602">
          <cell r="B1602">
            <v>5231717</v>
          </cell>
          <cell r="C1602" t="str">
            <v>IMM PRODUTOS NATURAIS LTDA</v>
          </cell>
          <cell r="D1602">
            <v>6001</v>
          </cell>
          <cell r="E1602" t="str">
            <v>6169</v>
          </cell>
          <cell r="F1602" t="str">
            <v>C1</v>
          </cell>
          <cell r="G1602" t="str">
            <v>ES</v>
          </cell>
          <cell r="H1602" t="str">
            <v>DISTRIBUIÇÃO</v>
          </cell>
          <cell r="I1602" t="str">
            <v>FOOD SERVICE</v>
          </cell>
          <cell r="J1602" t="str">
            <v>MARCELO DUARTE</v>
          </cell>
          <cell r="K1602" t="str">
            <v>ITAMBÉ</v>
          </cell>
          <cell r="L1602" t="str">
            <v>RODRIGO</v>
          </cell>
          <cell r="M1602" t="str">
            <v>JESSICA</v>
          </cell>
        </row>
        <row r="1603">
          <cell r="B1603">
            <v>5261291</v>
          </cell>
          <cell r="C1603" t="str">
            <v>LATURAN SUCOS E ALIMENTOS LTDA ME</v>
          </cell>
          <cell r="D1603">
            <v>7001</v>
          </cell>
          <cell r="E1603" t="str">
            <v>0722</v>
          </cell>
          <cell r="F1603" t="str">
            <v>C1</v>
          </cell>
          <cell r="G1603" t="str">
            <v>SP</v>
          </cell>
          <cell r="H1603" t="str">
            <v>QSR</v>
          </cell>
          <cell r="I1603" t="str">
            <v>FOOD SERVICE</v>
          </cell>
          <cell r="J1603" t="str">
            <v>NUTRI</v>
          </cell>
          <cell r="K1603" t="str">
            <v>LACTALIS</v>
          </cell>
          <cell r="L1603" t="str">
            <v>PEDRO</v>
          </cell>
          <cell r="M1603" t="str">
            <v>AMANDA</v>
          </cell>
        </row>
        <row r="1604">
          <cell r="B1604">
            <v>5261409</v>
          </cell>
          <cell r="C1604" t="str">
            <v>SOPHINSKI SUCOS E ALIMENTOS LTD</v>
          </cell>
          <cell r="D1604">
            <v>7001</v>
          </cell>
          <cell r="E1604" t="str">
            <v>0722</v>
          </cell>
          <cell r="F1604" t="str">
            <v>C1</v>
          </cell>
          <cell r="G1604" t="str">
            <v>SP</v>
          </cell>
          <cell r="H1604" t="str">
            <v>QSR</v>
          </cell>
          <cell r="I1604" t="str">
            <v>FOOD SERVICE</v>
          </cell>
          <cell r="J1604" t="str">
            <v>NUTRI</v>
          </cell>
          <cell r="K1604" t="str">
            <v>LACTALIS</v>
          </cell>
          <cell r="L1604" t="str">
            <v>PEDRO</v>
          </cell>
          <cell r="M1604" t="str">
            <v>AMANDA</v>
          </cell>
        </row>
        <row r="1605">
          <cell r="B1605">
            <v>5261411</v>
          </cell>
          <cell r="C1605" t="str">
            <v>VITHINSKI SUCOS E ALIMENTOS LTDA ME</v>
          </cell>
          <cell r="D1605">
            <v>7001</v>
          </cell>
          <cell r="E1605" t="str">
            <v>0722</v>
          </cell>
          <cell r="F1605" t="str">
            <v>C1</v>
          </cell>
          <cell r="G1605" t="str">
            <v>SP</v>
          </cell>
          <cell r="H1605" t="str">
            <v>QSR</v>
          </cell>
          <cell r="I1605" t="str">
            <v>FOOD SERVICE</v>
          </cell>
          <cell r="J1605" t="str">
            <v>NUTRI</v>
          </cell>
          <cell r="K1605" t="str">
            <v>LACTALIS</v>
          </cell>
          <cell r="L1605" t="str">
            <v>PEDRO</v>
          </cell>
          <cell r="M1605" t="str">
            <v>AMANDA</v>
          </cell>
        </row>
        <row r="1606">
          <cell r="B1606">
            <v>5263054</v>
          </cell>
          <cell r="C1606" t="str">
            <v>H G DE CAMPOS CARDOSO ME</v>
          </cell>
          <cell r="D1606">
            <v>7001</v>
          </cell>
          <cell r="E1606" t="str">
            <v>0722</v>
          </cell>
          <cell r="F1606" t="str">
            <v>C1</v>
          </cell>
          <cell r="G1606" t="str">
            <v>SP</v>
          </cell>
          <cell r="H1606" t="str">
            <v>QSR</v>
          </cell>
          <cell r="I1606" t="str">
            <v>FOOD SERVICE</v>
          </cell>
          <cell r="J1606" t="str">
            <v>NUTRI</v>
          </cell>
          <cell r="K1606" t="str">
            <v>LACTALIS</v>
          </cell>
          <cell r="L1606" t="str">
            <v>PEDRO</v>
          </cell>
          <cell r="M1606" t="str">
            <v>AMANDA</v>
          </cell>
        </row>
        <row r="1607">
          <cell r="B1607">
            <v>5263133</v>
          </cell>
          <cell r="C1607" t="str">
            <v>RDG KAVE ALIMENTOS LTDA ME</v>
          </cell>
          <cell r="D1607">
            <v>7001</v>
          </cell>
          <cell r="E1607" t="str">
            <v>0722</v>
          </cell>
          <cell r="F1607" t="str">
            <v>C1</v>
          </cell>
          <cell r="G1607" t="str">
            <v>SP</v>
          </cell>
          <cell r="H1607" t="str">
            <v>DISTRIBUIÇÃO</v>
          </cell>
          <cell r="I1607" t="str">
            <v>FOOD SERVICE</v>
          </cell>
          <cell r="J1607" t="str">
            <v>FLAC 3</v>
          </cell>
          <cell r="K1607" t="str">
            <v>LACTALIS</v>
          </cell>
          <cell r="L1607" t="str">
            <v>RODRIGO</v>
          </cell>
          <cell r="M1607" t="str">
            <v>ALEXANDRO</v>
          </cell>
        </row>
        <row r="1608">
          <cell r="B1608">
            <v>5263654</v>
          </cell>
          <cell r="C1608" t="str">
            <v>FRANCE PANIFICACAO LTDA</v>
          </cell>
          <cell r="D1608">
            <v>7001</v>
          </cell>
          <cell r="E1608" t="str">
            <v>0722</v>
          </cell>
          <cell r="F1608" t="str">
            <v>C1</v>
          </cell>
          <cell r="G1608" t="str">
            <v>SP</v>
          </cell>
          <cell r="H1608" t="str">
            <v>DISTRIBUIÇÃO</v>
          </cell>
          <cell r="I1608" t="str">
            <v>FOOD SERVICE</v>
          </cell>
          <cell r="J1608" t="str">
            <v>FLAC 2</v>
          </cell>
          <cell r="K1608" t="str">
            <v>LACTALIS</v>
          </cell>
          <cell r="L1608" t="str">
            <v>RODRIGO</v>
          </cell>
          <cell r="M1608" t="str">
            <v>ALEXANDRO</v>
          </cell>
        </row>
        <row r="1609">
          <cell r="B1609">
            <v>5265010</v>
          </cell>
          <cell r="C1609" t="str">
            <v>RDG CIDADE ALIMENTOS LTDA</v>
          </cell>
          <cell r="D1609">
            <v>7001</v>
          </cell>
          <cell r="E1609" t="str">
            <v>0722</v>
          </cell>
          <cell r="F1609" t="str">
            <v>C1</v>
          </cell>
          <cell r="G1609" t="str">
            <v>SP</v>
          </cell>
          <cell r="H1609" t="str">
            <v>DISTRIBUIÇÃO</v>
          </cell>
          <cell r="I1609" t="str">
            <v>FOOD SERVICE</v>
          </cell>
          <cell r="J1609" t="str">
            <v>FLAC 3</v>
          </cell>
          <cell r="K1609" t="str">
            <v>LACTALIS</v>
          </cell>
          <cell r="L1609" t="str">
            <v>RODRIGO</v>
          </cell>
          <cell r="M1609" t="str">
            <v>ALEXANDRO</v>
          </cell>
        </row>
        <row r="1610">
          <cell r="B1610">
            <v>5265314</v>
          </cell>
          <cell r="C1610" t="str">
            <v>EJE CONFEITARIA FRANCESA LTDA</v>
          </cell>
          <cell r="D1610">
            <v>7001</v>
          </cell>
          <cell r="E1610" t="str">
            <v>0722</v>
          </cell>
          <cell r="F1610" t="str">
            <v>C1</v>
          </cell>
          <cell r="G1610" t="str">
            <v>SP</v>
          </cell>
          <cell r="H1610" t="str">
            <v>QSR</v>
          </cell>
          <cell r="I1610" t="str">
            <v>FOOD SERVICE</v>
          </cell>
          <cell r="J1610" t="str">
            <v>NUTRI</v>
          </cell>
          <cell r="K1610" t="str">
            <v>LACTALIS</v>
          </cell>
          <cell r="L1610" t="str">
            <v>PEDRO</v>
          </cell>
          <cell r="M1610" t="str">
            <v>AMANDA</v>
          </cell>
        </row>
        <row r="1611">
          <cell r="B1611">
            <v>5267879</v>
          </cell>
          <cell r="C1611" t="str">
            <v>ELCASYAS SUCOS E ALIMENTO EIRELI</v>
          </cell>
          <cell r="D1611">
            <v>7001</v>
          </cell>
          <cell r="E1611" t="str">
            <v>0722</v>
          </cell>
          <cell r="F1611" t="str">
            <v>C1</v>
          </cell>
          <cell r="G1611" t="str">
            <v>SP</v>
          </cell>
          <cell r="H1611" t="str">
            <v>QSR</v>
          </cell>
          <cell r="I1611" t="str">
            <v>FOOD SERVICE</v>
          </cell>
          <cell r="J1611" t="str">
            <v>NUTRI</v>
          </cell>
          <cell r="K1611" t="str">
            <v>LACTALIS</v>
          </cell>
          <cell r="L1611" t="str">
            <v>PEDRO</v>
          </cell>
          <cell r="M1611" t="str">
            <v>AMANDA</v>
          </cell>
        </row>
        <row r="1612">
          <cell r="B1612">
            <v>5273626</v>
          </cell>
          <cell r="C1612" t="str">
            <v>CAMPO VERDE ALIMENTOS LTDA</v>
          </cell>
          <cell r="D1612">
            <v>7001</v>
          </cell>
          <cell r="E1612" t="str">
            <v>0737</v>
          </cell>
          <cell r="F1612" t="str">
            <v>C1</v>
          </cell>
          <cell r="G1612" t="str">
            <v>SP</v>
          </cell>
          <cell r="H1612" t="str">
            <v>INGREDIENTS</v>
          </cell>
          <cell r="I1612" t="str">
            <v>INGREDIENTS</v>
          </cell>
          <cell r="J1612" t="str">
            <v>JOEL ELEOTÉRIO</v>
          </cell>
          <cell r="K1612" t="str">
            <v>LACTALIS</v>
          </cell>
          <cell r="L1612" t="str">
            <v>MAURICIO</v>
          </cell>
          <cell r="M1612" t="str">
            <v>JOEL</v>
          </cell>
        </row>
        <row r="1613">
          <cell r="B1613">
            <v>5279462</v>
          </cell>
          <cell r="C1613" t="str">
            <v>RFG COMERCIO TRANSPORTES E SERVICOS</v>
          </cell>
          <cell r="D1613">
            <v>7001</v>
          </cell>
          <cell r="E1613" t="str">
            <v>0754</v>
          </cell>
          <cell r="F1613" t="str">
            <v>C1</v>
          </cell>
          <cell r="G1613" t="str">
            <v>SP</v>
          </cell>
          <cell r="H1613" t="str">
            <v>MC DONALDS</v>
          </cell>
          <cell r="I1613" t="str">
            <v>MC DONALDS</v>
          </cell>
          <cell r="J1613" t="str">
            <v>MAURICIO GALLI</v>
          </cell>
          <cell r="K1613" t="str">
            <v>LACTALIS</v>
          </cell>
          <cell r="L1613" t="str">
            <v>MAURICIO</v>
          </cell>
          <cell r="M1613" t="str">
            <v>MAURICIO</v>
          </cell>
        </row>
        <row r="1614">
          <cell r="B1614">
            <v>5280106</v>
          </cell>
          <cell r="C1614" t="str">
            <v>MELIA BRASIL ADM HOT E COM LTDA</v>
          </cell>
          <cell r="D1614">
            <v>7001</v>
          </cell>
          <cell r="E1614" t="str">
            <v>0722</v>
          </cell>
          <cell r="F1614" t="str">
            <v>C1</v>
          </cell>
          <cell r="G1614" t="str">
            <v>SP</v>
          </cell>
          <cell r="H1614" t="str">
            <v>DISTRIBUIÇÃO</v>
          </cell>
          <cell r="I1614" t="str">
            <v>FOOD SERVICE</v>
          </cell>
          <cell r="J1614" t="str">
            <v>FLAC 6</v>
          </cell>
          <cell r="K1614" t="str">
            <v>LACTALIS</v>
          </cell>
          <cell r="L1614" t="str">
            <v>RODRIGO</v>
          </cell>
          <cell r="M1614" t="str">
            <v>ALEXANDRO</v>
          </cell>
        </row>
        <row r="1615">
          <cell r="B1615">
            <v>5285639</v>
          </cell>
          <cell r="C1615" t="str">
            <v>LC ADMINISTRACAO DE REST LTDA</v>
          </cell>
          <cell r="D1615">
            <v>7001</v>
          </cell>
          <cell r="E1615" t="str">
            <v>0722</v>
          </cell>
          <cell r="F1615" t="str">
            <v>C1</v>
          </cell>
          <cell r="G1615" t="str">
            <v>SP</v>
          </cell>
          <cell r="H1615" t="str">
            <v>QSR</v>
          </cell>
          <cell r="I1615" t="str">
            <v>FOOD SERVICE</v>
          </cell>
          <cell r="J1615" t="str">
            <v>NUTRI</v>
          </cell>
          <cell r="K1615" t="str">
            <v>LACTALIS</v>
          </cell>
          <cell r="L1615" t="str">
            <v>PEDRO</v>
          </cell>
          <cell r="M1615" t="str">
            <v>AMANDA</v>
          </cell>
        </row>
        <row r="1616">
          <cell r="B1616">
            <v>5286332</v>
          </cell>
          <cell r="C1616" t="str">
            <v>FUNDACAO BRADESCO</v>
          </cell>
          <cell r="D1616">
            <v>7001</v>
          </cell>
          <cell r="E1616" t="str">
            <v>0722</v>
          </cell>
          <cell r="F1616" t="str">
            <v>C1</v>
          </cell>
          <cell r="G1616" t="str">
            <v>SP</v>
          </cell>
          <cell r="H1616" t="str">
            <v>QSR</v>
          </cell>
          <cell r="I1616" t="str">
            <v>FOOD SERVICE</v>
          </cell>
          <cell r="J1616" t="str">
            <v>NUTRI</v>
          </cell>
          <cell r="K1616" t="str">
            <v>LACTALIS</v>
          </cell>
          <cell r="L1616" t="str">
            <v>PEDRO</v>
          </cell>
          <cell r="M1616" t="str">
            <v>AMANDA</v>
          </cell>
        </row>
        <row r="1617">
          <cell r="B1617">
            <v>5301161</v>
          </cell>
          <cell r="C1617" t="str">
            <v>JOWI SUCOS LTDA</v>
          </cell>
          <cell r="D1617">
            <v>7001</v>
          </cell>
          <cell r="E1617" t="str">
            <v>0722</v>
          </cell>
          <cell r="F1617" t="str">
            <v>C1</v>
          </cell>
          <cell r="G1617" t="str">
            <v>SP</v>
          </cell>
          <cell r="H1617" t="str">
            <v>QSR</v>
          </cell>
          <cell r="I1617" t="str">
            <v>FOOD SERVICE</v>
          </cell>
          <cell r="J1617" t="str">
            <v>NUTRI</v>
          </cell>
          <cell r="K1617" t="str">
            <v>LACTALIS</v>
          </cell>
          <cell r="L1617" t="str">
            <v>PEDRO</v>
          </cell>
          <cell r="M1617" t="str">
            <v>AMANDA</v>
          </cell>
        </row>
        <row r="1618">
          <cell r="B1618">
            <v>5313456</v>
          </cell>
          <cell r="C1618" t="str">
            <v>PORTEFRIO DISTRIBUIDORA DE GENEROS</v>
          </cell>
          <cell r="D1618">
            <v>6001</v>
          </cell>
          <cell r="E1618" t="str">
            <v>6169</v>
          </cell>
          <cell r="F1618" t="str">
            <v>C1</v>
          </cell>
          <cell r="G1618" t="str">
            <v>RJ</v>
          </cell>
          <cell r="H1618" t="str">
            <v>DISTRIBUIÇÃO</v>
          </cell>
          <cell r="I1618" t="str">
            <v>FOOD SERVICE</v>
          </cell>
          <cell r="J1618" t="str">
            <v>JULIANA CORDEIRO</v>
          </cell>
          <cell r="K1618" t="str">
            <v>ITAMBÉ</v>
          </cell>
          <cell r="L1618" t="str">
            <v>RODRIGO</v>
          </cell>
          <cell r="M1618" t="str">
            <v>JESSICA</v>
          </cell>
        </row>
        <row r="1619">
          <cell r="B1619">
            <v>5327180</v>
          </cell>
          <cell r="C1619" t="str">
            <v>LUPE SOLUCOES EMPREENDEDORAS LTDA</v>
          </cell>
          <cell r="D1619">
            <v>6001</v>
          </cell>
          <cell r="E1619" t="str">
            <v>6169</v>
          </cell>
          <cell r="F1619" t="str">
            <v>C1</v>
          </cell>
          <cell r="G1619" t="str">
            <v>RJ</v>
          </cell>
          <cell r="H1619" t="str">
            <v>DISTRIBUIÇÃO</v>
          </cell>
          <cell r="I1619" t="str">
            <v>FOOD SERVICE</v>
          </cell>
          <cell r="J1619" t="str">
            <v>JULIANA CORDEIRO</v>
          </cell>
          <cell r="K1619" t="str">
            <v>ITAMBÉ</v>
          </cell>
          <cell r="L1619" t="str">
            <v>RODRIGO</v>
          </cell>
          <cell r="M1619" t="str">
            <v>JESSICA</v>
          </cell>
        </row>
        <row r="1620">
          <cell r="B1620">
            <v>5329708</v>
          </cell>
          <cell r="C1620" t="str">
            <v>CBX CAFE IMIGRANTES LTDA</v>
          </cell>
          <cell r="D1620">
            <v>7001</v>
          </cell>
          <cell r="E1620" t="str">
            <v>0749</v>
          </cell>
          <cell r="F1620" t="str">
            <v>C5</v>
          </cell>
          <cell r="G1620" t="str">
            <v>SP</v>
          </cell>
          <cell r="H1620" t="str">
            <v>DISTRIBUIÇÃO</v>
          </cell>
          <cell r="I1620" t="str">
            <v>FOOD SERVICE</v>
          </cell>
          <cell r="J1620" t="str">
            <v>FLAC 3</v>
          </cell>
          <cell r="K1620" t="str">
            <v>LACTALIS</v>
          </cell>
          <cell r="L1620" t="str">
            <v>RODRIGO</v>
          </cell>
          <cell r="M1620" t="str">
            <v>ALEXANDRO</v>
          </cell>
        </row>
        <row r="1621">
          <cell r="B1621">
            <v>5338214</v>
          </cell>
          <cell r="C1621" t="str">
            <v>GAPEIXOTO DIST DE PROD ALIM LTD</v>
          </cell>
          <cell r="D1621">
            <v>6001</v>
          </cell>
          <cell r="E1621" t="str">
            <v>6125</v>
          </cell>
          <cell r="F1621" t="str">
            <v>C1</v>
          </cell>
          <cell r="G1621" t="str">
            <v>SP</v>
          </cell>
          <cell r="H1621" t="str">
            <v>DISTRIBUIÇÃO</v>
          </cell>
          <cell r="I1621" t="str">
            <v>FOOD SERVICE</v>
          </cell>
          <cell r="J1621" t="str">
            <v>LUCAS ANDRADE</v>
          </cell>
          <cell r="K1621" t="str">
            <v>ITAMBÉ</v>
          </cell>
          <cell r="L1621" t="str">
            <v>RODRIGO</v>
          </cell>
          <cell r="M1621" t="str">
            <v>RAQUEL BARBOSA</v>
          </cell>
        </row>
        <row r="1622">
          <cell r="B1622">
            <v>5016719</v>
          </cell>
          <cell r="C1622" t="str">
            <v>PENNACCHI E CIA LTDA</v>
          </cell>
          <cell r="D1622">
            <v>4001</v>
          </cell>
          <cell r="E1622" t="str">
            <v>0455</v>
          </cell>
          <cell r="F1622" t="str">
            <v>C1</v>
          </cell>
          <cell r="G1622" t="str">
            <v>PR</v>
          </cell>
          <cell r="H1622" t="str">
            <v>DISTRIBUIÇÃO</v>
          </cell>
          <cell r="I1622" t="str">
            <v>FOOD SERVICE</v>
          </cell>
          <cell r="J1622" t="str">
            <v>ANTÔNIO SOUZA</v>
          </cell>
          <cell r="K1622" t="str">
            <v>LACTALIS</v>
          </cell>
          <cell r="L1622" t="str">
            <v>RODRIGO</v>
          </cell>
          <cell r="M1622" t="str">
            <v>VAGO SUL</v>
          </cell>
        </row>
        <row r="1623">
          <cell r="B1623">
            <v>5321120</v>
          </cell>
          <cell r="C1623" t="str">
            <v>CHALANA SORVETES LTDA ME</v>
          </cell>
          <cell r="D1623">
            <v>6001</v>
          </cell>
          <cell r="E1623" t="str">
            <v>6028</v>
          </cell>
          <cell r="F1623" t="str">
            <v>C1</v>
          </cell>
          <cell r="G1623" t="str">
            <v>MS</v>
          </cell>
          <cell r="H1623" t="str">
            <v>INGREDIENTS</v>
          </cell>
          <cell r="I1623" t="str">
            <v>INGREDIENTS</v>
          </cell>
          <cell r="J1623" t="str">
            <v>DUAS RODAS</v>
          </cell>
          <cell r="K1623" t="str">
            <v>ITAMBÉ</v>
          </cell>
          <cell r="L1623" t="str">
            <v>MAURICIO</v>
          </cell>
          <cell r="M1623" t="str">
            <v>MARCELO</v>
          </cell>
        </row>
        <row r="1624">
          <cell r="B1624">
            <v>5011698</v>
          </cell>
          <cell r="C1624" t="str">
            <v>CASA DO SACHET LTDA</v>
          </cell>
          <cell r="D1624">
            <v>6001</v>
          </cell>
          <cell r="E1624" t="str">
            <v>6123</v>
          </cell>
          <cell r="F1624" t="str">
            <v>C1</v>
          </cell>
          <cell r="G1624" t="str">
            <v>MS</v>
          </cell>
          <cell r="H1624" t="str">
            <v>DISTRIBUIÇÃO</v>
          </cell>
          <cell r="I1624" t="str">
            <v>FOOD SERVICE</v>
          </cell>
          <cell r="J1624" t="str">
            <v>CLAUDIO JORGE</v>
          </cell>
          <cell r="K1624" t="str">
            <v>ITAMBÉ</v>
          </cell>
          <cell r="L1624" t="str">
            <v>RODRIGO</v>
          </cell>
          <cell r="M1624" t="str">
            <v>MARCO AURELIO</v>
          </cell>
        </row>
        <row r="1625">
          <cell r="B1625">
            <v>5043238</v>
          </cell>
          <cell r="C1625" t="str">
            <v>ARTPAN COMERCIO DE ALIMENTOS LT</v>
          </cell>
          <cell r="D1625">
            <v>6001</v>
          </cell>
          <cell r="E1625" t="str">
            <v>6123</v>
          </cell>
          <cell r="F1625" t="str">
            <v>C1</v>
          </cell>
          <cell r="G1625" t="str">
            <v>MS</v>
          </cell>
          <cell r="H1625" t="str">
            <v>DISTRIBUIÇÃO</v>
          </cell>
          <cell r="I1625" t="str">
            <v>FOOD SERVICE</v>
          </cell>
          <cell r="J1625" t="str">
            <v>CLAUDIO JORGE</v>
          </cell>
          <cell r="K1625" t="str">
            <v>ITAMBÉ</v>
          </cell>
          <cell r="L1625" t="str">
            <v>RODRIGO</v>
          </cell>
          <cell r="M1625" t="str">
            <v>MARCO AURELIO</v>
          </cell>
        </row>
        <row r="1626">
          <cell r="B1626">
            <v>5109334</v>
          </cell>
          <cell r="C1626" t="str">
            <v>CENTRAL OSASCO DIST ALIM E BEBI</v>
          </cell>
          <cell r="D1626">
            <v>7001</v>
          </cell>
          <cell r="E1626" t="str">
            <v>0722</v>
          </cell>
          <cell r="F1626" t="str">
            <v>C1</v>
          </cell>
          <cell r="G1626" t="str">
            <v>SP</v>
          </cell>
          <cell r="H1626" t="str">
            <v>DISTRIBUIÇÃO</v>
          </cell>
          <cell r="I1626" t="str">
            <v>FOOD SERVICE</v>
          </cell>
          <cell r="J1626" t="str">
            <v>EMMANUEL FRANCISCO</v>
          </cell>
          <cell r="K1626" t="str">
            <v>LACTALIS</v>
          </cell>
          <cell r="L1626" t="str">
            <v>RODRIGO</v>
          </cell>
          <cell r="M1626" t="str">
            <v>ALEXANDRO</v>
          </cell>
        </row>
        <row r="1627">
          <cell r="B1627">
            <v>5179610</v>
          </cell>
          <cell r="C1627" t="str">
            <v>GP EMBALAGENS EIRELI EPP</v>
          </cell>
          <cell r="D1627">
            <v>6001</v>
          </cell>
          <cell r="E1627" t="str">
            <v>6123</v>
          </cell>
          <cell r="F1627" t="str">
            <v>C1</v>
          </cell>
          <cell r="G1627" t="str">
            <v>MS</v>
          </cell>
          <cell r="H1627" t="str">
            <v>DISTRIBUIÇÃO</v>
          </cell>
          <cell r="I1627" t="str">
            <v>FOOD SERVICE</v>
          </cell>
          <cell r="J1627" t="str">
            <v>CLAUDIO JORGE</v>
          </cell>
          <cell r="K1627" t="str">
            <v>ITAMBÉ</v>
          </cell>
          <cell r="L1627" t="str">
            <v>RODRIGO</v>
          </cell>
          <cell r="M1627" t="str">
            <v>MARCO AURELIO</v>
          </cell>
        </row>
        <row r="1628">
          <cell r="B1628">
            <v>5214670</v>
          </cell>
          <cell r="C1628" t="str">
            <v>LORENZ COMERCIO E DIST DE ALIM LTDA</v>
          </cell>
          <cell r="D1628">
            <v>6001</v>
          </cell>
          <cell r="E1628" t="str">
            <v>6123</v>
          </cell>
          <cell r="F1628" t="str">
            <v>C1</v>
          </cell>
          <cell r="G1628" t="str">
            <v>MS</v>
          </cell>
          <cell r="H1628" t="str">
            <v>DISTRIBUIÇÃO</v>
          </cell>
          <cell r="I1628" t="str">
            <v>FOOD SERVICE</v>
          </cell>
          <cell r="J1628" t="str">
            <v>CLAUDIO JORGE</v>
          </cell>
          <cell r="K1628" t="str">
            <v>ITAMBÉ</v>
          </cell>
          <cell r="L1628" t="str">
            <v>RODRIGO</v>
          </cell>
          <cell r="M1628" t="str">
            <v>MARCO AURELIO</v>
          </cell>
        </row>
        <row r="1629">
          <cell r="B1629">
            <v>5228827</v>
          </cell>
          <cell r="C1629" t="str">
            <v>FABRICA ACAI MAGNIFICO LTDA</v>
          </cell>
          <cell r="D1629">
            <v>6001</v>
          </cell>
          <cell r="E1629" t="str">
            <v>6125</v>
          </cell>
          <cell r="F1629" t="str">
            <v>C1</v>
          </cell>
          <cell r="G1629" t="str">
            <v>SP</v>
          </cell>
          <cell r="H1629" t="str">
            <v>INGREDIENTS</v>
          </cell>
          <cell r="I1629" t="str">
            <v>INGREDIENTS</v>
          </cell>
          <cell r="J1629" t="str">
            <v>HENRIQUE FERREIRA</v>
          </cell>
          <cell r="K1629" t="str">
            <v>ITAMBÉ</v>
          </cell>
          <cell r="L1629" t="str">
            <v>MAURICIO</v>
          </cell>
          <cell r="M1629" t="str">
            <v>JOEL</v>
          </cell>
        </row>
        <row r="1630">
          <cell r="B1630">
            <v>5230402</v>
          </cell>
          <cell r="C1630" t="str">
            <v>E V COMERCIO DE ALIMENTOS LTDA</v>
          </cell>
          <cell r="D1630">
            <v>6001</v>
          </cell>
          <cell r="E1630" t="str">
            <v>6123</v>
          </cell>
          <cell r="F1630" t="str">
            <v>C1</v>
          </cell>
          <cell r="G1630" t="str">
            <v>MS</v>
          </cell>
          <cell r="H1630" t="str">
            <v>DISTRIBUIÇÃO</v>
          </cell>
          <cell r="I1630" t="str">
            <v>FOOD SERVICE</v>
          </cell>
          <cell r="J1630" t="str">
            <v>CLAUDIO JORGE</v>
          </cell>
          <cell r="K1630" t="str">
            <v>ITAMBÉ</v>
          </cell>
          <cell r="L1630" t="str">
            <v>RODRIGO</v>
          </cell>
          <cell r="M1630" t="str">
            <v>MARCO AURELIO</v>
          </cell>
        </row>
        <row r="1631">
          <cell r="B1631">
            <v>5310560</v>
          </cell>
          <cell r="C1631" t="str">
            <v>ARTPAN COMERCIO DE ALIMENTOS LTDA</v>
          </cell>
          <cell r="D1631">
            <v>6001</v>
          </cell>
          <cell r="E1631" t="str">
            <v>6123</v>
          </cell>
          <cell r="F1631" t="str">
            <v>C1</v>
          </cell>
          <cell r="G1631" t="str">
            <v>MS</v>
          </cell>
          <cell r="H1631" t="str">
            <v>DISTRIBUIÇÃO</v>
          </cell>
          <cell r="I1631" t="str">
            <v>FOOD SERVICE</v>
          </cell>
          <cell r="J1631" t="str">
            <v>CLAUDIO JORGE</v>
          </cell>
          <cell r="K1631" t="str">
            <v>ITAMBÉ</v>
          </cell>
          <cell r="L1631" t="str">
            <v>RODRIGO</v>
          </cell>
          <cell r="M1631" t="str">
            <v>MARCO AURELIO</v>
          </cell>
        </row>
        <row r="1632">
          <cell r="B1632">
            <v>5317442</v>
          </cell>
          <cell r="C1632" t="str">
            <v>SEBASTIAO MARIO GIRALDELLI E CIA LT</v>
          </cell>
          <cell r="D1632">
            <v>6001</v>
          </cell>
          <cell r="E1632" t="str">
            <v>6123</v>
          </cell>
          <cell r="F1632" t="str">
            <v>C1</v>
          </cell>
          <cell r="G1632" t="str">
            <v>MT</v>
          </cell>
          <cell r="H1632" t="str">
            <v>DISTRIBUIÇÃO</v>
          </cell>
          <cell r="I1632" t="str">
            <v>FOOD SERVICE</v>
          </cell>
          <cell r="J1632" t="str">
            <v>CLAUDIO JORGE</v>
          </cell>
          <cell r="K1632" t="str">
            <v>ITAMBÉ</v>
          </cell>
          <cell r="L1632" t="str">
            <v>RODRIGO</v>
          </cell>
          <cell r="M1632" t="str">
            <v>MARCO AURELIO</v>
          </cell>
        </row>
        <row r="1633">
          <cell r="B1633">
            <v>5002086</v>
          </cell>
          <cell r="C1633" t="str">
            <v>GR SA</v>
          </cell>
          <cell r="D1633">
            <v>3001</v>
          </cell>
          <cell r="E1633" t="str">
            <v>0122</v>
          </cell>
          <cell r="F1633" t="str">
            <v>C1</v>
          </cell>
          <cell r="G1633" t="str">
            <v>MG</v>
          </cell>
          <cell r="H1633" t="str">
            <v>QSR</v>
          </cell>
          <cell r="I1633" t="str">
            <v>FOOD SERVICE</v>
          </cell>
          <cell r="J1633" t="str">
            <v>NUTRI</v>
          </cell>
          <cell r="K1633" t="str">
            <v>ITAMBÉ</v>
          </cell>
          <cell r="L1633" t="str">
            <v>PEDRO</v>
          </cell>
          <cell r="M1633" t="str">
            <v>AMANDA</v>
          </cell>
        </row>
        <row r="1634">
          <cell r="B1634">
            <v>5201726</v>
          </cell>
          <cell r="C1634" t="str">
            <v>M DIAS BRANCO SA IND E COM DE A</v>
          </cell>
          <cell r="D1634">
            <v>4001</v>
          </cell>
          <cell r="E1634" t="str">
            <v>0437</v>
          </cell>
          <cell r="F1634" t="str">
            <v>C1</v>
          </cell>
          <cell r="G1634" t="str">
            <v>RJ</v>
          </cell>
          <cell r="H1634" t="str">
            <v>INGREDIENTS</v>
          </cell>
          <cell r="I1634" t="str">
            <v>INGREDIENTS</v>
          </cell>
          <cell r="J1634" t="str">
            <v>JOEL ELEOTÉRIO</v>
          </cell>
          <cell r="K1634" t="str">
            <v>LACTALIS</v>
          </cell>
          <cell r="L1634" t="str">
            <v>MAURICIO</v>
          </cell>
          <cell r="M1634" t="str">
            <v>JOEL</v>
          </cell>
        </row>
        <row r="1635">
          <cell r="B1635">
            <v>5259915</v>
          </cell>
          <cell r="C1635" t="str">
            <v>PAMA COM DE GENEROS ALIMENTICIOS LT</v>
          </cell>
          <cell r="D1635">
            <v>6001</v>
          </cell>
          <cell r="E1635" t="str">
            <v>6125</v>
          </cell>
          <cell r="F1635" t="str">
            <v>C1</v>
          </cell>
          <cell r="G1635" t="str">
            <v>SP</v>
          </cell>
          <cell r="H1635" t="str">
            <v>DISTRIBUIÇÃO</v>
          </cell>
          <cell r="I1635" t="str">
            <v>FOOD SERVICE</v>
          </cell>
          <cell r="J1635" t="str">
            <v>GUILHERME NASCIMENTO</v>
          </cell>
          <cell r="K1635" t="str">
            <v>ITAMBÉ</v>
          </cell>
          <cell r="L1635" t="str">
            <v>RODRIGO</v>
          </cell>
          <cell r="M1635" t="str">
            <v>ALEXANDRO</v>
          </cell>
        </row>
        <row r="1636">
          <cell r="B1636">
            <v>5341784</v>
          </cell>
          <cell r="C1636" t="str">
            <v>GEA COMERCIAL LTDA</v>
          </cell>
          <cell r="D1636">
            <v>7001</v>
          </cell>
          <cell r="E1636" t="str">
            <v>0749</v>
          </cell>
          <cell r="F1636" t="str">
            <v>C5</v>
          </cell>
          <cell r="G1636" t="str">
            <v>SP</v>
          </cell>
          <cell r="H1636" t="str">
            <v>DISTRIBUIÇÃO</v>
          </cell>
          <cell r="I1636" t="str">
            <v>FOOD SERVICE</v>
          </cell>
          <cell r="J1636" t="str">
            <v>FLAC 8</v>
          </cell>
          <cell r="K1636" t="str">
            <v>LACTALIS</v>
          </cell>
          <cell r="L1636" t="str">
            <v>RODRIGO</v>
          </cell>
          <cell r="M1636" t="str">
            <v>ALEXANDRO</v>
          </cell>
        </row>
        <row r="1637">
          <cell r="B1637">
            <v>5343099</v>
          </cell>
          <cell r="C1637" t="str">
            <v>MATHEUS TORRES CONFEITARIA LTDA</v>
          </cell>
          <cell r="D1637">
            <v>7001</v>
          </cell>
          <cell r="E1637" t="str">
            <v>0749</v>
          </cell>
          <cell r="F1637" t="str">
            <v>C5</v>
          </cell>
          <cell r="G1637" t="str">
            <v>SP</v>
          </cell>
          <cell r="H1637" t="str">
            <v>DISTRIBUIÇÃO</v>
          </cell>
          <cell r="I1637" t="str">
            <v>FOOD SERVICE</v>
          </cell>
          <cell r="J1637" t="str">
            <v>FLAC 3</v>
          </cell>
          <cell r="K1637" t="str">
            <v>LACTALIS</v>
          </cell>
          <cell r="L1637" t="str">
            <v>RODRIGO</v>
          </cell>
          <cell r="M1637" t="str">
            <v>ALEXANDRO</v>
          </cell>
        </row>
        <row r="1638">
          <cell r="B1638">
            <v>5089548</v>
          </cell>
          <cell r="C1638" t="str">
            <v>COOPERATIVA AGROINDUSTRIAL SERRAMAR</v>
          </cell>
          <cell r="D1638">
            <v>3001</v>
          </cell>
          <cell r="E1638" t="str">
            <v>0028</v>
          </cell>
          <cell r="F1638" t="str">
            <v>C1</v>
          </cell>
          <cell r="G1638" t="str">
            <v>SP</v>
          </cell>
          <cell r="H1638" t="str">
            <v>INGREDIENTS</v>
          </cell>
          <cell r="I1638" t="str">
            <v>INGREDIENTS</v>
          </cell>
          <cell r="J1638" t="str">
            <v>TATIANA NITTA</v>
          </cell>
          <cell r="K1638" t="str">
            <v>ITAMBÉ</v>
          </cell>
          <cell r="L1638" t="str">
            <v>MAURICIO</v>
          </cell>
          <cell r="M1638" t="str">
            <v>TATIANA NITTA</v>
          </cell>
        </row>
        <row r="1639">
          <cell r="B1639">
            <v>5208856</v>
          </cell>
          <cell r="C1639" t="str">
            <v>BATISTA E IZEPE LTDA</v>
          </cell>
          <cell r="D1639">
            <v>3001</v>
          </cell>
          <cell r="E1639" t="str">
            <v>0028</v>
          </cell>
          <cell r="F1639" t="str">
            <v>C1</v>
          </cell>
          <cell r="G1639" t="str">
            <v>PR</v>
          </cell>
          <cell r="H1639" t="str">
            <v>INGREDIENTS</v>
          </cell>
          <cell r="I1639" t="str">
            <v>INGREDIENTS</v>
          </cell>
          <cell r="J1639" t="str">
            <v>DUAS RODAS</v>
          </cell>
          <cell r="K1639" t="str">
            <v>ITAMBÉ</v>
          </cell>
          <cell r="L1639" t="str">
            <v>MAURICIO</v>
          </cell>
          <cell r="M1639" t="str">
            <v>MARCELO</v>
          </cell>
        </row>
        <row r="1640">
          <cell r="B1640">
            <v>5224070</v>
          </cell>
          <cell r="C1640" t="str">
            <v>DISTRIBUIDORA JJ DE ALIMENTOS</v>
          </cell>
          <cell r="D1640">
            <v>3001</v>
          </cell>
          <cell r="E1640" t="str">
            <v>0075</v>
          </cell>
          <cell r="F1640" t="str">
            <v>C1</v>
          </cell>
          <cell r="G1640" t="str">
            <v>CE</v>
          </cell>
          <cell r="H1640" t="str">
            <v>DISTRIBUIÇÃO</v>
          </cell>
          <cell r="I1640" t="str">
            <v>FOOD SERVICE</v>
          </cell>
          <cell r="J1640" t="str">
            <v>WH FOOD SERVICE CE</v>
          </cell>
          <cell r="K1640" t="str">
            <v>ITAMBÉ</v>
          </cell>
          <cell r="L1640" t="str">
            <v>RODRIGO</v>
          </cell>
          <cell r="M1640" t="str">
            <v>VAGO NORDESTE</v>
          </cell>
        </row>
        <row r="1641">
          <cell r="B1641">
            <v>5229985</v>
          </cell>
          <cell r="C1641" t="str">
            <v>FRANCISCO C LIMA DISTRIB DE ALI</v>
          </cell>
          <cell r="D1641">
            <v>3001</v>
          </cell>
          <cell r="E1641" t="str">
            <v>0075</v>
          </cell>
          <cell r="F1641" t="str">
            <v>C1</v>
          </cell>
          <cell r="G1641" t="str">
            <v>CE</v>
          </cell>
          <cell r="H1641" t="str">
            <v>DISTRIBUIÇÃO</v>
          </cell>
          <cell r="I1641" t="str">
            <v>FOOD SERVICE</v>
          </cell>
          <cell r="J1641" t="str">
            <v>WH FOOD SERVICE CE</v>
          </cell>
          <cell r="K1641" t="str">
            <v>ITAMBÉ</v>
          </cell>
          <cell r="L1641" t="str">
            <v>RODRIGO</v>
          </cell>
          <cell r="M1641" t="str">
            <v>VAGO NORDESTE</v>
          </cell>
        </row>
        <row r="1642">
          <cell r="B1642">
            <v>5321782</v>
          </cell>
          <cell r="C1642" t="str">
            <v>CENTER COMERCIO DE EMBALAGENS L</v>
          </cell>
          <cell r="D1642">
            <v>3001</v>
          </cell>
          <cell r="E1642" t="str">
            <v>0126</v>
          </cell>
          <cell r="F1642" t="str">
            <v>C1</v>
          </cell>
          <cell r="G1642" t="str">
            <v>PR</v>
          </cell>
          <cell r="H1642" t="str">
            <v>DISTRIBUIÇÃO</v>
          </cell>
          <cell r="I1642" t="str">
            <v>FOOD SERVICE</v>
          </cell>
          <cell r="J1642" t="str">
            <v>ANTÔNIO SOUZA</v>
          </cell>
          <cell r="K1642" t="str">
            <v>ITAMBÉ</v>
          </cell>
          <cell r="L1642" t="str">
            <v>RODRIGO</v>
          </cell>
          <cell r="M1642" t="str">
            <v>VAGO SUL</v>
          </cell>
        </row>
        <row r="1643">
          <cell r="B1643">
            <v>5115019</v>
          </cell>
          <cell r="C1643" t="str">
            <v>J ARAUJO DISTRIBUIDORA IMP E EXP SA</v>
          </cell>
          <cell r="D1643">
            <v>7001</v>
          </cell>
          <cell r="E1643" t="str">
            <v>0739</v>
          </cell>
          <cell r="F1643" t="str">
            <v>C1</v>
          </cell>
          <cell r="G1643" t="str">
            <v>RJ</v>
          </cell>
          <cell r="H1643" t="str">
            <v>DISTRIBUIÇÃO</v>
          </cell>
          <cell r="I1643" t="str">
            <v>FOOD SERVICE</v>
          </cell>
          <cell r="J1643" t="str">
            <v>JESSICA CARLA</v>
          </cell>
          <cell r="K1643" t="str">
            <v>LACTALIS</v>
          </cell>
          <cell r="L1643" t="str">
            <v>RODRIGO</v>
          </cell>
          <cell r="M1643" t="str">
            <v>JESSICA</v>
          </cell>
        </row>
        <row r="1644">
          <cell r="B1644">
            <v>5284751</v>
          </cell>
          <cell r="C1644" t="str">
            <v>LATICINIO MARIANNA LTDA</v>
          </cell>
          <cell r="D1644">
            <v>3001</v>
          </cell>
          <cell r="E1644" t="str">
            <v>0028</v>
          </cell>
          <cell r="F1644" t="str">
            <v>C1</v>
          </cell>
          <cell r="G1644" t="str">
            <v>BA</v>
          </cell>
          <cell r="H1644" t="str">
            <v>INGREDIENTS</v>
          </cell>
          <cell r="I1644" t="str">
            <v>INGREDIENTS</v>
          </cell>
          <cell r="J1644" t="str">
            <v>JOEL ELEOTÉRIO</v>
          </cell>
          <cell r="K1644" t="str">
            <v>ITAMBÉ</v>
          </cell>
          <cell r="L1644" t="str">
            <v>MAURICIO</v>
          </cell>
          <cell r="M1644" t="str">
            <v>JOEL</v>
          </cell>
        </row>
        <row r="1645">
          <cell r="B1645">
            <v>5341998</v>
          </cell>
          <cell r="C1645" t="str">
            <v>CENTAURO INDUSTRIA E COMERCIO L</v>
          </cell>
          <cell r="D1645">
            <v>7001</v>
          </cell>
          <cell r="E1645" t="str">
            <v>0749</v>
          </cell>
          <cell r="F1645" t="str">
            <v>C5</v>
          </cell>
          <cell r="G1645" t="str">
            <v>SP</v>
          </cell>
          <cell r="H1645" t="str">
            <v>DISTRIBUIÇÃO</v>
          </cell>
          <cell r="I1645" t="str">
            <v>FOOD SERVICE</v>
          </cell>
          <cell r="J1645" t="str">
            <v>FLAC 3</v>
          </cell>
          <cell r="K1645" t="str">
            <v>LACTALIS</v>
          </cell>
          <cell r="L1645" t="str">
            <v>RODRIGO</v>
          </cell>
          <cell r="M1645" t="str">
            <v>ALEXANDRO</v>
          </cell>
        </row>
        <row r="1646">
          <cell r="B1646">
            <v>5012419</v>
          </cell>
          <cell r="C1646" t="str">
            <v>BONNA CESTA CAMPS COM ALIM LTDA</v>
          </cell>
          <cell r="D1646">
            <v>7001</v>
          </cell>
          <cell r="E1646" t="str">
            <v>0749</v>
          </cell>
          <cell r="F1646" t="str">
            <v>C5</v>
          </cell>
          <cell r="G1646" t="str">
            <v>SP</v>
          </cell>
          <cell r="H1646" t="str">
            <v>DISTRIBUIÇÃO</v>
          </cell>
          <cell r="I1646" t="str">
            <v>FOOD SERVICE</v>
          </cell>
          <cell r="J1646" t="str">
            <v>FLAC 1</v>
          </cell>
          <cell r="K1646" t="str">
            <v>LACTALIS</v>
          </cell>
          <cell r="L1646" t="str">
            <v>RODRIGO</v>
          </cell>
          <cell r="M1646" t="str">
            <v>ALEXANDRO</v>
          </cell>
        </row>
        <row r="1647">
          <cell r="B1647">
            <v>5224927</v>
          </cell>
          <cell r="C1647" t="str">
            <v>BF SORVETES LTDA</v>
          </cell>
          <cell r="D1647">
            <v>3001</v>
          </cell>
          <cell r="E1647" t="str">
            <v>0028</v>
          </cell>
          <cell r="F1647" t="str">
            <v>C1</v>
          </cell>
          <cell r="G1647" t="str">
            <v>PR</v>
          </cell>
          <cell r="H1647" t="str">
            <v>INGREDIENTS</v>
          </cell>
          <cell r="I1647" t="str">
            <v>INGREDIENTS</v>
          </cell>
          <cell r="J1647" t="str">
            <v>DUAS RODAS</v>
          </cell>
          <cell r="K1647" t="str">
            <v>ITAMBÉ</v>
          </cell>
          <cell r="L1647" t="str">
            <v>MAURICIO</v>
          </cell>
          <cell r="M1647" t="str">
            <v>MARCELO</v>
          </cell>
        </row>
        <row r="1648">
          <cell r="B1648">
            <v>5300135</v>
          </cell>
          <cell r="C1648" t="str">
            <v>SUPERMIX NUTRICAO ANIMAL LTDA</v>
          </cell>
          <cell r="D1648">
            <v>3001</v>
          </cell>
          <cell r="E1648" t="str">
            <v>0122</v>
          </cell>
          <cell r="F1648" t="str">
            <v>C1</v>
          </cell>
          <cell r="G1648" t="str">
            <v>MG</v>
          </cell>
          <cell r="H1648" t="str">
            <v>INGREDIENTS</v>
          </cell>
          <cell r="I1648" t="str">
            <v>INGREDIENTS</v>
          </cell>
          <cell r="J1648" t="str">
            <v>JOEL ELEOTÉRIO</v>
          </cell>
          <cell r="K1648" t="str">
            <v>ITAMBÉ</v>
          </cell>
          <cell r="L1648" t="str">
            <v>MAURICIO</v>
          </cell>
          <cell r="M1648" t="str">
            <v>JOEL</v>
          </cell>
        </row>
        <row r="1649">
          <cell r="B1649">
            <v>5335146</v>
          </cell>
          <cell r="C1649" t="str">
            <v>BERRY S INDUSTRIA DE SORVETES L</v>
          </cell>
          <cell r="D1649">
            <v>3001</v>
          </cell>
          <cell r="E1649" t="str">
            <v>0028</v>
          </cell>
          <cell r="F1649" t="str">
            <v>C1</v>
          </cell>
          <cell r="G1649" t="str">
            <v>MG</v>
          </cell>
          <cell r="H1649" t="str">
            <v>INGREDIENTS</v>
          </cell>
          <cell r="I1649" t="str">
            <v>INGREDIENTS</v>
          </cell>
          <cell r="J1649" t="str">
            <v>HENRIQUE FERREIRA</v>
          </cell>
          <cell r="K1649" t="str">
            <v>ITAMBÉ</v>
          </cell>
          <cell r="L1649" t="str">
            <v>MAURICIO</v>
          </cell>
          <cell r="M1649" t="str">
            <v>JOEL</v>
          </cell>
        </row>
        <row r="1650">
          <cell r="B1650">
            <v>5342187</v>
          </cell>
          <cell r="C1650" t="str">
            <v>LUCHIARI E FERRAZ I E COM D ALI</v>
          </cell>
          <cell r="D1650">
            <v>7001</v>
          </cell>
          <cell r="E1650" t="str">
            <v>0749</v>
          </cell>
          <cell r="F1650" t="str">
            <v>C5</v>
          </cell>
          <cell r="G1650" t="str">
            <v>SP</v>
          </cell>
          <cell r="H1650" t="str">
            <v>DISTRIBUIÇÃO</v>
          </cell>
          <cell r="I1650" t="str">
            <v>FOOD SERVICE</v>
          </cell>
          <cell r="J1650" t="str">
            <v>FLAC 5</v>
          </cell>
          <cell r="K1650" t="str">
            <v>LACTALIS</v>
          </cell>
          <cell r="L1650" t="str">
            <v>RODRIGO</v>
          </cell>
          <cell r="M1650" t="str">
            <v>ALEXANDRO</v>
          </cell>
        </row>
        <row r="1651">
          <cell r="B1651">
            <v>5342972</v>
          </cell>
          <cell r="C1651" t="str">
            <v>MICH MICH PADARIA ARTESANAL LTD</v>
          </cell>
          <cell r="D1651">
            <v>7001</v>
          </cell>
          <cell r="E1651" t="str">
            <v>0749</v>
          </cell>
          <cell r="F1651" t="str">
            <v>C5</v>
          </cell>
          <cell r="G1651" t="str">
            <v>SP</v>
          </cell>
          <cell r="H1651" t="str">
            <v>DISTRIBUIÇÃO</v>
          </cell>
          <cell r="I1651" t="str">
            <v>FOOD SERVICE</v>
          </cell>
          <cell r="J1651" t="str">
            <v>FLAC 2</v>
          </cell>
          <cell r="K1651" t="str">
            <v>LACTALIS</v>
          </cell>
          <cell r="L1651" t="str">
            <v>RODRIGO</v>
          </cell>
          <cell r="M1651" t="str">
            <v>ALEXANDRO</v>
          </cell>
        </row>
        <row r="1652">
          <cell r="B1652">
            <v>5343040</v>
          </cell>
          <cell r="C1652" t="str">
            <v>BRASIL ARARAJUBA LTDA</v>
          </cell>
          <cell r="D1652">
            <v>3001</v>
          </cell>
          <cell r="E1652" t="str">
            <v>0028</v>
          </cell>
          <cell r="F1652" t="str">
            <v>C1</v>
          </cell>
          <cell r="G1652" t="str">
            <v>SC</v>
          </cell>
          <cell r="H1652" t="str">
            <v>INGREDIENTS</v>
          </cell>
          <cell r="I1652" t="str">
            <v>INGREDIENTS</v>
          </cell>
          <cell r="J1652" t="str">
            <v>DUAS RODAS</v>
          </cell>
          <cell r="K1652" t="str">
            <v>ITAMBÉ</v>
          </cell>
          <cell r="L1652" t="str">
            <v>MAURICIO</v>
          </cell>
          <cell r="M1652" t="str">
            <v>MARCELO</v>
          </cell>
        </row>
        <row r="1653">
          <cell r="B1653">
            <v>5150509</v>
          </cell>
          <cell r="C1653" t="str">
            <v>SELECIONATA IND ALIM</v>
          </cell>
          <cell r="D1653">
            <v>3001</v>
          </cell>
          <cell r="E1653" t="str">
            <v>0028</v>
          </cell>
          <cell r="F1653" t="str">
            <v>C1</v>
          </cell>
          <cell r="G1653" t="str">
            <v>MG</v>
          </cell>
          <cell r="H1653" t="str">
            <v>INGREDIENTS</v>
          </cell>
          <cell r="I1653" t="str">
            <v>INGREDIENTS</v>
          </cell>
          <cell r="J1653" t="str">
            <v>HENRIQUE FERREIRA</v>
          </cell>
          <cell r="K1653" t="str">
            <v>ITAMBÉ</v>
          </cell>
          <cell r="L1653" t="str">
            <v>MAURICIO</v>
          </cell>
          <cell r="M1653" t="str">
            <v>JOEL</v>
          </cell>
        </row>
        <row r="1654">
          <cell r="B1654">
            <v>5194511</v>
          </cell>
          <cell r="C1654" t="str">
            <v>DOCEMEL ALIMENTOS EIRELI EPP</v>
          </cell>
          <cell r="D1654">
            <v>6001</v>
          </cell>
          <cell r="E1654" t="str">
            <v>6123</v>
          </cell>
          <cell r="F1654" t="str">
            <v>C1</v>
          </cell>
          <cell r="G1654" t="str">
            <v>MS</v>
          </cell>
          <cell r="H1654" t="str">
            <v>INGREDIENTS</v>
          </cell>
          <cell r="I1654" t="str">
            <v>INGREDIENTS</v>
          </cell>
          <cell r="J1654" t="str">
            <v>DUAS RODAS</v>
          </cell>
          <cell r="K1654" t="str">
            <v>ITAMBÉ</v>
          </cell>
          <cell r="L1654" t="str">
            <v>MAURICIO</v>
          </cell>
          <cell r="M1654" t="str">
            <v>MARCELO</v>
          </cell>
        </row>
        <row r="1655">
          <cell r="B1655">
            <v>5320317</v>
          </cell>
          <cell r="C1655" t="str">
            <v>L F S COM E IMPORTACAO DE ALIM</v>
          </cell>
          <cell r="D1655">
            <v>6001</v>
          </cell>
          <cell r="E1655" t="str">
            <v>6075</v>
          </cell>
          <cell r="F1655" t="str">
            <v>C1</v>
          </cell>
          <cell r="G1655" t="str">
            <v>CE</v>
          </cell>
          <cell r="H1655" t="str">
            <v>DISTRIBUIÇÃO</v>
          </cell>
          <cell r="I1655" t="str">
            <v>FOOD SERVICE</v>
          </cell>
          <cell r="J1655" t="str">
            <v>WH FOOD SERVICE CE</v>
          </cell>
          <cell r="K1655" t="str">
            <v>ITAMBÉ</v>
          </cell>
          <cell r="L1655" t="str">
            <v>RODRIGO</v>
          </cell>
          <cell r="M1655" t="str">
            <v>VAGO NORDESTE</v>
          </cell>
        </row>
        <row r="1656">
          <cell r="B1656">
            <v>5331370</v>
          </cell>
          <cell r="C1656" t="str">
            <v>DMS COM E DISTRIBUICAO DE CAFE</v>
          </cell>
          <cell r="D1656">
            <v>4001</v>
          </cell>
          <cell r="E1656" t="str">
            <v>0423</v>
          </cell>
          <cell r="F1656" t="str">
            <v>C5</v>
          </cell>
          <cell r="G1656" t="str">
            <v>MG</v>
          </cell>
          <cell r="H1656" t="str">
            <v>INGREDIENTS</v>
          </cell>
          <cell r="I1656" t="str">
            <v>INGREDIENTS</v>
          </cell>
          <cell r="J1656" t="str">
            <v>JOEL ELEOTÉRIO</v>
          </cell>
          <cell r="K1656" t="str">
            <v>LACTALIS</v>
          </cell>
          <cell r="L1656" t="str">
            <v>MAURICIO</v>
          </cell>
          <cell r="M1656" t="str">
            <v>JOEL</v>
          </cell>
        </row>
        <row r="1657">
          <cell r="B1657">
            <v>5339140</v>
          </cell>
          <cell r="C1657" t="str">
            <v>SORVETERIA NORONHA LTDA</v>
          </cell>
          <cell r="D1657">
            <v>6001</v>
          </cell>
          <cell r="E1657" t="str">
            <v>6028</v>
          </cell>
          <cell r="F1657" t="str">
            <v>C1</v>
          </cell>
          <cell r="G1657" t="str">
            <v>MS</v>
          </cell>
          <cell r="H1657" t="str">
            <v>INGREDIENTS</v>
          </cell>
          <cell r="I1657" t="str">
            <v>INGREDIENTS</v>
          </cell>
          <cell r="J1657" t="str">
            <v>DUAS RODAS</v>
          </cell>
          <cell r="K1657" t="str">
            <v>ITAMBÉ</v>
          </cell>
          <cell r="L1657" t="str">
            <v>MAURICIO</v>
          </cell>
          <cell r="M1657" t="str">
            <v>MARCELO</v>
          </cell>
        </row>
        <row r="1658">
          <cell r="B1658">
            <v>5023770</v>
          </cell>
          <cell r="C1658" t="str">
            <v>SOLMAR DIST DE ALIMENTOS LTDA</v>
          </cell>
          <cell r="D1658">
            <v>6001</v>
          </cell>
          <cell r="E1658" t="str">
            <v>6127</v>
          </cell>
          <cell r="F1658" t="str">
            <v>C1</v>
          </cell>
          <cell r="G1658" t="str">
            <v>CE</v>
          </cell>
          <cell r="H1658" t="str">
            <v>DISTRIBUIÇÃO</v>
          </cell>
          <cell r="I1658" t="str">
            <v>FOOD SERVICE</v>
          </cell>
          <cell r="J1658" t="str">
            <v>WH FOOD SERVICE CE</v>
          </cell>
          <cell r="K1658" t="str">
            <v>ITAMBÉ</v>
          </cell>
          <cell r="L1658" t="str">
            <v>RODRIGO</v>
          </cell>
          <cell r="M1658" t="str">
            <v>VAGO NORDESTE</v>
          </cell>
        </row>
        <row r="1659">
          <cell r="B1659">
            <v>5026768</v>
          </cell>
          <cell r="C1659" t="str">
            <v>FORTALI DIST DE ALIMENTOS LTDA</v>
          </cell>
          <cell r="D1659">
            <v>6001</v>
          </cell>
          <cell r="E1659" t="str">
            <v>6127</v>
          </cell>
          <cell r="F1659" t="str">
            <v>C1</v>
          </cell>
          <cell r="G1659" t="str">
            <v>CE</v>
          </cell>
          <cell r="H1659" t="str">
            <v>DISTRIBUIÇÃO</v>
          </cell>
          <cell r="I1659" t="str">
            <v>FOOD SERVICE</v>
          </cell>
          <cell r="J1659" t="str">
            <v>WH FOOD SERVICE CE</v>
          </cell>
          <cell r="K1659" t="str">
            <v>ITAMBÉ</v>
          </cell>
          <cell r="L1659" t="str">
            <v>RODRIGO</v>
          </cell>
          <cell r="M1659" t="str">
            <v>VAGO NORDESTE</v>
          </cell>
        </row>
        <row r="1660">
          <cell r="B1660">
            <v>5105940</v>
          </cell>
          <cell r="C1660" t="str">
            <v>MERCANTIL PRIMAR LTDA</v>
          </cell>
          <cell r="D1660">
            <v>6001</v>
          </cell>
          <cell r="E1660" t="str">
            <v>6125</v>
          </cell>
          <cell r="F1660" t="str">
            <v>C1</v>
          </cell>
          <cell r="G1660" t="str">
            <v>SP</v>
          </cell>
          <cell r="H1660" t="str">
            <v>DISTRIBUIÇÃO</v>
          </cell>
          <cell r="I1660" t="str">
            <v>FOOD SERVICE</v>
          </cell>
          <cell r="J1660" t="str">
            <v>LUCAS ANDRADE</v>
          </cell>
          <cell r="K1660" t="str">
            <v>ITAMBÉ</v>
          </cell>
          <cell r="L1660" t="str">
            <v>RODRIGO</v>
          </cell>
          <cell r="M1660" t="str">
            <v>RAQUEL BARBOSA</v>
          </cell>
        </row>
        <row r="1661">
          <cell r="B1661">
            <v>5201973</v>
          </cell>
          <cell r="C1661" t="str">
            <v>HARUS COM VAREJ DE COSM LTDA</v>
          </cell>
          <cell r="D1661">
            <v>6001</v>
          </cell>
          <cell r="E1661" t="str">
            <v>6127</v>
          </cell>
          <cell r="F1661" t="str">
            <v>C1</v>
          </cell>
          <cell r="G1661" t="str">
            <v>CE</v>
          </cell>
          <cell r="H1661" t="str">
            <v>DISTRIBUIÇÃO</v>
          </cell>
          <cell r="I1661" t="str">
            <v>FOOD SERVICE</v>
          </cell>
          <cell r="J1661" t="str">
            <v>WH FOOD SERVICE CE</v>
          </cell>
          <cell r="K1661" t="str">
            <v>ITAMBÉ</v>
          </cell>
          <cell r="L1661" t="str">
            <v>RODRIGO</v>
          </cell>
          <cell r="M1661" t="str">
            <v>VAGO NORDESTE</v>
          </cell>
        </row>
        <row r="1662">
          <cell r="B1662">
            <v>5224070</v>
          </cell>
          <cell r="C1662" t="str">
            <v>DISTRIBUIDORA JJ DE ALIMENTOS</v>
          </cell>
          <cell r="D1662">
            <v>6001</v>
          </cell>
          <cell r="E1662" t="str">
            <v>6127</v>
          </cell>
          <cell r="F1662" t="str">
            <v>C1</v>
          </cell>
          <cell r="G1662" t="str">
            <v>CE</v>
          </cell>
          <cell r="H1662" t="str">
            <v>DISTRIBUIÇÃO</v>
          </cell>
          <cell r="I1662" t="str">
            <v>FOOD SERVICE</v>
          </cell>
          <cell r="J1662" t="str">
            <v>WH FOOD SERVICE CE</v>
          </cell>
          <cell r="K1662" t="str">
            <v>ITAMBÉ</v>
          </cell>
          <cell r="L1662" t="str">
            <v>RODRIGO</v>
          </cell>
          <cell r="M1662" t="str">
            <v>VAGO NORDESTE</v>
          </cell>
        </row>
        <row r="1663">
          <cell r="B1663">
            <v>5229985</v>
          </cell>
          <cell r="C1663" t="str">
            <v>FRANCISCO C LIMA DISTRIB DE ALI</v>
          </cell>
          <cell r="D1663">
            <v>6001</v>
          </cell>
          <cell r="E1663" t="str">
            <v>6075</v>
          </cell>
          <cell r="F1663" t="str">
            <v>C1</v>
          </cell>
          <cell r="G1663" t="str">
            <v>CE</v>
          </cell>
          <cell r="H1663" t="str">
            <v>DISTRIBUIÇÃO</v>
          </cell>
          <cell r="I1663" t="str">
            <v>FOOD SERVICE</v>
          </cell>
          <cell r="J1663" t="str">
            <v>WH FOOD SERVICE CE</v>
          </cell>
          <cell r="K1663" t="str">
            <v>ITAMBÉ</v>
          </cell>
          <cell r="L1663" t="str">
            <v>RODRIGO</v>
          </cell>
          <cell r="M1663" t="str">
            <v>VAGO NORDESTE</v>
          </cell>
        </row>
        <row r="1664">
          <cell r="B1664">
            <v>5229985</v>
          </cell>
          <cell r="C1664" t="str">
            <v>FRANCISCO C LIMA DISTRIB DE ALI</v>
          </cell>
          <cell r="D1664">
            <v>6001</v>
          </cell>
          <cell r="E1664" t="str">
            <v>6127</v>
          </cell>
          <cell r="F1664" t="str">
            <v>C1</v>
          </cell>
          <cell r="G1664" t="str">
            <v>CE</v>
          </cell>
          <cell r="H1664" t="str">
            <v>DISTRIBUIÇÃO</v>
          </cell>
          <cell r="I1664" t="str">
            <v>FOOD SERVICE</v>
          </cell>
          <cell r="J1664" t="str">
            <v>WH FOOD SERVICE CE</v>
          </cell>
          <cell r="K1664" t="str">
            <v>ITAMBÉ</v>
          </cell>
          <cell r="L1664" t="str">
            <v>RODRIGO</v>
          </cell>
          <cell r="M1664" t="str">
            <v>VAGO NORDESTE</v>
          </cell>
        </row>
        <row r="1665">
          <cell r="B1665">
            <v>5331461</v>
          </cell>
          <cell r="C1665" t="str">
            <v>TANGARA IMPORTADORA E EXPORTADO</v>
          </cell>
          <cell r="D1665">
            <v>4001</v>
          </cell>
          <cell r="E1665" t="str">
            <v>0456</v>
          </cell>
          <cell r="F1665" t="str">
            <v>C1</v>
          </cell>
          <cell r="G1665" t="str">
            <v>RS</v>
          </cell>
          <cell r="H1665" t="str">
            <v>INGREDIENTS</v>
          </cell>
          <cell r="I1665" t="str">
            <v>INGREDIENTS</v>
          </cell>
          <cell r="J1665" t="str">
            <v>MARCELO RODRIGUES</v>
          </cell>
          <cell r="K1665" t="str">
            <v>LACTALIS</v>
          </cell>
          <cell r="L1665" t="str">
            <v>MAURICIO</v>
          </cell>
          <cell r="M1665" t="str">
            <v>MARCELO</v>
          </cell>
        </row>
        <row r="1666">
          <cell r="B1666">
            <v>5341678</v>
          </cell>
          <cell r="C1666" t="str">
            <v>CAFETERIA COFFEE BY BIA LTDA</v>
          </cell>
          <cell r="D1666">
            <v>7001</v>
          </cell>
          <cell r="E1666" t="str">
            <v>0749</v>
          </cell>
          <cell r="F1666" t="str">
            <v>C5</v>
          </cell>
          <cell r="G1666" t="str">
            <v>SP</v>
          </cell>
          <cell r="H1666" t="str">
            <v>DISTRIBUIÇÃO</v>
          </cell>
          <cell r="I1666" t="str">
            <v>FOOD SERVICE</v>
          </cell>
          <cell r="J1666" t="str">
            <v>FLAC 3</v>
          </cell>
          <cell r="K1666" t="str">
            <v>LACTALIS</v>
          </cell>
          <cell r="L1666" t="str">
            <v>RODRIGO</v>
          </cell>
          <cell r="M1666" t="str">
            <v>ALEXANDRO</v>
          </cell>
        </row>
        <row r="1667">
          <cell r="B1667">
            <v>5343417</v>
          </cell>
          <cell r="C1667" t="str">
            <v>LEITE CONFIANCA IND E COMERCIO</v>
          </cell>
          <cell r="D1667">
            <v>4001</v>
          </cell>
          <cell r="E1667" t="str">
            <v>0423</v>
          </cell>
          <cell r="F1667" t="str">
            <v>C5</v>
          </cell>
          <cell r="G1667" t="str">
            <v>PE</v>
          </cell>
          <cell r="H1667" t="str">
            <v>INGREDIENTS</v>
          </cell>
          <cell r="I1667" t="str">
            <v>INGREDIENTS</v>
          </cell>
          <cell r="J1667" t="str">
            <v>JOEL ELEOTÉRIO</v>
          </cell>
          <cell r="K1667" t="str">
            <v>LACTALIS</v>
          </cell>
          <cell r="L1667" t="str">
            <v>MAURICIO</v>
          </cell>
          <cell r="M1667" t="str">
            <v>JOEL</v>
          </cell>
        </row>
        <row r="1668">
          <cell r="B1668">
            <v>5147526</v>
          </cell>
          <cell r="C1668" t="str">
            <v>SAPORE SA</v>
          </cell>
          <cell r="D1668">
            <v>6001</v>
          </cell>
          <cell r="E1668" t="str">
            <v>6028</v>
          </cell>
          <cell r="F1668" t="str">
            <v>C1</v>
          </cell>
          <cell r="G1668" t="str">
            <v>RJ</v>
          </cell>
          <cell r="H1668" t="str">
            <v>QSR</v>
          </cell>
          <cell r="I1668" t="str">
            <v>FOOD SERVICE</v>
          </cell>
          <cell r="J1668" t="str">
            <v>NUTRI</v>
          </cell>
          <cell r="K1668" t="str">
            <v>ITAMBÉ</v>
          </cell>
          <cell r="L1668" t="str">
            <v>PEDRO</v>
          </cell>
          <cell r="M1668" t="str">
            <v>AMANDA</v>
          </cell>
        </row>
        <row r="1669">
          <cell r="B1669">
            <v>5168811</v>
          </cell>
          <cell r="C1669" t="str">
            <v>ESPACO CHEF COM PROD ALIM DOM LTDA</v>
          </cell>
          <cell r="D1669">
            <v>6001</v>
          </cell>
          <cell r="E1669" t="str">
            <v>6127</v>
          </cell>
          <cell r="F1669" t="str">
            <v>C1</v>
          </cell>
          <cell r="G1669" t="str">
            <v>CE</v>
          </cell>
          <cell r="H1669" t="str">
            <v>DISTRIBUIÇÃO</v>
          </cell>
          <cell r="I1669" t="str">
            <v>FOOD SERVICE</v>
          </cell>
          <cell r="J1669" t="str">
            <v>WH FOOD SERVICE CE</v>
          </cell>
          <cell r="K1669" t="str">
            <v>ITAMBÉ</v>
          </cell>
          <cell r="L1669" t="str">
            <v>RODRIGO</v>
          </cell>
          <cell r="M1669" t="str">
            <v>VAGO NORDESTE</v>
          </cell>
        </row>
        <row r="1670">
          <cell r="B1670">
            <v>5201973</v>
          </cell>
          <cell r="C1670" t="str">
            <v>HARUS COM VAREJ DE COSM LTDA</v>
          </cell>
          <cell r="D1670">
            <v>6001</v>
          </cell>
          <cell r="E1670" t="str">
            <v>6075</v>
          </cell>
          <cell r="F1670" t="str">
            <v>C1</v>
          </cell>
          <cell r="G1670" t="str">
            <v>CE</v>
          </cell>
          <cell r="H1670" t="str">
            <v>DISTRIBUIÇÃO</v>
          </cell>
          <cell r="I1670" t="str">
            <v>FOOD SERVICE</v>
          </cell>
          <cell r="J1670" t="str">
            <v>WH FOOD SERVICE CE</v>
          </cell>
          <cell r="K1670" t="str">
            <v>ITAMBÉ</v>
          </cell>
          <cell r="L1670" t="str">
            <v>RODRIGO</v>
          </cell>
          <cell r="M1670" t="str">
            <v>VAGO NORDESTE</v>
          </cell>
        </row>
        <row r="1671">
          <cell r="B1671">
            <v>5224070</v>
          </cell>
          <cell r="C1671" t="str">
            <v>DISTRIBUIDORA JJ DE ALIMENTOS</v>
          </cell>
          <cell r="D1671">
            <v>6001</v>
          </cell>
          <cell r="E1671" t="str">
            <v>6075</v>
          </cell>
          <cell r="F1671" t="str">
            <v>C1</v>
          </cell>
          <cell r="G1671" t="str">
            <v>CE</v>
          </cell>
          <cell r="H1671" t="str">
            <v>DISTRIBUIÇÃO</v>
          </cell>
          <cell r="I1671" t="str">
            <v>FOOD SERVICE</v>
          </cell>
          <cell r="J1671" t="str">
            <v>WH FOOD SERVICE CE</v>
          </cell>
          <cell r="K1671" t="str">
            <v>ITAMBÉ</v>
          </cell>
          <cell r="L1671" t="str">
            <v>RODRIGO</v>
          </cell>
          <cell r="M1671" t="str">
            <v>VAGO NORDESTE</v>
          </cell>
        </row>
        <row r="1672">
          <cell r="B1672">
            <v>5255373</v>
          </cell>
          <cell r="C1672" t="str">
            <v>NOVA ITALIA RESTAURANTE LTDA</v>
          </cell>
          <cell r="D1672">
            <v>7001</v>
          </cell>
          <cell r="E1672" t="str">
            <v>0749</v>
          </cell>
          <cell r="F1672" t="str">
            <v>C5</v>
          </cell>
          <cell r="G1672" t="str">
            <v>SP</v>
          </cell>
          <cell r="H1672" t="str">
            <v>DISTRIBUIÇÃO</v>
          </cell>
          <cell r="I1672" t="str">
            <v>FOOD SERVICE</v>
          </cell>
          <cell r="J1672" t="str">
            <v>FLAC 3</v>
          </cell>
          <cell r="K1672" t="str">
            <v>LACTALIS</v>
          </cell>
          <cell r="L1672" t="str">
            <v>RODRIGO</v>
          </cell>
          <cell r="M1672" t="str">
            <v>ALEXANDRO</v>
          </cell>
        </row>
        <row r="1673">
          <cell r="B1673">
            <v>5268118</v>
          </cell>
          <cell r="C1673" t="str">
            <v>BASE DE HIDROGRAFIA DA MARIN EM</v>
          </cell>
          <cell r="D1673">
            <v>3001</v>
          </cell>
          <cell r="E1673" t="str">
            <v>0121</v>
          </cell>
          <cell r="F1673" t="str">
            <v>C1</v>
          </cell>
          <cell r="G1673" t="str">
            <v>RJ</v>
          </cell>
          <cell r="H1673" t="str">
            <v>OUTROS</v>
          </cell>
          <cell r="I1673" t="str">
            <v>OUTROS</v>
          </cell>
          <cell r="J1673" t="str">
            <v>EDUARDO LEITE LEVE LEITE</v>
          </cell>
          <cell r="K1673" t="str">
            <v>OUTROS</v>
          </cell>
          <cell r="L1673" t="str">
            <v>OUTROS</v>
          </cell>
          <cell r="M1673" t="str">
            <v>LICITAÇÃO</v>
          </cell>
        </row>
        <row r="1674">
          <cell r="B1674">
            <v>5311832</v>
          </cell>
          <cell r="C1674" t="str">
            <v>COMANDO DA MARINHA</v>
          </cell>
          <cell r="D1674">
            <v>3001</v>
          </cell>
          <cell r="E1674" t="str">
            <v>0121</v>
          </cell>
          <cell r="F1674" t="str">
            <v>C1</v>
          </cell>
          <cell r="G1674" t="str">
            <v>RJ</v>
          </cell>
          <cell r="H1674" t="str">
            <v>OUTROS</v>
          </cell>
          <cell r="I1674" t="str">
            <v>OUTROS</v>
          </cell>
          <cell r="J1674" t="str">
            <v>EDUARDO LEITE LEVE LEITE</v>
          </cell>
          <cell r="K1674" t="str">
            <v>OUTROS</v>
          </cell>
          <cell r="L1674" t="str">
            <v>OUTROS</v>
          </cell>
          <cell r="M1674" t="str">
            <v>LICITAÇÃO</v>
          </cell>
        </row>
        <row r="1675">
          <cell r="B1675">
            <v>5343609</v>
          </cell>
          <cell r="C1675" t="str">
            <v>UNICANDIE DISTRIBUIDORA DE DOCE</v>
          </cell>
          <cell r="D1675">
            <v>3001</v>
          </cell>
          <cell r="E1675" t="str">
            <v>0028</v>
          </cell>
          <cell r="F1675" t="str">
            <v>C1</v>
          </cell>
          <cell r="G1675" t="str">
            <v>PR</v>
          </cell>
          <cell r="H1675" t="str">
            <v>INGREDIENTS</v>
          </cell>
          <cell r="I1675" t="str">
            <v>INGREDIENTS</v>
          </cell>
          <cell r="J1675" t="str">
            <v>DUAS RODAS</v>
          </cell>
          <cell r="K1675" t="str">
            <v>ITAMBÉ</v>
          </cell>
          <cell r="L1675" t="str">
            <v>MAURICIO</v>
          </cell>
          <cell r="M1675" t="str">
            <v>MARCELO</v>
          </cell>
        </row>
        <row r="1676">
          <cell r="B1676">
            <v>5210624</v>
          </cell>
          <cell r="C1676" t="str">
            <v>PLATINA ESTOQUE ONLINE ALIMENTO</v>
          </cell>
          <cell r="D1676">
            <v>7001</v>
          </cell>
          <cell r="E1676" t="str">
            <v>0749</v>
          </cell>
          <cell r="F1676" t="str">
            <v>C5</v>
          </cell>
          <cell r="G1676" t="str">
            <v>SP</v>
          </cell>
          <cell r="H1676" t="str">
            <v>DISTRIBUIÇÃO</v>
          </cell>
          <cell r="I1676" t="str">
            <v>FOOD SERVICE</v>
          </cell>
          <cell r="J1676" t="str">
            <v>FLAC 1</v>
          </cell>
          <cell r="K1676" t="str">
            <v>LACTALIS</v>
          </cell>
          <cell r="L1676" t="str">
            <v>RODRIGO</v>
          </cell>
          <cell r="M1676" t="str">
            <v>ALEXANDRO</v>
          </cell>
        </row>
        <row r="1677">
          <cell r="B1677">
            <v>5009026</v>
          </cell>
          <cell r="C1677" t="str">
            <v>CENTRO DE ALIMENTOS LTDA</v>
          </cell>
          <cell r="D1677">
            <v>7001</v>
          </cell>
          <cell r="E1677" t="str">
            <v>0749</v>
          </cell>
          <cell r="F1677" t="str">
            <v>C5</v>
          </cell>
          <cell r="G1677" t="str">
            <v>SP</v>
          </cell>
          <cell r="H1677" t="str">
            <v>DISTRIBUIÇÃO</v>
          </cell>
          <cell r="I1677" t="str">
            <v>FOOD SERVICE</v>
          </cell>
          <cell r="J1677" t="str">
            <v>FLAC 1</v>
          </cell>
          <cell r="K1677" t="str">
            <v>LACTALIS</v>
          </cell>
          <cell r="L1677" t="str">
            <v>RODRIGO</v>
          </cell>
          <cell r="M1677" t="str">
            <v>ALEXANDRO</v>
          </cell>
        </row>
        <row r="1678">
          <cell r="B1678">
            <v>5135612</v>
          </cell>
          <cell r="C1678" t="str">
            <v>GR SERVICOS E ALIMENTACAO LTDA</v>
          </cell>
          <cell r="D1678">
            <v>3001</v>
          </cell>
          <cell r="E1678" t="str">
            <v>0123</v>
          </cell>
          <cell r="F1678" t="str">
            <v>C1</v>
          </cell>
          <cell r="G1678" t="str">
            <v>DF</v>
          </cell>
          <cell r="H1678" t="str">
            <v>QSR</v>
          </cell>
          <cell r="I1678" t="str">
            <v>FOOD SERVICE</v>
          </cell>
          <cell r="J1678" t="str">
            <v>NUTRI</v>
          </cell>
          <cell r="K1678" t="str">
            <v>ITAMBÉ</v>
          </cell>
          <cell r="L1678" t="str">
            <v>PEDRO</v>
          </cell>
          <cell r="M1678" t="str">
            <v>AMANDA</v>
          </cell>
        </row>
        <row r="1679">
          <cell r="B1679">
            <v>5183577</v>
          </cell>
          <cell r="C1679" t="str">
            <v>MULTI ATACADO DE ALIMENTOS LTDA</v>
          </cell>
          <cell r="D1679">
            <v>3001</v>
          </cell>
          <cell r="E1679" t="str">
            <v>0127</v>
          </cell>
          <cell r="F1679" t="str">
            <v>C1</v>
          </cell>
          <cell r="G1679" t="str">
            <v>PE</v>
          </cell>
          <cell r="H1679" t="str">
            <v>DISTRIBUIÇÃO</v>
          </cell>
          <cell r="I1679" t="str">
            <v>FOOD SERVICE</v>
          </cell>
          <cell r="J1679" t="str">
            <v>CLAUDIO JORGE</v>
          </cell>
          <cell r="K1679" t="str">
            <v>ITAMBÉ</v>
          </cell>
          <cell r="L1679" t="str">
            <v>RODRIGO</v>
          </cell>
          <cell r="M1679" t="str">
            <v>VAGO NORDESTE</v>
          </cell>
        </row>
        <row r="1680">
          <cell r="B1680">
            <v>5191490</v>
          </cell>
          <cell r="C1680" t="str">
            <v>G S LIMA ALIMENTOS</v>
          </cell>
          <cell r="D1680">
            <v>6001</v>
          </cell>
          <cell r="E1680" t="str">
            <v>6127</v>
          </cell>
          <cell r="F1680" t="str">
            <v>C1</v>
          </cell>
          <cell r="G1680" t="str">
            <v>CE</v>
          </cell>
          <cell r="H1680" t="str">
            <v>DISTRIBUIÇÃO</v>
          </cell>
          <cell r="I1680" t="str">
            <v>FOOD SERVICE</v>
          </cell>
          <cell r="J1680" t="str">
            <v>WH FOOD SERVICE CE</v>
          </cell>
          <cell r="K1680" t="str">
            <v>ITAMBÉ</v>
          </cell>
          <cell r="L1680" t="str">
            <v>RODRIGO</v>
          </cell>
          <cell r="M1680" t="str">
            <v>VAGO NORDESTE</v>
          </cell>
        </row>
        <row r="1681">
          <cell r="B1681">
            <v>5230141</v>
          </cell>
          <cell r="C1681" t="str">
            <v>DADALTO E SILVA LTDA</v>
          </cell>
          <cell r="D1681">
            <v>6001</v>
          </cell>
          <cell r="E1681" t="str">
            <v>6169</v>
          </cell>
          <cell r="F1681" t="str">
            <v>C1</v>
          </cell>
          <cell r="G1681" t="str">
            <v>ES</v>
          </cell>
          <cell r="H1681" t="str">
            <v>DISTRIBUIÇÃO</v>
          </cell>
          <cell r="I1681" t="str">
            <v>FOOD SERVICE</v>
          </cell>
          <cell r="J1681" t="str">
            <v>MARCELO DUARTE</v>
          </cell>
          <cell r="K1681" t="str">
            <v>ITAMBÉ</v>
          </cell>
          <cell r="L1681" t="str">
            <v>RODRIGO</v>
          </cell>
          <cell r="M1681" t="str">
            <v>JESSICA</v>
          </cell>
        </row>
        <row r="1682">
          <cell r="B1682">
            <v>5272524</v>
          </cell>
          <cell r="C1682" t="str">
            <v>ANDRE REGIANI</v>
          </cell>
          <cell r="D1682">
            <v>6001</v>
          </cell>
          <cell r="E1682" t="str">
            <v>6125</v>
          </cell>
          <cell r="F1682" t="str">
            <v>C1</v>
          </cell>
          <cell r="G1682" t="str">
            <v>SP</v>
          </cell>
          <cell r="H1682" t="str">
            <v>DISTRIBUIÇÃO</v>
          </cell>
          <cell r="I1682" t="str">
            <v>FOOD SERVICE</v>
          </cell>
          <cell r="J1682" t="str">
            <v>ALEXANDRO RODRIGUES</v>
          </cell>
          <cell r="K1682" t="str">
            <v>ITAMBÉ</v>
          </cell>
          <cell r="L1682" t="str">
            <v>RODRIGO</v>
          </cell>
          <cell r="M1682" t="str">
            <v>ALEXANDRO</v>
          </cell>
        </row>
        <row r="1683">
          <cell r="B1683">
            <v>5289989</v>
          </cell>
          <cell r="C1683" t="str">
            <v>MARIA DA VILLA ITAQUERA REST LT</v>
          </cell>
          <cell r="D1683">
            <v>7001</v>
          </cell>
          <cell r="E1683" t="str">
            <v>0749</v>
          </cell>
          <cell r="F1683" t="str">
            <v>C5</v>
          </cell>
          <cell r="G1683" t="str">
            <v>SP</v>
          </cell>
          <cell r="H1683" t="str">
            <v>DISTRIBUIÇÃO</v>
          </cell>
          <cell r="I1683" t="str">
            <v>FOOD SERVICE</v>
          </cell>
          <cell r="J1683" t="str">
            <v>FLAC 2</v>
          </cell>
          <cell r="K1683" t="str">
            <v>LACTALIS</v>
          </cell>
          <cell r="L1683" t="str">
            <v>RODRIGO</v>
          </cell>
          <cell r="M1683" t="str">
            <v>ALEXANDRO</v>
          </cell>
        </row>
        <row r="1684">
          <cell r="B1684">
            <v>5309465</v>
          </cell>
          <cell r="C1684" t="str">
            <v>MARIA DA VILLA INTERLAGOS RESTA</v>
          </cell>
          <cell r="D1684">
            <v>7001</v>
          </cell>
          <cell r="E1684" t="str">
            <v>0749</v>
          </cell>
          <cell r="F1684" t="str">
            <v>C5</v>
          </cell>
          <cell r="G1684" t="str">
            <v>SP</v>
          </cell>
          <cell r="H1684" t="str">
            <v>DISTRIBUIÇÃO</v>
          </cell>
          <cell r="I1684" t="str">
            <v>FOOD SERVICE</v>
          </cell>
          <cell r="J1684" t="str">
            <v>FLAC 2</v>
          </cell>
          <cell r="K1684" t="str">
            <v>LACTALIS</v>
          </cell>
          <cell r="L1684" t="str">
            <v>RODRIGO</v>
          </cell>
          <cell r="M1684" t="str">
            <v>ALEXANDRO</v>
          </cell>
        </row>
        <row r="1685">
          <cell r="B1685">
            <v>5329387</v>
          </cell>
          <cell r="C1685" t="str">
            <v>MARIA DA VILLA ARICANDUVA RESTA</v>
          </cell>
          <cell r="D1685">
            <v>7001</v>
          </cell>
          <cell r="E1685" t="str">
            <v>0749</v>
          </cell>
          <cell r="F1685" t="str">
            <v>C5</v>
          </cell>
          <cell r="G1685" t="str">
            <v>SP</v>
          </cell>
          <cell r="H1685" t="str">
            <v>DISTRIBUIÇÃO</v>
          </cell>
          <cell r="I1685" t="str">
            <v>FOOD SERVICE</v>
          </cell>
          <cell r="J1685" t="str">
            <v>FLAC 2</v>
          </cell>
          <cell r="K1685" t="str">
            <v>LACTALIS</v>
          </cell>
          <cell r="L1685" t="str">
            <v>RODRIGO</v>
          </cell>
          <cell r="M1685" t="str">
            <v>ALEXANDRO</v>
          </cell>
        </row>
        <row r="1686">
          <cell r="B1686">
            <v>5178518</v>
          </cell>
          <cell r="C1686" t="str">
            <v>NECHIO COMERCIO DISTRIB DE ALIMENT</v>
          </cell>
          <cell r="D1686">
            <v>7001</v>
          </cell>
          <cell r="E1686" t="str">
            <v>0739</v>
          </cell>
          <cell r="F1686" t="str">
            <v>C1</v>
          </cell>
          <cell r="G1686" t="str">
            <v>RJ</v>
          </cell>
          <cell r="H1686" t="str">
            <v>DISTRIBUIÇÃO</v>
          </cell>
          <cell r="I1686" t="str">
            <v>FOOD SERVICE</v>
          </cell>
          <cell r="J1686" t="str">
            <v>LUCIANA MARTINS</v>
          </cell>
          <cell r="K1686" t="str">
            <v>LACTALIS</v>
          </cell>
          <cell r="L1686" t="str">
            <v>RODRIGO</v>
          </cell>
          <cell r="M1686" t="str">
            <v>JESSICA</v>
          </cell>
        </row>
        <row r="1687">
          <cell r="B1687">
            <v>5182512</v>
          </cell>
          <cell r="C1687" t="str">
            <v>DOCA COMERCIO DE PROD ALIM LTDA</v>
          </cell>
          <cell r="D1687">
            <v>6001</v>
          </cell>
          <cell r="E1687" t="str">
            <v>6127</v>
          </cell>
          <cell r="F1687" t="str">
            <v>C1</v>
          </cell>
          <cell r="G1687" t="str">
            <v>CE</v>
          </cell>
          <cell r="H1687" t="str">
            <v>DISTRIBUIÇÃO</v>
          </cell>
          <cell r="I1687" t="str">
            <v>FOOD SERVICE</v>
          </cell>
          <cell r="J1687" t="str">
            <v>WH FOOD SERVICE CE</v>
          </cell>
          <cell r="K1687" t="str">
            <v>ITAMBÉ</v>
          </cell>
          <cell r="L1687" t="str">
            <v>RODRIGO</v>
          </cell>
          <cell r="M1687" t="str">
            <v>VAGO NORDESTE</v>
          </cell>
        </row>
        <row r="1688">
          <cell r="B1688">
            <v>5264084</v>
          </cell>
          <cell r="C1688" t="str">
            <v>PANETTERIA ATTIMINO LTDA</v>
          </cell>
          <cell r="D1688">
            <v>7001</v>
          </cell>
          <cell r="E1688" t="str">
            <v>0749</v>
          </cell>
          <cell r="F1688" t="str">
            <v>C5</v>
          </cell>
          <cell r="G1688" t="str">
            <v>SP</v>
          </cell>
          <cell r="H1688" t="str">
            <v>DISTRIBUIÇÃO</v>
          </cell>
          <cell r="I1688" t="str">
            <v>FOOD SERVICE</v>
          </cell>
          <cell r="J1688" t="str">
            <v>FLAC 3</v>
          </cell>
          <cell r="K1688" t="str">
            <v>LACTALIS</v>
          </cell>
          <cell r="L1688" t="str">
            <v>RODRIGO</v>
          </cell>
          <cell r="M1688" t="str">
            <v>ALEXANDRO</v>
          </cell>
        </row>
        <row r="1689">
          <cell r="B1689">
            <v>5331354</v>
          </cell>
          <cell r="C1689" t="str">
            <v>JFS ALIMENTOS LTDA</v>
          </cell>
          <cell r="D1689">
            <v>6001</v>
          </cell>
          <cell r="E1689" t="str">
            <v>6028</v>
          </cell>
          <cell r="F1689" t="str">
            <v>C1</v>
          </cell>
          <cell r="G1689" t="str">
            <v>SP</v>
          </cell>
          <cell r="H1689" t="str">
            <v>INGREDIENTS</v>
          </cell>
          <cell r="I1689" t="str">
            <v>INGREDIENTS</v>
          </cell>
          <cell r="J1689" t="str">
            <v>MARCELO RODRIGUES</v>
          </cell>
          <cell r="K1689" t="str">
            <v>ITAMBÉ</v>
          </cell>
          <cell r="L1689" t="str">
            <v>MAURICIO</v>
          </cell>
          <cell r="M1689" t="str">
            <v>MARCELO</v>
          </cell>
        </row>
        <row r="1690">
          <cell r="B1690">
            <v>5026399</v>
          </cell>
          <cell r="C1690" t="str">
            <v>RIO QUALITY COMERCIO DE ALIMENTOS</v>
          </cell>
          <cell r="D1690">
            <v>4001</v>
          </cell>
          <cell r="E1690" t="str">
            <v>0437</v>
          </cell>
          <cell r="F1690" t="str">
            <v>C1</v>
          </cell>
          <cell r="G1690" t="str">
            <v>RJ</v>
          </cell>
          <cell r="H1690" t="str">
            <v>DISTRIBUIÇÃO</v>
          </cell>
          <cell r="I1690" t="str">
            <v>FOOD SERVICE</v>
          </cell>
          <cell r="J1690" t="str">
            <v>JESSICA CARLA</v>
          </cell>
          <cell r="K1690" t="str">
            <v>LACTALIS</v>
          </cell>
          <cell r="L1690" t="str">
            <v>RODRIGO</v>
          </cell>
          <cell r="M1690" t="str">
            <v>JESSICA</v>
          </cell>
        </row>
        <row r="1691">
          <cell r="B1691">
            <v>5145674</v>
          </cell>
          <cell r="C1691" t="str">
            <v>DOCE VERAO LTDA</v>
          </cell>
          <cell r="D1691">
            <v>3001</v>
          </cell>
          <cell r="E1691" t="str">
            <v>0127</v>
          </cell>
          <cell r="F1691" t="str">
            <v>C1</v>
          </cell>
          <cell r="G1691" t="str">
            <v>BA</v>
          </cell>
          <cell r="H1691" t="str">
            <v>DISTRIBUIÇÃO</v>
          </cell>
          <cell r="I1691" t="str">
            <v>FOOD SERVICE</v>
          </cell>
          <cell r="J1691" t="str">
            <v xml:space="preserve">KARIS FOOD / LUIZ </v>
          </cell>
          <cell r="K1691" t="str">
            <v>ITAMBÉ</v>
          </cell>
          <cell r="L1691" t="str">
            <v>RODRIGO</v>
          </cell>
          <cell r="M1691" t="str">
            <v>VAGO NORDESTE</v>
          </cell>
        </row>
        <row r="1692">
          <cell r="B1692">
            <v>5163884</v>
          </cell>
          <cell r="C1692" t="str">
            <v>SORVEMIX COMERCIO DE ALIM LTDA</v>
          </cell>
          <cell r="D1692">
            <v>6001</v>
          </cell>
          <cell r="E1692" t="str">
            <v>6028</v>
          </cell>
          <cell r="F1692" t="str">
            <v>C1</v>
          </cell>
          <cell r="G1692" t="str">
            <v>SP</v>
          </cell>
          <cell r="H1692" t="str">
            <v>INGREDIENTS</v>
          </cell>
          <cell r="I1692" t="str">
            <v>INGREDIENTS</v>
          </cell>
          <cell r="J1692" t="str">
            <v>MARCELO RODRIGUES</v>
          </cell>
          <cell r="K1692" t="str">
            <v>ITAMBÉ</v>
          </cell>
          <cell r="L1692" t="str">
            <v>MAURICIO</v>
          </cell>
          <cell r="M1692" t="str">
            <v>MARCELO</v>
          </cell>
        </row>
        <row r="1693">
          <cell r="B1693">
            <v>5187333</v>
          </cell>
          <cell r="C1693" t="str">
            <v>MONTE CARLO COMERCIO DE ALIMENT</v>
          </cell>
          <cell r="D1693">
            <v>6001</v>
          </cell>
          <cell r="E1693" t="str">
            <v>6127</v>
          </cell>
          <cell r="F1693" t="str">
            <v>C1</v>
          </cell>
          <cell r="G1693" t="str">
            <v>CE</v>
          </cell>
          <cell r="H1693" t="str">
            <v>DISTRIBUIÇÃO</v>
          </cell>
          <cell r="I1693" t="str">
            <v>FOOD SERVICE</v>
          </cell>
          <cell r="J1693" t="str">
            <v>WH FOOD SERVICE CE</v>
          </cell>
          <cell r="K1693" t="str">
            <v>ITAMBÉ</v>
          </cell>
          <cell r="L1693" t="str">
            <v>RODRIGO</v>
          </cell>
          <cell r="M1693" t="str">
            <v>VAGO NORDESTE</v>
          </cell>
        </row>
        <row r="1694">
          <cell r="B1694">
            <v>5204301</v>
          </cell>
          <cell r="C1694" t="str">
            <v>LATICINIOS SANTA RITA LTDA</v>
          </cell>
          <cell r="D1694">
            <v>3001</v>
          </cell>
          <cell r="E1694" t="str">
            <v>0028</v>
          </cell>
          <cell r="F1694" t="str">
            <v>C1</v>
          </cell>
          <cell r="G1694" t="str">
            <v>MG</v>
          </cell>
          <cell r="H1694" t="str">
            <v>INGREDIENTS</v>
          </cell>
          <cell r="I1694" t="str">
            <v>INGREDIENTS</v>
          </cell>
          <cell r="J1694" t="str">
            <v>JOEL ELEOTÉRIO</v>
          </cell>
          <cell r="K1694" t="str">
            <v>ITAMBÉ</v>
          </cell>
          <cell r="L1694" t="str">
            <v>MAURICIO</v>
          </cell>
          <cell r="M1694" t="str">
            <v>JOEL</v>
          </cell>
        </row>
        <row r="1695">
          <cell r="B1695">
            <v>5221391</v>
          </cell>
          <cell r="C1695" t="str">
            <v>LEONARDO RODRIGO SILVA SANTOS M</v>
          </cell>
          <cell r="D1695">
            <v>6001</v>
          </cell>
          <cell r="E1695" t="str">
            <v>6169</v>
          </cell>
          <cell r="F1695" t="str">
            <v>C1</v>
          </cell>
          <cell r="G1695" t="str">
            <v>RJ</v>
          </cell>
          <cell r="H1695" t="str">
            <v>DISTRIBUIÇÃO</v>
          </cell>
          <cell r="I1695" t="str">
            <v>FOOD SERVICE</v>
          </cell>
          <cell r="J1695" t="str">
            <v>JULIANA CORDEIRO</v>
          </cell>
          <cell r="K1695" t="str">
            <v>ITAMBÉ</v>
          </cell>
          <cell r="L1695" t="str">
            <v>RODRIGO</v>
          </cell>
          <cell r="M1695" t="str">
            <v>JESSICA</v>
          </cell>
        </row>
        <row r="1696">
          <cell r="B1696">
            <v>5224055</v>
          </cell>
          <cell r="C1696" t="str">
            <v>BRUXELAS INDUSTRIA E COMERCIO</v>
          </cell>
          <cell r="D1696">
            <v>6001</v>
          </cell>
          <cell r="E1696" t="str">
            <v>6028</v>
          </cell>
          <cell r="F1696" t="str">
            <v>C1</v>
          </cell>
          <cell r="G1696" t="str">
            <v>SP</v>
          </cell>
          <cell r="H1696" t="str">
            <v>INGREDIENTS</v>
          </cell>
          <cell r="I1696" t="str">
            <v>INGREDIENTS</v>
          </cell>
          <cell r="J1696" t="str">
            <v>HENRIQUE FERREIRA</v>
          </cell>
          <cell r="K1696" t="str">
            <v>ITAMBÉ</v>
          </cell>
          <cell r="L1696" t="str">
            <v>MAURICIO</v>
          </cell>
          <cell r="M1696" t="str">
            <v>JOEL</v>
          </cell>
        </row>
        <row r="1697">
          <cell r="B1697">
            <v>5323712</v>
          </cell>
          <cell r="C1697" t="str">
            <v>LATICINIOS REZENDE LTDA</v>
          </cell>
          <cell r="D1697">
            <v>4001</v>
          </cell>
          <cell r="E1697" t="str">
            <v>0423</v>
          </cell>
          <cell r="F1697" t="str">
            <v>C5</v>
          </cell>
          <cell r="G1697" t="str">
            <v>SE</v>
          </cell>
          <cell r="H1697" t="str">
            <v>INGREDIENTS</v>
          </cell>
          <cell r="I1697" t="str">
            <v>INGREDIENTS</v>
          </cell>
          <cell r="J1697" t="str">
            <v>JOEL ELEOTÉRIO</v>
          </cell>
          <cell r="K1697" t="str">
            <v>LACTALIS</v>
          </cell>
          <cell r="L1697" t="str">
            <v>MAURICIO</v>
          </cell>
          <cell r="M1697" t="str">
            <v>JOEL</v>
          </cell>
        </row>
        <row r="1698">
          <cell r="B1698">
            <v>5340606</v>
          </cell>
          <cell r="C1698" t="str">
            <v>49963972 GRAZIELLA BARBOSA ALVE</v>
          </cell>
          <cell r="D1698">
            <v>6001</v>
          </cell>
          <cell r="E1698" t="str">
            <v>6125</v>
          </cell>
          <cell r="F1698" t="str">
            <v>C1</v>
          </cell>
          <cell r="G1698" t="str">
            <v>SP</v>
          </cell>
          <cell r="H1698" t="str">
            <v>INGREDIENTS</v>
          </cell>
          <cell r="I1698" t="str">
            <v>INGREDIENTS</v>
          </cell>
          <cell r="J1698" t="str">
            <v>HENRIQUE FERREIRA</v>
          </cell>
          <cell r="K1698" t="str">
            <v>ITAMBÉ</v>
          </cell>
          <cell r="L1698" t="str">
            <v>MAURICIO</v>
          </cell>
          <cell r="M1698" t="str">
            <v>JOEL</v>
          </cell>
        </row>
        <row r="1699">
          <cell r="B1699">
            <v>5208028</v>
          </cell>
          <cell r="C1699" t="str">
            <v>MISTUREX COMERCIO ATACA DE ALIMENT</v>
          </cell>
          <cell r="D1699">
            <v>6001</v>
          </cell>
          <cell r="E1699" t="str">
            <v>6169</v>
          </cell>
          <cell r="F1699" t="str">
            <v>C1</v>
          </cell>
          <cell r="G1699" t="str">
            <v>ES</v>
          </cell>
          <cell r="H1699" t="str">
            <v>INGREDIENTS</v>
          </cell>
          <cell r="I1699" t="str">
            <v>INGREDIENTS</v>
          </cell>
          <cell r="J1699" t="str">
            <v>TATIANA NITTA</v>
          </cell>
          <cell r="K1699" t="str">
            <v>ITAMBÉ</v>
          </cell>
          <cell r="L1699" t="str">
            <v>MAURICIO</v>
          </cell>
          <cell r="M1699" t="str">
            <v>TATIANA NITTA</v>
          </cell>
        </row>
        <row r="1700">
          <cell r="B1700">
            <v>5343974</v>
          </cell>
          <cell r="C1700" t="str">
            <v>LLG PADARIA ARTESANAL LTDA</v>
          </cell>
          <cell r="D1700">
            <v>7001</v>
          </cell>
          <cell r="E1700" t="str">
            <v>0749</v>
          </cell>
          <cell r="F1700" t="str">
            <v>C5</v>
          </cell>
          <cell r="G1700" t="str">
            <v>SP</v>
          </cell>
          <cell r="H1700" t="str">
            <v>DISTRIBUIÇÃO</v>
          </cell>
          <cell r="I1700" t="str">
            <v>FOOD SERVICE</v>
          </cell>
          <cell r="J1700" t="str">
            <v>FLAC 2</v>
          </cell>
          <cell r="K1700" t="str">
            <v>LACTALIS</v>
          </cell>
          <cell r="L1700" t="str">
            <v>RODRIGO</v>
          </cell>
          <cell r="M1700" t="str">
            <v>ALEXANDRO</v>
          </cell>
        </row>
        <row r="1701">
          <cell r="B1701">
            <v>5098965</v>
          </cell>
          <cell r="C1701" t="str">
            <v>VHS ALIMENTOS LTDA</v>
          </cell>
          <cell r="D1701">
            <v>3001</v>
          </cell>
          <cell r="E1701" t="str">
            <v>0028</v>
          </cell>
          <cell r="F1701" t="str">
            <v>C1</v>
          </cell>
          <cell r="G1701" t="str">
            <v>PR</v>
          </cell>
          <cell r="H1701" t="str">
            <v>INGREDIENTS</v>
          </cell>
          <cell r="I1701" t="str">
            <v>INGREDIENTS</v>
          </cell>
          <cell r="J1701" t="str">
            <v>MARCELO RODRIGUES</v>
          </cell>
          <cell r="K1701" t="str">
            <v>ITAMBÉ</v>
          </cell>
          <cell r="L1701" t="str">
            <v>MAURICIO</v>
          </cell>
          <cell r="M1701" t="str">
            <v>MARCELO</v>
          </cell>
        </row>
        <row r="1702">
          <cell r="B1702">
            <v>5138292</v>
          </cell>
          <cell r="C1702" t="str">
            <v>AROMITALIA DO BRASIL LTDA</v>
          </cell>
          <cell r="D1702">
            <v>3001</v>
          </cell>
          <cell r="E1702" t="str">
            <v>0028</v>
          </cell>
          <cell r="F1702" t="str">
            <v>C1</v>
          </cell>
          <cell r="G1702" t="str">
            <v>SC</v>
          </cell>
          <cell r="H1702" t="str">
            <v>INGREDIENTS</v>
          </cell>
          <cell r="I1702" t="str">
            <v>INGREDIENTS</v>
          </cell>
          <cell r="J1702" t="str">
            <v>MARCELO RODRIGUES</v>
          </cell>
          <cell r="K1702" t="str">
            <v>ITAMBÉ</v>
          </cell>
          <cell r="L1702" t="str">
            <v>MAURICIO</v>
          </cell>
          <cell r="M1702" t="str">
            <v>MARCELO</v>
          </cell>
        </row>
        <row r="1703">
          <cell r="B1703">
            <v>5144654</v>
          </cell>
          <cell r="C1703" t="str">
            <v>SAUIPE SA</v>
          </cell>
          <cell r="D1703">
            <v>6001</v>
          </cell>
          <cell r="E1703" t="str">
            <v>6127</v>
          </cell>
          <cell r="F1703" t="str">
            <v>C1</v>
          </cell>
          <cell r="G1703" t="str">
            <v>BA</v>
          </cell>
          <cell r="H1703" t="str">
            <v>DISTRIBUIÇÃO</v>
          </cell>
          <cell r="I1703" t="str">
            <v>FOOD SERVICE</v>
          </cell>
          <cell r="J1703" t="str">
            <v xml:space="preserve">KARIS FOOD / LUIZ </v>
          </cell>
          <cell r="K1703" t="str">
            <v>ITAMBÉ</v>
          </cell>
          <cell r="L1703" t="str">
            <v>RODRIGO</v>
          </cell>
          <cell r="M1703" t="str">
            <v>VAGO NORDESTE</v>
          </cell>
        </row>
        <row r="1704">
          <cell r="B1704">
            <v>5224382</v>
          </cell>
          <cell r="C1704" t="str">
            <v>SORVETES SKINEVE LTDA</v>
          </cell>
          <cell r="D1704">
            <v>3001</v>
          </cell>
          <cell r="E1704" t="str">
            <v>0126</v>
          </cell>
          <cell r="F1704" t="str">
            <v>C1</v>
          </cell>
          <cell r="G1704" t="str">
            <v>PR</v>
          </cell>
          <cell r="H1704" t="str">
            <v>INGREDIENTS</v>
          </cell>
          <cell r="I1704" t="str">
            <v>INGREDIENTS</v>
          </cell>
          <cell r="J1704" t="str">
            <v>MARCELO RODRIGUES</v>
          </cell>
          <cell r="K1704" t="str">
            <v>ITAMBÉ</v>
          </cell>
          <cell r="L1704" t="str">
            <v>MAURICIO</v>
          </cell>
          <cell r="M1704" t="str">
            <v>MARCELO</v>
          </cell>
        </row>
        <row r="1705">
          <cell r="B1705">
            <v>5227605</v>
          </cell>
          <cell r="C1705" t="str">
            <v>FORTE DIST DE GENERO ALIM DES E LIM</v>
          </cell>
          <cell r="D1705">
            <v>6001</v>
          </cell>
          <cell r="E1705" t="str">
            <v>6127</v>
          </cell>
          <cell r="F1705" t="str">
            <v>C1</v>
          </cell>
          <cell r="G1705" t="str">
            <v>BA</v>
          </cell>
          <cell r="H1705" t="str">
            <v>DISTRIBUIÇÃO</v>
          </cell>
          <cell r="I1705" t="str">
            <v>FOOD SERVICE</v>
          </cell>
          <cell r="J1705" t="str">
            <v xml:space="preserve">KARIS FOOD / LUIZ </v>
          </cell>
          <cell r="K1705" t="str">
            <v>ITAMBÉ</v>
          </cell>
          <cell r="L1705" t="str">
            <v>RODRIGO</v>
          </cell>
          <cell r="M1705" t="str">
            <v>VAGO NORDESTE</v>
          </cell>
        </row>
        <row r="1706">
          <cell r="B1706">
            <v>5275476</v>
          </cell>
          <cell r="C1706" t="str">
            <v>MON CHOU COM IMP E EXP LTDA</v>
          </cell>
          <cell r="D1706">
            <v>7001</v>
          </cell>
          <cell r="E1706" t="str">
            <v>0722</v>
          </cell>
          <cell r="F1706" t="str">
            <v>C1</v>
          </cell>
          <cell r="G1706" t="str">
            <v>SP</v>
          </cell>
          <cell r="H1706" t="str">
            <v>DISTRIBUIÇÃO</v>
          </cell>
          <cell r="I1706" t="str">
            <v>FOOD SERVICE</v>
          </cell>
          <cell r="J1706" t="str">
            <v>LUCIANA MARTINS</v>
          </cell>
          <cell r="K1706" t="str">
            <v>LACTALIS</v>
          </cell>
          <cell r="L1706" t="str">
            <v>RODRIGO</v>
          </cell>
          <cell r="M1706" t="str">
            <v>JESSICA</v>
          </cell>
        </row>
        <row r="1707">
          <cell r="B1707">
            <v>5342209</v>
          </cell>
          <cell r="C1707" t="str">
            <v>PALACIO GASTRONOMICO LTDA</v>
          </cell>
          <cell r="D1707">
            <v>7001</v>
          </cell>
          <cell r="E1707" t="str">
            <v>0749</v>
          </cell>
          <cell r="F1707" t="str">
            <v>C5</v>
          </cell>
          <cell r="G1707" t="str">
            <v>SP</v>
          </cell>
          <cell r="H1707" t="str">
            <v>DISTRIBUIÇÃO</v>
          </cell>
          <cell r="I1707" t="str">
            <v>FOOD SERVICE</v>
          </cell>
          <cell r="J1707" t="str">
            <v>FLAC 2</v>
          </cell>
          <cell r="K1707" t="str">
            <v>LACTALIS</v>
          </cell>
          <cell r="L1707" t="str">
            <v>RODRIGO</v>
          </cell>
          <cell r="M1707" t="str">
            <v>ALEXANDRO</v>
          </cell>
        </row>
        <row r="1708">
          <cell r="B1708">
            <v>5343385</v>
          </cell>
          <cell r="C1708" t="str">
            <v>18135706 CLAUDIANA MARIA DE QUE</v>
          </cell>
          <cell r="D1708">
            <v>7001</v>
          </cell>
          <cell r="E1708" t="str">
            <v>0749</v>
          </cell>
          <cell r="F1708" t="str">
            <v>C5</v>
          </cell>
          <cell r="G1708" t="str">
            <v>SP</v>
          </cell>
          <cell r="H1708" t="str">
            <v>DISTRIBUIÇÃO</v>
          </cell>
          <cell r="I1708" t="str">
            <v>FOOD SERVICE</v>
          </cell>
          <cell r="J1708" t="str">
            <v>FLAC 6</v>
          </cell>
          <cell r="K1708" t="str">
            <v>LACTALIS</v>
          </cell>
          <cell r="L1708" t="str">
            <v>RODRIGO</v>
          </cell>
          <cell r="M1708" t="str">
            <v>ALEXANDRO</v>
          </cell>
        </row>
        <row r="1709">
          <cell r="B1709">
            <v>5343598</v>
          </cell>
          <cell r="C1709" t="str">
            <v>QUARTIERO LTDA</v>
          </cell>
          <cell r="D1709">
            <v>3001</v>
          </cell>
          <cell r="E1709" t="str">
            <v>0028</v>
          </cell>
          <cell r="F1709" t="str">
            <v>C1</v>
          </cell>
          <cell r="G1709" t="str">
            <v>SC</v>
          </cell>
          <cell r="H1709" t="str">
            <v>INGREDIENTS</v>
          </cell>
          <cell r="I1709" t="str">
            <v>INGREDIENTS</v>
          </cell>
          <cell r="J1709" t="str">
            <v>DUAS RODAS</v>
          </cell>
          <cell r="K1709" t="str">
            <v>ITAMBÉ</v>
          </cell>
          <cell r="L1709" t="str">
            <v>MAURICIO</v>
          </cell>
          <cell r="M1709" t="str">
            <v>MARCELO</v>
          </cell>
        </row>
        <row r="1710">
          <cell r="B1710">
            <v>5344288</v>
          </cell>
          <cell r="C1710" t="str">
            <v>55958530 MARCELO DE SOUZA PAIXA</v>
          </cell>
          <cell r="D1710">
            <v>7001</v>
          </cell>
          <cell r="E1710" t="str">
            <v>0749</v>
          </cell>
          <cell r="F1710" t="str">
            <v>C5</v>
          </cell>
          <cell r="G1710" t="str">
            <v>SP</v>
          </cell>
          <cell r="H1710" t="str">
            <v>DISTRIBUIÇÃO</v>
          </cell>
          <cell r="I1710" t="str">
            <v>FOOD SERVICE</v>
          </cell>
          <cell r="J1710" t="str">
            <v>FLAC 2</v>
          </cell>
          <cell r="K1710" t="str">
            <v>LACTALIS</v>
          </cell>
          <cell r="L1710" t="str">
            <v>RODRIGO</v>
          </cell>
          <cell r="M1710" t="str">
            <v>ALEXANDRO</v>
          </cell>
        </row>
        <row r="1711">
          <cell r="B1711">
            <v>5344289</v>
          </cell>
          <cell r="C1711" t="str">
            <v>TRES SERVICOS E EVENTOS LTDA</v>
          </cell>
          <cell r="D1711">
            <v>7001</v>
          </cell>
          <cell r="E1711" t="str">
            <v>0749</v>
          </cell>
          <cell r="F1711" t="str">
            <v>C5</v>
          </cell>
          <cell r="G1711" t="str">
            <v>SP</v>
          </cell>
          <cell r="H1711" t="str">
            <v>DISTRIBUIÇÃO</v>
          </cell>
          <cell r="I1711" t="str">
            <v>FOOD SERVICE</v>
          </cell>
          <cell r="J1711" t="str">
            <v>FLAC 6</v>
          </cell>
          <cell r="K1711" t="str">
            <v>LACTALIS</v>
          </cell>
          <cell r="L1711" t="str">
            <v>RODRIGO</v>
          </cell>
          <cell r="M1711" t="str">
            <v>ALEXANDRO</v>
          </cell>
        </row>
        <row r="1712">
          <cell r="B1712">
            <v>5344365</v>
          </cell>
          <cell r="C1712" t="str">
            <v>SOBERANA SERV DE REFEIC E COM L</v>
          </cell>
          <cell r="D1712">
            <v>7001</v>
          </cell>
          <cell r="E1712" t="str">
            <v>0749</v>
          </cell>
          <cell r="F1712" t="str">
            <v>C5</v>
          </cell>
          <cell r="G1712" t="str">
            <v>SP</v>
          </cell>
          <cell r="H1712" t="str">
            <v>QSR</v>
          </cell>
          <cell r="I1712" t="str">
            <v>FOOD SERVICE</v>
          </cell>
          <cell r="J1712" t="str">
            <v>NUTRI</v>
          </cell>
          <cell r="K1712" t="str">
            <v>LACTALIS</v>
          </cell>
          <cell r="L1712" t="str">
            <v>PEDRO</v>
          </cell>
          <cell r="M1712" t="str">
            <v>AMANDA</v>
          </cell>
        </row>
        <row r="1713">
          <cell r="B1713">
            <v>5001794</v>
          </cell>
          <cell r="C1713" t="str">
            <v>GATE GOURMET LTDA</v>
          </cell>
          <cell r="D1713">
            <v>4001</v>
          </cell>
          <cell r="E1713" t="str">
            <v>0437</v>
          </cell>
          <cell r="F1713" t="str">
            <v>C1</v>
          </cell>
          <cell r="G1713" t="str">
            <v>RJ</v>
          </cell>
          <cell r="H1713" t="str">
            <v>QSR</v>
          </cell>
          <cell r="I1713" t="str">
            <v>FOOD SERVICE</v>
          </cell>
          <cell r="J1713" t="str">
            <v>ANA MENIQUETE</v>
          </cell>
          <cell r="K1713" t="str">
            <v>LACTALIS</v>
          </cell>
          <cell r="L1713" t="str">
            <v>PEDRO</v>
          </cell>
          <cell r="M1713" t="str">
            <v>ANA MENIQUETE</v>
          </cell>
        </row>
        <row r="1714">
          <cell r="B1714">
            <v>5008636</v>
          </cell>
          <cell r="C1714" t="str">
            <v>GR SERVICOS E ALIMENTACAO LTDA</v>
          </cell>
          <cell r="D1714">
            <v>4001</v>
          </cell>
          <cell r="E1714" t="str">
            <v>0423</v>
          </cell>
          <cell r="F1714" t="str">
            <v>C5</v>
          </cell>
          <cell r="G1714" t="str">
            <v>RJ</v>
          </cell>
          <cell r="H1714" t="str">
            <v>QSR</v>
          </cell>
          <cell r="I1714" t="str">
            <v>FOOD SERVICE</v>
          </cell>
          <cell r="J1714" t="str">
            <v>NUTRI</v>
          </cell>
          <cell r="K1714" t="str">
            <v>LACTALIS</v>
          </cell>
          <cell r="L1714" t="str">
            <v>PEDRO</v>
          </cell>
          <cell r="M1714" t="str">
            <v>AMANDA</v>
          </cell>
        </row>
        <row r="1715">
          <cell r="B1715">
            <v>5017576</v>
          </cell>
          <cell r="C1715" t="str">
            <v>COMERCIAL DISKPAN LTDA</v>
          </cell>
          <cell r="D1715">
            <v>4001</v>
          </cell>
          <cell r="E1715" t="str">
            <v>0437</v>
          </cell>
          <cell r="F1715" t="str">
            <v>C1</v>
          </cell>
          <cell r="G1715" t="str">
            <v>ES</v>
          </cell>
          <cell r="H1715" t="str">
            <v>DISTRIBUIÇÃO</v>
          </cell>
          <cell r="I1715" t="str">
            <v>FOOD SERVICE</v>
          </cell>
          <cell r="J1715" t="str">
            <v>MARCELO DUARTE</v>
          </cell>
          <cell r="K1715" t="str">
            <v>LACTALIS</v>
          </cell>
          <cell r="L1715" t="str">
            <v>RODRIGO</v>
          </cell>
          <cell r="M1715" t="str">
            <v>JESSICA</v>
          </cell>
        </row>
        <row r="1716">
          <cell r="B1716">
            <v>5108984</v>
          </cell>
          <cell r="C1716" t="str">
            <v>IRMAOS BENASSI PROD E DIST DE F</v>
          </cell>
          <cell r="D1716">
            <v>4001</v>
          </cell>
          <cell r="E1716" t="str">
            <v>0437</v>
          </cell>
          <cell r="F1716" t="str">
            <v>C1</v>
          </cell>
          <cell r="G1716" t="str">
            <v>RJ</v>
          </cell>
          <cell r="H1716" t="str">
            <v>DISTRIBUIÇÃO</v>
          </cell>
          <cell r="I1716" t="str">
            <v>FOOD SERVICE</v>
          </cell>
          <cell r="J1716" t="str">
            <v>LUCIANA MARTINS</v>
          </cell>
          <cell r="K1716" t="str">
            <v>LACTALIS</v>
          </cell>
          <cell r="L1716" t="str">
            <v>RODRIGO</v>
          </cell>
          <cell r="M1716" t="str">
            <v>JESSICA</v>
          </cell>
        </row>
        <row r="1717">
          <cell r="B1717">
            <v>5138561</v>
          </cell>
          <cell r="C1717" t="str">
            <v>M J SAIA E CIA LTDA ME</v>
          </cell>
          <cell r="D1717">
            <v>6001</v>
          </cell>
          <cell r="E1717" t="str">
            <v>6028</v>
          </cell>
          <cell r="F1717" t="str">
            <v>C1</v>
          </cell>
          <cell r="G1717" t="str">
            <v>SP</v>
          </cell>
          <cell r="H1717" t="str">
            <v>INGREDIENTS</v>
          </cell>
          <cell r="I1717" t="str">
            <v>INGREDIENTS</v>
          </cell>
          <cell r="J1717" t="str">
            <v>HENRIQUE FERREIRA</v>
          </cell>
          <cell r="K1717" t="str">
            <v>ITAMBÉ</v>
          </cell>
          <cell r="L1717" t="str">
            <v>MAURICIO</v>
          </cell>
          <cell r="M1717" t="str">
            <v>JOEL</v>
          </cell>
        </row>
        <row r="1718">
          <cell r="B1718">
            <v>5147526</v>
          </cell>
          <cell r="C1718" t="str">
            <v>SAPORE SA</v>
          </cell>
          <cell r="D1718">
            <v>4001</v>
          </cell>
          <cell r="E1718" t="str">
            <v>0423</v>
          </cell>
          <cell r="F1718" t="str">
            <v>C5</v>
          </cell>
          <cell r="G1718" t="str">
            <v>RJ</v>
          </cell>
          <cell r="H1718" t="str">
            <v>QSR</v>
          </cell>
          <cell r="I1718" t="str">
            <v>FOOD SERVICE</v>
          </cell>
          <cell r="J1718" t="str">
            <v>NUTRI</v>
          </cell>
          <cell r="K1718" t="str">
            <v>LACTALIS</v>
          </cell>
          <cell r="L1718" t="str">
            <v>PEDRO</v>
          </cell>
          <cell r="M1718" t="str">
            <v>AMANDA</v>
          </cell>
        </row>
        <row r="1719">
          <cell r="B1719">
            <v>5169969</v>
          </cell>
          <cell r="C1719" t="str">
            <v>WCN COM E REPRESENTACAO DE ALIM LTD</v>
          </cell>
          <cell r="D1719">
            <v>6001</v>
          </cell>
          <cell r="E1719" t="str">
            <v>6127</v>
          </cell>
          <cell r="F1719" t="str">
            <v>C1</v>
          </cell>
          <cell r="G1719" t="str">
            <v>BA</v>
          </cell>
          <cell r="H1719" t="str">
            <v>DISTRIBUIÇÃO</v>
          </cell>
          <cell r="I1719" t="str">
            <v>FOOD SERVICE</v>
          </cell>
          <cell r="J1719" t="str">
            <v xml:space="preserve">KARIS FOOD / LUIZ </v>
          </cell>
          <cell r="K1719" t="str">
            <v>ITAMBÉ</v>
          </cell>
          <cell r="L1719" t="str">
            <v>RODRIGO</v>
          </cell>
          <cell r="M1719" t="str">
            <v>VAGO NORDESTE</v>
          </cell>
        </row>
        <row r="1720">
          <cell r="B1720">
            <v>5174117</v>
          </cell>
          <cell r="C1720" t="str">
            <v>MASSIMA ALIMENTACAO SA</v>
          </cell>
          <cell r="D1720">
            <v>4001</v>
          </cell>
          <cell r="E1720" t="str">
            <v>0423</v>
          </cell>
          <cell r="F1720" t="str">
            <v>C5</v>
          </cell>
          <cell r="G1720" t="str">
            <v>RJ</v>
          </cell>
          <cell r="H1720" t="str">
            <v>QSR</v>
          </cell>
          <cell r="I1720" t="str">
            <v>FOOD SERVICE</v>
          </cell>
          <cell r="J1720" t="str">
            <v>NUTRI</v>
          </cell>
          <cell r="K1720" t="str">
            <v>LACTALIS</v>
          </cell>
          <cell r="L1720" t="str">
            <v>PEDRO</v>
          </cell>
          <cell r="M1720" t="str">
            <v>AMANDA</v>
          </cell>
        </row>
        <row r="1721">
          <cell r="B1721">
            <v>5207394</v>
          </cell>
          <cell r="C1721" t="str">
            <v>NEWREST BRASIL S A AO T AEREO LTDA</v>
          </cell>
          <cell r="D1721">
            <v>4001</v>
          </cell>
          <cell r="E1721" t="str">
            <v>0437</v>
          </cell>
          <cell r="F1721" t="str">
            <v>C1</v>
          </cell>
          <cell r="G1721" t="str">
            <v>RJ</v>
          </cell>
          <cell r="H1721" t="str">
            <v>QSR</v>
          </cell>
          <cell r="I1721" t="str">
            <v>FOOD SERVICE</v>
          </cell>
          <cell r="J1721" t="str">
            <v>ANA MENIQUETE</v>
          </cell>
          <cell r="K1721" t="str">
            <v>LACTALIS</v>
          </cell>
          <cell r="L1721" t="str">
            <v>PEDRO</v>
          </cell>
          <cell r="M1721" t="str">
            <v>ANA MENIQUETE</v>
          </cell>
        </row>
        <row r="1722">
          <cell r="B1722">
            <v>5210615</v>
          </cell>
          <cell r="C1722" t="str">
            <v>M A DA SILVA COMERCIO</v>
          </cell>
          <cell r="D1722">
            <v>6001</v>
          </cell>
          <cell r="E1722" t="str">
            <v>6169</v>
          </cell>
          <cell r="F1722" t="str">
            <v>C1</v>
          </cell>
          <cell r="G1722" t="str">
            <v>ES</v>
          </cell>
          <cell r="H1722" t="str">
            <v>DISTRIBUIÇÃO</v>
          </cell>
          <cell r="I1722" t="str">
            <v>FOOD SERVICE</v>
          </cell>
          <cell r="J1722" t="str">
            <v>MARCELO DUARTE</v>
          </cell>
          <cell r="K1722" t="str">
            <v>ITAMBÉ</v>
          </cell>
          <cell r="L1722" t="str">
            <v>RODRIGO</v>
          </cell>
          <cell r="M1722" t="str">
            <v>JESSICA</v>
          </cell>
        </row>
        <row r="1723">
          <cell r="B1723">
            <v>5226360</v>
          </cell>
          <cell r="C1723" t="str">
            <v>GELA GOURMET LTDA</v>
          </cell>
          <cell r="D1723">
            <v>6001</v>
          </cell>
          <cell r="E1723" t="str">
            <v>6127</v>
          </cell>
          <cell r="F1723" t="str">
            <v>C1</v>
          </cell>
          <cell r="G1723" t="str">
            <v>BA</v>
          </cell>
          <cell r="H1723" t="str">
            <v>DISTRIBUIÇÃO</v>
          </cell>
          <cell r="I1723" t="str">
            <v>FOOD SERVICE</v>
          </cell>
          <cell r="J1723" t="str">
            <v xml:space="preserve">KARIS FOOD / LUIZ </v>
          </cell>
          <cell r="K1723" t="str">
            <v>ITAMBÉ</v>
          </cell>
          <cell r="L1723" t="str">
            <v>RODRIGO</v>
          </cell>
          <cell r="M1723" t="str">
            <v>VAGO NORDESTE</v>
          </cell>
        </row>
        <row r="1724">
          <cell r="B1724">
            <v>5308710</v>
          </cell>
          <cell r="C1724" t="str">
            <v>SODEXO DO BRASIL COMERCIAL SA</v>
          </cell>
          <cell r="D1724">
            <v>4001</v>
          </cell>
          <cell r="E1724" t="str">
            <v>0423</v>
          </cell>
          <cell r="F1724" t="str">
            <v>C5</v>
          </cell>
          <cell r="G1724" t="str">
            <v>RJ</v>
          </cell>
          <cell r="H1724" t="str">
            <v>QSR</v>
          </cell>
          <cell r="I1724" t="str">
            <v>FOOD SERVICE</v>
          </cell>
          <cell r="J1724" t="str">
            <v>NUTRI</v>
          </cell>
          <cell r="K1724" t="str">
            <v>LACTALIS</v>
          </cell>
          <cell r="L1724" t="str">
            <v>PEDRO</v>
          </cell>
          <cell r="M1724" t="str">
            <v>AMANDA</v>
          </cell>
        </row>
        <row r="1725">
          <cell r="B1725">
            <v>5320070</v>
          </cell>
          <cell r="C1725" t="str">
            <v>MON CHOU COM IMPORTACAO E EXPOR</v>
          </cell>
          <cell r="D1725">
            <v>4001</v>
          </cell>
          <cell r="E1725" t="str">
            <v>0437</v>
          </cell>
          <cell r="F1725" t="str">
            <v>C1</v>
          </cell>
          <cell r="G1725" t="str">
            <v>RJ</v>
          </cell>
          <cell r="H1725" t="str">
            <v>DISTRIBUIÇÃO</v>
          </cell>
          <cell r="I1725" t="str">
            <v>FOOD SERVICE</v>
          </cell>
          <cell r="J1725" t="str">
            <v>LUCIANA MARTINS</v>
          </cell>
          <cell r="K1725" t="str">
            <v>LACTALIS</v>
          </cell>
          <cell r="L1725" t="str">
            <v>RODRIGO</v>
          </cell>
          <cell r="M1725" t="str">
            <v>JESSICA</v>
          </cell>
        </row>
        <row r="1726">
          <cell r="B1726">
            <v>5342353</v>
          </cell>
          <cell r="C1726" t="str">
            <v>COOP REG DE COM DO EXT OESTE CO</v>
          </cell>
          <cell r="D1726">
            <v>4001</v>
          </cell>
          <cell r="E1726" t="str">
            <v>0456</v>
          </cell>
          <cell r="F1726" t="str">
            <v>C1</v>
          </cell>
          <cell r="G1726" t="str">
            <v>SC</v>
          </cell>
          <cell r="H1726" t="str">
            <v>INGREDIENTS</v>
          </cell>
          <cell r="I1726" t="str">
            <v>INGREDIENTS</v>
          </cell>
          <cell r="J1726" t="str">
            <v>MARCELO RODRIGUES</v>
          </cell>
          <cell r="K1726" t="str">
            <v>LACTALIS</v>
          </cell>
          <cell r="L1726" t="str">
            <v>MAURICIO</v>
          </cell>
          <cell r="M1726" t="str">
            <v>MARCELO</v>
          </cell>
        </row>
        <row r="1727">
          <cell r="B1727">
            <v>5344450</v>
          </cell>
          <cell r="C1727" t="str">
            <v>40992865 CAMILA ALMEIDA C COELH</v>
          </cell>
          <cell r="D1727">
            <v>7001</v>
          </cell>
          <cell r="E1727" t="str">
            <v>0749</v>
          </cell>
          <cell r="F1727" t="str">
            <v>C5</v>
          </cell>
          <cell r="G1727" t="str">
            <v>SP</v>
          </cell>
          <cell r="H1727" t="str">
            <v>DISTRIBUIÇÃO</v>
          </cell>
          <cell r="I1727" t="str">
            <v>FOOD SERVICE</v>
          </cell>
          <cell r="J1727" t="str">
            <v>FLAC 3</v>
          </cell>
          <cell r="K1727" t="str">
            <v>LACTALIS</v>
          </cell>
          <cell r="L1727" t="str">
            <v>RODRIGO</v>
          </cell>
          <cell r="M1727" t="str">
            <v>ALEXANDRO</v>
          </cell>
        </row>
        <row r="1728">
          <cell r="B1728">
            <v>5012038</v>
          </cell>
          <cell r="C1728" t="str">
            <v>HARALD INDUSTRIA E COMERCIO ALI</v>
          </cell>
          <cell r="D1728">
            <v>3001</v>
          </cell>
          <cell r="E1728" t="str">
            <v>0028</v>
          </cell>
          <cell r="F1728" t="str">
            <v>C1</v>
          </cell>
          <cell r="G1728" t="str">
            <v>SP</v>
          </cell>
          <cell r="H1728" t="str">
            <v>INGREDIENTS</v>
          </cell>
          <cell r="I1728" t="str">
            <v>INGREDIENTS</v>
          </cell>
          <cell r="J1728" t="str">
            <v>TATIANA NITTA</v>
          </cell>
          <cell r="K1728" t="str">
            <v>ITAMBÉ</v>
          </cell>
          <cell r="L1728" t="str">
            <v>MAURICIO</v>
          </cell>
          <cell r="M1728" t="str">
            <v>TATIANA NITTA</v>
          </cell>
        </row>
        <row r="1729">
          <cell r="B1729">
            <v>5067885</v>
          </cell>
          <cell r="C1729" t="str">
            <v>SOAZA COM PROD ALIMENTICIOS LTD</v>
          </cell>
          <cell r="D1729">
            <v>6001</v>
          </cell>
          <cell r="E1729" t="str">
            <v>6125</v>
          </cell>
          <cell r="F1729" t="str">
            <v>C1</v>
          </cell>
          <cell r="G1729" t="str">
            <v>SP</v>
          </cell>
          <cell r="H1729" t="str">
            <v>DISTRIBUIÇÃO</v>
          </cell>
          <cell r="I1729" t="str">
            <v>FOOD SERVICE</v>
          </cell>
          <cell r="J1729" t="str">
            <v>VAGO SP - INTERIOR</v>
          </cell>
          <cell r="K1729" t="str">
            <v>ITAMBÉ</v>
          </cell>
          <cell r="L1729" t="str">
            <v>RODRIGO</v>
          </cell>
          <cell r="M1729" t="str">
            <v>VAGO SP - INTERIOR</v>
          </cell>
        </row>
        <row r="1730">
          <cell r="B1730">
            <v>5099067</v>
          </cell>
          <cell r="C1730" t="str">
            <v>DR OETKER BRASIL LTDA</v>
          </cell>
          <cell r="D1730">
            <v>4001</v>
          </cell>
          <cell r="E1730" t="str">
            <v>0455</v>
          </cell>
          <cell r="F1730" t="str">
            <v>C1</v>
          </cell>
          <cell r="G1730" t="str">
            <v>SP</v>
          </cell>
          <cell r="H1730" t="str">
            <v>INGREDIENTS</v>
          </cell>
          <cell r="I1730" t="str">
            <v>INGREDIENTS</v>
          </cell>
          <cell r="J1730" t="str">
            <v>MARCELO RODRIGUES</v>
          </cell>
          <cell r="K1730" t="str">
            <v>LACTALIS</v>
          </cell>
          <cell r="L1730" t="str">
            <v>MAURICIO</v>
          </cell>
          <cell r="M1730" t="str">
            <v>MARCELO</v>
          </cell>
        </row>
        <row r="1731">
          <cell r="B1731">
            <v>5177629</v>
          </cell>
          <cell r="C1731" t="str">
            <v>BFS DISTRIB DE PRODUT ALIMENTIC</v>
          </cell>
          <cell r="D1731">
            <v>6001</v>
          </cell>
          <cell r="E1731" t="str">
            <v>6127</v>
          </cell>
          <cell r="F1731" t="str">
            <v>C1</v>
          </cell>
          <cell r="G1731" t="str">
            <v>BA</v>
          </cell>
          <cell r="H1731" t="str">
            <v>DISTRIBUIÇÃO</v>
          </cell>
          <cell r="I1731" t="str">
            <v>FOOD SERVICE</v>
          </cell>
          <cell r="J1731" t="str">
            <v xml:space="preserve">KARIS FOOD / LUIZ </v>
          </cell>
          <cell r="K1731" t="str">
            <v>ITAMBÉ</v>
          </cell>
          <cell r="L1731" t="str">
            <v>RODRIGO</v>
          </cell>
          <cell r="M1731" t="str">
            <v>VAGO NORDESTE</v>
          </cell>
        </row>
        <row r="1732">
          <cell r="B1732">
            <v>5342433</v>
          </cell>
          <cell r="C1732" t="str">
            <v>CONFEITARIA PRAZERES DA DEGUSTA</v>
          </cell>
          <cell r="D1732">
            <v>7001</v>
          </cell>
          <cell r="E1732" t="str">
            <v>0749</v>
          </cell>
          <cell r="F1732" t="str">
            <v>C5</v>
          </cell>
          <cell r="G1732" t="str">
            <v>SP</v>
          </cell>
          <cell r="H1732" t="str">
            <v>DISTRIBUIÇÃO</v>
          </cell>
          <cell r="I1732" t="str">
            <v>FOOD SERVICE</v>
          </cell>
          <cell r="J1732" t="str">
            <v>FLAC 2</v>
          </cell>
          <cell r="K1732" t="str">
            <v>LACTALIS</v>
          </cell>
          <cell r="L1732" t="str">
            <v>RODRIGO</v>
          </cell>
          <cell r="M1732" t="str">
            <v>ALEXANDRO</v>
          </cell>
        </row>
        <row r="1733">
          <cell r="B1733">
            <v>5344080</v>
          </cell>
          <cell r="C1733" t="str">
            <v>AC DOS SANTOS COMERCIO DE ALIM</v>
          </cell>
          <cell r="D1733">
            <v>7001</v>
          </cell>
          <cell r="E1733" t="str">
            <v>0749</v>
          </cell>
          <cell r="F1733" t="str">
            <v>C5</v>
          </cell>
          <cell r="G1733" t="str">
            <v>SP</v>
          </cell>
          <cell r="H1733" t="str">
            <v>DISTRIBUIÇÃO</v>
          </cell>
          <cell r="I1733" t="str">
            <v>FOOD SERVICE</v>
          </cell>
          <cell r="J1733" t="str">
            <v>FLAC 4</v>
          </cell>
          <cell r="K1733" t="str">
            <v>LACTALIS</v>
          </cell>
          <cell r="L1733" t="str">
            <v>RODRIGO</v>
          </cell>
          <cell r="M1733" t="str">
            <v>ALEXANDRO</v>
          </cell>
        </row>
        <row r="1734">
          <cell r="B1734">
            <v>5001788</v>
          </cell>
          <cell r="C1734" t="str">
            <v>SAPORE SA</v>
          </cell>
          <cell r="D1734">
            <v>3001</v>
          </cell>
          <cell r="E1734" t="str">
            <v>0122</v>
          </cell>
          <cell r="F1734" t="str">
            <v>C1</v>
          </cell>
          <cell r="G1734" t="str">
            <v>MG</v>
          </cell>
          <cell r="H1734" t="str">
            <v>QSR</v>
          </cell>
          <cell r="I1734" t="str">
            <v>FOOD SERVICE</v>
          </cell>
          <cell r="J1734" t="str">
            <v>NUTRI</v>
          </cell>
          <cell r="K1734" t="str">
            <v>ITAMBÉ</v>
          </cell>
          <cell r="L1734" t="str">
            <v>PEDRO</v>
          </cell>
          <cell r="M1734" t="str">
            <v>AMANDA</v>
          </cell>
        </row>
        <row r="1735">
          <cell r="B1735">
            <v>5020319</v>
          </cell>
          <cell r="C1735" t="str">
            <v>SOST IND E COM DE ALIMENTOS EIRELI</v>
          </cell>
          <cell r="D1735">
            <v>6001</v>
          </cell>
          <cell r="E1735" t="str">
            <v>6127</v>
          </cell>
          <cell r="F1735" t="str">
            <v>C1</v>
          </cell>
          <cell r="G1735" t="str">
            <v>BA</v>
          </cell>
          <cell r="H1735" t="str">
            <v>DISTRIBUIÇÃO</v>
          </cell>
          <cell r="I1735" t="str">
            <v>FOOD SERVICE</v>
          </cell>
          <cell r="J1735" t="str">
            <v xml:space="preserve">KARIS FOOD / LUIZ </v>
          </cell>
          <cell r="K1735" t="str">
            <v>ITAMBÉ</v>
          </cell>
          <cell r="L1735" t="str">
            <v>RODRIGO</v>
          </cell>
          <cell r="M1735" t="str">
            <v>VAGO NORDESTE</v>
          </cell>
        </row>
        <row r="1736">
          <cell r="B1736">
            <v>5036214</v>
          </cell>
          <cell r="C1736" t="str">
            <v>ESPACO CHEF COMERCIO E DIST LTD</v>
          </cell>
          <cell r="D1736">
            <v>6001</v>
          </cell>
          <cell r="E1736" t="str">
            <v>6127</v>
          </cell>
          <cell r="F1736" t="str">
            <v>C1</v>
          </cell>
          <cell r="G1736" t="str">
            <v>CE</v>
          </cell>
          <cell r="H1736" t="str">
            <v>DISTRIBUIÇÃO</v>
          </cell>
          <cell r="I1736" t="str">
            <v>FOOD SERVICE</v>
          </cell>
          <cell r="J1736" t="str">
            <v>WH FOOD SERVICE CE</v>
          </cell>
          <cell r="K1736" t="str">
            <v>ITAMBÉ</v>
          </cell>
          <cell r="L1736" t="str">
            <v>RODRIGO</v>
          </cell>
          <cell r="M1736" t="str">
            <v>VAGO NORDESTE</v>
          </cell>
        </row>
        <row r="1737">
          <cell r="B1737">
            <v>5036304</v>
          </cell>
          <cell r="C1737" t="str">
            <v>GR SERVICOS E ALIMENTACAO LTDA</v>
          </cell>
          <cell r="D1737">
            <v>3001</v>
          </cell>
          <cell r="E1737" t="str">
            <v>0128</v>
          </cell>
          <cell r="F1737" t="str">
            <v>C1</v>
          </cell>
          <cell r="G1737" t="str">
            <v>AM</v>
          </cell>
          <cell r="H1737" t="str">
            <v>QSR</v>
          </cell>
          <cell r="I1737" t="str">
            <v>FOOD SERVICE</v>
          </cell>
          <cell r="J1737" t="str">
            <v>NUTRI</v>
          </cell>
          <cell r="K1737" t="str">
            <v>ITAMBÉ</v>
          </cell>
          <cell r="L1737" t="str">
            <v>PEDRO</v>
          </cell>
          <cell r="M1737" t="str">
            <v>AMANDA</v>
          </cell>
        </row>
        <row r="1738">
          <cell r="B1738">
            <v>5038591</v>
          </cell>
          <cell r="C1738" t="str">
            <v>TRIGAL IMP EXP PROD ALIM LTDA</v>
          </cell>
          <cell r="D1738">
            <v>6001</v>
          </cell>
          <cell r="E1738" t="str">
            <v>6127</v>
          </cell>
          <cell r="F1738" t="str">
            <v>C1</v>
          </cell>
          <cell r="G1738" t="str">
            <v>BA</v>
          </cell>
          <cell r="H1738" t="str">
            <v>DISTRIBUIÇÃO</v>
          </cell>
          <cell r="I1738" t="str">
            <v>FOOD SERVICE</v>
          </cell>
          <cell r="J1738" t="str">
            <v xml:space="preserve">KARIS FOOD / LUIZ </v>
          </cell>
          <cell r="K1738" t="str">
            <v>ITAMBÉ</v>
          </cell>
          <cell r="L1738" t="str">
            <v>RODRIGO</v>
          </cell>
          <cell r="M1738" t="str">
            <v>VAGO NORDESTE</v>
          </cell>
        </row>
        <row r="1739">
          <cell r="B1739">
            <v>5073333</v>
          </cell>
          <cell r="C1739" t="str">
            <v>TUFFUS</v>
          </cell>
          <cell r="D1739">
            <v>6001</v>
          </cell>
          <cell r="E1739" t="str">
            <v>6127</v>
          </cell>
          <cell r="F1739" t="str">
            <v>C1</v>
          </cell>
          <cell r="G1739" t="str">
            <v>BA</v>
          </cell>
          <cell r="H1739" t="str">
            <v>DISTRIBUIÇÃO</v>
          </cell>
          <cell r="I1739" t="str">
            <v>FOOD SERVICE</v>
          </cell>
          <cell r="J1739" t="str">
            <v xml:space="preserve">KARIS FOOD / LUIZ </v>
          </cell>
          <cell r="K1739" t="str">
            <v>ITAMBÉ</v>
          </cell>
          <cell r="L1739" t="str">
            <v>RODRIGO</v>
          </cell>
          <cell r="M1739" t="str">
            <v>VAGO NORDESTE</v>
          </cell>
        </row>
        <row r="1740">
          <cell r="B1740">
            <v>5118035</v>
          </cell>
          <cell r="C1740" t="str">
            <v>A B GUIMARAES BRANDAO VILAR</v>
          </cell>
          <cell r="D1740">
            <v>6001</v>
          </cell>
          <cell r="E1740" t="str">
            <v>6127</v>
          </cell>
          <cell r="F1740" t="str">
            <v>C1</v>
          </cell>
          <cell r="G1740" t="str">
            <v>BA</v>
          </cell>
          <cell r="H1740" t="str">
            <v>DISTRIBUIÇÃO</v>
          </cell>
          <cell r="I1740" t="str">
            <v>FOOD SERVICE</v>
          </cell>
          <cell r="J1740" t="str">
            <v xml:space="preserve">KARIS FOOD / LUIZ </v>
          </cell>
          <cell r="K1740" t="str">
            <v>ITAMBÉ</v>
          </cell>
          <cell r="L1740" t="str">
            <v>RODRIGO</v>
          </cell>
          <cell r="M1740" t="str">
            <v>VAGO NORDESTE</v>
          </cell>
        </row>
        <row r="1741">
          <cell r="B1741">
            <v>5128991</v>
          </cell>
          <cell r="C1741" t="str">
            <v>FORPAN FORTALEZA PAO LTDA</v>
          </cell>
          <cell r="D1741">
            <v>6001</v>
          </cell>
          <cell r="E1741" t="str">
            <v>6127</v>
          </cell>
          <cell r="F1741" t="str">
            <v>C1</v>
          </cell>
          <cell r="G1741" t="str">
            <v>CE</v>
          </cell>
          <cell r="H1741" t="str">
            <v>DISTRIBUIÇÃO</v>
          </cell>
          <cell r="I1741" t="str">
            <v>FOOD SERVICE</v>
          </cell>
          <cell r="J1741" t="str">
            <v>WH FOOD SERVICE CE</v>
          </cell>
          <cell r="K1741" t="str">
            <v>ITAMBÉ</v>
          </cell>
          <cell r="L1741" t="str">
            <v>RODRIGO</v>
          </cell>
          <cell r="M1741" t="str">
            <v>VAGO NORDESTE</v>
          </cell>
        </row>
        <row r="1742">
          <cell r="B1742">
            <v>5129139</v>
          </cell>
          <cell r="C1742" t="str">
            <v>GR SERVICOS E ALIMENTACAO LTDA</v>
          </cell>
          <cell r="D1742">
            <v>6001</v>
          </cell>
          <cell r="E1742" t="str">
            <v>6028</v>
          </cell>
          <cell r="F1742" t="str">
            <v>C1</v>
          </cell>
          <cell r="G1742" t="str">
            <v>BA</v>
          </cell>
          <cell r="H1742" t="str">
            <v>QSR</v>
          </cell>
          <cell r="I1742" t="str">
            <v>FOOD SERVICE</v>
          </cell>
          <cell r="J1742" t="str">
            <v>NUTRI</v>
          </cell>
          <cell r="K1742" t="str">
            <v>ITAMBÉ</v>
          </cell>
          <cell r="L1742" t="str">
            <v>PEDRO</v>
          </cell>
          <cell r="M1742" t="str">
            <v>AMANDA</v>
          </cell>
        </row>
        <row r="1743">
          <cell r="B1743">
            <v>5139324</v>
          </cell>
          <cell r="C1743" t="str">
            <v>H P EMABALAGENS LTDA ME</v>
          </cell>
          <cell r="D1743">
            <v>6001</v>
          </cell>
          <cell r="E1743" t="str">
            <v>6169</v>
          </cell>
          <cell r="F1743" t="str">
            <v>C1</v>
          </cell>
          <cell r="G1743" t="str">
            <v>ES</v>
          </cell>
          <cell r="H1743" t="str">
            <v>INGREDIENTS</v>
          </cell>
          <cell r="I1743" t="str">
            <v>INGREDIENTS</v>
          </cell>
          <cell r="J1743" t="str">
            <v>DUAS RODAS</v>
          </cell>
          <cell r="K1743" t="str">
            <v>ITAMBÉ</v>
          </cell>
          <cell r="L1743" t="str">
            <v>MAURICIO</v>
          </cell>
          <cell r="M1743" t="str">
            <v>TATIANA NITTA</v>
          </cell>
        </row>
        <row r="1744">
          <cell r="B1744">
            <v>5150168</v>
          </cell>
          <cell r="C1744" t="str">
            <v>TRUE ACAI DISTRIBUIDORA LTDA ME</v>
          </cell>
          <cell r="D1744">
            <v>6001</v>
          </cell>
          <cell r="E1744" t="str">
            <v>6127</v>
          </cell>
          <cell r="F1744" t="str">
            <v>C1</v>
          </cell>
          <cell r="G1744" t="str">
            <v>CE</v>
          </cell>
          <cell r="H1744" t="str">
            <v>DISTRIBUIÇÃO</v>
          </cell>
          <cell r="I1744" t="str">
            <v>FOOD SERVICE</v>
          </cell>
          <cell r="J1744" t="str">
            <v>WH FOOD SERVICE CE</v>
          </cell>
          <cell r="K1744" t="str">
            <v>ITAMBÉ</v>
          </cell>
          <cell r="L1744" t="str">
            <v>RODRIGO</v>
          </cell>
          <cell r="M1744" t="str">
            <v>VAGO NORDESTE</v>
          </cell>
        </row>
        <row r="1745">
          <cell r="B1745">
            <v>5168003</v>
          </cell>
          <cell r="C1745" t="str">
            <v>DAMAIS GELATUS F DE SORVETES E D LT</v>
          </cell>
          <cell r="D1745">
            <v>6001</v>
          </cell>
          <cell r="E1745" t="str">
            <v>6028</v>
          </cell>
          <cell r="F1745" t="str">
            <v>C1</v>
          </cell>
          <cell r="G1745" t="str">
            <v>BA</v>
          </cell>
          <cell r="H1745" t="str">
            <v>INGREDIENTS</v>
          </cell>
          <cell r="I1745" t="str">
            <v>INGREDIENTS</v>
          </cell>
          <cell r="J1745" t="str">
            <v>DUAS RODAS</v>
          </cell>
          <cell r="K1745" t="str">
            <v>ITAMBÉ</v>
          </cell>
          <cell r="L1745" t="str">
            <v>MAURICIO</v>
          </cell>
          <cell r="M1745" t="str">
            <v>JOEL</v>
          </cell>
        </row>
        <row r="1746">
          <cell r="B1746">
            <v>5172911</v>
          </cell>
          <cell r="C1746" t="str">
            <v>COMERCIAL DE ALIMENTOS FAVORITA</v>
          </cell>
          <cell r="D1746">
            <v>6001</v>
          </cell>
          <cell r="E1746" t="str">
            <v>6127</v>
          </cell>
          <cell r="F1746" t="str">
            <v>C1</v>
          </cell>
          <cell r="G1746" t="str">
            <v>BA</v>
          </cell>
          <cell r="H1746" t="str">
            <v>DISTRIBUIÇÃO</v>
          </cell>
          <cell r="I1746" t="str">
            <v>FOOD SERVICE</v>
          </cell>
          <cell r="J1746" t="str">
            <v xml:space="preserve">KARIS FOOD / LUIZ </v>
          </cell>
          <cell r="K1746" t="str">
            <v>ITAMBÉ</v>
          </cell>
          <cell r="L1746" t="str">
            <v>RODRIGO</v>
          </cell>
          <cell r="M1746" t="str">
            <v>VAGO NORDESTE</v>
          </cell>
        </row>
        <row r="1747">
          <cell r="B1747">
            <v>5184155</v>
          </cell>
          <cell r="C1747" t="str">
            <v>EJP COMERCIO DE ALIMENTOS LTDA</v>
          </cell>
          <cell r="D1747">
            <v>6001</v>
          </cell>
          <cell r="E1747" t="str">
            <v>6127</v>
          </cell>
          <cell r="F1747" t="str">
            <v>C1</v>
          </cell>
          <cell r="G1747" t="str">
            <v>CE</v>
          </cell>
          <cell r="H1747" t="str">
            <v>DISTRIBUIÇÃO</v>
          </cell>
          <cell r="I1747" t="str">
            <v>FOOD SERVICE</v>
          </cell>
          <cell r="J1747" t="str">
            <v>WH FOOD SERVICE CE</v>
          </cell>
          <cell r="K1747" t="str">
            <v>ITAMBÉ</v>
          </cell>
          <cell r="L1747" t="str">
            <v>RODRIGO</v>
          </cell>
          <cell r="M1747" t="str">
            <v>VAGO NORDESTE</v>
          </cell>
        </row>
        <row r="1748">
          <cell r="B1748">
            <v>5185277</v>
          </cell>
          <cell r="C1748" t="str">
            <v>CSS DISTRIBUIDORA LTDA</v>
          </cell>
          <cell r="D1748">
            <v>6001</v>
          </cell>
          <cell r="E1748" t="str">
            <v>6123</v>
          </cell>
          <cell r="F1748" t="str">
            <v>C1</v>
          </cell>
          <cell r="G1748" t="str">
            <v>MT</v>
          </cell>
          <cell r="H1748" t="str">
            <v>DISTRIBUIÇÃO</v>
          </cell>
          <cell r="I1748" t="str">
            <v>FOOD SERVICE</v>
          </cell>
          <cell r="J1748" t="str">
            <v>CLAUDIO JORGE</v>
          </cell>
          <cell r="K1748" t="str">
            <v>ITAMBÉ</v>
          </cell>
          <cell r="L1748" t="str">
            <v>RODRIGO</v>
          </cell>
          <cell r="M1748" t="str">
            <v>MARCO AURELIO</v>
          </cell>
        </row>
        <row r="1749">
          <cell r="B1749">
            <v>5197137</v>
          </cell>
          <cell r="C1749" t="str">
            <v>M LEILIANE M DA S LIMA ME</v>
          </cell>
          <cell r="D1749">
            <v>6001</v>
          </cell>
          <cell r="E1749" t="str">
            <v>6127</v>
          </cell>
          <cell r="F1749" t="str">
            <v>C1</v>
          </cell>
          <cell r="G1749" t="str">
            <v>CE</v>
          </cell>
          <cell r="H1749" t="str">
            <v>DISTRIBUIÇÃO</v>
          </cell>
          <cell r="I1749" t="str">
            <v>FOOD SERVICE</v>
          </cell>
          <cell r="J1749" t="str">
            <v>WH FOOD SERVICE CE</v>
          </cell>
          <cell r="K1749" t="str">
            <v>ITAMBÉ</v>
          </cell>
          <cell r="L1749" t="str">
            <v>RODRIGO</v>
          </cell>
          <cell r="M1749" t="str">
            <v>VAGO NORDESTE</v>
          </cell>
        </row>
        <row r="1750">
          <cell r="B1750">
            <v>5200125</v>
          </cell>
          <cell r="C1750" t="str">
            <v>DOCA COM DE EMB LTDA</v>
          </cell>
          <cell r="D1750">
            <v>6001</v>
          </cell>
          <cell r="E1750" t="str">
            <v>6127</v>
          </cell>
          <cell r="F1750" t="str">
            <v>C1</v>
          </cell>
          <cell r="G1750" t="str">
            <v>CE</v>
          </cell>
          <cell r="H1750" t="str">
            <v>DISTRIBUIÇÃO</v>
          </cell>
          <cell r="I1750" t="str">
            <v>FOOD SERVICE</v>
          </cell>
          <cell r="J1750" t="str">
            <v>WH FOOD SERVICE CE</v>
          </cell>
          <cell r="K1750" t="str">
            <v>ITAMBÉ</v>
          </cell>
          <cell r="L1750" t="str">
            <v>RODRIGO</v>
          </cell>
          <cell r="M1750" t="str">
            <v>VAGO NORDESTE</v>
          </cell>
        </row>
        <row r="1751">
          <cell r="B1751">
            <v>5209002</v>
          </cell>
          <cell r="C1751" t="str">
            <v>DOCA COME DE PROD ALIMEN LTDA</v>
          </cell>
          <cell r="D1751">
            <v>6001</v>
          </cell>
          <cell r="E1751" t="str">
            <v>6127</v>
          </cell>
          <cell r="F1751" t="str">
            <v>C1</v>
          </cell>
          <cell r="G1751" t="str">
            <v>CE</v>
          </cell>
          <cell r="H1751" t="str">
            <v>DISTRIBUIÇÃO</v>
          </cell>
          <cell r="I1751" t="str">
            <v>FOOD SERVICE</v>
          </cell>
          <cell r="J1751" t="str">
            <v>WH FOOD SERVICE CE</v>
          </cell>
          <cell r="K1751" t="str">
            <v>ITAMBÉ</v>
          </cell>
          <cell r="L1751" t="str">
            <v>RODRIGO</v>
          </cell>
          <cell r="M1751" t="str">
            <v>VAGO NORDESTE</v>
          </cell>
        </row>
        <row r="1752">
          <cell r="B1752">
            <v>5212418</v>
          </cell>
          <cell r="C1752" t="str">
            <v>MIRI PADARIA E CONFEITARIA LTDA</v>
          </cell>
          <cell r="D1752">
            <v>6001</v>
          </cell>
          <cell r="E1752" t="str">
            <v>6127</v>
          </cell>
          <cell r="F1752" t="str">
            <v>C1</v>
          </cell>
          <cell r="G1752" t="str">
            <v>BA</v>
          </cell>
          <cell r="H1752" t="str">
            <v>DISTRIBUIÇÃO</v>
          </cell>
          <cell r="I1752" t="str">
            <v>FOOD SERVICE</v>
          </cell>
          <cell r="J1752" t="str">
            <v xml:space="preserve">KARIS FOOD / LUIZ </v>
          </cell>
          <cell r="K1752" t="str">
            <v>ITAMBÉ</v>
          </cell>
          <cell r="L1752" t="str">
            <v>RODRIGO</v>
          </cell>
          <cell r="M1752" t="str">
            <v>VAGO NORDESTE</v>
          </cell>
        </row>
        <row r="1753">
          <cell r="B1753">
            <v>5212456</v>
          </cell>
          <cell r="C1753" t="str">
            <v>SEJA LETS FIT COMERCIO DE ALIM</v>
          </cell>
          <cell r="D1753">
            <v>6001</v>
          </cell>
          <cell r="E1753" t="str">
            <v>6127</v>
          </cell>
          <cell r="F1753" t="str">
            <v>C1</v>
          </cell>
          <cell r="G1753" t="str">
            <v>CE</v>
          </cell>
          <cell r="H1753" t="str">
            <v>DISTRIBUIÇÃO</v>
          </cell>
          <cell r="I1753" t="str">
            <v>FOOD SERVICE</v>
          </cell>
          <cell r="J1753" t="str">
            <v>WH FOOD SERVICE CE</v>
          </cell>
          <cell r="K1753" t="str">
            <v>ITAMBÉ</v>
          </cell>
          <cell r="L1753" t="str">
            <v>RODRIGO</v>
          </cell>
          <cell r="M1753" t="str">
            <v>VAGO NORDESTE</v>
          </cell>
        </row>
        <row r="1754">
          <cell r="B1754">
            <v>5226443</v>
          </cell>
          <cell r="C1754" t="str">
            <v>J A DISTRIBUIDORA LTDA</v>
          </cell>
          <cell r="D1754">
            <v>6001</v>
          </cell>
          <cell r="E1754" t="str">
            <v>6127</v>
          </cell>
          <cell r="F1754" t="str">
            <v>C1</v>
          </cell>
          <cell r="G1754" t="str">
            <v>CE</v>
          </cell>
          <cell r="H1754" t="str">
            <v>DISTRIBUIÇÃO</v>
          </cell>
          <cell r="I1754" t="str">
            <v>FOOD SERVICE</v>
          </cell>
          <cell r="J1754" t="str">
            <v>WH FOOD SERVICE CE</v>
          </cell>
          <cell r="K1754" t="str">
            <v>ITAMBÉ</v>
          </cell>
          <cell r="L1754" t="str">
            <v>RODRIGO</v>
          </cell>
          <cell r="M1754" t="str">
            <v>VAGO NORDESTE</v>
          </cell>
        </row>
        <row r="1755">
          <cell r="B1755">
            <v>5226476</v>
          </cell>
          <cell r="C1755" t="str">
            <v>HARUS FOOD BAHIA LTDA</v>
          </cell>
          <cell r="D1755">
            <v>6001</v>
          </cell>
          <cell r="E1755" t="str">
            <v>6127</v>
          </cell>
          <cell r="F1755" t="str">
            <v>C1</v>
          </cell>
          <cell r="G1755" t="str">
            <v>BA</v>
          </cell>
          <cell r="H1755" t="str">
            <v>DISTRIBUIÇÃO</v>
          </cell>
          <cell r="I1755" t="str">
            <v>FOOD SERVICE</v>
          </cell>
          <cell r="J1755" t="str">
            <v xml:space="preserve">KARIS FOOD / LUIZ </v>
          </cell>
          <cell r="K1755" t="str">
            <v>ITAMBÉ</v>
          </cell>
          <cell r="L1755" t="str">
            <v>RODRIGO</v>
          </cell>
          <cell r="M1755" t="str">
            <v>VAGO NORDESTE</v>
          </cell>
        </row>
        <row r="1756">
          <cell r="B1756">
            <v>5226643</v>
          </cell>
          <cell r="C1756" t="str">
            <v>HOSPITAL MATER DEI SA</v>
          </cell>
          <cell r="D1756">
            <v>6001</v>
          </cell>
          <cell r="E1756" t="str">
            <v>6127</v>
          </cell>
          <cell r="F1756" t="str">
            <v>C1</v>
          </cell>
          <cell r="G1756" t="str">
            <v>BA</v>
          </cell>
          <cell r="H1756" t="str">
            <v>DISTRIBUIÇÃO</v>
          </cell>
          <cell r="I1756" t="str">
            <v>FOOD SERVICE</v>
          </cell>
          <cell r="J1756" t="str">
            <v xml:space="preserve">KARIS FOOD / LUIZ </v>
          </cell>
          <cell r="K1756" t="str">
            <v>ITAMBÉ</v>
          </cell>
          <cell r="L1756" t="str">
            <v>RODRIGO</v>
          </cell>
          <cell r="M1756" t="str">
            <v>VAGO NORDESTE</v>
          </cell>
        </row>
        <row r="1757">
          <cell r="B1757">
            <v>5228827</v>
          </cell>
          <cell r="C1757" t="str">
            <v>FABRICA ACAI MAGNIFICO LTDA</v>
          </cell>
          <cell r="D1757">
            <v>6001</v>
          </cell>
          <cell r="E1757" t="str">
            <v>6028</v>
          </cell>
          <cell r="F1757" t="str">
            <v>C1</v>
          </cell>
          <cell r="G1757" t="str">
            <v>SP</v>
          </cell>
          <cell r="H1757" t="str">
            <v>INGREDIENTS</v>
          </cell>
          <cell r="I1757" t="str">
            <v>INGREDIENTS</v>
          </cell>
          <cell r="J1757" t="str">
            <v>HENRIQUE FERREIRA</v>
          </cell>
          <cell r="K1757" t="str">
            <v>ITAMBÉ</v>
          </cell>
          <cell r="L1757" t="str">
            <v>MAURICIO</v>
          </cell>
          <cell r="M1757" t="str">
            <v>JOEL</v>
          </cell>
        </row>
        <row r="1758">
          <cell r="B1758">
            <v>5232460</v>
          </cell>
          <cell r="C1758" t="str">
            <v>GELATO LUCE COMERCIO LTDA</v>
          </cell>
          <cell r="D1758">
            <v>6001</v>
          </cell>
          <cell r="E1758" t="str">
            <v>6127</v>
          </cell>
          <cell r="F1758" t="str">
            <v>C1</v>
          </cell>
          <cell r="G1758" t="str">
            <v>BA</v>
          </cell>
          <cell r="H1758" t="str">
            <v>DISTRIBUIÇÃO</v>
          </cell>
          <cell r="I1758" t="str">
            <v>FOOD SERVICE</v>
          </cell>
          <cell r="J1758" t="str">
            <v xml:space="preserve">KARIS FOOD / LUIZ </v>
          </cell>
          <cell r="K1758" t="str">
            <v>ITAMBÉ</v>
          </cell>
          <cell r="L1758" t="str">
            <v>RODRIGO</v>
          </cell>
          <cell r="M1758" t="str">
            <v>VAGO NORDESTE</v>
          </cell>
        </row>
        <row r="1759">
          <cell r="B1759">
            <v>5250636</v>
          </cell>
          <cell r="C1759" t="str">
            <v>SUPER GRILL EXPRESS MORUMBI ALI</v>
          </cell>
          <cell r="D1759">
            <v>7001</v>
          </cell>
          <cell r="E1759" t="str">
            <v>0749</v>
          </cell>
          <cell r="F1759" t="str">
            <v>C5</v>
          </cell>
          <cell r="G1759" t="str">
            <v>SP</v>
          </cell>
          <cell r="H1759" t="str">
            <v>DISTRIBUIÇÃO</v>
          </cell>
          <cell r="I1759" t="str">
            <v>FOOD SERVICE</v>
          </cell>
          <cell r="J1759" t="str">
            <v>FLAC 2</v>
          </cell>
          <cell r="K1759" t="str">
            <v>LACTALIS</v>
          </cell>
          <cell r="L1759" t="str">
            <v>RODRIGO</v>
          </cell>
          <cell r="M1759" t="str">
            <v>ALEXANDRO</v>
          </cell>
        </row>
        <row r="1760">
          <cell r="B1760">
            <v>5256539</v>
          </cell>
          <cell r="C1760" t="str">
            <v>MAGAZZINO DIST DE ALIMENTOS LTD</v>
          </cell>
          <cell r="D1760">
            <v>6001</v>
          </cell>
          <cell r="E1760" t="str">
            <v>6169</v>
          </cell>
          <cell r="F1760" t="str">
            <v>C1</v>
          </cell>
          <cell r="G1760" t="str">
            <v>RJ</v>
          </cell>
          <cell r="H1760" t="str">
            <v>QSR</v>
          </cell>
          <cell r="I1760" t="str">
            <v>FOOD SERVICE</v>
          </cell>
          <cell r="J1760" t="str">
            <v>AMANDA CARVALHO</v>
          </cell>
          <cell r="K1760" t="str">
            <v>ITAMBÉ</v>
          </cell>
          <cell r="L1760" t="str">
            <v>PEDRO</v>
          </cell>
          <cell r="M1760" t="str">
            <v>AMANDA</v>
          </cell>
        </row>
        <row r="1761">
          <cell r="B1761">
            <v>5257842</v>
          </cell>
          <cell r="C1761" t="str">
            <v>SUPER GRILL EX PAULISTA REST LT</v>
          </cell>
          <cell r="D1761">
            <v>7001</v>
          </cell>
          <cell r="E1761" t="str">
            <v>0749</v>
          </cell>
          <cell r="F1761" t="str">
            <v>C5</v>
          </cell>
          <cell r="G1761" t="str">
            <v>SP</v>
          </cell>
          <cell r="H1761" t="str">
            <v>DISTRIBUIÇÃO</v>
          </cell>
          <cell r="I1761" t="str">
            <v>FOOD SERVICE</v>
          </cell>
          <cell r="J1761" t="str">
            <v>FLAC 2</v>
          </cell>
          <cell r="K1761" t="str">
            <v>LACTALIS</v>
          </cell>
          <cell r="L1761" t="str">
            <v>RODRIGO</v>
          </cell>
          <cell r="M1761" t="str">
            <v>ALEXANDRO</v>
          </cell>
        </row>
        <row r="1762">
          <cell r="B1762">
            <v>5275629</v>
          </cell>
          <cell r="C1762" t="str">
            <v>LATIT 13 CAFES ESP COM CAF E AC</v>
          </cell>
          <cell r="D1762">
            <v>6001</v>
          </cell>
          <cell r="E1762" t="str">
            <v>6127</v>
          </cell>
          <cell r="F1762" t="str">
            <v>C1</v>
          </cell>
          <cell r="G1762" t="str">
            <v>BA</v>
          </cell>
          <cell r="H1762" t="str">
            <v>DISTRIBUIÇÃO</v>
          </cell>
          <cell r="I1762" t="str">
            <v>FOOD SERVICE</v>
          </cell>
          <cell r="J1762" t="str">
            <v xml:space="preserve">KARIS FOOD / LUIZ </v>
          </cell>
          <cell r="K1762" t="str">
            <v>ITAMBÉ</v>
          </cell>
          <cell r="L1762" t="str">
            <v>RODRIGO</v>
          </cell>
          <cell r="M1762" t="str">
            <v>VAGO NORDESTE</v>
          </cell>
        </row>
        <row r="1763">
          <cell r="B1763">
            <v>5297860</v>
          </cell>
          <cell r="C1763" t="str">
            <v>GRAN SAPORE BR BRASIL S A</v>
          </cell>
          <cell r="D1763">
            <v>3001</v>
          </cell>
          <cell r="E1763" t="str">
            <v>0123</v>
          </cell>
          <cell r="F1763" t="str">
            <v>C1</v>
          </cell>
          <cell r="G1763" t="str">
            <v>DF</v>
          </cell>
          <cell r="H1763" t="str">
            <v>QSR</v>
          </cell>
          <cell r="I1763" t="str">
            <v>FOOD SERVICE</v>
          </cell>
          <cell r="J1763" t="str">
            <v>NUTRI</v>
          </cell>
          <cell r="K1763" t="str">
            <v>ITAMBÉ</v>
          </cell>
          <cell r="L1763" t="str">
            <v>PEDRO</v>
          </cell>
          <cell r="M1763" t="str">
            <v>AMANDA</v>
          </cell>
        </row>
        <row r="1764">
          <cell r="B1764">
            <v>5320317</v>
          </cell>
          <cell r="C1764" t="str">
            <v>L F S COM E IMPORTACAO DE ALIM</v>
          </cell>
          <cell r="D1764">
            <v>6001</v>
          </cell>
          <cell r="E1764" t="str">
            <v>6127</v>
          </cell>
          <cell r="F1764" t="str">
            <v>C1</v>
          </cell>
          <cell r="G1764" t="str">
            <v>CE</v>
          </cell>
          <cell r="H1764" t="str">
            <v>DISTRIBUIÇÃO</v>
          </cell>
          <cell r="I1764" t="str">
            <v>FOOD SERVICE</v>
          </cell>
          <cell r="J1764" t="str">
            <v>WH FOOD SERVICE CE</v>
          </cell>
          <cell r="K1764" t="str">
            <v>ITAMBÉ</v>
          </cell>
          <cell r="L1764" t="str">
            <v>RODRIGO</v>
          </cell>
          <cell r="M1764" t="str">
            <v>VAGO NORDESTE</v>
          </cell>
        </row>
        <row r="1765">
          <cell r="B1765">
            <v>5331983</v>
          </cell>
          <cell r="C1765" t="str">
            <v>SCALONA ALIMENTOS LTDA</v>
          </cell>
          <cell r="D1765">
            <v>6001</v>
          </cell>
          <cell r="E1765" t="str">
            <v>6127</v>
          </cell>
          <cell r="F1765" t="str">
            <v>C1</v>
          </cell>
          <cell r="G1765" t="str">
            <v>BA</v>
          </cell>
          <cell r="H1765" t="str">
            <v>DISTRIBUIÇÃO</v>
          </cell>
          <cell r="I1765" t="str">
            <v>FOOD SERVICE</v>
          </cell>
          <cell r="J1765" t="str">
            <v xml:space="preserve">KARIS FOOD / LUIZ </v>
          </cell>
          <cell r="K1765" t="str">
            <v>ITAMBÉ</v>
          </cell>
          <cell r="L1765" t="str">
            <v>RODRIGO</v>
          </cell>
          <cell r="M1765" t="str">
            <v>VAGO NORDESTE</v>
          </cell>
        </row>
        <row r="1766">
          <cell r="B1766">
            <v>5335635</v>
          </cell>
          <cell r="C1766" t="str">
            <v>SUSANA SALES SIQUEIRA 159179698</v>
          </cell>
          <cell r="D1766">
            <v>6001</v>
          </cell>
          <cell r="E1766" t="str">
            <v>6028</v>
          </cell>
          <cell r="F1766" t="str">
            <v>C1</v>
          </cell>
          <cell r="G1766" t="str">
            <v>BA</v>
          </cell>
          <cell r="H1766" t="str">
            <v>INGREDIENTS</v>
          </cell>
          <cell r="I1766" t="str">
            <v>INGREDIENTS</v>
          </cell>
          <cell r="J1766" t="str">
            <v>DUAS RODAS</v>
          </cell>
          <cell r="K1766" t="str">
            <v>ITAMBÉ</v>
          </cell>
          <cell r="L1766" t="str">
            <v>MAURICIO</v>
          </cell>
          <cell r="M1766" t="str">
            <v>JOEL</v>
          </cell>
        </row>
        <row r="1767">
          <cell r="B1767">
            <v>5342210</v>
          </cell>
          <cell r="C1767" t="str">
            <v>MULTLAZER POUSADA LTDA</v>
          </cell>
          <cell r="D1767">
            <v>7001</v>
          </cell>
          <cell r="E1767" t="str">
            <v>0749</v>
          </cell>
          <cell r="F1767" t="str">
            <v>C5</v>
          </cell>
          <cell r="G1767" t="str">
            <v>SP</v>
          </cell>
          <cell r="H1767" t="str">
            <v>DISTRIBUIÇÃO</v>
          </cell>
          <cell r="I1767" t="str">
            <v>FOOD SERVICE</v>
          </cell>
          <cell r="J1767" t="str">
            <v>FLAC 5</v>
          </cell>
          <cell r="K1767" t="str">
            <v>LACTALIS</v>
          </cell>
          <cell r="L1767" t="str">
            <v>RODRIGO</v>
          </cell>
          <cell r="M1767" t="str">
            <v>ALEXANDRO</v>
          </cell>
        </row>
        <row r="1768">
          <cell r="B1768">
            <v>5344670</v>
          </cell>
          <cell r="C1768" t="str">
            <v>SALT BAKERY LTDA</v>
          </cell>
          <cell r="D1768">
            <v>7001</v>
          </cell>
          <cell r="E1768" t="str">
            <v>0749</v>
          </cell>
          <cell r="F1768" t="str">
            <v>C5</v>
          </cell>
          <cell r="G1768" t="str">
            <v>SP</v>
          </cell>
          <cell r="H1768" t="str">
            <v>DISTRIBUIÇÃO</v>
          </cell>
          <cell r="I1768" t="str">
            <v>FOOD SERVICE</v>
          </cell>
          <cell r="J1768" t="str">
            <v>FLAC 2</v>
          </cell>
          <cell r="K1768" t="str">
            <v>LACTALIS</v>
          </cell>
          <cell r="L1768" t="str">
            <v>RODRIGO</v>
          </cell>
          <cell r="M1768" t="str">
            <v>ALEXANDRO</v>
          </cell>
        </row>
        <row r="1769">
          <cell r="B1769">
            <v>5344709</v>
          </cell>
          <cell r="C1769" t="str">
            <v>ADL COMERCIO DE ALIMENTOS LTDA</v>
          </cell>
          <cell r="D1769">
            <v>6001</v>
          </cell>
          <cell r="E1769" t="str">
            <v>6127</v>
          </cell>
          <cell r="F1769" t="str">
            <v>C1</v>
          </cell>
          <cell r="G1769" t="str">
            <v>BA</v>
          </cell>
          <cell r="H1769" t="str">
            <v>DISTRIBUIÇÃO</v>
          </cell>
          <cell r="I1769" t="str">
            <v>FOOD SERVICE</v>
          </cell>
          <cell r="J1769" t="str">
            <v xml:space="preserve">KARIS FOOD / LUIZ </v>
          </cell>
          <cell r="K1769" t="str">
            <v>ITAMBÉ</v>
          </cell>
          <cell r="L1769" t="str">
            <v>RODRIGO</v>
          </cell>
          <cell r="M1769" t="str">
            <v>VAGO NORDESTE</v>
          </cell>
        </row>
        <row r="1770">
          <cell r="B1770">
            <v>5337000</v>
          </cell>
          <cell r="C1770" t="str">
            <v>ST WICH SANDUICHERIA LTDA</v>
          </cell>
          <cell r="D1770">
            <v>7001</v>
          </cell>
          <cell r="E1770" t="str">
            <v>0749</v>
          </cell>
          <cell r="F1770" t="str">
            <v>C5</v>
          </cell>
          <cell r="G1770" t="str">
            <v>SP</v>
          </cell>
          <cell r="H1770" t="str">
            <v>DISTRIBUIÇÃO</v>
          </cell>
          <cell r="I1770" t="str">
            <v>FOOD SERVICE</v>
          </cell>
          <cell r="J1770" t="str">
            <v>FLAC 6</v>
          </cell>
          <cell r="K1770" t="str">
            <v>LACTALIS</v>
          </cell>
          <cell r="L1770" t="str">
            <v>RODRIGO</v>
          </cell>
          <cell r="M1770" t="str">
            <v>ALEXANDRO</v>
          </cell>
        </row>
        <row r="1771">
          <cell r="B1771">
            <v>5146430</v>
          </cell>
          <cell r="C1771" t="str">
            <v>USINA DE LATICINIOS JUSSARA SA</v>
          </cell>
          <cell r="D1771">
            <v>4001</v>
          </cell>
          <cell r="E1771" t="str">
            <v>0458</v>
          </cell>
          <cell r="F1771" t="str">
            <v>C1</v>
          </cell>
          <cell r="G1771" t="str">
            <v>MG</v>
          </cell>
          <cell r="H1771" t="str">
            <v>INGREDIENTS</v>
          </cell>
          <cell r="I1771" t="str">
            <v>INGREDIENTS</v>
          </cell>
          <cell r="J1771" t="str">
            <v>TATIANA NITTA</v>
          </cell>
          <cell r="K1771" t="str">
            <v>LACTALIS</v>
          </cell>
          <cell r="L1771" t="str">
            <v>MAURICIO</v>
          </cell>
          <cell r="M1771" t="str">
            <v>TATIANA NITTA</v>
          </cell>
        </row>
        <row r="1772">
          <cell r="B1772">
            <v>5171873</v>
          </cell>
          <cell r="C1772" t="str">
            <v>JULIO YOKIO DEMIZU</v>
          </cell>
          <cell r="D1772">
            <v>3001</v>
          </cell>
          <cell r="E1772" t="str">
            <v>0028</v>
          </cell>
          <cell r="F1772" t="str">
            <v>C1</v>
          </cell>
          <cell r="G1772" t="str">
            <v>PR</v>
          </cell>
          <cell r="H1772" t="str">
            <v>INGREDIENTS</v>
          </cell>
          <cell r="I1772" t="str">
            <v>INGREDIENTS</v>
          </cell>
          <cell r="J1772" t="str">
            <v>DUAS RODAS</v>
          </cell>
          <cell r="K1772" t="str">
            <v>ITAMBÉ</v>
          </cell>
          <cell r="L1772" t="str">
            <v>MAURICIO</v>
          </cell>
          <cell r="M1772" t="str">
            <v>MARCELO</v>
          </cell>
        </row>
        <row r="1773">
          <cell r="B1773">
            <v>5344781</v>
          </cell>
          <cell r="C1773" t="str">
            <v>SORVETES DO VALE LTDA</v>
          </cell>
          <cell r="D1773">
            <v>3001</v>
          </cell>
          <cell r="E1773" t="str">
            <v>0122</v>
          </cell>
          <cell r="F1773" t="str">
            <v>C1</v>
          </cell>
          <cell r="G1773" t="str">
            <v>MG</v>
          </cell>
          <cell r="H1773" t="str">
            <v>INGREDIENTS</v>
          </cell>
          <cell r="I1773" t="str">
            <v>INGREDIENTS</v>
          </cell>
          <cell r="J1773" t="str">
            <v>HENRIQUE FERREIRA</v>
          </cell>
          <cell r="K1773" t="str">
            <v>ITAMBÉ</v>
          </cell>
          <cell r="L1773" t="str">
            <v>MAURICIO</v>
          </cell>
          <cell r="M1773" t="str">
            <v>JOEL</v>
          </cell>
        </row>
        <row r="1774">
          <cell r="B1774">
            <v>5058881</v>
          </cell>
          <cell r="C1774" t="str">
            <v>GR SERVICOS E ALIMENTACAO LTDA</v>
          </cell>
          <cell r="D1774">
            <v>3001</v>
          </cell>
          <cell r="E1774" t="str">
            <v>0028</v>
          </cell>
          <cell r="F1774" t="str">
            <v>C1</v>
          </cell>
          <cell r="G1774" t="str">
            <v>SP</v>
          </cell>
          <cell r="H1774" t="str">
            <v>QSR</v>
          </cell>
          <cell r="I1774" t="str">
            <v>FOOD SERVICE</v>
          </cell>
          <cell r="J1774" t="str">
            <v>NUTRI</v>
          </cell>
          <cell r="K1774" t="str">
            <v>ITAMBÉ</v>
          </cell>
          <cell r="L1774" t="str">
            <v>PEDRO</v>
          </cell>
          <cell r="M1774" t="str">
            <v>AMANDA</v>
          </cell>
        </row>
        <row r="1775">
          <cell r="B1775">
            <v>5181722</v>
          </cell>
          <cell r="C1775" t="str">
            <v>CINDERELA SORVETES LTDA ME</v>
          </cell>
          <cell r="D1775">
            <v>6001</v>
          </cell>
          <cell r="E1775" t="str">
            <v>6028</v>
          </cell>
          <cell r="F1775" t="str">
            <v>C1</v>
          </cell>
          <cell r="G1775" t="str">
            <v>ES</v>
          </cell>
          <cell r="H1775" t="str">
            <v>INGREDIENTS</v>
          </cell>
          <cell r="I1775" t="str">
            <v>INGREDIENTS</v>
          </cell>
          <cell r="J1775" t="str">
            <v>DUAS RODAS</v>
          </cell>
          <cell r="K1775" t="str">
            <v>ITAMBÉ</v>
          </cell>
          <cell r="L1775" t="str">
            <v>MAURICIO</v>
          </cell>
          <cell r="M1775" t="str">
            <v>JOEL</v>
          </cell>
        </row>
        <row r="1776">
          <cell r="B1776">
            <v>5231123</v>
          </cell>
          <cell r="C1776" t="str">
            <v>CRAF BRASIL IND E COM ALIM LTDA</v>
          </cell>
          <cell r="D1776">
            <v>6001</v>
          </cell>
          <cell r="E1776" t="str">
            <v>6028</v>
          </cell>
          <cell r="F1776" t="str">
            <v>C1</v>
          </cell>
          <cell r="G1776" t="str">
            <v>ES</v>
          </cell>
          <cell r="H1776" t="str">
            <v>INGREDIENTS</v>
          </cell>
          <cell r="I1776" t="str">
            <v>INGREDIENTS</v>
          </cell>
          <cell r="J1776" t="str">
            <v>DUAS RODAS</v>
          </cell>
          <cell r="K1776" t="str">
            <v>ITAMBÉ</v>
          </cell>
          <cell r="L1776" t="str">
            <v>MAURICIO</v>
          </cell>
          <cell r="M1776" t="str">
            <v>JOEL</v>
          </cell>
        </row>
        <row r="1777">
          <cell r="B1777">
            <v>5233288</v>
          </cell>
          <cell r="C1777" t="str">
            <v>HUGO JOSE DE FREITAS 0977326160</v>
          </cell>
          <cell r="D1777">
            <v>3001</v>
          </cell>
          <cell r="E1777" t="str">
            <v>0028</v>
          </cell>
          <cell r="F1777" t="str">
            <v>C1</v>
          </cell>
          <cell r="G1777" t="str">
            <v>MG</v>
          </cell>
          <cell r="H1777" t="str">
            <v>INGREDIENTS</v>
          </cell>
          <cell r="I1777" t="str">
            <v>INGREDIENTS</v>
          </cell>
          <cell r="J1777" t="str">
            <v>TATIANA NITTA</v>
          </cell>
          <cell r="K1777" t="str">
            <v>ITAMBÉ</v>
          </cell>
          <cell r="L1777" t="str">
            <v>MAURICIO</v>
          </cell>
          <cell r="M1777" t="str">
            <v>TATIANA NITTA</v>
          </cell>
        </row>
        <row r="1778">
          <cell r="B1778">
            <v>5253214</v>
          </cell>
          <cell r="C1778" t="str">
            <v>COOPERATIVA AGRICOLA MISTA DE MARAN</v>
          </cell>
          <cell r="D1778">
            <v>4001</v>
          </cell>
          <cell r="E1778" t="str">
            <v>0423</v>
          </cell>
          <cell r="F1778" t="str">
            <v>C5</v>
          </cell>
          <cell r="G1778" t="str">
            <v>CE</v>
          </cell>
          <cell r="H1778" t="str">
            <v>INGREDIENTS</v>
          </cell>
          <cell r="I1778" t="str">
            <v>INGREDIENTS</v>
          </cell>
          <cell r="J1778" t="str">
            <v>JOEL ELEOTÉRIO</v>
          </cell>
          <cell r="K1778" t="str">
            <v>LACTALIS</v>
          </cell>
          <cell r="L1778" t="str">
            <v>MAURICIO</v>
          </cell>
          <cell r="M1778" t="str">
            <v>JOEL</v>
          </cell>
        </row>
        <row r="1779">
          <cell r="B1779">
            <v>5344927</v>
          </cell>
          <cell r="C1779" t="str">
            <v>RATIONAL BRASIL COMERCIO E DISTRIBU</v>
          </cell>
          <cell r="D1779">
            <v>7001</v>
          </cell>
          <cell r="E1779" t="str">
            <v>0749</v>
          </cell>
          <cell r="F1779" t="str">
            <v>C5</v>
          </cell>
          <cell r="G1779" t="str">
            <v>SP</v>
          </cell>
          <cell r="H1779" t="str">
            <v>DISTRIBUIÇÃO</v>
          </cell>
          <cell r="I1779" t="str">
            <v>FOOD SERVICE</v>
          </cell>
          <cell r="J1779" t="str">
            <v>FLAC 2</v>
          </cell>
          <cell r="K1779" t="str">
            <v>LACTALIS</v>
          </cell>
          <cell r="L1779" t="str">
            <v>RODRIGO</v>
          </cell>
          <cell r="M1779" t="str">
            <v>ALEXANDRO</v>
          </cell>
        </row>
        <row r="1780">
          <cell r="B1780">
            <v>5225860</v>
          </cell>
          <cell r="C1780" t="str">
            <v>DISPAN DISTRIBUIDORA DE ALIMENTOS</v>
          </cell>
          <cell r="D1780">
            <v>4001</v>
          </cell>
          <cell r="E1780" t="str">
            <v>0454</v>
          </cell>
          <cell r="F1780" t="str">
            <v>C1</v>
          </cell>
          <cell r="G1780" t="str">
            <v>PE</v>
          </cell>
          <cell r="H1780" t="str">
            <v>DISTRIBUIÇÃO</v>
          </cell>
          <cell r="I1780" t="str">
            <v>FOOD SERVICE</v>
          </cell>
          <cell r="J1780" t="str">
            <v>CLAUDIO JORGE/AMANDA SANDS</v>
          </cell>
          <cell r="K1780" t="str">
            <v>LACTALIS</v>
          </cell>
          <cell r="L1780" t="str">
            <v>RODRIGO</v>
          </cell>
          <cell r="M1780" t="str">
            <v>VAGO NORDESTE</v>
          </cell>
        </row>
        <row r="1781">
          <cell r="B1781">
            <v>5226500</v>
          </cell>
          <cell r="C1781" t="str">
            <v>GARRA COMERCIO ATACADISTA DE ALIM L</v>
          </cell>
          <cell r="D1781">
            <v>6001</v>
          </cell>
          <cell r="E1781" t="str">
            <v>6123</v>
          </cell>
          <cell r="F1781" t="str">
            <v>C1</v>
          </cell>
          <cell r="G1781" t="str">
            <v>DF</v>
          </cell>
          <cell r="H1781" t="str">
            <v>DISTRIBUIÇÃO</v>
          </cell>
          <cell r="I1781" t="str">
            <v>FOOD SERVICE</v>
          </cell>
          <cell r="J1781" t="str">
            <v>CLAUDIO JORGE</v>
          </cell>
          <cell r="K1781" t="str">
            <v>ITAMBÉ</v>
          </cell>
          <cell r="L1781" t="str">
            <v>RODRIGO</v>
          </cell>
          <cell r="M1781" t="str">
            <v>MARCO AURELIO</v>
          </cell>
        </row>
        <row r="1782">
          <cell r="B1782">
            <v>5344060</v>
          </cell>
          <cell r="C1782" t="str">
            <v>SORVETERIA PINETTO LTDA</v>
          </cell>
          <cell r="D1782">
            <v>3001</v>
          </cell>
          <cell r="E1782" t="str">
            <v>0028</v>
          </cell>
          <cell r="F1782" t="str">
            <v>C1</v>
          </cell>
          <cell r="G1782" t="str">
            <v>SC</v>
          </cell>
          <cell r="H1782" t="str">
            <v>INGREDIENTS</v>
          </cell>
          <cell r="I1782" t="str">
            <v>INGREDIENTS</v>
          </cell>
          <cell r="J1782" t="str">
            <v>DUAS RODAS</v>
          </cell>
          <cell r="K1782" t="str">
            <v>ITAMBÉ</v>
          </cell>
          <cell r="L1782" t="str">
            <v>MAURICIO</v>
          </cell>
          <cell r="M1782" t="str">
            <v>MARCELO</v>
          </cell>
        </row>
        <row r="1783">
          <cell r="B1783">
            <v>5026768</v>
          </cell>
          <cell r="C1783" t="str">
            <v>FORTALI DIST DE ALIMENTOS LTDA</v>
          </cell>
          <cell r="D1783">
            <v>6001</v>
          </cell>
          <cell r="E1783" t="str">
            <v>6075</v>
          </cell>
          <cell r="F1783" t="str">
            <v>C1</v>
          </cell>
          <cell r="G1783" t="str">
            <v>CE</v>
          </cell>
          <cell r="H1783" t="str">
            <v>DISTRIBUIÇÃO</v>
          </cell>
          <cell r="I1783" t="str">
            <v>FOOD SERVICE</v>
          </cell>
          <cell r="J1783" t="str">
            <v>WH FOOD SERVICE CE</v>
          </cell>
          <cell r="K1783" t="str">
            <v>ITAMBÉ</v>
          </cell>
          <cell r="L1783" t="str">
            <v>RODRIGO</v>
          </cell>
          <cell r="M1783" t="str">
            <v>VAGO NORDESTE</v>
          </cell>
        </row>
        <row r="1784">
          <cell r="B1784">
            <v>5069172</v>
          </cell>
          <cell r="C1784" t="str">
            <v>SANNA COMERCIO DE ALIMENTOS LTDA</v>
          </cell>
          <cell r="D1784">
            <v>6001</v>
          </cell>
          <cell r="E1784" t="str">
            <v>6125</v>
          </cell>
          <cell r="F1784" t="str">
            <v>C1</v>
          </cell>
          <cell r="G1784" t="str">
            <v>SP</v>
          </cell>
          <cell r="H1784" t="str">
            <v>DISTRIBUIÇÃO</v>
          </cell>
          <cell r="I1784" t="str">
            <v>FOOD SERVICE</v>
          </cell>
          <cell r="J1784" t="str">
            <v>EMMANUEL FRANCISCO</v>
          </cell>
          <cell r="K1784" t="str">
            <v>ITAMBÉ</v>
          </cell>
          <cell r="L1784" t="str">
            <v>RODRIGO</v>
          </cell>
          <cell r="M1784" t="str">
            <v>VAGO SP - INTERIOR</v>
          </cell>
        </row>
        <row r="1785">
          <cell r="B1785">
            <v>5139324</v>
          </cell>
          <cell r="C1785" t="str">
            <v>H P EMABALAGENS LTDA ME</v>
          </cell>
          <cell r="D1785">
            <v>6001</v>
          </cell>
          <cell r="E1785" t="str">
            <v>6028</v>
          </cell>
          <cell r="F1785" t="str">
            <v>C1</v>
          </cell>
          <cell r="G1785" t="str">
            <v>ES</v>
          </cell>
          <cell r="H1785" t="str">
            <v>INGREDIENTS</v>
          </cell>
          <cell r="I1785" t="str">
            <v>INGREDIENTS</v>
          </cell>
          <cell r="J1785" t="str">
            <v>DUAS RODAS</v>
          </cell>
          <cell r="K1785" t="str">
            <v>ITAMBÉ</v>
          </cell>
          <cell r="L1785" t="str">
            <v>MAURICIO</v>
          </cell>
          <cell r="M1785" t="str">
            <v>TATIANA NITTA</v>
          </cell>
        </row>
        <row r="1786">
          <cell r="B1786">
            <v>5210640</v>
          </cell>
          <cell r="C1786" t="str">
            <v>SALT PIE INDUSTRIA COMERCIO</v>
          </cell>
          <cell r="D1786">
            <v>6001</v>
          </cell>
          <cell r="E1786" t="str">
            <v>6028</v>
          </cell>
          <cell r="F1786" t="str">
            <v>C1</v>
          </cell>
          <cell r="G1786" t="str">
            <v>SP</v>
          </cell>
          <cell r="H1786" t="str">
            <v>INGREDIENTS</v>
          </cell>
          <cell r="I1786" t="str">
            <v>INGREDIENTS</v>
          </cell>
          <cell r="J1786" t="str">
            <v>HENRIQUE FERREIRA</v>
          </cell>
          <cell r="K1786" t="str">
            <v>ITAMBÉ</v>
          </cell>
          <cell r="L1786" t="str">
            <v>MAURICIO</v>
          </cell>
          <cell r="M1786" t="str">
            <v>JOEL</v>
          </cell>
        </row>
        <row r="1787">
          <cell r="B1787">
            <v>5212843</v>
          </cell>
          <cell r="C1787" t="str">
            <v>SORVDOCE COMERCIAL ALIM LTDA</v>
          </cell>
          <cell r="D1787">
            <v>6001</v>
          </cell>
          <cell r="E1787" t="str">
            <v>6125</v>
          </cell>
          <cell r="F1787" t="str">
            <v>C1</v>
          </cell>
          <cell r="G1787" t="str">
            <v>SP</v>
          </cell>
          <cell r="H1787" t="str">
            <v>DISTRIBUIÇÃO</v>
          </cell>
          <cell r="I1787" t="str">
            <v>FOOD SERVICE</v>
          </cell>
          <cell r="J1787" t="str">
            <v>LUCAS ANDRADE</v>
          </cell>
          <cell r="K1787" t="str">
            <v>ITAMBÉ</v>
          </cell>
          <cell r="L1787" t="str">
            <v>RODRIGO</v>
          </cell>
          <cell r="M1787" t="str">
            <v>RAQUEL BARBOSA</v>
          </cell>
        </row>
        <row r="1788">
          <cell r="B1788">
            <v>5262839</v>
          </cell>
          <cell r="C1788" t="str">
            <v>W D RIBEIRO CONFEITARIA LTDA</v>
          </cell>
          <cell r="D1788">
            <v>7001</v>
          </cell>
          <cell r="E1788" t="str">
            <v>0749</v>
          </cell>
          <cell r="F1788" t="str">
            <v>C5</v>
          </cell>
          <cell r="G1788" t="str">
            <v>SP</v>
          </cell>
          <cell r="H1788" t="str">
            <v>DISTRIBUIÇÃO</v>
          </cell>
          <cell r="I1788" t="str">
            <v>FOOD SERVICE</v>
          </cell>
          <cell r="J1788" t="str">
            <v>FLAC 3</v>
          </cell>
          <cell r="K1788" t="str">
            <v>LACTALIS</v>
          </cell>
          <cell r="L1788" t="str">
            <v>RODRIGO</v>
          </cell>
          <cell r="M1788" t="str">
            <v>ALEXANDRO</v>
          </cell>
        </row>
        <row r="1789">
          <cell r="B1789">
            <v>5338003</v>
          </cell>
          <cell r="C1789" t="str">
            <v>WGS COMERCIO DE PROD ALIMENTICI</v>
          </cell>
          <cell r="D1789">
            <v>6001</v>
          </cell>
          <cell r="E1789" t="str">
            <v>6127</v>
          </cell>
          <cell r="F1789" t="str">
            <v>C1</v>
          </cell>
          <cell r="G1789" t="str">
            <v>BA</v>
          </cell>
          <cell r="H1789" t="str">
            <v>DISTRIBUIÇÃO</v>
          </cell>
          <cell r="I1789" t="str">
            <v>FOOD SERVICE</v>
          </cell>
          <cell r="J1789" t="str">
            <v xml:space="preserve">KARIS FOOD / LUIZ </v>
          </cell>
          <cell r="K1789" t="str">
            <v>ITAMBÉ</v>
          </cell>
          <cell r="L1789" t="str">
            <v>RODRIGO</v>
          </cell>
          <cell r="M1789" t="str">
            <v>VAGO NORDESTE</v>
          </cell>
        </row>
        <row r="1790">
          <cell r="B1790">
            <v>5141420</v>
          </cell>
          <cell r="C1790" t="str">
            <v>UNIPAN COMERCIO DE PROD ALIM LT</v>
          </cell>
          <cell r="D1790">
            <v>6001</v>
          </cell>
          <cell r="E1790" t="str">
            <v>6123</v>
          </cell>
          <cell r="F1790" t="str">
            <v>C1</v>
          </cell>
          <cell r="G1790" t="str">
            <v>DF</v>
          </cell>
          <cell r="H1790" t="str">
            <v>DISTRIBUIÇÃO</v>
          </cell>
          <cell r="I1790" t="str">
            <v>FOOD SERVICE</v>
          </cell>
          <cell r="J1790" t="str">
            <v>CLAUDIO JORGE</v>
          </cell>
          <cell r="K1790" t="str">
            <v>ITAMBÉ</v>
          </cell>
          <cell r="L1790" t="str">
            <v>RODRIGO</v>
          </cell>
          <cell r="M1790" t="str">
            <v>MARCO AURELIO</v>
          </cell>
        </row>
        <row r="1791">
          <cell r="B1791">
            <v>5344936</v>
          </cell>
          <cell r="C1791" t="str">
            <v>C HENRIQUE MOREIRA SOUZA</v>
          </cell>
          <cell r="D1791">
            <v>6001</v>
          </cell>
          <cell r="E1791" t="str">
            <v>6028</v>
          </cell>
          <cell r="F1791" t="str">
            <v>C1</v>
          </cell>
          <cell r="G1791" t="str">
            <v>SP</v>
          </cell>
          <cell r="H1791" t="str">
            <v>INGREDIENTS</v>
          </cell>
          <cell r="I1791" t="str">
            <v>INGREDIENTS</v>
          </cell>
          <cell r="J1791" t="str">
            <v>DUAS RODAS</v>
          </cell>
          <cell r="K1791" t="str">
            <v>ITAMBÉ</v>
          </cell>
          <cell r="L1791" t="str">
            <v>MAURICIO</v>
          </cell>
          <cell r="M1791" t="str">
            <v>TATIANA NITTA</v>
          </cell>
        </row>
        <row r="1792">
          <cell r="B1792">
            <v>5344937</v>
          </cell>
          <cell r="C1792" t="str">
            <v>SORVETERIA NOVO SABOR LTDA</v>
          </cell>
          <cell r="D1792">
            <v>6001</v>
          </cell>
          <cell r="E1792" t="str">
            <v>6028</v>
          </cell>
          <cell r="F1792" t="str">
            <v>C1</v>
          </cell>
          <cell r="G1792" t="str">
            <v>SP</v>
          </cell>
          <cell r="H1792" t="str">
            <v>INGREDIENTS</v>
          </cell>
          <cell r="I1792" t="str">
            <v>INGREDIENTS</v>
          </cell>
          <cell r="J1792" t="str">
            <v>DUAS RODAS</v>
          </cell>
          <cell r="K1792" t="str">
            <v>ITAMBÉ</v>
          </cell>
          <cell r="L1792" t="str">
            <v>MAURICIO</v>
          </cell>
          <cell r="M1792" t="str">
            <v>TATIANA NITTA</v>
          </cell>
        </row>
        <row r="1793">
          <cell r="B1793">
            <v>5032480</v>
          </cell>
          <cell r="C1793" t="str">
            <v>ATACADO E DISTRIBUIDORA MARITER</v>
          </cell>
          <cell r="D1793">
            <v>6001</v>
          </cell>
          <cell r="E1793" t="str">
            <v>6169</v>
          </cell>
          <cell r="F1793" t="str">
            <v>C1</v>
          </cell>
          <cell r="G1793" t="str">
            <v>ES</v>
          </cell>
          <cell r="H1793" t="str">
            <v>DISTRIBUIÇÃO</v>
          </cell>
          <cell r="I1793" t="str">
            <v>FOOD SERVICE</v>
          </cell>
          <cell r="J1793" t="str">
            <v>MARCELO DUARTE</v>
          </cell>
          <cell r="K1793" t="str">
            <v>ITAMBÉ</v>
          </cell>
          <cell r="L1793" t="str">
            <v>RODRIGO</v>
          </cell>
          <cell r="M1793" t="str">
            <v>JESSICA</v>
          </cell>
        </row>
        <row r="1794">
          <cell r="B1794">
            <v>5107358</v>
          </cell>
          <cell r="C1794" t="str">
            <v>GOMES E ANTUNES REFEICOES COLET</v>
          </cell>
          <cell r="D1794">
            <v>6001</v>
          </cell>
          <cell r="E1794" t="str">
            <v>6028</v>
          </cell>
          <cell r="F1794" t="str">
            <v>C1</v>
          </cell>
          <cell r="G1794" t="str">
            <v>SP</v>
          </cell>
          <cell r="H1794" t="str">
            <v>QSR</v>
          </cell>
          <cell r="I1794" t="str">
            <v>FOOD SERVICE</v>
          </cell>
          <cell r="J1794" t="str">
            <v>NUTRI</v>
          </cell>
          <cell r="K1794" t="str">
            <v>ITAMBÉ</v>
          </cell>
          <cell r="L1794" t="str">
            <v>PEDRO</v>
          </cell>
          <cell r="M1794" t="str">
            <v>AMANDA</v>
          </cell>
        </row>
        <row r="1795">
          <cell r="B1795">
            <v>5128707</v>
          </cell>
          <cell r="C1795" t="str">
            <v>ARMAZEM TOP ALTO LTDA</v>
          </cell>
          <cell r="D1795">
            <v>6001</v>
          </cell>
          <cell r="E1795" t="str">
            <v>6127</v>
          </cell>
          <cell r="F1795" t="str">
            <v>C1</v>
          </cell>
          <cell r="G1795" t="str">
            <v>BA</v>
          </cell>
          <cell r="H1795" t="str">
            <v>DISTRIBUIÇÃO</v>
          </cell>
          <cell r="I1795" t="str">
            <v>FOOD SERVICE</v>
          </cell>
          <cell r="J1795" t="str">
            <v xml:space="preserve">KARIS FOOD / LUIZ </v>
          </cell>
          <cell r="K1795" t="str">
            <v>ITAMBÉ</v>
          </cell>
          <cell r="L1795" t="str">
            <v>RODRIGO</v>
          </cell>
          <cell r="M1795" t="str">
            <v>VAGO NORDESTE</v>
          </cell>
        </row>
        <row r="1796">
          <cell r="B1796">
            <v>5171893</v>
          </cell>
          <cell r="C1796" t="str">
            <v>M DIAS BRANCO SA IND COM ALIM</v>
          </cell>
          <cell r="D1796">
            <v>4001</v>
          </cell>
          <cell r="E1796" t="str">
            <v>0437</v>
          </cell>
          <cell r="F1796" t="str">
            <v>C1</v>
          </cell>
          <cell r="G1796" t="str">
            <v>PE</v>
          </cell>
          <cell r="H1796" t="str">
            <v>INGREDIENTS</v>
          </cell>
          <cell r="I1796" t="str">
            <v>INGREDIENTS</v>
          </cell>
          <cell r="J1796" t="str">
            <v>JOEL ELEOTÉRIO</v>
          </cell>
          <cell r="K1796" t="str">
            <v>LACTALIS</v>
          </cell>
          <cell r="L1796" t="str">
            <v>MAURICIO</v>
          </cell>
          <cell r="M1796" t="str">
            <v>JOEL</v>
          </cell>
        </row>
        <row r="1797">
          <cell r="B1797">
            <v>5109682</v>
          </cell>
          <cell r="C1797" t="str">
            <v>FERPEREZ COMERCIO DE ALIMENTOS</v>
          </cell>
          <cell r="D1797">
            <v>7001</v>
          </cell>
          <cell r="E1797" t="str">
            <v>0722</v>
          </cell>
          <cell r="F1797" t="str">
            <v>C1</v>
          </cell>
          <cell r="G1797" t="str">
            <v>SP</v>
          </cell>
          <cell r="H1797" t="str">
            <v>DISTRIBUIÇÃO</v>
          </cell>
          <cell r="I1797" t="str">
            <v>FOOD SERVICE</v>
          </cell>
          <cell r="J1797" t="str">
            <v>LUCAS ANDRADE</v>
          </cell>
          <cell r="K1797" t="str">
            <v>LACTALIS</v>
          </cell>
          <cell r="L1797" t="str">
            <v>RODRIGO</v>
          </cell>
          <cell r="M1797" t="str">
            <v>RAQUEL BARBOSA</v>
          </cell>
        </row>
        <row r="1798">
          <cell r="B1798">
            <v>5146429</v>
          </cell>
          <cell r="C1798" t="str">
            <v>PANDURATA ALIMENTOS LTDA</v>
          </cell>
          <cell r="D1798">
            <v>3001</v>
          </cell>
          <cell r="E1798" t="str">
            <v>0028</v>
          </cell>
          <cell r="F1798" t="str">
            <v>C1</v>
          </cell>
          <cell r="G1798" t="str">
            <v>MG</v>
          </cell>
          <cell r="H1798" t="str">
            <v>INGREDIENTS</v>
          </cell>
          <cell r="I1798" t="str">
            <v>INGREDIENTS</v>
          </cell>
          <cell r="J1798" t="str">
            <v>HENRIQUE FERREIRA</v>
          </cell>
          <cell r="K1798" t="str">
            <v>ITAMBÉ</v>
          </cell>
          <cell r="L1798" t="str">
            <v>MAURICIO</v>
          </cell>
          <cell r="M1798" t="str">
            <v>JOEL</v>
          </cell>
        </row>
        <row r="1799">
          <cell r="B1799">
            <v>5194510</v>
          </cell>
          <cell r="C1799" t="str">
            <v>ALEGRO ALIMENTOS LTDA</v>
          </cell>
          <cell r="D1799">
            <v>6001</v>
          </cell>
          <cell r="E1799" t="str">
            <v>6127</v>
          </cell>
          <cell r="F1799" t="str">
            <v>C1</v>
          </cell>
          <cell r="G1799" t="str">
            <v>BA</v>
          </cell>
          <cell r="H1799" t="str">
            <v>DISTRIBUIÇÃO</v>
          </cell>
          <cell r="I1799" t="str">
            <v>FOOD SERVICE</v>
          </cell>
          <cell r="J1799" t="str">
            <v xml:space="preserve">KARIS FOOD / LUIZ </v>
          </cell>
          <cell r="K1799" t="str">
            <v>ITAMBÉ</v>
          </cell>
          <cell r="L1799" t="str">
            <v>RODRIGO</v>
          </cell>
          <cell r="M1799" t="str">
            <v>VAGO NORDESTE</v>
          </cell>
        </row>
        <row r="1800">
          <cell r="B1800">
            <v>5228728</v>
          </cell>
          <cell r="C1800" t="str">
            <v>C F ESTRELA PRODUTOS ALIMENT LT</v>
          </cell>
          <cell r="D1800">
            <v>7001</v>
          </cell>
          <cell r="E1800" t="str">
            <v>0722</v>
          </cell>
          <cell r="F1800" t="str">
            <v>C1</v>
          </cell>
          <cell r="G1800" t="str">
            <v>SP</v>
          </cell>
          <cell r="H1800" t="str">
            <v>DISTRIBUIÇÃO</v>
          </cell>
          <cell r="I1800" t="str">
            <v>FOOD SERVICE</v>
          </cell>
          <cell r="J1800" t="str">
            <v>LUCAS ANDRADE</v>
          </cell>
          <cell r="K1800" t="str">
            <v>LACTALIS</v>
          </cell>
          <cell r="L1800" t="str">
            <v>RODRIGO</v>
          </cell>
          <cell r="M1800" t="str">
            <v>RAQUEL BARBOSA</v>
          </cell>
        </row>
        <row r="1801">
          <cell r="B1801">
            <v>5068734</v>
          </cell>
          <cell r="C1801" t="str">
            <v>COMERCIO DE GEN ALIMENT MATHESCH LT</v>
          </cell>
          <cell r="D1801">
            <v>3001</v>
          </cell>
          <cell r="E1801" t="str">
            <v>0028</v>
          </cell>
          <cell r="F1801" t="str">
            <v>C1</v>
          </cell>
          <cell r="G1801" t="str">
            <v>SC</v>
          </cell>
          <cell r="H1801" t="str">
            <v>INGREDIENTS</v>
          </cell>
          <cell r="I1801" t="str">
            <v>INGREDIENTS</v>
          </cell>
          <cell r="J1801" t="str">
            <v>DUAS RODAS</v>
          </cell>
          <cell r="K1801" t="str">
            <v>ITAMBÉ</v>
          </cell>
          <cell r="L1801" t="str">
            <v>MAURICIO</v>
          </cell>
          <cell r="M1801" t="str">
            <v>MARCELO</v>
          </cell>
        </row>
        <row r="1802">
          <cell r="B1802">
            <v>5110910</v>
          </cell>
          <cell r="C1802" t="str">
            <v>SORVETERIA RIBEIRA LTDA</v>
          </cell>
          <cell r="D1802">
            <v>6001</v>
          </cell>
          <cell r="E1802" t="str">
            <v>6127</v>
          </cell>
          <cell r="F1802" t="str">
            <v>C1</v>
          </cell>
          <cell r="G1802" t="str">
            <v>BA</v>
          </cell>
          <cell r="H1802" t="str">
            <v>DISTRIBUIÇÃO</v>
          </cell>
          <cell r="I1802" t="str">
            <v>FOOD SERVICE</v>
          </cell>
          <cell r="J1802" t="str">
            <v xml:space="preserve">KARIS FOOD / LUIZ </v>
          </cell>
          <cell r="K1802" t="str">
            <v>ITAMBÉ</v>
          </cell>
          <cell r="L1802" t="str">
            <v>RODRIGO</v>
          </cell>
          <cell r="M1802" t="str">
            <v>VAGO NORDESTE</v>
          </cell>
        </row>
        <row r="1803">
          <cell r="B1803">
            <v>5320045</v>
          </cell>
          <cell r="C1803" t="str">
            <v>A F MURER  MEL CACAU CHOCOLATES</v>
          </cell>
          <cell r="D1803">
            <v>3001</v>
          </cell>
          <cell r="E1803" t="str">
            <v>0126</v>
          </cell>
          <cell r="F1803" t="str">
            <v>C1</v>
          </cell>
          <cell r="G1803" t="str">
            <v>PR</v>
          </cell>
          <cell r="H1803" t="str">
            <v>DISTRIBUIÇÃO</v>
          </cell>
          <cell r="I1803" t="str">
            <v>FOOD SERVICE</v>
          </cell>
          <cell r="J1803" t="str">
            <v>ANTÔNIO SOUZA</v>
          </cell>
          <cell r="K1803" t="str">
            <v>ITAMBÉ</v>
          </cell>
          <cell r="L1803" t="str">
            <v>RODRIGO</v>
          </cell>
          <cell r="M1803" t="str">
            <v>VAGO SUL</v>
          </cell>
        </row>
        <row r="1804">
          <cell r="B1804">
            <v>5145758</v>
          </cell>
          <cell r="C1804" t="str">
            <v>R E M COM DE PROD ALIM E ART PA</v>
          </cell>
          <cell r="D1804">
            <v>6001</v>
          </cell>
          <cell r="E1804" t="str">
            <v>6028</v>
          </cell>
          <cell r="F1804" t="str">
            <v>C1</v>
          </cell>
          <cell r="G1804" t="str">
            <v>SP</v>
          </cell>
          <cell r="H1804" t="str">
            <v>INGREDIENTS</v>
          </cell>
          <cell r="I1804" t="str">
            <v>INGREDIENTS</v>
          </cell>
          <cell r="J1804" t="str">
            <v>DUAS RODAS</v>
          </cell>
          <cell r="K1804" t="str">
            <v>ITAMBÉ</v>
          </cell>
          <cell r="L1804" t="str">
            <v>MAURICIO</v>
          </cell>
          <cell r="M1804" t="str">
            <v>TATIANA NITTA</v>
          </cell>
        </row>
        <row r="1805">
          <cell r="B1805">
            <v>5146430</v>
          </cell>
          <cell r="C1805" t="str">
            <v>USINA DE LATICINIOS JUSSARA SA</v>
          </cell>
          <cell r="D1805">
            <v>3001</v>
          </cell>
          <cell r="E1805" t="str">
            <v>0028</v>
          </cell>
          <cell r="F1805" t="str">
            <v>C1</v>
          </cell>
          <cell r="G1805" t="str">
            <v>MG</v>
          </cell>
          <cell r="H1805" t="str">
            <v>INGREDIENTS</v>
          </cell>
          <cell r="I1805" t="str">
            <v>INGREDIENTS</v>
          </cell>
          <cell r="J1805" t="str">
            <v>TATIANA NITTA</v>
          </cell>
          <cell r="K1805" t="str">
            <v>ITAMBÉ</v>
          </cell>
          <cell r="L1805" t="str">
            <v>MAURICIO</v>
          </cell>
          <cell r="M1805" t="str">
            <v>TATIANA NITTA</v>
          </cell>
        </row>
        <row r="1806">
          <cell r="B1806">
            <v>5068894</v>
          </cell>
          <cell r="C1806" t="str">
            <v>ESDEL COM PRODUTOS ALIMENTARES</v>
          </cell>
          <cell r="D1806">
            <v>3001</v>
          </cell>
          <cell r="E1806" t="str">
            <v>0028</v>
          </cell>
          <cell r="F1806" t="str">
            <v>C1</v>
          </cell>
          <cell r="G1806" t="str">
            <v>PR</v>
          </cell>
          <cell r="H1806" t="str">
            <v>INGREDIENTS</v>
          </cell>
          <cell r="I1806" t="str">
            <v>INGREDIENTS</v>
          </cell>
          <cell r="J1806" t="str">
            <v>MARCELO RODRIGUES</v>
          </cell>
          <cell r="K1806" t="str">
            <v>ITAMBÉ</v>
          </cell>
          <cell r="L1806" t="str">
            <v>MAURICIO</v>
          </cell>
          <cell r="M1806" t="str">
            <v>MARCELO</v>
          </cell>
        </row>
        <row r="1807">
          <cell r="B1807">
            <v>5219888</v>
          </cell>
          <cell r="C1807" t="str">
            <v>DUTRA SORVETES E PICOLES LTDA</v>
          </cell>
          <cell r="D1807">
            <v>3001</v>
          </cell>
          <cell r="E1807" t="str">
            <v>0028</v>
          </cell>
          <cell r="F1807" t="str">
            <v>C1</v>
          </cell>
          <cell r="G1807" t="str">
            <v>MG</v>
          </cell>
          <cell r="H1807" t="str">
            <v>INGREDIENTS</v>
          </cell>
          <cell r="I1807" t="str">
            <v>INGREDIENTS</v>
          </cell>
          <cell r="J1807" t="str">
            <v>DUAS RODAS</v>
          </cell>
          <cell r="K1807" t="str">
            <v>ITAMBÉ</v>
          </cell>
          <cell r="L1807" t="str">
            <v>MAURICIO</v>
          </cell>
          <cell r="M1807" t="str">
            <v>TATIANA NITTA</v>
          </cell>
        </row>
        <row r="1808">
          <cell r="B1808">
            <v>5227935</v>
          </cell>
          <cell r="C1808" t="str">
            <v>DNFA COMERCIO LTDA</v>
          </cell>
          <cell r="D1808">
            <v>3001</v>
          </cell>
          <cell r="E1808" t="str">
            <v>0028</v>
          </cell>
          <cell r="F1808" t="str">
            <v>C1</v>
          </cell>
          <cell r="G1808" t="str">
            <v>PR</v>
          </cell>
          <cell r="H1808" t="str">
            <v>INGREDIENTS</v>
          </cell>
          <cell r="I1808" t="str">
            <v>INGREDIENTS</v>
          </cell>
          <cell r="J1808" t="str">
            <v>MARCELO RODRIGUES</v>
          </cell>
          <cell r="K1808" t="str">
            <v>ITAMBÉ</v>
          </cell>
          <cell r="L1808" t="str">
            <v>MAURICIO</v>
          </cell>
          <cell r="M1808" t="str">
            <v>MARCELO</v>
          </cell>
        </row>
        <row r="1809">
          <cell r="B1809">
            <v>5166159</v>
          </cell>
          <cell r="C1809" t="str">
            <v>JME RAUTA COM DIST LTDA</v>
          </cell>
          <cell r="D1809">
            <v>6001</v>
          </cell>
          <cell r="E1809" t="str">
            <v>6028</v>
          </cell>
          <cell r="F1809" t="str">
            <v>C1</v>
          </cell>
          <cell r="G1809" t="str">
            <v>RJ</v>
          </cell>
          <cell r="H1809" t="str">
            <v>DISTRIBUIÇÃO</v>
          </cell>
          <cell r="I1809" t="str">
            <v>FOOD SERVICE</v>
          </cell>
          <cell r="J1809" t="str">
            <v>LUCIANA MARTINS</v>
          </cell>
          <cell r="K1809" t="str">
            <v>ITAMBÉ</v>
          </cell>
          <cell r="L1809" t="str">
            <v>RODRIGO</v>
          </cell>
          <cell r="M1809" t="str">
            <v>JESSICA</v>
          </cell>
        </row>
        <row r="1810">
          <cell r="B1810">
            <v>5219478</v>
          </cell>
          <cell r="C1810" t="str">
            <v>YAKULT SA INDUSTRIA E COMERCIO</v>
          </cell>
          <cell r="D1810">
            <v>4001</v>
          </cell>
          <cell r="E1810" t="str">
            <v>0437</v>
          </cell>
          <cell r="F1810" t="str">
            <v>C1</v>
          </cell>
          <cell r="G1810" t="str">
            <v>SP</v>
          </cell>
          <cell r="H1810" t="str">
            <v>INGREDIENTS</v>
          </cell>
          <cell r="I1810" t="str">
            <v>INGREDIENTS</v>
          </cell>
          <cell r="J1810" t="str">
            <v>FERREIRA MELO</v>
          </cell>
          <cell r="K1810" t="str">
            <v>LACTALIS</v>
          </cell>
          <cell r="L1810" t="str">
            <v>MAURICIO</v>
          </cell>
          <cell r="M1810" t="str">
            <v>JOEL</v>
          </cell>
        </row>
        <row r="1811">
          <cell r="B1811">
            <v>5027769</v>
          </cell>
          <cell r="C1811" t="str">
            <v>TAPIOCARIA DE ITAPUA LTDA ME</v>
          </cell>
          <cell r="D1811">
            <v>6001</v>
          </cell>
          <cell r="E1811" t="str">
            <v>6127</v>
          </cell>
          <cell r="F1811" t="str">
            <v>C1</v>
          </cell>
          <cell r="G1811" t="str">
            <v>BA</v>
          </cell>
          <cell r="H1811" t="str">
            <v>DISTRIBUIÇÃO</v>
          </cell>
          <cell r="I1811" t="str">
            <v>FOOD SERVICE</v>
          </cell>
          <cell r="J1811" t="str">
            <v xml:space="preserve">KARIS FOOD / LUIZ </v>
          </cell>
          <cell r="K1811" t="str">
            <v>ITAMBÉ</v>
          </cell>
          <cell r="L1811" t="str">
            <v>RODRIGO</v>
          </cell>
          <cell r="M1811" t="str">
            <v>VAGO NORDESTE</v>
          </cell>
        </row>
        <row r="1812">
          <cell r="B1812">
            <v>5168473</v>
          </cell>
          <cell r="C1812" t="str">
            <v>L F S COMERCIO E IMPORTACAO ALI</v>
          </cell>
          <cell r="D1812">
            <v>6001</v>
          </cell>
          <cell r="E1812" t="str">
            <v>6075</v>
          </cell>
          <cell r="F1812" t="str">
            <v>C1</v>
          </cell>
          <cell r="G1812" t="str">
            <v>CE</v>
          </cell>
          <cell r="H1812" t="str">
            <v>DISTRIBUIÇÃO</v>
          </cell>
          <cell r="I1812" t="str">
            <v>FOOD SERVICE</v>
          </cell>
          <cell r="J1812" t="str">
            <v>WH FOOD SERVICE CE</v>
          </cell>
          <cell r="K1812" t="str">
            <v>ITAMBÉ</v>
          </cell>
          <cell r="L1812" t="str">
            <v>RODRIGO</v>
          </cell>
          <cell r="M1812" t="str">
            <v>VAGO NORDESTE</v>
          </cell>
        </row>
        <row r="1813">
          <cell r="B1813">
            <v>5220998</v>
          </cell>
          <cell r="C1813" t="str">
            <v>GELADOM SORVETES LTDA</v>
          </cell>
          <cell r="D1813">
            <v>6001</v>
          </cell>
          <cell r="E1813" t="str">
            <v>6127</v>
          </cell>
          <cell r="F1813" t="str">
            <v>C1</v>
          </cell>
          <cell r="G1813" t="str">
            <v>BA</v>
          </cell>
          <cell r="H1813" t="str">
            <v>DISTRIBUIÇÃO</v>
          </cell>
          <cell r="I1813" t="str">
            <v>FOOD SERVICE</v>
          </cell>
          <cell r="J1813" t="str">
            <v xml:space="preserve">KARIS FOOD / LUIZ </v>
          </cell>
          <cell r="K1813" t="str">
            <v>ITAMBÉ</v>
          </cell>
          <cell r="L1813" t="str">
            <v>RODRIGO</v>
          </cell>
          <cell r="M1813" t="str">
            <v>VAGO NORDESTE</v>
          </cell>
        </row>
        <row r="1814">
          <cell r="B1814">
            <v>5281259</v>
          </cell>
          <cell r="C1814" t="str">
            <v>BOM LEITE INDUSTRIAL LTDA</v>
          </cell>
          <cell r="D1814">
            <v>3001</v>
          </cell>
          <cell r="E1814" t="str">
            <v>0127</v>
          </cell>
          <cell r="F1814" t="str">
            <v>C1</v>
          </cell>
          <cell r="G1814" t="str">
            <v>PE</v>
          </cell>
          <cell r="H1814" t="str">
            <v>DISTRIBUIÇÃO</v>
          </cell>
          <cell r="I1814" t="str">
            <v>FOOD SERVICE</v>
          </cell>
          <cell r="J1814" t="str">
            <v>CLAUDIO JORGE</v>
          </cell>
          <cell r="K1814" t="str">
            <v>ITAMBÉ</v>
          </cell>
          <cell r="L1814" t="str">
            <v>RODRIGO</v>
          </cell>
          <cell r="M1814" t="str">
            <v>VAGO NORDESTE</v>
          </cell>
        </row>
        <row r="1815">
          <cell r="B1815">
            <v>5019031</v>
          </cell>
          <cell r="C1815" t="str">
            <v>EMBALEME COM EMB DESCARTAVEIS LTDA</v>
          </cell>
          <cell r="D1815">
            <v>3001</v>
          </cell>
          <cell r="E1815" t="str">
            <v>0125</v>
          </cell>
          <cell r="F1815" t="str">
            <v>C1</v>
          </cell>
          <cell r="G1815" t="str">
            <v>SP</v>
          </cell>
          <cell r="H1815" t="str">
            <v>DISTRIBUIÇÃO</v>
          </cell>
          <cell r="I1815" t="str">
            <v>FOOD SERVICE</v>
          </cell>
          <cell r="J1815" t="str">
            <v>EMMANUEL FRANCISCO</v>
          </cell>
          <cell r="K1815" t="str">
            <v>ITAMBÉ</v>
          </cell>
          <cell r="L1815" t="str">
            <v>RODRIGO</v>
          </cell>
          <cell r="M1815" t="str">
            <v>VAGO SP - INTERIOR</v>
          </cell>
        </row>
        <row r="1816">
          <cell r="B1816">
            <v>5069172</v>
          </cell>
          <cell r="C1816" t="str">
            <v>SANNA COMERCIO DE ALIMENTOS LTDA</v>
          </cell>
          <cell r="D1816">
            <v>7001</v>
          </cell>
          <cell r="E1816" t="str">
            <v>0722</v>
          </cell>
          <cell r="F1816" t="str">
            <v>C1</v>
          </cell>
          <cell r="G1816" t="str">
            <v>SP</v>
          </cell>
          <cell r="H1816" t="str">
            <v>DISTRIBUIÇÃO</v>
          </cell>
          <cell r="I1816" t="str">
            <v>FOOD SERVICE</v>
          </cell>
          <cell r="J1816" t="str">
            <v>EMMANUEL FRANCISCO</v>
          </cell>
          <cell r="K1816" t="str">
            <v>LACTALIS</v>
          </cell>
          <cell r="L1816" t="str">
            <v>RODRIGO</v>
          </cell>
          <cell r="M1816" t="str">
            <v>VAGO SP - INTERIOR</v>
          </cell>
        </row>
        <row r="1817">
          <cell r="B1817">
            <v>5099095</v>
          </cell>
          <cell r="C1817" t="str">
            <v>COCARI COOPERATIVA AGROPECUARIA</v>
          </cell>
          <cell r="D1817">
            <v>4001</v>
          </cell>
          <cell r="E1817" t="str">
            <v>0455</v>
          </cell>
          <cell r="F1817" t="str">
            <v>C1</v>
          </cell>
          <cell r="G1817" t="str">
            <v>PR</v>
          </cell>
          <cell r="H1817" t="str">
            <v>INGREDIENTS</v>
          </cell>
          <cell r="I1817" t="str">
            <v>INGREDIENTS</v>
          </cell>
          <cell r="J1817" t="str">
            <v>MARCELO RODRIGUES</v>
          </cell>
          <cell r="K1817" t="str">
            <v>LACTALIS</v>
          </cell>
          <cell r="L1817" t="str">
            <v>MAURICIO</v>
          </cell>
          <cell r="M1817" t="str">
            <v>MARCELO</v>
          </cell>
        </row>
        <row r="1818">
          <cell r="B1818">
            <v>5105940</v>
          </cell>
          <cell r="C1818" t="str">
            <v>MERCANTIL PRIMAR LTDA</v>
          </cell>
          <cell r="D1818">
            <v>3001</v>
          </cell>
          <cell r="E1818" t="str">
            <v>0125</v>
          </cell>
          <cell r="F1818" t="str">
            <v>C1</v>
          </cell>
          <cell r="G1818" t="str">
            <v>SP</v>
          </cell>
          <cell r="H1818" t="str">
            <v>DISTRIBUIÇÃO</v>
          </cell>
          <cell r="I1818" t="str">
            <v>FOOD SERVICE</v>
          </cell>
          <cell r="J1818" t="str">
            <v>LUCAS ANDRADE</v>
          </cell>
          <cell r="K1818" t="str">
            <v>ITAMBÉ</v>
          </cell>
          <cell r="L1818" t="str">
            <v>RODRIGO</v>
          </cell>
          <cell r="M1818" t="str">
            <v>RAQUEL BARBOSA</v>
          </cell>
        </row>
        <row r="1819">
          <cell r="B1819">
            <v>5129364</v>
          </cell>
          <cell r="C1819" t="str">
            <v>VEP FROZEN FOODS IMPORT E EXPORT LT</v>
          </cell>
          <cell r="D1819">
            <v>3001</v>
          </cell>
          <cell r="E1819" t="str">
            <v>0125</v>
          </cell>
          <cell r="F1819" t="str">
            <v>C1</v>
          </cell>
          <cell r="G1819" t="str">
            <v>SP</v>
          </cell>
          <cell r="H1819" t="str">
            <v>INGREDIENTS</v>
          </cell>
          <cell r="I1819" t="str">
            <v>INGREDIENTS</v>
          </cell>
          <cell r="J1819" t="str">
            <v>TATIANA NITTA</v>
          </cell>
          <cell r="K1819" t="str">
            <v>ITAMBÉ</v>
          </cell>
          <cell r="L1819" t="str">
            <v>MAURICIO</v>
          </cell>
          <cell r="M1819" t="str">
            <v>TATIANA NITTA</v>
          </cell>
        </row>
        <row r="1820">
          <cell r="B1820">
            <v>5130343</v>
          </cell>
          <cell r="C1820" t="str">
            <v>CDI BARRA PROD IMP E EXPORTACAO LTD</v>
          </cell>
          <cell r="D1820">
            <v>3001</v>
          </cell>
          <cell r="E1820" t="str">
            <v>0125</v>
          </cell>
          <cell r="F1820" t="str">
            <v>C1</v>
          </cell>
          <cell r="G1820" t="str">
            <v>SP</v>
          </cell>
          <cell r="H1820" t="str">
            <v>DISTRIBUIÇÃO</v>
          </cell>
          <cell r="I1820" t="str">
            <v>FOOD SERVICE</v>
          </cell>
          <cell r="J1820" t="str">
            <v>GUILHERME NASCIMENTO</v>
          </cell>
          <cell r="K1820" t="str">
            <v>ITAMBÉ</v>
          </cell>
          <cell r="L1820" t="str">
            <v>RODRIGO</v>
          </cell>
          <cell r="M1820" t="str">
            <v>ALEXANDRO</v>
          </cell>
        </row>
        <row r="1821">
          <cell r="B1821">
            <v>5135612</v>
          </cell>
          <cell r="C1821" t="str">
            <v>GR SERVICOS E ALIMENTACAO LTDA</v>
          </cell>
          <cell r="D1821">
            <v>6001</v>
          </cell>
          <cell r="E1821" t="str">
            <v>6028</v>
          </cell>
          <cell r="F1821" t="str">
            <v>C1</v>
          </cell>
          <cell r="G1821" t="str">
            <v>DF</v>
          </cell>
          <cell r="H1821" t="str">
            <v>QSR</v>
          </cell>
          <cell r="I1821" t="str">
            <v>FOOD SERVICE</v>
          </cell>
          <cell r="J1821" t="str">
            <v>NUTRI</v>
          </cell>
          <cell r="K1821" t="str">
            <v>ITAMBÉ</v>
          </cell>
          <cell r="L1821" t="str">
            <v>PEDRO</v>
          </cell>
          <cell r="M1821" t="str">
            <v>AMANDA</v>
          </cell>
        </row>
        <row r="1822">
          <cell r="B1822">
            <v>5137371</v>
          </cell>
          <cell r="C1822" t="str">
            <v>G ACTION IND E COM DE SUP ALIM LTDA</v>
          </cell>
          <cell r="D1822">
            <v>3001</v>
          </cell>
          <cell r="E1822" t="str">
            <v>0028</v>
          </cell>
          <cell r="F1822" t="str">
            <v>C1</v>
          </cell>
          <cell r="G1822" t="str">
            <v>PR</v>
          </cell>
          <cell r="H1822" t="str">
            <v>INGREDIENTS</v>
          </cell>
          <cell r="I1822" t="str">
            <v>INGREDIENTS</v>
          </cell>
          <cell r="J1822" t="str">
            <v>MARCELO RODRIGUES</v>
          </cell>
          <cell r="K1822" t="str">
            <v>ITAMBÉ</v>
          </cell>
          <cell r="L1822" t="str">
            <v>MAURICIO</v>
          </cell>
          <cell r="M1822" t="str">
            <v>MARCELO</v>
          </cell>
        </row>
        <row r="1823">
          <cell r="B1823">
            <v>5145674</v>
          </cell>
          <cell r="C1823" t="str">
            <v>DOCE VERAO LTDA</v>
          </cell>
          <cell r="D1823">
            <v>6001</v>
          </cell>
          <cell r="E1823" t="str">
            <v>6127</v>
          </cell>
          <cell r="F1823" t="str">
            <v>C1</v>
          </cell>
          <cell r="G1823" t="str">
            <v>BA</v>
          </cell>
          <cell r="H1823" t="str">
            <v>DISTRIBUIÇÃO</v>
          </cell>
          <cell r="I1823" t="str">
            <v>FOOD SERVICE</v>
          </cell>
          <cell r="J1823" t="str">
            <v xml:space="preserve">KARIS FOOD / LUIZ </v>
          </cell>
          <cell r="K1823" t="str">
            <v>ITAMBÉ</v>
          </cell>
          <cell r="L1823" t="str">
            <v>RODRIGO</v>
          </cell>
          <cell r="M1823" t="str">
            <v>VAGO NORDESTE</v>
          </cell>
        </row>
        <row r="1824">
          <cell r="B1824">
            <v>5149044</v>
          </cell>
          <cell r="C1824" t="str">
            <v>SORVEMIX COMERCIO DE ALIMENTOS LTDA</v>
          </cell>
          <cell r="D1824">
            <v>3001</v>
          </cell>
          <cell r="E1824" t="str">
            <v>0028</v>
          </cell>
          <cell r="F1824" t="str">
            <v>C1</v>
          </cell>
          <cell r="G1824" t="str">
            <v>SP</v>
          </cell>
          <cell r="H1824" t="str">
            <v>INGREDIENTS</v>
          </cell>
          <cell r="I1824" t="str">
            <v>INGREDIENTS</v>
          </cell>
          <cell r="J1824" t="str">
            <v>DUAS RODAS</v>
          </cell>
          <cell r="K1824" t="str">
            <v>ITAMBÉ</v>
          </cell>
          <cell r="L1824" t="str">
            <v>MAURICIO</v>
          </cell>
          <cell r="M1824" t="str">
            <v>MARCELO</v>
          </cell>
        </row>
        <row r="1825">
          <cell r="B1825">
            <v>5163884</v>
          </cell>
          <cell r="C1825" t="str">
            <v>SORVEMIX COMERCIO DE ALIM LTDA</v>
          </cell>
          <cell r="D1825">
            <v>3001</v>
          </cell>
          <cell r="E1825" t="str">
            <v>0126</v>
          </cell>
          <cell r="F1825" t="str">
            <v>C1</v>
          </cell>
          <cell r="G1825" t="str">
            <v>SP</v>
          </cell>
          <cell r="H1825" t="str">
            <v>INGREDIENTS</v>
          </cell>
          <cell r="I1825" t="str">
            <v>INGREDIENTS</v>
          </cell>
          <cell r="J1825" t="str">
            <v>MARCELO RODRIGUES</v>
          </cell>
          <cell r="K1825" t="str">
            <v>ITAMBÉ</v>
          </cell>
          <cell r="L1825" t="str">
            <v>MAURICIO</v>
          </cell>
          <cell r="M1825" t="str">
            <v>MARCELO</v>
          </cell>
        </row>
        <row r="1826">
          <cell r="B1826">
            <v>5169592</v>
          </cell>
          <cell r="C1826" t="str">
            <v>ESQUILOS ACAI LTDA ME</v>
          </cell>
          <cell r="D1826">
            <v>3001</v>
          </cell>
          <cell r="E1826" t="str">
            <v>0028</v>
          </cell>
          <cell r="F1826" t="str">
            <v>C1</v>
          </cell>
          <cell r="G1826" t="str">
            <v>SP</v>
          </cell>
          <cell r="H1826" t="str">
            <v>INGREDIENTS</v>
          </cell>
          <cell r="I1826" t="str">
            <v>INGREDIENTS</v>
          </cell>
          <cell r="J1826" t="str">
            <v>DUAS RODAS</v>
          </cell>
          <cell r="K1826" t="str">
            <v>ITAMBÉ</v>
          </cell>
          <cell r="L1826" t="str">
            <v>MAURICIO</v>
          </cell>
          <cell r="M1826" t="str">
            <v>TATIANA NITTA</v>
          </cell>
        </row>
        <row r="1827">
          <cell r="B1827">
            <v>5169592</v>
          </cell>
          <cell r="C1827" t="str">
            <v>ESQUILOS ACAI LTDA ME</v>
          </cell>
          <cell r="D1827">
            <v>6001</v>
          </cell>
          <cell r="E1827" t="str">
            <v>6028</v>
          </cell>
          <cell r="F1827" t="str">
            <v>C1</v>
          </cell>
          <cell r="G1827" t="str">
            <v>SP</v>
          </cell>
          <cell r="H1827" t="str">
            <v>INGREDIENTS</v>
          </cell>
          <cell r="I1827" t="str">
            <v>INGREDIENTS</v>
          </cell>
          <cell r="J1827" t="str">
            <v>DUAS RODAS</v>
          </cell>
          <cell r="K1827" t="str">
            <v>ITAMBÉ</v>
          </cell>
          <cell r="L1827" t="str">
            <v>MAURICIO</v>
          </cell>
          <cell r="M1827" t="str">
            <v>TATIANA NITTA</v>
          </cell>
        </row>
        <row r="1828">
          <cell r="B1828">
            <v>5180088</v>
          </cell>
          <cell r="C1828" t="str">
            <v>CARMEL IND E COM DE SOBREMESAS LTDA</v>
          </cell>
          <cell r="D1828">
            <v>3001</v>
          </cell>
          <cell r="E1828" t="str">
            <v>0028</v>
          </cell>
          <cell r="F1828" t="str">
            <v>C1</v>
          </cell>
          <cell r="G1828" t="str">
            <v>PR</v>
          </cell>
          <cell r="H1828" t="str">
            <v>INGREDIENTS</v>
          </cell>
          <cell r="I1828" t="str">
            <v>INGREDIENTS</v>
          </cell>
          <cell r="J1828" t="str">
            <v>MARCELO RODRIGUES</v>
          </cell>
          <cell r="K1828" t="str">
            <v>ITAMBÉ</v>
          </cell>
          <cell r="L1828" t="str">
            <v>MAURICIO</v>
          </cell>
          <cell r="M1828" t="str">
            <v>MARCELO</v>
          </cell>
        </row>
        <row r="1829">
          <cell r="B1829">
            <v>5187116</v>
          </cell>
          <cell r="C1829" t="str">
            <v>M R G MATANO SORVETERIA ME</v>
          </cell>
          <cell r="D1829">
            <v>3001</v>
          </cell>
          <cell r="E1829" t="str">
            <v>0028</v>
          </cell>
          <cell r="F1829" t="str">
            <v>C1</v>
          </cell>
          <cell r="G1829" t="str">
            <v>PR</v>
          </cell>
          <cell r="H1829" t="str">
            <v>INGREDIENTS</v>
          </cell>
          <cell r="I1829" t="str">
            <v>INGREDIENTS</v>
          </cell>
          <cell r="J1829" t="str">
            <v>DUAS RODAS</v>
          </cell>
          <cell r="K1829" t="str">
            <v>ITAMBÉ</v>
          </cell>
          <cell r="L1829" t="str">
            <v>MAURICIO</v>
          </cell>
          <cell r="M1829" t="str">
            <v>MARCELO</v>
          </cell>
        </row>
        <row r="1830">
          <cell r="B1830">
            <v>5192822</v>
          </cell>
          <cell r="C1830" t="str">
            <v>T T F ALIMENTOS SOROCABA LTDA</v>
          </cell>
          <cell r="D1830">
            <v>3001</v>
          </cell>
          <cell r="E1830" t="str">
            <v>0125</v>
          </cell>
          <cell r="F1830" t="str">
            <v>C1</v>
          </cell>
          <cell r="G1830" t="str">
            <v>SP</v>
          </cell>
          <cell r="H1830" t="str">
            <v>DISTRIBUIÇÃO</v>
          </cell>
          <cell r="I1830" t="str">
            <v>FOOD SERVICE</v>
          </cell>
          <cell r="J1830" t="str">
            <v>LUCAS ANDRADE</v>
          </cell>
          <cell r="K1830" t="str">
            <v>ITAMBÉ</v>
          </cell>
          <cell r="L1830" t="str">
            <v>RODRIGO</v>
          </cell>
          <cell r="M1830" t="str">
            <v>RAQUEL BARBOSA</v>
          </cell>
        </row>
        <row r="1831">
          <cell r="B1831">
            <v>5206232</v>
          </cell>
          <cell r="C1831" t="str">
            <v>CWB BRANDS COMERCIO</v>
          </cell>
          <cell r="D1831">
            <v>3001</v>
          </cell>
          <cell r="E1831" t="str">
            <v>0028</v>
          </cell>
          <cell r="F1831" t="str">
            <v>C1</v>
          </cell>
          <cell r="G1831" t="str">
            <v>PR</v>
          </cell>
          <cell r="H1831" t="str">
            <v>INGREDIENTS</v>
          </cell>
          <cell r="I1831" t="str">
            <v>INGREDIENTS</v>
          </cell>
          <cell r="J1831" t="str">
            <v>MARCELO RODRIGUES</v>
          </cell>
          <cell r="K1831" t="str">
            <v>ITAMBÉ</v>
          </cell>
          <cell r="L1831" t="str">
            <v>MAURICIO</v>
          </cell>
          <cell r="M1831" t="str">
            <v>MARCELO</v>
          </cell>
        </row>
        <row r="1832">
          <cell r="B1832">
            <v>5211888</v>
          </cell>
          <cell r="C1832" t="str">
            <v>HAPPY FROST COMERCIO DE PRODUTOS LT</v>
          </cell>
          <cell r="D1832">
            <v>3001</v>
          </cell>
          <cell r="E1832" t="str">
            <v>0028</v>
          </cell>
          <cell r="F1832" t="str">
            <v>C1</v>
          </cell>
          <cell r="G1832" t="str">
            <v>PR</v>
          </cell>
          <cell r="H1832" t="str">
            <v>INGREDIENTS</v>
          </cell>
          <cell r="I1832" t="str">
            <v>INGREDIENTS</v>
          </cell>
          <cell r="J1832" t="str">
            <v>MARCELO RODRIGUES</v>
          </cell>
          <cell r="K1832" t="str">
            <v>ITAMBÉ</v>
          </cell>
          <cell r="L1832" t="str">
            <v>MAURICIO</v>
          </cell>
          <cell r="M1832" t="str">
            <v>MARCELO</v>
          </cell>
        </row>
        <row r="1833">
          <cell r="B1833">
            <v>5213440</v>
          </cell>
          <cell r="C1833" t="str">
            <v>DOCE INDUSTRIA DE BISCOITOS LTD</v>
          </cell>
          <cell r="D1833">
            <v>6001</v>
          </cell>
          <cell r="E1833" t="str">
            <v>6123</v>
          </cell>
          <cell r="F1833" t="str">
            <v>C1</v>
          </cell>
          <cell r="G1833" t="str">
            <v>DF</v>
          </cell>
          <cell r="H1833" t="str">
            <v>DISTRIBUIÇÃO</v>
          </cell>
          <cell r="I1833" t="str">
            <v>FOOD SERVICE</v>
          </cell>
          <cell r="J1833" t="str">
            <v>CLAUDIO JORGE</v>
          </cell>
          <cell r="K1833" t="str">
            <v>ITAMBÉ</v>
          </cell>
          <cell r="L1833" t="str">
            <v>RODRIGO</v>
          </cell>
          <cell r="M1833" t="str">
            <v>MARCO AURELIO</v>
          </cell>
        </row>
        <row r="1834">
          <cell r="B1834">
            <v>5213747</v>
          </cell>
          <cell r="C1834" t="str">
            <v>MEGGA MANIA SORVETES</v>
          </cell>
          <cell r="D1834">
            <v>3001</v>
          </cell>
          <cell r="E1834" t="str">
            <v>0028</v>
          </cell>
          <cell r="F1834" t="str">
            <v>C1</v>
          </cell>
          <cell r="G1834" t="str">
            <v>SP</v>
          </cell>
          <cell r="H1834" t="str">
            <v>INGREDIENTS</v>
          </cell>
          <cell r="I1834" t="str">
            <v>INGREDIENTS</v>
          </cell>
          <cell r="J1834" t="str">
            <v>DUAS RODAS</v>
          </cell>
          <cell r="K1834" t="str">
            <v>ITAMBÉ</v>
          </cell>
          <cell r="L1834" t="str">
            <v>MAURICIO</v>
          </cell>
          <cell r="M1834" t="str">
            <v>TATIANA NITTA</v>
          </cell>
        </row>
        <row r="1835">
          <cell r="B1835">
            <v>5221074</v>
          </cell>
          <cell r="C1835" t="str">
            <v>ITATI INDUSTRIA DE ALIM E CHOC</v>
          </cell>
          <cell r="D1835">
            <v>3001</v>
          </cell>
          <cell r="E1835" t="str">
            <v>0125</v>
          </cell>
          <cell r="F1835" t="str">
            <v>C1</v>
          </cell>
          <cell r="G1835" t="str">
            <v>SP</v>
          </cell>
          <cell r="H1835" t="str">
            <v>INGREDIENTS</v>
          </cell>
          <cell r="I1835" t="str">
            <v>INGREDIENTS</v>
          </cell>
          <cell r="J1835" t="str">
            <v>HENRIQUE FERREIRA</v>
          </cell>
          <cell r="K1835" t="str">
            <v>ITAMBÉ</v>
          </cell>
          <cell r="L1835" t="str">
            <v>MAURICIO</v>
          </cell>
          <cell r="M1835" t="str">
            <v>JOEL</v>
          </cell>
        </row>
        <row r="1836">
          <cell r="B1836">
            <v>5221163</v>
          </cell>
          <cell r="C1836" t="str">
            <v>MARCOS ANTONIO FURLANETTO</v>
          </cell>
          <cell r="D1836">
            <v>3001</v>
          </cell>
          <cell r="E1836" t="str">
            <v>0028</v>
          </cell>
          <cell r="F1836" t="str">
            <v>C1</v>
          </cell>
          <cell r="G1836" t="str">
            <v>SC</v>
          </cell>
          <cell r="H1836" t="str">
            <v>INGREDIENTS</v>
          </cell>
          <cell r="I1836" t="str">
            <v>INGREDIENTS</v>
          </cell>
          <cell r="J1836" t="str">
            <v>DUAS RODAS</v>
          </cell>
          <cell r="K1836" t="str">
            <v>ITAMBÉ</v>
          </cell>
          <cell r="L1836" t="str">
            <v>MAURICIO</v>
          </cell>
          <cell r="M1836" t="str">
            <v>MARCELO</v>
          </cell>
        </row>
        <row r="1837">
          <cell r="B1837">
            <v>5223419</v>
          </cell>
          <cell r="C1837" t="str">
            <v>OESA COMERCIO E REPRESENTACOES</v>
          </cell>
          <cell r="D1837">
            <v>6001</v>
          </cell>
          <cell r="E1837" t="str">
            <v>6123</v>
          </cell>
          <cell r="F1837" t="str">
            <v>C1</v>
          </cell>
          <cell r="G1837" t="str">
            <v>DF</v>
          </cell>
          <cell r="H1837" t="str">
            <v>DISTRIBUIÇÃO</v>
          </cell>
          <cell r="I1837" t="str">
            <v>FOOD SERVICE</v>
          </cell>
          <cell r="J1837" t="str">
            <v>CLAUDIO JORGE</v>
          </cell>
          <cell r="K1837" t="str">
            <v>ITAMBÉ</v>
          </cell>
          <cell r="L1837" t="str">
            <v>RODRIGO</v>
          </cell>
          <cell r="M1837" t="str">
            <v>MARCO AURELIO</v>
          </cell>
        </row>
        <row r="1838">
          <cell r="B1838">
            <v>5226125</v>
          </cell>
          <cell r="C1838" t="str">
            <v>MARILAN ALIMENTOS SA</v>
          </cell>
          <cell r="D1838">
            <v>3001</v>
          </cell>
          <cell r="E1838" t="str">
            <v>0125</v>
          </cell>
          <cell r="F1838" t="str">
            <v>C1</v>
          </cell>
          <cell r="G1838" t="str">
            <v>SP</v>
          </cell>
          <cell r="H1838" t="str">
            <v>DISTRIBUIÇÃO</v>
          </cell>
          <cell r="I1838" t="str">
            <v>FOOD SERVICE</v>
          </cell>
          <cell r="J1838" t="str">
            <v>ALEXANDRO RODRIGUES</v>
          </cell>
          <cell r="K1838" t="str">
            <v>ITAMBÉ</v>
          </cell>
          <cell r="L1838" t="str">
            <v>RODRIGO</v>
          </cell>
          <cell r="M1838" t="str">
            <v>ALEXANDRO</v>
          </cell>
        </row>
        <row r="1839">
          <cell r="B1839">
            <v>5229717</v>
          </cell>
          <cell r="C1839" t="str">
            <v>MULTIPEL EMBALAGENS UMUARAMA LTDA</v>
          </cell>
          <cell r="D1839">
            <v>3001</v>
          </cell>
          <cell r="E1839" t="str">
            <v>0028</v>
          </cell>
          <cell r="F1839" t="str">
            <v>C1</v>
          </cell>
          <cell r="G1839" t="str">
            <v>PR</v>
          </cell>
          <cell r="H1839" t="str">
            <v>INGREDIENTS</v>
          </cell>
          <cell r="I1839" t="str">
            <v>INGREDIENTS</v>
          </cell>
          <cell r="J1839" t="str">
            <v>DUAS RODAS</v>
          </cell>
          <cell r="K1839" t="str">
            <v>ITAMBÉ</v>
          </cell>
          <cell r="L1839" t="str">
            <v>MAURICIO</v>
          </cell>
          <cell r="M1839" t="str">
            <v>MARCELO</v>
          </cell>
        </row>
        <row r="1840">
          <cell r="B1840">
            <v>5259915</v>
          </cell>
          <cell r="C1840" t="str">
            <v>PAMA COM DE GENEROS ALIMENTICIOS LT</v>
          </cell>
          <cell r="D1840">
            <v>3001</v>
          </cell>
          <cell r="E1840" t="str">
            <v>0125</v>
          </cell>
          <cell r="F1840" t="str">
            <v>C1</v>
          </cell>
          <cell r="G1840" t="str">
            <v>SP</v>
          </cell>
          <cell r="H1840" t="str">
            <v>DISTRIBUIÇÃO</v>
          </cell>
          <cell r="I1840" t="str">
            <v>FOOD SERVICE</v>
          </cell>
          <cell r="J1840" t="str">
            <v>GUILHERME NASCIMENTO</v>
          </cell>
          <cell r="K1840" t="str">
            <v>ITAMBÉ</v>
          </cell>
          <cell r="L1840" t="str">
            <v>RODRIGO</v>
          </cell>
          <cell r="M1840" t="str">
            <v>ALEXANDRO</v>
          </cell>
        </row>
        <row r="1841">
          <cell r="B1841">
            <v>5274930</v>
          </cell>
          <cell r="C1841" t="str">
            <v>CAFETERIA QUIOSQUE GODIVA</v>
          </cell>
          <cell r="D1841">
            <v>7001</v>
          </cell>
          <cell r="E1841" t="str">
            <v>0749</v>
          </cell>
          <cell r="F1841" t="str">
            <v>C5</v>
          </cell>
          <cell r="G1841" t="str">
            <v>SP</v>
          </cell>
          <cell r="H1841" t="str">
            <v>DISTRIBUIÇÃO</v>
          </cell>
          <cell r="I1841" t="str">
            <v>FOOD SERVICE</v>
          </cell>
          <cell r="J1841" t="str">
            <v>FLAC 7</v>
          </cell>
          <cell r="K1841" t="str">
            <v>LACTALIS</v>
          </cell>
          <cell r="L1841" t="str">
            <v>RODRIGO</v>
          </cell>
          <cell r="M1841" t="str">
            <v>ALEXANDRO</v>
          </cell>
        </row>
        <row r="1842">
          <cell r="B1842">
            <v>5294986</v>
          </cell>
          <cell r="C1842" t="str">
            <v>NR FOODS INDUSTRIA E COMERCIO L</v>
          </cell>
          <cell r="D1842">
            <v>4001</v>
          </cell>
          <cell r="E1842" t="str">
            <v>0423</v>
          </cell>
          <cell r="F1842" t="str">
            <v>C5</v>
          </cell>
          <cell r="G1842" t="str">
            <v>RS</v>
          </cell>
          <cell r="H1842" t="str">
            <v>INGREDIENTS</v>
          </cell>
          <cell r="I1842" t="str">
            <v>INGREDIENTS</v>
          </cell>
          <cell r="J1842" t="str">
            <v>JOEL ELEOTÉRIO</v>
          </cell>
          <cell r="K1842" t="str">
            <v>LACTALIS</v>
          </cell>
          <cell r="L1842" t="str">
            <v>MAURICIO</v>
          </cell>
          <cell r="M1842" t="str">
            <v>JOEL</v>
          </cell>
        </row>
        <row r="1843">
          <cell r="B1843">
            <v>5297860</v>
          </cell>
          <cell r="C1843" t="str">
            <v>GRAN SAPORE BR BRASIL S A</v>
          </cell>
          <cell r="D1843">
            <v>6001</v>
          </cell>
          <cell r="E1843" t="str">
            <v>6028</v>
          </cell>
          <cell r="F1843" t="str">
            <v>C1</v>
          </cell>
          <cell r="G1843" t="str">
            <v>DF</v>
          </cell>
          <cell r="H1843" t="str">
            <v>QSR</v>
          </cell>
          <cell r="I1843" t="str">
            <v>FOOD SERVICE</v>
          </cell>
          <cell r="J1843" t="str">
            <v>NUTRI</v>
          </cell>
          <cell r="K1843" t="str">
            <v>ITAMBÉ</v>
          </cell>
          <cell r="L1843" t="str">
            <v>PEDRO</v>
          </cell>
          <cell r="M1843" t="str">
            <v>AMANDA</v>
          </cell>
        </row>
        <row r="1844">
          <cell r="B1844">
            <v>5336006</v>
          </cell>
          <cell r="C1844" t="str">
            <v>LACTICINIOS TIROL LTDA</v>
          </cell>
          <cell r="D1844">
            <v>4001</v>
          </cell>
          <cell r="E1844" t="str">
            <v>0455</v>
          </cell>
          <cell r="F1844" t="str">
            <v>C1</v>
          </cell>
          <cell r="G1844" t="str">
            <v>PR</v>
          </cell>
          <cell r="H1844" t="str">
            <v>OUTROS</v>
          </cell>
          <cell r="I1844" t="str">
            <v>OUTROS</v>
          </cell>
          <cell r="J1844" t="str">
            <v>SERVIÇO TIROL</v>
          </cell>
          <cell r="K1844" t="str">
            <v>OUTROS</v>
          </cell>
          <cell r="L1844" t="str">
            <v>OUTROS</v>
          </cell>
          <cell r="M1844" t="str">
            <v>SERVIÇO TIROL</v>
          </cell>
        </row>
        <row r="1845">
          <cell r="B1845">
            <v>5336236</v>
          </cell>
          <cell r="C1845" t="str">
            <v>CARELLI GROUP LTDA</v>
          </cell>
          <cell r="D1845">
            <v>7001</v>
          </cell>
          <cell r="E1845" t="str">
            <v>0722</v>
          </cell>
          <cell r="F1845" t="str">
            <v>C1</v>
          </cell>
          <cell r="G1845" t="str">
            <v>SP</v>
          </cell>
          <cell r="H1845" t="str">
            <v>DISTRIBUIÇÃO</v>
          </cell>
          <cell r="I1845" t="str">
            <v>FOOD SERVICE</v>
          </cell>
          <cell r="J1845" t="str">
            <v>GUILHERME NASCIMENTO</v>
          </cell>
          <cell r="K1845" t="str">
            <v>LACTALIS</v>
          </cell>
          <cell r="L1845" t="str">
            <v>RODRIGO</v>
          </cell>
          <cell r="M1845" t="str">
            <v>ALEXANDRO</v>
          </cell>
        </row>
        <row r="1846">
          <cell r="B1846">
            <v>5337255</v>
          </cell>
          <cell r="C1846" t="str">
            <v>LC ADMINISTRACAO DE REST LTDA</v>
          </cell>
          <cell r="D1846">
            <v>3001</v>
          </cell>
          <cell r="E1846" t="str">
            <v>0122</v>
          </cell>
          <cell r="F1846" t="str">
            <v>C1</v>
          </cell>
          <cell r="G1846" t="str">
            <v>MG</v>
          </cell>
          <cell r="H1846" t="str">
            <v>QSR</v>
          </cell>
          <cell r="I1846" t="str">
            <v>FOOD SERVICE</v>
          </cell>
          <cell r="J1846" t="str">
            <v>NUTRI</v>
          </cell>
          <cell r="K1846" t="str">
            <v>ITAMBÉ</v>
          </cell>
          <cell r="L1846" t="str">
            <v>PEDRO</v>
          </cell>
          <cell r="M1846" t="str">
            <v>AMANDA</v>
          </cell>
        </row>
        <row r="1847">
          <cell r="B1847">
            <v>5337640</v>
          </cell>
          <cell r="C1847" t="str">
            <v>KIMM SORVETES E ACAI LTDA</v>
          </cell>
          <cell r="D1847">
            <v>6001</v>
          </cell>
          <cell r="E1847" t="str">
            <v>6028</v>
          </cell>
          <cell r="F1847" t="str">
            <v>C1</v>
          </cell>
          <cell r="G1847" t="str">
            <v>SP</v>
          </cell>
          <cell r="H1847" t="str">
            <v>INGREDIENTS</v>
          </cell>
          <cell r="I1847" t="str">
            <v>INGREDIENTS</v>
          </cell>
          <cell r="J1847" t="str">
            <v>DUAS RODAS</v>
          </cell>
          <cell r="K1847" t="str">
            <v>ITAMBÉ</v>
          </cell>
          <cell r="L1847" t="str">
            <v>MAURICIO</v>
          </cell>
          <cell r="M1847" t="str">
            <v>TATIANA NITTA</v>
          </cell>
        </row>
        <row r="1848">
          <cell r="B1848">
            <v>5344075</v>
          </cell>
          <cell r="C1848" t="str">
            <v>KOMAH DELIVERY E SERV DE ALIM L</v>
          </cell>
          <cell r="D1848">
            <v>7001</v>
          </cell>
          <cell r="E1848" t="str">
            <v>0749</v>
          </cell>
          <cell r="F1848" t="str">
            <v>C5</v>
          </cell>
          <cell r="G1848" t="str">
            <v>SP</v>
          </cell>
          <cell r="H1848" t="str">
            <v>DISTRIBUIÇÃO</v>
          </cell>
          <cell r="I1848" t="str">
            <v>FOOD SERVICE</v>
          </cell>
          <cell r="J1848" t="str">
            <v>FLAC 6</v>
          </cell>
          <cell r="K1848" t="str">
            <v>LACTALIS</v>
          </cell>
          <cell r="L1848" t="str">
            <v>RODRIGO</v>
          </cell>
          <cell r="M1848" t="str">
            <v>ALEXANDRO</v>
          </cell>
        </row>
        <row r="1849">
          <cell r="B1849">
            <v>5344622</v>
          </cell>
          <cell r="C1849" t="str">
            <v>SPORT CLUB CORINTHIANS PAULISTA</v>
          </cell>
          <cell r="D1849">
            <v>7001</v>
          </cell>
          <cell r="E1849" t="str">
            <v>0749</v>
          </cell>
          <cell r="F1849" t="str">
            <v>C5</v>
          </cell>
          <cell r="G1849" t="str">
            <v>SP</v>
          </cell>
          <cell r="H1849" t="str">
            <v>DISTRIBUIÇÃO</v>
          </cell>
          <cell r="I1849" t="str">
            <v>FOOD SERVICE</v>
          </cell>
          <cell r="J1849" t="str">
            <v>FLAC 6</v>
          </cell>
          <cell r="K1849" t="str">
            <v>LACTALIS</v>
          </cell>
          <cell r="L1849" t="str">
            <v>RODRIGO</v>
          </cell>
          <cell r="M1849" t="str">
            <v>ALEXANDRO</v>
          </cell>
        </row>
        <row r="1850">
          <cell r="B1850">
            <v>5345908</v>
          </cell>
          <cell r="C1850" t="str">
            <v>JJGB SOBREMESAS LTDA</v>
          </cell>
          <cell r="D1850">
            <v>7001</v>
          </cell>
          <cell r="E1850" t="str">
            <v>0749</v>
          </cell>
          <cell r="F1850" t="str">
            <v>C5</v>
          </cell>
          <cell r="G1850" t="str">
            <v>SP</v>
          </cell>
          <cell r="H1850" t="str">
            <v>DISTRIBUIÇÃO</v>
          </cell>
          <cell r="I1850" t="str">
            <v>FOOD SERVICE</v>
          </cell>
          <cell r="J1850" t="str">
            <v>FLAC 3</v>
          </cell>
          <cell r="K1850" t="str">
            <v>LACTALIS</v>
          </cell>
          <cell r="L1850" t="str">
            <v>RODRIGO</v>
          </cell>
          <cell r="M1850" t="str">
            <v>ALEXANDRO</v>
          </cell>
        </row>
        <row r="1851">
          <cell r="B1851">
            <v>5346184</v>
          </cell>
          <cell r="C1851" t="str">
            <v>LC ADMINISTRACAO DE REST LTDA</v>
          </cell>
          <cell r="D1851">
            <v>7001</v>
          </cell>
          <cell r="E1851" t="str">
            <v>0739</v>
          </cell>
          <cell r="F1851" t="str">
            <v>C1</v>
          </cell>
          <cell r="G1851" t="str">
            <v>RJ</v>
          </cell>
          <cell r="H1851" t="str">
            <v>INGREDIENTS</v>
          </cell>
          <cell r="I1851" t="str">
            <v>INGREDIENTS</v>
          </cell>
          <cell r="J1851" t="str">
            <v>DUAS RODAS</v>
          </cell>
          <cell r="K1851" t="str">
            <v>LACTALIS</v>
          </cell>
          <cell r="L1851" t="str">
            <v>MAURICIO</v>
          </cell>
          <cell r="M1851" t="str">
            <v>TATIANA NITTA</v>
          </cell>
        </row>
        <row r="1852">
          <cell r="B1852">
            <v>5026855</v>
          </cell>
          <cell r="C1852" t="str">
            <v>SIBELE ALIMENTOS LTDA</v>
          </cell>
          <cell r="D1852">
            <v>3001</v>
          </cell>
          <cell r="E1852" t="str">
            <v>0122</v>
          </cell>
          <cell r="F1852" t="str">
            <v>C1</v>
          </cell>
          <cell r="G1852" t="str">
            <v>MG</v>
          </cell>
          <cell r="H1852" t="str">
            <v>INGREDIENTS</v>
          </cell>
          <cell r="I1852" t="str">
            <v>INGREDIENTS</v>
          </cell>
          <cell r="J1852" t="str">
            <v>HENRIQUE FERREIRA</v>
          </cell>
          <cell r="K1852" t="str">
            <v>ITAMBÉ</v>
          </cell>
          <cell r="L1852" t="str">
            <v>MAURICIO</v>
          </cell>
          <cell r="M1852" t="str">
            <v>JOEL</v>
          </cell>
        </row>
        <row r="1853">
          <cell r="B1853">
            <v>5218012</v>
          </cell>
          <cell r="C1853" t="str">
            <v>ACAI LITORAL NORTE INDUSTRIA E</v>
          </cell>
          <cell r="D1853">
            <v>6001</v>
          </cell>
          <cell r="E1853" t="str">
            <v>6009</v>
          </cell>
          <cell r="F1853" t="str">
            <v>C1</v>
          </cell>
          <cell r="G1853" t="str">
            <v>BA</v>
          </cell>
          <cell r="H1853" t="str">
            <v>DISTRIBUIÇÃO</v>
          </cell>
          <cell r="I1853" t="str">
            <v>FOOD SERVICE</v>
          </cell>
          <cell r="J1853" t="str">
            <v xml:space="preserve">KARIS FOOD / LUIZ </v>
          </cell>
          <cell r="K1853" t="str">
            <v>ITAMBÉ</v>
          </cell>
          <cell r="L1853" t="str">
            <v>RODRIGO</v>
          </cell>
          <cell r="M1853" t="str">
            <v>VAGO NORDESTE</v>
          </cell>
        </row>
        <row r="1854">
          <cell r="B1854">
            <v>5343039</v>
          </cell>
          <cell r="C1854" t="str">
            <v>57988235 JULIO CESAR QUEIROZ</v>
          </cell>
          <cell r="D1854">
            <v>3001</v>
          </cell>
          <cell r="E1854" t="str">
            <v>0122</v>
          </cell>
          <cell r="F1854" t="str">
            <v>C1</v>
          </cell>
          <cell r="G1854" t="str">
            <v>MG</v>
          </cell>
          <cell r="H1854" t="str">
            <v>INGREDIENTS</v>
          </cell>
          <cell r="I1854" t="str">
            <v>INGREDIENTS</v>
          </cell>
          <cell r="J1854" t="str">
            <v>HENRIQUE FERREIRA</v>
          </cell>
          <cell r="K1854" t="str">
            <v>ITAMBÉ</v>
          </cell>
          <cell r="L1854" t="str">
            <v>MAURICIO</v>
          </cell>
          <cell r="M1854" t="str">
            <v>JOEL</v>
          </cell>
        </row>
        <row r="1855">
          <cell r="B1855">
            <v>5345457</v>
          </cell>
          <cell r="C1855" t="str">
            <v>E V COMERCIO DE ALIMENTOS LTDA</v>
          </cell>
          <cell r="D1855">
            <v>6001</v>
          </cell>
          <cell r="E1855" t="str">
            <v>6123</v>
          </cell>
          <cell r="F1855" t="str">
            <v>C1</v>
          </cell>
          <cell r="G1855" t="str">
            <v>MS</v>
          </cell>
          <cell r="H1855" t="str">
            <v>DISTRIBUIÇÃO</v>
          </cell>
          <cell r="I1855" t="str">
            <v>FOOD SERVICE</v>
          </cell>
          <cell r="J1855" t="str">
            <v>CLAUDIO JORGE</v>
          </cell>
          <cell r="K1855" t="str">
            <v>ITAMBÉ</v>
          </cell>
          <cell r="L1855" t="str">
            <v>RODRIGO</v>
          </cell>
          <cell r="M1855" t="str">
            <v>MARCO AURELIO</v>
          </cell>
        </row>
        <row r="1856">
          <cell r="B1856">
            <v>5114516</v>
          </cell>
          <cell r="C1856" t="str">
            <v>ATELIER DOS SABORES IND DE ALIM</v>
          </cell>
          <cell r="D1856">
            <v>6001</v>
          </cell>
          <cell r="E1856" t="str">
            <v>6169</v>
          </cell>
          <cell r="F1856" t="str">
            <v>C1</v>
          </cell>
          <cell r="G1856" t="str">
            <v>RJ</v>
          </cell>
          <cell r="H1856" t="str">
            <v>INGREDIENTS</v>
          </cell>
          <cell r="I1856" t="str">
            <v>INGREDIENTS</v>
          </cell>
          <cell r="J1856" t="str">
            <v>TATIANA NITTA</v>
          </cell>
          <cell r="K1856" t="str">
            <v>ITAMBÉ</v>
          </cell>
          <cell r="L1856" t="str">
            <v>MAURICIO</v>
          </cell>
          <cell r="M1856" t="str">
            <v>TATIANA NITTA</v>
          </cell>
        </row>
        <row r="1857">
          <cell r="B1857">
            <v>5192017</v>
          </cell>
          <cell r="C1857" t="str">
            <v>SORVESAN IND E COM DE SORV LTDA</v>
          </cell>
          <cell r="D1857">
            <v>4001</v>
          </cell>
          <cell r="E1857" t="str">
            <v>0455</v>
          </cell>
          <cell r="F1857" t="str">
            <v>C1</v>
          </cell>
          <cell r="G1857" t="str">
            <v>SP</v>
          </cell>
          <cell r="H1857" t="str">
            <v>INGREDIENTS</v>
          </cell>
          <cell r="I1857" t="str">
            <v>INGREDIENTS</v>
          </cell>
          <cell r="J1857" t="str">
            <v>MARCELO RODRIGUES</v>
          </cell>
          <cell r="K1857" t="str">
            <v>LACTALIS</v>
          </cell>
          <cell r="L1857" t="str">
            <v>MAURICIO</v>
          </cell>
          <cell r="M1857" t="str">
            <v>MARCELO</v>
          </cell>
        </row>
        <row r="1858">
          <cell r="B1858">
            <v>5196998</v>
          </cell>
          <cell r="C1858" t="str">
            <v>CROISSANT IND E COM DE SALGADOS LTDA</v>
          </cell>
          <cell r="D1858">
            <v>6001</v>
          </cell>
          <cell r="E1858" t="str">
            <v>6028</v>
          </cell>
          <cell r="F1858" t="str">
            <v>C1</v>
          </cell>
          <cell r="G1858" t="str">
            <v>SP</v>
          </cell>
          <cell r="H1858" t="str">
            <v>INGREDIENTS</v>
          </cell>
          <cell r="I1858" t="str">
            <v>INGREDIENTS</v>
          </cell>
          <cell r="J1858" t="str">
            <v>HENRIQUE FERREIRA</v>
          </cell>
          <cell r="K1858" t="str">
            <v>ITAMBÉ</v>
          </cell>
          <cell r="L1858" t="str">
            <v>MAURICIO</v>
          </cell>
          <cell r="M1858" t="str">
            <v>JOEL</v>
          </cell>
        </row>
        <row r="1859">
          <cell r="B1859">
            <v>5346074</v>
          </cell>
          <cell r="C1859" t="str">
            <v>ALTO ALEGRE COMERCIAL LTDA</v>
          </cell>
          <cell r="D1859">
            <v>3001</v>
          </cell>
          <cell r="E1859" t="str">
            <v>0028</v>
          </cell>
          <cell r="F1859" t="str">
            <v>C1</v>
          </cell>
          <cell r="G1859" t="str">
            <v>MA</v>
          </cell>
          <cell r="H1859" t="str">
            <v>INGREDIENTS</v>
          </cell>
          <cell r="I1859" t="str">
            <v>INGREDIENTS</v>
          </cell>
          <cell r="J1859" t="str">
            <v>JOEL ELEOTÉRIO</v>
          </cell>
          <cell r="K1859" t="str">
            <v>ITAMBÉ</v>
          </cell>
          <cell r="L1859" t="str">
            <v>MAURICIO</v>
          </cell>
          <cell r="M1859" t="str">
            <v>JOEL</v>
          </cell>
        </row>
        <row r="1860">
          <cell r="B1860">
            <v>5128991</v>
          </cell>
          <cell r="C1860" t="str">
            <v>FORPAN FORTALEZA PAO LTDA</v>
          </cell>
          <cell r="D1860">
            <v>6001</v>
          </cell>
          <cell r="E1860" t="str">
            <v>6075</v>
          </cell>
          <cell r="F1860" t="str">
            <v>C1</v>
          </cell>
          <cell r="G1860" t="str">
            <v>CE</v>
          </cell>
          <cell r="H1860" t="str">
            <v>DISTRIBUIÇÃO</v>
          </cell>
          <cell r="I1860" t="str">
            <v>FOOD SERVICE</v>
          </cell>
          <cell r="J1860" t="str">
            <v>WH FOOD SERVICE CE</v>
          </cell>
          <cell r="K1860" t="str">
            <v>ITAMBÉ</v>
          </cell>
          <cell r="L1860" t="str">
            <v>RODRIGO</v>
          </cell>
          <cell r="M1860" t="str">
            <v>VAGO NORDESTE</v>
          </cell>
        </row>
        <row r="1861">
          <cell r="B1861">
            <v>5159289</v>
          </cell>
          <cell r="C1861" t="str">
            <v>FUNCHAL IND COM DE PAPEIS LTDA</v>
          </cell>
          <cell r="D1861">
            <v>7001</v>
          </cell>
          <cell r="E1861" t="str">
            <v>0722</v>
          </cell>
          <cell r="F1861" t="str">
            <v>C1</v>
          </cell>
          <cell r="G1861" t="str">
            <v>SP</v>
          </cell>
          <cell r="H1861" t="str">
            <v>DISTRIBUIÇÃO</v>
          </cell>
          <cell r="I1861" t="str">
            <v>FOOD SERVICE</v>
          </cell>
          <cell r="J1861" t="str">
            <v>LUCAS ANDRADE</v>
          </cell>
          <cell r="K1861" t="str">
            <v>LACTALIS</v>
          </cell>
          <cell r="L1861" t="str">
            <v>RODRIGO</v>
          </cell>
          <cell r="M1861" t="str">
            <v>RAQUEL BARBOSA</v>
          </cell>
        </row>
        <row r="1862">
          <cell r="B1862">
            <v>5278529</v>
          </cell>
          <cell r="C1862" t="str">
            <v>COML IMP LAT NAPOLITANO DO ABC</v>
          </cell>
          <cell r="D1862">
            <v>7001</v>
          </cell>
          <cell r="E1862" t="str">
            <v>0722</v>
          </cell>
          <cell r="F1862" t="str">
            <v>C1</v>
          </cell>
          <cell r="G1862" t="str">
            <v>SP</v>
          </cell>
          <cell r="H1862" t="str">
            <v>DISTRIBUIÇÃO</v>
          </cell>
          <cell r="I1862" t="str">
            <v>FOOD SERVICE</v>
          </cell>
          <cell r="J1862" t="str">
            <v>GUILHERME NASCIMENTO</v>
          </cell>
          <cell r="K1862" t="str">
            <v>LACTALIS</v>
          </cell>
          <cell r="L1862" t="str">
            <v>RODRIGO</v>
          </cell>
          <cell r="M1862" t="str">
            <v>ALEXANDRO</v>
          </cell>
        </row>
        <row r="1863">
          <cell r="B1863">
            <v>5323277</v>
          </cell>
          <cell r="C1863" t="str">
            <v>CARDOSO COM VAREJISTA DE BOLOS</v>
          </cell>
          <cell r="D1863">
            <v>3001</v>
          </cell>
          <cell r="E1863" t="str">
            <v>0126</v>
          </cell>
          <cell r="F1863" t="str">
            <v>C1</v>
          </cell>
          <cell r="G1863" t="str">
            <v>PR</v>
          </cell>
          <cell r="H1863" t="str">
            <v>DISTRIBUIÇÃO</v>
          </cell>
          <cell r="I1863" t="str">
            <v>FOOD SERVICE</v>
          </cell>
          <cell r="J1863" t="str">
            <v>ANTÔNIO SOUZA</v>
          </cell>
          <cell r="K1863" t="str">
            <v>ITAMBÉ</v>
          </cell>
          <cell r="L1863" t="str">
            <v>RODRIGO</v>
          </cell>
          <cell r="M1863" t="str">
            <v>VAGO SUL</v>
          </cell>
        </row>
        <row r="1864">
          <cell r="B1864">
            <v>5329519</v>
          </cell>
          <cell r="C1864" t="str">
            <v>KIT DA COMUNIDADE LTDA</v>
          </cell>
          <cell r="D1864">
            <v>6001</v>
          </cell>
          <cell r="E1864" t="str">
            <v>6125</v>
          </cell>
          <cell r="F1864" t="str">
            <v>C1</v>
          </cell>
          <cell r="G1864" t="str">
            <v>SP</v>
          </cell>
          <cell r="H1864" t="str">
            <v>DISTRIBUIÇÃO</v>
          </cell>
          <cell r="I1864" t="str">
            <v>FOOD SERVICE</v>
          </cell>
          <cell r="J1864" t="str">
            <v>ALEXANDRO RODRIGUES</v>
          </cell>
          <cell r="K1864" t="str">
            <v>ITAMBÉ</v>
          </cell>
          <cell r="L1864" t="str">
            <v>RODRIGO</v>
          </cell>
          <cell r="M1864" t="str">
            <v>ALEXANDRO</v>
          </cell>
        </row>
        <row r="1865">
          <cell r="B1865">
            <v>5099074</v>
          </cell>
          <cell r="C1865" t="str">
            <v>ALIBEY INDUSTRIA COM ALIMENTOS</v>
          </cell>
          <cell r="D1865">
            <v>4001</v>
          </cell>
          <cell r="E1865" t="str">
            <v>0437</v>
          </cell>
          <cell r="F1865" t="str">
            <v>C1</v>
          </cell>
          <cell r="G1865" t="str">
            <v>SP</v>
          </cell>
          <cell r="H1865" t="str">
            <v>INGREDIENTS</v>
          </cell>
          <cell r="I1865" t="str">
            <v>INGREDIENTS</v>
          </cell>
          <cell r="J1865" t="str">
            <v>TATIANA NITTA</v>
          </cell>
          <cell r="K1865" t="str">
            <v>LACTALIS</v>
          </cell>
          <cell r="L1865" t="str">
            <v>MAURICIO</v>
          </cell>
          <cell r="M1865" t="str">
            <v>TATIANA NITTA</v>
          </cell>
        </row>
        <row r="1866">
          <cell r="B1866">
            <v>5150155</v>
          </cell>
          <cell r="C1866" t="str">
            <v>GRANDFOOD INDUSTRIA E COMERCIO</v>
          </cell>
          <cell r="D1866">
            <v>4001</v>
          </cell>
          <cell r="E1866" t="str">
            <v>0437</v>
          </cell>
          <cell r="F1866" t="str">
            <v>C1</v>
          </cell>
          <cell r="G1866" t="str">
            <v>SP</v>
          </cell>
          <cell r="H1866" t="str">
            <v>INGREDIENTS</v>
          </cell>
          <cell r="I1866" t="str">
            <v>INGREDIENTS</v>
          </cell>
          <cell r="J1866" t="str">
            <v>TATIANA NITTA</v>
          </cell>
          <cell r="K1866" t="str">
            <v>LACTALIS</v>
          </cell>
          <cell r="L1866" t="str">
            <v>MAURICIO</v>
          </cell>
          <cell r="M1866" t="str">
            <v>TATIANA NITTA</v>
          </cell>
        </row>
        <row r="1867">
          <cell r="B1867">
            <v>5176053</v>
          </cell>
          <cell r="C1867" t="str">
            <v>BAKELS BRASIL INGRED PARA PANIF</v>
          </cell>
          <cell r="D1867">
            <v>6001</v>
          </cell>
          <cell r="E1867" t="str">
            <v>6028</v>
          </cell>
          <cell r="F1867" t="str">
            <v>C1</v>
          </cell>
          <cell r="G1867" t="str">
            <v>SP</v>
          </cell>
          <cell r="H1867" t="str">
            <v>INGREDIENTS</v>
          </cell>
          <cell r="I1867" t="str">
            <v>INGREDIENTS</v>
          </cell>
          <cell r="J1867" t="str">
            <v>TATIANA NITTA</v>
          </cell>
          <cell r="K1867" t="str">
            <v>ITAMBÉ</v>
          </cell>
          <cell r="L1867" t="str">
            <v>MAURICIO</v>
          </cell>
          <cell r="M1867" t="str">
            <v>TATIANA NITTA</v>
          </cell>
        </row>
        <row r="1868">
          <cell r="B1868">
            <v>5337138</v>
          </cell>
          <cell r="C1868" t="str">
            <v>VSG DISTRIBUIDORA LTDA</v>
          </cell>
          <cell r="D1868">
            <v>3001</v>
          </cell>
          <cell r="E1868" t="str">
            <v>0126</v>
          </cell>
          <cell r="F1868" t="str">
            <v>C1</v>
          </cell>
          <cell r="G1868" t="str">
            <v>PR</v>
          </cell>
          <cell r="H1868" t="str">
            <v>INGREDIENTS</v>
          </cell>
          <cell r="I1868" t="str">
            <v>INGREDIENTS</v>
          </cell>
          <cell r="J1868" t="str">
            <v>MARCELO RODRIGUES</v>
          </cell>
          <cell r="K1868" t="str">
            <v>ITAMBÉ</v>
          </cell>
          <cell r="L1868" t="str">
            <v>MAURICIO</v>
          </cell>
          <cell r="M1868" t="str">
            <v>MARCELO</v>
          </cell>
        </row>
        <row r="1869">
          <cell r="B1869">
            <v>5346301</v>
          </cell>
          <cell r="C1869" t="str">
            <v>GODOY PROD E DIST DE SORVETES L</v>
          </cell>
          <cell r="D1869">
            <v>7001</v>
          </cell>
          <cell r="E1869" t="str">
            <v>0749</v>
          </cell>
          <cell r="F1869" t="str">
            <v>C5</v>
          </cell>
          <cell r="G1869" t="str">
            <v>SP</v>
          </cell>
          <cell r="H1869" t="str">
            <v>DISTRIBUIÇÃO</v>
          </cell>
          <cell r="I1869" t="str">
            <v>FOOD SERVICE</v>
          </cell>
          <cell r="J1869" t="str">
            <v>FLAC 3</v>
          </cell>
          <cell r="K1869" t="str">
            <v>LACTALIS</v>
          </cell>
          <cell r="L1869" t="str">
            <v>RODRIGO</v>
          </cell>
          <cell r="M1869" t="str">
            <v>ALEXANDRO</v>
          </cell>
        </row>
        <row r="1870">
          <cell r="B1870">
            <v>5038157</v>
          </cell>
          <cell r="C1870" t="str">
            <v>MERCADINHO LESSA LTDA</v>
          </cell>
          <cell r="D1870">
            <v>6001</v>
          </cell>
          <cell r="E1870" t="str">
            <v>6125</v>
          </cell>
          <cell r="F1870" t="str">
            <v>C1</v>
          </cell>
          <cell r="G1870" t="str">
            <v>SP</v>
          </cell>
          <cell r="H1870" t="str">
            <v>DISTRIBUIÇÃO</v>
          </cell>
          <cell r="I1870" t="str">
            <v>FOOD SERVICE</v>
          </cell>
          <cell r="J1870" t="str">
            <v>GUILHERME NASCIMENTO</v>
          </cell>
          <cell r="K1870" t="str">
            <v>ITAMBÉ</v>
          </cell>
          <cell r="L1870" t="str">
            <v>RODRIGO</v>
          </cell>
          <cell r="M1870" t="str">
            <v>ALEXANDRO</v>
          </cell>
        </row>
        <row r="1871">
          <cell r="B1871">
            <v>5204235</v>
          </cell>
          <cell r="C1871" t="str">
            <v>NUTRIALIMENTAR INDUSTRIA LTDA</v>
          </cell>
          <cell r="D1871">
            <v>3001</v>
          </cell>
          <cell r="E1871" t="str">
            <v>0028</v>
          </cell>
          <cell r="F1871" t="str">
            <v>C1</v>
          </cell>
          <cell r="G1871" t="str">
            <v>SP</v>
          </cell>
          <cell r="H1871" t="str">
            <v>INGREDIENTS</v>
          </cell>
          <cell r="I1871" t="str">
            <v>INGREDIENTS</v>
          </cell>
          <cell r="J1871" t="str">
            <v>TATIANA NITTA</v>
          </cell>
          <cell r="K1871" t="str">
            <v>ITAMBÉ</v>
          </cell>
          <cell r="L1871" t="str">
            <v>MAURICIO</v>
          </cell>
          <cell r="M1871" t="str">
            <v>TATIANA NITTA</v>
          </cell>
        </row>
        <row r="1872">
          <cell r="B1872">
            <v>5019640</v>
          </cell>
          <cell r="C1872" t="str">
            <v>BIG CHURROS DE PIRACICABA LTDA</v>
          </cell>
          <cell r="D1872">
            <v>6001</v>
          </cell>
          <cell r="E1872" t="str">
            <v>6028</v>
          </cell>
          <cell r="F1872" t="str">
            <v>C1</v>
          </cell>
          <cell r="G1872" t="str">
            <v>SP</v>
          </cell>
          <cell r="H1872" t="str">
            <v>INGREDIENTS</v>
          </cell>
          <cell r="I1872" t="str">
            <v>INGREDIENTS</v>
          </cell>
          <cell r="J1872" t="str">
            <v>HENRIQUE FERREIRA</v>
          </cell>
          <cell r="K1872" t="str">
            <v>ITAMBÉ</v>
          </cell>
          <cell r="L1872" t="str">
            <v>MAURICIO</v>
          </cell>
          <cell r="M1872" t="str">
            <v>JOEL</v>
          </cell>
        </row>
        <row r="1873">
          <cell r="B1873">
            <v>5175227</v>
          </cell>
          <cell r="C1873" t="str">
            <v>MASSIMA SOLUCOES EM ALIMENTACAO</v>
          </cell>
          <cell r="D1873">
            <v>6001</v>
          </cell>
          <cell r="E1873" t="str">
            <v>6028</v>
          </cell>
          <cell r="F1873" t="str">
            <v>C1</v>
          </cell>
          <cell r="G1873" t="str">
            <v>SP</v>
          </cell>
          <cell r="H1873" t="str">
            <v>QSR</v>
          </cell>
          <cell r="I1873" t="str">
            <v>FOOD SERVICE</v>
          </cell>
          <cell r="J1873" t="str">
            <v>NUTRI</v>
          </cell>
          <cell r="K1873" t="str">
            <v>ITAMBÉ</v>
          </cell>
          <cell r="L1873" t="str">
            <v>PEDRO</v>
          </cell>
          <cell r="M1873" t="str">
            <v>AMANDA</v>
          </cell>
        </row>
        <row r="1874">
          <cell r="B1874">
            <v>5345932</v>
          </cell>
          <cell r="C1874" t="str">
            <v>BLUE BAKERY LTDA</v>
          </cell>
          <cell r="D1874">
            <v>7001</v>
          </cell>
          <cell r="E1874" t="str">
            <v>0749</v>
          </cell>
          <cell r="F1874" t="str">
            <v>C5</v>
          </cell>
          <cell r="G1874" t="str">
            <v>SP</v>
          </cell>
          <cell r="H1874" t="str">
            <v>DISTRIBUIÇÃO</v>
          </cell>
          <cell r="I1874" t="str">
            <v>FOOD SERVICE</v>
          </cell>
          <cell r="J1874" t="str">
            <v>FLAC 2</v>
          </cell>
          <cell r="K1874" t="str">
            <v>LACTALIS</v>
          </cell>
          <cell r="L1874" t="str">
            <v>RODRIGO</v>
          </cell>
          <cell r="M1874" t="str">
            <v>ALEXANDRO</v>
          </cell>
        </row>
        <row r="1875">
          <cell r="B1875">
            <v>5346421</v>
          </cell>
          <cell r="C1875" t="str">
            <v>RLC RESTAURANTE LTDA</v>
          </cell>
          <cell r="D1875">
            <v>7001</v>
          </cell>
          <cell r="E1875" t="str">
            <v>0749</v>
          </cell>
          <cell r="F1875" t="str">
            <v>C5</v>
          </cell>
          <cell r="G1875" t="str">
            <v>SP</v>
          </cell>
          <cell r="H1875" t="str">
            <v>DISTRIBUIÇÃO</v>
          </cell>
          <cell r="I1875" t="str">
            <v>FOOD SERVICE</v>
          </cell>
          <cell r="J1875" t="str">
            <v>FLAC 2</v>
          </cell>
          <cell r="K1875" t="str">
            <v>LACTALIS</v>
          </cell>
          <cell r="L1875" t="str">
            <v>RODRIGO</v>
          </cell>
          <cell r="M1875" t="str">
            <v>ALEXANDRO</v>
          </cell>
        </row>
        <row r="1876">
          <cell r="B1876">
            <v>5158121</v>
          </cell>
          <cell r="C1876" t="str">
            <v>DIHELO ALIMENTOS LTDA</v>
          </cell>
          <cell r="D1876">
            <v>4001</v>
          </cell>
          <cell r="E1876" t="str">
            <v>0423</v>
          </cell>
          <cell r="F1876" t="str">
            <v>C5</v>
          </cell>
          <cell r="G1876" t="str">
            <v>SC</v>
          </cell>
          <cell r="H1876" t="str">
            <v>INGREDIENTS</v>
          </cell>
          <cell r="I1876" t="str">
            <v>INGREDIENTS</v>
          </cell>
          <cell r="J1876" t="str">
            <v>DLUM</v>
          </cell>
          <cell r="K1876" t="str">
            <v>LACTALIS</v>
          </cell>
          <cell r="L1876" t="str">
            <v>MAURICIO</v>
          </cell>
          <cell r="M1876" t="str">
            <v>JOEL</v>
          </cell>
        </row>
        <row r="1877">
          <cell r="B1877">
            <v>5208028</v>
          </cell>
          <cell r="C1877" t="str">
            <v>MISTUREX COMERCIO ATACA DE ALIMENT</v>
          </cell>
          <cell r="D1877">
            <v>6001</v>
          </cell>
          <cell r="E1877" t="str">
            <v>6028</v>
          </cell>
          <cell r="F1877" t="str">
            <v>C1</v>
          </cell>
          <cell r="G1877" t="str">
            <v>ES</v>
          </cell>
          <cell r="H1877" t="str">
            <v>INGREDIENTS</v>
          </cell>
          <cell r="I1877" t="str">
            <v>INGREDIENTS</v>
          </cell>
          <cell r="J1877" t="str">
            <v>TATIANA NITTA</v>
          </cell>
          <cell r="K1877" t="str">
            <v>ITAMBÉ</v>
          </cell>
          <cell r="L1877" t="str">
            <v>MAURICIO</v>
          </cell>
          <cell r="M1877" t="str">
            <v>TATIANA NITTA</v>
          </cell>
        </row>
        <row r="1878">
          <cell r="B1878">
            <v>5341876</v>
          </cell>
          <cell r="C1878" t="str">
            <v>TDC COMERCIO DE ALIMENTOS LTDA</v>
          </cell>
          <cell r="D1878">
            <v>7001</v>
          </cell>
          <cell r="E1878" t="str">
            <v>0749</v>
          </cell>
          <cell r="F1878" t="str">
            <v>C5</v>
          </cell>
          <cell r="G1878" t="str">
            <v>SP</v>
          </cell>
          <cell r="H1878" t="str">
            <v>DISTRIBUIÇÃO</v>
          </cell>
          <cell r="I1878" t="str">
            <v>FOOD SERVICE</v>
          </cell>
          <cell r="J1878" t="str">
            <v>FLAC 4</v>
          </cell>
          <cell r="K1878" t="str">
            <v>LACTALIS</v>
          </cell>
          <cell r="L1878" t="str">
            <v>RODRIGO</v>
          </cell>
          <cell r="M1878" t="str">
            <v>ALEXANDRO</v>
          </cell>
        </row>
        <row r="1879">
          <cell r="B1879">
            <v>5346486</v>
          </cell>
          <cell r="C1879" t="str">
            <v>DE ASIATICO RESTAURANTE LTDA</v>
          </cell>
          <cell r="D1879">
            <v>7001</v>
          </cell>
          <cell r="E1879" t="str">
            <v>0749</v>
          </cell>
          <cell r="F1879" t="str">
            <v>C5</v>
          </cell>
          <cell r="G1879" t="str">
            <v>SP</v>
          </cell>
          <cell r="H1879" t="str">
            <v>DISTRIBUIÇÃO</v>
          </cell>
          <cell r="I1879" t="str">
            <v>FOOD SERVICE</v>
          </cell>
          <cell r="J1879" t="str">
            <v>FLAC 6</v>
          </cell>
          <cell r="K1879" t="str">
            <v>LACTALIS</v>
          </cell>
          <cell r="L1879" t="str">
            <v>RODRIGO</v>
          </cell>
          <cell r="M1879" t="str">
            <v>ALEXANDRO</v>
          </cell>
        </row>
        <row r="1880">
          <cell r="B1880">
            <v>5098929</v>
          </cell>
          <cell r="C1880" t="str">
            <v>MEDICINAL FARMACIA E MANIPULACAO LTDA</v>
          </cell>
          <cell r="D1880">
            <v>4001</v>
          </cell>
          <cell r="E1880" t="str">
            <v>0455</v>
          </cell>
          <cell r="F1880" t="str">
            <v>C1</v>
          </cell>
          <cell r="G1880" t="str">
            <v>PR</v>
          </cell>
          <cell r="H1880" t="str">
            <v>INGREDIENTS</v>
          </cell>
          <cell r="I1880" t="str">
            <v>INGREDIENTS</v>
          </cell>
          <cell r="J1880" t="str">
            <v>MARCELO RODRIGUES</v>
          </cell>
          <cell r="K1880" t="str">
            <v>LACTALIS</v>
          </cell>
          <cell r="L1880" t="str">
            <v>MAURICIO</v>
          </cell>
          <cell r="M1880" t="str">
            <v>MARCELO</v>
          </cell>
        </row>
        <row r="1881">
          <cell r="B1881">
            <v>5115191</v>
          </cell>
          <cell r="C1881" t="str">
            <v>J C CASAROTTO MORO E CIA LTDA</v>
          </cell>
          <cell r="D1881">
            <v>3001</v>
          </cell>
          <cell r="E1881" t="str">
            <v>0126</v>
          </cell>
          <cell r="F1881" t="str">
            <v>C1</v>
          </cell>
          <cell r="G1881" t="str">
            <v>PR</v>
          </cell>
          <cell r="H1881" t="str">
            <v>DISTRIBUIÇÃO</v>
          </cell>
          <cell r="I1881" t="str">
            <v>FOOD SERVICE</v>
          </cell>
          <cell r="J1881" t="str">
            <v>ANTÔNIO SOUZA</v>
          </cell>
          <cell r="K1881" t="str">
            <v>ITAMBÉ</v>
          </cell>
          <cell r="L1881" t="str">
            <v>RODRIGO</v>
          </cell>
          <cell r="M1881" t="str">
            <v>VAGO SUL</v>
          </cell>
        </row>
        <row r="1882">
          <cell r="B1882">
            <v>5121735</v>
          </cell>
          <cell r="C1882" t="str">
            <v>HERSHEY DO BRASIL LTDA</v>
          </cell>
          <cell r="D1882">
            <v>3001</v>
          </cell>
          <cell r="E1882" t="str">
            <v>0028</v>
          </cell>
          <cell r="F1882" t="str">
            <v>C1</v>
          </cell>
          <cell r="G1882" t="str">
            <v>SP</v>
          </cell>
          <cell r="H1882" t="str">
            <v>INGREDIENTS</v>
          </cell>
          <cell r="I1882" t="str">
            <v>INGREDIENTS</v>
          </cell>
          <cell r="J1882" t="str">
            <v>TATIANA NITTA</v>
          </cell>
          <cell r="K1882" t="str">
            <v>ITAMBÉ</v>
          </cell>
          <cell r="L1882" t="str">
            <v>MAURICIO</v>
          </cell>
          <cell r="M1882" t="str">
            <v>TATIANA NITTA</v>
          </cell>
        </row>
        <row r="1883">
          <cell r="B1883">
            <v>5194255</v>
          </cell>
          <cell r="C1883" t="str">
            <v>BRUNO ITALO PORTELA ALBUQUERQUE</v>
          </cell>
          <cell r="D1883">
            <v>6001</v>
          </cell>
          <cell r="E1883" t="str">
            <v>6127</v>
          </cell>
          <cell r="F1883" t="str">
            <v>C1</v>
          </cell>
          <cell r="G1883" t="str">
            <v>CE</v>
          </cell>
          <cell r="H1883" t="str">
            <v>DISTRIBUIÇÃO</v>
          </cell>
          <cell r="I1883" t="str">
            <v>FOOD SERVICE</v>
          </cell>
          <cell r="J1883" t="str">
            <v>WH FOOD SERVICE CE</v>
          </cell>
          <cell r="K1883" t="str">
            <v>ITAMBÉ</v>
          </cell>
          <cell r="L1883" t="str">
            <v>RODRIGO</v>
          </cell>
          <cell r="M1883" t="str">
            <v>VAGO NORDESTE</v>
          </cell>
        </row>
        <row r="1884">
          <cell r="B1884">
            <v>5346087</v>
          </cell>
          <cell r="C1884" t="str">
            <v>DISTRAL DISTRIB DE ALIM SLU LTD</v>
          </cell>
          <cell r="D1884">
            <v>3001</v>
          </cell>
          <cell r="E1884" t="str">
            <v>0028</v>
          </cell>
          <cell r="F1884" t="str">
            <v>C1</v>
          </cell>
          <cell r="G1884" t="str">
            <v>AL</v>
          </cell>
          <cell r="H1884" t="str">
            <v>INGREDIENTS</v>
          </cell>
          <cell r="I1884" t="str">
            <v>INGREDIENTS</v>
          </cell>
          <cell r="J1884" t="str">
            <v>JOEL ELEOTÉRIO</v>
          </cell>
          <cell r="K1884" t="str">
            <v>ITAMBÉ</v>
          </cell>
          <cell r="L1884" t="str">
            <v>MAURICIO</v>
          </cell>
          <cell r="M1884" t="str">
            <v>JOEL</v>
          </cell>
        </row>
        <row r="1885">
          <cell r="B1885">
            <v>5346649</v>
          </cell>
          <cell r="C1885" t="str">
            <v>52983134 REMITON COELHO VIEIRA</v>
          </cell>
          <cell r="D1885">
            <v>7001</v>
          </cell>
          <cell r="E1885" t="str">
            <v>0749</v>
          </cell>
          <cell r="F1885" t="str">
            <v>C5</v>
          </cell>
          <cell r="G1885" t="str">
            <v>SP</v>
          </cell>
          <cell r="H1885" t="str">
            <v>DISTRIBUIÇÃO</v>
          </cell>
          <cell r="I1885" t="str">
            <v>FOOD SERVICE</v>
          </cell>
          <cell r="J1885" t="str">
            <v>FLAC 2</v>
          </cell>
          <cell r="K1885" t="str">
            <v>LACTALIS</v>
          </cell>
          <cell r="L1885" t="str">
            <v>RODRIGO</v>
          </cell>
          <cell r="M1885" t="str">
            <v>ALEXANDRO</v>
          </cell>
        </row>
        <row r="1886">
          <cell r="B1886">
            <v>5043271</v>
          </cell>
          <cell r="C1886" t="str">
            <v>DOCES RICCO LTDA</v>
          </cell>
          <cell r="D1886">
            <v>3001</v>
          </cell>
          <cell r="E1886" t="str">
            <v>0028</v>
          </cell>
          <cell r="F1886" t="str">
            <v>C1</v>
          </cell>
          <cell r="G1886" t="str">
            <v>MG</v>
          </cell>
          <cell r="H1886" t="str">
            <v>INGREDIENTS</v>
          </cell>
          <cell r="I1886" t="str">
            <v>INGREDIENTS</v>
          </cell>
          <cell r="J1886" t="str">
            <v>JOEL ELEOTÉRIO</v>
          </cell>
          <cell r="K1886" t="str">
            <v>ITAMBÉ</v>
          </cell>
          <cell r="L1886" t="str">
            <v>MAURICIO</v>
          </cell>
          <cell r="M1886" t="str">
            <v>JOEL</v>
          </cell>
        </row>
        <row r="1887">
          <cell r="B1887">
            <v>5044784</v>
          </cell>
          <cell r="C1887" t="str">
            <v>BOZZETTI COMERCIO DE DOCES LTDA</v>
          </cell>
          <cell r="D1887">
            <v>6001</v>
          </cell>
          <cell r="E1887" t="str">
            <v>6169</v>
          </cell>
          <cell r="F1887" t="str">
            <v>C1</v>
          </cell>
          <cell r="G1887" t="str">
            <v>ES</v>
          </cell>
          <cell r="H1887" t="str">
            <v>DISTRIBUIÇÃO</v>
          </cell>
          <cell r="I1887" t="str">
            <v>FOOD SERVICE</v>
          </cell>
          <cell r="J1887" t="str">
            <v>MARCELO DUARTE</v>
          </cell>
          <cell r="K1887" t="str">
            <v>ITAMBÉ</v>
          </cell>
          <cell r="L1887" t="str">
            <v>RODRIGO</v>
          </cell>
          <cell r="M1887" t="str">
            <v>JESSICA</v>
          </cell>
        </row>
        <row r="1888">
          <cell r="B1888">
            <v>5230155</v>
          </cell>
          <cell r="C1888" t="str">
            <v>MR ALIMENTOS SAUDAVEIS LTDA</v>
          </cell>
          <cell r="D1888">
            <v>3001</v>
          </cell>
          <cell r="E1888" t="str">
            <v>0126</v>
          </cell>
          <cell r="F1888" t="str">
            <v>C1</v>
          </cell>
          <cell r="G1888" t="str">
            <v>PR</v>
          </cell>
          <cell r="H1888" t="str">
            <v>DISTRIBUIÇÃO</v>
          </cell>
          <cell r="I1888" t="str">
            <v>FOOD SERVICE</v>
          </cell>
          <cell r="J1888" t="str">
            <v>ANTÔNIO SOUZA</v>
          </cell>
          <cell r="K1888" t="str">
            <v>ITAMBÉ</v>
          </cell>
          <cell r="L1888" t="str">
            <v>RODRIGO</v>
          </cell>
          <cell r="M1888" t="str">
            <v>VAGO SUL</v>
          </cell>
        </row>
        <row r="1889">
          <cell r="B1889">
            <v>5115690</v>
          </cell>
          <cell r="C1889" t="str">
            <v>ORGANIZACAO BARAT E BALTAZAR LTDA</v>
          </cell>
          <cell r="D1889">
            <v>3001</v>
          </cell>
          <cell r="E1889" t="str">
            <v>0122</v>
          </cell>
          <cell r="F1889" t="str">
            <v>C1</v>
          </cell>
          <cell r="G1889" t="str">
            <v>MG</v>
          </cell>
          <cell r="H1889" t="str">
            <v>DISTRIBUIÇÃO</v>
          </cell>
          <cell r="I1889" t="str">
            <v>FOOD SERVICE</v>
          </cell>
          <cell r="J1889" t="str">
            <v>MARCELO SILVA</v>
          </cell>
          <cell r="K1889" t="str">
            <v>ITAMBÉ</v>
          </cell>
          <cell r="L1889" t="str">
            <v>RODRIGO</v>
          </cell>
          <cell r="M1889" t="str">
            <v>CELIO MARTINS</v>
          </cell>
        </row>
        <row r="1890">
          <cell r="B1890">
            <v>5010967</v>
          </cell>
          <cell r="C1890" t="str">
            <v>MARIA L. SOUZA FREIRE E CIA LTDA</v>
          </cell>
          <cell r="D1890">
            <v>4001</v>
          </cell>
          <cell r="E1890" t="str">
            <v>0455</v>
          </cell>
          <cell r="F1890" t="str">
            <v>C1</v>
          </cell>
          <cell r="G1890" t="str">
            <v>PR</v>
          </cell>
          <cell r="H1890" t="str">
            <v>INGREDIENTS</v>
          </cell>
          <cell r="I1890" t="str">
            <v>INGREDIENTS</v>
          </cell>
          <cell r="J1890" t="str">
            <v>MARCELO RODRIGUES</v>
          </cell>
          <cell r="K1890" t="str">
            <v>LACTALIS</v>
          </cell>
          <cell r="L1890" t="str">
            <v>MAURICIO</v>
          </cell>
          <cell r="M1890" t="str">
            <v>MARCELO</v>
          </cell>
        </row>
        <row r="1891">
          <cell r="B1891">
            <v>5005055</v>
          </cell>
          <cell r="C1891" t="str">
            <v>GIRASSOL DOCES LTDA</v>
          </cell>
          <cell r="D1891">
            <v>3001</v>
          </cell>
          <cell r="E1891" t="str">
            <v>0122</v>
          </cell>
          <cell r="F1891" t="str">
            <v>C1</v>
          </cell>
          <cell r="G1891" t="str">
            <v>MG</v>
          </cell>
          <cell r="H1891" t="str">
            <v>DISTRIBUIÇÃO</v>
          </cell>
          <cell r="I1891" t="str">
            <v>FOOD SERVICE</v>
          </cell>
          <cell r="J1891" t="str">
            <v>MARCELO SILVA</v>
          </cell>
          <cell r="K1891" t="str">
            <v>ITAMBÉ</v>
          </cell>
          <cell r="L1891" t="str">
            <v>RODRIGO</v>
          </cell>
          <cell r="M1891" t="str">
            <v>CELIO MARTINS</v>
          </cell>
        </row>
        <row r="1892">
          <cell r="B1892">
            <v>5149588</v>
          </cell>
          <cell r="C1892" t="str">
            <v>LUA NOVA IND E COM PROD ALIM LT</v>
          </cell>
          <cell r="D1892">
            <v>4001</v>
          </cell>
          <cell r="E1892" t="str">
            <v>0437</v>
          </cell>
          <cell r="F1892" t="str">
            <v>C1</v>
          </cell>
          <cell r="G1892" t="str">
            <v>PR</v>
          </cell>
          <cell r="H1892" t="str">
            <v>INGREDIENTS</v>
          </cell>
          <cell r="I1892" t="str">
            <v>INGREDIENTS</v>
          </cell>
          <cell r="J1892" t="str">
            <v>TATIANA NITTA</v>
          </cell>
          <cell r="K1892" t="str">
            <v>LACTALIS</v>
          </cell>
          <cell r="L1892" t="str">
            <v>MAURICIO</v>
          </cell>
          <cell r="M1892" t="str">
            <v>TATIANA NITTA</v>
          </cell>
        </row>
        <row r="1893">
          <cell r="B1893">
            <v>5166328</v>
          </cell>
          <cell r="C1893" t="str">
            <v>OFICINA DO SORVETE LTDA</v>
          </cell>
          <cell r="D1893">
            <v>3001</v>
          </cell>
          <cell r="E1893" t="str">
            <v>0126</v>
          </cell>
          <cell r="F1893" t="str">
            <v>C1</v>
          </cell>
          <cell r="G1893" t="str">
            <v>PR</v>
          </cell>
          <cell r="H1893" t="str">
            <v>DISTRIBUIÇÃO</v>
          </cell>
          <cell r="I1893" t="str">
            <v>FOOD SERVICE</v>
          </cell>
          <cell r="J1893" t="str">
            <v>ANTÔNIO SOUZA</v>
          </cell>
          <cell r="K1893" t="str">
            <v>ITAMBÉ</v>
          </cell>
          <cell r="L1893" t="str">
            <v>RODRIGO</v>
          </cell>
          <cell r="M1893" t="str">
            <v>VAGO SUL</v>
          </cell>
        </row>
        <row r="1894">
          <cell r="B1894">
            <v>5185042</v>
          </cell>
          <cell r="C1894" t="str">
            <v>GA INDUSTRIA E COMERCIO DE ALIM</v>
          </cell>
          <cell r="D1894">
            <v>6001</v>
          </cell>
          <cell r="E1894" t="str">
            <v>6127</v>
          </cell>
          <cell r="F1894" t="str">
            <v>C1</v>
          </cell>
          <cell r="G1894" t="str">
            <v>BA</v>
          </cell>
          <cell r="H1894" t="str">
            <v>DISTRIBUIÇÃO</v>
          </cell>
          <cell r="I1894" t="str">
            <v>FOOD SERVICE</v>
          </cell>
          <cell r="J1894" t="str">
            <v>KARIS FOOD / LUIZ</v>
          </cell>
          <cell r="K1894" t="str">
            <v>ITAMBÉ</v>
          </cell>
          <cell r="L1894" t="str">
            <v>RODRIGO</v>
          </cell>
          <cell r="M1894" t="str">
            <v>VAGO NORDESTE</v>
          </cell>
        </row>
        <row r="1895">
          <cell r="B1895">
            <v>5342732</v>
          </cell>
          <cell r="C1895" t="str">
            <v>CHIENI COMERCIO DE ALIMENTOS LT</v>
          </cell>
          <cell r="D1895">
            <v>7001</v>
          </cell>
          <cell r="E1895" t="str">
            <v>0749</v>
          </cell>
          <cell r="F1895" t="str">
            <v>C5</v>
          </cell>
          <cell r="G1895" t="str">
            <v>SP</v>
          </cell>
          <cell r="H1895" t="str">
            <v>DISTRIBUIÇÃO</v>
          </cell>
          <cell r="I1895" t="str">
            <v>FOOD SERVICE</v>
          </cell>
          <cell r="J1895" t="str">
            <v>FLAC 3</v>
          </cell>
          <cell r="K1895" t="str">
            <v>LACTALIS</v>
          </cell>
          <cell r="L1895" t="str">
            <v>RODRIGO</v>
          </cell>
          <cell r="M1895" t="str">
            <v>ALEXANDRO</v>
          </cell>
        </row>
        <row r="1896">
          <cell r="B1896">
            <v>5346518</v>
          </cell>
          <cell r="C1896" t="str">
            <v>LAGO DOS SONHOS POUS E REST LTD</v>
          </cell>
          <cell r="D1896">
            <v>7001</v>
          </cell>
          <cell r="E1896" t="str">
            <v>0749</v>
          </cell>
          <cell r="F1896" t="str">
            <v>C5</v>
          </cell>
          <cell r="G1896" t="str">
            <v>SP</v>
          </cell>
          <cell r="H1896" t="str">
            <v>DISTRIBUIÇÃO</v>
          </cell>
          <cell r="I1896" t="str">
            <v>FOOD SERVICE</v>
          </cell>
          <cell r="J1896" t="str">
            <v>FLAC 3</v>
          </cell>
          <cell r="K1896" t="str">
            <v>LACTALIS</v>
          </cell>
          <cell r="L1896" t="str">
            <v>RODRIGO</v>
          </cell>
          <cell r="M1896" t="str">
            <v>ALEXANDRO</v>
          </cell>
        </row>
        <row r="1897">
          <cell r="B1897">
            <v>5115814</v>
          </cell>
          <cell r="C1897" t="str">
            <v>HAND BAKER DIST DE PROD P PANIF EIR</v>
          </cell>
          <cell r="D1897">
            <v>6001</v>
          </cell>
          <cell r="E1897" t="str">
            <v>6169</v>
          </cell>
          <cell r="F1897" t="str">
            <v>C1</v>
          </cell>
          <cell r="G1897" t="str">
            <v>RJ</v>
          </cell>
          <cell r="H1897" t="str">
            <v>DISTRIBUIÇÃO</v>
          </cell>
          <cell r="I1897" t="str">
            <v>FOOD SERVICE</v>
          </cell>
          <cell r="J1897" t="str">
            <v>JULIANA CORDEIRO</v>
          </cell>
          <cell r="K1897" t="str">
            <v>ITAMBÉ</v>
          </cell>
          <cell r="L1897" t="str">
            <v>RODRIGO</v>
          </cell>
          <cell r="M1897" t="str">
            <v>JESSICA</v>
          </cell>
        </row>
        <row r="1898">
          <cell r="B1898">
            <v>5019245</v>
          </cell>
          <cell r="C1898" t="str">
            <v>FRUTT CENTER DIST P FRUTAS FRIOS EI</v>
          </cell>
          <cell r="D1898">
            <v>6001</v>
          </cell>
          <cell r="E1898" t="str">
            <v>6123</v>
          </cell>
          <cell r="F1898" t="str">
            <v>C1</v>
          </cell>
          <cell r="G1898" t="str">
            <v>GO</v>
          </cell>
          <cell r="H1898" t="str">
            <v>DISTRIBUIÇÃO</v>
          </cell>
          <cell r="I1898" t="str">
            <v>FOOD SERVICE</v>
          </cell>
          <cell r="J1898" t="str">
            <v>CLAUDIO JORGE</v>
          </cell>
          <cell r="K1898" t="str">
            <v>ITAMBÉ</v>
          </cell>
          <cell r="L1898" t="str">
            <v>RODRIGO</v>
          </cell>
          <cell r="M1898" t="str">
            <v>MARCO AURELIO</v>
          </cell>
        </row>
        <row r="1899">
          <cell r="B1899">
            <v>5025237</v>
          </cell>
          <cell r="C1899" t="str">
            <v>LIOTECNICA TECNOLOGIA</v>
          </cell>
          <cell r="D1899">
            <v>4001</v>
          </cell>
          <cell r="E1899" t="str">
            <v>0455</v>
          </cell>
          <cell r="F1899" t="str">
            <v>C1</v>
          </cell>
          <cell r="G1899" t="str">
            <v>SP</v>
          </cell>
          <cell r="H1899" t="str">
            <v>INGREDIENTS</v>
          </cell>
          <cell r="I1899" t="str">
            <v>INGREDIENTS</v>
          </cell>
          <cell r="J1899" t="str">
            <v>MARCELO RODRIGUES</v>
          </cell>
          <cell r="K1899" t="str">
            <v>LACTALIS</v>
          </cell>
          <cell r="L1899" t="str">
            <v>MAURICIO</v>
          </cell>
          <cell r="M1899" t="str">
            <v>MARCELO</v>
          </cell>
        </row>
        <row r="1900">
          <cell r="B1900">
            <v>5138292</v>
          </cell>
          <cell r="C1900" t="str">
            <v>AROMITALIA DO BRASIL LTDA</v>
          </cell>
          <cell r="D1900">
            <v>4001</v>
          </cell>
          <cell r="E1900" t="str">
            <v>0456</v>
          </cell>
          <cell r="F1900" t="str">
            <v>C1</v>
          </cell>
          <cell r="G1900" t="str">
            <v>SC</v>
          </cell>
          <cell r="H1900" t="str">
            <v>INGREDIENTS</v>
          </cell>
          <cell r="I1900" t="str">
            <v>INGREDIENTS</v>
          </cell>
          <cell r="J1900" t="str">
            <v>MARCELO RODRIGUES</v>
          </cell>
          <cell r="K1900" t="str">
            <v>LACTALIS</v>
          </cell>
          <cell r="L1900" t="str">
            <v>MAURICIO</v>
          </cell>
          <cell r="M1900" t="str">
            <v>MARCELO</v>
          </cell>
        </row>
        <row r="1901">
          <cell r="B1901">
            <v>5194928</v>
          </cell>
          <cell r="C1901" t="str">
            <v>LUCIANA APARECIDA CORREA TOLEDO</v>
          </cell>
          <cell r="D1901">
            <v>3001</v>
          </cell>
          <cell r="E1901" t="str">
            <v>0028</v>
          </cell>
          <cell r="F1901" t="str">
            <v>C1</v>
          </cell>
          <cell r="G1901" t="str">
            <v>MG</v>
          </cell>
          <cell r="H1901" t="str">
            <v>DISTRIBUIÇÃO</v>
          </cell>
          <cell r="I1901" t="str">
            <v>FOOD SERVICE</v>
          </cell>
          <cell r="J1901" t="str">
            <v>MARCELO SILVA</v>
          </cell>
          <cell r="K1901" t="str">
            <v>ITAMBÉ</v>
          </cell>
          <cell r="L1901" t="str">
            <v>RODRIGO</v>
          </cell>
          <cell r="M1901" t="str">
            <v>CELIO MARTINS</v>
          </cell>
        </row>
        <row r="1902">
          <cell r="B1902">
            <v>5339186</v>
          </cell>
          <cell r="C1902" t="str">
            <v>ISRAEL YAMANISHI DOS REIS</v>
          </cell>
          <cell r="D1902">
            <v>6001</v>
          </cell>
          <cell r="E1902" t="str">
            <v>6028</v>
          </cell>
          <cell r="F1902" t="str">
            <v>C1</v>
          </cell>
          <cell r="G1902" t="str">
            <v>SP</v>
          </cell>
          <cell r="H1902" t="str">
            <v>INGREDIENTS</v>
          </cell>
          <cell r="I1902" t="str">
            <v>INGREDIENTS</v>
          </cell>
          <cell r="J1902" t="str">
            <v>DUAS RODAS</v>
          </cell>
          <cell r="K1902" t="str">
            <v>ITAMBÉ</v>
          </cell>
          <cell r="L1902" t="str">
            <v>MAURICIO</v>
          </cell>
          <cell r="M1902" t="str">
            <v>TATIANA NITTA</v>
          </cell>
        </row>
        <row r="1903">
          <cell r="B1903">
            <v>5346856</v>
          </cell>
          <cell r="C1903" t="str">
            <v>CANTTY GELLY DOIS LTDA</v>
          </cell>
          <cell r="D1903">
            <v>6001</v>
          </cell>
          <cell r="E1903" t="str">
            <v>6028</v>
          </cell>
          <cell r="F1903" t="str">
            <v>C1</v>
          </cell>
          <cell r="G1903" t="str">
            <v>SP</v>
          </cell>
          <cell r="H1903" t="str">
            <v>INGREDIENTS</v>
          </cell>
          <cell r="I1903" t="str">
            <v>INGREDIENTS</v>
          </cell>
          <cell r="J1903" t="str">
            <v>DUAS RODAS</v>
          </cell>
          <cell r="K1903" t="str">
            <v>ITAMBÉ</v>
          </cell>
          <cell r="L1903" t="str">
            <v>MAURICIO</v>
          </cell>
          <cell r="M1903" t="str">
            <v>TATIANA NITTA</v>
          </cell>
        </row>
        <row r="1904">
          <cell r="B1904">
            <v>5346909</v>
          </cell>
          <cell r="C1904" t="str">
            <v>LIOTECNICA TECNOLOGIA</v>
          </cell>
          <cell r="D1904">
            <v>4001</v>
          </cell>
          <cell r="E1904" t="str">
            <v>0455</v>
          </cell>
          <cell r="F1904" t="str">
            <v>C1</v>
          </cell>
          <cell r="G1904" t="str">
            <v>SP</v>
          </cell>
          <cell r="H1904" t="str">
            <v>INGREDIENTS</v>
          </cell>
          <cell r="I1904" t="str">
            <v>INGREDIENTS</v>
          </cell>
          <cell r="J1904" t="str">
            <v>MARCELO RODRIGUES</v>
          </cell>
          <cell r="K1904" t="str">
            <v>LACTALIS</v>
          </cell>
          <cell r="L1904" t="str">
            <v>MAURICIO</v>
          </cell>
          <cell r="M1904" t="str">
            <v>MARCELO</v>
          </cell>
        </row>
        <row r="1905">
          <cell r="B1905">
            <v>5346650</v>
          </cell>
          <cell r="C1905" t="str">
            <v>R&amp;R COMERCIO DE CHOCOLATES LTDA</v>
          </cell>
          <cell r="D1905">
            <v>7001</v>
          </cell>
          <cell r="E1905" t="str">
            <v>0749</v>
          </cell>
          <cell r="F1905" t="str">
            <v>C5</v>
          </cell>
          <cell r="G1905" t="str">
            <v>SP</v>
          </cell>
          <cell r="H1905" t="str">
            <v>DISTRIBUIÇÃO</v>
          </cell>
          <cell r="I1905" t="str">
            <v>FOOD SERVICE</v>
          </cell>
          <cell r="J1905" t="str">
            <v>FLAC 6</v>
          </cell>
          <cell r="K1905" t="str">
            <v>LACTALIS</v>
          </cell>
          <cell r="L1905" t="str">
            <v>RODRIGO</v>
          </cell>
          <cell r="M1905" t="str">
            <v>ALEXANDRO</v>
          </cell>
        </row>
        <row r="1906">
          <cell r="B1906">
            <v>5346866</v>
          </cell>
          <cell r="C1906" t="str">
            <v>APISNUTRI PRODUTOS ALIMENTICIOS</v>
          </cell>
          <cell r="D1906">
            <v>4001</v>
          </cell>
          <cell r="E1906" t="str">
            <v>0455</v>
          </cell>
          <cell r="F1906" t="str">
            <v>C1</v>
          </cell>
          <cell r="G1906" t="str">
            <v>PR</v>
          </cell>
          <cell r="H1906" t="str">
            <v>INGREDIENTS</v>
          </cell>
          <cell r="I1906" t="str">
            <v>INGREDIENTS</v>
          </cell>
          <cell r="J1906" t="str">
            <v>MARCELO RODRIGUES</v>
          </cell>
          <cell r="K1906" t="str">
            <v>LACTALIS</v>
          </cell>
          <cell r="L1906" t="str">
            <v>MAURICIO</v>
          </cell>
          <cell r="M1906" t="str">
            <v>MARCELO</v>
          </cell>
        </row>
        <row r="1907">
          <cell r="B1907">
            <v>5115189</v>
          </cell>
          <cell r="C1907" t="str">
            <v>STA DISTRIBUIDORA DE ALIMENTOS LTDA</v>
          </cell>
          <cell r="D1907">
            <v>6001</v>
          </cell>
          <cell r="E1907" t="str">
            <v>6123</v>
          </cell>
          <cell r="F1907" t="str">
            <v>C1</v>
          </cell>
          <cell r="G1907" t="str">
            <v>GO</v>
          </cell>
          <cell r="H1907" t="str">
            <v>DISTRIBUIÇÃO</v>
          </cell>
          <cell r="I1907" t="str">
            <v>FOOD SERVICE</v>
          </cell>
          <cell r="J1907" t="str">
            <v>CLAUDIO JORGE/MARIA LAURA</v>
          </cell>
          <cell r="K1907" t="str">
            <v>ITAMBÉ</v>
          </cell>
          <cell r="L1907" t="str">
            <v>RODRIGO</v>
          </cell>
          <cell r="M1907" t="str">
            <v>MARCO AURELIO</v>
          </cell>
        </row>
        <row r="1908">
          <cell r="B1908">
            <v>5182828</v>
          </cell>
          <cell r="C1908" t="str">
            <v>AMORIX ALIMENTOS LTDA</v>
          </cell>
          <cell r="D1908">
            <v>6001</v>
          </cell>
          <cell r="E1908" t="str">
            <v>6123</v>
          </cell>
          <cell r="F1908" t="str">
            <v>C1</v>
          </cell>
          <cell r="G1908" t="str">
            <v>GO</v>
          </cell>
          <cell r="H1908" t="str">
            <v>DISTRIBUIÇÃO</v>
          </cell>
          <cell r="I1908" t="str">
            <v>FOOD SERVICE</v>
          </cell>
          <cell r="J1908" t="str">
            <v>CLAUDIO JORGE</v>
          </cell>
          <cell r="K1908" t="str">
            <v>ITAMBÉ</v>
          </cell>
          <cell r="L1908" t="str">
            <v>RODRIGO</v>
          </cell>
          <cell r="M1908" t="str">
            <v>MARCO AURELIO</v>
          </cell>
        </row>
        <row r="1909">
          <cell r="B1909">
            <v>5232803</v>
          </cell>
          <cell r="C1909" t="str">
            <v>L GONZAGA MIX AMBIENTAL</v>
          </cell>
          <cell r="D1909">
            <v>3001</v>
          </cell>
          <cell r="E1909" t="str">
            <v>0125</v>
          </cell>
          <cell r="F1909" t="str">
            <v>C1</v>
          </cell>
          <cell r="G1909" t="str">
            <v>SP</v>
          </cell>
          <cell r="H1909" t="str">
            <v>INGREDIENTS</v>
          </cell>
          <cell r="I1909" t="str">
            <v>INGREDIENTS</v>
          </cell>
          <cell r="J1909" t="str">
            <v>HENRIQUE FERREIRA</v>
          </cell>
          <cell r="K1909" t="str">
            <v>ITAMBÉ</v>
          </cell>
          <cell r="L1909" t="str">
            <v>MAURICIO</v>
          </cell>
          <cell r="M1909" t="str">
            <v>JOEL</v>
          </cell>
        </row>
        <row r="1910">
          <cell r="B1910">
            <v>5004685</v>
          </cell>
          <cell r="C1910" t="str">
            <v>DINIZ COM ATAC DE PROD ALIM LTDA</v>
          </cell>
          <cell r="D1910" t="str">
            <v>7001</v>
          </cell>
          <cell r="E1910" t="str">
            <v>0722</v>
          </cell>
          <cell r="F1910" t="str">
            <v>C1</v>
          </cell>
          <cell r="G1910" t="str">
            <v>SP</v>
          </cell>
          <cell r="H1910" t="str">
            <v>DISTRIBUIÇÃO</v>
          </cell>
          <cell r="I1910" t="str">
            <v>FOOD SERVICE</v>
          </cell>
          <cell r="J1910" t="str">
            <v>ALEXANDRO RODRIGUES</v>
          </cell>
          <cell r="K1910" t="str">
            <v>LACTALIS</v>
          </cell>
          <cell r="L1910" t="str">
            <v>RODRIGO</v>
          </cell>
          <cell r="M1910" t="str">
            <v>ALEXANDRO</v>
          </cell>
        </row>
        <row r="1911">
          <cell r="B1911">
            <v>5165963</v>
          </cell>
          <cell r="C1911" t="str">
            <v>SORVEMIX COMERCIO DE ALIM LTDA</v>
          </cell>
          <cell r="D1911" t="str">
            <v>6001</v>
          </cell>
          <cell r="E1911" t="str">
            <v>6028</v>
          </cell>
          <cell r="F1911" t="str">
            <v>C1</v>
          </cell>
          <cell r="G1911" t="str">
            <v>SP</v>
          </cell>
          <cell r="H1911" t="str">
            <v>INGREDIENTS</v>
          </cell>
          <cell r="I1911" t="str">
            <v>INGREDIENTS</v>
          </cell>
          <cell r="J1911" t="str">
            <v>DUAS RODAS</v>
          </cell>
          <cell r="K1911" t="str">
            <v>ITAMBÉ</v>
          </cell>
          <cell r="L1911" t="str">
            <v>MAURICIO</v>
          </cell>
          <cell r="M1911" t="str">
            <v>TATIANA NITTA</v>
          </cell>
        </row>
        <row r="1912">
          <cell r="B1912">
            <v>5346855</v>
          </cell>
          <cell r="C1912" t="str">
            <v>IND E COMERCIO DE SORVETES NEVA</v>
          </cell>
          <cell r="D1912" t="str">
            <v>6001</v>
          </cell>
          <cell r="E1912" t="str">
            <v>6028</v>
          </cell>
          <cell r="F1912" t="str">
            <v>C1</v>
          </cell>
          <cell r="G1912" t="str">
            <v>SP</v>
          </cell>
          <cell r="H1912" t="str">
            <v>INGREDIENTS</v>
          </cell>
          <cell r="I1912" t="str">
            <v>INGREDIENTS</v>
          </cell>
          <cell r="J1912" t="str">
            <v>DUAS RODAS</v>
          </cell>
          <cell r="K1912" t="str">
            <v>ITAMBÉ</v>
          </cell>
          <cell r="L1912" t="str">
            <v>MAURICIO</v>
          </cell>
          <cell r="M1912" t="str">
            <v>MARCELO</v>
          </cell>
        </row>
        <row r="1913">
          <cell r="B1913">
            <v>5346868</v>
          </cell>
          <cell r="C1913" t="str">
            <v>AMADELLI ALIMENTOS LTDA</v>
          </cell>
          <cell r="D1913" t="str">
            <v>4001</v>
          </cell>
          <cell r="E1913" t="str">
            <v>0455</v>
          </cell>
          <cell r="F1913" t="str">
            <v>C1</v>
          </cell>
          <cell r="G1913" t="str">
            <v>PR</v>
          </cell>
          <cell r="H1913" t="str">
            <v>INGREDIENTS</v>
          </cell>
          <cell r="I1913" t="str">
            <v>INGREDIENTS</v>
          </cell>
          <cell r="J1913" t="str">
            <v>MARCELO RODRIGUES</v>
          </cell>
          <cell r="K1913" t="str">
            <v>LACTALIS</v>
          </cell>
          <cell r="L1913" t="str">
            <v>MAURICIO</v>
          </cell>
          <cell r="M1913" t="str">
            <v>MARCELO</v>
          </cell>
        </row>
        <row r="1914">
          <cell r="B1914">
            <v>5323305</v>
          </cell>
          <cell r="C1914" t="str">
            <v>SUNBAEE RESTAURANTE EVENTOS TRE</v>
          </cell>
          <cell r="D1914" t="str">
            <v>7001</v>
          </cell>
          <cell r="E1914" t="str">
            <v>0749</v>
          </cell>
          <cell r="F1914" t="str">
            <v>C5</v>
          </cell>
          <cell r="G1914" t="str">
            <v>SP</v>
          </cell>
          <cell r="H1914" t="str">
            <v>DISTRIBUIÇÃO</v>
          </cell>
          <cell r="I1914" t="str">
            <v>FOOD SERVICE</v>
          </cell>
          <cell r="J1914" t="str">
            <v>FLAC 6</v>
          </cell>
          <cell r="K1914" t="str">
            <v>LACTALIS</v>
          </cell>
          <cell r="L1914" t="str">
            <v>RODRIGO</v>
          </cell>
          <cell r="M1914" t="str">
            <v>ALEXANDRO</v>
          </cell>
        </row>
        <row r="1915">
          <cell r="B1915">
            <v>5346682</v>
          </cell>
          <cell r="C1915" t="str">
            <v>CENTER NORTE HOTELARIA SA</v>
          </cell>
          <cell r="D1915" t="str">
            <v>7001</v>
          </cell>
          <cell r="E1915" t="str">
            <v>0749</v>
          </cell>
          <cell r="F1915" t="str">
            <v>C5</v>
          </cell>
          <cell r="G1915" t="str">
            <v>SP</v>
          </cell>
          <cell r="H1915" t="str">
            <v>DISTRIBUIÇÃO</v>
          </cell>
          <cell r="I1915" t="str">
            <v>FOOD SERVICE</v>
          </cell>
          <cell r="J1915" t="str">
            <v>FLAC 6</v>
          </cell>
          <cell r="K1915" t="str">
            <v>LACTALIS</v>
          </cell>
          <cell r="L1915" t="str">
            <v>RODRIGO</v>
          </cell>
          <cell r="M1915" t="str">
            <v>ALEXANDRO</v>
          </cell>
        </row>
        <row r="1916">
          <cell r="B1916">
            <v>5019245</v>
          </cell>
          <cell r="C1916" t="str">
            <v>FRUTT CENTER DIST P FRUTAS FRIOS EI</v>
          </cell>
          <cell r="D1916" t="str">
            <v>6001</v>
          </cell>
          <cell r="E1916" t="str">
            <v>0123</v>
          </cell>
          <cell r="F1916" t="str">
            <v>C1</v>
          </cell>
          <cell r="G1916" t="str">
            <v>GO</v>
          </cell>
          <cell r="H1916" t="str">
            <v>DISTRIBUIÇÃO</v>
          </cell>
          <cell r="I1916" t="str">
            <v>FOOD SERVICE</v>
          </cell>
          <cell r="J1916" t="str">
            <v>CLAUDIO JORGE</v>
          </cell>
          <cell r="K1916" t="str">
            <v>ITAMBÉ</v>
          </cell>
          <cell r="L1916" t="str">
            <v>RODRIGO</v>
          </cell>
          <cell r="M1916" t="str">
            <v>MARCO AURELIO</v>
          </cell>
        </row>
        <row r="1917">
          <cell r="B1917">
            <v>5114516</v>
          </cell>
          <cell r="C1917" t="str">
            <v>ATELIER DOS SABORES IND DE ALIM</v>
          </cell>
          <cell r="D1917" t="str">
            <v>6001</v>
          </cell>
          <cell r="E1917" t="str">
            <v>6028</v>
          </cell>
          <cell r="F1917" t="str">
            <v>C1</v>
          </cell>
          <cell r="G1917" t="str">
            <v>RJ</v>
          </cell>
          <cell r="H1917" t="str">
            <v>INGREDIENTS</v>
          </cell>
          <cell r="I1917" t="str">
            <v>INGREDIENTS</v>
          </cell>
          <cell r="J1917" t="str">
            <v>TATIANA NITTA</v>
          </cell>
          <cell r="K1917" t="str">
            <v>ITAMBÉ</v>
          </cell>
          <cell r="L1917" t="str">
            <v>MAURICIO</v>
          </cell>
          <cell r="M1917" t="str">
            <v>TATIANA NITTA</v>
          </cell>
        </row>
        <row r="1918">
          <cell r="B1918">
            <v>5115189</v>
          </cell>
          <cell r="C1918" t="str">
            <v>STA DISTRIBUIDORA DE ALIMENTOS LTDA</v>
          </cell>
          <cell r="D1918" t="str">
            <v>6001</v>
          </cell>
          <cell r="E1918" t="str">
            <v>0123</v>
          </cell>
          <cell r="F1918" t="str">
            <v>C1</v>
          </cell>
          <cell r="G1918" t="str">
            <v>GO</v>
          </cell>
          <cell r="H1918" t="str">
            <v>DISTRIBUIÇÃO</v>
          </cell>
          <cell r="I1918" t="str">
            <v>FOOD SERVICE</v>
          </cell>
          <cell r="J1918" t="str">
            <v>CLAUDIO JORGE/MARIA LAURA</v>
          </cell>
          <cell r="K1918" t="str">
            <v>ITAMBÉ</v>
          </cell>
          <cell r="L1918" t="str">
            <v>RODRIGO</v>
          </cell>
          <cell r="M1918" t="str">
            <v>MARCO AURELIO</v>
          </cell>
        </row>
        <row r="1919">
          <cell r="B1919">
            <v>5149588</v>
          </cell>
          <cell r="C1919" t="str">
            <v>LUA NOVA IND E COM PROD ALIM LT</v>
          </cell>
          <cell r="D1919" t="str">
            <v>3001</v>
          </cell>
          <cell r="E1919" t="str">
            <v>0028</v>
          </cell>
          <cell r="F1919" t="str">
            <v>C1</v>
          </cell>
          <cell r="G1919" t="str">
            <v>PR</v>
          </cell>
          <cell r="H1919" t="str">
            <v>INGREDIENTS</v>
          </cell>
          <cell r="I1919" t="str">
            <v>INGREDIENTS</v>
          </cell>
          <cell r="J1919" t="str">
            <v>TATIANA NITTA</v>
          </cell>
          <cell r="K1919" t="str">
            <v>ITAMBÉ</v>
          </cell>
          <cell r="L1919" t="str">
            <v>MAURICIO</v>
          </cell>
          <cell r="M1919" t="str">
            <v>TATIANA NITTA</v>
          </cell>
        </row>
        <row r="1920">
          <cell r="B1920">
            <v>5167579</v>
          </cell>
          <cell r="C1920" t="str">
            <v>SR PAO PANIFICACAO ALIM CONGELADOS</v>
          </cell>
          <cell r="D1920" t="str">
            <v>3001</v>
          </cell>
          <cell r="E1920" t="str">
            <v>0028</v>
          </cell>
          <cell r="F1920" t="str">
            <v>C1</v>
          </cell>
          <cell r="G1920" t="str">
            <v>SC</v>
          </cell>
          <cell r="H1920" t="str">
            <v>INGREDIENTS</v>
          </cell>
          <cell r="I1920" t="str">
            <v>INGREDIENTS</v>
          </cell>
          <cell r="J1920" t="str">
            <v>MARCELO RODRIGUES</v>
          </cell>
          <cell r="K1920" t="str">
            <v>ITAMBÉ</v>
          </cell>
          <cell r="L1920" t="str">
            <v>MAURICIO</v>
          </cell>
          <cell r="M1920" t="str">
            <v>MARCELO</v>
          </cell>
        </row>
        <row r="1921">
          <cell r="B1921">
            <v>5171400</v>
          </cell>
          <cell r="C1921" t="str">
            <v>PANIBRASIL MASSAS CONGELADAS LT</v>
          </cell>
          <cell r="D1921" t="str">
            <v>6001</v>
          </cell>
          <cell r="E1921" t="str">
            <v>6028</v>
          </cell>
          <cell r="F1921" t="str">
            <v>C1</v>
          </cell>
          <cell r="G1921" t="str">
            <v>SP</v>
          </cell>
          <cell r="H1921" t="str">
            <v>INGREDIENTS</v>
          </cell>
          <cell r="I1921" t="str">
            <v>INGREDIENTS</v>
          </cell>
          <cell r="J1921" t="str">
            <v>HENRIQUE FERREIRA</v>
          </cell>
          <cell r="K1921" t="str">
            <v>ITAMBÉ</v>
          </cell>
          <cell r="L1921" t="str">
            <v>MAURICIO</v>
          </cell>
          <cell r="M1921" t="str">
            <v>JOEL</v>
          </cell>
        </row>
        <row r="1922">
          <cell r="B1922">
            <v>5181144</v>
          </cell>
          <cell r="C1922" t="str">
            <v>INDUSTRIA DE SORVETES CAMAGIVA LTDA</v>
          </cell>
          <cell r="D1922" t="str">
            <v>6001</v>
          </cell>
          <cell r="E1922" t="str">
            <v>6028</v>
          </cell>
          <cell r="F1922" t="str">
            <v>C1</v>
          </cell>
          <cell r="G1922" t="str">
            <v>SP</v>
          </cell>
          <cell r="H1922" t="str">
            <v>INGREDIENTS</v>
          </cell>
          <cell r="I1922" t="str">
            <v>INGREDIENTS</v>
          </cell>
          <cell r="J1922" t="str">
            <v>TATIANA NITTA</v>
          </cell>
          <cell r="K1922" t="str">
            <v>ITAMBÉ</v>
          </cell>
          <cell r="L1922" t="str">
            <v>MAURICIO</v>
          </cell>
          <cell r="M1922" t="str">
            <v>TATIANA NITTA</v>
          </cell>
        </row>
        <row r="1923">
          <cell r="B1923">
            <v>5182828</v>
          </cell>
          <cell r="C1923" t="str">
            <v>AMORIX ALIMENTOS LTDA</v>
          </cell>
          <cell r="D1923" t="str">
            <v>6001</v>
          </cell>
          <cell r="E1923" t="str">
            <v>0123</v>
          </cell>
          <cell r="F1923" t="str">
            <v>C1</v>
          </cell>
          <cell r="G1923" t="str">
            <v>GO</v>
          </cell>
          <cell r="H1923" t="str">
            <v>DISTRIBUIÇÃO</v>
          </cell>
          <cell r="I1923" t="str">
            <v>FOOD SERVICE</v>
          </cell>
          <cell r="J1923" t="str">
            <v>CLAUDIO JORGE</v>
          </cell>
          <cell r="K1923" t="str">
            <v>ITAMBÉ</v>
          </cell>
          <cell r="L1923" t="str">
            <v>RODRIGO</v>
          </cell>
          <cell r="M1923" t="str">
            <v>MARCO AURELIO</v>
          </cell>
        </row>
        <row r="1924">
          <cell r="B1924">
            <v>5218012</v>
          </cell>
          <cell r="C1924" t="str">
            <v>ACAI LITORAL NORTE INDUSTRIA E</v>
          </cell>
          <cell r="D1924" t="str">
            <v>6001</v>
          </cell>
          <cell r="E1924" t="str">
            <v>6127</v>
          </cell>
          <cell r="F1924" t="str">
            <v>C1</v>
          </cell>
          <cell r="G1924" t="str">
            <v>BA</v>
          </cell>
          <cell r="H1924" t="str">
            <v>DISTRIBUIÇÃO</v>
          </cell>
          <cell r="I1924" t="str">
            <v>FOOD SERVICE</v>
          </cell>
          <cell r="J1924" t="str">
            <v xml:space="preserve">KARIS FOOD / LUIZ </v>
          </cell>
          <cell r="K1924" t="str">
            <v>ITAMBÉ</v>
          </cell>
          <cell r="L1924" t="str">
            <v>RODRIGO</v>
          </cell>
          <cell r="M1924" t="str">
            <v>VAGO NORDESTE</v>
          </cell>
        </row>
        <row r="1925">
          <cell r="B1925">
            <v>5229467</v>
          </cell>
          <cell r="C1925" t="str">
            <v>GEBON SORVETES LTDA</v>
          </cell>
          <cell r="D1925" t="str">
            <v>3001</v>
          </cell>
          <cell r="E1925" t="str">
            <v>0028</v>
          </cell>
          <cell r="F1925" t="str">
            <v>C1</v>
          </cell>
          <cell r="G1925" t="str">
            <v>PR</v>
          </cell>
          <cell r="H1925" t="str">
            <v>INGREDIENTS</v>
          </cell>
          <cell r="I1925" t="str">
            <v>INGREDIENTS</v>
          </cell>
          <cell r="J1925" t="str">
            <v>MARCELO RODRIGUES</v>
          </cell>
          <cell r="K1925" t="str">
            <v>ITAMBÉ</v>
          </cell>
          <cell r="L1925" t="str">
            <v>MAURICIO</v>
          </cell>
          <cell r="M1925" t="str">
            <v>MARCELO</v>
          </cell>
        </row>
        <row r="1926">
          <cell r="B1926">
            <v>5339799</v>
          </cell>
          <cell r="C1926" t="str">
            <v>MENDES ARMAZEM E HORTIFRUTI LTD</v>
          </cell>
          <cell r="D1926" t="str">
            <v>7001</v>
          </cell>
          <cell r="E1926" t="str">
            <v>0749</v>
          </cell>
          <cell r="F1926" t="str">
            <v>C5</v>
          </cell>
          <cell r="G1926" t="str">
            <v>SP</v>
          </cell>
          <cell r="H1926" t="str">
            <v>DISTRIBUIÇÃO</v>
          </cell>
          <cell r="I1926" t="str">
            <v>FOOD SERVICE</v>
          </cell>
          <cell r="J1926" t="str">
            <v>FLAC 7</v>
          </cell>
          <cell r="K1926" t="str">
            <v>LACTALIS</v>
          </cell>
          <cell r="L1926" t="str">
            <v>RODRIGO</v>
          </cell>
          <cell r="M1926" t="str">
            <v>ALEXANDRO</v>
          </cell>
        </row>
        <row r="1927">
          <cell r="B1927">
            <v>5344035</v>
          </cell>
          <cell r="C1927" t="str">
            <v>MINI MERCADO INAJAR LTDA</v>
          </cell>
          <cell r="D1927" t="str">
            <v>7001</v>
          </cell>
          <cell r="E1927" t="str">
            <v>0749</v>
          </cell>
          <cell r="F1927" t="str">
            <v>C5</v>
          </cell>
          <cell r="G1927" t="str">
            <v>SP</v>
          </cell>
          <cell r="H1927" t="str">
            <v>DISTRIBUIÇÃO</v>
          </cell>
          <cell r="I1927" t="str">
            <v>FOOD SERVICE</v>
          </cell>
          <cell r="J1927" t="str">
            <v>FLAC 4</v>
          </cell>
          <cell r="K1927" t="str">
            <v>LACTALIS</v>
          </cell>
          <cell r="L1927" t="str">
            <v>RODRIGO</v>
          </cell>
          <cell r="M1927" t="str">
            <v>ALEXANDRO</v>
          </cell>
        </row>
        <row r="1928">
          <cell r="B1928">
            <v>5346989</v>
          </cell>
          <cell r="C1928" t="str">
            <v>LEONI ALIMENTOS LTDA</v>
          </cell>
          <cell r="D1928" t="str">
            <v>7001</v>
          </cell>
          <cell r="E1928" t="str">
            <v>0749</v>
          </cell>
          <cell r="F1928" t="str">
            <v>C5</v>
          </cell>
          <cell r="G1928" t="str">
            <v>SP</v>
          </cell>
          <cell r="H1928" t="str">
            <v>DISTRIBUIÇÃO</v>
          </cell>
          <cell r="I1928" t="str">
            <v>FOOD SERVICE</v>
          </cell>
          <cell r="J1928" t="str">
            <v>FLAC 7</v>
          </cell>
          <cell r="K1928" t="str">
            <v>LACTALIS</v>
          </cell>
          <cell r="L1928" t="str">
            <v>RODRIGO</v>
          </cell>
          <cell r="M1928" t="str">
            <v>ALEXANDRO</v>
          </cell>
        </row>
        <row r="1929">
          <cell r="B1929">
            <v>5347237</v>
          </cell>
          <cell r="C1929" t="str">
            <v>MEXICALETTA SORVETES LTDA</v>
          </cell>
          <cell r="D1929" t="str">
            <v>6001</v>
          </cell>
          <cell r="E1929" t="str">
            <v>6028</v>
          </cell>
          <cell r="F1929" t="str">
            <v>C1</v>
          </cell>
          <cell r="G1929" t="str">
            <v>SP</v>
          </cell>
          <cell r="H1929" t="str">
            <v>INGREDIENTS</v>
          </cell>
          <cell r="I1929" t="str">
            <v>INGREDIENTS</v>
          </cell>
          <cell r="J1929" t="str">
            <v>DUAS RODAS</v>
          </cell>
          <cell r="K1929" t="str">
            <v>ITAMBÉ</v>
          </cell>
          <cell r="L1929" t="str">
            <v>MAURICIO</v>
          </cell>
          <cell r="M1929" t="str">
            <v>TATIANA NITTA</v>
          </cell>
        </row>
        <row r="1930">
          <cell r="B1930">
            <v>5130738</v>
          </cell>
          <cell r="C1930" t="str">
            <v>ODAIR JOSE DA SILVA COUTO 88212</v>
          </cell>
          <cell r="D1930" t="str">
            <v>6001</v>
          </cell>
          <cell r="E1930" t="str">
            <v>6127</v>
          </cell>
          <cell r="F1930" t="str">
            <v>C1</v>
          </cell>
          <cell r="G1930" t="str">
            <v>BA</v>
          </cell>
          <cell r="H1930" t="str">
            <v>DISTRIBUIÇÃO</v>
          </cell>
          <cell r="I1930" t="str">
            <v>FOOD SERVICE</v>
          </cell>
          <cell r="J1930" t="str">
            <v xml:space="preserve">KARIS FOOD / LUIZ </v>
          </cell>
          <cell r="K1930" t="str">
            <v>ITAMBÉ</v>
          </cell>
          <cell r="L1930" t="str">
            <v>RODRIGO</v>
          </cell>
          <cell r="M1930" t="str">
            <v>VAGO NORDESTE</v>
          </cell>
        </row>
        <row r="1931">
          <cell r="B1931">
            <v>5182903</v>
          </cell>
          <cell r="C1931" t="str">
            <v>CERVINO E MARTINEZ LTDA</v>
          </cell>
          <cell r="D1931" t="str">
            <v>6001</v>
          </cell>
          <cell r="E1931" t="str">
            <v>6127</v>
          </cell>
          <cell r="F1931" t="str">
            <v>C1</v>
          </cell>
          <cell r="G1931" t="str">
            <v>BA</v>
          </cell>
          <cell r="H1931" t="str">
            <v>DISTRIBUIÇÃO</v>
          </cell>
          <cell r="I1931" t="str">
            <v>FOOD SERVICE</v>
          </cell>
          <cell r="J1931" t="str">
            <v xml:space="preserve">KARIS FOOD / LUIZ </v>
          </cell>
          <cell r="K1931" t="str">
            <v>ITAMBÉ</v>
          </cell>
          <cell r="L1931" t="str">
            <v>RODRIGO</v>
          </cell>
          <cell r="M1931" t="str">
            <v>VAGO NORDESTE</v>
          </cell>
        </row>
        <row r="1932">
          <cell r="B1932">
            <v>5346654</v>
          </cell>
          <cell r="C1932" t="str">
            <v>PIRAPORA COMERCIO DE CHOCOLATES</v>
          </cell>
          <cell r="D1932" t="str">
            <v>7001</v>
          </cell>
          <cell r="E1932" t="str">
            <v>0749</v>
          </cell>
          <cell r="F1932" t="str">
            <v>C5</v>
          </cell>
          <cell r="G1932" t="str">
            <v>SP</v>
          </cell>
          <cell r="H1932" t="str">
            <v>DISTRIBUIÇÃO</v>
          </cell>
          <cell r="I1932" t="str">
            <v>FOOD SERVICE</v>
          </cell>
          <cell r="J1932" t="str">
            <v>FLAC 6</v>
          </cell>
          <cell r="K1932" t="str">
            <v>LACTALIS</v>
          </cell>
          <cell r="L1932" t="str">
            <v>RODRIGO</v>
          </cell>
          <cell r="M1932" t="str">
            <v>ALEXANDRO</v>
          </cell>
        </row>
        <row r="1933">
          <cell r="B1933">
            <v>5346808</v>
          </cell>
          <cell r="C1933" t="str">
            <v>AZ ALIMENTOS SAUDAVEIS LTDA</v>
          </cell>
          <cell r="D1933" t="str">
            <v>3001</v>
          </cell>
          <cell r="E1933" t="str">
            <v>0126</v>
          </cell>
          <cell r="F1933" t="str">
            <v>C1</v>
          </cell>
          <cell r="G1933" t="str">
            <v>PR</v>
          </cell>
          <cell r="H1933" t="str">
            <v>DISTRIBUIÇÃO</v>
          </cell>
          <cell r="I1933" t="str">
            <v>FOOD SERVICE</v>
          </cell>
          <cell r="J1933" t="str">
            <v>ANTÔNIO SOUZA</v>
          </cell>
          <cell r="K1933" t="str">
            <v>ITAMBÉ</v>
          </cell>
          <cell r="L1933" t="str">
            <v>RODRIGO</v>
          </cell>
          <cell r="M1933" t="str">
            <v>VAGO SUL</v>
          </cell>
        </row>
        <row r="1934">
          <cell r="B1934">
            <v>5347317</v>
          </cell>
          <cell r="C1934" t="str">
            <v>TXC CAFE LTDA</v>
          </cell>
          <cell r="D1934" t="str">
            <v>7001</v>
          </cell>
          <cell r="E1934" t="str">
            <v>0749</v>
          </cell>
          <cell r="F1934" t="str">
            <v>C5</v>
          </cell>
          <cell r="G1934" t="str">
            <v>SP</v>
          </cell>
          <cell r="H1934" t="str">
            <v>DISTRIBUIÇÃO</v>
          </cell>
          <cell r="I1934" t="str">
            <v>FOOD SERVICE</v>
          </cell>
          <cell r="J1934" t="str">
            <v>FLAC 3</v>
          </cell>
          <cell r="K1934" t="str">
            <v>LACTALIS</v>
          </cell>
          <cell r="L1934" t="str">
            <v>RODRIGO</v>
          </cell>
          <cell r="M1934" t="str">
            <v>ALEXANDRO</v>
          </cell>
        </row>
        <row r="1935">
          <cell r="B1935">
            <v>5332489</v>
          </cell>
          <cell r="C1935" t="str">
            <v>DSA COMERCIAL DE ALIMENTOS LTDA</v>
          </cell>
          <cell r="D1935" t="str">
            <v>6001</v>
          </cell>
          <cell r="E1935" t="str">
            <v>6127</v>
          </cell>
          <cell r="F1935" t="str">
            <v>C1</v>
          </cell>
          <cell r="G1935" t="str">
            <v>BA</v>
          </cell>
          <cell r="H1935" t="str">
            <v>DISTRIBUIÇÃO</v>
          </cell>
          <cell r="I1935" t="str">
            <v>FOOD SERVICE</v>
          </cell>
          <cell r="J1935" t="str">
            <v xml:space="preserve">KARIS FOOD / LUIZ </v>
          </cell>
          <cell r="K1935" t="str">
            <v>ITAMBÉ</v>
          </cell>
          <cell r="L1935" t="str">
            <v>RODRIGO</v>
          </cell>
          <cell r="M1935" t="str">
            <v>VAGO NORDESTE</v>
          </cell>
        </row>
        <row r="1936">
          <cell r="B1936">
            <v>5346113</v>
          </cell>
          <cell r="C1936" t="str">
            <v>ARILU DISTRIBUIDORA SA</v>
          </cell>
          <cell r="D1936" t="str">
            <v>3001</v>
          </cell>
          <cell r="E1936" t="str">
            <v>0126</v>
          </cell>
          <cell r="F1936" t="str">
            <v>C1</v>
          </cell>
          <cell r="G1936" t="str">
            <v>PR</v>
          </cell>
          <cell r="H1936" t="str">
            <v>DISTRIBUIÇÃO</v>
          </cell>
          <cell r="I1936" t="str">
            <v>FOOD SERVICE</v>
          </cell>
          <cell r="J1936" t="str">
            <v>ANTÔNIO SOUZA</v>
          </cell>
          <cell r="K1936" t="str">
            <v>ITAMBÉ</v>
          </cell>
          <cell r="L1936" t="str">
            <v>RODRIGO</v>
          </cell>
          <cell r="M1936" t="str">
            <v>VAGO SUL</v>
          </cell>
        </row>
        <row r="1937">
          <cell r="B1937">
            <v>5346113</v>
          </cell>
          <cell r="C1937" t="str">
            <v>ARILU DISTRIBUIDORA SA</v>
          </cell>
          <cell r="D1937" t="str">
            <v>4001</v>
          </cell>
          <cell r="E1937" t="str">
            <v>0455</v>
          </cell>
          <cell r="F1937" t="str">
            <v>C1</v>
          </cell>
          <cell r="G1937" t="str">
            <v>PR</v>
          </cell>
          <cell r="H1937" t="str">
            <v>DISTRIBUIÇÃO</v>
          </cell>
          <cell r="I1937" t="str">
            <v>FOOD SERVICE</v>
          </cell>
          <cell r="J1937" t="str">
            <v>ANTÔNIO SOUZA</v>
          </cell>
          <cell r="K1937" t="str">
            <v>LACTALIS</v>
          </cell>
          <cell r="L1937" t="str">
            <v>RODRIGO</v>
          </cell>
          <cell r="M1937" t="str">
            <v>VAGO SUL</v>
          </cell>
        </row>
        <row r="1938">
          <cell r="B1938">
            <v>5023770</v>
          </cell>
          <cell r="C1938" t="str">
            <v>SOLMAR DIST DE ALIMENTOS LTDA</v>
          </cell>
          <cell r="D1938" t="str">
            <v>6001</v>
          </cell>
          <cell r="E1938" t="str">
            <v>6075</v>
          </cell>
          <cell r="F1938" t="str">
            <v>C1</v>
          </cell>
          <cell r="G1938" t="str">
            <v>CE</v>
          </cell>
          <cell r="H1938" t="str">
            <v>DISTRIBUIÇÃO</v>
          </cell>
          <cell r="I1938" t="str">
            <v>FOOD SERVICE</v>
          </cell>
          <cell r="J1938" t="str">
            <v>WH FOOD SERVICE CE</v>
          </cell>
          <cell r="K1938" t="str">
            <v>ITAMBÉ</v>
          </cell>
          <cell r="L1938" t="str">
            <v>RODRIGO</v>
          </cell>
          <cell r="M1938" t="str">
            <v>VAGO NORDESTE</v>
          </cell>
        </row>
        <row r="1939">
          <cell r="B1939">
            <v>5200105</v>
          </cell>
          <cell r="C1939" t="str">
            <v>NPEREIRA IMPORTACAO E COMERCIO</v>
          </cell>
          <cell r="D1939" t="str">
            <v>6001</v>
          </cell>
          <cell r="E1939" t="str">
            <v>6125</v>
          </cell>
          <cell r="F1939" t="str">
            <v>C1</v>
          </cell>
          <cell r="G1939" t="str">
            <v>SP</v>
          </cell>
          <cell r="H1939" t="str">
            <v>DISTRIBUIÇÃO</v>
          </cell>
          <cell r="I1939" t="str">
            <v>FOOD SERVICE</v>
          </cell>
          <cell r="J1939" t="str">
            <v>VAGO SP - INTERIOR</v>
          </cell>
          <cell r="K1939" t="str">
            <v>ITAMBÉ</v>
          </cell>
          <cell r="L1939" t="str">
            <v>RODRIGO</v>
          </cell>
          <cell r="M1939" t="str">
            <v>ALEXANDRO</v>
          </cell>
        </row>
        <row r="1940">
          <cell r="B1940">
            <v>5218945</v>
          </cell>
          <cell r="C1940" t="str">
            <v>MAIS LEVE C DE ALIMENTOS SAUDAV</v>
          </cell>
          <cell r="D1940" t="str">
            <v>6001</v>
          </cell>
          <cell r="E1940" t="str">
            <v>6127</v>
          </cell>
          <cell r="F1940" t="str">
            <v>C1</v>
          </cell>
          <cell r="G1940" t="str">
            <v>BA</v>
          </cell>
          <cell r="H1940" t="str">
            <v>DISTRIBUIÇÃO</v>
          </cell>
          <cell r="I1940" t="str">
            <v>FOOD SERVICE</v>
          </cell>
          <cell r="J1940" t="str">
            <v xml:space="preserve">KARIS FOOD / LUIZ </v>
          </cell>
          <cell r="K1940" t="str">
            <v>ITAMBÉ</v>
          </cell>
          <cell r="L1940" t="str">
            <v>RODRIGO</v>
          </cell>
          <cell r="M1940" t="str">
            <v>VAGO NORDESTE</v>
          </cell>
        </row>
        <row r="1941">
          <cell r="B1941">
            <v>5220189</v>
          </cell>
          <cell r="C1941" t="str">
            <v>SORVETES CORONADO LTDA</v>
          </cell>
          <cell r="D1941" t="str">
            <v>6001</v>
          </cell>
          <cell r="E1941" t="str">
            <v>6127</v>
          </cell>
          <cell r="F1941" t="str">
            <v>C1</v>
          </cell>
          <cell r="G1941" t="str">
            <v>BA</v>
          </cell>
          <cell r="H1941" t="str">
            <v>DISTRIBUIÇÃO</v>
          </cell>
          <cell r="I1941" t="str">
            <v>FOOD SERVICE</v>
          </cell>
          <cell r="J1941" t="str">
            <v xml:space="preserve">KARIS FOOD / LUIZ </v>
          </cell>
          <cell r="K1941" t="str">
            <v>ITAMBÉ</v>
          </cell>
          <cell r="L1941" t="str">
            <v>RODRIGO</v>
          </cell>
          <cell r="M1941" t="str">
            <v>VAGO NORDESTE</v>
          </cell>
        </row>
        <row r="1942">
          <cell r="B1942">
            <v>5200068</v>
          </cell>
          <cell r="C1942" t="str">
            <v>GULA COM DE REF E BEB LTDA</v>
          </cell>
          <cell r="D1942" t="str">
            <v>6001</v>
          </cell>
          <cell r="E1942" t="str">
            <v>6127</v>
          </cell>
          <cell r="F1942" t="str">
            <v>C1</v>
          </cell>
          <cell r="G1942" t="str">
            <v>CE</v>
          </cell>
          <cell r="H1942" t="str">
            <v>DISTRIBUIÇÃO</v>
          </cell>
          <cell r="I1942" t="str">
            <v>FOOD SERVICE</v>
          </cell>
          <cell r="J1942" t="str">
            <v>WH FOOD SERVICE CE</v>
          </cell>
          <cell r="K1942" t="str">
            <v>ITAMBÉ</v>
          </cell>
          <cell r="L1942" t="str">
            <v>RODRIGO</v>
          </cell>
          <cell r="M1942" t="str">
            <v>VAGO NORDESTE</v>
          </cell>
        </row>
        <row r="1943">
          <cell r="B1943">
            <v>5230045</v>
          </cell>
          <cell r="C1943" t="str">
            <v>DN SHAKES COMERCIO DE ALIM LTDA</v>
          </cell>
          <cell r="D1943" t="str">
            <v>3001</v>
          </cell>
          <cell r="E1943" t="str">
            <v>0028</v>
          </cell>
          <cell r="F1943" t="str">
            <v>C1</v>
          </cell>
          <cell r="G1943" t="str">
            <v>RS</v>
          </cell>
          <cell r="H1943" t="str">
            <v>INGREDIENTS</v>
          </cell>
          <cell r="I1943" t="str">
            <v>INGREDIENTS</v>
          </cell>
          <cell r="J1943" t="str">
            <v>DUAS RODAS</v>
          </cell>
          <cell r="K1943" t="str">
            <v>ITAMBÉ</v>
          </cell>
          <cell r="L1943" t="str">
            <v>MAURICIO</v>
          </cell>
          <cell r="M1943" t="str">
            <v>MARCELO</v>
          </cell>
        </row>
        <row r="1944">
          <cell r="B1944">
            <v>5230104</v>
          </cell>
          <cell r="C1944" t="str">
            <v>FC DISTRIBUIDORA DE CHOCOLATES</v>
          </cell>
          <cell r="D1944" t="str">
            <v>4001</v>
          </cell>
          <cell r="E1944" t="str">
            <v>0455</v>
          </cell>
          <cell r="F1944" t="str">
            <v>C1</v>
          </cell>
          <cell r="G1944" t="str">
            <v>PR</v>
          </cell>
          <cell r="H1944" t="str">
            <v>DISTRIBUIÇÃO</v>
          </cell>
          <cell r="I1944" t="str">
            <v>FOOD SERVICE</v>
          </cell>
          <cell r="J1944" t="str">
            <v>ANTÔNIO SOUZA</v>
          </cell>
          <cell r="K1944" t="str">
            <v>LACTALIS</v>
          </cell>
          <cell r="L1944" t="str">
            <v>RODRIGO</v>
          </cell>
          <cell r="M1944" t="str">
            <v>VAGO SUL</v>
          </cell>
        </row>
        <row r="1945">
          <cell r="B1945">
            <v>5309624</v>
          </cell>
          <cell r="C1945" t="str">
            <v>TATIANE RABELO CAMPELO</v>
          </cell>
          <cell r="D1945" t="str">
            <v>6001</v>
          </cell>
          <cell r="E1945" t="str">
            <v>6127</v>
          </cell>
          <cell r="F1945" t="str">
            <v>C1</v>
          </cell>
          <cell r="G1945" t="str">
            <v>CE</v>
          </cell>
          <cell r="H1945" t="str">
            <v>DISTRIBUIÇÃO</v>
          </cell>
          <cell r="I1945" t="str">
            <v>FOOD SERVICE</v>
          </cell>
          <cell r="J1945" t="str">
            <v>WH FOOD SERVICE CE</v>
          </cell>
          <cell r="K1945" t="str">
            <v>ITAMBÉ</v>
          </cell>
          <cell r="L1945" t="str">
            <v>RODRIGO</v>
          </cell>
          <cell r="M1945" t="str">
            <v>VAGO NORDESTE</v>
          </cell>
        </row>
        <row r="1946">
          <cell r="B1946">
            <v>5346672</v>
          </cell>
          <cell r="C1946" t="str">
            <v>V. ANDRADE DA SILVA PROMO DE VE</v>
          </cell>
          <cell r="D1946" t="str">
            <v>7001</v>
          </cell>
          <cell r="E1946" t="str">
            <v>0722</v>
          </cell>
          <cell r="F1946" t="str">
            <v>C1</v>
          </cell>
          <cell r="G1946" t="str">
            <v>SP</v>
          </cell>
          <cell r="H1946" t="str">
            <v>DISTRIBUIÇÃO</v>
          </cell>
          <cell r="I1946" t="str">
            <v>FOOD SERVICE</v>
          </cell>
          <cell r="J1946" t="str">
            <v>GUILHERME NASCIMENTO</v>
          </cell>
          <cell r="K1946" t="str">
            <v>LACTALIS</v>
          </cell>
          <cell r="L1946" t="str">
            <v>RODRIGO</v>
          </cell>
          <cell r="M1946" t="str">
            <v>ALEXANDRO</v>
          </cell>
        </row>
        <row r="1947">
          <cell r="B1947">
            <v>5346823</v>
          </cell>
          <cell r="C1947" t="str">
            <v>FOOD SOCIETY HG VOLANO LTDA</v>
          </cell>
          <cell r="D1947" t="str">
            <v>7001</v>
          </cell>
          <cell r="E1947" t="str">
            <v>0749</v>
          </cell>
          <cell r="F1947" t="str">
            <v>C5</v>
          </cell>
          <cell r="G1947" t="str">
            <v>SP</v>
          </cell>
          <cell r="H1947" t="str">
            <v>DISTRIBUIÇÃO</v>
          </cell>
          <cell r="I1947" t="str">
            <v>FOOD SERVICE</v>
          </cell>
          <cell r="J1947" t="str">
            <v>FLAC 6</v>
          </cell>
          <cell r="K1947" t="str">
            <v>LACTALIS</v>
          </cell>
          <cell r="L1947" t="str">
            <v>RODRIGO</v>
          </cell>
          <cell r="M1947" t="str">
            <v>ALEXANDRO</v>
          </cell>
        </row>
        <row r="1948">
          <cell r="B1948">
            <v>5346844</v>
          </cell>
          <cell r="C1948" t="str">
            <v>ALLAMANDA 223 PAES E DOCES ARTE</v>
          </cell>
          <cell r="D1948" t="str">
            <v>7001</v>
          </cell>
          <cell r="E1948" t="str">
            <v>0749</v>
          </cell>
          <cell r="F1948" t="str">
            <v>C5</v>
          </cell>
          <cell r="G1948" t="str">
            <v>SP</v>
          </cell>
          <cell r="H1948" t="str">
            <v>DISTRIBUIÇÃO</v>
          </cell>
          <cell r="I1948" t="str">
            <v>FOOD SERVICE</v>
          </cell>
          <cell r="J1948" t="str">
            <v>FLAC 2</v>
          </cell>
          <cell r="K1948" t="str">
            <v>LACTALIS</v>
          </cell>
          <cell r="L1948" t="str">
            <v>RODRIGO</v>
          </cell>
          <cell r="M1948" t="str">
            <v>ALEXANDRO</v>
          </cell>
        </row>
        <row r="1949">
          <cell r="B1949">
            <v>5182672</v>
          </cell>
          <cell r="C1949" t="str">
            <v>INDUSTRIA DE SORVETES GELUY LTD</v>
          </cell>
          <cell r="D1949" t="str">
            <v>3001</v>
          </cell>
          <cell r="E1949" t="str">
            <v>0028</v>
          </cell>
          <cell r="F1949" t="str">
            <v>C1</v>
          </cell>
          <cell r="G1949" t="str">
            <v>SC</v>
          </cell>
          <cell r="H1949" t="str">
            <v>INGREDIENTS</v>
          </cell>
          <cell r="I1949" t="str">
            <v>INGREDIENTS</v>
          </cell>
          <cell r="J1949" t="str">
            <v>DUAS RODAS</v>
          </cell>
          <cell r="K1949" t="str">
            <v>ITAMBÉ</v>
          </cell>
          <cell r="L1949" t="str">
            <v>MAURICIO</v>
          </cell>
          <cell r="M1949" t="str">
            <v>MARCELO</v>
          </cell>
        </row>
        <row r="1950">
          <cell r="B1950">
            <v>5206064</v>
          </cell>
          <cell r="C1950" t="str">
            <v>JCA ALIMENTOS CONGELADOS LTDA</v>
          </cell>
          <cell r="D1950" t="str">
            <v>7001</v>
          </cell>
          <cell r="E1950" t="str">
            <v>0722</v>
          </cell>
          <cell r="F1950" t="str">
            <v>C1</v>
          </cell>
          <cell r="G1950" t="str">
            <v>SP</v>
          </cell>
          <cell r="H1950" t="str">
            <v>DISTRIBUIÇÃO</v>
          </cell>
          <cell r="I1950" t="str">
            <v>FOOD SERVICE</v>
          </cell>
          <cell r="J1950" t="str">
            <v>LUCAS ANDRADE</v>
          </cell>
          <cell r="K1950" t="str">
            <v>LACTALIS</v>
          </cell>
          <cell r="L1950" t="str">
            <v>RODRIGO</v>
          </cell>
          <cell r="M1950" t="str">
            <v>RAQUEL BARBOSA</v>
          </cell>
        </row>
        <row r="1951">
          <cell r="B1951">
            <v>5248149</v>
          </cell>
          <cell r="C1951" t="str">
            <v>BATEL GRILL FRANGO CARNES MASSA</v>
          </cell>
          <cell r="D1951" t="str">
            <v>4001</v>
          </cell>
          <cell r="E1951" t="str">
            <v>0455</v>
          </cell>
          <cell r="F1951" t="str">
            <v>C1</v>
          </cell>
          <cell r="G1951" t="str">
            <v>PR</v>
          </cell>
          <cell r="H1951" t="str">
            <v>DISTRIBUIÇÃO</v>
          </cell>
          <cell r="I1951" t="str">
            <v>FOOD SERVICE</v>
          </cell>
          <cell r="J1951" t="str">
            <v>ANTÔNIO SOUZA</v>
          </cell>
          <cell r="K1951" t="str">
            <v>LACTALIS</v>
          </cell>
          <cell r="L1951" t="str">
            <v>RODRIGO</v>
          </cell>
          <cell r="M1951" t="str">
            <v>VAGO SUL</v>
          </cell>
        </row>
        <row r="1952">
          <cell r="B1952">
            <v>5273497</v>
          </cell>
          <cell r="C1952" t="str">
            <v>GRIFFOOD BRASIL ALIMENTOS SA</v>
          </cell>
          <cell r="D1952" t="str">
            <v>4001</v>
          </cell>
          <cell r="E1952" t="str">
            <v>0437</v>
          </cell>
          <cell r="F1952" t="str">
            <v>C1</v>
          </cell>
          <cell r="G1952" t="str">
            <v>SP</v>
          </cell>
          <cell r="H1952" t="str">
            <v>INGREDIENTS</v>
          </cell>
          <cell r="I1952" t="str">
            <v>INGREDIENTS</v>
          </cell>
          <cell r="J1952" t="str">
            <v>JOEL ELEOTÉRIO</v>
          </cell>
          <cell r="K1952" t="str">
            <v>LACTALIS</v>
          </cell>
          <cell r="L1952" t="str">
            <v>MAURICIO</v>
          </cell>
          <cell r="M1952" t="str">
            <v>JOEL</v>
          </cell>
        </row>
        <row r="1953">
          <cell r="B1953">
            <v>5347517</v>
          </cell>
          <cell r="C1953" t="str">
            <v>JJ MARKET LTDA</v>
          </cell>
          <cell r="D1953" t="str">
            <v>7001</v>
          </cell>
          <cell r="E1953" t="str">
            <v>0749</v>
          </cell>
          <cell r="F1953" t="str">
            <v>C5</v>
          </cell>
          <cell r="G1953" t="str">
            <v>SP</v>
          </cell>
          <cell r="H1953" t="str">
            <v>DISTRIBUIÇÃO</v>
          </cell>
          <cell r="I1953" t="str">
            <v>FOOD SERVICE</v>
          </cell>
          <cell r="J1953" t="str">
            <v>FLAC 3</v>
          </cell>
          <cell r="K1953" t="str">
            <v>LACTALIS</v>
          </cell>
          <cell r="L1953" t="str">
            <v>RODRIGO</v>
          </cell>
          <cell r="M1953" t="str">
            <v>ALEXANDRO</v>
          </cell>
        </row>
        <row r="1954">
          <cell r="B1954">
            <v>5164138</v>
          </cell>
          <cell r="C1954" t="str">
            <v>MILFRIOS DISTR DE PROD ALIM LTDA</v>
          </cell>
          <cell r="D1954" t="str">
            <v>6001</v>
          </cell>
          <cell r="E1954" t="str">
            <v>6127</v>
          </cell>
          <cell r="F1954" t="str">
            <v>C1</v>
          </cell>
          <cell r="G1954" t="str">
            <v>CE</v>
          </cell>
          <cell r="H1954" t="str">
            <v>DISTRIBUIÇÃO</v>
          </cell>
          <cell r="I1954" t="str">
            <v>FOOD SERVICE</v>
          </cell>
          <cell r="J1954" t="str">
            <v>WH FOOD SERVICE CE</v>
          </cell>
          <cell r="K1954" t="str">
            <v>ITAMBÉ</v>
          </cell>
          <cell r="L1954" t="str">
            <v>RODRIGO</v>
          </cell>
          <cell r="M1954" t="str">
            <v>VAGO NORDESTE</v>
          </cell>
        </row>
        <row r="1955">
          <cell r="B1955">
            <v>5347143</v>
          </cell>
          <cell r="C1955" t="str">
            <v>STERCI E STERCI RESTAURANTE LTD</v>
          </cell>
          <cell r="D1955" t="str">
            <v>7001</v>
          </cell>
          <cell r="E1955" t="str">
            <v>0749</v>
          </cell>
          <cell r="F1955" t="str">
            <v>C5</v>
          </cell>
          <cell r="G1955" t="str">
            <v>SP</v>
          </cell>
          <cell r="H1955" t="str">
            <v>DISTRIBUIÇÃO</v>
          </cell>
          <cell r="I1955" t="str">
            <v>FOOD SERVICE</v>
          </cell>
          <cell r="J1955" t="str">
            <v>FLAC 2</v>
          </cell>
          <cell r="K1955" t="str">
            <v>LACTALIS</v>
          </cell>
          <cell r="L1955" t="str">
            <v>RODRIGO</v>
          </cell>
          <cell r="M1955" t="str">
            <v>ALEXANDRO</v>
          </cell>
        </row>
        <row r="1956">
          <cell r="B1956">
            <v>5347675</v>
          </cell>
          <cell r="C1956" t="str">
            <v>SABOR IDEAL SERVICOS DE ALIMENT</v>
          </cell>
          <cell r="D1956" t="str">
            <v>7001</v>
          </cell>
          <cell r="E1956" t="str">
            <v>0749</v>
          </cell>
          <cell r="F1956" t="str">
            <v>C5</v>
          </cell>
          <cell r="G1956" t="str">
            <v>SP</v>
          </cell>
          <cell r="H1956" t="str">
            <v>DISTRIBUIÇÃO</v>
          </cell>
          <cell r="I1956" t="str">
            <v>FOOD SERVICE</v>
          </cell>
          <cell r="J1956" t="str">
            <v>FLAC 2</v>
          </cell>
          <cell r="K1956" t="str">
            <v>LACTALIS</v>
          </cell>
          <cell r="L1956" t="str">
            <v>RODRIGO</v>
          </cell>
          <cell r="M1956" t="str">
            <v>ALEXANDRO</v>
          </cell>
        </row>
        <row r="1957">
          <cell r="B1957">
            <v>5129364</v>
          </cell>
          <cell r="C1957" t="str">
            <v>VEP FROZEN FOODS IMPORT E EXPORT LT</v>
          </cell>
          <cell r="D1957" t="str">
            <v>6001</v>
          </cell>
          <cell r="E1957" t="str">
            <v>6028</v>
          </cell>
          <cell r="F1957" t="str">
            <v>C1</v>
          </cell>
          <cell r="G1957" t="str">
            <v>SP</v>
          </cell>
          <cell r="H1957" t="str">
            <v>INGREDIENTS</v>
          </cell>
          <cell r="I1957" t="str">
            <v>INGREDIENTS</v>
          </cell>
          <cell r="J1957" t="str">
            <v>TATIANA NITTA</v>
          </cell>
          <cell r="K1957" t="str">
            <v>ITAMBÉ</v>
          </cell>
          <cell r="L1957" t="str">
            <v>MAURICIO</v>
          </cell>
          <cell r="M1957" t="str">
            <v>TATIANA NITTA</v>
          </cell>
        </row>
        <row r="1958">
          <cell r="B1958">
            <v>5217383</v>
          </cell>
          <cell r="C1958" t="str">
            <v>FRUTAL INDUSTRIA E COMERCIO LTD</v>
          </cell>
          <cell r="D1958" t="str">
            <v>4001</v>
          </cell>
          <cell r="E1958" t="str">
            <v>0437</v>
          </cell>
          <cell r="F1958" t="str">
            <v>C1</v>
          </cell>
          <cell r="G1958" t="str">
            <v>AM</v>
          </cell>
          <cell r="H1958" t="str">
            <v>INGREDIENTS</v>
          </cell>
          <cell r="I1958" t="str">
            <v>INGREDIENTS</v>
          </cell>
          <cell r="J1958" t="str">
            <v>JOEL ELEOTÉRIO</v>
          </cell>
          <cell r="K1958" t="str">
            <v>LACTALIS</v>
          </cell>
          <cell r="L1958" t="str">
            <v>MAURICIO</v>
          </cell>
          <cell r="M1958" t="str">
            <v>JOEL</v>
          </cell>
        </row>
        <row r="1959">
          <cell r="B1959">
            <v>5027658</v>
          </cell>
          <cell r="C1959" t="str">
            <v>OESA COMERCIO E REPRESENTACOES</v>
          </cell>
          <cell r="D1959" t="str">
            <v>4001</v>
          </cell>
          <cell r="E1959" t="str">
            <v>0456</v>
          </cell>
          <cell r="F1959" t="str">
            <v>C1</v>
          </cell>
          <cell r="G1959" t="str">
            <v>SC</v>
          </cell>
          <cell r="H1959" t="str">
            <v>DISTRIBUIÇÃO</v>
          </cell>
          <cell r="I1959" t="str">
            <v>FOOD SERVICE</v>
          </cell>
          <cell r="J1959" t="str">
            <v>ANTÔNIO SOUZA</v>
          </cell>
          <cell r="K1959" t="str">
            <v>LACTALIS</v>
          </cell>
          <cell r="L1959" t="str">
            <v>RODRIGO</v>
          </cell>
          <cell r="M1959" t="str">
            <v>VAGO SUL</v>
          </cell>
        </row>
        <row r="1960">
          <cell r="B1960">
            <v>5229527</v>
          </cell>
          <cell r="C1960" t="str">
            <v>BJ COMERCIO E INDUSTRIA DE SORV</v>
          </cell>
          <cell r="D1960" t="str">
            <v>3001</v>
          </cell>
          <cell r="E1960" t="str">
            <v>0028</v>
          </cell>
          <cell r="F1960" t="str">
            <v>C1</v>
          </cell>
          <cell r="G1960" t="str">
            <v>AM</v>
          </cell>
          <cell r="H1960" t="str">
            <v>INGREDIENTS</v>
          </cell>
          <cell r="I1960" t="str">
            <v>INGREDIENTS</v>
          </cell>
          <cell r="J1960" t="str">
            <v>DUAS RODAS</v>
          </cell>
          <cell r="K1960" t="str">
            <v>ITAMBÉ</v>
          </cell>
          <cell r="L1960" t="str">
            <v>MAURICIO</v>
          </cell>
          <cell r="M1960" t="str">
            <v>JOEL</v>
          </cell>
        </row>
        <row r="1961">
          <cell r="B1961">
            <v>5340656</v>
          </cell>
          <cell r="C1961" t="str">
            <v>ATRIA PRODUTOS ALIMENTICIOS LTD</v>
          </cell>
          <cell r="D1961" t="str">
            <v>7001</v>
          </cell>
          <cell r="E1961" t="str">
            <v>0722</v>
          </cell>
          <cell r="F1961" t="str">
            <v>C1</v>
          </cell>
          <cell r="G1961" t="str">
            <v>SP</v>
          </cell>
          <cell r="H1961" t="str">
            <v>DISTRIBUIÇÃO</v>
          </cell>
          <cell r="I1961" t="str">
            <v>FOOD SERVICE</v>
          </cell>
          <cell r="J1961" t="str">
            <v>GUILHERME NASCIMENTO</v>
          </cell>
          <cell r="K1961" t="str">
            <v>LACTALIS</v>
          </cell>
          <cell r="L1961" t="str">
            <v>RODRIGO</v>
          </cell>
          <cell r="M1961" t="str">
            <v>ALEXANDRO</v>
          </cell>
        </row>
        <row r="1962">
          <cell r="B1962">
            <v>5347472</v>
          </cell>
          <cell r="C1962" t="str">
            <v>ASSOCIACAO HOSPITALAR PLATINUM</v>
          </cell>
          <cell r="D1962" t="str">
            <v>7001</v>
          </cell>
          <cell r="E1962" t="str">
            <v>0749</v>
          </cell>
          <cell r="F1962" t="str">
            <v>C5</v>
          </cell>
          <cell r="G1962" t="str">
            <v>SP</v>
          </cell>
          <cell r="H1962" t="str">
            <v>DISTRIBUIÇÃO</v>
          </cell>
          <cell r="I1962" t="str">
            <v>FOOD SERVICE</v>
          </cell>
          <cell r="J1962" t="str">
            <v>FLAC 3</v>
          </cell>
          <cell r="K1962" t="str">
            <v>LACTALIS</v>
          </cell>
          <cell r="L1962" t="str">
            <v>RODRIGO</v>
          </cell>
          <cell r="M1962" t="str">
            <v>ALEXANDRO</v>
          </cell>
        </row>
        <row r="1963">
          <cell r="B1963">
            <v>5347523</v>
          </cell>
          <cell r="C1963" t="str">
            <v>ACZ CAFE EXPRESSO LTDA</v>
          </cell>
          <cell r="D1963" t="str">
            <v>7001</v>
          </cell>
          <cell r="E1963" t="str">
            <v>0749</v>
          </cell>
          <cell r="F1963" t="str">
            <v>C5</v>
          </cell>
          <cell r="G1963" t="str">
            <v>SP</v>
          </cell>
          <cell r="H1963" t="str">
            <v>DISTRIBUIÇÃO</v>
          </cell>
          <cell r="I1963" t="str">
            <v>FOOD SERVICE</v>
          </cell>
          <cell r="J1963" t="str">
            <v>FLAC 5</v>
          </cell>
          <cell r="K1963" t="str">
            <v>LACTALIS</v>
          </cell>
          <cell r="L1963" t="str">
            <v>RODRIGO</v>
          </cell>
          <cell r="M1963" t="str">
            <v>ALEXANDRO</v>
          </cell>
        </row>
        <row r="1964">
          <cell r="B1964">
            <v>5347794</v>
          </cell>
          <cell r="C1964" t="str">
            <v>MUNIR ABDALLA KASSEM</v>
          </cell>
          <cell r="D1964" t="str">
            <v>7001</v>
          </cell>
          <cell r="E1964" t="str">
            <v>0749</v>
          </cell>
          <cell r="F1964" t="str">
            <v>C5</v>
          </cell>
          <cell r="G1964" t="str">
            <v>SP</v>
          </cell>
          <cell r="H1964" t="str">
            <v>DISTRIBUIÇÃO</v>
          </cell>
          <cell r="I1964" t="str">
            <v>FOOD SERVICE</v>
          </cell>
          <cell r="J1964" t="str">
            <v>FLAC 6</v>
          </cell>
          <cell r="K1964" t="str">
            <v>LACTALIS</v>
          </cell>
          <cell r="L1964" t="str">
            <v>RODRIGO</v>
          </cell>
          <cell r="M1964" t="str">
            <v>ALEXANDRO</v>
          </cell>
        </row>
        <row r="1965">
          <cell r="B1965">
            <v>5114175</v>
          </cell>
          <cell r="C1965" t="str">
            <v>ANDRADE E FILGUEIRAS ROTISSERIE</v>
          </cell>
          <cell r="D1965" t="str">
            <v>6001</v>
          </cell>
          <cell r="E1965" t="str">
            <v>6028</v>
          </cell>
          <cell r="F1965" t="str">
            <v>C1</v>
          </cell>
          <cell r="G1965" t="str">
            <v>SP</v>
          </cell>
          <cell r="H1965" t="str">
            <v>INGREDIENTS</v>
          </cell>
          <cell r="I1965" t="str">
            <v>INGREDIENTS</v>
          </cell>
          <cell r="J1965" t="str">
            <v>TATIANA NITTA</v>
          </cell>
          <cell r="K1965" t="str">
            <v>ITAMBÉ</v>
          </cell>
          <cell r="L1965" t="str">
            <v>MAURICIO</v>
          </cell>
          <cell r="M1965" t="str">
            <v>TATIANA NITTA</v>
          </cell>
        </row>
        <row r="1966">
          <cell r="B1966">
            <v>5314201</v>
          </cell>
          <cell r="C1966" t="str">
            <v>ACAI MAIS INDUSTRIA E COMERCIO</v>
          </cell>
          <cell r="D1966" t="str">
            <v>6001</v>
          </cell>
          <cell r="E1966" t="str">
            <v>6009</v>
          </cell>
          <cell r="F1966" t="str">
            <v>C1</v>
          </cell>
          <cell r="G1966" t="str">
            <v>BA</v>
          </cell>
          <cell r="H1966" t="str">
            <v>DISTRIBUIÇÃO</v>
          </cell>
          <cell r="I1966" t="str">
            <v>FOOD SERVICE</v>
          </cell>
          <cell r="J1966" t="str">
            <v xml:space="preserve">KARIS FOOD / LUIZ </v>
          </cell>
          <cell r="K1966" t="str">
            <v>ITAMBÉ</v>
          </cell>
          <cell r="L1966" t="str">
            <v>RODRIGO</v>
          </cell>
          <cell r="M1966" t="str">
            <v>VAGO NORDESTE</v>
          </cell>
        </row>
        <row r="1967">
          <cell r="B1967">
            <v>5165046</v>
          </cell>
          <cell r="C1967" t="str">
            <v>SLOOP IND COM DE ALIM LTDA</v>
          </cell>
          <cell r="D1967" t="str">
            <v>6001</v>
          </cell>
          <cell r="E1967" t="str">
            <v>6028</v>
          </cell>
          <cell r="F1967" t="str">
            <v>C1</v>
          </cell>
          <cell r="G1967" t="str">
            <v>RJ</v>
          </cell>
          <cell r="H1967" t="str">
            <v>INGREDIENTS</v>
          </cell>
          <cell r="I1967" t="str">
            <v>INGREDIENTS</v>
          </cell>
          <cell r="J1967" t="str">
            <v>HENRIQUE FERREIRA</v>
          </cell>
          <cell r="K1967" t="str">
            <v>ITAMBÉ</v>
          </cell>
          <cell r="L1967" t="str">
            <v>MAURICIO</v>
          </cell>
          <cell r="M1967" t="str">
            <v>JOEL</v>
          </cell>
        </row>
        <row r="1968">
          <cell r="B1968">
            <v>5318356</v>
          </cell>
          <cell r="C1968" t="str">
            <v>M DIAS BRANCO S A</v>
          </cell>
          <cell r="D1968" t="str">
            <v>4001</v>
          </cell>
          <cell r="E1968" t="str">
            <v>0437</v>
          </cell>
          <cell r="F1968" t="str">
            <v>C1</v>
          </cell>
          <cell r="G1968" t="str">
            <v>BA</v>
          </cell>
          <cell r="H1968" t="str">
            <v>INGREDIENTS</v>
          </cell>
          <cell r="I1968" t="str">
            <v>INGREDIENTS</v>
          </cell>
          <cell r="J1968" t="str">
            <v>JOEL ELEOTÉRIO</v>
          </cell>
          <cell r="K1968" t="str">
            <v>LACTALIS</v>
          </cell>
          <cell r="L1968" t="str">
            <v>MAURICIO</v>
          </cell>
          <cell r="M1968" t="str">
            <v>JOEL</v>
          </cell>
        </row>
        <row r="1969">
          <cell r="B1969">
            <v>5347458</v>
          </cell>
          <cell r="C1969" t="str">
            <v>LALLEMAND SOLUCOES BIOLOGICAS L</v>
          </cell>
          <cell r="D1969" t="str">
            <v>3001</v>
          </cell>
          <cell r="E1969" t="str">
            <v>0122</v>
          </cell>
          <cell r="F1969" t="str">
            <v>C1</v>
          </cell>
          <cell r="G1969" t="str">
            <v>MG</v>
          </cell>
          <cell r="H1969" t="str">
            <v>INGREDIENTS</v>
          </cell>
          <cell r="I1969" t="str">
            <v>INGREDIENTS</v>
          </cell>
          <cell r="J1969" t="str">
            <v>HENRIQUE FERREIRA</v>
          </cell>
          <cell r="K1969" t="str">
            <v>ITAMBÉ</v>
          </cell>
          <cell r="L1969" t="str">
            <v>MAURICIO</v>
          </cell>
          <cell r="M1969" t="str">
            <v>JOEL</v>
          </cell>
        </row>
        <row r="1970">
          <cell r="B1970">
            <v>5347543</v>
          </cell>
          <cell r="C1970" t="str">
            <v>BOTELHO E KRONEMBERG EVENTOS LT</v>
          </cell>
          <cell r="D1970" t="str">
            <v>7001</v>
          </cell>
          <cell r="E1970" t="str">
            <v>0749</v>
          </cell>
          <cell r="F1970" t="str">
            <v>C5</v>
          </cell>
          <cell r="G1970" t="str">
            <v>SP</v>
          </cell>
          <cell r="H1970" t="str">
            <v>DISTRIBUIÇÃO</v>
          </cell>
          <cell r="I1970" t="str">
            <v>FOOD SERVICE</v>
          </cell>
          <cell r="J1970" t="str">
            <v>FLAC 7</v>
          </cell>
          <cell r="K1970" t="str">
            <v>LACTALIS</v>
          </cell>
          <cell r="L1970" t="str">
            <v>RODRIGO</v>
          </cell>
          <cell r="M1970" t="str">
            <v>ALEXANDRO</v>
          </cell>
        </row>
        <row r="1971">
          <cell r="B1971">
            <v>5282566</v>
          </cell>
          <cell r="C1971" t="str">
            <v>ALMEIDA MERC COM DISTR E IMP LT</v>
          </cell>
          <cell r="D1971" t="str">
            <v>4001</v>
          </cell>
          <cell r="E1971" t="str">
            <v>0455</v>
          </cell>
          <cell r="F1971" t="str">
            <v>C1</v>
          </cell>
          <cell r="G1971" t="str">
            <v>PR</v>
          </cell>
          <cell r="H1971" t="str">
            <v>INGREDIENTS</v>
          </cell>
          <cell r="I1971" t="str">
            <v>INGREDIENTS</v>
          </cell>
          <cell r="J1971" t="str">
            <v>MARCELO RODRIGUES</v>
          </cell>
          <cell r="K1971" t="str">
            <v>LACTALIS</v>
          </cell>
          <cell r="L1971" t="str">
            <v>MAURICIO</v>
          </cell>
          <cell r="M1971" t="str">
            <v>MARCELO</v>
          </cell>
        </row>
        <row r="1972">
          <cell r="B1972">
            <v>5314201</v>
          </cell>
          <cell r="C1972" t="str">
            <v>ACAI MAIS INDUSTRIA E COMERCIO</v>
          </cell>
          <cell r="D1972" t="str">
            <v>6001</v>
          </cell>
          <cell r="E1972" t="str">
            <v>6127</v>
          </cell>
          <cell r="F1972" t="str">
            <v>C1</v>
          </cell>
          <cell r="G1972" t="str">
            <v>BA</v>
          </cell>
          <cell r="H1972" t="str">
            <v>DISTRIBUIÇÃO</v>
          </cell>
          <cell r="I1972" t="str">
            <v>FOOD SERVICE</v>
          </cell>
          <cell r="J1972" t="str">
            <v xml:space="preserve">KARIS FOOD / LUIZ </v>
          </cell>
          <cell r="K1972" t="str">
            <v>ITAMBÉ</v>
          </cell>
          <cell r="L1972" t="str">
            <v>RODRIGO</v>
          </cell>
          <cell r="M1972" t="str">
            <v>VAGO NORDESTE</v>
          </cell>
        </row>
        <row r="1973">
          <cell r="B1973">
            <v>5223459</v>
          </cell>
          <cell r="C1973" t="str">
            <v>POMPEIA SA INDUSTRIA E COMERCIO</v>
          </cell>
          <cell r="D1973" t="str">
            <v>4001</v>
          </cell>
          <cell r="E1973" t="str">
            <v>0455</v>
          </cell>
          <cell r="F1973" t="str">
            <v>C1</v>
          </cell>
          <cell r="G1973" t="str">
            <v>SP</v>
          </cell>
          <cell r="H1973" t="str">
            <v>INGREDIENTS</v>
          </cell>
          <cell r="I1973" t="str">
            <v>INGREDIENTS</v>
          </cell>
          <cell r="J1973" t="str">
            <v>MARCELO RODRIGUES</v>
          </cell>
          <cell r="K1973" t="str">
            <v>LACTALIS</v>
          </cell>
          <cell r="L1973" t="str">
            <v>MAURICIO</v>
          </cell>
          <cell r="M1973" t="str">
            <v>MARCELO</v>
          </cell>
        </row>
        <row r="1974">
          <cell r="B1974">
            <v>5229519</v>
          </cell>
          <cell r="C1974" t="str">
            <v>BONFIM E BUENO LTDA</v>
          </cell>
          <cell r="D1974" t="str">
            <v>3001</v>
          </cell>
          <cell r="E1974" t="str">
            <v>0126</v>
          </cell>
          <cell r="F1974" t="str">
            <v>C1</v>
          </cell>
          <cell r="G1974" t="str">
            <v>PR</v>
          </cell>
          <cell r="H1974" t="str">
            <v>DISTRIBUIÇÃO</v>
          </cell>
          <cell r="I1974" t="str">
            <v>FOOD SERVICE</v>
          </cell>
          <cell r="J1974" t="str">
            <v>ANTÔNIO SOUZA</v>
          </cell>
          <cell r="K1974" t="str">
            <v>ITAMBÉ</v>
          </cell>
          <cell r="L1974" t="str">
            <v>RODRIGO</v>
          </cell>
          <cell r="M1974" t="str">
            <v>VAGO SUL</v>
          </cell>
        </row>
        <row r="1975">
          <cell r="B1975">
            <v>5278498</v>
          </cell>
          <cell r="C1975" t="str">
            <v>REFRIO ARMAZENS GERAIS LTDA</v>
          </cell>
          <cell r="D1975" t="str">
            <v>7001</v>
          </cell>
          <cell r="E1975" t="str">
            <v>0749</v>
          </cell>
          <cell r="F1975" t="str">
            <v>C5</v>
          </cell>
          <cell r="G1975" t="str">
            <v>SP</v>
          </cell>
          <cell r="H1975" t="str">
            <v>DISTRIBUIÇÃO</v>
          </cell>
          <cell r="I1975" t="str">
            <v>FOOD SERVICE</v>
          </cell>
          <cell r="J1975" t="str">
            <v>FLAC 3</v>
          </cell>
          <cell r="K1975" t="str">
            <v>LACTALIS</v>
          </cell>
          <cell r="L1975" t="str">
            <v>RODRIGO</v>
          </cell>
          <cell r="M1975" t="str">
            <v>ALEXANDRO</v>
          </cell>
        </row>
        <row r="1976">
          <cell r="B1976">
            <v>5286089</v>
          </cell>
          <cell r="C1976" t="str">
            <v>REFRIO ARMAZENS GERAIS LTDA</v>
          </cell>
          <cell r="D1976" t="str">
            <v>7001</v>
          </cell>
          <cell r="E1976" t="str">
            <v>0749</v>
          </cell>
          <cell r="F1976" t="str">
            <v>C5</v>
          </cell>
          <cell r="G1976" t="str">
            <v>SP</v>
          </cell>
          <cell r="H1976" t="str">
            <v>DISTRIBUIÇÃO</v>
          </cell>
          <cell r="I1976" t="str">
            <v>FOOD SERVICE</v>
          </cell>
          <cell r="J1976" t="str">
            <v>FLAC 3</v>
          </cell>
          <cell r="K1976" t="str">
            <v>LACTALIS</v>
          </cell>
          <cell r="L1976" t="str">
            <v>RODRIGO</v>
          </cell>
          <cell r="M1976" t="str">
            <v>ALEXANDRO</v>
          </cell>
        </row>
        <row r="1977">
          <cell r="B1977">
            <v>5142262</v>
          </cell>
          <cell r="C1977" t="str">
            <v>BARRY CALLEBAUT BRASIL IND E CO</v>
          </cell>
          <cell r="D1977" t="str">
            <v>3001</v>
          </cell>
          <cell r="E1977" t="str">
            <v>0028</v>
          </cell>
          <cell r="F1977" t="str">
            <v>C1</v>
          </cell>
          <cell r="G1977" t="str">
            <v>MG</v>
          </cell>
          <cell r="H1977" t="str">
            <v>INGREDIENTS</v>
          </cell>
          <cell r="I1977" t="str">
            <v>INGREDIENTS</v>
          </cell>
          <cell r="J1977" t="str">
            <v>JOEL ELEOTÉRIO</v>
          </cell>
          <cell r="K1977" t="str">
            <v>ITAMBÉ</v>
          </cell>
          <cell r="L1977" t="str">
            <v>MAURICIO</v>
          </cell>
          <cell r="M1977" t="str">
            <v>JOEL</v>
          </cell>
        </row>
        <row r="1978">
          <cell r="B1978">
            <v>5285967</v>
          </cell>
          <cell r="C1978" t="str">
            <v>REFRICON MERCANTIL LTDA</v>
          </cell>
          <cell r="D1978" t="str">
            <v>7001</v>
          </cell>
          <cell r="E1978" t="str">
            <v>0749</v>
          </cell>
          <cell r="F1978" t="str">
            <v>C5</v>
          </cell>
          <cell r="G1978" t="str">
            <v>SP</v>
          </cell>
          <cell r="H1978" t="str">
            <v>DISTRIBUIÇÃO</v>
          </cell>
          <cell r="I1978" t="str">
            <v>FOOD SERVICE</v>
          </cell>
          <cell r="J1978" t="str">
            <v>FLAC 3</v>
          </cell>
          <cell r="K1978" t="str">
            <v>LACTALIS</v>
          </cell>
          <cell r="L1978" t="str">
            <v>RODRIGO</v>
          </cell>
          <cell r="M1978" t="str">
            <v>ALEXANDRO</v>
          </cell>
        </row>
        <row r="1979">
          <cell r="B1979">
            <v>5233735</v>
          </cell>
          <cell r="C1979" t="str">
            <v>IND MATSUBARA DE PROD ALIMENTICIOS</v>
          </cell>
          <cell r="D1979" t="str">
            <v>4001</v>
          </cell>
          <cell r="E1979" t="str">
            <v>0423</v>
          </cell>
          <cell r="F1979" t="str">
            <v>C5</v>
          </cell>
          <cell r="G1979" t="str">
            <v>AL</v>
          </cell>
          <cell r="H1979" t="str">
            <v>INGREDIENTS</v>
          </cell>
          <cell r="I1979" t="str">
            <v>INGREDIENTS</v>
          </cell>
          <cell r="J1979" t="str">
            <v>DLUM</v>
          </cell>
          <cell r="K1979" t="str">
            <v>LACTALIS</v>
          </cell>
          <cell r="L1979" t="str">
            <v>MAURICIO</v>
          </cell>
          <cell r="M1979" t="str">
            <v>JOEL</v>
          </cell>
        </row>
        <row r="1980">
          <cell r="B1980">
            <v>5347915</v>
          </cell>
          <cell r="C1980" t="str">
            <v>CAFETERIA BERRINI LTDA</v>
          </cell>
          <cell r="D1980" t="str">
            <v>7001</v>
          </cell>
          <cell r="E1980" t="str">
            <v>0749</v>
          </cell>
          <cell r="F1980" t="str">
            <v>C5</v>
          </cell>
          <cell r="G1980" t="str">
            <v>SP</v>
          </cell>
          <cell r="H1980" t="str">
            <v>DISTRIBUIÇÃO</v>
          </cell>
          <cell r="I1980" t="str">
            <v>FOOD SERVICE</v>
          </cell>
          <cell r="J1980" t="str">
            <v>FLAC 2</v>
          </cell>
          <cell r="K1980" t="str">
            <v>LACTALIS</v>
          </cell>
          <cell r="L1980" t="str">
            <v>RODRIGO</v>
          </cell>
          <cell r="M1980" t="str">
            <v>ALEXANDRO</v>
          </cell>
        </row>
        <row r="1981">
          <cell r="B1981">
            <v>5173983</v>
          </cell>
          <cell r="C1981" t="str">
            <v>SANTOS FESTAS E EMBALAGENS LTDA</v>
          </cell>
          <cell r="D1981" t="str">
            <v>6001</v>
          </cell>
          <cell r="E1981" t="str">
            <v>6169</v>
          </cell>
          <cell r="F1981" t="str">
            <v>C1</v>
          </cell>
          <cell r="G1981" t="str">
            <v>ES</v>
          </cell>
          <cell r="H1981" t="str">
            <v>DISTRIBUIÇÃO</v>
          </cell>
          <cell r="I1981" t="str">
            <v>FOOD SERVICE</v>
          </cell>
          <cell r="J1981" t="str">
            <v>MARCELO DUARTE</v>
          </cell>
          <cell r="K1981" t="str">
            <v>ITAMBÉ</v>
          </cell>
          <cell r="L1981" t="str">
            <v>RODRIGO</v>
          </cell>
          <cell r="M1981" t="str">
            <v>JESSICA</v>
          </cell>
        </row>
        <row r="1982">
          <cell r="B1982">
            <v>5191490</v>
          </cell>
          <cell r="C1982" t="str">
            <v>G S LIMA ALIMENTOS</v>
          </cell>
          <cell r="D1982">
            <v>6001</v>
          </cell>
          <cell r="E1982" t="str">
            <v>6075</v>
          </cell>
          <cell r="F1982" t="str">
            <v>C1</v>
          </cell>
          <cell r="G1982" t="str">
            <v>CE</v>
          </cell>
          <cell r="H1982" t="str">
            <v>DISTRIBUIÇÃO</v>
          </cell>
          <cell r="I1982" t="str">
            <v>FOOD SERVICE</v>
          </cell>
          <cell r="J1982" t="str">
            <v>WH FOOD SERVICE CE</v>
          </cell>
          <cell r="K1982" t="str">
            <v>ITAMBÉ</v>
          </cell>
          <cell r="L1982" t="str">
            <v>RODRIGO</v>
          </cell>
          <cell r="M1982" t="str">
            <v>VAGO NORDESTE</v>
          </cell>
        </row>
        <row r="1983">
          <cell r="B1983">
            <v>5192385</v>
          </cell>
          <cell r="C1983" t="str">
            <v>MARIA LUIZA SLOMPO RIBEIRO</v>
          </cell>
          <cell r="D1983" t="str">
            <v>4001</v>
          </cell>
          <cell r="E1983" t="str">
            <v>0455</v>
          </cell>
          <cell r="F1983" t="str">
            <v>C1</v>
          </cell>
          <cell r="G1983" t="str">
            <v>RS</v>
          </cell>
          <cell r="H1983" t="str">
            <v>DISTRIBUIÇÃO</v>
          </cell>
          <cell r="I1983" t="str">
            <v>FOOD SERVICE</v>
          </cell>
          <cell r="J1983" t="str">
            <v>ANTÔNIO SOUZA</v>
          </cell>
          <cell r="K1983" t="str">
            <v>LACTALIS</v>
          </cell>
          <cell r="L1983" t="str">
            <v>RODRIGO</v>
          </cell>
          <cell r="M1983" t="str">
            <v>VAGO SUL</v>
          </cell>
        </row>
        <row r="1984">
          <cell r="B1984">
            <v>5330544</v>
          </cell>
          <cell r="C1984" t="str">
            <v>CHOKDOCE COM PROD ALIMENTICIOS</v>
          </cell>
          <cell r="D1984" t="str">
            <v>7001</v>
          </cell>
          <cell r="E1984" t="str">
            <v>0722</v>
          </cell>
          <cell r="F1984" t="str">
            <v>C1</v>
          </cell>
          <cell r="G1984" t="str">
            <v>SP</v>
          </cell>
          <cell r="H1984" t="str">
            <v>DISTRIBUIÇÃO</v>
          </cell>
          <cell r="I1984" t="str">
            <v>FOOD SERVICE</v>
          </cell>
          <cell r="J1984" t="str">
            <v>EMMANUEL FRANCISCO</v>
          </cell>
          <cell r="K1984" t="str">
            <v>LACTALIS</v>
          </cell>
          <cell r="L1984" t="str">
            <v>RODRIGO</v>
          </cell>
          <cell r="M1984" t="str">
            <v>VAGO SP - INTERIOR</v>
          </cell>
        </row>
        <row r="1985">
          <cell r="B1985">
            <v>5316124</v>
          </cell>
          <cell r="C1985" t="str">
            <v>AFFARI ALIMENTACAO LTDA</v>
          </cell>
          <cell r="D1985" t="str">
            <v>7001</v>
          </cell>
          <cell r="E1985" t="str">
            <v>0749</v>
          </cell>
          <cell r="F1985" t="str">
            <v>C5</v>
          </cell>
          <cell r="G1985" t="str">
            <v>SP</v>
          </cell>
          <cell r="H1985" t="str">
            <v>DISTRIBUIÇÃO</v>
          </cell>
          <cell r="I1985" t="str">
            <v>FOOD SERVICE</v>
          </cell>
          <cell r="J1985" t="str">
            <v>FLAC 4</v>
          </cell>
          <cell r="K1985" t="str">
            <v>LACTALIS</v>
          </cell>
          <cell r="L1985" t="str">
            <v>RODRIGO</v>
          </cell>
          <cell r="M1985" t="str">
            <v>ALEXANDRO</v>
          </cell>
        </row>
        <row r="1986">
          <cell r="B1986">
            <v>5330279</v>
          </cell>
          <cell r="C1986" t="str">
            <v>AUREA INDUSTRIA E COMERCIO LTDA</v>
          </cell>
          <cell r="D1986" t="str">
            <v>4001</v>
          </cell>
          <cell r="E1986" t="str">
            <v>0455</v>
          </cell>
          <cell r="F1986" t="str">
            <v>C1</v>
          </cell>
          <cell r="G1986" t="str">
            <v>SC</v>
          </cell>
          <cell r="H1986" t="str">
            <v>INGREDIENTS</v>
          </cell>
          <cell r="I1986" t="str">
            <v>INGREDIENTS</v>
          </cell>
          <cell r="J1986" t="str">
            <v>MARCELO RODRIGUES</v>
          </cell>
          <cell r="K1986" t="str">
            <v>LACTALIS</v>
          </cell>
          <cell r="L1986" t="str">
            <v>MAURICIO</v>
          </cell>
          <cell r="M1986" t="str">
            <v>MARCELO</v>
          </cell>
        </row>
        <row r="1987">
          <cell r="B1987">
            <v>5099067</v>
          </cell>
          <cell r="C1987" t="str">
            <v>DR OETKER BRASIL LTDA</v>
          </cell>
          <cell r="D1987" t="str">
            <v>7001</v>
          </cell>
          <cell r="E1987" t="str">
            <v>0737</v>
          </cell>
          <cell r="F1987" t="str">
            <v>C1</v>
          </cell>
          <cell r="G1987" t="str">
            <v>SP</v>
          </cell>
          <cell r="H1987" t="str">
            <v>INGREDIENTS</v>
          </cell>
          <cell r="I1987" t="str">
            <v>INGREDIENTS</v>
          </cell>
          <cell r="J1987" t="str">
            <v>MARCELO RODRIGUES</v>
          </cell>
          <cell r="K1987" t="str">
            <v>LACTALIS</v>
          </cell>
          <cell r="L1987" t="str">
            <v>MAURICIO</v>
          </cell>
          <cell r="M1987" t="str">
            <v>MARCELO</v>
          </cell>
        </row>
        <row r="1988">
          <cell r="B1988">
            <v>5230053</v>
          </cell>
          <cell r="C1988" t="str">
            <v>COOP AGROP CENTRO SERRANA</v>
          </cell>
          <cell r="D1988" t="str">
            <v>7001</v>
          </cell>
          <cell r="E1988" t="str">
            <v>0737</v>
          </cell>
          <cell r="F1988" t="str">
            <v>C1</v>
          </cell>
          <cell r="G1988" t="str">
            <v>ES</v>
          </cell>
          <cell r="H1988" t="str">
            <v>INGREDIENTS</v>
          </cell>
          <cell r="I1988" t="str">
            <v>INGREDIENTS</v>
          </cell>
          <cell r="J1988" t="str">
            <v>JOEL ELEOTÉRIO</v>
          </cell>
          <cell r="K1988" t="str">
            <v>LACTALIS</v>
          </cell>
          <cell r="L1988" t="str">
            <v>MAURICIO</v>
          </cell>
          <cell r="M1988" t="str">
            <v>JOEL</v>
          </cell>
        </row>
        <row r="1989">
          <cell r="B1989">
            <v>5014910</v>
          </cell>
          <cell r="C1989" t="str">
            <v>ESTORIL SOL FESTAS E DOCES LTDA</v>
          </cell>
          <cell r="D1989" t="str">
            <v>6001</v>
          </cell>
          <cell r="E1989" t="str">
            <v>6125</v>
          </cell>
          <cell r="F1989" t="str">
            <v>C1</v>
          </cell>
          <cell r="G1989" t="str">
            <v>SP</v>
          </cell>
          <cell r="H1989" t="str">
            <v>DISTRIBUIÇÃO</v>
          </cell>
          <cell r="I1989" t="str">
            <v>FOOD SERVICE</v>
          </cell>
          <cell r="J1989" t="str">
            <v>EMMANUEL FRANCISCO</v>
          </cell>
          <cell r="K1989" t="str">
            <v>ITAMBÉ</v>
          </cell>
          <cell r="L1989" t="str">
            <v>RODRIGO</v>
          </cell>
          <cell r="M1989" t="str">
            <v>VAGO SP - INTERIOR</v>
          </cell>
        </row>
        <row r="1990">
          <cell r="B1990">
            <v>5334279</v>
          </cell>
          <cell r="C1990" t="str">
            <v>AFFARI ALIMENTACAO LTDA</v>
          </cell>
          <cell r="D1990" t="str">
            <v>7001</v>
          </cell>
          <cell r="E1990" t="str">
            <v>0749</v>
          </cell>
          <cell r="F1990" t="str">
            <v>C5</v>
          </cell>
          <cell r="G1990" t="str">
            <v>SP</v>
          </cell>
          <cell r="H1990" t="str">
            <v>DISTRIBUIÇÃO</v>
          </cell>
          <cell r="I1990" t="str">
            <v>FOOD SERVICE</v>
          </cell>
          <cell r="J1990" t="str">
            <v>FLAC 4</v>
          </cell>
          <cell r="K1990" t="str">
            <v>LACTALIS</v>
          </cell>
          <cell r="L1990" t="str">
            <v>RODRIGO</v>
          </cell>
          <cell r="M1990" t="str">
            <v>ALEXANDRO</v>
          </cell>
        </row>
        <row r="1991">
          <cell r="B1991">
            <v>5011061</v>
          </cell>
          <cell r="C1991" t="str">
            <v>COMERCIAL AGRICOLA ANHUMAI LTDA</v>
          </cell>
          <cell r="D1991" t="str">
            <v>4001</v>
          </cell>
          <cell r="E1991" t="str">
            <v>0455</v>
          </cell>
          <cell r="F1991" t="str">
            <v>C1</v>
          </cell>
          <cell r="G1991" t="str">
            <v>PR</v>
          </cell>
          <cell r="H1991" t="str">
            <v>INGREDIENTS</v>
          </cell>
          <cell r="I1991" t="str">
            <v>INGREDIENTS</v>
          </cell>
          <cell r="J1991" t="str">
            <v>MARCELO RODRIGUES</v>
          </cell>
          <cell r="K1991" t="str">
            <v>LACTALIS</v>
          </cell>
          <cell r="L1991" t="str">
            <v>MAURICIO</v>
          </cell>
          <cell r="M1991" t="str">
            <v>MARCELO</v>
          </cell>
        </row>
        <row r="1992">
          <cell r="B1992">
            <v>5026855</v>
          </cell>
          <cell r="C1992" t="str">
            <v>SIBELE ALIMENTOS LTDA</v>
          </cell>
          <cell r="D1992" t="str">
            <v>3001</v>
          </cell>
          <cell r="E1992" t="str">
            <v>0028</v>
          </cell>
          <cell r="F1992" t="str">
            <v>C1</v>
          </cell>
          <cell r="G1992" t="str">
            <v>MG</v>
          </cell>
          <cell r="H1992" t="str">
            <v>INGREDIENTS</v>
          </cell>
          <cell r="I1992" t="str">
            <v>INGREDIENTS</v>
          </cell>
          <cell r="J1992" t="str">
            <v>HENRIQUE FERREIRA</v>
          </cell>
          <cell r="K1992" t="str">
            <v>ITAMBÉ</v>
          </cell>
          <cell r="L1992" t="str">
            <v>MAURICIO</v>
          </cell>
          <cell r="M1992" t="str">
            <v>JOEL</v>
          </cell>
        </row>
        <row r="1993">
          <cell r="B1993">
            <v>5186259</v>
          </cell>
          <cell r="C1993" t="str">
            <v>CLUBE DOS SABORES IND E COM DE</v>
          </cell>
          <cell r="D1993" t="str">
            <v>6001</v>
          </cell>
          <cell r="E1993" t="str">
            <v>6169</v>
          </cell>
          <cell r="F1993" t="str">
            <v>C1</v>
          </cell>
          <cell r="G1993" t="str">
            <v>RJ</v>
          </cell>
          <cell r="H1993" t="str">
            <v>INGREDIENTS</v>
          </cell>
          <cell r="I1993" t="str">
            <v>INGREDIENTS</v>
          </cell>
          <cell r="J1993" t="str">
            <v>TATIANA NITTA</v>
          </cell>
          <cell r="K1993" t="str">
            <v>ITAMBÉ</v>
          </cell>
          <cell r="L1993" t="str">
            <v>MAURICIO</v>
          </cell>
          <cell r="M1993" t="str">
            <v>TATIANA NITTA</v>
          </cell>
        </row>
        <row r="1994">
          <cell r="B1994">
            <v>5009420</v>
          </cell>
          <cell r="C1994" t="str">
            <v>BASF SA</v>
          </cell>
          <cell r="D1994" t="str">
            <v>3001</v>
          </cell>
          <cell r="E1994" t="str">
            <v>0028</v>
          </cell>
          <cell r="F1994" t="str">
            <v>C1</v>
          </cell>
          <cell r="G1994" t="str">
            <v>SP</v>
          </cell>
          <cell r="H1994" t="str">
            <v>INGREDIENTS</v>
          </cell>
          <cell r="I1994" t="str">
            <v>INGREDIENTS</v>
          </cell>
          <cell r="J1994" t="str">
            <v>HENRIQUE FERREIRA</v>
          </cell>
          <cell r="K1994" t="str">
            <v>ITAMBÉ</v>
          </cell>
          <cell r="L1994" t="str">
            <v>MAURICIO</v>
          </cell>
          <cell r="M1994" t="str">
            <v>JOEL</v>
          </cell>
        </row>
        <row r="1995">
          <cell r="B1995">
            <v>5109334</v>
          </cell>
          <cell r="C1995" t="str">
            <v>CENTRAL OSASCO DIST ALIM E BEBI</v>
          </cell>
          <cell r="D1995" t="str">
            <v>3001</v>
          </cell>
          <cell r="E1995" t="str">
            <v>0125</v>
          </cell>
          <cell r="F1995" t="str">
            <v>C1</v>
          </cell>
          <cell r="G1995" t="str">
            <v>SP</v>
          </cell>
          <cell r="H1995" t="str">
            <v>INGREDIENTS</v>
          </cell>
          <cell r="I1995" t="str">
            <v>INGREDIENTS</v>
          </cell>
          <cell r="J1995" t="str">
            <v>DUAS RODAS</v>
          </cell>
          <cell r="K1995" t="str">
            <v>ITAMBÉ</v>
          </cell>
          <cell r="L1995" t="str">
            <v>MAURICIO</v>
          </cell>
          <cell r="M1995" t="str">
            <v>TATIANA NITTA</v>
          </cell>
        </row>
        <row r="1996">
          <cell r="B1996">
            <v>5145238</v>
          </cell>
          <cell r="C1996" t="str">
            <v>BIMBO DO BRASIL LTDA</v>
          </cell>
          <cell r="D1996" t="str">
            <v>3001</v>
          </cell>
          <cell r="E1996" t="str">
            <v>0125</v>
          </cell>
          <cell r="F1996" t="str">
            <v>C1</v>
          </cell>
          <cell r="G1996" t="str">
            <v>SP</v>
          </cell>
          <cell r="H1996" t="str">
            <v>INGREDIENTS</v>
          </cell>
          <cell r="I1996" t="str">
            <v>INGREDIENTS</v>
          </cell>
          <cell r="J1996" t="str">
            <v>TATIANA NITTA</v>
          </cell>
          <cell r="K1996" t="str">
            <v>ITAMBÉ</v>
          </cell>
          <cell r="L1996" t="str">
            <v>MAURICIO</v>
          </cell>
          <cell r="M1996" t="str">
            <v>TATIANA NITTA</v>
          </cell>
        </row>
        <row r="1997">
          <cell r="B1997">
            <v>5145758</v>
          </cell>
          <cell r="C1997" t="str">
            <v>R E M COM DE PROD ALIM E ART PA</v>
          </cell>
          <cell r="D1997" t="str">
            <v>3001</v>
          </cell>
          <cell r="E1997" t="str">
            <v>0028</v>
          </cell>
          <cell r="F1997" t="str">
            <v>C1</v>
          </cell>
          <cell r="G1997" t="str">
            <v>SP</v>
          </cell>
          <cell r="H1997" t="str">
            <v>INGREDIENTS</v>
          </cell>
          <cell r="I1997" t="str">
            <v>INGREDIENTS</v>
          </cell>
          <cell r="J1997" t="str">
            <v>DUAS RODAS</v>
          </cell>
          <cell r="K1997" t="str">
            <v>ITAMBÉ</v>
          </cell>
          <cell r="L1997" t="str">
            <v>MAURICIO</v>
          </cell>
          <cell r="M1997" t="str">
            <v>TATIANA NITTA</v>
          </cell>
        </row>
        <row r="1998">
          <cell r="B1998">
            <v>5161583</v>
          </cell>
          <cell r="C1998" t="str">
            <v>DOHLER AMERICA LATINA LTDA</v>
          </cell>
          <cell r="D1998" t="str">
            <v>3001</v>
          </cell>
          <cell r="E1998" t="str">
            <v>0125</v>
          </cell>
          <cell r="F1998" t="str">
            <v>C1</v>
          </cell>
          <cell r="G1998" t="str">
            <v>SP</v>
          </cell>
          <cell r="H1998" t="str">
            <v>INGREDIENTS</v>
          </cell>
          <cell r="I1998" t="str">
            <v>INGREDIENTS</v>
          </cell>
          <cell r="J1998" t="str">
            <v>HENRIQUE FERREIRA</v>
          </cell>
          <cell r="K1998" t="str">
            <v>ITAMBÉ</v>
          </cell>
          <cell r="L1998" t="str">
            <v>MAURICIO</v>
          </cell>
          <cell r="M1998" t="str">
            <v>JOEL</v>
          </cell>
        </row>
        <row r="1999">
          <cell r="B1999">
            <v>5163906</v>
          </cell>
          <cell r="C1999" t="str">
            <v>E N COM PROD FESTAS E SORVETES EIRE</v>
          </cell>
          <cell r="D1999" t="str">
            <v>3001</v>
          </cell>
          <cell r="E1999" t="str">
            <v>0125</v>
          </cell>
          <cell r="F1999" t="str">
            <v>C1</v>
          </cell>
          <cell r="G1999" t="str">
            <v>SP</v>
          </cell>
          <cell r="H1999" t="str">
            <v>INGREDIENTS</v>
          </cell>
          <cell r="I1999" t="str">
            <v>INGREDIENTS</v>
          </cell>
          <cell r="J1999" t="str">
            <v>DUAS RODAS</v>
          </cell>
          <cell r="K1999" t="str">
            <v>ITAMBÉ</v>
          </cell>
          <cell r="L1999" t="str">
            <v>MAURICIO</v>
          </cell>
          <cell r="M1999" t="str">
            <v>TATIANA NITTA</v>
          </cell>
        </row>
        <row r="2000">
          <cell r="B2000">
            <v>5165963</v>
          </cell>
          <cell r="C2000" t="str">
            <v>SORVEMIX COMERCIO DE ALIM LTDA</v>
          </cell>
          <cell r="D2000" t="str">
            <v>3001</v>
          </cell>
          <cell r="E2000" t="str">
            <v>0028</v>
          </cell>
          <cell r="F2000" t="str">
            <v>C1</v>
          </cell>
          <cell r="G2000" t="str">
            <v>SP</v>
          </cell>
          <cell r="H2000" t="str">
            <v>INGREDIENTS</v>
          </cell>
          <cell r="I2000" t="str">
            <v>INGREDIENTS</v>
          </cell>
          <cell r="J2000" t="str">
            <v>DUAS RODAS</v>
          </cell>
          <cell r="K2000" t="str">
            <v>ITAMBÉ</v>
          </cell>
          <cell r="L2000" t="str">
            <v>MAURICIO</v>
          </cell>
          <cell r="M2000" t="str">
            <v>TATIANA NITTA</v>
          </cell>
        </row>
        <row r="2001">
          <cell r="B2001">
            <v>5166159</v>
          </cell>
          <cell r="C2001" t="str">
            <v>JME RAUTA COM DIST LTDA</v>
          </cell>
          <cell r="D2001" t="str">
            <v>3001</v>
          </cell>
          <cell r="E2001" t="str">
            <v>0028</v>
          </cell>
          <cell r="F2001" t="str">
            <v>C1</v>
          </cell>
          <cell r="G2001" t="str">
            <v>RJ</v>
          </cell>
          <cell r="H2001" t="str">
            <v>DISTRIBUIÇÃO</v>
          </cell>
          <cell r="I2001" t="str">
            <v>FOOD SERVICE</v>
          </cell>
          <cell r="J2001" t="str">
            <v>LUCIANA MARTINS</v>
          </cell>
          <cell r="K2001" t="str">
            <v>ITAMBÉ</v>
          </cell>
          <cell r="L2001" t="str">
            <v>RODRIGO</v>
          </cell>
          <cell r="M2001" t="str">
            <v>JESSICA</v>
          </cell>
        </row>
        <row r="2002">
          <cell r="B2002">
            <v>5166253</v>
          </cell>
          <cell r="C2002" t="str">
            <v>AGRANA FRUIT BRASIL IND COM IMP</v>
          </cell>
          <cell r="D2002" t="str">
            <v>3001</v>
          </cell>
          <cell r="E2002" t="str">
            <v>0125</v>
          </cell>
          <cell r="F2002" t="str">
            <v>C1</v>
          </cell>
          <cell r="G2002" t="str">
            <v>SP</v>
          </cell>
          <cell r="H2002" t="str">
            <v>INGREDIENTS</v>
          </cell>
          <cell r="I2002" t="str">
            <v>INGREDIENTS</v>
          </cell>
          <cell r="J2002" t="str">
            <v>HENRIQUE FERREIRA</v>
          </cell>
          <cell r="K2002" t="str">
            <v>ITAMBÉ</v>
          </cell>
          <cell r="L2002" t="str">
            <v>MAURICIO</v>
          </cell>
          <cell r="M2002" t="str">
            <v>JOEL</v>
          </cell>
        </row>
        <row r="2003">
          <cell r="B2003">
            <v>5174274</v>
          </cell>
          <cell r="C2003" t="str">
            <v>PIMENTA VERDE ALIMENTOS LTDA</v>
          </cell>
          <cell r="D2003" t="str">
            <v>3001</v>
          </cell>
          <cell r="E2003" t="str">
            <v>0125</v>
          </cell>
          <cell r="F2003" t="str">
            <v>C1</v>
          </cell>
          <cell r="G2003" t="str">
            <v>SP</v>
          </cell>
          <cell r="H2003" t="str">
            <v>QSR</v>
          </cell>
          <cell r="I2003" t="str">
            <v>FOOD SERVICE</v>
          </cell>
          <cell r="J2003" t="str">
            <v>AMANDA CARVALHO</v>
          </cell>
          <cell r="K2003" t="str">
            <v>ITAMBÉ</v>
          </cell>
          <cell r="L2003" t="str">
            <v>PEDRO</v>
          </cell>
          <cell r="M2003" t="str">
            <v>AMANDA</v>
          </cell>
        </row>
        <row r="2004">
          <cell r="B2004">
            <v>5176053</v>
          </cell>
          <cell r="C2004" t="str">
            <v>BAKELS BRASIL INGREDIENT PARA P</v>
          </cell>
          <cell r="D2004" t="str">
            <v>3001</v>
          </cell>
          <cell r="E2004" t="str">
            <v>0125</v>
          </cell>
          <cell r="F2004" t="str">
            <v>C1</v>
          </cell>
          <cell r="G2004" t="str">
            <v>SP</v>
          </cell>
          <cell r="H2004" t="str">
            <v>INGREDIENTS</v>
          </cell>
          <cell r="I2004" t="str">
            <v>INGREDIENTS</v>
          </cell>
          <cell r="J2004" t="str">
            <v>TATIANA NITTA</v>
          </cell>
          <cell r="K2004" t="str">
            <v>ITAMBÉ</v>
          </cell>
          <cell r="L2004" t="str">
            <v>MAURICIO</v>
          </cell>
          <cell r="M2004" t="str">
            <v>TATIANA NITTA</v>
          </cell>
        </row>
        <row r="2005">
          <cell r="B2005">
            <v>5204235</v>
          </cell>
          <cell r="C2005" t="str">
            <v>NUTRIALIMENTAR INDUSTRIA LTDA</v>
          </cell>
          <cell r="D2005" t="str">
            <v>6001</v>
          </cell>
          <cell r="E2005" t="str">
            <v>6125</v>
          </cell>
          <cell r="F2005" t="str">
            <v>C1</v>
          </cell>
          <cell r="G2005" t="str">
            <v>SP</v>
          </cell>
          <cell r="H2005" t="str">
            <v>INGREDIENTS</v>
          </cell>
          <cell r="I2005" t="str">
            <v>INGREDIENTS</v>
          </cell>
          <cell r="J2005" t="str">
            <v>TATIANA NITTA</v>
          </cell>
          <cell r="K2005" t="str">
            <v>ITAMBÉ</v>
          </cell>
          <cell r="L2005" t="str">
            <v>MAURICIO</v>
          </cell>
          <cell r="M2005" t="str">
            <v>TATIANA NITTA</v>
          </cell>
        </row>
        <row r="2006">
          <cell r="B2006">
            <v>5204488</v>
          </cell>
          <cell r="C2006" t="str">
            <v>JEFERSON AMARAL DA CUNHA</v>
          </cell>
          <cell r="D2006" t="str">
            <v>3001</v>
          </cell>
          <cell r="E2006" t="str">
            <v>0028</v>
          </cell>
          <cell r="F2006" t="str">
            <v>C1</v>
          </cell>
          <cell r="G2006" t="str">
            <v>PR</v>
          </cell>
          <cell r="H2006" t="str">
            <v>INGREDIENTS</v>
          </cell>
          <cell r="I2006" t="str">
            <v>INGREDIENTS</v>
          </cell>
          <cell r="J2006" t="str">
            <v>DUAS RODAS</v>
          </cell>
          <cell r="K2006" t="str">
            <v>ITAMBÉ</v>
          </cell>
          <cell r="L2006" t="str">
            <v>MAURICIO</v>
          </cell>
          <cell r="M2006" t="str">
            <v>MARCELO</v>
          </cell>
        </row>
        <row r="2007">
          <cell r="B2007">
            <v>5217383</v>
          </cell>
          <cell r="C2007" t="str">
            <v>FRUTAL INDUSTRIA E COMERCIO LTD</v>
          </cell>
          <cell r="D2007" t="str">
            <v>3001</v>
          </cell>
          <cell r="E2007" t="str">
            <v>0028</v>
          </cell>
          <cell r="F2007" t="str">
            <v>C1</v>
          </cell>
          <cell r="G2007" t="str">
            <v>AM</v>
          </cell>
          <cell r="H2007" t="str">
            <v>INGREDIENTS</v>
          </cell>
          <cell r="I2007" t="str">
            <v>INGREDIENTS</v>
          </cell>
          <cell r="J2007" t="str">
            <v>JOEL ELEOTÉRIO</v>
          </cell>
          <cell r="K2007" t="str">
            <v>ITAMBÉ</v>
          </cell>
          <cell r="L2007" t="str">
            <v>MAURICIO</v>
          </cell>
          <cell r="M2007" t="str">
            <v>JOEL</v>
          </cell>
        </row>
        <row r="2008">
          <cell r="B2008">
            <v>5221391</v>
          </cell>
          <cell r="C2008" t="str">
            <v>LEONARDO RODRIGO SILVA SANTOS M</v>
          </cell>
          <cell r="D2008" t="str">
            <v>3001</v>
          </cell>
          <cell r="E2008" t="str">
            <v>0169</v>
          </cell>
          <cell r="F2008" t="str">
            <v>C1</v>
          </cell>
          <cell r="G2008" t="str">
            <v>RJ</v>
          </cell>
          <cell r="H2008" t="str">
            <v>DISTRIBUIÇÃO</v>
          </cell>
          <cell r="I2008" t="str">
            <v>FOOD SERVICE</v>
          </cell>
          <cell r="J2008" t="str">
            <v>JULIANA CORDEIRO</v>
          </cell>
          <cell r="K2008" t="str">
            <v>ITAMBÉ</v>
          </cell>
          <cell r="L2008" t="str">
            <v>RODRIGO</v>
          </cell>
          <cell r="M2008" t="str">
            <v>JESSICA</v>
          </cell>
        </row>
        <row r="2009">
          <cell r="B2009">
            <v>5224055</v>
          </cell>
          <cell r="C2009" t="str">
            <v>BRUXELAS INDUSTRIA E COMERCIO</v>
          </cell>
          <cell r="D2009" t="str">
            <v>3001</v>
          </cell>
          <cell r="E2009" t="str">
            <v>0125</v>
          </cell>
          <cell r="F2009" t="str">
            <v>C1</v>
          </cell>
          <cell r="G2009" t="str">
            <v>SP</v>
          </cell>
          <cell r="H2009" t="str">
            <v>INGREDIENTS</v>
          </cell>
          <cell r="I2009" t="str">
            <v>INGREDIENTS</v>
          </cell>
          <cell r="J2009" t="str">
            <v>HENRIQUE FERREIRA</v>
          </cell>
          <cell r="K2009" t="str">
            <v>ITAMBÉ</v>
          </cell>
          <cell r="L2009" t="str">
            <v>MAURICIO</v>
          </cell>
          <cell r="M2009" t="str">
            <v>JOEL</v>
          </cell>
        </row>
        <row r="2010">
          <cell r="B2010">
            <v>5227253</v>
          </cell>
          <cell r="C2010" t="str">
            <v>PLATLOG IMPORTACAO LOG DIST LTDA</v>
          </cell>
          <cell r="D2010" t="str">
            <v>3001</v>
          </cell>
          <cell r="E2010" t="str">
            <v>0125</v>
          </cell>
          <cell r="F2010" t="str">
            <v>C1</v>
          </cell>
          <cell r="G2010" t="str">
            <v>SP</v>
          </cell>
          <cell r="H2010" t="str">
            <v>QSR</v>
          </cell>
          <cell r="I2010" t="str">
            <v>FOOD SERVICE</v>
          </cell>
          <cell r="J2010" t="str">
            <v>ANA MENIQUETE</v>
          </cell>
          <cell r="K2010" t="str">
            <v>ITAMBÉ</v>
          </cell>
          <cell r="L2010" t="str">
            <v>PEDRO</v>
          </cell>
          <cell r="M2010" t="str">
            <v>ANA MENIQUETE</v>
          </cell>
        </row>
        <row r="2011">
          <cell r="B2011">
            <v>5228371</v>
          </cell>
          <cell r="C2011" t="str">
            <v>PLUMA SORVETES LTDA</v>
          </cell>
          <cell r="D2011" t="str">
            <v>3001</v>
          </cell>
          <cell r="E2011" t="str">
            <v>0028</v>
          </cell>
          <cell r="F2011" t="str">
            <v>C1</v>
          </cell>
          <cell r="G2011" t="str">
            <v>MS</v>
          </cell>
          <cell r="H2011" t="str">
            <v>INGREDIENTS</v>
          </cell>
          <cell r="I2011" t="str">
            <v>INGREDIENTS</v>
          </cell>
          <cell r="J2011" t="str">
            <v>DUAS RODAS</v>
          </cell>
          <cell r="K2011" t="str">
            <v>ITAMBÉ</v>
          </cell>
          <cell r="L2011" t="str">
            <v>MAURICIO</v>
          </cell>
          <cell r="M2011" t="str">
            <v>MARCELO</v>
          </cell>
        </row>
        <row r="2012">
          <cell r="B2012">
            <v>5228827</v>
          </cell>
          <cell r="C2012" t="str">
            <v>FABRICA ACAI MAGNIFICO LTDA</v>
          </cell>
          <cell r="D2012" t="str">
            <v>3001</v>
          </cell>
          <cell r="E2012" t="str">
            <v>0125</v>
          </cell>
          <cell r="F2012" t="str">
            <v>C1</v>
          </cell>
          <cell r="G2012" t="str">
            <v>SP</v>
          </cell>
          <cell r="H2012" t="str">
            <v>INGREDIENTS</v>
          </cell>
          <cell r="I2012" t="str">
            <v>INGREDIENTS</v>
          </cell>
          <cell r="J2012" t="str">
            <v>HENRIQUE FERREIRA</v>
          </cell>
          <cell r="K2012" t="str">
            <v>ITAMBÉ</v>
          </cell>
          <cell r="L2012" t="str">
            <v>MAURICIO</v>
          </cell>
          <cell r="M2012" t="str">
            <v>JOEL</v>
          </cell>
        </row>
        <row r="2013">
          <cell r="B2013">
            <v>5229130</v>
          </cell>
          <cell r="C2013" t="str">
            <v>PLATLOG IMPORTACAO LOGISTICA E DIST</v>
          </cell>
          <cell r="D2013" t="str">
            <v>3001</v>
          </cell>
          <cell r="E2013" t="str">
            <v>0125</v>
          </cell>
          <cell r="F2013" t="str">
            <v>C1</v>
          </cell>
          <cell r="G2013" t="str">
            <v>SP</v>
          </cell>
          <cell r="H2013" t="str">
            <v>QSR</v>
          </cell>
          <cell r="I2013" t="str">
            <v>FOOD SERVICE</v>
          </cell>
          <cell r="J2013" t="str">
            <v>ANA MENIQUETE</v>
          </cell>
          <cell r="K2013" t="str">
            <v>ITAMBÉ</v>
          </cell>
          <cell r="L2013" t="str">
            <v>PEDRO</v>
          </cell>
          <cell r="M2013" t="str">
            <v>ANA MENIQUETE</v>
          </cell>
        </row>
        <row r="2014">
          <cell r="B2014">
            <v>5231123</v>
          </cell>
          <cell r="C2014" t="str">
            <v>CRAF BRASIL IND E COM ALIM LTDA</v>
          </cell>
          <cell r="D2014" t="str">
            <v>3001</v>
          </cell>
          <cell r="E2014" t="str">
            <v>0028</v>
          </cell>
          <cell r="F2014" t="str">
            <v>C1</v>
          </cell>
          <cell r="G2014" t="str">
            <v>ES</v>
          </cell>
          <cell r="H2014" t="str">
            <v>INGREDIENTS</v>
          </cell>
          <cell r="I2014" t="str">
            <v>INGREDIENTS</v>
          </cell>
          <cell r="J2014" t="str">
            <v>DUAS RODAS</v>
          </cell>
          <cell r="K2014" t="str">
            <v>ITAMBÉ</v>
          </cell>
          <cell r="L2014" t="str">
            <v>MAURICIO</v>
          </cell>
          <cell r="M2014" t="str">
            <v>JOEL</v>
          </cell>
        </row>
        <row r="2015">
          <cell r="B2015">
            <v>5260577</v>
          </cell>
          <cell r="C2015" t="str">
            <v>MAFRIOS DIST E IMPORTADORA LTDA</v>
          </cell>
          <cell r="D2015" t="str">
            <v>6001</v>
          </cell>
          <cell r="E2015" t="str">
            <v>6127</v>
          </cell>
          <cell r="F2015" t="str">
            <v>C1</v>
          </cell>
          <cell r="G2015" t="str">
            <v>SE</v>
          </cell>
          <cell r="H2015" t="str">
            <v>DISTRIBUIÇÃO</v>
          </cell>
          <cell r="I2015" t="str">
            <v>FOOD SERVICE</v>
          </cell>
          <cell r="J2015" t="str">
            <v>CLAUDIO JORGE</v>
          </cell>
          <cell r="K2015" t="str">
            <v>ITAMBÉ</v>
          </cell>
          <cell r="L2015" t="str">
            <v>RODRIGO</v>
          </cell>
          <cell r="M2015" t="str">
            <v>VAGO NORDESTE</v>
          </cell>
        </row>
        <row r="2016">
          <cell r="B2016">
            <v>5314689</v>
          </cell>
          <cell r="C2016" t="str">
            <v>DUMIL PRODUTOS ALIMENTICIOS LTDA</v>
          </cell>
          <cell r="D2016" t="str">
            <v>3001</v>
          </cell>
          <cell r="E2016" t="str">
            <v>0125</v>
          </cell>
          <cell r="F2016" t="str">
            <v>C1</v>
          </cell>
          <cell r="G2016" t="str">
            <v>SP</v>
          </cell>
          <cell r="H2016" t="str">
            <v>DISTRIBUIÇÃO</v>
          </cell>
          <cell r="I2016" t="str">
            <v>FOOD SERVICE</v>
          </cell>
          <cell r="J2016" t="str">
            <v>GUILHERME NASCIMENTO</v>
          </cell>
          <cell r="K2016" t="str">
            <v>ITAMBÉ</v>
          </cell>
          <cell r="L2016" t="str">
            <v>RODRIGO</v>
          </cell>
          <cell r="M2016" t="str">
            <v>ALEXANDRO</v>
          </cell>
        </row>
        <row r="2017">
          <cell r="B2017">
            <v>5338003</v>
          </cell>
          <cell r="C2017" t="str">
            <v>WGS COMERCIO DE PROD ALIMENTICI</v>
          </cell>
          <cell r="D2017" t="str">
            <v>3001</v>
          </cell>
          <cell r="E2017" t="str">
            <v>0127</v>
          </cell>
          <cell r="F2017" t="str">
            <v>C1</v>
          </cell>
          <cell r="G2017" t="str">
            <v>BA</v>
          </cell>
          <cell r="H2017" t="str">
            <v>DISTRIBUIÇÃO</v>
          </cell>
          <cell r="I2017" t="str">
            <v>FOOD SERVICE</v>
          </cell>
          <cell r="J2017" t="str">
            <v xml:space="preserve">KARIS FOOD / LUIZ </v>
          </cell>
          <cell r="K2017" t="str">
            <v>ITAMBÉ</v>
          </cell>
          <cell r="L2017" t="str">
            <v>RODRIGO</v>
          </cell>
          <cell r="M2017" t="str">
            <v>VAGO NORDESTE</v>
          </cell>
        </row>
        <row r="2018">
          <cell r="B2018">
            <v>5339674</v>
          </cell>
          <cell r="C2018" t="str">
            <v>LANCH E REST BAMBARAS LTDA</v>
          </cell>
          <cell r="D2018" t="str">
            <v>7001</v>
          </cell>
          <cell r="E2018" t="str">
            <v>0722</v>
          </cell>
          <cell r="F2018" t="str">
            <v>C1</v>
          </cell>
          <cell r="G2018" t="str">
            <v>SP</v>
          </cell>
          <cell r="H2018" t="str">
            <v>DISTRIBUIÇÃO</v>
          </cell>
          <cell r="I2018" t="str">
            <v>FOOD SERVICE</v>
          </cell>
          <cell r="J2018" t="str">
            <v>GUILHERME NASCIMENTO</v>
          </cell>
          <cell r="K2018" t="str">
            <v>LACTALIS</v>
          </cell>
          <cell r="L2018" t="str">
            <v>RODRIGO</v>
          </cell>
          <cell r="M2018" t="str">
            <v>ALEXANDRO</v>
          </cell>
        </row>
        <row r="2019">
          <cell r="B2019">
            <v>5347083</v>
          </cell>
          <cell r="C2019" t="str">
            <v>MIMIC FORNECIMENTO DE ALIMENTOS</v>
          </cell>
          <cell r="D2019" t="str">
            <v>7001</v>
          </cell>
          <cell r="E2019" t="str">
            <v>0749</v>
          </cell>
          <cell r="F2019" t="str">
            <v>C5</v>
          </cell>
          <cell r="G2019" t="str">
            <v>SP</v>
          </cell>
          <cell r="H2019" t="str">
            <v>DISTRIBUIÇÃO</v>
          </cell>
          <cell r="I2019" t="str">
            <v>FOOD SERVICE</v>
          </cell>
          <cell r="J2019" t="str">
            <v>FLAC 3</v>
          </cell>
          <cell r="K2019" t="str">
            <v>LACTALIS</v>
          </cell>
          <cell r="L2019" t="str">
            <v>RODRIGO</v>
          </cell>
          <cell r="M2019" t="str">
            <v>ALEXANDRO</v>
          </cell>
        </row>
        <row r="2020">
          <cell r="B2020">
            <v>5193349</v>
          </cell>
          <cell r="C2020" t="str">
            <v>SYACABA NO SORVETE LTDA</v>
          </cell>
          <cell r="D2020" t="str">
            <v>3001</v>
          </cell>
          <cell r="E2020" t="str">
            <v>0028</v>
          </cell>
          <cell r="F2020" t="str">
            <v>C1</v>
          </cell>
          <cell r="G2020" t="str">
            <v>MG</v>
          </cell>
          <cell r="H2020" t="str">
            <v>INGREDIENTS</v>
          </cell>
          <cell r="I2020" t="str">
            <v>INGREDIENTS</v>
          </cell>
          <cell r="J2020" t="str">
            <v>HENRIQUE FERREIRA</v>
          </cell>
          <cell r="K2020" t="str">
            <v>ITAMBÉ</v>
          </cell>
          <cell r="L2020" t="str">
            <v>MAURICIO</v>
          </cell>
          <cell r="M2020" t="str">
            <v>JOEL</v>
          </cell>
        </row>
        <row r="2021">
          <cell r="B2021">
            <v>5234738</v>
          </cell>
          <cell r="C2021" t="str">
            <v>CATUABA INDUSTRIA DE BEBIDAS SA</v>
          </cell>
          <cell r="D2021" t="str">
            <v>6001</v>
          </cell>
          <cell r="E2021" t="str">
            <v>6028</v>
          </cell>
          <cell r="F2021" t="str">
            <v>C1</v>
          </cell>
          <cell r="G2021" t="str">
            <v>ES</v>
          </cell>
          <cell r="H2021" t="str">
            <v>INGREDIENTS</v>
          </cell>
          <cell r="I2021" t="str">
            <v>INGREDIENTS</v>
          </cell>
          <cell r="J2021" t="str">
            <v>HENRIQUE FERREIRA</v>
          </cell>
          <cell r="K2021" t="str">
            <v>ITAMBÉ</v>
          </cell>
          <cell r="L2021" t="str">
            <v>MAURICIO</v>
          </cell>
          <cell r="M2021" t="str">
            <v>JOEL</v>
          </cell>
        </row>
        <row r="2022">
          <cell r="B2022">
            <v>5127549</v>
          </cell>
          <cell r="C2022" t="str">
            <v>SECOMANDI IND E COM DE SORVETES LTD</v>
          </cell>
          <cell r="D2022" t="str">
            <v>6001</v>
          </cell>
          <cell r="E2022" t="str">
            <v>6028</v>
          </cell>
          <cell r="F2022" t="str">
            <v>C1</v>
          </cell>
          <cell r="G2022" t="str">
            <v>ES</v>
          </cell>
          <cell r="H2022" t="str">
            <v>INGREDIENTS</v>
          </cell>
          <cell r="I2022" t="str">
            <v>INGREDIENTS</v>
          </cell>
          <cell r="J2022" t="str">
            <v>HENRIQUE FERREIRA</v>
          </cell>
          <cell r="K2022" t="str">
            <v>ITAMBÉ</v>
          </cell>
          <cell r="L2022" t="str">
            <v>MAURICIO</v>
          </cell>
          <cell r="M2022" t="str">
            <v>JOEL</v>
          </cell>
        </row>
        <row r="2023">
          <cell r="B2023">
            <v>5200105</v>
          </cell>
          <cell r="C2023" t="str">
            <v>NPEREIRA IMPORTACAO E COMERCIO</v>
          </cell>
          <cell r="D2023" t="str">
            <v>7001</v>
          </cell>
          <cell r="E2023" t="str">
            <v>0722</v>
          </cell>
          <cell r="F2023" t="str">
            <v>C1</v>
          </cell>
          <cell r="G2023" t="str">
            <v>SP</v>
          </cell>
          <cell r="H2023" t="str">
            <v>DISTRIBUIÇÃO</v>
          </cell>
          <cell r="I2023" t="str">
            <v>FOOD SERVICE</v>
          </cell>
          <cell r="J2023" t="str">
            <v>FLAC 8</v>
          </cell>
          <cell r="K2023" t="str">
            <v>LACTALIS</v>
          </cell>
          <cell r="L2023" t="str">
            <v>RODRIGO</v>
          </cell>
          <cell r="M2023" t="str">
            <v>ALEXANDRO</v>
          </cell>
        </row>
        <row r="2024">
          <cell r="B2024">
            <v>5213748</v>
          </cell>
          <cell r="C2024" t="str">
            <v>OESA COMERCIO E REPRESENTACOES</v>
          </cell>
          <cell r="D2024" t="str">
            <v>6001</v>
          </cell>
          <cell r="E2024" t="str">
            <v>6125</v>
          </cell>
          <cell r="F2024" t="str">
            <v>C1</v>
          </cell>
          <cell r="G2024" t="str">
            <v>SP</v>
          </cell>
          <cell r="H2024" t="str">
            <v>DISTRIBUIÇÃO</v>
          </cell>
          <cell r="I2024" t="str">
            <v>FOOD SERVICE</v>
          </cell>
          <cell r="J2024" t="str">
            <v>LUCAS ANDRADE</v>
          </cell>
          <cell r="K2024" t="str">
            <v>ITAMBÉ</v>
          </cell>
          <cell r="L2024" t="str">
            <v>RODRIGO</v>
          </cell>
          <cell r="M2024" t="str">
            <v>RAQUEL BARBOSA</v>
          </cell>
        </row>
        <row r="2025">
          <cell r="B2025">
            <v>5257568</v>
          </cell>
          <cell r="C2025" t="str">
            <v>LIFRAN CONFEITARIA LTDA ME</v>
          </cell>
          <cell r="D2025" t="str">
            <v>7001</v>
          </cell>
          <cell r="E2025" t="str">
            <v>0749</v>
          </cell>
          <cell r="F2025" t="str">
            <v>C5</v>
          </cell>
          <cell r="G2025" t="str">
            <v>SP</v>
          </cell>
          <cell r="H2025" t="str">
            <v>DISTRIBUIÇÃO</v>
          </cell>
          <cell r="I2025" t="str">
            <v>FOOD SERVICE</v>
          </cell>
          <cell r="J2025" t="str">
            <v>FLAC 2</v>
          </cell>
          <cell r="K2025" t="str">
            <v>LACTALIS</v>
          </cell>
          <cell r="L2025" t="str">
            <v>RODRIGO</v>
          </cell>
          <cell r="M2025" t="str">
            <v>ALEXANDRO</v>
          </cell>
        </row>
        <row r="2026">
          <cell r="B2026">
            <v>5333153</v>
          </cell>
          <cell r="C2026" t="str">
            <v>RAROS INDUSTRIA E COM DE MASSAS AL LTDA</v>
          </cell>
          <cell r="D2026" t="str">
            <v>3001</v>
          </cell>
          <cell r="E2026" t="str">
            <v>0028</v>
          </cell>
          <cell r="F2026" t="str">
            <v>C1</v>
          </cell>
          <cell r="G2026" t="str">
            <v>MG</v>
          </cell>
          <cell r="H2026" t="str">
            <v>INGREDIENTS</v>
          </cell>
          <cell r="I2026" t="str">
            <v>INGREDIENTS</v>
          </cell>
          <cell r="J2026" t="str">
            <v>HENRIQUE FERREIRA</v>
          </cell>
          <cell r="K2026" t="str">
            <v>ITAMBÉ</v>
          </cell>
          <cell r="L2026" t="str">
            <v>MAURICIO</v>
          </cell>
          <cell r="M2026" t="str">
            <v>JOEL</v>
          </cell>
        </row>
        <row r="2027">
          <cell r="B2027">
            <v>5333153</v>
          </cell>
          <cell r="C2027" t="str">
            <v>RAROS INDUSTRIA E COM DE MASSAS AL LTDA</v>
          </cell>
          <cell r="D2027" t="str">
            <v>4001</v>
          </cell>
          <cell r="E2027" t="str">
            <v>0458</v>
          </cell>
          <cell r="F2027" t="str">
            <v>C1</v>
          </cell>
          <cell r="G2027" t="str">
            <v>MG</v>
          </cell>
          <cell r="H2027" t="str">
            <v>INGREDIENTS</v>
          </cell>
          <cell r="I2027" t="str">
            <v>INGREDIENTS</v>
          </cell>
          <cell r="J2027" t="str">
            <v>HENRIQUE FERREIRA</v>
          </cell>
          <cell r="K2027" t="str">
            <v>LACTALIS</v>
          </cell>
          <cell r="L2027" t="str">
            <v>MAURICIO</v>
          </cell>
          <cell r="M2027" t="str">
            <v>JOEL</v>
          </cell>
        </row>
        <row r="2028">
          <cell r="B2028">
            <v>5001794</v>
          </cell>
          <cell r="C2028" t="str">
            <v>GATE GOURMET LTDA</v>
          </cell>
          <cell r="D2028" t="str">
            <v>7001</v>
          </cell>
          <cell r="E2028" t="str">
            <v>0722</v>
          </cell>
          <cell r="F2028" t="str">
            <v>C1</v>
          </cell>
          <cell r="G2028" t="str">
            <v>RJ</v>
          </cell>
          <cell r="H2028" t="str">
            <v>QSR</v>
          </cell>
          <cell r="I2028" t="str">
            <v>FOOD SERVICE</v>
          </cell>
          <cell r="J2028" t="str">
            <v>ANA MENIQUETE</v>
          </cell>
          <cell r="K2028" t="str">
            <v>LACTALIS</v>
          </cell>
          <cell r="L2028" t="str">
            <v>PEDRO</v>
          </cell>
          <cell r="M2028" t="str">
            <v>ANA MENIQUETE</v>
          </cell>
        </row>
        <row r="2029">
          <cell r="B2029">
            <v>5207394</v>
          </cell>
          <cell r="C2029" t="str">
            <v>NEWREST BRASIL S A AO T AEREO LTDA</v>
          </cell>
          <cell r="D2029" t="str">
            <v>7001</v>
          </cell>
          <cell r="E2029" t="str">
            <v>0722</v>
          </cell>
          <cell r="F2029" t="str">
            <v>C1</v>
          </cell>
          <cell r="G2029" t="str">
            <v>RJ</v>
          </cell>
          <cell r="H2029" t="str">
            <v>QSR</v>
          </cell>
          <cell r="I2029" t="str">
            <v>FOOD SERVICE</v>
          </cell>
          <cell r="J2029" t="str">
            <v>ANA MENIQUETE</v>
          </cell>
          <cell r="K2029" t="str">
            <v>LACTALIS</v>
          </cell>
          <cell r="L2029" t="str">
            <v>PEDRO</v>
          </cell>
          <cell r="M2029" t="str">
            <v>ANA MENIQUETE</v>
          </cell>
        </row>
        <row r="2030">
          <cell r="B2030">
            <v>5231882</v>
          </cell>
          <cell r="C2030" t="str">
            <v>MELHOR BOCADO ALIMENTOS LTDA</v>
          </cell>
          <cell r="D2030" t="str">
            <v>7001</v>
          </cell>
          <cell r="E2030" t="str">
            <v>0749</v>
          </cell>
          <cell r="F2030" t="str">
            <v>C5</v>
          </cell>
          <cell r="G2030" t="str">
            <v>SP</v>
          </cell>
          <cell r="H2030" t="str">
            <v>DISTRIBUIÇÃO</v>
          </cell>
          <cell r="I2030" t="str">
            <v>FOOD SERVICE</v>
          </cell>
          <cell r="J2030" t="str">
            <v>FLAC 2</v>
          </cell>
          <cell r="K2030" t="str">
            <v>LACTALIS</v>
          </cell>
          <cell r="L2030" t="str">
            <v>RODRIGO</v>
          </cell>
          <cell r="M2030" t="str">
            <v>ALEXANDRO</v>
          </cell>
        </row>
        <row r="2031">
          <cell r="B2031">
            <v>5255804</v>
          </cell>
          <cell r="C2031" t="str">
            <v>COMFRIO FOOD SERVICE LTDA</v>
          </cell>
          <cell r="D2031" t="str">
            <v>7001</v>
          </cell>
          <cell r="E2031" t="str">
            <v>0722</v>
          </cell>
          <cell r="F2031" t="str">
            <v>C1</v>
          </cell>
          <cell r="G2031" t="str">
            <v>SP</v>
          </cell>
          <cell r="H2031" t="str">
            <v>QSR</v>
          </cell>
          <cell r="I2031" t="str">
            <v>FOOD SERVICE</v>
          </cell>
          <cell r="J2031" t="str">
            <v>AMANDA CARVALHO</v>
          </cell>
          <cell r="K2031" t="str">
            <v>LACTALIS</v>
          </cell>
          <cell r="L2031" t="str">
            <v>PEDRO</v>
          </cell>
          <cell r="M2031" t="str">
            <v>AMANDA</v>
          </cell>
        </row>
        <row r="2032">
          <cell r="B2032">
            <v>5278429</v>
          </cell>
          <cell r="C2032" t="str">
            <v>FRUTO NOVO ALIMENTOS LT</v>
          </cell>
          <cell r="D2032" t="str">
            <v>7001</v>
          </cell>
          <cell r="E2032" t="str">
            <v>0749</v>
          </cell>
          <cell r="F2032" t="str">
            <v>C5</v>
          </cell>
          <cell r="G2032" t="str">
            <v>SP</v>
          </cell>
          <cell r="H2032" t="str">
            <v>DISTRIBUIÇÃO</v>
          </cell>
          <cell r="I2032" t="str">
            <v>FOOD SERVICE</v>
          </cell>
          <cell r="J2032" t="str">
            <v>FLAC 6</v>
          </cell>
          <cell r="K2032" t="str">
            <v>LACTALIS</v>
          </cell>
          <cell r="L2032" t="str">
            <v>RODRIGO</v>
          </cell>
          <cell r="M2032" t="str">
            <v>ALEXANDRO</v>
          </cell>
        </row>
        <row r="2033">
          <cell r="B2033">
            <v>5280081</v>
          </cell>
          <cell r="C2033" t="str">
            <v>BUNGE ALIMENTOS S A</v>
          </cell>
          <cell r="D2033" t="str">
            <v>4001</v>
          </cell>
          <cell r="E2033" t="str">
            <v>0437</v>
          </cell>
          <cell r="F2033" t="str">
            <v>C1</v>
          </cell>
          <cell r="G2033" t="str">
            <v>PR</v>
          </cell>
          <cell r="H2033" t="str">
            <v>INGREDIENTS</v>
          </cell>
          <cell r="I2033" t="str">
            <v>INGREDIENTS</v>
          </cell>
          <cell r="J2033" t="str">
            <v>JOEL ELEOTÉRIO</v>
          </cell>
          <cell r="K2033" t="str">
            <v>LACTALIS</v>
          </cell>
          <cell r="L2033" t="str">
            <v>MAURICIO</v>
          </cell>
          <cell r="M2033" t="str">
            <v>JOEL</v>
          </cell>
        </row>
        <row r="2034">
          <cell r="B2034">
            <v>5340606</v>
          </cell>
          <cell r="C2034" t="str">
            <v>49963972 GRAZIELLA BARBOSA ALVE</v>
          </cell>
          <cell r="D2034" t="str">
            <v>6001</v>
          </cell>
          <cell r="E2034" t="str">
            <v>6028</v>
          </cell>
          <cell r="F2034" t="str">
            <v>C1</v>
          </cell>
          <cell r="G2034" t="str">
            <v>SP</v>
          </cell>
          <cell r="H2034" t="str">
            <v>INGREDIENTS</v>
          </cell>
          <cell r="I2034" t="str">
            <v>INGREDIENTS</v>
          </cell>
          <cell r="J2034" t="str">
            <v>HENRIQUE FERREIRA</v>
          </cell>
          <cell r="K2034" t="str">
            <v>ITAMBÉ</v>
          </cell>
          <cell r="L2034" t="str">
            <v>MAURICIO</v>
          </cell>
          <cell r="M2034" t="str">
            <v>JOEL</v>
          </cell>
        </row>
        <row r="2035">
          <cell r="B2035">
            <v>5006512</v>
          </cell>
          <cell r="C2035" t="str">
            <v>MARIA ANTONIETA PAD E CONFEITAR</v>
          </cell>
          <cell r="D2035" t="str">
            <v>3001</v>
          </cell>
          <cell r="E2035" t="str">
            <v>0028</v>
          </cell>
          <cell r="F2035" t="str">
            <v>C1</v>
          </cell>
          <cell r="G2035" t="str">
            <v>MG</v>
          </cell>
          <cell r="H2035" t="str">
            <v>INGREDIENTS</v>
          </cell>
          <cell r="I2035" t="str">
            <v>INGREDIENTS</v>
          </cell>
          <cell r="J2035" t="str">
            <v>HENRIQUE FERREIRA</v>
          </cell>
          <cell r="K2035" t="str">
            <v>ITAMBÉ</v>
          </cell>
          <cell r="L2035" t="str">
            <v>MAURICIO</v>
          </cell>
          <cell r="M2035" t="str">
            <v>JOEL</v>
          </cell>
        </row>
        <row r="2036">
          <cell r="B2036">
            <v>5079293</v>
          </cell>
          <cell r="C2036" t="str">
            <v>COPROSUL COMERCIO IMPORT E EXPO</v>
          </cell>
          <cell r="D2036" t="str">
            <v>7001</v>
          </cell>
          <cell r="E2036" t="str">
            <v>0749</v>
          </cell>
          <cell r="F2036" t="str">
            <v>C5</v>
          </cell>
          <cell r="G2036" t="str">
            <v>SP</v>
          </cell>
          <cell r="H2036" t="str">
            <v>DISTRIBUIÇÃO</v>
          </cell>
          <cell r="I2036" t="str">
            <v>FOOD SERVICE</v>
          </cell>
          <cell r="J2036" t="str">
            <v>GUILHERME NASCIMENTO</v>
          </cell>
          <cell r="K2036" t="str">
            <v>LACTALIS</v>
          </cell>
          <cell r="L2036" t="str">
            <v>RODRIGO</v>
          </cell>
          <cell r="M2036" t="str">
            <v>ALEXANDRO</v>
          </cell>
        </row>
        <row r="2037">
          <cell r="B2037">
            <v>5114515</v>
          </cell>
          <cell r="C2037" t="str">
            <v>NOSSOS SABORES IND E COM DE ALIM EI</v>
          </cell>
          <cell r="D2037" t="str">
            <v>6001</v>
          </cell>
          <cell r="E2037" t="str">
            <v>6028</v>
          </cell>
          <cell r="F2037" t="str">
            <v>C1</v>
          </cell>
          <cell r="G2037" t="str">
            <v>RJ</v>
          </cell>
          <cell r="H2037" t="str">
            <v>INGREDIENTS</v>
          </cell>
          <cell r="I2037" t="str">
            <v>INGREDIENTS</v>
          </cell>
          <cell r="J2037" t="str">
            <v>TATIANA NITTA</v>
          </cell>
          <cell r="K2037" t="str">
            <v>ITAMBÉ</v>
          </cell>
          <cell r="L2037" t="str">
            <v>MAURICIO</v>
          </cell>
          <cell r="M2037" t="str">
            <v>TATIANA NITTA</v>
          </cell>
        </row>
        <row r="2038">
          <cell r="B2038">
            <v>5186259</v>
          </cell>
          <cell r="C2038" t="str">
            <v>CLUBE DOS SABORES IND E COM DE</v>
          </cell>
          <cell r="D2038" t="str">
            <v>6001</v>
          </cell>
          <cell r="E2038" t="str">
            <v>6028</v>
          </cell>
          <cell r="F2038" t="str">
            <v>C1</v>
          </cell>
          <cell r="G2038" t="str">
            <v>RJ</v>
          </cell>
          <cell r="H2038" t="str">
            <v>INGREDIENTS</v>
          </cell>
          <cell r="I2038" t="str">
            <v>INGREDIENTS</v>
          </cell>
          <cell r="J2038" t="str">
            <v>TATIANA NITTA</v>
          </cell>
          <cell r="K2038" t="str">
            <v>ITAMBÉ</v>
          </cell>
          <cell r="L2038" t="str">
            <v>MAURICIO</v>
          </cell>
          <cell r="M2038" t="str">
            <v>TATIANA NITTA</v>
          </cell>
        </row>
        <row r="2039">
          <cell r="B2039">
            <v>5318911</v>
          </cell>
          <cell r="C2039" t="str">
            <v>R C M COMERCIO DE BOLOS E DOCES</v>
          </cell>
          <cell r="D2039" t="str">
            <v>7001</v>
          </cell>
          <cell r="E2039" t="str">
            <v>0749</v>
          </cell>
          <cell r="F2039" t="str">
            <v>C5</v>
          </cell>
          <cell r="G2039" t="str">
            <v>SP</v>
          </cell>
          <cell r="H2039" t="str">
            <v>DISTRIBUIÇÃO</v>
          </cell>
          <cell r="I2039" t="str">
            <v>FOOD SERVICE</v>
          </cell>
          <cell r="J2039" t="str">
            <v>FLAC 6</v>
          </cell>
          <cell r="K2039" t="str">
            <v>LACTALIS</v>
          </cell>
          <cell r="L2039" t="str">
            <v>RODRIGO</v>
          </cell>
          <cell r="M2039" t="str">
            <v>ALEXANDRO</v>
          </cell>
        </row>
        <row r="2040">
          <cell r="B2040">
            <v>5330552</v>
          </cell>
          <cell r="C2040" t="str">
            <v>ML FLAVORS COMERCIO</v>
          </cell>
          <cell r="D2040" t="str">
            <v>6001</v>
          </cell>
          <cell r="E2040" t="str">
            <v>6028</v>
          </cell>
          <cell r="F2040" t="str">
            <v>C1</v>
          </cell>
          <cell r="G2040" t="str">
            <v>BA</v>
          </cell>
          <cell r="H2040" t="str">
            <v>INGREDIENTS</v>
          </cell>
          <cell r="I2040" t="str">
            <v>INGREDIENTS</v>
          </cell>
          <cell r="J2040" t="str">
            <v>DUAS RODAS</v>
          </cell>
          <cell r="K2040" t="str">
            <v>ITAMBÉ</v>
          </cell>
          <cell r="L2040" t="str">
            <v>MAURICIO</v>
          </cell>
          <cell r="M2040" t="str">
            <v>JOEL</v>
          </cell>
        </row>
        <row r="2041">
          <cell r="B2041">
            <v>5347240</v>
          </cell>
          <cell r="C2041" t="str">
            <v>CHARLEROI COMERCIO DE DOCES LTD</v>
          </cell>
          <cell r="D2041" t="str">
            <v>6001</v>
          </cell>
          <cell r="E2041" t="str">
            <v>6028</v>
          </cell>
          <cell r="F2041" t="str">
            <v>C1</v>
          </cell>
          <cell r="G2041" t="str">
            <v>SP</v>
          </cell>
          <cell r="H2041" t="str">
            <v>INGREDIENTS</v>
          </cell>
          <cell r="I2041" t="str">
            <v>INGREDIENTS</v>
          </cell>
          <cell r="J2041" t="str">
            <v>HENRIQUE FERREIRA</v>
          </cell>
          <cell r="K2041" t="str">
            <v>ITAMBÉ</v>
          </cell>
          <cell r="L2041" t="str">
            <v>MAURICIO</v>
          </cell>
          <cell r="M2041" t="str">
            <v>JOEL</v>
          </cell>
        </row>
        <row r="2042">
          <cell r="B2042">
            <v>5145238</v>
          </cell>
          <cell r="C2042" t="str">
            <v>BIMBO DO BRASIL LTDA</v>
          </cell>
          <cell r="D2042" t="str">
            <v>6001</v>
          </cell>
          <cell r="E2042" t="str">
            <v>6028</v>
          </cell>
          <cell r="F2042" t="str">
            <v>C1</v>
          </cell>
          <cell r="G2042" t="str">
            <v>SP</v>
          </cell>
          <cell r="H2042" t="str">
            <v>INGREDIENTS</v>
          </cell>
          <cell r="I2042" t="str">
            <v>INGREDIENTS</v>
          </cell>
          <cell r="J2042" t="str">
            <v>TATIANA NITTA</v>
          </cell>
          <cell r="K2042" t="str">
            <v>ITAMBÉ</v>
          </cell>
          <cell r="L2042" t="str">
            <v>MAURICIO</v>
          </cell>
          <cell r="M2042" t="str">
            <v>TATIANA NITTA</v>
          </cell>
        </row>
        <row r="2043">
          <cell r="B2043">
            <v>5339543</v>
          </cell>
          <cell r="C2043" t="str">
            <v>COM DE PROD ALIM BELA PEDRA LTD</v>
          </cell>
          <cell r="D2043" t="str">
            <v>7001</v>
          </cell>
          <cell r="E2043" t="str">
            <v>0749</v>
          </cell>
          <cell r="F2043" t="str">
            <v>C5</v>
          </cell>
          <cell r="G2043" t="str">
            <v>SP</v>
          </cell>
          <cell r="H2043" t="str">
            <v>DISTRIBUIÇÃO</v>
          </cell>
          <cell r="I2043" t="str">
            <v>FOOD SERVICE</v>
          </cell>
          <cell r="J2043" t="str">
            <v>FLAC 3</v>
          </cell>
          <cell r="K2043" t="str">
            <v>LACTALIS</v>
          </cell>
          <cell r="L2043" t="str">
            <v>RODRIGO</v>
          </cell>
          <cell r="M2043" t="str">
            <v>ALEXANDRO</v>
          </cell>
        </row>
        <row r="2044">
          <cell r="B2044">
            <v>5348883</v>
          </cell>
          <cell r="C2044" t="str">
            <v>JUJUBA COMERCIO DE ALIMENTOS LT</v>
          </cell>
          <cell r="D2044" t="str">
            <v>7001</v>
          </cell>
          <cell r="E2044" t="str">
            <v>0749</v>
          </cell>
          <cell r="F2044" t="str">
            <v>C5</v>
          </cell>
          <cell r="G2044" t="str">
            <v>SP</v>
          </cell>
          <cell r="H2044" t="str">
            <v>DISTRIBUIÇÃO</v>
          </cell>
          <cell r="I2044" t="str">
            <v>FOOD SERVICE</v>
          </cell>
          <cell r="J2044" t="str">
            <v>FLAC 6</v>
          </cell>
          <cell r="K2044" t="str">
            <v>LACTALIS</v>
          </cell>
          <cell r="L2044" t="str">
            <v>RODRIGO</v>
          </cell>
          <cell r="M2044" t="str">
            <v>ALEXANDRO</v>
          </cell>
        </row>
        <row r="2045">
          <cell r="B2045">
            <v>5074107</v>
          </cell>
          <cell r="C2045" t="str">
            <v>FESTPAN ALIM IMP E EXPORT LTDA</v>
          </cell>
          <cell r="D2045" t="str">
            <v>7001</v>
          </cell>
          <cell r="E2045" t="str">
            <v>0722</v>
          </cell>
          <cell r="F2045" t="str">
            <v>C1</v>
          </cell>
          <cell r="G2045" t="str">
            <v>SP</v>
          </cell>
          <cell r="H2045" t="str">
            <v>DISTRIBUIÇÃO</v>
          </cell>
          <cell r="I2045" t="str">
            <v>FOOD SERVICE</v>
          </cell>
          <cell r="J2045" t="str">
            <v>LUCAS ANDRADE</v>
          </cell>
          <cell r="K2045" t="str">
            <v>LACTALIS</v>
          </cell>
          <cell r="L2045" t="str">
            <v>RODRIGO</v>
          </cell>
          <cell r="M2045" t="str">
            <v>RAQUEL BARBOSA</v>
          </cell>
        </row>
        <row r="2046">
          <cell r="B2046">
            <v>5337773</v>
          </cell>
          <cell r="C2046" t="str">
            <v>CAFE PACIFICO LTDA</v>
          </cell>
          <cell r="D2046" t="str">
            <v>7001</v>
          </cell>
          <cell r="E2046" t="str">
            <v>0722</v>
          </cell>
          <cell r="F2046" t="str">
            <v>C1</v>
          </cell>
          <cell r="G2046" t="str">
            <v>SP</v>
          </cell>
          <cell r="H2046" t="str">
            <v>QSR</v>
          </cell>
          <cell r="I2046" t="str">
            <v>FOOD SERVICE</v>
          </cell>
          <cell r="J2046" t="str">
            <v>AMANDA CARVALHO</v>
          </cell>
          <cell r="K2046" t="str">
            <v>LACTALIS</v>
          </cell>
          <cell r="L2046" t="str">
            <v>PEDRO</v>
          </cell>
          <cell r="M2046" t="str">
            <v>AMANDA</v>
          </cell>
        </row>
        <row r="2047">
          <cell r="B2047">
            <v>5347470</v>
          </cell>
          <cell r="C2047" t="str">
            <v>RUBI RESTAURANTE E EVENTOS LTDA</v>
          </cell>
          <cell r="D2047" t="str">
            <v>7001</v>
          </cell>
          <cell r="E2047" t="str">
            <v>0749</v>
          </cell>
          <cell r="F2047" t="str">
            <v>C5</v>
          </cell>
          <cell r="G2047" t="str">
            <v>SP</v>
          </cell>
          <cell r="H2047" t="str">
            <v>DISTRIBUIÇÃO</v>
          </cell>
          <cell r="I2047" t="str">
            <v>FOOD SERVICE</v>
          </cell>
          <cell r="J2047" t="str">
            <v>FLAC 6</v>
          </cell>
          <cell r="K2047" t="str">
            <v>LACTALIS</v>
          </cell>
          <cell r="L2047" t="str">
            <v>RODRIGO</v>
          </cell>
          <cell r="M2047" t="str">
            <v>ALEXANDRO</v>
          </cell>
        </row>
        <row r="2048">
          <cell r="B2048">
            <v>5348715</v>
          </cell>
          <cell r="C2048" t="str">
            <v>GALERIA PAULISTA GRILL E LANCHE</v>
          </cell>
          <cell r="D2048" t="str">
            <v>7001</v>
          </cell>
          <cell r="E2048" t="str">
            <v>0749</v>
          </cell>
          <cell r="F2048" t="str">
            <v>C5</v>
          </cell>
          <cell r="G2048" t="str">
            <v>SP</v>
          </cell>
          <cell r="H2048" t="str">
            <v>DISTRIBUIÇÃO</v>
          </cell>
          <cell r="I2048" t="str">
            <v>FOOD SERVICE</v>
          </cell>
          <cell r="J2048" t="str">
            <v>FLAC 5</v>
          </cell>
          <cell r="K2048" t="str">
            <v>LACTALIS</v>
          </cell>
          <cell r="L2048" t="str">
            <v>RODRIGO</v>
          </cell>
          <cell r="M2048" t="str">
            <v>ALEXANDRO</v>
          </cell>
        </row>
        <row r="2049">
          <cell r="B2049">
            <v>5133455</v>
          </cell>
          <cell r="C2049" t="str">
            <v>OF COMERCIO DE PROD ALIMENTICIOS LT</v>
          </cell>
          <cell r="D2049" t="str">
            <v>3001</v>
          </cell>
          <cell r="E2049" t="str">
            <v>0028</v>
          </cell>
          <cell r="F2049" t="str">
            <v>C1</v>
          </cell>
          <cell r="G2049" t="str">
            <v>MG</v>
          </cell>
          <cell r="H2049" t="str">
            <v>INGREDIENTS</v>
          </cell>
          <cell r="I2049" t="str">
            <v>INGREDIENTS</v>
          </cell>
          <cell r="J2049" t="str">
            <v>HENRIQUE FERREIRA</v>
          </cell>
          <cell r="K2049" t="str">
            <v>ITAMBÉ</v>
          </cell>
          <cell r="L2049" t="str">
            <v>MAURICIO</v>
          </cell>
          <cell r="M2049" t="str">
            <v>JOEL</v>
          </cell>
        </row>
        <row r="2050">
          <cell r="B2050">
            <v>5024950</v>
          </cell>
          <cell r="C2050" t="str">
            <v>DUAS RODAS INDUSTRIAL LTDA</v>
          </cell>
          <cell r="D2050" t="str">
            <v>3001</v>
          </cell>
          <cell r="E2050" t="str">
            <v>0028</v>
          </cell>
          <cell r="F2050" t="str">
            <v>C1</v>
          </cell>
          <cell r="G2050" t="str">
            <v>SC</v>
          </cell>
          <cell r="H2050" t="str">
            <v>INGREDIENTS</v>
          </cell>
          <cell r="I2050" t="str">
            <v>INGREDIENTS</v>
          </cell>
          <cell r="J2050" t="str">
            <v>MARCELO RODRIGUES</v>
          </cell>
          <cell r="K2050" t="str">
            <v>ITAMBÉ</v>
          </cell>
          <cell r="L2050" t="str">
            <v>MAURICIO</v>
          </cell>
          <cell r="M2050" t="str">
            <v>MARCELO</v>
          </cell>
        </row>
        <row r="2051">
          <cell r="B2051">
            <v>5216580</v>
          </cell>
          <cell r="C2051" t="str">
            <v>M G RAMBO DE CARVALHO E CIA LTD</v>
          </cell>
          <cell r="D2051" t="str">
            <v>3001</v>
          </cell>
          <cell r="E2051" t="str">
            <v>0126</v>
          </cell>
          <cell r="F2051" t="str">
            <v>C1</v>
          </cell>
          <cell r="G2051" t="str">
            <v>PR</v>
          </cell>
          <cell r="H2051" t="str">
            <v>INGREDIENTS</v>
          </cell>
          <cell r="I2051" t="str">
            <v>INGREDIENTS</v>
          </cell>
          <cell r="J2051" t="str">
            <v>MARCELO RODRIGUES</v>
          </cell>
          <cell r="K2051" t="str">
            <v>ITAMBÉ</v>
          </cell>
          <cell r="L2051" t="str">
            <v>MAURICIO</v>
          </cell>
          <cell r="M2051" t="str">
            <v>MARCELO</v>
          </cell>
        </row>
        <row r="2052">
          <cell r="B2052">
            <v>5303293</v>
          </cell>
          <cell r="C2052" t="str">
            <v>LACTICINIOS TIROL LTDA</v>
          </cell>
          <cell r="D2052" t="str">
            <v>4001</v>
          </cell>
          <cell r="E2052" t="str">
            <v>0546</v>
          </cell>
          <cell r="F2052" t="str">
            <v>C1</v>
          </cell>
          <cell r="G2052" t="str">
            <v>RS</v>
          </cell>
          <cell r="H2052" t="str">
            <v>OUTROS</v>
          </cell>
          <cell r="I2052" t="str">
            <v>OUTROS</v>
          </cell>
          <cell r="J2052" t="str">
            <v>SERVIÇO TIROL</v>
          </cell>
          <cell r="K2052" t="str">
            <v>OUTROS</v>
          </cell>
          <cell r="L2052" t="str">
            <v>OUTROS</v>
          </cell>
          <cell r="M2052" t="str">
            <v>SERVIÇO TIROL</v>
          </cell>
        </row>
        <row r="2053">
          <cell r="B2053">
            <v>5349193</v>
          </cell>
          <cell r="C2053" t="str">
            <v>53678211 LETICIA CAMILO SEIFER</v>
          </cell>
          <cell r="D2053" t="str">
            <v>7001</v>
          </cell>
          <cell r="E2053" t="str">
            <v>0749</v>
          </cell>
          <cell r="F2053" t="str">
            <v>C5</v>
          </cell>
          <cell r="G2053" t="str">
            <v>SP</v>
          </cell>
          <cell r="H2053" t="str">
            <v>DISTRIBUIÇÃO</v>
          </cell>
          <cell r="I2053" t="str">
            <v>FOOD SERVICE</v>
          </cell>
          <cell r="J2053" t="str">
            <v>FLAC 2</v>
          </cell>
          <cell r="K2053" t="str">
            <v>LACTALIS</v>
          </cell>
          <cell r="L2053" t="str">
            <v>RODRIGO</v>
          </cell>
          <cell r="M2053" t="str">
            <v>ALEXANDRO</v>
          </cell>
        </row>
        <row r="2054">
          <cell r="B2054">
            <v>5184155</v>
          </cell>
          <cell r="C2054" t="str">
            <v>EJP COMERCIO DE ALIMENTOS LTDA</v>
          </cell>
          <cell r="D2054" t="str">
            <v>6001</v>
          </cell>
          <cell r="E2054" t="str">
            <v>6075</v>
          </cell>
          <cell r="F2054" t="str">
            <v>C1</v>
          </cell>
          <cell r="G2054" t="str">
            <v>CE</v>
          </cell>
          <cell r="H2054" t="str">
            <v>DISTRIBUIÇÃO</v>
          </cell>
          <cell r="I2054" t="str">
            <v>FOOD SERVICE</v>
          </cell>
          <cell r="J2054" t="str">
            <v>WH FOOD SERVICE CE</v>
          </cell>
          <cell r="K2054" t="str">
            <v>ITAMBÉ</v>
          </cell>
          <cell r="L2054" t="str">
            <v>RODRIGO</v>
          </cell>
          <cell r="M2054" t="str">
            <v>VAGO NORDESTE</v>
          </cell>
        </row>
        <row r="2055">
          <cell r="B2055">
            <v>5214053</v>
          </cell>
          <cell r="C2055" t="str">
            <v>MP MARTINS ALIMENTOS LTDA</v>
          </cell>
          <cell r="D2055" t="str">
            <v>4001</v>
          </cell>
          <cell r="E2055" t="str">
            <v>0456</v>
          </cell>
          <cell r="F2055" t="str">
            <v>C1</v>
          </cell>
          <cell r="G2055" t="str">
            <v>SC</v>
          </cell>
          <cell r="H2055" t="str">
            <v>DISTRIBUIÇÃO</v>
          </cell>
          <cell r="I2055" t="str">
            <v>FOOD SERVICE</v>
          </cell>
          <cell r="J2055" t="str">
            <v>ANTÔNIO SOUZA</v>
          </cell>
          <cell r="K2055" t="str">
            <v>LACTALIS</v>
          </cell>
          <cell r="L2055" t="str">
            <v>RODRIGO</v>
          </cell>
          <cell r="M2055" t="str">
            <v>VAGO SUL</v>
          </cell>
        </row>
        <row r="2056">
          <cell r="B2056">
            <v>5228459</v>
          </cell>
          <cell r="C2056" t="str">
            <v>ATLANTICA HOTELS INTERNATIONAL</v>
          </cell>
          <cell r="D2056" t="str">
            <v>7001</v>
          </cell>
          <cell r="E2056" t="str">
            <v>0749</v>
          </cell>
          <cell r="F2056" t="str">
            <v>C5</v>
          </cell>
          <cell r="G2056" t="str">
            <v>SP</v>
          </cell>
          <cell r="H2056" t="str">
            <v>DISTRIBUIÇÃO</v>
          </cell>
          <cell r="I2056" t="str">
            <v>FOOD SERVICE</v>
          </cell>
          <cell r="J2056" t="str">
            <v>FLAC 2</v>
          </cell>
          <cell r="K2056" t="str">
            <v>LACTALIS</v>
          </cell>
          <cell r="L2056" t="str">
            <v>RODRIGO</v>
          </cell>
          <cell r="M2056" t="str">
            <v>ALEXANDRO</v>
          </cell>
        </row>
        <row r="2057">
          <cell r="B2057">
            <v>5111398</v>
          </cell>
          <cell r="C2057" t="str">
            <v>SCANIA LATIN AMERICA LTDA</v>
          </cell>
          <cell r="D2057" t="str">
            <v>6001</v>
          </cell>
          <cell r="E2057" t="str">
            <v>6028</v>
          </cell>
          <cell r="F2057" t="str">
            <v>C1</v>
          </cell>
          <cell r="G2057" t="str">
            <v>SP</v>
          </cell>
          <cell r="H2057" t="str">
            <v>QSR</v>
          </cell>
          <cell r="I2057" t="str">
            <v>FOOD SERVICE</v>
          </cell>
          <cell r="J2057" t="str">
            <v>AMANDA CARVALHO</v>
          </cell>
          <cell r="K2057" t="str">
            <v>ITAMBÉ</v>
          </cell>
          <cell r="L2057" t="str">
            <v>PEDRO</v>
          </cell>
          <cell r="M2057" t="str">
            <v>AMANDA</v>
          </cell>
        </row>
        <row r="2058">
          <cell r="B2058">
            <v>5161583</v>
          </cell>
          <cell r="C2058" t="str">
            <v>DOHLER AMERICA LATINA LTDA</v>
          </cell>
          <cell r="D2058" t="str">
            <v>6001</v>
          </cell>
          <cell r="E2058" t="str">
            <v>6028</v>
          </cell>
          <cell r="F2058" t="str">
            <v>C1</v>
          </cell>
          <cell r="G2058" t="str">
            <v>SP</v>
          </cell>
          <cell r="H2058" t="str">
            <v>INGREDIENTS</v>
          </cell>
          <cell r="I2058" t="str">
            <v>INGREDIENTS</v>
          </cell>
          <cell r="J2058" t="str">
            <v>HENRIQUE FERREIRA</v>
          </cell>
          <cell r="K2058" t="str">
            <v>ITAMBÉ</v>
          </cell>
          <cell r="L2058" t="str">
            <v>MAURICIO</v>
          </cell>
          <cell r="M2058" t="str">
            <v>JOEL</v>
          </cell>
        </row>
        <row r="2059">
          <cell r="B2059">
            <v>5191198</v>
          </cell>
          <cell r="C2059" t="str">
            <v>ACAI NO KILO INDUS E COME DE AL</v>
          </cell>
          <cell r="D2059" t="str">
            <v>6001</v>
          </cell>
          <cell r="E2059" t="str">
            <v>6127</v>
          </cell>
          <cell r="F2059" t="str">
            <v>C1</v>
          </cell>
          <cell r="G2059" t="str">
            <v>BA</v>
          </cell>
          <cell r="H2059" t="str">
            <v>DISTRIBUIÇÃO</v>
          </cell>
          <cell r="I2059" t="str">
            <v>FOOD SERVICE</v>
          </cell>
          <cell r="J2059" t="str">
            <v xml:space="preserve">KARIS FOOD / LUIZ </v>
          </cell>
          <cell r="K2059" t="str">
            <v>ITAMBÉ</v>
          </cell>
          <cell r="L2059" t="str">
            <v>RODRIGO</v>
          </cell>
          <cell r="M2059" t="str">
            <v>VAGO NORDESTE</v>
          </cell>
        </row>
        <row r="2060">
          <cell r="B2060">
            <v>5193771</v>
          </cell>
          <cell r="C2060" t="str">
            <v>EMPORIO MEGA 100 COMERCIO DE AL</v>
          </cell>
          <cell r="D2060" t="str">
            <v>7001</v>
          </cell>
          <cell r="E2060" t="str">
            <v>0749</v>
          </cell>
          <cell r="F2060" t="str">
            <v>C5</v>
          </cell>
          <cell r="G2060" t="str">
            <v>SP</v>
          </cell>
          <cell r="H2060" t="str">
            <v>DISTRIBUIÇÃO</v>
          </cell>
          <cell r="I2060" t="str">
            <v>FOOD SERVICE</v>
          </cell>
          <cell r="J2060" t="str">
            <v>FLAC 1</v>
          </cell>
          <cell r="K2060" t="str">
            <v>LACTALIS</v>
          </cell>
          <cell r="L2060" t="str">
            <v>RODRIGO</v>
          </cell>
          <cell r="M2060" t="str">
            <v>ALEXANDRO</v>
          </cell>
        </row>
        <row r="2061">
          <cell r="B2061">
            <v>5347568</v>
          </cell>
          <cell r="C2061" t="str">
            <v>VEP ALIMENTOS LTDA</v>
          </cell>
          <cell r="D2061" t="str">
            <v>6001</v>
          </cell>
          <cell r="E2061" t="str">
            <v>6028</v>
          </cell>
          <cell r="F2061" t="str">
            <v>C1</v>
          </cell>
          <cell r="G2061" t="str">
            <v>SP</v>
          </cell>
          <cell r="H2061" t="str">
            <v>INGREDIENTS</v>
          </cell>
          <cell r="I2061" t="str">
            <v>INGREDIENTS</v>
          </cell>
          <cell r="J2061" t="str">
            <v>TATIANA NITTA</v>
          </cell>
          <cell r="K2061" t="str">
            <v>ITAMBÉ</v>
          </cell>
          <cell r="L2061" t="str">
            <v>MAURICIO</v>
          </cell>
          <cell r="M2061" t="str">
            <v>TATIANA NITTA</v>
          </cell>
        </row>
        <row r="2062">
          <cell r="B2062">
            <v>5349275</v>
          </cell>
          <cell r="C2062" t="str">
            <v>LEVAIN DE CASA PANIFICADORA LTD</v>
          </cell>
          <cell r="D2062" t="str">
            <v>7001</v>
          </cell>
          <cell r="E2062" t="str">
            <v>0749</v>
          </cell>
          <cell r="F2062" t="str">
            <v>C5</v>
          </cell>
          <cell r="G2062" t="str">
            <v>SP</v>
          </cell>
          <cell r="H2062" t="str">
            <v>DISTRIBUIÇÃO</v>
          </cell>
          <cell r="I2062" t="str">
            <v>FOOD SERVICE</v>
          </cell>
          <cell r="J2062" t="str">
            <v>FLAC 7</v>
          </cell>
          <cell r="K2062" t="str">
            <v>LACTALIS</v>
          </cell>
          <cell r="L2062" t="str">
            <v>RODRIGO</v>
          </cell>
          <cell r="M2062" t="str">
            <v>ALEXANDRO</v>
          </cell>
        </row>
        <row r="2063">
          <cell r="B2063">
            <v>5104835</v>
          </cell>
          <cell r="C2063" t="str">
            <v>AGILIZA DISTRIBUIDORA LTDA</v>
          </cell>
          <cell r="D2063" t="str">
            <v>3001</v>
          </cell>
          <cell r="E2063" t="str">
            <v>0122</v>
          </cell>
          <cell r="F2063" t="str">
            <v>C1</v>
          </cell>
          <cell r="G2063" t="str">
            <v>MG</v>
          </cell>
          <cell r="H2063" t="str">
            <v>DISTRIBUIÇÃO</v>
          </cell>
          <cell r="I2063" t="str">
            <v>FOOD SERVICE</v>
          </cell>
          <cell r="J2063" t="str">
            <v>MARCELO SILVA</v>
          </cell>
          <cell r="K2063" t="str">
            <v>ITAMBÉ</v>
          </cell>
          <cell r="L2063" t="str">
            <v>RODRIGO</v>
          </cell>
          <cell r="M2063" t="str">
            <v>CELIO MARTINS</v>
          </cell>
        </row>
        <row r="2064">
          <cell r="B2064">
            <v>5216580</v>
          </cell>
          <cell r="C2064" t="str">
            <v>M G RAMBO DE CARVALHO E CIA LTD</v>
          </cell>
          <cell r="D2064" t="str">
            <v>3001</v>
          </cell>
          <cell r="E2064" t="str">
            <v>0028</v>
          </cell>
          <cell r="F2064" t="str">
            <v>C1</v>
          </cell>
          <cell r="G2064" t="str">
            <v>PR</v>
          </cell>
          <cell r="H2064" t="str">
            <v>INGREDIENTS</v>
          </cell>
          <cell r="I2064" t="str">
            <v>INGREDIENTS</v>
          </cell>
          <cell r="J2064" t="str">
            <v>MARCELO RODRIGUES</v>
          </cell>
          <cell r="K2064" t="str">
            <v>ITAMBÉ</v>
          </cell>
          <cell r="L2064" t="str">
            <v>MAURICIO</v>
          </cell>
          <cell r="M2064" t="str">
            <v>MARCELO</v>
          </cell>
        </row>
        <row r="2065">
          <cell r="B2065">
            <v>5219478</v>
          </cell>
          <cell r="C2065" t="str">
            <v>YAKULT SA INDUSTRIA E COMERCIO</v>
          </cell>
          <cell r="D2065" t="str">
            <v>4001</v>
          </cell>
          <cell r="E2065" t="str">
            <v>0423</v>
          </cell>
          <cell r="F2065" t="str">
            <v>C5</v>
          </cell>
          <cell r="G2065" t="str">
            <v>SP</v>
          </cell>
          <cell r="H2065" t="str">
            <v>INGREDIENTS</v>
          </cell>
          <cell r="I2065" t="str">
            <v>INGREDIENTS</v>
          </cell>
          <cell r="J2065" t="str">
            <v>FERREIRA MELO</v>
          </cell>
          <cell r="K2065" t="str">
            <v>LACTALIS</v>
          </cell>
          <cell r="L2065" t="str">
            <v>MAURICIO</v>
          </cell>
          <cell r="M2065" t="str">
            <v>JOEL</v>
          </cell>
        </row>
        <row r="2066">
          <cell r="B2066">
            <v>5260909</v>
          </cell>
          <cell r="C2066" t="str">
            <v>BASEL LACTEOS SA</v>
          </cell>
          <cell r="D2066" t="str">
            <v>3001</v>
          </cell>
          <cell r="E2066" t="str">
            <v>0028</v>
          </cell>
          <cell r="F2066" t="str">
            <v>C1</v>
          </cell>
          <cell r="G2066" t="str">
            <v>MG</v>
          </cell>
          <cell r="H2066" t="str">
            <v>INGREDIENTS</v>
          </cell>
          <cell r="I2066" t="str">
            <v>INGREDIENTS</v>
          </cell>
          <cell r="J2066" t="str">
            <v>HENRIQUE FERREIRA</v>
          </cell>
          <cell r="K2066" t="str">
            <v>ITAMBÉ</v>
          </cell>
          <cell r="L2066" t="str">
            <v>MAURICIO</v>
          </cell>
          <cell r="M2066" t="str">
            <v>JOEL</v>
          </cell>
        </row>
        <row r="2067">
          <cell r="B2067">
            <v>5292367</v>
          </cell>
          <cell r="C2067" t="str">
            <v>POINT DO FIFO MERCADO LTDA</v>
          </cell>
          <cell r="D2067" t="str">
            <v>3001</v>
          </cell>
          <cell r="E2067" t="str">
            <v>0126</v>
          </cell>
          <cell r="F2067" t="str">
            <v>C1</v>
          </cell>
          <cell r="G2067" t="str">
            <v>SC</v>
          </cell>
          <cell r="H2067" t="str">
            <v>DISTRIBUIÇÃO</v>
          </cell>
          <cell r="I2067" t="str">
            <v>FOOD SERVICE</v>
          </cell>
          <cell r="J2067" t="str">
            <v>ANTÔNIO SOUZA</v>
          </cell>
          <cell r="K2067" t="str">
            <v>ITAMBÉ</v>
          </cell>
          <cell r="L2067" t="str">
            <v>RODRIGO</v>
          </cell>
          <cell r="M2067" t="str">
            <v>VAGO SUL</v>
          </cell>
        </row>
        <row r="2068">
          <cell r="B2068">
            <v>5346964</v>
          </cell>
          <cell r="C2068" t="str">
            <v>MSLR COM ATACADISTA DE BEBIDAS</v>
          </cell>
          <cell r="D2068" t="str">
            <v>6001</v>
          </cell>
          <cell r="E2068" t="str">
            <v>6125</v>
          </cell>
          <cell r="F2068" t="str">
            <v>C1</v>
          </cell>
          <cell r="G2068" t="str">
            <v>SP</v>
          </cell>
          <cell r="H2068" t="str">
            <v>INGREDIENTS</v>
          </cell>
          <cell r="I2068" t="str">
            <v>INGREDIENTS</v>
          </cell>
          <cell r="J2068" t="str">
            <v>TATIANA NITTA</v>
          </cell>
          <cell r="K2068" t="str">
            <v>ITAMBÉ</v>
          </cell>
          <cell r="L2068" t="str">
            <v>MAURICIO</v>
          </cell>
          <cell r="M2068" t="str">
            <v>TATIANA NITTA</v>
          </cell>
        </row>
        <row r="2069">
          <cell r="B2069">
            <v>5349105</v>
          </cell>
          <cell r="C2069" t="str">
            <v>LIFTOM CAFES ESPECIAIS LTDA</v>
          </cell>
          <cell r="D2069" t="str">
            <v>7001</v>
          </cell>
          <cell r="E2069" t="str">
            <v>0749</v>
          </cell>
          <cell r="F2069" t="str">
            <v>C5</v>
          </cell>
          <cell r="G2069" t="str">
            <v>SP</v>
          </cell>
          <cell r="H2069" t="str">
            <v>DISTRIBUIÇÃO</v>
          </cell>
          <cell r="I2069" t="str">
            <v>FOOD SERVICE</v>
          </cell>
          <cell r="J2069" t="str">
            <v>FLAC 2</v>
          </cell>
          <cell r="K2069" t="str">
            <v>LACTALIS</v>
          </cell>
          <cell r="L2069" t="str">
            <v>RODRIGO</v>
          </cell>
          <cell r="M2069" t="str">
            <v>ALEXANDRO</v>
          </cell>
        </row>
        <row r="2070">
          <cell r="B2070">
            <v>5349287</v>
          </cell>
          <cell r="C2070" t="str">
            <v>IDEAL CESTAS DE ALIMENTOS LTDA</v>
          </cell>
          <cell r="D2070" t="str">
            <v>3001</v>
          </cell>
          <cell r="E2070" t="str">
            <v>0122</v>
          </cell>
          <cell r="F2070" t="str">
            <v>C1</v>
          </cell>
          <cell r="G2070" t="str">
            <v>MG</v>
          </cell>
          <cell r="H2070" t="str">
            <v>DISTRIBUIÇÃO</v>
          </cell>
          <cell r="I2070" t="str">
            <v>FOOD SERVICE</v>
          </cell>
          <cell r="J2070" t="str">
            <v>MARCELO SILVA</v>
          </cell>
          <cell r="K2070" t="str">
            <v>ITAMBÉ</v>
          </cell>
          <cell r="L2070" t="str">
            <v>RODRIGO</v>
          </cell>
          <cell r="M2070" t="str">
            <v>CELIO MARTINS</v>
          </cell>
        </row>
        <row r="2071">
          <cell r="B2071">
            <v>5349292</v>
          </cell>
          <cell r="C2071" t="str">
            <v>LA PERLE PATISSERIE LTDA</v>
          </cell>
          <cell r="D2071" t="str">
            <v>7001</v>
          </cell>
          <cell r="E2071" t="str">
            <v>0749</v>
          </cell>
          <cell r="F2071" t="str">
            <v>C5</v>
          </cell>
          <cell r="G2071" t="str">
            <v>SP</v>
          </cell>
          <cell r="H2071" t="str">
            <v>DISTRIBUIÇÃO</v>
          </cell>
          <cell r="I2071" t="str">
            <v>FOOD SERVICE</v>
          </cell>
          <cell r="J2071" t="str">
            <v>FLAC 3</v>
          </cell>
          <cell r="K2071" t="str">
            <v>LACTALIS</v>
          </cell>
          <cell r="L2071" t="str">
            <v>RODRIGO</v>
          </cell>
          <cell r="M2071" t="str">
            <v>ALEXANDRO</v>
          </cell>
        </row>
        <row r="2072">
          <cell r="B2072">
            <v>5011056</v>
          </cell>
          <cell r="C2072" t="str">
            <v>APARECIDO DONIZETE DOS SANTOS</v>
          </cell>
          <cell r="D2072" t="str">
            <v>4001</v>
          </cell>
          <cell r="E2072" t="str">
            <v>0455</v>
          </cell>
          <cell r="F2072" t="str">
            <v>C1</v>
          </cell>
          <cell r="G2072" t="str">
            <v>PR</v>
          </cell>
          <cell r="H2072" t="str">
            <v>INGREDIENTS</v>
          </cell>
          <cell r="I2072" t="str">
            <v>INGREDIENTS</v>
          </cell>
          <cell r="J2072" t="str">
            <v>MARCELO RODRIGUES</v>
          </cell>
          <cell r="K2072" t="str">
            <v>LACTALIS</v>
          </cell>
          <cell r="L2072" t="str">
            <v>MAURICIO</v>
          </cell>
          <cell r="M2072" t="str">
            <v>MARCELO</v>
          </cell>
        </row>
        <row r="2073">
          <cell r="B2073">
            <v>5349074</v>
          </cell>
          <cell r="C2073" t="str">
            <v>FUNCHAL IND E COM DE PAPEIS LTD</v>
          </cell>
          <cell r="D2073" t="str">
            <v>6001</v>
          </cell>
          <cell r="E2073" t="str">
            <v>6125</v>
          </cell>
          <cell r="F2073" t="str">
            <v>C1</v>
          </cell>
          <cell r="G2073" t="str">
            <v>SP</v>
          </cell>
          <cell r="H2073" t="str">
            <v>DISTRIBUIÇÃO</v>
          </cell>
          <cell r="I2073" t="str">
            <v>FOOD SERVICE</v>
          </cell>
          <cell r="J2073" t="str">
            <v>LUCAS ANDRADE</v>
          </cell>
          <cell r="K2073" t="str">
            <v>ITAMBÉ</v>
          </cell>
          <cell r="L2073" t="str">
            <v>RODRIGO</v>
          </cell>
          <cell r="M2073" t="str">
            <v>RAQUEL BARBOSA</v>
          </cell>
        </row>
        <row r="2074">
          <cell r="B2074">
            <v>5349411</v>
          </cell>
          <cell r="C2074" t="str">
            <v>DBOA COMERCIO DE ALIMENTOS LTDA</v>
          </cell>
          <cell r="D2074" t="str">
            <v>7001</v>
          </cell>
          <cell r="E2074" t="str">
            <v>0749</v>
          </cell>
          <cell r="F2074" t="str">
            <v>C5</v>
          </cell>
          <cell r="G2074" t="str">
            <v>SP</v>
          </cell>
          <cell r="H2074" t="str">
            <v>DISTRIBUIÇÃO</v>
          </cell>
          <cell r="I2074" t="str">
            <v>FOOD SERVICE</v>
          </cell>
          <cell r="J2074" t="str">
            <v>FLAC 6</v>
          </cell>
          <cell r="K2074" t="str">
            <v>LACTALIS</v>
          </cell>
          <cell r="L2074" t="str">
            <v>RODRIGO</v>
          </cell>
          <cell r="M2074" t="str">
            <v>ALEXANDRO</v>
          </cell>
        </row>
        <row r="2075">
          <cell r="B2075">
            <v>5349473</v>
          </cell>
          <cell r="C2075" t="str">
            <v>CASA SALMAO LTDA</v>
          </cell>
          <cell r="D2075" t="str">
            <v>7001</v>
          </cell>
          <cell r="E2075" t="str">
            <v>0749</v>
          </cell>
          <cell r="F2075" t="str">
            <v>C5</v>
          </cell>
          <cell r="G2075" t="str">
            <v>SP</v>
          </cell>
          <cell r="H2075" t="str">
            <v>DISTRIBUIÇÃO</v>
          </cell>
          <cell r="I2075" t="str">
            <v>FOOD SERVICE</v>
          </cell>
          <cell r="J2075" t="str">
            <v>FLAC 6</v>
          </cell>
          <cell r="K2075" t="str">
            <v>LACTALIS</v>
          </cell>
          <cell r="L2075" t="str">
            <v>RODRIGO</v>
          </cell>
          <cell r="M2075" t="str">
            <v>ALEXANDRO</v>
          </cell>
        </row>
        <row r="2076">
          <cell r="B2076">
            <v>5226531</v>
          </cell>
          <cell r="C2076" t="str">
            <v>NOBREDO COMERCIO E LOGISTICA LTDA</v>
          </cell>
          <cell r="D2076" t="str">
            <v>7001</v>
          </cell>
          <cell r="E2076" t="str">
            <v>0739</v>
          </cell>
          <cell r="F2076" t="str">
            <v>C1</v>
          </cell>
          <cell r="G2076" t="str">
            <v>RJ</v>
          </cell>
          <cell r="H2076" t="str">
            <v>DISTRIBUIÇÃO</v>
          </cell>
          <cell r="I2076" t="str">
            <v>FOOD SERVICE</v>
          </cell>
          <cell r="J2076" t="str">
            <v>LUCIANA MARTINS</v>
          </cell>
          <cell r="K2076" t="str">
            <v>LACTALIS</v>
          </cell>
          <cell r="L2076" t="str">
            <v>RODRIGO</v>
          </cell>
          <cell r="M2076" t="str">
            <v>JESSICA</v>
          </cell>
        </row>
        <row r="2077">
          <cell r="B2077">
            <v>5335938</v>
          </cell>
          <cell r="C2077" t="str">
            <v>LACTICINIOS TIROL LTDA</v>
          </cell>
          <cell r="D2077" t="str">
            <v>4001</v>
          </cell>
          <cell r="E2077" t="str">
            <v>0437</v>
          </cell>
          <cell r="F2077" t="str">
            <v>C1</v>
          </cell>
          <cell r="G2077" t="str">
            <v>SP</v>
          </cell>
          <cell r="H2077" t="str">
            <v>OUTROS</v>
          </cell>
          <cell r="I2077" t="str">
            <v>OUTROS</v>
          </cell>
          <cell r="J2077" t="str">
            <v>SERVIÇO TIROL</v>
          </cell>
          <cell r="K2077" t="str">
            <v>OUTROS</v>
          </cell>
          <cell r="L2077" t="str">
            <v>OUTROS</v>
          </cell>
          <cell r="M2077" t="str">
            <v>SERVIÇO TIROL</v>
          </cell>
        </row>
        <row r="2078">
          <cell r="B2078">
            <v>5337751</v>
          </cell>
          <cell r="C2078" t="str">
            <v>LACTICINIOS TIROL LTDA</v>
          </cell>
          <cell r="D2078" t="str">
            <v>4001</v>
          </cell>
          <cell r="E2078" t="str">
            <v>0437</v>
          </cell>
          <cell r="F2078" t="str">
            <v>C1</v>
          </cell>
          <cell r="G2078" t="str">
            <v>SC</v>
          </cell>
          <cell r="H2078" t="str">
            <v>OUTROS</v>
          </cell>
          <cell r="I2078" t="str">
            <v>OUTROS</v>
          </cell>
          <cell r="J2078" t="str">
            <v>SERVIÇO TIROL</v>
          </cell>
          <cell r="K2078" t="str">
            <v>OUTROS</v>
          </cell>
          <cell r="L2078" t="str">
            <v>OUTROS</v>
          </cell>
          <cell r="M2078" t="str">
            <v>SERVIÇO TIROL</v>
          </cell>
        </row>
        <row r="2079">
          <cell r="B2079">
            <v>5338420</v>
          </cell>
          <cell r="C2079" t="str">
            <v>ERLAN SA EM RECUPERACAO JUDICIA</v>
          </cell>
          <cell r="D2079" t="str">
            <v>3001</v>
          </cell>
          <cell r="E2079" t="str">
            <v>0028</v>
          </cell>
          <cell r="F2079" t="str">
            <v>C1</v>
          </cell>
          <cell r="G2079" t="str">
            <v>MG</v>
          </cell>
          <cell r="H2079" t="str">
            <v>INGREDIENTS</v>
          </cell>
          <cell r="I2079" t="str">
            <v>INGREDIENTS</v>
          </cell>
          <cell r="J2079" t="str">
            <v>HENRIQUE FERREIRA</v>
          </cell>
          <cell r="K2079" t="str">
            <v>ITAMBÉ</v>
          </cell>
          <cell r="L2079" t="str">
            <v>MAURICIO</v>
          </cell>
          <cell r="M2079" t="str">
            <v>JOEL</v>
          </cell>
        </row>
        <row r="2080">
          <cell r="B2080">
            <v>5232460</v>
          </cell>
          <cell r="C2080" t="str">
            <v>GELATO LUCE COMERCIO LTDA</v>
          </cell>
          <cell r="D2080" t="str">
            <v>6001</v>
          </cell>
          <cell r="E2080" t="str">
            <v>6009</v>
          </cell>
          <cell r="F2080" t="str">
            <v>C1</v>
          </cell>
          <cell r="G2080" t="str">
            <v>BA</v>
          </cell>
          <cell r="H2080" t="str">
            <v>DISTRIBUIÇÃO</v>
          </cell>
          <cell r="I2080" t="str">
            <v>FOOD SERVICE</v>
          </cell>
          <cell r="J2080" t="str">
            <v xml:space="preserve">KARIS FOOD / LUIZ </v>
          </cell>
          <cell r="K2080" t="str">
            <v>ITAMBÉ</v>
          </cell>
          <cell r="L2080" t="str">
            <v>RODRIGO</v>
          </cell>
          <cell r="M2080" t="str">
            <v>VAGO NORDESTE</v>
          </cell>
        </row>
        <row r="2081">
          <cell r="B2081">
            <v>5334769</v>
          </cell>
          <cell r="C2081" t="str">
            <v>LAFEE DOCES E BOLOS LTDA</v>
          </cell>
          <cell r="D2081" t="str">
            <v>7001</v>
          </cell>
          <cell r="E2081" t="str">
            <v>0749</v>
          </cell>
          <cell r="F2081" t="str">
            <v>C5</v>
          </cell>
          <cell r="G2081" t="str">
            <v>SP</v>
          </cell>
          <cell r="H2081" t="str">
            <v>DISTRIBUIÇÃO</v>
          </cell>
          <cell r="I2081" t="str">
            <v>FOOD SERVICE</v>
          </cell>
          <cell r="J2081" t="str">
            <v>FLAC 5</v>
          </cell>
          <cell r="K2081" t="str">
            <v>LACTALIS</v>
          </cell>
          <cell r="L2081" t="str">
            <v>RODRIGO</v>
          </cell>
          <cell r="M2081" t="str">
            <v>ALEXANDRO</v>
          </cell>
        </row>
        <row r="2082">
          <cell r="B2082">
            <v>5135529</v>
          </cell>
          <cell r="C2082" t="str">
            <v>P 1 ADM EM COMPLEXOS IMOBILIARIOS L</v>
          </cell>
          <cell r="D2082" t="str">
            <v>7001</v>
          </cell>
          <cell r="E2082" t="str">
            <v>0749</v>
          </cell>
          <cell r="F2082" t="str">
            <v>C5</v>
          </cell>
          <cell r="G2082" t="str">
            <v>SP</v>
          </cell>
          <cell r="H2082" t="str">
            <v>DISTRIBUIÇÃO</v>
          </cell>
          <cell r="I2082" t="str">
            <v>FOOD SERVICE</v>
          </cell>
          <cell r="J2082" t="str">
            <v>FLAC 5</v>
          </cell>
          <cell r="K2082" t="str">
            <v>LACTALIS</v>
          </cell>
          <cell r="L2082" t="str">
            <v>RODRIGO</v>
          </cell>
          <cell r="M2082" t="str">
            <v>ALEXANDRO</v>
          </cell>
        </row>
        <row r="2083">
          <cell r="B2083">
            <v>5206830</v>
          </cell>
          <cell r="C2083" t="str">
            <v>IND E COM DE SORVETES FRUTAMIX LTDA</v>
          </cell>
          <cell r="D2083" t="str">
            <v>3001</v>
          </cell>
          <cell r="E2083" t="str">
            <v>0028</v>
          </cell>
          <cell r="F2083" t="str">
            <v>C1</v>
          </cell>
          <cell r="G2083" t="str">
            <v>MG</v>
          </cell>
          <cell r="H2083" t="str">
            <v>INGREDIENTS</v>
          </cell>
          <cell r="I2083" t="str">
            <v>INGREDIENTS</v>
          </cell>
          <cell r="J2083" t="str">
            <v>HENRIQUE FERREIRA</v>
          </cell>
          <cell r="K2083" t="str">
            <v>ITAMBÉ</v>
          </cell>
          <cell r="L2083" t="str">
            <v>MAURICIO</v>
          </cell>
          <cell r="M2083" t="str">
            <v>JOEL</v>
          </cell>
        </row>
        <row r="2084">
          <cell r="B2084">
            <v>5261316</v>
          </cell>
          <cell r="C2084" t="str">
            <v>MPY HOTELARIA LDTA</v>
          </cell>
          <cell r="D2084" t="str">
            <v>7001</v>
          </cell>
          <cell r="E2084" t="str">
            <v>0749</v>
          </cell>
          <cell r="F2084" t="str">
            <v>C5</v>
          </cell>
          <cell r="G2084" t="str">
            <v>SP</v>
          </cell>
          <cell r="H2084" t="str">
            <v>DISTRIBUIÇÃO</v>
          </cell>
          <cell r="I2084" t="str">
            <v>FOOD SERVICE</v>
          </cell>
          <cell r="J2084" t="str">
            <v>FLAC 3</v>
          </cell>
          <cell r="K2084" t="str">
            <v>LACTALIS</v>
          </cell>
          <cell r="L2084" t="str">
            <v>RODRIGO</v>
          </cell>
          <cell r="M2084" t="str">
            <v>ALEXANDRO</v>
          </cell>
        </row>
        <row r="2085">
          <cell r="B2085">
            <v>5349486</v>
          </cell>
          <cell r="C2085" t="str">
            <v>CAPITAL DAS CESTAS LTDA</v>
          </cell>
          <cell r="D2085" t="str">
            <v>3001</v>
          </cell>
          <cell r="E2085" t="str">
            <v>0122</v>
          </cell>
          <cell r="F2085" t="str">
            <v>C1</v>
          </cell>
          <cell r="G2085" t="str">
            <v>MG</v>
          </cell>
          <cell r="H2085" t="str">
            <v>DISTRIBUIÇÃO</v>
          </cell>
          <cell r="I2085" t="str">
            <v>FOOD SERVICE</v>
          </cell>
          <cell r="J2085" t="str">
            <v>MARCELO SILVA</v>
          </cell>
          <cell r="K2085" t="str">
            <v>ITAMBÉ</v>
          </cell>
          <cell r="L2085" t="str">
            <v>RODRIGO</v>
          </cell>
          <cell r="M2085" t="str">
            <v>CELIO MARTINS</v>
          </cell>
        </row>
        <row r="2086">
          <cell r="B2086">
            <v>5349526</v>
          </cell>
          <cell r="C2086" t="str">
            <v>INDUSTRIA DE ALIMENTOS TENERE L</v>
          </cell>
          <cell r="D2086" t="str">
            <v>3001</v>
          </cell>
          <cell r="E2086" t="str">
            <v>0028</v>
          </cell>
          <cell r="F2086" t="str">
            <v>C1</v>
          </cell>
          <cell r="G2086" t="str">
            <v>MG</v>
          </cell>
          <cell r="H2086" t="str">
            <v>INGREDIENTS</v>
          </cell>
          <cell r="I2086" t="str">
            <v>INGREDIENTS</v>
          </cell>
          <cell r="J2086" t="str">
            <v>HENRIQUE FERREIRA</v>
          </cell>
          <cell r="K2086" t="str">
            <v>ITAMBÉ</v>
          </cell>
          <cell r="L2086" t="str">
            <v>MAURICIO</v>
          </cell>
          <cell r="M2086" t="str">
            <v>JOEL</v>
          </cell>
        </row>
        <row r="2087">
          <cell r="B2087">
            <v>5349667</v>
          </cell>
          <cell r="C2087" t="str">
            <v>SUD RESTAURANTE E BAR LTDA</v>
          </cell>
          <cell r="D2087" t="str">
            <v>7001</v>
          </cell>
          <cell r="E2087" t="str">
            <v>0749</v>
          </cell>
          <cell r="F2087" t="str">
            <v>C5</v>
          </cell>
          <cell r="G2087" t="str">
            <v>SP</v>
          </cell>
          <cell r="H2087" t="str">
            <v>DISTRIBUIÇÃO</v>
          </cell>
          <cell r="I2087" t="str">
            <v>FOOD SERVICE</v>
          </cell>
          <cell r="J2087" t="str">
            <v>FLAC 5</v>
          </cell>
          <cell r="K2087" t="str">
            <v>LACTALIS</v>
          </cell>
          <cell r="L2087" t="str">
            <v>RODRIGO</v>
          </cell>
          <cell r="M2087" t="str">
            <v>ALEXANDRO</v>
          </cell>
        </row>
        <row r="2088">
          <cell r="B2088">
            <v>5029281</v>
          </cell>
          <cell r="C2088" t="str">
            <v>PASTIFICIO CARASI COMERCIO DE A</v>
          </cell>
          <cell r="D2088" t="str">
            <v>7001</v>
          </cell>
          <cell r="E2088" t="str">
            <v>0749</v>
          </cell>
          <cell r="F2088" t="str">
            <v>C5</v>
          </cell>
          <cell r="G2088" t="str">
            <v>SP</v>
          </cell>
          <cell r="H2088" t="str">
            <v>DISTRIBUIÇÃO</v>
          </cell>
          <cell r="I2088" t="str">
            <v>FOOD SERVICE</v>
          </cell>
          <cell r="J2088" t="str">
            <v>FLAC 5</v>
          </cell>
          <cell r="K2088" t="str">
            <v>LACTALIS</v>
          </cell>
          <cell r="L2088" t="str">
            <v>RODRIGO</v>
          </cell>
          <cell r="M2088" t="str">
            <v>ALEXANDRO</v>
          </cell>
        </row>
        <row r="2089">
          <cell r="B2089">
            <v>5227311</v>
          </cell>
          <cell r="C2089" t="str">
            <v>ALIMENTOS JANDAIA LTDA</v>
          </cell>
          <cell r="D2089" t="str">
            <v>3001</v>
          </cell>
          <cell r="E2089" t="str">
            <v>0126</v>
          </cell>
          <cell r="F2089" t="str">
            <v>C1</v>
          </cell>
          <cell r="G2089" t="str">
            <v>PR</v>
          </cell>
          <cell r="H2089" t="str">
            <v>INGREDIENTS</v>
          </cell>
          <cell r="I2089" t="str">
            <v>INGREDIENTS</v>
          </cell>
          <cell r="J2089" t="str">
            <v>MARCELO RODRIGUES</v>
          </cell>
          <cell r="K2089" t="str">
            <v>ITAMBÉ</v>
          </cell>
          <cell r="L2089" t="str">
            <v>MAURICIO</v>
          </cell>
          <cell r="M2089" t="str">
            <v>MARCELO</v>
          </cell>
        </row>
        <row r="2090">
          <cell r="B2090">
            <v>5279316</v>
          </cell>
          <cell r="C2090" t="str">
            <v>SOCIEDADE HARMONIA DE TENIS</v>
          </cell>
          <cell r="D2090" t="str">
            <v>7001</v>
          </cell>
          <cell r="E2090" t="str">
            <v>0749</v>
          </cell>
          <cell r="F2090" t="str">
            <v>C5</v>
          </cell>
          <cell r="G2090" t="str">
            <v>SP</v>
          </cell>
          <cell r="H2090" t="str">
            <v>DISTRIBUIÇÃO</v>
          </cell>
          <cell r="I2090" t="str">
            <v>FOOD SERVICE</v>
          </cell>
          <cell r="J2090" t="str">
            <v>FLAC 3</v>
          </cell>
          <cell r="K2090" t="str">
            <v>LACTALIS</v>
          </cell>
          <cell r="L2090" t="str">
            <v>RODRIGO</v>
          </cell>
          <cell r="M2090" t="str">
            <v>ALEXANDRO</v>
          </cell>
        </row>
        <row r="2091">
          <cell r="B2091">
            <v>5349816</v>
          </cell>
          <cell r="C2091" t="str">
            <v>PAN PADARIA ARTESANAL LTDA</v>
          </cell>
          <cell r="D2091" t="str">
            <v>7001</v>
          </cell>
          <cell r="E2091" t="str">
            <v>0749</v>
          </cell>
          <cell r="F2091" t="str">
            <v>C5</v>
          </cell>
          <cell r="G2091" t="str">
            <v>SP</v>
          </cell>
          <cell r="H2091" t="str">
            <v>DISTRIBUIÇÃO</v>
          </cell>
          <cell r="I2091" t="str">
            <v>FOOD SERVICE</v>
          </cell>
          <cell r="J2091" t="str">
            <v>FLAC 2</v>
          </cell>
          <cell r="K2091" t="str">
            <v>LACTALIS</v>
          </cell>
          <cell r="L2091" t="str">
            <v>RODRIGO</v>
          </cell>
          <cell r="M2091" t="str">
            <v>ALEXANDRO</v>
          </cell>
        </row>
        <row r="2092">
          <cell r="B2092">
            <v>5349834</v>
          </cell>
          <cell r="C2092" t="str">
            <v>FEITO A MAO ITAIM LTDA</v>
          </cell>
          <cell r="D2092" t="str">
            <v>7001</v>
          </cell>
          <cell r="E2092" t="str">
            <v>0749</v>
          </cell>
          <cell r="F2092" t="str">
            <v>C5</v>
          </cell>
          <cell r="G2092" t="str">
            <v>SP</v>
          </cell>
          <cell r="H2092" t="str">
            <v>DISTRIBUIÇÃO</v>
          </cell>
          <cell r="I2092" t="str">
            <v>FOOD SERVICE</v>
          </cell>
          <cell r="J2092" t="str">
            <v>FLAC 6</v>
          </cell>
          <cell r="K2092" t="str">
            <v>LACTALIS</v>
          </cell>
          <cell r="L2092" t="str">
            <v>RODRIGO</v>
          </cell>
          <cell r="M2092" t="str">
            <v>ALEXANDRO</v>
          </cell>
        </row>
        <row r="2093">
          <cell r="B2093">
            <v>5162170</v>
          </cell>
          <cell r="C2093" t="str">
            <v>DAN VIGOR IND E COM DE LATICINIOS L</v>
          </cell>
          <cell r="D2093" t="str">
            <v>4001</v>
          </cell>
          <cell r="E2093" t="str">
            <v>0423</v>
          </cell>
          <cell r="F2093" t="str">
            <v>C5</v>
          </cell>
          <cell r="G2093" t="str">
            <v>SP</v>
          </cell>
          <cell r="H2093" t="str">
            <v>INGREDIENTS</v>
          </cell>
          <cell r="I2093" t="str">
            <v>INGREDIENTS</v>
          </cell>
          <cell r="J2093" t="str">
            <v>JOEL ELEOTÉRIO</v>
          </cell>
          <cell r="K2093" t="str">
            <v>LACTALIS</v>
          </cell>
          <cell r="L2093" t="str">
            <v>MAURICIO</v>
          </cell>
          <cell r="M2093" t="str">
            <v>JOEL</v>
          </cell>
        </row>
        <row r="2094">
          <cell r="B2094">
            <v>5204301</v>
          </cell>
          <cell r="C2094" t="str">
            <v>LATICINIOS SANTA RITA LTDA</v>
          </cell>
          <cell r="D2094" t="str">
            <v>4001</v>
          </cell>
          <cell r="E2094" t="str">
            <v>0458</v>
          </cell>
          <cell r="F2094" t="str">
            <v>C1</v>
          </cell>
          <cell r="G2094" t="str">
            <v>MG</v>
          </cell>
          <cell r="H2094" t="str">
            <v>INGREDIENTS</v>
          </cell>
          <cell r="I2094" t="str">
            <v>INGREDIENTS</v>
          </cell>
          <cell r="J2094" t="str">
            <v>JOEL ELEOTÉRIO</v>
          </cell>
          <cell r="K2094" t="str">
            <v>LACTALIS</v>
          </cell>
          <cell r="L2094" t="str">
            <v>MAURICIO</v>
          </cell>
          <cell r="M2094" t="str">
            <v>JOEL</v>
          </cell>
        </row>
        <row r="2095">
          <cell r="B2095">
            <v>5325762</v>
          </cell>
          <cell r="C2095" t="str">
            <v>RESTAURANTE NONNA ROSA LTDA</v>
          </cell>
          <cell r="D2095" t="str">
            <v>7001</v>
          </cell>
          <cell r="E2095" t="str">
            <v>0749</v>
          </cell>
          <cell r="F2095" t="str">
            <v>C5</v>
          </cell>
          <cell r="G2095" t="str">
            <v>SP</v>
          </cell>
          <cell r="H2095" t="str">
            <v>DISTRIBUIÇÃO</v>
          </cell>
          <cell r="I2095" t="str">
            <v>FOOD SERVICE</v>
          </cell>
          <cell r="J2095" t="str">
            <v>FLAC 5</v>
          </cell>
          <cell r="K2095" t="str">
            <v>LACTALIS</v>
          </cell>
          <cell r="L2095" t="str">
            <v>RODRIGO</v>
          </cell>
          <cell r="M2095" t="str">
            <v>ALEXANDRO</v>
          </cell>
        </row>
        <row r="2096">
          <cell r="B2096">
            <v>5349588</v>
          </cell>
          <cell r="C2096" t="str">
            <v>AEROVIP CGH LTDA</v>
          </cell>
          <cell r="D2096" t="str">
            <v>7001</v>
          </cell>
          <cell r="E2096" t="str">
            <v>0749</v>
          </cell>
          <cell r="F2096" t="str">
            <v>C5</v>
          </cell>
          <cell r="G2096" t="str">
            <v>SP</v>
          </cell>
          <cell r="H2096" t="str">
            <v>DISTRIBUIÇÃO</v>
          </cell>
          <cell r="I2096" t="str">
            <v>FOOD SERVICE</v>
          </cell>
          <cell r="J2096" t="str">
            <v>FLAC 5</v>
          </cell>
          <cell r="K2096" t="str">
            <v>LACTALIS</v>
          </cell>
          <cell r="L2096" t="str">
            <v>RODRIGO</v>
          </cell>
          <cell r="M2096" t="str">
            <v>ALEXANDRO</v>
          </cell>
        </row>
        <row r="2097">
          <cell r="B2097">
            <v>5227605</v>
          </cell>
          <cell r="C2097" t="str">
            <v>FORTE DIST DE GENERO ALIM DES E LIM</v>
          </cell>
          <cell r="D2097" t="str">
            <v>6001</v>
          </cell>
          <cell r="E2097" t="str">
            <v>6009</v>
          </cell>
          <cell r="F2097" t="str">
            <v>C1</v>
          </cell>
          <cell r="G2097" t="str">
            <v>BA</v>
          </cell>
          <cell r="H2097" t="str">
            <v>DISTRIBUIÇÃO</v>
          </cell>
          <cell r="I2097" t="str">
            <v>FOOD SERVICE</v>
          </cell>
          <cell r="J2097" t="str">
            <v xml:space="preserve">KARIS FOOD / LUIZ </v>
          </cell>
          <cell r="K2097" t="str">
            <v>ITAMBÉ</v>
          </cell>
          <cell r="L2097" t="str">
            <v>RODRIGO</v>
          </cell>
          <cell r="M2097" t="str">
            <v>VAGO NORDESTE</v>
          </cell>
        </row>
        <row r="2098">
          <cell r="B2098">
            <v>5271447</v>
          </cell>
          <cell r="C2098" t="str">
            <v>NOBREDO COMERCIO E LOGISTICA LT</v>
          </cell>
          <cell r="D2098" t="str">
            <v>6001</v>
          </cell>
          <cell r="E2098" t="str">
            <v>6169</v>
          </cell>
          <cell r="F2098" t="str">
            <v>C1</v>
          </cell>
          <cell r="G2098" t="str">
            <v>ES</v>
          </cell>
          <cell r="H2098" t="str">
            <v>DISTRIBUIÇÃO</v>
          </cell>
          <cell r="I2098" t="str">
            <v>FOOD SERVICE</v>
          </cell>
          <cell r="J2098" t="str">
            <v>LUCIANA MARTINS</v>
          </cell>
          <cell r="K2098" t="str">
            <v>ITAMBÉ</v>
          </cell>
          <cell r="L2098" t="str">
            <v>RODRIGO</v>
          </cell>
          <cell r="M2098" t="str">
            <v>JESSICA</v>
          </cell>
        </row>
        <row r="2099">
          <cell r="B2099">
            <v>5338003</v>
          </cell>
          <cell r="C2099" t="str">
            <v>WGS COMERCIO DE PROD ALIMENTICI</v>
          </cell>
          <cell r="D2099" t="str">
            <v>6001</v>
          </cell>
          <cell r="E2099" t="str">
            <v>6009</v>
          </cell>
          <cell r="F2099" t="str">
            <v>C1</v>
          </cell>
          <cell r="G2099" t="str">
            <v>BA</v>
          </cell>
          <cell r="H2099" t="str">
            <v>DISTRIBUIÇÃO</v>
          </cell>
          <cell r="I2099" t="str">
            <v>FOOD SERVICE</v>
          </cell>
          <cell r="J2099" t="str">
            <v xml:space="preserve">KARIS FOOD / LUIZ </v>
          </cell>
          <cell r="K2099" t="str">
            <v>ITAMBÉ</v>
          </cell>
          <cell r="L2099" t="str">
            <v>RODRIGO</v>
          </cell>
          <cell r="M2099" t="str">
            <v>VAGO NORDESTE</v>
          </cell>
        </row>
        <row r="2100">
          <cell r="B2100">
            <v>5349410</v>
          </cell>
          <cell r="C2100" t="str">
            <v>CONFEITARIA MAUA LTDA</v>
          </cell>
          <cell r="D2100" t="str">
            <v>7001</v>
          </cell>
          <cell r="E2100" t="str">
            <v>0749</v>
          </cell>
          <cell r="F2100" t="str">
            <v>C5</v>
          </cell>
          <cell r="G2100" t="str">
            <v>SP</v>
          </cell>
          <cell r="H2100" t="str">
            <v>DISTRIBUIÇÃO</v>
          </cell>
          <cell r="I2100" t="str">
            <v>FOOD SERVICE</v>
          </cell>
          <cell r="J2100" t="str">
            <v>FLAC 6</v>
          </cell>
          <cell r="K2100" t="str">
            <v>LACTALIS</v>
          </cell>
          <cell r="L2100" t="str">
            <v>RODRIGO</v>
          </cell>
          <cell r="M2100" t="str">
            <v>ALEXANDRO</v>
          </cell>
        </row>
        <row r="2101">
          <cell r="B2101">
            <v>5349879</v>
          </cell>
          <cell r="C2101" t="str">
            <v>SAGRADO R DE ED PBSCJ P BR S C</v>
          </cell>
          <cell r="D2101" t="str">
            <v>7001</v>
          </cell>
          <cell r="E2101" t="str">
            <v>0749</v>
          </cell>
          <cell r="F2101" t="str">
            <v>C5</v>
          </cell>
          <cell r="G2101" t="str">
            <v>SP</v>
          </cell>
          <cell r="H2101" t="str">
            <v>DISTRIBUIÇÃO</v>
          </cell>
          <cell r="I2101" t="str">
            <v>FOOD SERVICE</v>
          </cell>
          <cell r="J2101" t="str">
            <v>FLAC 5</v>
          </cell>
          <cell r="K2101" t="str">
            <v>LACTALIS</v>
          </cell>
          <cell r="L2101" t="str">
            <v>RODRIGO</v>
          </cell>
          <cell r="M2101" t="str">
            <v>ALEXANDRO</v>
          </cell>
        </row>
        <row r="2102">
          <cell r="B2102">
            <v>5186012</v>
          </cell>
          <cell r="C2102" t="str">
            <v>PREMIUM BREAD INDUST DE PANIFICACAO</v>
          </cell>
          <cell r="D2102" t="str">
            <v>7001</v>
          </cell>
          <cell r="E2102" t="str">
            <v>0749</v>
          </cell>
          <cell r="F2102" t="str">
            <v>C5</v>
          </cell>
          <cell r="G2102" t="str">
            <v>SP</v>
          </cell>
          <cell r="H2102" t="str">
            <v>DISTRIBUIÇÃO</v>
          </cell>
          <cell r="I2102" t="str">
            <v>FOOD SERVICE</v>
          </cell>
          <cell r="J2102" t="str">
            <v>FLAC 6</v>
          </cell>
          <cell r="K2102" t="str">
            <v>LACTALIS</v>
          </cell>
          <cell r="L2102" t="str">
            <v>RODRIGO</v>
          </cell>
          <cell r="M2102" t="str">
            <v>ALEXANDRO</v>
          </cell>
        </row>
        <row r="2103">
          <cell r="B2103">
            <v>5235911</v>
          </cell>
          <cell r="C2103" t="str">
            <v>ORIGINAL DA BAHIA IND COM ALIM</v>
          </cell>
          <cell r="D2103" t="str">
            <v>6001</v>
          </cell>
          <cell r="E2103" t="str">
            <v>6127</v>
          </cell>
          <cell r="F2103" t="str">
            <v>C1</v>
          </cell>
          <cell r="G2103" t="str">
            <v>BA</v>
          </cell>
          <cell r="H2103" t="str">
            <v>DISTRIBUIÇÃO</v>
          </cell>
          <cell r="I2103" t="str">
            <v>FOOD SERVICE</v>
          </cell>
          <cell r="J2103" t="str">
            <v xml:space="preserve">KARIS FOOD / LUIZ </v>
          </cell>
          <cell r="K2103" t="str">
            <v>ITAMBÉ</v>
          </cell>
          <cell r="L2103" t="str">
            <v>RODRIGO</v>
          </cell>
          <cell r="M2103" t="str">
            <v>VAGO NORDESTE</v>
          </cell>
        </row>
        <row r="2104">
          <cell r="B2104">
            <v>5263417</v>
          </cell>
          <cell r="C2104" t="str">
            <v>BOLO A TOA LOJA DE BOLOS LTDA</v>
          </cell>
          <cell r="D2104" t="str">
            <v>7001</v>
          </cell>
          <cell r="E2104" t="str">
            <v>0749</v>
          </cell>
          <cell r="F2104" t="str">
            <v>C5</v>
          </cell>
          <cell r="G2104" t="str">
            <v>SP</v>
          </cell>
          <cell r="H2104" t="str">
            <v>DISTRIBUIÇÃO</v>
          </cell>
          <cell r="I2104" t="str">
            <v>FOOD SERVICE</v>
          </cell>
          <cell r="J2104" t="str">
            <v>FLAC 2</v>
          </cell>
          <cell r="K2104" t="str">
            <v>LACTALIS</v>
          </cell>
          <cell r="L2104" t="str">
            <v>RODRIGO</v>
          </cell>
          <cell r="M2104" t="str">
            <v>ALEXANDRO</v>
          </cell>
        </row>
        <row r="2105">
          <cell r="B2105">
            <v>5334862</v>
          </cell>
          <cell r="C2105" t="str">
            <v>PANIFICACAO E CONF SAO NICOLAU</v>
          </cell>
          <cell r="D2105" t="str">
            <v>7001</v>
          </cell>
          <cell r="E2105" t="str">
            <v>0749</v>
          </cell>
          <cell r="F2105" t="str">
            <v>C5</v>
          </cell>
          <cell r="G2105" t="str">
            <v>SP</v>
          </cell>
          <cell r="H2105" t="str">
            <v>DISTRIBUIÇÃO</v>
          </cell>
          <cell r="I2105" t="str">
            <v>FOOD SERVICE</v>
          </cell>
          <cell r="J2105" t="str">
            <v>FLAC 5</v>
          </cell>
          <cell r="K2105" t="str">
            <v>LACTALIS</v>
          </cell>
          <cell r="L2105" t="str">
            <v>RODRIGO</v>
          </cell>
          <cell r="M2105" t="str">
            <v>ALEXANDRO</v>
          </cell>
        </row>
        <row r="2106">
          <cell r="B2106">
            <v>5343948</v>
          </cell>
          <cell r="C2106" t="str">
            <v>ZAMPTEC SERVICOS LTDA</v>
          </cell>
          <cell r="D2106" t="str">
            <v>6001</v>
          </cell>
          <cell r="E2106" t="str">
            <v>6028</v>
          </cell>
          <cell r="F2106" t="str">
            <v>C1</v>
          </cell>
          <cell r="G2106" t="str">
            <v>SP</v>
          </cell>
          <cell r="H2106" t="str">
            <v>QSR</v>
          </cell>
          <cell r="I2106" t="str">
            <v>FOOD SERVICE</v>
          </cell>
          <cell r="J2106" t="str">
            <v>NUTRI</v>
          </cell>
          <cell r="K2106" t="str">
            <v>ITAMBÉ</v>
          </cell>
          <cell r="L2106" t="str">
            <v>PEDRO</v>
          </cell>
          <cell r="M2106" t="str">
            <v>AMANDA</v>
          </cell>
        </row>
        <row r="2107">
          <cell r="B2107">
            <v>5026399</v>
          </cell>
          <cell r="C2107" t="str">
            <v>RIO QUALITY COMERCIO DE ALIMENTOS</v>
          </cell>
          <cell r="D2107" t="str">
            <v>3001</v>
          </cell>
          <cell r="E2107" t="str">
            <v>6169</v>
          </cell>
          <cell r="F2107" t="str">
            <v>C1</v>
          </cell>
          <cell r="G2107" t="str">
            <v>RJ</v>
          </cell>
          <cell r="H2107" t="str">
            <v>DISTRIBUIÇÃO</v>
          </cell>
          <cell r="I2107" t="str">
            <v>FOOD SERVICE</v>
          </cell>
          <cell r="J2107" t="str">
            <v>JESSICA CARLA</v>
          </cell>
          <cell r="K2107" t="str">
            <v>ITAMBÉ</v>
          </cell>
          <cell r="L2107" t="str">
            <v>RODRIGO</v>
          </cell>
          <cell r="M2107" t="str">
            <v>JESSICA</v>
          </cell>
        </row>
        <row r="2108">
          <cell r="B2108">
            <v>5040108</v>
          </cell>
          <cell r="C2108" t="str">
            <v>CCN COMERCIO CENTRO NORTE ALIM LTDA</v>
          </cell>
          <cell r="D2108" t="str">
            <v>3001</v>
          </cell>
          <cell r="E2108" t="str">
            <v>6169</v>
          </cell>
          <cell r="F2108" t="str">
            <v>C1</v>
          </cell>
          <cell r="G2108" t="str">
            <v>RJ</v>
          </cell>
          <cell r="H2108" t="str">
            <v>DISTRIBUIÇÃO</v>
          </cell>
          <cell r="I2108" t="str">
            <v>FOOD SERVICE</v>
          </cell>
          <cell r="J2108" t="str">
            <v>CLAUDIO JORGE</v>
          </cell>
          <cell r="K2108" t="str">
            <v>ITAMBÉ</v>
          </cell>
          <cell r="L2108" t="str">
            <v>RODRIGO</v>
          </cell>
          <cell r="M2108" t="str">
            <v>JESSICA</v>
          </cell>
        </row>
        <row r="2109">
          <cell r="B2109">
            <v>5115019</v>
          </cell>
          <cell r="C2109" t="str">
            <v>J ARAUJO DISTRIBUIDORA IMP E EXP SA</v>
          </cell>
          <cell r="D2109" t="str">
            <v>3001</v>
          </cell>
          <cell r="E2109" t="str">
            <v>6169</v>
          </cell>
          <cell r="F2109" t="str">
            <v>C1</v>
          </cell>
          <cell r="G2109" t="str">
            <v>RJ</v>
          </cell>
          <cell r="H2109" t="str">
            <v>DISTRIBUIÇÃO</v>
          </cell>
          <cell r="I2109" t="str">
            <v>FOOD SERVICE</v>
          </cell>
          <cell r="J2109" t="str">
            <v>JESSICA CARLA</v>
          </cell>
          <cell r="K2109" t="str">
            <v>ITAMBÉ</v>
          </cell>
          <cell r="L2109" t="str">
            <v>RODRIGO</v>
          </cell>
          <cell r="M2109" t="str">
            <v>JESSICA</v>
          </cell>
        </row>
        <row r="2110">
          <cell r="B2110">
            <v>5115189</v>
          </cell>
          <cell r="C2110" t="str">
            <v>STA DISTRIBUIDORA DE ALIMENTOS LTDA</v>
          </cell>
          <cell r="D2110" t="str">
            <v>3001</v>
          </cell>
          <cell r="E2110" t="str">
            <v>6123</v>
          </cell>
          <cell r="F2110" t="str">
            <v>C1</v>
          </cell>
          <cell r="G2110" t="str">
            <v>GO</v>
          </cell>
          <cell r="H2110" t="str">
            <v>DISTRIBUIÇÃO</v>
          </cell>
          <cell r="I2110" t="str">
            <v>FOOD SERVICE</v>
          </cell>
          <cell r="J2110" t="str">
            <v>CLAUDIO JORGE/MARIA LAURA</v>
          </cell>
          <cell r="K2110" t="str">
            <v>ITAMBÉ</v>
          </cell>
          <cell r="L2110" t="str">
            <v>RODRIGO</v>
          </cell>
          <cell r="M2110" t="str">
            <v>MARCO AURELIO</v>
          </cell>
        </row>
        <row r="2111">
          <cell r="B2111">
            <v>5121735</v>
          </cell>
          <cell r="C2111" t="str">
            <v>HERSHEY DO BRASIL LTDA</v>
          </cell>
          <cell r="D2111" t="str">
            <v>3001</v>
          </cell>
          <cell r="E2111" t="str">
            <v>6028</v>
          </cell>
          <cell r="F2111" t="str">
            <v>C1</v>
          </cell>
          <cell r="G2111" t="str">
            <v>SP</v>
          </cell>
          <cell r="H2111" t="str">
            <v>INGREDIENTS</v>
          </cell>
          <cell r="I2111" t="str">
            <v>INGREDIENTS</v>
          </cell>
          <cell r="J2111" t="str">
            <v>TATIANA NITTA</v>
          </cell>
          <cell r="K2111" t="str">
            <v>ITAMBÉ</v>
          </cell>
          <cell r="L2111" t="str">
            <v>MAURICIO</v>
          </cell>
          <cell r="M2111" t="str">
            <v>TATIANA NITTA</v>
          </cell>
        </row>
        <row r="2112">
          <cell r="B2112">
            <v>5146491</v>
          </cell>
          <cell r="C2112" t="str">
            <v>UNILEVER BRASIL GELADOS LTDA</v>
          </cell>
          <cell r="D2112" t="str">
            <v>3001</v>
          </cell>
          <cell r="E2112" t="str">
            <v>6028</v>
          </cell>
          <cell r="F2112" t="str">
            <v>C1</v>
          </cell>
          <cell r="G2112" t="str">
            <v>SP</v>
          </cell>
          <cell r="H2112" t="str">
            <v>INGREDIENTS</v>
          </cell>
          <cell r="I2112" t="str">
            <v>INGREDIENTS</v>
          </cell>
          <cell r="J2112" t="str">
            <v>TATIANA NITTA</v>
          </cell>
          <cell r="K2112" t="str">
            <v>ITAMBÉ</v>
          </cell>
          <cell r="L2112" t="str">
            <v>MAURICIO</v>
          </cell>
          <cell r="M2112" t="str">
            <v>TATIANA NITTA</v>
          </cell>
        </row>
        <row r="2113">
          <cell r="B2113">
            <v>5157826</v>
          </cell>
          <cell r="C2113" t="str">
            <v>IBAC INDUSTRIA BRASILEIRA DE ALIM C</v>
          </cell>
          <cell r="D2113" t="str">
            <v>3001</v>
          </cell>
          <cell r="E2113" t="str">
            <v>6125</v>
          </cell>
          <cell r="F2113" t="str">
            <v>C1</v>
          </cell>
          <cell r="G2113" t="str">
            <v>SP</v>
          </cell>
          <cell r="H2113" t="str">
            <v>INGREDIENTS</v>
          </cell>
          <cell r="I2113" t="str">
            <v>INGREDIENTS</v>
          </cell>
          <cell r="J2113" t="str">
            <v>TATIANA NITTA</v>
          </cell>
          <cell r="K2113" t="str">
            <v>ITAMBÉ</v>
          </cell>
          <cell r="L2113" t="str">
            <v>MAURICIO</v>
          </cell>
          <cell r="M2113" t="str">
            <v>TATIANA NITTA</v>
          </cell>
        </row>
        <row r="2114">
          <cell r="B2114">
            <v>5161386</v>
          </cell>
          <cell r="C2114" t="str">
            <v>TOP ALTO PARTICIPACOES E COM LTDA</v>
          </cell>
          <cell r="D2114" t="str">
            <v>3001</v>
          </cell>
          <cell r="E2114" t="str">
            <v>6169</v>
          </cell>
          <cell r="F2114" t="str">
            <v>C1</v>
          </cell>
          <cell r="G2114" t="str">
            <v>RJ</v>
          </cell>
          <cell r="H2114" t="str">
            <v>DISTRIBUIÇÃO</v>
          </cell>
          <cell r="I2114" t="str">
            <v>FOOD SERVICE</v>
          </cell>
          <cell r="J2114" t="str">
            <v>JESSICA CARLA</v>
          </cell>
          <cell r="K2114" t="str">
            <v>ITAMBÉ</v>
          </cell>
          <cell r="L2114" t="str">
            <v>RODRIGO</v>
          </cell>
          <cell r="M2114" t="str">
            <v>JESSICA</v>
          </cell>
        </row>
        <row r="2115">
          <cell r="B2115">
            <v>5166253</v>
          </cell>
          <cell r="C2115" t="str">
            <v>AGRANA FRUIT BRASIL IND COM IMP</v>
          </cell>
          <cell r="D2115" t="str">
            <v>6001</v>
          </cell>
          <cell r="E2115" t="str">
            <v>6028</v>
          </cell>
          <cell r="F2115" t="str">
            <v>C1</v>
          </cell>
          <cell r="G2115" t="str">
            <v>SP</v>
          </cell>
          <cell r="H2115" t="str">
            <v>INGREDIENTS</v>
          </cell>
          <cell r="I2115" t="str">
            <v>INGREDIENTS</v>
          </cell>
          <cell r="J2115" t="str">
            <v>HENRIQUE FERREIRA</v>
          </cell>
          <cell r="K2115" t="str">
            <v>ITAMBÉ</v>
          </cell>
          <cell r="L2115" t="str">
            <v>MAURICIO</v>
          </cell>
          <cell r="M2115" t="str">
            <v>JOEL</v>
          </cell>
        </row>
        <row r="2116">
          <cell r="B2116">
            <v>5168473</v>
          </cell>
          <cell r="C2116" t="str">
            <v>L F S COMERCIO E IMPORTACAO ALI</v>
          </cell>
          <cell r="D2116" t="str">
            <v>6001</v>
          </cell>
          <cell r="E2116" t="str">
            <v>0127</v>
          </cell>
          <cell r="F2116" t="str">
            <v>C1</v>
          </cell>
          <cell r="G2116" t="str">
            <v>CE</v>
          </cell>
          <cell r="H2116" t="str">
            <v>DISTRIBUIÇÃO</v>
          </cell>
          <cell r="I2116" t="str">
            <v>FOOD SERVICE</v>
          </cell>
          <cell r="J2116" t="str">
            <v>WH FOOD SERVICE CE</v>
          </cell>
          <cell r="K2116" t="str">
            <v>ITAMBÉ</v>
          </cell>
          <cell r="L2116" t="str">
            <v>RODRIGO</v>
          </cell>
          <cell r="M2116" t="str">
            <v>VAGO NORDESTE</v>
          </cell>
        </row>
        <row r="2117">
          <cell r="B2117">
            <v>5172313</v>
          </cell>
          <cell r="C2117" t="str">
            <v>FRONERI BRASIL DIST DE SORV E CONG</v>
          </cell>
          <cell r="D2117" t="str">
            <v>3001</v>
          </cell>
          <cell r="E2117" t="str">
            <v>6028</v>
          </cell>
          <cell r="F2117" t="str">
            <v>C1</v>
          </cell>
          <cell r="G2117" t="str">
            <v>RJ</v>
          </cell>
          <cell r="H2117" t="str">
            <v>INGREDIENTS</v>
          </cell>
          <cell r="I2117" t="str">
            <v>INGREDIENTS</v>
          </cell>
          <cell r="J2117" t="str">
            <v>JOEL ELEOTÉRIO</v>
          </cell>
          <cell r="K2117" t="str">
            <v>ITAMBÉ</v>
          </cell>
          <cell r="L2117" t="str">
            <v>MAURICIO</v>
          </cell>
          <cell r="M2117" t="str">
            <v>JOEL</v>
          </cell>
        </row>
        <row r="2118">
          <cell r="B2118">
            <v>5173305</v>
          </cell>
          <cell r="C2118" t="str">
            <v>ARCOR DO BRASIL LTDA</v>
          </cell>
          <cell r="D2118" t="str">
            <v>3001</v>
          </cell>
          <cell r="E2118" t="str">
            <v>6125</v>
          </cell>
          <cell r="F2118" t="str">
            <v>C1</v>
          </cell>
          <cell r="G2118" t="str">
            <v>SP</v>
          </cell>
          <cell r="H2118" t="str">
            <v>INGREDIENTS</v>
          </cell>
          <cell r="I2118" t="str">
            <v>INGREDIENTS</v>
          </cell>
          <cell r="J2118" t="str">
            <v>TATIANA NITTA</v>
          </cell>
          <cell r="K2118" t="str">
            <v>ITAMBÉ</v>
          </cell>
          <cell r="L2118" t="str">
            <v>MAURICIO</v>
          </cell>
          <cell r="M2118" t="str">
            <v>TATIANA NITTA</v>
          </cell>
        </row>
        <row r="2119">
          <cell r="B2119">
            <v>5182828</v>
          </cell>
          <cell r="C2119" t="str">
            <v>AMORIX ALIMENTOS LTDA</v>
          </cell>
          <cell r="D2119" t="str">
            <v>3001</v>
          </cell>
          <cell r="E2119" t="str">
            <v>6123</v>
          </cell>
          <cell r="F2119" t="str">
            <v>C1</v>
          </cell>
          <cell r="G2119" t="str">
            <v>GO</v>
          </cell>
          <cell r="H2119" t="str">
            <v>DISTRIBUIÇÃO</v>
          </cell>
          <cell r="I2119" t="str">
            <v>FOOD SERVICE</v>
          </cell>
          <cell r="J2119" t="str">
            <v>CLAUDIO JORGE</v>
          </cell>
          <cell r="K2119" t="str">
            <v>ITAMBÉ</v>
          </cell>
          <cell r="L2119" t="str">
            <v>RODRIGO</v>
          </cell>
          <cell r="M2119" t="str">
            <v>MARCO AURELIO</v>
          </cell>
        </row>
        <row r="2120">
          <cell r="B2120">
            <v>5204235</v>
          </cell>
          <cell r="C2120" t="str">
            <v>NUTRIALIMENTAR INDUSTRIA LTDA</v>
          </cell>
          <cell r="D2120" t="str">
            <v>3001</v>
          </cell>
          <cell r="E2120" t="str">
            <v>6125</v>
          </cell>
          <cell r="F2120" t="str">
            <v>C1</v>
          </cell>
          <cell r="G2120" t="str">
            <v>SP</v>
          </cell>
          <cell r="H2120" t="str">
            <v>INGREDIENTS</v>
          </cell>
          <cell r="I2120" t="str">
            <v>INGREDIENTS</v>
          </cell>
          <cell r="J2120" t="str">
            <v>TATIANA NITTA</v>
          </cell>
          <cell r="K2120" t="str">
            <v>ITAMBÉ</v>
          </cell>
          <cell r="L2120" t="str">
            <v>MAURICIO</v>
          </cell>
          <cell r="M2120" t="str">
            <v>TATIANA NITTA</v>
          </cell>
        </row>
        <row r="2121">
          <cell r="B2121">
            <v>5226531</v>
          </cell>
          <cell r="C2121" t="str">
            <v>NOBREDO COMERCIO E LOGISTICA LTDA</v>
          </cell>
          <cell r="D2121" t="str">
            <v>3001</v>
          </cell>
          <cell r="E2121" t="str">
            <v>6169</v>
          </cell>
          <cell r="F2121" t="str">
            <v>C1</v>
          </cell>
          <cell r="G2121" t="str">
            <v>RJ</v>
          </cell>
          <cell r="H2121" t="str">
            <v>DISTRIBUIÇÃO</v>
          </cell>
          <cell r="I2121" t="str">
            <v>FOOD SERVICE</v>
          </cell>
          <cell r="J2121" t="str">
            <v>LUCIANA MARTINS</v>
          </cell>
          <cell r="K2121" t="str">
            <v>ITAMBÉ</v>
          </cell>
          <cell r="L2121" t="str">
            <v>RODRIGO</v>
          </cell>
          <cell r="M2121" t="str">
            <v>JESSICA</v>
          </cell>
        </row>
        <row r="2122">
          <cell r="B2122">
            <v>5227311</v>
          </cell>
          <cell r="C2122" t="str">
            <v>ALIMENTOS JANDAIA LTDA</v>
          </cell>
          <cell r="D2122" t="str">
            <v>3001</v>
          </cell>
          <cell r="E2122" t="str">
            <v>0028</v>
          </cell>
          <cell r="F2122" t="str">
            <v>C1</v>
          </cell>
          <cell r="G2122" t="str">
            <v>PR</v>
          </cell>
          <cell r="H2122" t="str">
            <v>INGREDIENTS</v>
          </cell>
          <cell r="I2122" t="str">
            <v>INGREDIENTS</v>
          </cell>
          <cell r="J2122" t="str">
            <v>MARCELO RODRIGUES</v>
          </cell>
          <cell r="K2122" t="str">
            <v>ITAMBÉ</v>
          </cell>
          <cell r="L2122" t="str">
            <v>MAURICIO</v>
          </cell>
          <cell r="M2122" t="str">
            <v>MARCELO</v>
          </cell>
        </row>
        <row r="2123">
          <cell r="B2123">
            <v>5231303</v>
          </cell>
          <cell r="C2123" t="str">
            <v>SUPER VINHOS DISTRIBUIDORA S A</v>
          </cell>
          <cell r="D2123" t="str">
            <v>3001</v>
          </cell>
          <cell r="E2123" t="str">
            <v>6169</v>
          </cell>
          <cell r="F2123" t="str">
            <v>C1</v>
          </cell>
          <cell r="G2123" t="str">
            <v>RJ</v>
          </cell>
          <cell r="H2123" t="str">
            <v>DISTRIBUIÇÃO</v>
          </cell>
          <cell r="I2123" t="str">
            <v>FOOD SERVICE</v>
          </cell>
          <cell r="J2123" t="str">
            <v>LUCIANA MARTINS</v>
          </cell>
          <cell r="K2123" t="str">
            <v>ITAMBÉ</v>
          </cell>
          <cell r="L2123" t="str">
            <v>RODRIGO</v>
          </cell>
          <cell r="M2123" t="str">
            <v>JESSICA</v>
          </cell>
        </row>
        <row r="2124">
          <cell r="B2124">
            <v>5232803</v>
          </cell>
          <cell r="C2124" t="str">
            <v>L GONZAGA MIX AMBIENTAL</v>
          </cell>
          <cell r="D2124" t="str">
            <v>3001</v>
          </cell>
          <cell r="E2124" t="str">
            <v>6125</v>
          </cell>
          <cell r="F2124" t="str">
            <v>C1</v>
          </cell>
          <cell r="G2124" t="str">
            <v>SP</v>
          </cell>
          <cell r="H2124" t="str">
            <v>INGREDIENTS</v>
          </cell>
          <cell r="I2124" t="str">
            <v>INGREDIENTS</v>
          </cell>
          <cell r="J2124" t="str">
            <v>HENRIQUE FERREIRA</v>
          </cell>
          <cell r="K2124" t="str">
            <v>ITAMBÉ</v>
          </cell>
          <cell r="L2124" t="str">
            <v>MAURICIO</v>
          </cell>
          <cell r="M2124" t="str">
            <v>JOEL</v>
          </cell>
        </row>
        <row r="2125">
          <cell r="B2125">
            <v>5263338</v>
          </cell>
          <cell r="C2125" t="str">
            <v>BOLO A TOA LOJA DE BOLOS LTDA</v>
          </cell>
          <cell r="D2125" t="str">
            <v>7001</v>
          </cell>
          <cell r="E2125" t="str">
            <v>0749</v>
          </cell>
          <cell r="F2125" t="str">
            <v>C5</v>
          </cell>
          <cell r="G2125" t="str">
            <v>SP</v>
          </cell>
          <cell r="H2125" t="str">
            <v>DISTRIBUIÇÃO</v>
          </cell>
          <cell r="I2125" t="str">
            <v>FOOD SERVICE</v>
          </cell>
          <cell r="J2125" t="str">
            <v>FLAC 2</v>
          </cell>
          <cell r="K2125" t="str">
            <v>LACTALIS</v>
          </cell>
          <cell r="L2125" t="str">
            <v>RODRIGO</v>
          </cell>
          <cell r="M2125" t="str">
            <v>ALEXANDRO</v>
          </cell>
        </row>
        <row r="2126">
          <cell r="B2126">
            <v>5263418</v>
          </cell>
          <cell r="C2126" t="str">
            <v>BOLO A TOA LOJA DE BOLOS LTDA</v>
          </cell>
          <cell r="D2126" t="str">
            <v>7001</v>
          </cell>
          <cell r="E2126" t="str">
            <v>0749</v>
          </cell>
          <cell r="F2126" t="str">
            <v>C5</v>
          </cell>
          <cell r="G2126" t="str">
            <v>SP</v>
          </cell>
          <cell r="H2126" t="str">
            <v>DISTRIBUIÇÃO</v>
          </cell>
          <cell r="I2126" t="str">
            <v>FOOD SERVICE</v>
          </cell>
          <cell r="J2126" t="str">
            <v>FLAC 2</v>
          </cell>
          <cell r="K2126" t="str">
            <v>LACTALIS</v>
          </cell>
          <cell r="L2126" t="str">
            <v>RODRIGO</v>
          </cell>
          <cell r="M2126" t="str">
            <v>ALEXANDRO</v>
          </cell>
        </row>
        <row r="2127">
          <cell r="B2127">
            <v>5320317</v>
          </cell>
          <cell r="C2127" t="str">
            <v>L F S COM E IMPORTACAO DE ALIM</v>
          </cell>
          <cell r="D2127" t="str">
            <v>6001</v>
          </cell>
          <cell r="E2127" t="str">
            <v>0127</v>
          </cell>
          <cell r="F2127" t="str">
            <v>C1</v>
          </cell>
          <cell r="G2127" t="str">
            <v>CE</v>
          </cell>
          <cell r="H2127" t="str">
            <v>DISTRIBUIÇÃO</v>
          </cell>
          <cell r="I2127" t="str">
            <v>FOOD SERVICE</v>
          </cell>
          <cell r="J2127" t="str">
            <v>WH FOOD SERVICE CE</v>
          </cell>
          <cell r="K2127" t="str">
            <v>ITAMBÉ</v>
          </cell>
          <cell r="L2127" t="str">
            <v>RODRIGO</v>
          </cell>
          <cell r="M2127" t="str">
            <v>VAGO NORDESTE</v>
          </cell>
        </row>
        <row r="2128">
          <cell r="B2128">
            <v>5138371</v>
          </cell>
          <cell r="C2128" t="str">
            <v>MADERO INDUSTRIA E COMERCIO SA</v>
          </cell>
          <cell r="D2128" t="str">
            <v>3001</v>
          </cell>
          <cell r="E2128" t="str">
            <v>0126</v>
          </cell>
          <cell r="F2128" t="str">
            <v>C1</v>
          </cell>
          <cell r="G2128" t="str">
            <v>PR</v>
          </cell>
          <cell r="H2128" t="str">
            <v>QSR</v>
          </cell>
          <cell r="I2128" t="str">
            <v>FOOD SERVICE</v>
          </cell>
          <cell r="J2128" t="str">
            <v>AMANDA CARVALHO</v>
          </cell>
          <cell r="K2128" t="str">
            <v>ITAMBÉ</v>
          </cell>
          <cell r="L2128" t="str">
            <v>PEDRO</v>
          </cell>
          <cell r="M2128" t="str">
            <v>AMANDA</v>
          </cell>
        </row>
        <row r="2129">
          <cell r="B2129">
            <v>5194641</v>
          </cell>
          <cell r="C2129" t="str">
            <v>BEVERAGER EQUIPAMENTOS E BEBIDA</v>
          </cell>
          <cell r="D2129" t="str">
            <v>3001</v>
          </cell>
          <cell r="E2129" t="str">
            <v>0028</v>
          </cell>
          <cell r="F2129" t="str">
            <v>C1</v>
          </cell>
          <cell r="G2129" t="str">
            <v>MG</v>
          </cell>
          <cell r="H2129" t="str">
            <v>INGREDIENTS</v>
          </cell>
          <cell r="I2129" t="str">
            <v>INGREDIENTS</v>
          </cell>
          <cell r="J2129" t="str">
            <v>HENRIQUE FERREIRA</v>
          </cell>
          <cell r="K2129" t="str">
            <v>ITAMBÉ</v>
          </cell>
          <cell r="L2129" t="str">
            <v>MAURICIO</v>
          </cell>
          <cell r="M2129" t="str">
            <v>JOEL</v>
          </cell>
        </row>
        <row r="2130">
          <cell r="B2130">
            <v>5293401</v>
          </cell>
          <cell r="C2130" t="str">
            <v>ALEXSANDRA PATRICIA FERREIRA 21</v>
          </cell>
          <cell r="D2130" t="str">
            <v>7001</v>
          </cell>
          <cell r="E2130" t="str">
            <v>0749</v>
          </cell>
          <cell r="F2130" t="str">
            <v>C5</v>
          </cell>
          <cell r="G2130" t="str">
            <v>SP</v>
          </cell>
          <cell r="H2130" t="str">
            <v>DISTRIBUIÇÃO</v>
          </cell>
          <cell r="I2130" t="str">
            <v>FOOD SERVICE</v>
          </cell>
          <cell r="J2130" t="str">
            <v>FLAC 7</v>
          </cell>
          <cell r="K2130" t="str">
            <v>LACTALIS</v>
          </cell>
          <cell r="L2130" t="str">
            <v>RODRIGO</v>
          </cell>
          <cell r="M2130" t="str">
            <v>ALEXANDRO</v>
          </cell>
        </row>
        <row r="2131">
          <cell r="B2131">
            <v>5335135</v>
          </cell>
          <cell r="C2131" t="str">
            <v>CAMARADA ADM DE RESTAURANTES</v>
          </cell>
          <cell r="D2131" t="str">
            <v>7001</v>
          </cell>
          <cell r="E2131" t="str">
            <v>0722</v>
          </cell>
          <cell r="F2131" t="str">
            <v>C1</v>
          </cell>
          <cell r="G2131" t="str">
            <v>SP</v>
          </cell>
          <cell r="H2131" t="str">
            <v>QSR</v>
          </cell>
          <cell r="I2131" t="str">
            <v>FOOD SERVICE</v>
          </cell>
          <cell r="J2131" t="str">
            <v>AMANDA CARVALHO</v>
          </cell>
          <cell r="K2131" t="str">
            <v>LACTALIS</v>
          </cell>
          <cell r="L2131" t="str">
            <v>PEDRO</v>
          </cell>
          <cell r="M2131" t="str">
            <v>AMANDA</v>
          </cell>
        </row>
        <row r="2132">
          <cell r="B2132">
            <v>5181639</v>
          </cell>
          <cell r="C2132" t="str">
            <v>SENHOR PUDIM SOBREMESAS LTDA</v>
          </cell>
          <cell r="D2132" t="str">
            <v>7001</v>
          </cell>
          <cell r="E2132" t="str">
            <v>0749</v>
          </cell>
          <cell r="F2132" t="str">
            <v>C5</v>
          </cell>
          <cell r="G2132" t="str">
            <v>SP</v>
          </cell>
          <cell r="H2132" t="str">
            <v>DISTRIBUIÇÃO</v>
          </cell>
          <cell r="I2132" t="str">
            <v>FOOD SERVICE</v>
          </cell>
          <cell r="J2132" t="str">
            <v>FLAC 6</v>
          </cell>
          <cell r="K2132" t="str">
            <v>LACTALIS</v>
          </cell>
          <cell r="L2132" t="str">
            <v>RODRIGO</v>
          </cell>
          <cell r="M2132" t="str">
            <v>ALEXANDRO</v>
          </cell>
        </row>
        <row r="2133">
          <cell r="B2133">
            <v>5349416</v>
          </cell>
          <cell r="C2133" t="str">
            <v>JJC CONFEITARIA LTDA</v>
          </cell>
          <cell r="D2133" t="str">
            <v>7001</v>
          </cell>
          <cell r="E2133" t="str">
            <v>0749</v>
          </cell>
          <cell r="F2133" t="str">
            <v>C5</v>
          </cell>
          <cell r="G2133" t="str">
            <v>SP</v>
          </cell>
          <cell r="H2133" t="str">
            <v>DISTRIBUIÇÃO</v>
          </cell>
          <cell r="I2133" t="str">
            <v>FOOD SERVICE</v>
          </cell>
          <cell r="J2133" t="str">
            <v>FLAC 6</v>
          </cell>
          <cell r="K2133" t="str">
            <v>LACTALIS</v>
          </cell>
          <cell r="L2133" t="str">
            <v>RODRIGO</v>
          </cell>
          <cell r="M2133" t="str">
            <v>ALEXANDRO</v>
          </cell>
        </row>
        <row r="2134">
          <cell r="B2134">
            <v>5053109</v>
          </cell>
          <cell r="C2134" t="str">
            <v>REAL FOOD ALIMENTACAO LTDA</v>
          </cell>
          <cell r="D2134" t="str">
            <v>7001</v>
          </cell>
          <cell r="E2134" t="str">
            <v>0749</v>
          </cell>
          <cell r="F2134" t="str">
            <v>C5</v>
          </cell>
          <cell r="G2134" t="str">
            <v>SP</v>
          </cell>
          <cell r="H2134" t="str">
            <v>DISTRIBUIÇÃO</v>
          </cell>
          <cell r="I2134" t="str">
            <v>FOOD SERVICE</v>
          </cell>
          <cell r="J2134" t="str">
            <v>FLAC 1</v>
          </cell>
          <cell r="K2134" t="str">
            <v>LACTALIS</v>
          </cell>
          <cell r="L2134" t="str">
            <v>RODRIGO</v>
          </cell>
          <cell r="M2134" t="str">
            <v>ALEXANDRO</v>
          </cell>
        </row>
        <row r="2135">
          <cell r="B2135">
            <v>5014500</v>
          </cell>
          <cell r="C2135" t="str">
            <v>DAVIPAN DIST GENEROS ALIM LTDA</v>
          </cell>
          <cell r="D2135" t="str">
            <v>3001</v>
          </cell>
          <cell r="E2135" t="str">
            <v>0126</v>
          </cell>
          <cell r="F2135" t="str">
            <v>C1</v>
          </cell>
          <cell r="G2135" t="str">
            <v>PR</v>
          </cell>
          <cell r="H2135" t="str">
            <v>DISTRIBUIÇÃO</v>
          </cell>
          <cell r="I2135" t="str">
            <v>FOOD SERVICE</v>
          </cell>
          <cell r="J2135" t="str">
            <v>ANTÔNIO SOUZA</v>
          </cell>
          <cell r="K2135" t="str">
            <v>ITAMBÉ</v>
          </cell>
          <cell r="L2135" t="str">
            <v>RODRIGO</v>
          </cell>
          <cell r="M2135" t="str">
            <v>VAGO SUL</v>
          </cell>
        </row>
        <row r="2136">
          <cell r="B2136">
            <v>5231638</v>
          </cell>
          <cell r="C2136" t="str">
            <v>SERGIO DO CARMO BRIONE</v>
          </cell>
          <cell r="D2136" t="str">
            <v>3001</v>
          </cell>
          <cell r="E2136" t="str">
            <v>0028</v>
          </cell>
          <cell r="F2136" t="str">
            <v>C1</v>
          </cell>
          <cell r="G2136" t="str">
            <v>PR</v>
          </cell>
          <cell r="H2136" t="str">
            <v>INGREDIENTS</v>
          </cell>
          <cell r="I2136" t="str">
            <v>INGREDIENTS</v>
          </cell>
          <cell r="J2136" t="str">
            <v>MARCELO RODRIGUES</v>
          </cell>
          <cell r="K2136" t="str">
            <v>ITAMBÉ</v>
          </cell>
          <cell r="L2136" t="str">
            <v>MAURICIO</v>
          </cell>
          <cell r="M2136" t="str">
            <v>MARCELO</v>
          </cell>
        </row>
        <row r="2137">
          <cell r="B2137">
            <v>5344366</v>
          </cell>
          <cell r="C2137" t="str">
            <v>AKS ALIMENTOS LTDA ME</v>
          </cell>
          <cell r="D2137" t="str">
            <v>4001</v>
          </cell>
          <cell r="E2137" t="str">
            <v>0455</v>
          </cell>
          <cell r="F2137" t="str">
            <v>C1</v>
          </cell>
          <cell r="G2137" t="str">
            <v>PR</v>
          </cell>
          <cell r="H2137" t="str">
            <v>DISTRIBUIÇÃO</v>
          </cell>
          <cell r="I2137" t="str">
            <v>FOOD SERVICE</v>
          </cell>
          <cell r="J2137" t="str">
            <v>ANTÔNIO SOUZA</v>
          </cell>
          <cell r="K2137" t="str">
            <v>LACTALIS</v>
          </cell>
          <cell r="L2137" t="str">
            <v>RODRIGO</v>
          </cell>
          <cell r="M2137" t="str">
            <v>VAGO SUL</v>
          </cell>
        </row>
        <row r="2138">
          <cell r="B2138">
            <v>5350395</v>
          </cell>
          <cell r="C2138" t="str">
            <v>KAROLINA KAESTNER WINTERINK SER</v>
          </cell>
          <cell r="D2138" t="str">
            <v>7001</v>
          </cell>
          <cell r="E2138" t="str">
            <v>0749</v>
          </cell>
          <cell r="F2138" t="str">
            <v>C5</v>
          </cell>
          <cell r="G2138" t="str">
            <v>SP</v>
          </cell>
          <cell r="H2138" t="str">
            <v>DISTRIBUIÇÃO</v>
          </cell>
          <cell r="I2138" t="str">
            <v>FOOD SERVICE</v>
          </cell>
          <cell r="J2138" t="str">
            <v>FLAC 5</v>
          </cell>
          <cell r="K2138" t="str">
            <v>LACTALIS</v>
          </cell>
          <cell r="L2138" t="str">
            <v>RODRIGO</v>
          </cell>
          <cell r="M2138" t="str">
            <v>ALEXANDRO</v>
          </cell>
        </row>
        <row r="2139">
          <cell r="B2139">
            <v>5350396</v>
          </cell>
          <cell r="C2139" t="str">
            <v>SKW SERVICOS DE BUFFET LTDA</v>
          </cell>
          <cell r="D2139" t="str">
            <v>7001</v>
          </cell>
          <cell r="E2139" t="str">
            <v>0749</v>
          </cell>
          <cell r="F2139" t="str">
            <v>C5</v>
          </cell>
          <cell r="G2139" t="str">
            <v>SP</v>
          </cell>
          <cell r="H2139" t="str">
            <v>DISTRIBUIÇÃO</v>
          </cell>
          <cell r="I2139" t="str">
            <v>FOOD SERVICE</v>
          </cell>
          <cell r="J2139" t="str">
            <v>FLAC 5</v>
          </cell>
          <cell r="K2139" t="str">
            <v>LACTALIS</v>
          </cell>
          <cell r="L2139" t="str">
            <v>RODRIGO</v>
          </cell>
          <cell r="M2139" t="str">
            <v>ALEXANDRO</v>
          </cell>
        </row>
        <row r="2140">
          <cell r="B2140">
            <v>5350398</v>
          </cell>
          <cell r="C2140" t="str">
            <v>KESS BUFFET LTDA</v>
          </cell>
          <cell r="D2140" t="str">
            <v>7001</v>
          </cell>
          <cell r="E2140" t="str">
            <v>0749</v>
          </cell>
          <cell r="F2140" t="str">
            <v>C5</v>
          </cell>
          <cell r="G2140" t="str">
            <v>SP</v>
          </cell>
          <cell r="H2140" t="str">
            <v>DISTRIBUIÇÃO</v>
          </cell>
          <cell r="I2140" t="str">
            <v>FOOD SERVICE</v>
          </cell>
          <cell r="J2140" t="str">
            <v>FLAC 5</v>
          </cell>
          <cell r="K2140" t="str">
            <v>LACTALIS</v>
          </cell>
          <cell r="L2140" t="str">
            <v>RODRIGO</v>
          </cell>
          <cell r="M2140" t="str">
            <v>ALEXANDRO</v>
          </cell>
        </row>
        <row r="2141">
          <cell r="B2141">
            <v>5151763</v>
          </cell>
          <cell r="C2141" t="str">
            <v>INTEGRA PRODUTOS PARA PANIF LTD</v>
          </cell>
          <cell r="D2141" t="str">
            <v>3001</v>
          </cell>
          <cell r="E2141" t="str">
            <v>0122</v>
          </cell>
          <cell r="F2141" t="str">
            <v>C1</v>
          </cell>
          <cell r="G2141" t="str">
            <v>MG</v>
          </cell>
          <cell r="H2141" t="str">
            <v>DISTRIBUIÇÃO</v>
          </cell>
          <cell r="I2141" t="str">
            <v>FOOD SERVICE</v>
          </cell>
          <cell r="J2141" t="str">
            <v>MARCELO SILVA</v>
          </cell>
          <cell r="K2141" t="str">
            <v>ITAMBÉ</v>
          </cell>
          <cell r="L2141" t="str">
            <v>RODRIGO</v>
          </cell>
          <cell r="M2141" t="str">
            <v>CELIO MARTINS</v>
          </cell>
        </row>
        <row r="2142">
          <cell r="B2142">
            <v>5219588</v>
          </cell>
          <cell r="C2142" t="str">
            <v>DOCE GELATO COM E DIST DE ALIM</v>
          </cell>
          <cell r="D2142" t="str">
            <v>6001</v>
          </cell>
          <cell r="E2142" t="str">
            <v>6127</v>
          </cell>
          <cell r="F2142" t="str">
            <v>C1</v>
          </cell>
          <cell r="G2142" t="str">
            <v>BA</v>
          </cell>
          <cell r="H2142" t="str">
            <v>DISTRIBUIÇÃO</v>
          </cell>
          <cell r="I2142" t="str">
            <v>FOOD SERVICE</v>
          </cell>
          <cell r="J2142" t="str">
            <v xml:space="preserve">KARIS FOOD / LUIZ </v>
          </cell>
          <cell r="K2142" t="str">
            <v>ITAMBÉ</v>
          </cell>
          <cell r="L2142" t="str">
            <v>RODRIGO</v>
          </cell>
          <cell r="M2142" t="str">
            <v>VAGO NORDESTE</v>
          </cell>
        </row>
        <row r="2143">
          <cell r="B2143">
            <v>5219589</v>
          </cell>
          <cell r="C2143" t="str">
            <v>ACAI PURE COM E DIST DE ALIM LTDA</v>
          </cell>
          <cell r="D2143" t="str">
            <v>6001</v>
          </cell>
          <cell r="E2143" t="str">
            <v>6127</v>
          </cell>
          <cell r="F2143" t="str">
            <v>C1</v>
          </cell>
          <cell r="G2143" t="str">
            <v>BA</v>
          </cell>
          <cell r="H2143" t="str">
            <v>DISTRIBUIÇÃO</v>
          </cell>
          <cell r="I2143" t="str">
            <v>FOOD SERVICE</v>
          </cell>
          <cell r="J2143" t="str">
            <v xml:space="preserve">KARIS FOOD / LUIZ </v>
          </cell>
          <cell r="K2143" t="str">
            <v>ITAMBÉ</v>
          </cell>
          <cell r="L2143" t="str">
            <v>RODRIGO</v>
          </cell>
          <cell r="M2143" t="str">
            <v>VAGO NORDESTE</v>
          </cell>
        </row>
        <row r="2144">
          <cell r="B2144">
            <v>5350364</v>
          </cell>
          <cell r="C2144" t="str">
            <v>CAFE FRATELLI FRANQUEADORA LTDA</v>
          </cell>
          <cell r="D2144" t="str">
            <v>7001</v>
          </cell>
          <cell r="E2144" t="str">
            <v>0749</v>
          </cell>
          <cell r="F2144" t="str">
            <v>C5</v>
          </cell>
          <cell r="G2144" t="str">
            <v>SP</v>
          </cell>
          <cell r="H2144" t="str">
            <v>DISTRIBUIÇÃO</v>
          </cell>
          <cell r="I2144" t="str">
            <v>FOOD SERVICE</v>
          </cell>
          <cell r="J2144" t="str">
            <v>FLAC 3</v>
          </cell>
          <cell r="K2144" t="str">
            <v>LACTALIS</v>
          </cell>
          <cell r="L2144" t="str">
            <v>RODRIGO</v>
          </cell>
          <cell r="M2144" t="str">
            <v>ALEXANDRO</v>
          </cell>
        </row>
        <row r="2145">
          <cell r="B2145">
            <v>5259132</v>
          </cell>
          <cell r="C2145" t="str">
            <v>LINKA BAR E RESTAURANTE LTDA ME</v>
          </cell>
          <cell r="D2145" t="str">
            <v>7001</v>
          </cell>
          <cell r="E2145" t="str">
            <v>0749</v>
          </cell>
          <cell r="F2145" t="str">
            <v>C5</v>
          </cell>
          <cell r="G2145" t="str">
            <v>SP</v>
          </cell>
          <cell r="H2145" t="str">
            <v>DISTRIBUIÇÃO</v>
          </cell>
          <cell r="I2145" t="str">
            <v>FOOD SERVICE</v>
          </cell>
          <cell r="J2145" t="str">
            <v>FLAC 6</v>
          </cell>
          <cell r="K2145" t="str">
            <v>LACTALIS</v>
          </cell>
          <cell r="L2145" t="str">
            <v>RODRIGO</v>
          </cell>
          <cell r="M2145" t="str">
            <v>ALEXANDRO</v>
          </cell>
        </row>
        <row r="2146">
          <cell r="B2146">
            <v>5013387</v>
          </cell>
          <cell r="C2146" t="str">
            <v>SORVEPAN COM E REP LTDA</v>
          </cell>
          <cell r="D2146" t="str">
            <v>6001</v>
          </cell>
          <cell r="E2146" t="str">
            <v>6127</v>
          </cell>
          <cell r="F2146" t="str">
            <v>C1</v>
          </cell>
          <cell r="G2146" t="str">
            <v>SE</v>
          </cell>
          <cell r="H2146" t="str">
            <v>DISTRIBUIÇÃO</v>
          </cell>
          <cell r="I2146" t="str">
            <v>FOOD SERVICE</v>
          </cell>
          <cell r="J2146" t="str">
            <v>CLAUDIO JORGE</v>
          </cell>
          <cell r="K2146" t="str">
            <v>ITAMBÉ</v>
          </cell>
          <cell r="L2146" t="str">
            <v>RODRIGO</v>
          </cell>
          <cell r="M2146" t="str">
            <v>VAGO NORDESTE</v>
          </cell>
        </row>
        <row r="2147">
          <cell r="B2147">
            <v>5139714</v>
          </cell>
          <cell r="C2147" t="str">
            <v>COLORE INDUSTRIA E COMERCIO LTD</v>
          </cell>
          <cell r="D2147" t="str">
            <v>3001</v>
          </cell>
          <cell r="E2147" t="str">
            <v>0028</v>
          </cell>
          <cell r="F2147" t="str">
            <v>C1</v>
          </cell>
          <cell r="G2147" t="str">
            <v>MG</v>
          </cell>
          <cell r="H2147" t="str">
            <v>INGREDIENTS</v>
          </cell>
          <cell r="I2147" t="str">
            <v>INGREDIENTS</v>
          </cell>
          <cell r="J2147" t="str">
            <v>HENRIQUE FERREIRA</v>
          </cell>
          <cell r="K2147" t="str">
            <v>ITAMBÉ</v>
          </cell>
          <cell r="L2147" t="str">
            <v>MAURICIO</v>
          </cell>
          <cell r="M2147" t="str">
            <v>JOEL</v>
          </cell>
        </row>
        <row r="2148">
          <cell r="B2148">
            <v>5207341</v>
          </cell>
          <cell r="C2148" t="str">
            <v>ALIMENTOS PORTIOLI LTDA</v>
          </cell>
          <cell r="D2148" t="str">
            <v>7001</v>
          </cell>
          <cell r="E2148" t="str">
            <v>0722</v>
          </cell>
          <cell r="F2148" t="str">
            <v>C1</v>
          </cell>
          <cell r="G2148" t="str">
            <v>SP</v>
          </cell>
          <cell r="H2148" t="str">
            <v>DISTRIBUIÇÃO</v>
          </cell>
          <cell r="I2148" t="str">
            <v>FOOD SERVICE</v>
          </cell>
          <cell r="J2148" t="str">
            <v>FLAC 8</v>
          </cell>
          <cell r="K2148" t="str">
            <v>LACTALIS</v>
          </cell>
          <cell r="L2148" t="str">
            <v>RODRIGO</v>
          </cell>
          <cell r="M2148" t="str">
            <v>ALEXANDRO</v>
          </cell>
        </row>
        <row r="2149">
          <cell r="B2149">
            <v>5268479</v>
          </cell>
          <cell r="C2149" t="str">
            <v>LUISA MARIA OKRETIC GARBARINO</v>
          </cell>
          <cell r="D2149" t="str">
            <v>7001</v>
          </cell>
          <cell r="E2149" t="str">
            <v>0749</v>
          </cell>
          <cell r="F2149" t="str">
            <v>C5</v>
          </cell>
          <cell r="G2149" t="str">
            <v>SP</v>
          </cell>
          <cell r="H2149" t="str">
            <v>DISTRIBUIÇÃO</v>
          </cell>
          <cell r="I2149" t="str">
            <v>FOOD SERVICE</v>
          </cell>
          <cell r="J2149" t="str">
            <v>FLAC 2</v>
          </cell>
          <cell r="K2149" t="str">
            <v>LACTALIS</v>
          </cell>
          <cell r="L2149" t="str">
            <v>RODRIGO</v>
          </cell>
          <cell r="M2149" t="str">
            <v>ALEXANDRO</v>
          </cell>
        </row>
        <row r="2150">
          <cell r="B2150">
            <v>5147016</v>
          </cell>
          <cell r="C2150" t="str">
            <v>NATURA IND E COM DE ALIMENTOS L</v>
          </cell>
          <cell r="D2150" t="str">
            <v>3001</v>
          </cell>
          <cell r="E2150" t="str">
            <v>0126</v>
          </cell>
          <cell r="F2150" t="str">
            <v>C1</v>
          </cell>
          <cell r="G2150" t="str">
            <v>PR</v>
          </cell>
          <cell r="H2150" t="str">
            <v>DISTRIBUIÇÃO</v>
          </cell>
          <cell r="I2150" t="str">
            <v>FOOD SERVICE</v>
          </cell>
          <cell r="J2150" t="str">
            <v>ANTÔNIO SOUZA</v>
          </cell>
          <cell r="K2150" t="str">
            <v>ITAMBÉ</v>
          </cell>
          <cell r="L2150" t="str">
            <v>RODRIGO</v>
          </cell>
          <cell r="M2150" t="str">
            <v>VAGO SUL</v>
          </cell>
        </row>
        <row r="2151">
          <cell r="B2151">
            <v>5212469</v>
          </cell>
          <cell r="C2151" t="str">
            <v>R A B PEREIRA IND E COM DE P AL</v>
          </cell>
          <cell r="D2151" t="str">
            <v>6001</v>
          </cell>
          <cell r="E2151" t="str">
            <v>6028</v>
          </cell>
          <cell r="F2151" t="str">
            <v>C1</v>
          </cell>
          <cell r="G2151" t="str">
            <v>SP</v>
          </cell>
          <cell r="H2151" t="str">
            <v>INGREDIENTS</v>
          </cell>
          <cell r="I2151" t="str">
            <v>INGREDIENTS</v>
          </cell>
          <cell r="J2151" t="str">
            <v>DUAS RODAS</v>
          </cell>
          <cell r="K2151" t="str">
            <v>ITAMBÉ</v>
          </cell>
          <cell r="L2151" t="str">
            <v>MAURICIO</v>
          </cell>
          <cell r="M2151" t="str">
            <v>TATIANA NITTA</v>
          </cell>
        </row>
        <row r="2152">
          <cell r="B2152">
            <v>5350257</v>
          </cell>
          <cell r="C2152" t="str">
            <v>CAFE FRATELLI FRANQUEADORA LTDA</v>
          </cell>
          <cell r="D2152" t="str">
            <v>7001</v>
          </cell>
          <cell r="E2152" t="str">
            <v>0749</v>
          </cell>
          <cell r="F2152" t="str">
            <v>C5</v>
          </cell>
          <cell r="G2152" t="str">
            <v>SP</v>
          </cell>
          <cell r="H2152" t="str">
            <v>DISTRIBUIÇÃO</v>
          </cell>
          <cell r="I2152" t="str">
            <v>FOOD SERVICE</v>
          </cell>
          <cell r="J2152" t="str">
            <v>FLAC 3</v>
          </cell>
          <cell r="K2152" t="str">
            <v>LACTALIS</v>
          </cell>
          <cell r="L2152" t="str">
            <v>RODRIGO</v>
          </cell>
          <cell r="M2152" t="str">
            <v>ALEXANDRO</v>
          </cell>
        </row>
        <row r="2153">
          <cell r="B2153">
            <v>5180460</v>
          </cell>
          <cell r="C2153" t="str">
            <v>F DISTRIBUIDORA DE ALIMENTOS L</v>
          </cell>
          <cell r="D2153" t="str">
            <v>7001</v>
          </cell>
          <cell r="E2153" t="str">
            <v>0722</v>
          </cell>
          <cell r="F2153" t="str">
            <v>C1</v>
          </cell>
          <cell r="G2153" t="str">
            <v>SP</v>
          </cell>
          <cell r="H2153" t="str">
            <v>DISTRIBUIÇÃO</v>
          </cell>
          <cell r="I2153" t="str">
            <v>FOOD SERVICE</v>
          </cell>
          <cell r="J2153" t="str">
            <v>VAGO SP - INTERIOR</v>
          </cell>
          <cell r="K2153" t="str">
            <v>LACTALIS</v>
          </cell>
          <cell r="L2153" t="str">
            <v>RODRIGO</v>
          </cell>
          <cell r="M2153" t="str">
            <v>ALEXANDRO</v>
          </cell>
        </row>
        <row r="2154">
          <cell r="B2154">
            <v>5231237</v>
          </cell>
          <cell r="C2154" t="str">
            <v>SEARA ALIMENTOS LTDA</v>
          </cell>
          <cell r="D2154" t="str">
            <v>4001</v>
          </cell>
          <cell r="E2154" t="str">
            <v>0437</v>
          </cell>
          <cell r="F2154" t="str">
            <v>C1</v>
          </cell>
          <cell r="G2154" t="str">
            <v>SP</v>
          </cell>
          <cell r="H2154" t="str">
            <v>INGREDIENTS</v>
          </cell>
          <cell r="I2154" t="str">
            <v>INGREDIENTS</v>
          </cell>
          <cell r="J2154" t="str">
            <v>JOEL ELEOTÉRIO</v>
          </cell>
          <cell r="K2154" t="str">
            <v>LACTALIS</v>
          </cell>
          <cell r="L2154" t="str">
            <v>MAURICIO</v>
          </cell>
          <cell r="M2154" t="str">
            <v>JOEL</v>
          </cell>
        </row>
        <row r="2155">
          <cell r="B2155">
            <v>5313544</v>
          </cell>
          <cell r="C2155" t="str">
            <v>CB PAULISTANO COMERCIO DE PRODU</v>
          </cell>
          <cell r="D2155" t="str">
            <v>7001</v>
          </cell>
          <cell r="E2155" t="str">
            <v>0749</v>
          </cell>
          <cell r="F2155" t="str">
            <v>C5</v>
          </cell>
          <cell r="G2155" t="str">
            <v>SP</v>
          </cell>
          <cell r="H2155" t="str">
            <v>DISTRIBUIÇÃO</v>
          </cell>
          <cell r="I2155" t="str">
            <v>FOOD SERVICE</v>
          </cell>
          <cell r="J2155" t="str">
            <v>FLAC 3</v>
          </cell>
          <cell r="K2155" t="str">
            <v>LACTALIS</v>
          </cell>
          <cell r="L2155" t="str">
            <v>RODRIGO</v>
          </cell>
          <cell r="M2155" t="str">
            <v>ALEXANDRO</v>
          </cell>
        </row>
        <row r="2156">
          <cell r="B2156">
            <v>5349623</v>
          </cell>
          <cell r="C2156" t="str">
            <v>NGA ALIMENTACAO E SERVICOS LTD</v>
          </cell>
          <cell r="D2156" t="str">
            <v>7001</v>
          </cell>
          <cell r="E2156" t="str">
            <v>0749</v>
          </cell>
          <cell r="F2156" t="str">
            <v>C5</v>
          </cell>
          <cell r="G2156" t="str">
            <v>SP</v>
          </cell>
          <cell r="H2156" t="str">
            <v>DISTRIBUIÇÃO</v>
          </cell>
          <cell r="I2156" t="str">
            <v>FOOD SERVICE</v>
          </cell>
          <cell r="J2156" t="str">
            <v>FLAC 1</v>
          </cell>
          <cell r="K2156" t="str">
            <v>LACTALIS</v>
          </cell>
          <cell r="L2156" t="str">
            <v>RODRIGO</v>
          </cell>
          <cell r="M2156" t="str">
            <v>ALEXANDRO</v>
          </cell>
        </row>
        <row r="2157">
          <cell r="B2157">
            <v>5350280</v>
          </cell>
          <cell r="C2157" t="str">
            <v>HOTELARIA BRASIL LTDA</v>
          </cell>
          <cell r="D2157" t="str">
            <v>7001</v>
          </cell>
          <cell r="E2157" t="str">
            <v>0749</v>
          </cell>
          <cell r="F2157" t="str">
            <v>C5</v>
          </cell>
          <cell r="G2157" t="str">
            <v>SP</v>
          </cell>
          <cell r="H2157" t="str">
            <v>DISTRIBUIÇÃO</v>
          </cell>
          <cell r="I2157" t="str">
            <v>FOOD SERVICE</v>
          </cell>
          <cell r="J2157" t="str">
            <v>FLAC 5</v>
          </cell>
          <cell r="K2157" t="str">
            <v>LACTALIS</v>
          </cell>
          <cell r="L2157" t="str">
            <v>RODRIGO</v>
          </cell>
          <cell r="M2157" t="str">
            <v>ALEXANDRO</v>
          </cell>
        </row>
        <row r="2158">
          <cell r="B2158">
            <v>5350603</v>
          </cell>
          <cell r="C2158" t="str">
            <v>LINAZA HALE DO BRASIL IND DE PR</v>
          </cell>
          <cell r="D2158" t="str">
            <v>6001</v>
          </cell>
          <cell r="E2158" t="str">
            <v>6127</v>
          </cell>
          <cell r="F2158" t="str">
            <v>C1</v>
          </cell>
          <cell r="G2158" t="str">
            <v>BA</v>
          </cell>
          <cell r="H2158" t="str">
            <v>DISTRIBUIÇÃO</v>
          </cell>
          <cell r="I2158" t="str">
            <v>FOOD SERVICE</v>
          </cell>
          <cell r="J2158" t="str">
            <v xml:space="preserve">KARIS FOOD / LUIZ </v>
          </cell>
          <cell r="K2158" t="str">
            <v>ITAMBÉ</v>
          </cell>
          <cell r="L2158" t="str">
            <v>RODRIGO</v>
          </cell>
          <cell r="M2158" t="str">
            <v>VAGO NORDESTE</v>
          </cell>
        </row>
        <row r="2159">
          <cell r="B2159">
            <v>5173434</v>
          </cell>
          <cell r="C2159" t="str">
            <v>ARACAGY SORVETES LTDA ME</v>
          </cell>
          <cell r="D2159" t="str">
            <v>3001</v>
          </cell>
          <cell r="E2159" t="str">
            <v>0028</v>
          </cell>
          <cell r="F2159" t="str">
            <v>C1</v>
          </cell>
          <cell r="G2159" t="str">
            <v>MG</v>
          </cell>
          <cell r="H2159" t="str">
            <v>INGREDIENTS</v>
          </cell>
          <cell r="I2159" t="str">
            <v>INGREDIENTS</v>
          </cell>
          <cell r="J2159" t="str">
            <v>HENRIQUE FERREIRA</v>
          </cell>
          <cell r="K2159" t="str">
            <v>ITAMBÉ</v>
          </cell>
          <cell r="L2159" t="str">
            <v>MAURICIO</v>
          </cell>
          <cell r="M2159" t="str">
            <v>JOEL</v>
          </cell>
        </row>
        <row r="2160">
          <cell r="B2160">
            <v>5348916</v>
          </cell>
          <cell r="C2160" t="str">
            <v>TOTAL CREAM</v>
          </cell>
          <cell r="D2160" t="str">
            <v>6001</v>
          </cell>
          <cell r="E2160" t="str">
            <v>6028</v>
          </cell>
          <cell r="F2160" t="str">
            <v>C1</v>
          </cell>
          <cell r="G2160" t="str">
            <v>SP</v>
          </cell>
          <cell r="H2160" t="str">
            <v>INGREDIENTS</v>
          </cell>
          <cell r="I2160" t="str">
            <v>INGREDIENTS</v>
          </cell>
          <cell r="J2160" t="str">
            <v>DUAS RODAS</v>
          </cell>
          <cell r="K2160" t="str">
            <v>ITAMBÉ</v>
          </cell>
          <cell r="L2160" t="str">
            <v>MAURICIO</v>
          </cell>
          <cell r="M2160" t="str">
            <v>TATIANA NITTA</v>
          </cell>
        </row>
        <row r="2161">
          <cell r="B2161">
            <v>5350820</v>
          </cell>
          <cell r="C2161" t="str">
            <v>PORTOROSE PIZZARIA E RESTAURANT</v>
          </cell>
          <cell r="D2161" t="str">
            <v>7001</v>
          </cell>
          <cell r="E2161" t="str">
            <v>0749</v>
          </cell>
          <cell r="F2161" t="str">
            <v>C5</v>
          </cell>
          <cell r="G2161" t="str">
            <v>SP</v>
          </cell>
          <cell r="H2161" t="str">
            <v>DISTRIBUIÇÃO</v>
          </cell>
          <cell r="I2161" t="str">
            <v>FOOD SERVICE</v>
          </cell>
          <cell r="J2161" t="str">
            <v>FLAC 2</v>
          </cell>
          <cell r="K2161" t="str">
            <v>LACTALIS</v>
          </cell>
          <cell r="L2161" t="str">
            <v>RODRIGO</v>
          </cell>
          <cell r="M2161" t="str">
            <v>ALEXANDRO</v>
          </cell>
        </row>
        <row r="2162">
          <cell r="B2162">
            <v>5350821</v>
          </cell>
          <cell r="C2162" t="str">
            <v>SOCRATES PIZZA BAR LTDA</v>
          </cell>
          <cell r="D2162" t="str">
            <v>7001</v>
          </cell>
          <cell r="E2162" t="str">
            <v>0749</v>
          </cell>
          <cell r="F2162" t="str">
            <v>C5</v>
          </cell>
          <cell r="G2162" t="str">
            <v>SP</v>
          </cell>
          <cell r="H2162" t="str">
            <v>DISTRIBUIÇÃO</v>
          </cell>
          <cell r="I2162" t="str">
            <v>FOOD SERVICE</v>
          </cell>
          <cell r="J2162" t="str">
            <v>FLAC 2</v>
          </cell>
          <cell r="K2162" t="str">
            <v>LACTALIS</v>
          </cell>
          <cell r="L2162" t="str">
            <v>RODRIGO</v>
          </cell>
          <cell r="M2162" t="str">
            <v>ALEXANDRO</v>
          </cell>
        </row>
        <row r="2163">
          <cell r="B2163">
            <v>5350822</v>
          </cell>
          <cell r="C2163" t="str">
            <v>COTOXO PIZZA BAR LTDA</v>
          </cell>
          <cell r="D2163" t="str">
            <v>7001</v>
          </cell>
          <cell r="E2163" t="str">
            <v>0749</v>
          </cell>
          <cell r="F2163" t="str">
            <v>C5</v>
          </cell>
          <cell r="G2163" t="str">
            <v>SP</v>
          </cell>
          <cell r="H2163" t="str">
            <v>DISTRIBUIÇÃO</v>
          </cell>
          <cell r="I2163" t="str">
            <v>FOOD SERVICE</v>
          </cell>
          <cell r="J2163" t="str">
            <v>FLAC 2</v>
          </cell>
          <cell r="K2163" t="str">
            <v>LACTALIS</v>
          </cell>
          <cell r="L2163" t="str">
            <v>RODRIGO</v>
          </cell>
          <cell r="M2163" t="str">
            <v>ALEXANDRO</v>
          </cell>
        </row>
        <row r="2164">
          <cell r="B2164">
            <v>5350831</v>
          </cell>
          <cell r="C2164" t="str">
            <v>M M COMERCIO DE ALIMENTOS LTDA</v>
          </cell>
          <cell r="D2164" t="str">
            <v>7001</v>
          </cell>
          <cell r="E2164" t="str">
            <v>0749</v>
          </cell>
          <cell r="F2164" t="str">
            <v>C5</v>
          </cell>
          <cell r="G2164" t="str">
            <v>SP</v>
          </cell>
          <cell r="H2164" t="str">
            <v>DISTRIBUIÇÃO</v>
          </cell>
          <cell r="I2164" t="str">
            <v>FOOD SERVICE</v>
          </cell>
          <cell r="J2164" t="str">
            <v>FLAC 2</v>
          </cell>
          <cell r="K2164" t="str">
            <v>LACTALIS</v>
          </cell>
          <cell r="L2164" t="str">
            <v>RODRIGO</v>
          </cell>
          <cell r="M2164" t="str">
            <v>ALEXANDRO</v>
          </cell>
        </row>
        <row r="2165">
          <cell r="B2165">
            <v>5350832</v>
          </cell>
          <cell r="C2165" t="str">
            <v>CASUALE ALIMENTOS LTDA</v>
          </cell>
          <cell r="D2165" t="str">
            <v>7001</v>
          </cell>
          <cell r="E2165" t="str">
            <v>0749</v>
          </cell>
          <cell r="F2165" t="str">
            <v>C5</v>
          </cell>
          <cell r="G2165" t="str">
            <v>SP</v>
          </cell>
          <cell r="H2165" t="str">
            <v>DISTRIBUIÇÃO</v>
          </cell>
          <cell r="I2165" t="str">
            <v>FOOD SERVICE</v>
          </cell>
          <cell r="J2165" t="str">
            <v>FLAC 2</v>
          </cell>
          <cell r="K2165" t="str">
            <v>LACTALIS</v>
          </cell>
          <cell r="L2165" t="str">
            <v>RODRIGO</v>
          </cell>
          <cell r="M2165" t="str">
            <v>ALEXANDRO</v>
          </cell>
        </row>
        <row r="2166">
          <cell r="B2166">
            <v>5350834</v>
          </cell>
          <cell r="C2166" t="str">
            <v>FL COMERCIO DE ALIMENTOS LTDA</v>
          </cell>
          <cell r="D2166" t="str">
            <v>7001</v>
          </cell>
          <cell r="E2166" t="str">
            <v>0749</v>
          </cell>
          <cell r="F2166" t="str">
            <v>C5</v>
          </cell>
          <cell r="G2166" t="str">
            <v>SP</v>
          </cell>
          <cell r="H2166" t="str">
            <v>DISTRIBUIÇÃO</v>
          </cell>
          <cell r="I2166" t="str">
            <v>FOOD SERVICE</v>
          </cell>
          <cell r="J2166" t="str">
            <v>FLAC 2</v>
          </cell>
          <cell r="K2166" t="str">
            <v>LACTALIS</v>
          </cell>
          <cell r="L2166" t="str">
            <v>RODRIGO</v>
          </cell>
          <cell r="M2166" t="str">
            <v>ALEXANDRO</v>
          </cell>
        </row>
        <row r="2167">
          <cell r="B2167">
            <v>5350835</v>
          </cell>
          <cell r="C2167" t="str">
            <v>CESAR MOMO COMERCIO DE ALIMENT</v>
          </cell>
          <cell r="D2167" t="str">
            <v>7001</v>
          </cell>
          <cell r="E2167" t="str">
            <v>0749</v>
          </cell>
          <cell r="F2167" t="str">
            <v>C5</v>
          </cell>
          <cell r="G2167" t="str">
            <v>SP</v>
          </cell>
          <cell r="H2167" t="str">
            <v>DISTRIBUIÇÃO</v>
          </cell>
          <cell r="I2167" t="str">
            <v>FOOD SERVICE</v>
          </cell>
          <cell r="J2167" t="str">
            <v>FLAC 2</v>
          </cell>
          <cell r="K2167" t="str">
            <v>LACTALIS</v>
          </cell>
          <cell r="L2167" t="str">
            <v>RODRIGO</v>
          </cell>
          <cell r="M2167" t="str">
            <v>ALEXANDRO</v>
          </cell>
        </row>
        <row r="2168">
          <cell r="B2168">
            <v>5014649</v>
          </cell>
          <cell r="C2168" t="str">
            <v>CONCORDE LOGISTICA E DISTRIBUICAO</v>
          </cell>
          <cell r="D2168" t="str">
            <v>3001</v>
          </cell>
          <cell r="E2168" t="str">
            <v>0126</v>
          </cell>
          <cell r="F2168" t="str">
            <v>C1</v>
          </cell>
          <cell r="G2168" t="str">
            <v>PR</v>
          </cell>
          <cell r="H2168" t="str">
            <v>DISTRIBUIÇÃO</v>
          </cell>
          <cell r="I2168" t="str">
            <v>FOOD SERVICE</v>
          </cell>
          <cell r="J2168" t="str">
            <v>ANTÔNIO SOUZA</v>
          </cell>
          <cell r="K2168" t="str">
            <v>ITAMBÉ</v>
          </cell>
          <cell r="L2168" t="str">
            <v>RODRIGO</v>
          </cell>
          <cell r="M2168" t="str">
            <v>VAGO SUL</v>
          </cell>
        </row>
        <row r="2169">
          <cell r="B2169">
            <v>5086953</v>
          </cell>
          <cell r="C2169" t="str">
            <v>MABE ALIMENTOS LTDA</v>
          </cell>
          <cell r="D2169" t="str">
            <v>6001</v>
          </cell>
          <cell r="E2169" t="str">
            <v>6028</v>
          </cell>
          <cell r="F2169" t="str">
            <v>C1</v>
          </cell>
          <cell r="G2169" t="str">
            <v>SP</v>
          </cell>
          <cell r="H2169" t="str">
            <v>INGREDIENTS</v>
          </cell>
          <cell r="I2169" t="str">
            <v>INGREDIENTS</v>
          </cell>
          <cell r="J2169" t="str">
            <v>JOEL ELEOTÉRIO</v>
          </cell>
          <cell r="K2169" t="str">
            <v>ITAMBÉ</v>
          </cell>
          <cell r="L2169" t="str">
            <v>MAURICIO</v>
          </cell>
          <cell r="M2169" t="str">
            <v>JOEL</v>
          </cell>
        </row>
        <row r="2170">
          <cell r="B2170">
            <v>5168151</v>
          </cell>
          <cell r="C2170" t="str">
            <v>I S M GOMES DE MATTOS LTDA</v>
          </cell>
          <cell r="D2170" t="str">
            <v>6001</v>
          </cell>
          <cell r="E2170" t="str">
            <v>6075</v>
          </cell>
          <cell r="F2170" t="str">
            <v>C1</v>
          </cell>
          <cell r="G2170" t="str">
            <v>CE</v>
          </cell>
          <cell r="H2170" t="str">
            <v>DISTRIBUIÇÃO</v>
          </cell>
          <cell r="I2170" t="str">
            <v>FOOD SERVICE</v>
          </cell>
          <cell r="J2170" t="str">
            <v>WH FOOD SERVICE CE</v>
          </cell>
          <cell r="K2170" t="str">
            <v>ITAMBÉ</v>
          </cell>
          <cell r="L2170" t="str">
            <v>RODRIGO</v>
          </cell>
          <cell r="M2170" t="str">
            <v>VAGO NORDESTE</v>
          </cell>
        </row>
        <row r="2171">
          <cell r="B2171">
            <v>5351022</v>
          </cell>
          <cell r="C2171" t="str">
            <v>SANTU PANIFICACAO LTDA</v>
          </cell>
          <cell r="D2171" t="str">
            <v>7001</v>
          </cell>
          <cell r="E2171" t="str">
            <v>0749</v>
          </cell>
          <cell r="F2171" t="str">
            <v>C5</v>
          </cell>
          <cell r="G2171" t="str">
            <v>SP</v>
          </cell>
          <cell r="H2171" t="str">
            <v>DISTRIBUIÇÃO</v>
          </cell>
          <cell r="I2171" t="str">
            <v>FOOD SERVICE</v>
          </cell>
          <cell r="J2171" t="str">
            <v>FLAC 2</v>
          </cell>
          <cell r="K2171" t="str">
            <v>LACTALIS</v>
          </cell>
          <cell r="L2171" t="str">
            <v>RODRIGO</v>
          </cell>
          <cell r="M2171" t="str">
            <v>ALEXANDRO</v>
          </cell>
        </row>
        <row r="2172">
          <cell r="B2172">
            <v>5351024</v>
          </cell>
          <cell r="C2172" t="str">
            <v>TROPICAL SORVETES LTDA</v>
          </cell>
          <cell r="D2172" t="str">
            <v>7001</v>
          </cell>
          <cell r="E2172" t="str">
            <v>0749</v>
          </cell>
          <cell r="F2172" t="str">
            <v>C5</v>
          </cell>
          <cell r="G2172" t="str">
            <v>SP</v>
          </cell>
          <cell r="H2172" t="str">
            <v>DISTRIBUIÇÃO</v>
          </cell>
          <cell r="I2172" t="str">
            <v>FOOD SERVICE</v>
          </cell>
          <cell r="J2172" t="str">
            <v>FLAC 2</v>
          </cell>
          <cell r="K2172" t="str">
            <v>LACTALIS</v>
          </cell>
          <cell r="L2172" t="str">
            <v>RODRIGO</v>
          </cell>
          <cell r="M2172" t="str">
            <v>ALEXANDRO</v>
          </cell>
        </row>
        <row r="2173">
          <cell r="B2173">
            <v>5229467</v>
          </cell>
          <cell r="C2173" t="str">
            <v>GEBON SORVETES LTDA</v>
          </cell>
          <cell r="D2173" t="str">
            <v>4001</v>
          </cell>
          <cell r="E2173" t="str">
            <v>0455</v>
          </cell>
          <cell r="F2173" t="str">
            <v>C1</v>
          </cell>
          <cell r="G2173" t="str">
            <v>PR</v>
          </cell>
          <cell r="H2173" t="str">
            <v>INGREDIENTS</v>
          </cell>
          <cell r="I2173" t="str">
            <v>INGREDIENTS</v>
          </cell>
          <cell r="J2173" t="str">
            <v>MARCELO RODRIGUES</v>
          </cell>
          <cell r="K2173" t="str">
            <v>LACTALIS</v>
          </cell>
          <cell r="L2173" t="str">
            <v>MAURICIO</v>
          </cell>
          <cell r="M2173" t="str">
            <v>MARCELO</v>
          </cell>
        </row>
        <row r="2174">
          <cell r="B2174">
            <v>5313531</v>
          </cell>
          <cell r="C2174" t="str">
            <v>VIA LACTEA INDUSTRIA E COMERCIO</v>
          </cell>
          <cell r="D2174" t="str">
            <v>4001</v>
          </cell>
          <cell r="E2174" t="str">
            <v>0437</v>
          </cell>
          <cell r="F2174" t="str">
            <v>C1</v>
          </cell>
          <cell r="G2174" t="str">
            <v>SP</v>
          </cell>
          <cell r="H2174" t="str">
            <v>INGREDIENTS</v>
          </cell>
          <cell r="I2174" t="str">
            <v>INGREDIENTS</v>
          </cell>
          <cell r="J2174" t="str">
            <v>JOEL ELEOTÉRIO</v>
          </cell>
          <cell r="K2174" t="str">
            <v>LACTALIS</v>
          </cell>
          <cell r="L2174" t="str">
            <v>MAURICIO</v>
          </cell>
          <cell r="M2174" t="str">
            <v>JOEL</v>
          </cell>
        </row>
        <row r="2175">
          <cell r="B2175">
            <v>5350258</v>
          </cell>
          <cell r="C2175" t="str">
            <v>CAFE FRATELLI FRANQUEADORA LTDA</v>
          </cell>
          <cell r="D2175" t="str">
            <v>7001</v>
          </cell>
          <cell r="E2175" t="str">
            <v>0749</v>
          </cell>
          <cell r="F2175" t="str">
            <v>C5</v>
          </cell>
          <cell r="G2175" t="str">
            <v>SP</v>
          </cell>
          <cell r="H2175" t="str">
            <v>DISTRIBUIÇÃO</v>
          </cell>
          <cell r="I2175" t="str">
            <v>FOOD SERVICE</v>
          </cell>
          <cell r="J2175" t="str">
            <v>FLAC 3</v>
          </cell>
          <cell r="K2175" t="str">
            <v>LACTALIS</v>
          </cell>
          <cell r="L2175" t="str">
            <v>RODRIGO</v>
          </cell>
          <cell r="M2175" t="str">
            <v>ALEXANDRO</v>
          </cell>
        </row>
        <row r="2176">
          <cell r="B2176">
            <v>5350936</v>
          </cell>
          <cell r="C2176" t="str">
            <v>SEARA ALIMENTOS LTDA</v>
          </cell>
          <cell r="D2176" t="str">
            <v>3001</v>
          </cell>
          <cell r="E2176" t="str">
            <v>0028</v>
          </cell>
          <cell r="F2176" t="str">
            <v>C1</v>
          </cell>
          <cell r="G2176" t="str">
            <v>MG</v>
          </cell>
          <cell r="H2176" t="str">
            <v>INGREDIENTS</v>
          </cell>
          <cell r="I2176" t="str">
            <v>INGREDIENTS</v>
          </cell>
          <cell r="J2176" t="str">
            <v>JOEL ELEOTÉRIO</v>
          </cell>
          <cell r="K2176" t="str">
            <v>ITAMBÉ</v>
          </cell>
          <cell r="L2176" t="str">
            <v>MAURICIO</v>
          </cell>
          <cell r="M2176" t="str">
            <v>JOEL</v>
          </cell>
        </row>
        <row r="2177">
          <cell r="B2177">
            <v>5351023</v>
          </cell>
          <cell r="C2177" t="str">
            <v>50622939 WITALLO B P DE SOUSA D</v>
          </cell>
          <cell r="D2177" t="str">
            <v>7001</v>
          </cell>
          <cell r="E2177" t="str">
            <v>0749</v>
          </cell>
          <cell r="F2177" t="str">
            <v>C5</v>
          </cell>
          <cell r="G2177" t="str">
            <v>SP</v>
          </cell>
          <cell r="H2177" t="str">
            <v>DISTRIBUIÇÃO</v>
          </cell>
          <cell r="I2177" t="str">
            <v>FOOD SERVICE</v>
          </cell>
          <cell r="J2177" t="str">
            <v>FLAC 2</v>
          </cell>
          <cell r="K2177" t="str">
            <v>LACTALIS</v>
          </cell>
          <cell r="L2177" t="str">
            <v>RODRIGO</v>
          </cell>
          <cell r="M2177" t="str">
            <v>ALEXANDRO</v>
          </cell>
        </row>
        <row r="2178">
          <cell r="B2178">
            <v>5264820</v>
          </cell>
          <cell r="C2178" t="str">
            <v>ADRIANO L OLIVEIRA</v>
          </cell>
          <cell r="D2178" t="str">
            <v>7001</v>
          </cell>
          <cell r="E2178" t="str">
            <v>0749</v>
          </cell>
          <cell r="F2178" t="str">
            <v>C5</v>
          </cell>
          <cell r="G2178" t="str">
            <v>SP</v>
          </cell>
          <cell r="H2178" t="str">
            <v>DISTRIBUIÇÃO</v>
          </cell>
          <cell r="I2178" t="str">
            <v>FOOD SERVICE</v>
          </cell>
          <cell r="J2178" t="str">
            <v>FLAC 5</v>
          </cell>
          <cell r="K2178" t="str">
            <v>LACTALIS</v>
          </cell>
          <cell r="L2178" t="str">
            <v>RODRIGO</v>
          </cell>
          <cell r="M2178" t="str">
            <v>ALEXANDRO</v>
          </cell>
        </row>
        <row r="2179">
          <cell r="B2179">
            <v>5350667</v>
          </cell>
          <cell r="C2179" t="str">
            <v>WS COMERCIO E DISTRIBUIDORA DE</v>
          </cell>
          <cell r="D2179" t="str">
            <v>7001</v>
          </cell>
          <cell r="E2179" t="str">
            <v>0749</v>
          </cell>
          <cell r="F2179" t="str">
            <v>C5</v>
          </cell>
          <cell r="G2179" t="str">
            <v>SP</v>
          </cell>
          <cell r="H2179" t="str">
            <v>DISTRIBUIÇÃO</v>
          </cell>
          <cell r="I2179" t="str">
            <v>FOOD SERVICE</v>
          </cell>
          <cell r="J2179" t="str">
            <v>FLAC 2</v>
          </cell>
          <cell r="K2179" t="str">
            <v>LACTALIS</v>
          </cell>
          <cell r="L2179" t="str">
            <v>RODRIGO</v>
          </cell>
          <cell r="M2179" t="str">
            <v>ALEXANDRO</v>
          </cell>
        </row>
        <row r="2180">
          <cell r="B2180">
            <v>5115621</v>
          </cell>
          <cell r="C2180" t="str">
            <v>MARAJOARA INDUSTRIA DE LATICINI</v>
          </cell>
          <cell r="D2180" t="str">
            <v>4001</v>
          </cell>
          <cell r="E2180" t="str">
            <v>0423</v>
          </cell>
          <cell r="F2180" t="str">
            <v>C5</v>
          </cell>
          <cell r="G2180" t="str">
            <v>GO</v>
          </cell>
          <cell r="H2180" t="str">
            <v>INGREDIENTS</v>
          </cell>
          <cell r="I2180" t="str">
            <v>INGREDIENTS</v>
          </cell>
          <cell r="J2180" t="str">
            <v>DLUM</v>
          </cell>
          <cell r="K2180" t="str">
            <v>LACTALIS</v>
          </cell>
          <cell r="L2180" t="str">
            <v>MAURICIO</v>
          </cell>
          <cell r="M2180" t="str">
            <v>JOEL</v>
          </cell>
        </row>
        <row r="2181">
          <cell r="B2181">
            <v>5119520</v>
          </cell>
          <cell r="C2181" t="str">
            <v>CIA BEAL DE ALIMENTOS</v>
          </cell>
          <cell r="D2181" t="str">
            <v>3001</v>
          </cell>
          <cell r="E2181" t="str">
            <v>0126</v>
          </cell>
          <cell r="F2181" t="str">
            <v>C1</v>
          </cell>
          <cell r="G2181" t="str">
            <v>PR</v>
          </cell>
          <cell r="H2181" t="str">
            <v>QSR</v>
          </cell>
          <cell r="I2181" t="str">
            <v>FOOD SERVICE</v>
          </cell>
          <cell r="J2181" t="str">
            <v>AMANDA CARVALHO</v>
          </cell>
          <cell r="K2181" t="str">
            <v>ITAMBÉ</v>
          </cell>
          <cell r="L2181" t="str">
            <v>PEDRO</v>
          </cell>
          <cell r="M2181" t="str">
            <v>AMANDA</v>
          </cell>
        </row>
        <row r="2182">
          <cell r="B2182">
            <v>5190033</v>
          </cell>
          <cell r="C2182" t="str">
            <v>MISTER SHAKE COM DE SORVETES E</v>
          </cell>
          <cell r="D2182" t="str">
            <v>3001</v>
          </cell>
          <cell r="E2182" t="str">
            <v>0028</v>
          </cell>
          <cell r="F2182" t="str">
            <v>C1</v>
          </cell>
          <cell r="G2182" t="str">
            <v>MG</v>
          </cell>
          <cell r="H2182" t="str">
            <v>INGREDIENTS</v>
          </cell>
          <cell r="I2182" t="str">
            <v>INGREDIENTS</v>
          </cell>
          <cell r="J2182" t="str">
            <v>HENRIQUE FERREIRA</v>
          </cell>
          <cell r="K2182" t="str">
            <v>ITAMBÉ</v>
          </cell>
          <cell r="L2182" t="str">
            <v>MAURICIO</v>
          </cell>
          <cell r="M2182" t="str">
            <v>JOEL</v>
          </cell>
        </row>
        <row r="2183">
          <cell r="B2183">
            <v>5270564</v>
          </cell>
          <cell r="C2183" t="str">
            <v>TASTY AND FRESH PROD DE ALIM E</v>
          </cell>
          <cell r="D2183" t="str">
            <v>7001</v>
          </cell>
          <cell r="E2183" t="str">
            <v>0737</v>
          </cell>
          <cell r="F2183" t="str">
            <v>C1</v>
          </cell>
          <cell r="G2183" t="str">
            <v>SP</v>
          </cell>
          <cell r="H2183" t="str">
            <v>INGREDIENTS</v>
          </cell>
          <cell r="I2183" t="str">
            <v>INGREDIENTS</v>
          </cell>
          <cell r="J2183" t="str">
            <v>JOEL ELEOTÉRIO</v>
          </cell>
          <cell r="K2183" t="str">
            <v>LACTALIS</v>
          </cell>
          <cell r="L2183" t="str">
            <v>MAURICIO</v>
          </cell>
          <cell r="M2183" t="str">
            <v>JOEL</v>
          </cell>
        </row>
        <row r="2184">
          <cell r="B2184">
            <v>5279645</v>
          </cell>
          <cell r="C2184" t="str">
            <v>CESAR MOMO LANCHONETE LTDA</v>
          </cell>
          <cell r="D2184" t="str">
            <v>7001</v>
          </cell>
          <cell r="E2184" t="str">
            <v>0749</v>
          </cell>
          <cell r="F2184" t="str">
            <v>C5</v>
          </cell>
          <cell r="G2184" t="str">
            <v>SP</v>
          </cell>
          <cell r="H2184" t="str">
            <v>DISTRIBUIÇÃO</v>
          </cell>
          <cell r="I2184" t="str">
            <v>FOOD SERVICE</v>
          </cell>
          <cell r="J2184" t="str">
            <v>FLAC 2</v>
          </cell>
          <cell r="K2184" t="str">
            <v>LACTALIS</v>
          </cell>
          <cell r="L2184" t="str">
            <v>RODRIGO</v>
          </cell>
          <cell r="M2184" t="str">
            <v>ALEXANDRO</v>
          </cell>
        </row>
        <row r="2185">
          <cell r="B2185">
            <v>5350259</v>
          </cell>
          <cell r="C2185" t="str">
            <v>CAFE FRATELLI FRANQUEADORA LTDA</v>
          </cell>
          <cell r="D2185" t="str">
            <v>7001</v>
          </cell>
          <cell r="E2185" t="str">
            <v>0749</v>
          </cell>
          <cell r="F2185" t="str">
            <v>C5</v>
          </cell>
          <cell r="G2185" t="str">
            <v>SP</v>
          </cell>
          <cell r="H2185" t="str">
            <v>DISTRIBUIÇÃO</v>
          </cell>
          <cell r="I2185" t="str">
            <v>FOOD SERVICE</v>
          </cell>
          <cell r="J2185" t="str">
            <v>FLAC 3</v>
          </cell>
          <cell r="K2185" t="str">
            <v>LACTALIS</v>
          </cell>
          <cell r="L2185" t="str">
            <v>RODRIGO</v>
          </cell>
          <cell r="M2185" t="str">
            <v>ALEXANDRO</v>
          </cell>
        </row>
        <row r="2186">
          <cell r="B2186">
            <v>5350290</v>
          </cell>
          <cell r="C2186" t="str">
            <v>GRAN RIO HOTEL DAN INN LTDA</v>
          </cell>
          <cell r="D2186" t="str">
            <v>7001</v>
          </cell>
          <cell r="E2186" t="str">
            <v>0749</v>
          </cell>
          <cell r="F2186" t="str">
            <v>C5</v>
          </cell>
          <cell r="G2186" t="str">
            <v>SP</v>
          </cell>
          <cell r="H2186" t="str">
            <v>DISTRIBUIÇÃO</v>
          </cell>
          <cell r="I2186" t="str">
            <v>FOOD SERVICE</v>
          </cell>
          <cell r="J2186" t="str">
            <v>FLAC 5</v>
          </cell>
          <cell r="K2186" t="str">
            <v>LACTALIS</v>
          </cell>
          <cell r="L2186" t="str">
            <v>RODRIGO</v>
          </cell>
          <cell r="M2186" t="str">
            <v>ALEXANDRO</v>
          </cell>
        </row>
        <row r="2187">
          <cell r="B2187">
            <v>5011698</v>
          </cell>
          <cell r="C2187" t="str">
            <v>CASA DO SACHET LTDA</v>
          </cell>
          <cell r="D2187" t="str">
            <v>4001</v>
          </cell>
          <cell r="E2187" t="str">
            <v>0458</v>
          </cell>
          <cell r="F2187" t="str">
            <v>C1</v>
          </cell>
          <cell r="G2187" t="str">
            <v>MS</v>
          </cell>
          <cell r="H2187" t="str">
            <v>DISTRIBUIÇÃO</v>
          </cell>
          <cell r="I2187" t="str">
            <v>FOOD SERVICE</v>
          </cell>
          <cell r="J2187" t="str">
            <v>CLAUDIO JORGE</v>
          </cell>
          <cell r="K2187" t="str">
            <v>LACTALIS</v>
          </cell>
          <cell r="L2187" t="str">
            <v>RODRIGO</v>
          </cell>
          <cell r="M2187" t="str">
            <v>MARCO AURELIO</v>
          </cell>
        </row>
        <row r="2188">
          <cell r="B2188">
            <v>5316126</v>
          </cell>
          <cell r="C2188" t="str">
            <v>AFFARI ALIMENTACAO LTDA</v>
          </cell>
          <cell r="D2188" t="str">
            <v>7001</v>
          </cell>
          <cell r="E2188" t="str">
            <v>0749</v>
          </cell>
          <cell r="F2188" t="str">
            <v>C5</v>
          </cell>
          <cell r="G2188" t="str">
            <v>SP</v>
          </cell>
          <cell r="H2188" t="str">
            <v>DISTRIBUIÇÃO</v>
          </cell>
          <cell r="I2188" t="str">
            <v>FOOD SERVICE</v>
          </cell>
          <cell r="J2188" t="str">
            <v>FLAC 5</v>
          </cell>
          <cell r="K2188" t="str">
            <v>LACTALIS</v>
          </cell>
          <cell r="L2188" t="str">
            <v>RODRIGO</v>
          </cell>
          <cell r="M2188" t="str">
            <v>ALEXANDRO</v>
          </cell>
        </row>
        <row r="2189">
          <cell r="B2189">
            <v>5167210</v>
          </cell>
          <cell r="C2189" t="str">
            <v>CONFEITARIA LA BASSANI LTDA</v>
          </cell>
          <cell r="D2189" t="str">
            <v>7001</v>
          </cell>
          <cell r="E2189" t="str">
            <v>0749</v>
          </cell>
          <cell r="F2189" t="str">
            <v>C5</v>
          </cell>
          <cell r="G2189" t="str">
            <v>SP</v>
          </cell>
          <cell r="H2189" t="str">
            <v>DISTRIBUIÇÃO</v>
          </cell>
          <cell r="I2189" t="str">
            <v>FOOD SERVICE</v>
          </cell>
          <cell r="J2189" t="str">
            <v>FLAC 5</v>
          </cell>
          <cell r="K2189" t="str">
            <v>LACTALIS</v>
          </cell>
          <cell r="L2189" t="str">
            <v>RODRIGO</v>
          </cell>
          <cell r="M2189" t="str">
            <v>ALEXANDRO</v>
          </cell>
        </row>
        <row r="2190">
          <cell r="B2190">
            <v>5344781</v>
          </cell>
          <cell r="C2190" t="str">
            <v>SORVETES DO VALE LTDA</v>
          </cell>
          <cell r="D2190" t="str">
            <v>3001</v>
          </cell>
          <cell r="E2190" t="str">
            <v>0028</v>
          </cell>
          <cell r="F2190" t="str">
            <v>C1</v>
          </cell>
          <cell r="G2190" t="str">
            <v>MG</v>
          </cell>
          <cell r="H2190" t="str">
            <v>INGREDIENTS</v>
          </cell>
          <cell r="I2190" t="str">
            <v>INGREDIENTS</v>
          </cell>
          <cell r="J2190" t="str">
            <v>HENRIQUE FERREIRA</v>
          </cell>
          <cell r="K2190" t="str">
            <v>ITAMBÉ</v>
          </cell>
          <cell r="L2190" t="str">
            <v>MAURICIO</v>
          </cell>
          <cell r="M2190" t="str">
            <v>JOEL</v>
          </cell>
        </row>
        <row r="2191">
          <cell r="B2191">
            <v>5351048</v>
          </cell>
          <cell r="C2191" t="str">
            <v>LUA NOSSA DOCES LTD</v>
          </cell>
          <cell r="D2191" t="str">
            <v>7001</v>
          </cell>
          <cell r="E2191" t="str">
            <v>0749</v>
          </cell>
          <cell r="F2191" t="str">
            <v>C5</v>
          </cell>
          <cell r="G2191" t="str">
            <v>SP</v>
          </cell>
          <cell r="H2191" t="str">
            <v>DISTRIBUIÇÃO</v>
          </cell>
          <cell r="I2191" t="str">
            <v>FOOD SERVICE</v>
          </cell>
          <cell r="J2191" t="str">
            <v>FLAC 5</v>
          </cell>
          <cell r="K2191" t="str">
            <v>LACTALIS</v>
          </cell>
          <cell r="L2191" t="str">
            <v>RODRIGO</v>
          </cell>
          <cell r="M2191" t="str">
            <v>ALEXANDRO</v>
          </cell>
        </row>
        <row r="2192">
          <cell r="B2192">
            <v>5351081</v>
          </cell>
          <cell r="C2192" t="str">
            <v>SHALON DIST DE PROD ALI BEB E E</v>
          </cell>
          <cell r="D2192" t="str">
            <v>7001</v>
          </cell>
          <cell r="E2192" t="str">
            <v>0749</v>
          </cell>
          <cell r="F2192" t="str">
            <v>C5</v>
          </cell>
          <cell r="G2192" t="str">
            <v>SP</v>
          </cell>
          <cell r="H2192" t="str">
            <v>DISTRIBUIÇÃO</v>
          </cell>
          <cell r="I2192" t="str">
            <v>FOOD SERVICE</v>
          </cell>
          <cell r="J2192" t="str">
            <v>FLAC 1</v>
          </cell>
          <cell r="K2192" t="str">
            <v>LACTALIS</v>
          </cell>
          <cell r="L2192" t="str">
            <v>RODRIGO</v>
          </cell>
          <cell r="M2192" t="str">
            <v>ALEXANDRO</v>
          </cell>
        </row>
        <row r="2193">
          <cell r="B2193">
            <v>5351210</v>
          </cell>
          <cell r="C2193" t="str">
            <v>SAGRADO BOULANGERIE PERDIZES LT</v>
          </cell>
          <cell r="D2193" t="str">
            <v>7001</v>
          </cell>
          <cell r="E2193" t="str">
            <v>0749</v>
          </cell>
          <cell r="F2193" t="str">
            <v>C5</v>
          </cell>
          <cell r="G2193" t="str">
            <v>SP</v>
          </cell>
          <cell r="H2193" t="str">
            <v>DISTRIBUIÇÃO</v>
          </cell>
          <cell r="I2193" t="str">
            <v>FOOD SERVICE</v>
          </cell>
          <cell r="J2193" t="str">
            <v>FLAC 5</v>
          </cell>
          <cell r="K2193" t="str">
            <v>LACTALIS</v>
          </cell>
          <cell r="L2193" t="str">
            <v>RODRIGO</v>
          </cell>
          <cell r="M2193" t="str">
            <v>ALEXANDRO</v>
          </cell>
        </row>
        <row r="2194">
          <cell r="B2194">
            <v>5351264</v>
          </cell>
          <cell r="C2194" t="str">
            <v>18829901 VAILDO TEIXEIRA DE O</v>
          </cell>
          <cell r="D2194" t="str">
            <v>7001</v>
          </cell>
          <cell r="E2194" t="str">
            <v>0749</v>
          </cell>
          <cell r="F2194" t="str">
            <v>C5</v>
          </cell>
          <cell r="G2194" t="str">
            <v>SP</v>
          </cell>
          <cell r="H2194" t="str">
            <v>DISTRIBUIÇÃO</v>
          </cell>
          <cell r="I2194" t="str">
            <v>FOOD SERVICE</v>
          </cell>
          <cell r="J2194" t="str">
            <v>FLAC 4</v>
          </cell>
          <cell r="K2194" t="str">
            <v>LACTALIS</v>
          </cell>
          <cell r="L2194" t="str">
            <v>RODRIGO</v>
          </cell>
          <cell r="M2194" t="str">
            <v>ALEXANDRO</v>
          </cell>
        </row>
        <row r="2195">
          <cell r="B2195">
            <v>5019245</v>
          </cell>
          <cell r="C2195" t="str">
            <v>FRUTT CENTER DDE P DE FRUTAS E F LT</v>
          </cell>
          <cell r="D2195" t="str">
            <v>3001</v>
          </cell>
          <cell r="E2195" t="str">
            <v>6123</v>
          </cell>
          <cell r="F2195" t="str">
            <v>C1</v>
          </cell>
          <cell r="G2195" t="str">
            <v>GO</v>
          </cell>
          <cell r="H2195" t="str">
            <v>DISTRIBUIÇÃO</v>
          </cell>
          <cell r="I2195" t="str">
            <v>FOOD SERVICE</v>
          </cell>
          <cell r="J2195" t="str">
            <v>CLAUDIO JORGE</v>
          </cell>
          <cell r="K2195" t="str">
            <v>ITAMBÉ</v>
          </cell>
          <cell r="L2195" t="str">
            <v>RODRIGO</v>
          </cell>
          <cell r="M2195" t="str">
            <v>MARCO AURELIO</v>
          </cell>
        </row>
        <row r="2196">
          <cell r="B2196">
            <v>5186248</v>
          </cell>
          <cell r="C2196" t="str">
            <v>INDUSTRIA E COMERCIO VILLA CAFE</v>
          </cell>
          <cell r="D2196" t="str">
            <v>3001</v>
          </cell>
          <cell r="E2196" t="str">
            <v>0028</v>
          </cell>
          <cell r="F2196" t="str">
            <v>C1</v>
          </cell>
          <cell r="G2196" t="str">
            <v>MG</v>
          </cell>
          <cell r="H2196" t="str">
            <v>INGREDIENTS</v>
          </cell>
          <cell r="I2196" t="str">
            <v>INGREDIENTS</v>
          </cell>
          <cell r="J2196" t="str">
            <v>HENRIQUE FERREIRA</v>
          </cell>
          <cell r="K2196" t="str">
            <v>ITAMBÉ</v>
          </cell>
          <cell r="L2196" t="str">
            <v>MAURICIO</v>
          </cell>
          <cell r="M2196" t="str">
            <v>JOEL</v>
          </cell>
        </row>
        <row r="2197">
          <cell r="B2197">
            <v>5212486</v>
          </cell>
          <cell r="C2197" t="str">
            <v>FRUTAROM DO BRASIL IND E COM LT</v>
          </cell>
          <cell r="D2197" t="str">
            <v>3001</v>
          </cell>
          <cell r="E2197" t="str">
            <v>0028</v>
          </cell>
          <cell r="F2197" t="str">
            <v>C1</v>
          </cell>
          <cell r="G2197" t="str">
            <v>MG</v>
          </cell>
          <cell r="H2197" t="str">
            <v>INGREDIENTS</v>
          </cell>
          <cell r="I2197" t="str">
            <v>INGREDIENTS</v>
          </cell>
          <cell r="J2197" t="str">
            <v>HENRIQUE FERREIRA</v>
          </cell>
          <cell r="K2197" t="str">
            <v>ITAMBÉ</v>
          </cell>
          <cell r="L2197" t="str">
            <v>MAURICIO</v>
          </cell>
          <cell r="M2197" t="str">
            <v>JOEL</v>
          </cell>
        </row>
        <row r="2198">
          <cell r="B2198">
            <v>5333061</v>
          </cell>
          <cell r="C2198" t="str">
            <v>NUTRISANTOS ALIMENTACAO ANIMA</v>
          </cell>
          <cell r="D2198" t="str">
            <v>3001</v>
          </cell>
          <cell r="E2198" t="str">
            <v>0028</v>
          </cell>
          <cell r="F2198" t="str">
            <v>C1</v>
          </cell>
          <cell r="G2198" t="str">
            <v>MG</v>
          </cell>
          <cell r="H2198" t="str">
            <v>INGREDIENTS</v>
          </cell>
          <cell r="I2198" t="str">
            <v>INGREDIENTS</v>
          </cell>
          <cell r="J2198" t="str">
            <v>HENRIQUE FERREIRA</v>
          </cell>
          <cell r="K2198" t="str">
            <v>ITAMBÉ</v>
          </cell>
          <cell r="L2198" t="str">
            <v>MAURICIO</v>
          </cell>
          <cell r="M2198" t="str">
            <v>JOEL</v>
          </cell>
        </row>
        <row r="2199">
          <cell r="B2199">
            <v>5347458</v>
          </cell>
          <cell r="C2199" t="str">
            <v>LALLEMAND SOLUCOES BIOLOGICAS L</v>
          </cell>
          <cell r="D2199" t="str">
            <v>3001</v>
          </cell>
          <cell r="E2199" t="str">
            <v>0028</v>
          </cell>
          <cell r="F2199" t="str">
            <v>C1</v>
          </cell>
          <cell r="G2199" t="str">
            <v>MG</v>
          </cell>
          <cell r="H2199" t="str">
            <v>INGREDIENTS</v>
          </cell>
          <cell r="I2199" t="str">
            <v>INGREDIENTS</v>
          </cell>
          <cell r="J2199" t="str">
            <v>HENRIQUE FERREIRA</v>
          </cell>
          <cell r="K2199" t="str">
            <v>ITAMBÉ</v>
          </cell>
          <cell r="L2199" t="str">
            <v>MAURICIO</v>
          </cell>
          <cell r="M2199" t="str">
            <v>JOEL</v>
          </cell>
        </row>
        <row r="2200">
          <cell r="B2200">
            <v>5351307</v>
          </cell>
          <cell r="C2200" t="str">
            <v>TUAREG COMERCIO E RESTAURANTE L</v>
          </cell>
          <cell r="D2200" t="str">
            <v>7001</v>
          </cell>
          <cell r="E2200" t="str">
            <v>0749</v>
          </cell>
          <cell r="F2200" t="str">
            <v>C5</v>
          </cell>
          <cell r="G2200" t="str">
            <v>SP</v>
          </cell>
          <cell r="H2200" t="str">
            <v>DISTRIBUIÇÃO</v>
          </cell>
          <cell r="I2200" t="str">
            <v>FOOD SERVICE</v>
          </cell>
          <cell r="J2200" t="str">
            <v>FLAC 6</v>
          </cell>
          <cell r="K2200" t="str">
            <v>LACTALIS</v>
          </cell>
          <cell r="L2200" t="str">
            <v>RODRIGO</v>
          </cell>
          <cell r="M2200" t="str">
            <v>ALEXANDRO</v>
          </cell>
        </row>
        <row r="2201">
          <cell r="B2201">
            <v>5166366</v>
          </cell>
          <cell r="C2201" t="str">
            <v>A CONFITERIA IND E COM DE ALIM LTDA</v>
          </cell>
          <cell r="D2201" t="str">
            <v>6001</v>
          </cell>
          <cell r="E2201" t="str">
            <v>6028</v>
          </cell>
          <cell r="F2201" t="str">
            <v>C1</v>
          </cell>
          <cell r="G2201" t="str">
            <v>SP</v>
          </cell>
          <cell r="H2201" t="str">
            <v>DISTRIBUIÇÃO</v>
          </cell>
          <cell r="I2201" t="str">
            <v>FOOD SERVICE</v>
          </cell>
          <cell r="J2201" t="str">
            <v>FLAC 6</v>
          </cell>
          <cell r="K2201" t="str">
            <v>ITAMBÉ</v>
          </cell>
          <cell r="L2201" t="str">
            <v>RODRIGO</v>
          </cell>
          <cell r="M2201" t="str">
            <v>ALEXANDRO</v>
          </cell>
        </row>
        <row r="2202">
          <cell r="B2202">
            <v>5263748</v>
          </cell>
          <cell r="C2202" t="str">
            <v>PIZZARIA FRANCISCA JULIA LTDA</v>
          </cell>
          <cell r="D2202" t="str">
            <v>7001</v>
          </cell>
          <cell r="E2202" t="str">
            <v>0749</v>
          </cell>
          <cell r="F2202" t="str">
            <v>C5</v>
          </cell>
          <cell r="G2202" t="str">
            <v>SP</v>
          </cell>
          <cell r="H2202" t="str">
            <v>DISTRIBUIÇÃO</v>
          </cell>
          <cell r="I2202" t="str">
            <v>FOOD SERVICE</v>
          </cell>
          <cell r="J2202" t="str">
            <v>FLAC 3</v>
          </cell>
          <cell r="K2202" t="str">
            <v>LACTALIS</v>
          </cell>
          <cell r="L2202" t="str">
            <v>RODRIGO</v>
          </cell>
          <cell r="M2202" t="str">
            <v>ALEXANDRO</v>
          </cell>
        </row>
        <row r="2203">
          <cell r="B2203">
            <v>5140560</v>
          </cell>
          <cell r="C2203" t="str">
            <v>ALVOAR LACTEOS NORDESTE SA</v>
          </cell>
          <cell r="D2203" t="str">
            <v>4001</v>
          </cell>
          <cell r="E2203" t="str">
            <v>0437</v>
          </cell>
          <cell r="F2203" t="str">
            <v>C1</v>
          </cell>
          <cell r="G2203" t="str">
            <v>CE</v>
          </cell>
          <cell r="H2203" t="str">
            <v>INGREDIENTS</v>
          </cell>
          <cell r="I2203" t="str">
            <v>INGREDIENTS</v>
          </cell>
          <cell r="J2203" t="str">
            <v>JOEL ELEOTÉRIO</v>
          </cell>
          <cell r="K2203" t="str">
            <v>LACTALIS</v>
          </cell>
          <cell r="L2203" t="str">
            <v>MAURICIO</v>
          </cell>
          <cell r="M2203" t="str">
            <v>JOEL</v>
          </cell>
        </row>
        <row r="2204">
          <cell r="B2204">
            <v>5323712</v>
          </cell>
          <cell r="C2204" t="str">
            <v>LATICINIOS REZENDE LTDA</v>
          </cell>
          <cell r="D2204" t="str">
            <v>4001</v>
          </cell>
          <cell r="E2204" t="str">
            <v>0437</v>
          </cell>
          <cell r="F2204" t="str">
            <v>C1</v>
          </cell>
          <cell r="G2204" t="str">
            <v>SE</v>
          </cell>
          <cell r="H2204" t="str">
            <v>INGREDIENTS</v>
          </cell>
          <cell r="I2204" t="str">
            <v>INGREDIENTS</v>
          </cell>
          <cell r="J2204" t="str">
            <v>JOEL ELEOTÉRIO</v>
          </cell>
          <cell r="K2204" t="str">
            <v>LACTALIS</v>
          </cell>
          <cell r="L2204" t="str">
            <v>MAURICIO</v>
          </cell>
          <cell r="M2204" t="str">
            <v>JOEL</v>
          </cell>
        </row>
        <row r="2205">
          <cell r="B2205">
            <v>5350289</v>
          </cell>
          <cell r="C2205" t="str">
            <v>TRANSAMERICA COMERCIAL E SERV L</v>
          </cell>
          <cell r="D2205" t="str">
            <v>7001</v>
          </cell>
          <cell r="E2205" t="str">
            <v>0749</v>
          </cell>
          <cell r="F2205" t="str">
            <v>C5</v>
          </cell>
          <cell r="G2205" t="str">
            <v>SP</v>
          </cell>
          <cell r="H2205" t="str">
            <v>DISTRIBUIÇÃO</v>
          </cell>
          <cell r="I2205" t="str">
            <v>FOOD SERVICE</v>
          </cell>
          <cell r="J2205" t="str">
            <v>FLAC 5</v>
          </cell>
          <cell r="K2205" t="str">
            <v>LACTALIS</v>
          </cell>
          <cell r="L2205" t="str">
            <v>RODRIGO</v>
          </cell>
          <cell r="M2205" t="str">
            <v>ALEXANDRO</v>
          </cell>
        </row>
        <row r="2206">
          <cell r="B2206">
            <v>5278297</v>
          </cell>
          <cell r="C2206" t="str">
            <v>LANCH BAR FINESSE LTDA</v>
          </cell>
          <cell r="D2206" t="str">
            <v>7001</v>
          </cell>
          <cell r="E2206" t="str">
            <v>0749</v>
          </cell>
          <cell r="F2206" t="str">
            <v>C5</v>
          </cell>
          <cell r="G2206" t="str">
            <v>SP</v>
          </cell>
          <cell r="H2206" t="str">
            <v>DISTRIBUIÇÃO</v>
          </cell>
          <cell r="I2206" t="str">
            <v>FOOD SERVICE</v>
          </cell>
          <cell r="J2206" t="str">
            <v>FLAC 6</v>
          </cell>
          <cell r="K2206" t="str">
            <v>LACTALIS</v>
          </cell>
          <cell r="L2206" t="str">
            <v>RODRIGO</v>
          </cell>
          <cell r="M2206" t="str">
            <v>ALEXANDRO</v>
          </cell>
        </row>
        <row r="2207">
          <cell r="B2207">
            <v>5351160</v>
          </cell>
          <cell r="C2207" t="str">
            <v>EDUARDO DA COSTA M E CIA LTDA</v>
          </cell>
          <cell r="D2207" t="str">
            <v>6001</v>
          </cell>
          <cell r="E2207" t="str">
            <v>6028</v>
          </cell>
          <cell r="F2207" t="str">
            <v>C1</v>
          </cell>
          <cell r="G2207" t="str">
            <v>SP</v>
          </cell>
          <cell r="H2207" t="str">
            <v>INGREDIENTS</v>
          </cell>
          <cell r="I2207" t="str">
            <v>INGREDIENTS</v>
          </cell>
          <cell r="J2207" t="str">
            <v>DUAS RODAS</v>
          </cell>
          <cell r="K2207" t="str">
            <v>ITAMBÉ</v>
          </cell>
          <cell r="L2207" t="str">
            <v>MAURICIO</v>
          </cell>
          <cell r="M2207" t="str">
            <v>TATIANA NITTA</v>
          </cell>
        </row>
        <row r="2208">
          <cell r="B2208">
            <v>5166366</v>
          </cell>
          <cell r="C2208" t="str">
            <v>A CONFITERIA IND E COM DE ALIM LTDA</v>
          </cell>
          <cell r="D2208" t="str">
            <v>6001</v>
          </cell>
          <cell r="E2208" t="str">
            <v>6125</v>
          </cell>
          <cell r="F2208" t="str">
            <v>C1</v>
          </cell>
          <cell r="G2208" t="str">
            <v>SP</v>
          </cell>
          <cell r="H2208" t="str">
            <v>DISTRIBUIÇÃO</v>
          </cell>
          <cell r="I2208" t="str">
            <v>FOOD SERVICE</v>
          </cell>
          <cell r="J2208" t="str">
            <v>FLAC 6</v>
          </cell>
          <cell r="K2208" t="str">
            <v>ITAMBÉ</v>
          </cell>
          <cell r="L2208" t="str">
            <v>RODRIGO</v>
          </cell>
          <cell r="M2208" t="str">
            <v>ALEXANDRO</v>
          </cell>
        </row>
        <row r="2209">
          <cell r="B2209">
            <v>5260717</v>
          </cell>
          <cell r="C2209" t="str">
            <v>SANTO DEUS LANCHONETE LTDA ME</v>
          </cell>
          <cell r="D2209" t="str">
            <v>7001</v>
          </cell>
          <cell r="E2209" t="str">
            <v>0749</v>
          </cell>
          <cell r="F2209" t="str">
            <v>C5</v>
          </cell>
          <cell r="G2209" t="str">
            <v>SP</v>
          </cell>
          <cell r="H2209" t="str">
            <v>DISTRIBUIÇÃO</v>
          </cell>
          <cell r="I2209" t="str">
            <v>FOOD SERVICE</v>
          </cell>
          <cell r="J2209" t="str">
            <v>FLAC 6</v>
          </cell>
          <cell r="K2209" t="str">
            <v>LACTALIS</v>
          </cell>
          <cell r="L2209" t="str">
            <v>RODRIGO</v>
          </cell>
          <cell r="M2209" t="str">
            <v>ALEXANDRO</v>
          </cell>
        </row>
        <row r="2210">
          <cell r="B2210">
            <v>5351471</v>
          </cell>
          <cell r="C2210" t="str">
            <v>DOM MAITRE LTDA</v>
          </cell>
          <cell r="D2210" t="str">
            <v>7001</v>
          </cell>
          <cell r="E2210" t="str">
            <v>0749</v>
          </cell>
          <cell r="F2210" t="str">
            <v>C5</v>
          </cell>
          <cell r="G2210" t="str">
            <v>SP</v>
          </cell>
          <cell r="H2210" t="str">
            <v>DISTRIBUIÇÃO</v>
          </cell>
          <cell r="I2210" t="str">
            <v>FOOD SERVICE</v>
          </cell>
          <cell r="J2210" t="str">
            <v>FLAC 5</v>
          </cell>
          <cell r="K2210" t="str">
            <v>LACTALIS</v>
          </cell>
          <cell r="L2210" t="str">
            <v>RODRIGO</v>
          </cell>
          <cell r="M2210" t="str">
            <v>ALEXANDRO</v>
          </cell>
        </row>
        <row r="2211">
          <cell r="B2211">
            <v>5300135</v>
          </cell>
          <cell r="C2211" t="str">
            <v>SUPERMIX NUTRICAO ANIMAL LTDA</v>
          </cell>
          <cell r="D2211" t="str">
            <v>3001</v>
          </cell>
          <cell r="E2211" t="str">
            <v>0028</v>
          </cell>
          <cell r="F2211" t="str">
            <v>C1</v>
          </cell>
          <cell r="G2211" t="str">
            <v>MG</v>
          </cell>
          <cell r="H2211" t="str">
            <v>INGREDIENTS</v>
          </cell>
          <cell r="I2211" t="str">
            <v>INGREDIENTS</v>
          </cell>
          <cell r="J2211" t="str">
            <v>JOEL ELEOTÉRIO</v>
          </cell>
          <cell r="K2211" t="str">
            <v>ITAMBÉ</v>
          </cell>
          <cell r="L2211" t="str">
            <v>MAURICIO</v>
          </cell>
          <cell r="M2211" t="str">
            <v>JOEL</v>
          </cell>
        </row>
        <row r="2212">
          <cell r="B2212">
            <v>5351315</v>
          </cell>
          <cell r="C2212" t="str">
            <v>CASA MARICOTA RESTAURANTE E EVE</v>
          </cell>
          <cell r="D2212" t="str">
            <v>7001</v>
          </cell>
          <cell r="E2212" t="str">
            <v>0749</v>
          </cell>
          <cell r="F2212" t="str">
            <v>C5</v>
          </cell>
          <cell r="G2212" t="str">
            <v>SP</v>
          </cell>
          <cell r="H2212" t="str">
            <v>DISTRIBUIÇÃO</v>
          </cell>
          <cell r="I2212" t="str">
            <v>FOOD SERVICE</v>
          </cell>
          <cell r="J2212" t="str">
            <v>FLAC 5</v>
          </cell>
          <cell r="K2212" t="str">
            <v>LACTALIS</v>
          </cell>
          <cell r="L2212" t="str">
            <v>RODRIGO</v>
          </cell>
          <cell r="M2212" t="str">
            <v>ALEXANDRO</v>
          </cell>
        </row>
        <row r="2213">
          <cell r="B2213">
            <v>5347236</v>
          </cell>
          <cell r="C2213" t="str">
            <v>SIQUELLE S IND E COM DE SORVETE</v>
          </cell>
          <cell r="D2213" t="str">
            <v>6001</v>
          </cell>
          <cell r="E2213" t="str">
            <v>6028</v>
          </cell>
          <cell r="F2213" t="str">
            <v>C1</v>
          </cell>
          <cell r="G2213" t="str">
            <v>SP</v>
          </cell>
          <cell r="H2213" t="str">
            <v>INGREDIENTS</v>
          </cell>
          <cell r="I2213" t="str">
            <v>INGREDIENTS</v>
          </cell>
          <cell r="J2213" t="str">
            <v>DUAS RODAS</v>
          </cell>
          <cell r="K2213" t="str">
            <v>ITAMBÉ</v>
          </cell>
          <cell r="L2213" t="str">
            <v>MAURICIO</v>
          </cell>
          <cell r="M2213" t="str">
            <v>TATIANA NITTA</v>
          </cell>
        </row>
        <row r="2214">
          <cell r="B2214">
            <v>5350256</v>
          </cell>
          <cell r="C2214" t="str">
            <v>TRANSAMERICA COMERCIAL E SERV L</v>
          </cell>
          <cell r="D2214" t="str">
            <v>7001</v>
          </cell>
          <cell r="E2214" t="str">
            <v>0749</v>
          </cell>
          <cell r="F2214" t="str">
            <v>C5</v>
          </cell>
          <cell r="G2214" t="str">
            <v>SP</v>
          </cell>
          <cell r="H2214" t="str">
            <v>DISTRIBUIÇÃO</v>
          </cell>
          <cell r="I2214" t="str">
            <v>FOOD SERVICE</v>
          </cell>
          <cell r="J2214" t="str">
            <v>FLAC 3</v>
          </cell>
          <cell r="K2214" t="str">
            <v>LACTALIS</v>
          </cell>
          <cell r="L2214" t="str">
            <v>RODRIGO</v>
          </cell>
          <cell r="M2214" t="str">
            <v>ALEXANDRO</v>
          </cell>
        </row>
        <row r="2215">
          <cell r="B2215">
            <v>5351333</v>
          </cell>
          <cell r="C2215" t="str">
            <v>ANTUNES E ANTUNES COZI IND LTDA</v>
          </cell>
          <cell r="D2215" t="str">
            <v>6001</v>
          </cell>
          <cell r="E2215" t="str">
            <v>6028</v>
          </cell>
          <cell r="F2215" t="str">
            <v>C1</v>
          </cell>
          <cell r="G2215" t="str">
            <v>SP</v>
          </cell>
          <cell r="H2215" t="str">
            <v>QSR</v>
          </cell>
          <cell r="I2215" t="str">
            <v>FOOD SERVICE</v>
          </cell>
          <cell r="J2215" t="str">
            <v>NUTRI</v>
          </cell>
          <cell r="K2215" t="str">
            <v>ITAMBÉ</v>
          </cell>
          <cell r="L2215" t="str">
            <v>PEDRO</v>
          </cell>
          <cell r="M2215" t="str">
            <v>AMANDA</v>
          </cell>
        </row>
        <row r="2216">
          <cell r="B2216">
            <v>5188352</v>
          </cell>
          <cell r="C2216" t="str">
            <v>MDIAS BRANCO SA IND E COM DE ALIME</v>
          </cell>
          <cell r="D2216" t="str">
            <v>4001</v>
          </cell>
          <cell r="E2216" t="str">
            <v>0437</v>
          </cell>
          <cell r="F2216" t="str">
            <v>C1</v>
          </cell>
          <cell r="G2216" t="str">
            <v>CE</v>
          </cell>
          <cell r="H2216" t="str">
            <v>INGREDIENTS</v>
          </cell>
          <cell r="I2216" t="str">
            <v>INGREDIENTS</v>
          </cell>
          <cell r="J2216" t="str">
            <v>JOEL ELEOTÉRIO</v>
          </cell>
          <cell r="K2216" t="str">
            <v>LACTALIS</v>
          </cell>
          <cell r="L2216" t="str">
            <v>MAURICIO</v>
          </cell>
          <cell r="M2216" t="str">
            <v>JOEL</v>
          </cell>
        </row>
        <row r="2217">
          <cell r="B2217">
            <v>5197956</v>
          </cell>
          <cell r="C2217" t="str">
            <v>VITORIA HOTEIS LTDA</v>
          </cell>
          <cell r="D2217" t="str">
            <v>7001</v>
          </cell>
          <cell r="E2217" t="str">
            <v>0749</v>
          </cell>
          <cell r="F2217" t="str">
            <v>C5</v>
          </cell>
          <cell r="G2217" t="str">
            <v>SP</v>
          </cell>
          <cell r="H2217" t="str">
            <v>DISTRIBUIÇÃO</v>
          </cell>
          <cell r="I2217" t="str">
            <v>FOOD SERVICE</v>
          </cell>
          <cell r="J2217" t="str">
            <v>FLAC 3</v>
          </cell>
          <cell r="K2217" t="str">
            <v>LACTALIS</v>
          </cell>
          <cell r="L2217" t="str">
            <v>RODRIGO</v>
          </cell>
          <cell r="M2217" t="str">
            <v>ALEXANDRO</v>
          </cell>
        </row>
        <row r="2218">
          <cell r="B2218">
            <v>5351380</v>
          </cell>
          <cell r="C2218" t="str">
            <v>MARTINETTO COM DE ALIMENTOS LTD</v>
          </cell>
          <cell r="D2218" t="str">
            <v>7001</v>
          </cell>
          <cell r="E2218" t="str">
            <v>0749</v>
          </cell>
          <cell r="F2218" t="str">
            <v>C5</v>
          </cell>
          <cell r="G2218" t="str">
            <v>SP</v>
          </cell>
          <cell r="H2218" t="str">
            <v>DISTRIBUIÇÃO</v>
          </cell>
          <cell r="I2218" t="str">
            <v>FOOD SERVICE</v>
          </cell>
          <cell r="J2218" t="str">
            <v>FLAC 3</v>
          </cell>
          <cell r="K2218" t="str">
            <v>LACTALIS</v>
          </cell>
          <cell r="L2218" t="str">
            <v>RODRIGO</v>
          </cell>
          <cell r="M2218" t="str">
            <v>ALEXANDRO</v>
          </cell>
        </row>
        <row r="2219">
          <cell r="B2219">
            <v>5126977</v>
          </cell>
          <cell r="C2219" t="str">
            <v>COMERCIO DE ALIMENTOS NOVO MEXIC</v>
          </cell>
          <cell r="D2219" t="str">
            <v>6001</v>
          </cell>
          <cell r="E2219" t="str">
            <v>6169</v>
          </cell>
          <cell r="F2219" t="str">
            <v>C1</v>
          </cell>
          <cell r="G2219" t="str">
            <v>ES</v>
          </cell>
          <cell r="H2219" t="str">
            <v>DISTRIBUIÇÃO</v>
          </cell>
          <cell r="I2219" t="str">
            <v>FOOD SERVICE</v>
          </cell>
          <cell r="J2219" t="str">
            <v>MARCELO DUARTE</v>
          </cell>
          <cell r="K2219" t="str">
            <v>ITAMBÉ</v>
          </cell>
          <cell r="L2219" t="str">
            <v>RODRIGO</v>
          </cell>
          <cell r="M2219" t="str">
            <v>JESSICA</v>
          </cell>
        </row>
        <row r="2220">
          <cell r="B2220">
            <v>5313531</v>
          </cell>
          <cell r="C2220" t="str">
            <v>VIA LACTEA INDUSTRIA E COMERCIO</v>
          </cell>
          <cell r="D2220" t="str">
            <v>3001</v>
          </cell>
          <cell r="E2220" t="str">
            <v>0028</v>
          </cell>
          <cell r="F2220" t="str">
            <v>C1</v>
          </cell>
          <cell r="G2220" t="str">
            <v>CE</v>
          </cell>
          <cell r="H2220" t="str">
            <v>INGREDIENTS</v>
          </cell>
          <cell r="I2220" t="str">
            <v>INGREDIENTS</v>
          </cell>
          <cell r="J2220" t="str">
            <v>JOEL ELEOTÉRIO</v>
          </cell>
          <cell r="K2220" t="str">
            <v>ITAMBÉ</v>
          </cell>
          <cell r="L2220" t="str">
            <v>MAURICIO</v>
          </cell>
          <cell r="M2220" t="str">
            <v>JOEL</v>
          </cell>
        </row>
        <row r="2221">
          <cell r="B2221">
            <v>5328876</v>
          </cell>
          <cell r="C2221" t="str">
            <v>SAO LUIS 84 EVENTOS LTDA</v>
          </cell>
          <cell r="D2221" t="str">
            <v>7001</v>
          </cell>
          <cell r="E2221" t="str">
            <v>0749</v>
          </cell>
          <cell r="F2221" t="str">
            <v>C5</v>
          </cell>
          <cell r="G2221" t="str">
            <v>SP</v>
          </cell>
          <cell r="H2221" t="str">
            <v>DISTRIBUIÇÃO</v>
          </cell>
          <cell r="I2221" t="str">
            <v>FOOD SERVICE</v>
          </cell>
          <cell r="J2221" t="str">
            <v>FLAC 5</v>
          </cell>
          <cell r="K2221" t="str">
            <v>LACTALIS</v>
          </cell>
          <cell r="L2221" t="str">
            <v>RODRIGO</v>
          </cell>
          <cell r="M2221" t="str">
            <v>ALEXANDRO</v>
          </cell>
        </row>
        <row r="2222">
          <cell r="B2222">
            <v>5351261</v>
          </cell>
          <cell r="C2222" t="str">
            <v>NOVAMIX F SERVICE COM DE AL L</v>
          </cell>
          <cell r="D2222" t="str">
            <v>6001</v>
          </cell>
          <cell r="E2222" t="str">
            <v>6169</v>
          </cell>
          <cell r="F2222" t="str">
            <v>C1</v>
          </cell>
          <cell r="G2222" t="str">
            <v>RJ</v>
          </cell>
          <cell r="H2222" t="str">
            <v>DISTRIBUIÇÃO</v>
          </cell>
          <cell r="I2222" t="str">
            <v>FOOD SERVICE</v>
          </cell>
          <cell r="J2222" t="str">
            <v>JULIANA CORDEIRO</v>
          </cell>
          <cell r="K2222" t="str">
            <v>ITAMBÉ</v>
          </cell>
          <cell r="L2222" t="str">
            <v>RODRIGO</v>
          </cell>
          <cell r="M2222" t="str">
            <v>JESSICA</v>
          </cell>
        </row>
        <row r="2223">
          <cell r="B2223">
            <v>5337639</v>
          </cell>
          <cell r="C2223" t="str">
            <v>BARRIND INDUSTRIA E COMERCIO</v>
          </cell>
          <cell r="D2223" t="str">
            <v>3001</v>
          </cell>
          <cell r="E2223" t="str">
            <v>0028</v>
          </cell>
          <cell r="F2223" t="str">
            <v>C1</v>
          </cell>
          <cell r="G2223" t="str">
            <v>MG</v>
          </cell>
          <cell r="H2223" t="str">
            <v>INGREDIENTS</v>
          </cell>
          <cell r="I2223" t="str">
            <v>INGREDIENTS</v>
          </cell>
          <cell r="J2223" t="str">
            <v>HENRIQUE FERREIRA</v>
          </cell>
          <cell r="K2223" t="str">
            <v>ITAMBÉ</v>
          </cell>
          <cell r="L2223" t="str">
            <v>MAURICIO</v>
          </cell>
          <cell r="M2223" t="str">
            <v>JOEL</v>
          </cell>
        </row>
        <row r="2224">
          <cell r="B2224">
            <v>5351187</v>
          </cell>
          <cell r="C2224" t="str">
            <v>CAFE FRATELLI FRANQUEADORA LTDA</v>
          </cell>
          <cell r="D2224" t="str">
            <v>7001</v>
          </cell>
          <cell r="E2224" t="str">
            <v>0749</v>
          </cell>
          <cell r="F2224" t="str">
            <v>C5</v>
          </cell>
          <cell r="G2224" t="str">
            <v>SP</v>
          </cell>
          <cell r="H2224" t="str">
            <v>DISTRIBUIÇÃO</v>
          </cell>
          <cell r="I2224" t="str">
            <v>FOOD SERVICE</v>
          </cell>
          <cell r="J2224" t="str">
            <v>FLAC 7</v>
          </cell>
          <cell r="K2224" t="str">
            <v>LACTALIS</v>
          </cell>
          <cell r="L2224" t="str">
            <v>RODRIGO</v>
          </cell>
          <cell r="M2224" t="str">
            <v>ALEXANDRO</v>
          </cell>
        </row>
        <row r="2225">
          <cell r="B2225">
            <v>5263491</v>
          </cell>
          <cell r="C2225" t="str">
            <v>PRISCILA APARECIDA DA SILVA 2153572</v>
          </cell>
          <cell r="D2225" t="str">
            <v>7001</v>
          </cell>
          <cell r="E2225" t="str">
            <v>0749</v>
          </cell>
          <cell r="F2225" t="str">
            <v>C5</v>
          </cell>
          <cell r="G2225" t="str">
            <v>SP</v>
          </cell>
          <cell r="H2225" t="str">
            <v>DISTRIBUIÇÃO</v>
          </cell>
          <cell r="I2225" t="str">
            <v>FOOD SERVICE</v>
          </cell>
          <cell r="J2225" t="str">
            <v>FLAC 3</v>
          </cell>
          <cell r="K2225" t="str">
            <v>LACTALIS</v>
          </cell>
          <cell r="L2225" t="str">
            <v>RODRIGO</v>
          </cell>
          <cell r="M2225" t="str">
            <v>ALEXANDRO</v>
          </cell>
        </row>
        <row r="2226">
          <cell r="B2226">
            <v>5266491</v>
          </cell>
          <cell r="C2226" t="str">
            <v>CHEF MARCELO MARQUES PANIFICAC</v>
          </cell>
          <cell r="D2226" t="str">
            <v>7001</v>
          </cell>
          <cell r="E2226" t="str">
            <v>0749</v>
          </cell>
          <cell r="F2226" t="str">
            <v>C5</v>
          </cell>
          <cell r="G2226" t="str">
            <v>SP</v>
          </cell>
          <cell r="H2226" t="str">
            <v>DISTRIBUIÇÃO</v>
          </cell>
          <cell r="I2226" t="str">
            <v>FOOD SERVICE</v>
          </cell>
          <cell r="J2226" t="str">
            <v>FLAC 3</v>
          </cell>
          <cell r="K2226" t="str">
            <v>LACTALIS</v>
          </cell>
          <cell r="L2226" t="str">
            <v>RODRIGO</v>
          </cell>
          <cell r="M2226" t="str">
            <v>ALEXANDRO</v>
          </cell>
        </row>
        <row r="2227">
          <cell r="B2227">
            <v>5339972</v>
          </cell>
          <cell r="C2227" t="str">
            <v>STI IND E COM DE PROD ALIM LTD</v>
          </cell>
          <cell r="D2227" t="str">
            <v>7001</v>
          </cell>
          <cell r="E2227" t="str">
            <v>0749</v>
          </cell>
          <cell r="F2227" t="str">
            <v>C5</v>
          </cell>
          <cell r="G2227" t="str">
            <v>SP</v>
          </cell>
          <cell r="H2227" t="str">
            <v>DISTRIBUIÇÃO</v>
          </cell>
          <cell r="I2227" t="str">
            <v>FOOD SERVICE</v>
          </cell>
          <cell r="J2227" t="str">
            <v>FLAC 6</v>
          </cell>
          <cell r="K2227" t="str">
            <v>LACTALIS</v>
          </cell>
          <cell r="L2227" t="str">
            <v>RODRIGO</v>
          </cell>
          <cell r="M2227" t="str">
            <v>ALEXANDRO</v>
          </cell>
        </row>
        <row r="2228">
          <cell r="B2228">
            <v>5350369</v>
          </cell>
          <cell r="C2228" t="str">
            <v>PANIFICADORA ARTESANAL DE SERRA</v>
          </cell>
          <cell r="D2228" t="str">
            <v>7001</v>
          </cell>
          <cell r="E2228" t="str">
            <v>0749</v>
          </cell>
          <cell r="F2228" t="str">
            <v>C5</v>
          </cell>
          <cell r="G2228" t="str">
            <v>SP</v>
          </cell>
          <cell r="H2228" t="str">
            <v>DISTRIBUIÇÃO</v>
          </cell>
          <cell r="I2228" t="str">
            <v>FOOD SERVICE</v>
          </cell>
          <cell r="J2228" t="str">
            <v>FLAC 7</v>
          </cell>
          <cell r="K2228" t="str">
            <v>LACTALIS</v>
          </cell>
          <cell r="L2228" t="str">
            <v>RODRIGO</v>
          </cell>
          <cell r="M2228" t="str">
            <v>ALEXANDRO</v>
          </cell>
        </row>
        <row r="2229">
          <cell r="B2229">
            <v>5351400</v>
          </cell>
          <cell r="C2229" t="str">
            <v>HARALD IND E COM DE ALIMENTOS L</v>
          </cell>
          <cell r="D2229" t="str">
            <v>3001</v>
          </cell>
          <cell r="E2229" t="str">
            <v>0028</v>
          </cell>
          <cell r="F2229" t="str">
            <v>C1</v>
          </cell>
          <cell r="G2229" t="str">
            <v>SP</v>
          </cell>
          <cell r="H2229" t="str">
            <v>INGREDIENTS</v>
          </cell>
          <cell r="I2229" t="str">
            <v>INGREDIENTS</v>
          </cell>
          <cell r="J2229" t="str">
            <v>TATIANA NITTA</v>
          </cell>
          <cell r="K2229" t="str">
            <v>ITAMBÉ</v>
          </cell>
          <cell r="L2229" t="str">
            <v>MAURICIO</v>
          </cell>
          <cell r="M2229" t="str">
            <v>TATIANA NITTA</v>
          </cell>
        </row>
        <row r="2230">
          <cell r="B2230">
            <v>5351706</v>
          </cell>
          <cell r="C2230" t="str">
            <v>BPM IND E COM DE ALIMENTOS S A</v>
          </cell>
          <cell r="D2230" t="str">
            <v>6001</v>
          </cell>
          <cell r="E2230" t="str">
            <v>6125</v>
          </cell>
          <cell r="F2230" t="str">
            <v>C1</v>
          </cell>
          <cell r="G2230" t="str">
            <v>SP</v>
          </cell>
          <cell r="H2230" t="str">
            <v>INGREDIENTS</v>
          </cell>
          <cell r="I2230" t="str">
            <v>INGREDIENTS</v>
          </cell>
          <cell r="J2230" t="str">
            <v>MARCELO RODRIGUES</v>
          </cell>
          <cell r="K2230" t="str">
            <v>ITAMBÉ</v>
          </cell>
          <cell r="L2230" t="str">
            <v>MAURICIO</v>
          </cell>
          <cell r="M2230" t="str">
            <v>MARCELO</v>
          </cell>
        </row>
        <row r="2231">
          <cell r="B2231">
            <v>5040108</v>
          </cell>
          <cell r="C2231" t="str">
            <v>CCN COMERCIO CENTRO NORTE ALIM LT</v>
          </cell>
          <cell r="D2231" t="str">
            <v>7001</v>
          </cell>
          <cell r="E2231" t="str">
            <v>0750</v>
          </cell>
          <cell r="F2231" t="str">
            <v>C5</v>
          </cell>
          <cell r="G2231" t="str">
            <v>RJ</v>
          </cell>
          <cell r="H2231" t="str">
            <v>DISTRIBUIÇÃO</v>
          </cell>
          <cell r="I2231" t="str">
            <v>FOOD SERVICE</v>
          </cell>
          <cell r="J2231" t="str">
            <v>CLAUDIO JORGE</v>
          </cell>
          <cell r="K2231" t="str">
            <v>LACTALIS</v>
          </cell>
          <cell r="L2231" t="str">
            <v>RODRIGO</v>
          </cell>
          <cell r="M2231" t="str">
            <v>JESSICA</v>
          </cell>
        </row>
        <row r="2232">
          <cell r="B2232">
            <v>5234290</v>
          </cell>
          <cell r="C2232" t="str">
            <v>ZAQUI E ZAQUI IND E COM BEBIDAS</v>
          </cell>
          <cell r="D2232" t="str">
            <v>6001</v>
          </cell>
          <cell r="E2232" t="str">
            <v>6028</v>
          </cell>
          <cell r="F2232" t="str">
            <v>C1</v>
          </cell>
          <cell r="G2232" t="str">
            <v>SP</v>
          </cell>
          <cell r="H2232" t="str">
            <v>INGREDIENTS</v>
          </cell>
          <cell r="I2232" t="str">
            <v>INGREDIENTS</v>
          </cell>
          <cell r="J2232" t="str">
            <v>TATIANA NITTA</v>
          </cell>
          <cell r="K2232" t="str">
            <v>ITAMBÉ</v>
          </cell>
          <cell r="L2232" t="str">
            <v>MAURICIO</v>
          </cell>
          <cell r="M2232" t="str">
            <v>TATIANA NITTA</v>
          </cell>
        </row>
        <row r="2233">
          <cell r="B2233">
            <v>5338667</v>
          </cell>
          <cell r="C2233" t="str">
            <v>IBAE IND BRASILEIRA DE ALI ESP LTDA</v>
          </cell>
          <cell r="D2233" t="str">
            <v>3001</v>
          </cell>
          <cell r="E2233" t="str">
            <v>0028</v>
          </cell>
          <cell r="F2233" t="str">
            <v>C1</v>
          </cell>
          <cell r="G2233" t="str">
            <v>ES</v>
          </cell>
          <cell r="H2233" t="str">
            <v>INGREDIENTS</v>
          </cell>
          <cell r="I2233" t="str">
            <v>INGREDIENTS</v>
          </cell>
          <cell r="J2233" t="str">
            <v>TATIANA NITTA</v>
          </cell>
          <cell r="K2233" t="str">
            <v>ITAMBÉ</v>
          </cell>
          <cell r="L2233" t="str">
            <v>MAURICIO</v>
          </cell>
          <cell r="M2233" t="str">
            <v>TATIANA NITTA</v>
          </cell>
        </row>
        <row r="2234">
          <cell r="B2234">
            <v>5351379</v>
          </cell>
          <cell r="C2234" t="str">
            <v>CPQ PAULISTANO COM DE P A LTDA</v>
          </cell>
          <cell r="D2234" t="str">
            <v>7001</v>
          </cell>
          <cell r="E2234" t="str">
            <v>0749</v>
          </cell>
          <cell r="F2234" t="str">
            <v>C5</v>
          </cell>
          <cell r="G2234" t="str">
            <v>SP</v>
          </cell>
          <cell r="H2234" t="str">
            <v>DISTRIBUIÇÃO</v>
          </cell>
          <cell r="I2234" t="str">
            <v>FOOD SERVICE</v>
          </cell>
          <cell r="J2234" t="str">
            <v>FLAC 3</v>
          </cell>
          <cell r="K2234" t="str">
            <v>LACTALIS</v>
          </cell>
          <cell r="L2234" t="str">
            <v>RODRIGO</v>
          </cell>
          <cell r="M2234" t="str">
            <v>ALEXANDRO</v>
          </cell>
        </row>
        <row r="2235">
          <cell r="B2235">
            <v>5194510</v>
          </cell>
          <cell r="C2235" t="str">
            <v>ALEGRO ALIMENTOS LTDA</v>
          </cell>
          <cell r="D2235" t="str">
            <v>6001</v>
          </cell>
          <cell r="E2235" t="str">
            <v>6009</v>
          </cell>
          <cell r="F2235" t="str">
            <v>C1</v>
          </cell>
          <cell r="G2235" t="str">
            <v>BA</v>
          </cell>
          <cell r="H2235" t="str">
            <v>DISTRIBUIÇÃO</v>
          </cell>
          <cell r="I2235" t="str">
            <v>FOOD SERVICE</v>
          </cell>
          <cell r="J2235" t="str">
            <v xml:space="preserve">KARIS FOOD / LUIZ </v>
          </cell>
          <cell r="K2235" t="str">
            <v>ITAMBÉ</v>
          </cell>
          <cell r="L2235" t="str">
            <v>RODRIGO</v>
          </cell>
          <cell r="M2235" t="str">
            <v>VAGO NORDESTE</v>
          </cell>
        </row>
        <row r="2236">
          <cell r="B2236">
            <v>5220998</v>
          </cell>
          <cell r="C2236" t="str">
            <v>GELADOM SORVETES LTDA</v>
          </cell>
          <cell r="D2236" t="str">
            <v>6001</v>
          </cell>
          <cell r="E2236" t="str">
            <v>6009</v>
          </cell>
          <cell r="F2236" t="str">
            <v>C1</v>
          </cell>
          <cell r="G2236" t="str">
            <v>BA</v>
          </cell>
          <cell r="H2236" t="str">
            <v>DISTRIBUIÇÃO</v>
          </cell>
          <cell r="I2236" t="str">
            <v>FOOD SERVICE</v>
          </cell>
          <cell r="J2236" t="str">
            <v xml:space="preserve">KARIS FOOD / LUIZ </v>
          </cell>
          <cell r="K2236" t="str">
            <v>ITAMBÉ</v>
          </cell>
          <cell r="L2236" t="str">
            <v>RODRIGO</v>
          </cell>
          <cell r="M2236" t="str">
            <v>VAGO NORDESTE</v>
          </cell>
        </row>
        <row r="2237">
          <cell r="B2237">
            <v>5313531</v>
          </cell>
          <cell r="C2237" t="str">
            <v>VIA LACTEA INDUSTRIA E COMERCIO</v>
          </cell>
          <cell r="D2237" t="str">
            <v>6001</v>
          </cell>
          <cell r="E2237" t="str">
            <v>6028</v>
          </cell>
          <cell r="F2237" t="str">
            <v>C1</v>
          </cell>
          <cell r="G2237" t="str">
            <v>CE</v>
          </cell>
          <cell r="H2237" t="str">
            <v>INGREDIENTS</v>
          </cell>
          <cell r="I2237" t="str">
            <v>INGREDIENTS</v>
          </cell>
          <cell r="J2237" t="str">
            <v>JOEL ELEOTÉRIO</v>
          </cell>
          <cell r="K2237" t="str">
            <v>ITAMBÉ</v>
          </cell>
          <cell r="L2237" t="str">
            <v>MAURICIO</v>
          </cell>
          <cell r="M2237" t="str">
            <v>JOEL</v>
          </cell>
        </row>
        <row r="2238">
          <cell r="B2238">
            <v>5347670</v>
          </cell>
          <cell r="C2238" t="str">
            <v>KOHI CAFETERIA LTDA</v>
          </cell>
          <cell r="D2238" t="str">
            <v>7001</v>
          </cell>
          <cell r="E2238" t="str">
            <v>0749</v>
          </cell>
          <cell r="F2238" t="str">
            <v>C5</v>
          </cell>
          <cell r="G2238" t="str">
            <v>SP</v>
          </cell>
          <cell r="H2238" t="str">
            <v>DISTRIBUIÇÃO</v>
          </cell>
          <cell r="I2238" t="str">
            <v>FOOD SERVICE</v>
          </cell>
          <cell r="J2238" t="str">
            <v>FLAC 3</v>
          </cell>
          <cell r="K2238" t="str">
            <v>LACTALIS</v>
          </cell>
          <cell r="L2238" t="str">
            <v>RODRIGO</v>
          </cell>
          <cell r="M2238" t="str">
            <v>ALEXANDRO</v>
          </cell>
        </row>
        <row r="2239">
          <cell r="B2239">
            <v>5346063</v>
          </cell>
          <cell r="C2239" t="str">
            <v>COMERCIAL ATACADISTA NECHIO LTD</v>
          </cell>
          <cell r="D2239" t="str">
            <v>6001</v>
          </cell>
          <cell r="E2239" t="str">
            <v>6169</v>
          </cell>
          <cell r="F2239" t="str">
            <v>C1</v>
          </cell>
          <cell r="G2239" t="str">
            <v>RJ</v>
          </cell>
          <cell r="H2239" t="str">
            <v>DISTRIBUIÇÃO</v>
          </cell>
          <cell r="I2239" t="str">
            <v>FOOD SERVICE</v>
          </cell>
          <cell r="J2239" t="str">
            <v>LUCIANA MARTINS</v>
          </cell>
          <cell r="K2239" t="str">
            <v>ITAMBÉ</v>
          </cell>
          <cell r="L2239" t="str">
            <v>RODRIGO</v>
          </cell>
          <cell r="M2239" t="str">
            <v>JESSICA</v>
          </cell>
        </row>
        <row r="2240">
          <cell r="B2240">
            <v>5142828</v>
          </cell>
          <cell r="C2240" t="str">
            <v>JACOMASSO COMERCIO DE BOLOS LTDA</v>
          </cell>
          <cell r="D2240" t="str">
            <v>3001</v>
          </cell>
          <cell r="E2240" t="str">
            <v>0126</v>
          </cell>
          <cell r="F2240" t="str">
            <v>C1</v>
          </cell>
          <cell r="G2240" t="str">
            <v>PR</v>
          </cell>
          <cell r="H2240" t="str">
            <v>DISTRIBUIÇÃO</v>
          </cell>
          <cell r="I2240" t="str">
            <v>FOOD SERVICE</v>
          </cell>
          <cell r="J2240" t="str">
            <v>ANTÔNIO SOUZA</v>
          </cell>
          <cell r="K2240" t="str">
            <v>ITAMBÉ</v>
          </cell>
          <cell r="L2240" t="str">
            <v>RODRIGO</v>
          </cell>
          <cell r="M2240" t="str">
            <v>VAGO SUL</v>
          </cell>
        </row>
        <row r="2241">
          <cell r="B2241">
            <v>5211387</v>
          </cell>
          <cell r="C2241" t="str">
            <v>C B M MORAES COMERCIO DE PRODUT</v>
          </cell>
          <cell r="D2241" t="str">
            <v>6001</v>
          </cell>
          <cell r="E2241" t="str">
            <v>6169</v>
          </cell>
          <cell r="F2241" t="str">
            <v>C1</v>
          </cell>
          <cell r="G2241" t="str">
            <v>ES</v>
          </cell>
          <cell r="H2241" t="str">
            <v>DISTRIBUIÇÃO</v>
          </cell>
          <cell r="I2241" t="str">
            <v>FOOD SERVICE</v>
          </cell>
          <cell r="J2241" t="str">
            <v>MARCELO DUARTE</v>
          </cell>
          <cell r="K2241" t="str">
            <v>ITAMBÉ</v>
          </cell>
          <cell r="L2241" t="str">
            <v>RODRIGO</v>
          </cell>
          <cell r="M2241" t="str">
            <v>JESSICA</v>
          </cell>
        </row>
        <row r="2242">
          <cell r="B2242">
            <v>5313518</v>
          </cell>
          <cell r="C2242" t="str">
            <v>ANA MARTINS DOCERIA LTDA</v>
          </cell>
          <cell r="D2242" t="str">
            <v>7001</v>
          </cell>
          <cell r="E2242" t="str">
            <v>0749</v>
          </cell>
          <cell r="F2242" t="str">
            <v>C5</v>
          </cell>
          <cell r="G2242" t="str">
            <v>SP</v>
          </cell>
          <cell r="H2242" t="str">
            <v>DISTRIBUIÇÃO</v>
          </cell>
          <cell r="I2242" t="str">
            <v>FOOD SERVICE</v>
          </cell>
          <cell r="J2242" t="str">
            <v>FLAC 6</v>
          </cell>
          <cell r="K2242" t="str">
            <v>LACTALIS</v>
          </cell>
          <cell r="L2242" t="str">
            <v>RODRIGO</v>
          </cell>
          <cell r="M2242" t="str">
            <v>ALEXANDRO</v>
          </cell>
        </row>
        <row r="2243">
          <cell r="B2243">
            <v>5322183</v>
          </cell>
          <cell r="C2243" t="str">
            <v>RJR ALIMENTACOES LTDA</v>
          </cell>
          <cell r="D2243" t="str">
            <v>7001</v>
          </cell>
          <cell r="E2243" t="str">
            <v>0749</v>
          </cell>
          <cell r="F2243" t="str">
            <v>C5</v>
          </cell>
          <cell r="G2243" t="str">
            <v>SP</v>
          </cell>
          <cell r="H2243" t="str">
            <v>DISTRIBUIÇÃO</v>
          </cell>
          <cell r="I2243" t="str">
            <v>FOOD SERVICE</v>
          </cell>
          <cell r="J2243" t="str">
            <v>FLAC 2</v>
          </cell>
          <cell r="K2243" t="str">
            <v>LACTALIS</v>
          </cell>
          <cell r="L2243" t="str">
            <v>RODRIGO</v>
          </cell>
          <cell r="M2243" t="str">
            <v>ALEXANDRO</v>
          </cell>
        </row>
        <row r="2244">
          <cell r="B2244">
            <v>5352114</v>
          </cell>
          <cell r="C2244" t="str">
            <v>FERNANDO RODRIGUES P COM DE ALI</v>
          </cell>
          <cell r="D2244" t="str">
            <v>7001</v>
          </cell>
          <cell r="E2244" t="str">
            <v>0749</v>
          </cell>
          <cell r="F2244" t="str">
            <v>C5</v>
          </cell>
          <cell r="G2244" t="str">
            <v>SP</v>
          </cell>
          <cell r="H2244" t="str">
            <v>DISTRIBUIÇÃO</v>
          </cell>
          <cell r="I2244" t="str">
            <v>FOOD SERVICE</v>
          </cell>
          <cell r="J2244" t="str">
            <v>FLAC 5</v>
          </cell>
          <cell r="K2244" t="str">
            <v>LACTALIS</v>
          </cell>
          <cell r="L2244" t="str">
            <v>RODRIGO</v>
          </cell>
          <cell r="M2244" t="str">
            <v>ALEXANDRO</v>
          </cell>
        </row>
        <row r="2245">
          <cell r="B2245">
            <v>5217192</v>
          </cell>
          <cell r="C2245" t="str">
            <v>D P DOS SANTOS CAFETERIA</v>
          </cell>
          <cell r="D2245" t="str">
            <v>7001</v>
          </cell>
          <cell r="E2245" t="str">
            <v>0749</v>
          </cell>
          <cell r="F2245" t="str">
            <v>C5</v>
          </cell>
          <cell r="G2245" t="str">
            <v>SP</v>
          </cell>
          <cell r="H2245" t="str">
            <v>DISTRIBUIÇÃO</v>
          </cell>
          <cell r="I2245" t="str">
            <v>FOOD SERVICE</v>
          </cell>
          <cell r="J2245" t="str">
            <v>FLAC 7</v>
          </cell>
          <cell r="K2245" t="str">
            <v>LACTALIS</v>
          </cell>
          <cell r="L2245" t="str">
            <v>RODRIGO</v>
          </cell>
          <cell r="M2245" t="str">
            <v>ALEXANDRO</v>
          </cell>
        </row>
        <row r="2246">
          <cell r="B2246">
            <v>5262521</v>
          </cell>
          <cell r="C2246" t="str">
            <v>L R REST E LANC</v>
          </cell>
          <cell r="D2246" t="str">
            <v>7001</v>
          </cell>
          <cell r="E2246" t="str">
            <v>0749</v>
          </cell>
          <cell r="F2246" t="str">
            <v>C5</v>
          </cell>
          <cell r="G2246" t="str">
            <v>SP</v>
          </cell>
          <cell r="H2246" t="str">
            <v>DISTRIBUIÇÃO</v>
          </cell>
          <cell r="I2246" t="str">
            <v>FOOD SERVICE</v>
          </cell>
          <cell r="J2246" t="str">
            <v>FLAC 3</v>
          </cell>
          <cell r="K2246" t="str">
            <v>LACTALIS</v>
          </cell>
          <cell r="L2246" t="str">
            <v>RODRIGO</v>
          </cell>
          <cell r="M2246" t="str">
            <v>ALEXANDRO</v>
          </cell>
        </row>
        <row r="2247">
          <cell r="B2247">
            <v>5348882</v>
          </cell>
          <cell r="C2247" t="str">
            <v>LANCHONETE JOTAKA LTDA</v>
          </cell>
          <cell r="D2247" t="str">
            <v>7001</v>
          </cell>
          <cell r="E2247" t="str">
            <v>0749</v>
          </cell>
          <cell r="F2247" t="str">
            <v>C5</v>
          </cell>
          <cell r="G2247" t="str">
            <v>SP</v>
          </cell>
          <cell r="H2247" t="str">
            <v>DISTRIBUIÇÃO</v>
          </cell>
          <cell r="I2247" t="str">
            <v>FOOD SERVICE</v>
          </cell>
          <cell r="J2247" t="str">
            <v>FLAC 3</v>
          </cell>
          <cell r="K2247" t="str">
            <v>LACTALIS</v>
          </cell>
          <cell r="L2247" t="str">
            <v>RODRIGO</v>
          </cell>
          <cell r="M2247" t="str">
            <v>ALEXANDRO</v>
          </cell>
        </row>
        <row r="2248">
          <cell r="B2248">
            <v>5009420</v>
          </cell>
          <cell r="C2248" t="str">
            <v>BASF SA</v>
          </cell>
          <cell r="D2248" t="str">
            <v>6001</v>
          </cell>
          <cell r="E2248" t="str">
            <v>6028</v>
          </cell>
          <cell r="F2248" t="str">
            <v>C1</v>
          </cell>
          <cell r="G2248" t="str">
            <v>SP</v>
          </cell>
          <cell r="H2248" t="str">
            <v>INGREDIENTS</v>
          </cell>
          <cell r="I2248" t="str">
            <v>INGREDIENTS</v>
          </cell>
          <cell r="J2248" t="str">
            <v>HENRIQUE FERREIRA</v>
          </cell>
          <cell r="K2248" t="str">
            <v>ITAMBÉ</v>
          </cell>
          <cell r="L2248" t="str">
            <v>MAURICIO</v>
          </cell>
          <cell r="M2248" t="str">
            <v>JOEL</v>
          </cell>
        </row>
        <row r="2249">
          <cell r="B2249">
            <v>5014667</v>
          </cell>
          <cell r="C2249" t="str">
            <v>H E D ALIMENTOS LTDA</v>
          </cell>
          <cell r="D2249" t="str">
            <v>3001</v>
          </cell>
          <cell r="E2249" t="str">
            <v>0126</v>
          </cell>
          <cell r="F2249" t="str">
            <v>C1</v>
          </cell>
          <cell r="G2249" t="str">
            <v>PR</v>
          </cell>
          <cell r="H2249" t="str">
            <v>DISTRIBUIÇÃO</v>
          </cell>
          <cell r="I2249" t="str">
            <v>FOOD SERVICE</v>
          </cell>
          <cell r="J2249" t="str">
            <v>ANTÔNIO SOUZA</v>
          </cell>
          <cell r="K2249" t="str">
            <v>ITAMBÉ</v>
          </cell>
          <cell r="L2249" t="str">
            <v>RODRIGO</v>
          </cell>
          <cell r="M2249" t="str">
            <v>VAGO SUL</v>
          </cell>
        </row>
        <row r="2250">
          <cell r="B2250">
            <v>5259823</v>
          </cell>
          <cell r="C2250" t="str">
            <v>SGCJ COM DE PRODUTOS ALIMENT LT</v>
          </cell>
          <cell r="D2250" t="str">
            <v>7001</v>
          </cell>
          <cell r="E2250" t="str">
            <v>0749</v>
          </cell>
          <cell r="F2250" t="str">
            <v>C5</v>
          </cell>
          <cell r="G2250" t="str">
            <v>SP</v>
          </cell>
          <cell r="H2250" t="str">
            <v>DISTRIBUIÇÃO</v>
          </cell>
          <cell r="I2250" t="str">
            <v>FOOD SERVICE</v>
          </cell>
          <cell r="J2250" t="str">
            <v>FLAC 3</v>
          </cell>
          <cell r="K2250" t="str">
            <v>LACTALIS</v>
          </cell>
          <cell r="L2250" t="str">
            <v>RODRIGO</v>
          </cell>
          <cell r="M2250" t="str">
            <v>ALEXANDRO</v>
          </cell>
        </row>
        <row r="2251">
          <cell r="B2251">
            <v>5128707</v>
          </cell>
          <cell r="C2251" t="str">
            <v>ARMAZEM TOP ALTO LTDA</v>
          </cell>
          <cell r="D2251" t="str">
            <v>7001</v>
          </cell>
          <cell r="E2251" t="str">
            <v>0558</v>
          </cell>
          <cell r="F2251" t="str">
            <v>C5</v>
          </cell>
          <cell r="G2251" t="str">
            <v>BA</v>
          </cell>
          <cell r="H2251" t="str">
            <v>DISTRIBUIÇÃO</v>
          </cell>
          <cell r="I2251" t="str">
            <v>FOOD SERVICE</v>
          </cell>
          <cell r="J2251" t="str">
            <v>CLAUDIO JORGE</v>
          </cell>
          <cell r="K2251" t="str">
            <v>LACTALIS</v>
          </cell>
          <cell r="L2251" t="str">
            <v>RODRIGO</v>
          </cell>
          <cell r="M2251" t="str">
            <v>VAGO NORDESTE</v>
          </cell>
        </row>
        <row r="2252">
          <cell r="B2252">
            <v>5130738</v>
          </cell>
          <cell r="C2252" t="str">
            <v>ODAIR JOSE DA SILVA COUTO 88212</v>
          </cell>
          <cell r="D2252" t="str">
            <v>6001</v>
          </cell>
          <cell r="E2252" t="str">
            <v>6009</v>
          </cell>
          <cell r="F2252" t="str">
            <v>C1</v>
          </cell>
          <cell r="G2252" t="str">
            <v>BA</v>
          </cell>
          <cell r="H2252" t="str">
            <v>DISTRIBUIÇÃO</v>
          </cell>
          <cell r="I2252" t="str">
            <v>FOOD SERVICE</v>
          </cell>
          <cell r="J2252" t="str">
            <v xml:space="preserve">KARIS FOOD / LUIZ </v>
          </cell>
          <cell r="K2252" t="str">
            <v>ITAMBÉ</v>
          </cell>
          <cell r="L2252" t="str">
            <v>RODRIGO</v>
          </cell>
          <cell r="M2252" t="str">
            <v>VAGO NORDESTE</v>
          </cell>
        </row>
        <row r="2253">
          <cell r="B2253">
            <v>5261771</v>
          </cell>
          <cell r="C2253" t="str">
            <v>HOTELARIA ACCOR BRASIL SA</v>
          </cell>
          <cell r="D2253" t="str">
            <v>7001</v>
          </cell>
          <cell r="E2253" t="str">
            <v>0749</v>
          </cell>
          <cell r="F2253" t="str">
            <v>C5</v>
          </cell>
          <cell r="G2253" t="str">
            <v>SP</v>
          </cell>
          <cell r="H2253" t="str">
            <v>DISTRIBUIÇÃO</v>
          </cell>
          <cell r="I2253" t="str">
            <v>FOOD SERVICE</v>
          </cell>
          <cell r="J2253" t="str">
            <v>FLAC 5</v>
          </cell>
          <cell r="K2253" t="str">
            <v>LACTALIS</v>
          </cell>
          <cell r="L2253" t="str">
            <v>RODRIGO</v>
          </cell>
          <cell r="M2253" t="str">
            <v>ALEXANDRO</v>
          </cell>
        </row>
        <row r="2254">
          <cell r="B2254">
            <v>5302744</v>
          </cell>
          <cell r="C2254" t="str">
            <v>HCN COMERCIO DE PRODUTOS PARA C</v>
          </cell>
          <cell r="D2254" t="str">
            <v>6001</v>
          </cell>
          <cell r="E2254" t="str">
            <v>6125</v>
          </cell>
          <cell r="F2254" t="str">
            <v>C1</v>
          </cell>
          <cell r="G2254" t="str">
            <v>SP</v>
          </cell>
          <cell r="H2254" t="str">
            <v>DISTRIBUIÇÃO</v>
          </cell>
          <cell r="I2254" t="str">
            <v>FOOD SERVICE</v>
          </cell>
          <cell r="J2254" t="str">
            <v>GUILHERME NASCIMENTO</v>
          </cell>
          <cell r="K2254" t="str">
            <v>ITAMBÉ</v>
          </cell>
          <cell r="L2254" t="str">
            <v>RODRIGO</v>
          </cell>
          <cell r="M2254" t="str">
            <v>ALEXANDRO</v>
          </cell>
        </row>
        <row r="2255">
          <cell r="B2255">
            <v>5347144</v>
          </cell>
          <cell r="C2255" t="str">
            <v>MBF IND E COM DE ALIMENTOS LTDA</v>
          </cell>
          <cell r="D2255" t="str">
            <v>4001</v>
          </cell>
          <cell r="E2255" t="str">
            <v>0437</v>
          </cell>
          <cell r="F2255" t="str">
            <v>C1</v>
          </cell>
          <cell r="G2255" t="str">
            <v>SP</v>
          </cell>
          <cell r="H2255" t="str">
            <v>INGREDIENTS</v>
          </cell>
          <cell r="I2255" t="str">
            <v>INGREDIENTS</v>
          </cell>
          <cell r="J2255" t="str">
            <v>TATIANA NITTA</v>
          </cell>
          <cell r="K2255" t="str">
            <v>LACTALIS</v>
          </cell>
          <cell r="L2255" t="str">
            <v>MAURICIO</v>
          </cell>
          <cell r="M2255" t="str">
            <v>TATIANA NITTA</v>
          </cell>
        </row>
        <row r="2256">
          <cell r="B2256">
            <v>5351617</v>
          </cell>
          <cell r="C2256" t="str">
            <v>BAR E RESTAURANTE BAR ABERTO LT</v>
          </cell>
          <cell r="D2256" t="str">
            <v>7001</v>
          </cell>
          <cell r="E2256" t="str">
            <v>0749</v>
          </cell>
          <cell r="F2256" t="str">
            <v>C5</v>
          </cell>
          <cell r="G2256" t="str">
            <v>SP</v>
          </cell>
          <cell r="H2256" t="str">
            <v>DISTRIBUIÇÃO</v>
          </cell>
          <cell r="I2256" t="str">
            <v>FOOD SERVICE</v>
          </cell>
          <cell r="J2256" t="str">
            <v>FLAC 2</v>
          </cell>
          <cell r="K2256" t="str">
            <v>LACTALIS</v>
          </cell>
          <cell r="L2256" t="str">
            <v>RODRIGO</v>
          </cell>
          <cell r="M2256" t="str">
            <v>ALEXANDRO</v>
          </cell>
        </row>
        <row r="2257">
          <cell r="B2257">
            <v>5352282</v>
          </cell>
          <cell r="C2257" t="str">
            <v>MOOCA BUNS LTDA</v>
          </cell>
          <cell r="D2257" t="str">
            <v>7001</v>
          </cell>
          <cell r="E2257" t="str">
            <v>0749</v>
          </cell>
          <cell r="F2257" t="str">
            <v>C5</v>
          </cell>
          <cell r="G2257" t="str">
            <v>SP</v>
          </cell>
          <cell r="H2257" t="str">
            <v>DISTRIBUIÇÃO</v>
          </cell>
          <cell r="I2257" t="str">
            <v>FOOD SERVICE</v>
          </cell>
          <cell r="J2257" t="str">
            <v>FLAC 5</v>
          </cell>
          <cell r="K2257" t="str">
            <v>LACTALIS</v>
          </cell>
          <cell r="L2257" t="str">
            <v>RODRIGO</v>
          </cell>
          <cell r="M2257" t="str">
            <v>ALEXANDRO</v>
          </cell>
        </row>
        <row r="2258">
          <cell r="B2258">
            <v>5036214</v>
          </cell>
          <cell r="C2258" t="str">
            <v>ESPACO CHEF COMERCIO E DIST LTD</v>
          </cell>
          <cell r="D2258" t="str">
            <v>7001</v>
          </cell>
          <cell r="E2258" t="str">
            <v>0559</v>
          </cell>
          <cell r="F2258" t="str">
            <v>C5</v>
          </cell>
          <cell r="G2258" t="str">
            <v>CE</v>
          </cell>
          <cell r="H2258" t="str">
            <v>DISTRIBUIÇÃO</v>
          </cell>
          <cell r="I2258" t="str">
            <v>FOOD SERVICE</v>
          </cell>
          <cell r="J2258" t="str">
            <v>CLAUDIO JORGE</v>
          </cell>
          <cell r="K2258" t="str">
            <v>LACTALIS</v>
          </cell>
          <cell r="L2258" t="str">
            <v>RODRIGO</v>
          </cell>
          <cell r="M2258" t="str">
            <v>VAGO NORDESTE</v>
          </cell>
        </row>
        <row r="2259">
          <cell r="B2259">
            <v>5252593</v>
          </cell>
          <cell r="C2259" t="str">
            <v>LUCIANA SILVEIRA DA SILVA</v>
          </cell>
          <cell r="D2259" t="str">
            <v>4001</v>
          </cell>
          <cell r="E2259" t="str">
            <v>0437</v>
          </cell>
          <cell r="F2259" t="str">
            <v>C1</v>
          </cell>
          <cell r="G2259" t="str">
            <v>RS</v>
          </cell>
          <cell r="H2259" t="str">
            <v>INGREDIENTS</v>
          </cell>
          <cell r="I2259" t="str">
            <v>INGREDIENTS</v>
          </cell>
          <cell r="J2259" t="str">
            <v>JOEL ELEOTÉRIO</v>
          </cell>
          <cell r="K2259" t="str">
            <v>LACTALIS</v>
          </cell>
          <cell r="L2259" t="str">
            <v>MAURICIO</v>
          </cell>
          <cell r="M2259" t="str">
            <v>JOEL</v>
          </cell>
        </row>
        <row r="2260">
          <cell r="B2260">
            <v>5260577</v>
          </cell>
          <cell r="C2260" t="str">
            <v>MAFRIOS DIST E IMPORTADORA LTDA</v>
          </cell>
          <cell r="D2260" t="str">
            <v>7001</v>
          </cell>
          <cell r="E2260" t="str">
            <v>0565</v>
          </cell>
          <cell r="F2260" t="str">
            <v>C5</v>
          </cell>
          <cell r="G2260" t="str">
            <v>SE</v>
          </cell>
          <cell r="H2260" t="str">
            <v>DISTRIBUIÇÃO</v>
          </cell>
          <cell r="I2260" t="str">
            <v>FOOD SERVICE</v>
          </cell>
          <cell r="J2260" t="str">
            <v>CLAUDIO JORGE</v>
          </cell>
          <cell r="K2260" t="str">
            <v>LACTALIS</v>
          </cell>
          <cell r="L2260" t="str">
            <v>RODRIGO</v>
          </cell>
          <cell r="M2260" t="str">
            <v>VAGO NORDESTE</v>
          </cell>
        </row>
        <row r="2261">
          <cell r="B2261">
            <v>5352493</v>
          </cell>
          <cell r="C2261" t="str">
            <v>44986618 MARCIO BEZERRA MENDONCA</v>
          </cell>
          <cell r="D2261" t="str">
            <v>7001</v>
          </cell>
          <cell r="E2261" t="str">
            <v>0749</v>
          </cell>
          <cell r="F2261" t="str">
            <v>C5</v>
          </cell>
          <cell r="G2261" t="str">
            <v>SP</v>
          </cell>
          <cell r="H2261" t="str">
            <v>DISTRIBUIÇÃO</v>
          </cell>
          <cell r="I2261" t="str">
            <v>FOOD SERVICE</v>
          </cell>
          <cell r="J2261" t="str">
            <v>FLAC 7</v>
          </cell>
          <cell r="K2261" t="str">
            <v>LACTALIS</v>
          </cell>
          <cell r="L2261" t="str">
            <v>RODRIGO</v>
          </cell>
          <cell r="M2261" t="str">
            <v>ALEXANDRO</v>
          </cell>
        </row>
        <row r="2262">
          <cell r="B2262">
            <v>5215067</v>
          </cell>
          <cell r="C2262" t="str">
            <v>ASSOC PRI I DE F DE D PONTIF ARA DO</v>
          </cell>
          <cell r="D2262" t="str">
            <v>7001</v>
          </cell>
          <cell r="E2262" t="str">
            <v>0749</v>
          </cell>
          <cell r="F2262" t="str">
            <v>C5</v>
          </cell>
          <cell r="G2262" t="str">
            <v>SP</v>
          </cell>
          <cell r="H2262" t="str">
            <v>DISTRIBUIÇÃO</v>
          </cell>
          <cell r="I2262" t="str">
            <v>FOOD SERVICE</v>
          </cell>
          <cell r="J2262" t="str">
            <v>FLAC 2</v>
          </cell>
          <cell r="K2262" t="str">
            <v>LACTALIS</v>
          </cell>
          <cell r="L2262" t="str">
            <v>RODRIGO</v>
          </cell>
          <cell r="M2262" t="str">
            <v>ALEXANDRO</v>
          </cell>
        </row>
        <row r="2263">
          <cell r="B2263">
            <v>5352279</v>
          </cell>
          <cell r="C2263" t="str">
            <v>BAKEBUN BAKERY IND E COM LTDA</v>
          </cell>
          <cell r="D2263" t="str">
            <v>7001</v>
          </cell>
          <cell r="E2263" t="str">
            <v>0749</v>
          </cell>
          <cell r="F2263" t="str">
            <v>C5</v>
          </cell>
          <cell r="G2263" t="str">
            <v>SP</v>
          </cell>
          <cell r="H2263" t="str">
            <v>DISTRIBUIÇÃO</v>
          </cell>
          <cell r="I2263" t="str">
            <v>FOOD SERVICE</v>
          </cell>
          <cell r="J2263" t="str">
            <v>FLAC 5</v>
          </cell>
          <cell r="K2263" t="str">
            <v>LACTALIS</v>
          </cell>
          <cell r="L2263" t="str">
            <v>RODRIGO</v>
          </cell>
          <cell r="M2263" t="str">
            <v>ALEXANDRO</v>
          </cell>
        </row>
        <row r="2264">
          <cell r="B2264">
            <v>5352580</v>
          </cell>
          <cell r="C2264" t="str">
            <v>MERCEARIA E RESTAURANTE POINT LTDA</v>
          </cell>
          <cell r="D2264" t="str">
            <v>7001</v>
          </cell>
          <cell r="E2264" t="str">
            <v>0749</v>
          </cell>
          <cell r="F2264" t="str">
            <v>C5</v>
          </cell>
          <cell r="G2264" t="str">
            <v>SP</v>
          </cell>
          <cell r="H2264" t="str">
            <v>DISTRIBUIÇÃO</v>
          </cell>
          <cell r="I2264" t="str">
            <v>FOOD SERVICE</v>
          </cell>
          <cell r="J2264" t="str">
            <v>FLAC 5</v>
          </cell>
          <cell r="K2264" t="str">
            <v>LACTALIS</v>
          </cell>
          <cell r="L2264" t="str">
            <v>RODRIGO</v>
          </cell>
          <cell r="M2264" t="str">
            <v>ALEXANDRO</v>
          </cell>
        </row>
        <row r="2265">
          <cell r="B2265">
            <v>5143288</v>
          </cell>
          <cell r="C2265" t="str">
            <v>KERRY DO BRASIL LTDA</v>
          </cell>
          <cell r="D2265" t="str">
            <v>3001</v>
          </cell>
          <cell r="E2265" t="str">
            <v>0028</v>
          </cell>
          <cell r="F2265" t="str">
            <v>C1</v>
          </cell>
          <cell r="G2265" t="str">
            <v>MG</v>
          </cell>
          <cell r="H2265" t="str">
            <v>INGREDIENTS</v>
          </cell>
          <cell r="I2265" t="str">
            <v>INGREDIENTS</v>
          </cell>
          <cell r="J2265" t="str">
            <v>JOEL ELEOTÉRIO</v>
          </cell>
          <cell r="K2265" t="str">
            <v>ITAMBÉ</v>
          </cell>
          <cell r="L2265" t="str">
            <v>MAURICIO</v>
          </cell>
          <cell r="M2265" t="str">
            <v>JOEL</v>
          </cell>
        </row>
        <row r="2266">
          <cell r="B2266">
            <v>5352129</v>
          </cell>
          <cell r="C2266" t="str">
            <v>PIZZARIA JULIA VILLAGE DE FR LT</v>
          </cell>
          <cell r="D2266" t="str">
            <v>7001</v>
          </cell>
          <cell r="E2266" t="str">
            <v>0749</v>
          </cell>
          <cell r="F2266" t="str">
            <v>C5</v>
          </cell>
          <cell r="G2266" t="str">
            <v>SP</v>
          </cell>
          <cell r="H2266" t="str">
            <v>DISTRIBUIÇÃO</v>
          </cell>
          <cell r="I2266" t="str">
            <v>FOOD SERVICE</v>
          </cell>
          <cell r="J2266" t="str">
            <v>FLAC 3</v>
          </cell>
          <cell r="K2266" t="str">
            <v>LACTALIS</v>
          </cell>
          <cell r="L2266" t="str">
            <v>RODRIGO</v>
          </cell>
          <cell r="M2266" t="str">
            <v>ALEXANDRO</v>
          </cell>
        </row>
        <row r="2267">
          <cell r="B2267">
            <v>5352384</v>
          </cell>
          <cell r="C2267" t="str">
            <v>BASSANO HL RESTAU E EVENT LTDA</v>
          </cell>
          <cell r="D2267" t="str">
            <v>7001</v>
          </cell>
          <cell r="E2267" t="str">
            <v>0749</v>
          </cell>
          <cell r="F2267" t="str">
            <v>C5</v>
          </cell>
          <cell r="G2267" t="str">
            <v>SP</v>
          </cell>
          <cell r="H2267" t="str">
            <v>DISTRIBUIÇÃO</v>
          </cell>
          <cell r="I2267" t="str">
            <v>FOOD SERVICE</v>
          </cell>
          <cell r="J2267" t="str">
            <v>FLAC 5</v>
          </cell>
          <cell r="K2267" t="str">
            <v>LACTALIS</v>
          </cell>
          <cell r="L2267" t="str">
            <v>RODRIGO</v>
          </cell>
          <cell r="M2267" t="str">
            <v>ALEXANDRO</v>
          </cell>
        </row>
        <row r="2268">
          <cell r="B2268">
            <v>5352541</v>
          </cell>
          <cell r="C2268" t="str">
            <v>AKIRA ORGANIZACAO COMERCIO DE</v>
          </cell>
          <cell r="D2268" t="str">
            <v>7001</v>
          </cell>
          <cell r="E2268" t="str">
            <v>0749</v>
          </cell>
          <cell r="F2268" t="str">
            <v>C5</v>
          </cell>
          <cell r="G2268" t="str">
            <v>SP</v>
          </cell>
          <cell r="H2268" t="str">
            <v>DISTRIBUIÇÃO</v>
          </cell>
          <cell r="I2268" t="str">
            <v>FOOD SERVICE</v>
          </cell>
          <cell r="J2268" t="str">
            <v>FLAC 3</v>
          </cell>
          <cell r="K2268" t="str">
            <v>LACTALIS</v>
          </cell>
          <cell r="L2268" t="str">
            <v>RODRIGO</v>
          </cell>
          <cell r="M2268" t="str">
            <v>ALEXANDRO</v>
          </cell>
        </row>
        <row r="2269">
          <cell r="B2269">
            <v>5145301</v>
          </cell>
          <cell r="C2269" t="str">
            <v>CAFE E RESTAURANTE BERLIN LTDA</v>
          </cell>
          <cell r="D2269" t="str">
            <v>7001</v>
          </cell>
          <cell r="E2269" t="str">
            <v>0749</v>
          </cell>
          <cell r="F2269" t="str">
            <v>C5</v>
          </cell>
          <cell r="G2269" t="str">
            <v>SP</v>
          </cell>
          <cell r="H2269" t="str">
            <v>DISTRIBUIÇÃO</v>
          </cell>
          <cell r="I2269" t="str">
            <v>FOOD SERVICE</v>
          </cell>
          <cell r="J2269" t="str">
            <v>FLAC 3</v>
          </cell>
          <cell r="K2269" t="str">
            <v>LACTALIS</v>
          </cell>
          <cell r="L2269" t="str">
            <v>RODRIGO</v>
          </cell>
          <cell r="M2269" t="str">
            <v>ALEXANDRO</v>
          </cell>
        </row>
        <row r="2270">
          <cell r="B2270">
            <v>5289224</v>
          </cell>
          <cell r="C2270" t="str">
            <v>CASARIA COM DE ALIMENTOS E BEB</v>
          </cell>
          <cell r="D2270" t="str">
            <v>7001</v>
          </cell>
          <cell r="E2270" t="str">
            <v>0749</v>
          </cell>
          <cell r="F2270" t="str">
            <v>C5</v>
          </cell>
          <cell r="G2270" t="str">
            <v>SP</v>
          </cell>
          <cell r="H2270" t="str">
            <v>DISTRIBUIÇÃO</v>
          </cell>
          <cell r="I2270" t="str">
            <v>FOOD SERVICE</v>
          </cell>
          <cell r="J2270" t="str">
            <v>FLAC 6</v>
          </cell>
          <cell r="K2270" t="str">
            <v>LACTALIS</v>
          </cell>
          <cell r="L2270" t="str">
            <v>RODRIGO</v>
          </cell>
          <cell r="M2270" t="str">
            <v>ALEXANDRO</v>
          </cell>
        </row>
        <row r="2271">
          <cell r="B2271">
            <v>5333763</v>
          </cell>
          <cell r="C2271" t="str">
            <v>DNA GASTRONOMIA LTDA</v>
          </cell>
          <cell r="D2271" t="str">
            <v>7001</v>
          </cell>
          <cell r="E2271" t="str">
            <v>0749</v>
          </cell>
          <cell r="F2271" t="str">
            <v>C5</v>
          </cell>
          <cell r="G2271" t="str">
            <v>SP</v>
          </cell>
          <cell r="H2271" t="str">
            <v>DISTRIBUIÇÃO</v>
          </cell>
          <cell r="I2271" t="str">
            <v>FOOD SERVICE</v>
          </cell>
          <cell r="J2271" t="str">
            <v>FLAC 5</v>
          </cell>
          <cell r="K2271" t="str">
            <v>LACTALIS</v>
          </cell>
          <cell r="L2271" t="str">
            <v>RODRIGO</v>
          </cell>
          <cell r="M2271" t="str">
            <v>ALEXANDRO</v>
          </cell>
        </row>
        <row r="2272">
          <cell r="B2272">
            <v>5352021</v>
          </cell>
          <cell r="C2272" t="str">
            <v>COSTELARIA TOKUNFOME LTDA</v>
          </cell>
          <cell r="D2272" t="str">
            <v>7001</v>
          </cell>
          <cell r="E2272" t="str">
            <v>0749</v>
          </cell>
          <cell r="F2272" t="str">
            <v>C5</v>
          </cell>
          <cell r="G2272" t="str">
            <v>SP</v>
          </cell>
          <cell r="H2272" t="str">
            <v>DISTRIBUIÇÃO</v>
          </cell>
          <cell r="I2272" t="str">
            <v>FOOD SERVICE</v>
          </cell>
          <cell r="J2272" t="str">
            <v>FLAC 5</v>
          </cell>
          <cell r="K2272" t="str">
            <v>LACTALIS</v>
          </cell>
          <cell r="L2272" t="str">
            <v>RODRIGO</v>
          </cell>
          <cell r="M2272" t="str">
            <v>ALEXANDRO</v>
          </cell>
        </row>
        <row r="2273">
          <cell r="B2273">
            <v>5025237</v>
          </cell>
          <cell r="C2273" t="str">
            <v>LIOTECNICA TECNOLOGIA</v>
          </cell>
          <cell r="D2273" t="str">
            <v>4001</v>
          </cell>
          <cell r="E2273" t="str">
            <v>0437</v>
          </cell>
          <cell r="F2273" t="str">
            <v>C1</v>
          </cell>
          <cell r="G2273" t="str">
            <v>SP</v>
          </cell>
          <cell r="H2273" t="str">
            <v>INGREDIENTS</v>
          </cell>
          <cell r="I2273" t="str">
            <v>INGREDIENTS</v>
          </cell>
          <cell r="J2273" t="str">
            <v>MARCELO RODRIGUES</v>
          </cell>
          <cell r="K2273" t="str">
            <v>LACTALIS</v>
          </cell>
          <cell r="L2273" t="str">
            <v>MAURICIO</v>
          </cell>
          <cell r="M2273" t="str">
            <v>MARCELO</v>
          </cell>
        </row>
        <row r="2274">
          <cell r="B2274">
            <v>5089996</v>
          </cell>
          <cell r="C2274" t="str">
            <v>COOP AGROPECUARIA PETROPOLIS LT</v>
          </cell>
          <cell r="D2274" t="str">
            <v>4001</v>
          </cell>
          <cell r="E2274" t="str">
            <v>0546</v>
          </cell>
          <cell r="F2274" t="str">
            <v>C1</v>
          </cell>
          <cell r="G2274" t="str">
            <v>RS</v>
          </cell>
          <cell r="H2274" t="str">
            <v>INGREDIENTS</v>
          </cell>
          <cell r="I2274" t="str">
            <v>INGREDIENTS</v>
          </cell>
          <cell r="J2274" t="str">
            <v>JOEL ELEOTÉRIO</v>
          </cell>
          <cell r="K2274" t="str">
            <v>LACTALIS</v>
          </cell>
          <cell r="L2274" t="str">
            <v>MAURICIO</v>
          </cell>
          <cell r="M2274" t="str">
            <v>JOEL</v>
          </cell>
        </row>
        <row r="2275">
          <cell r="B2275">
            <v>5099067</v>
          </cell>
          <cell r="C2275" t="str">
            <v>DR OETKER BRASIL LTDA</v>
          </cell>
          <cell r="D2275" t="str">
            <v>4001</v>
          </cell>
          <cell r="E2275" t="str">
            <v>0437</v>
          </cell>
          <cell r="F2275" t="str">
            <v>C1</v>
          </cell>
          <cell r="G2275" t="str">
            <v>SP</v>
          </cell>
          <cell r="H2275" t="str">
            <v>INGREDIENTS</v>
          </cell>
          <cell r="I2275" t="str">
            <v>INGREDIENTS</v>
          </cell>
          <cell r="J2275" t="str">
            <v>MARCELO RODRIGUES</v>
          </cell>
          <cell r="K2275" t="str">
            <v>LACTALIS</v>
          </cell>
          <cell r="L2275" t="str">
            <v>MAURICIO</v>
          </cell>
          <cell r="M2275" t="str">
            <v>MARCELO</v>
          </cell>
        </row>
        <row r="2276">
          <cell r="B2276">
            <v>5130053</v>
          </cell>
          <cell r="C2276" t="str">
            <v>SEARA ALIMENTOS LTDA</v>
          </cell>
          <cell r="D2276" t="str">
            <v>4001</v>
          </cell>
          <cell r="E2276" t="str">
            <v>0456</v>
          </cell>
          <cell r="F2276" t="str">
            <v>C1</v>
          </cell>
          <cell r="G2276" t="str">
            <v>SC</v>
          </cell>
          <cell r="H2276" t="str">
            <v>INGREDIENTS</v>
          </cell>
          <cell r="I2276" t="str">
            <v>INGREDIENTS</v>
          </cell>
          <cell r="J2276" t="str">
            <v>JOEL ELEOTÉRIO</v>
          </cell>
          <cell r="K2276" t="str">
            <v>LACTALIS</v>
          </cell>
          <cell r="L2276" t="str">
            <v>MAURICIO</v>
          </cell>
          <cell r="M2276" t="str">
            <v>JOEL</v>
          </cell>
        </row>
        <row r="2277">
          <cell r="B2277">
            <v>5149588</v>
          </cell>
          <cell r="C2277" t="str">
            <v>LUA NOVA IND E COM PROD ALIM LT</v>
          </cell>
          <cell r="D2277" t="str">
            <v>4001</v>
          </cell>
          <cell r="E2277" t="str">
            <v>0455</v>
          </cell>
          <cell r="F2277" t="str">
            <v>C1</v>
          </cell>
          <cell r="G2277" t="str">
            <v>PR</v>
          </cell>
          <cell r="H2277" t="str">
            <v>INGREDIENTS</v>
          </cell>
          <cell r="I2277" t="str">
            <v>INGREDIENTS</v>
          </cell>
          <cell r="J2277" t="str">
            <v>TATIANA NITTA</v>
          </cell>
          <cell r="K2277" t="str">
            <v>LACTALIS</v>
          </cell>
          <cell r="L2277" t="str">
            <v>MAURICIO</v>
          </cell>
          <cell r="M2277" t="str">
            <v>TATIANA NITTA</v>
          </cell>
        </row>
        <row r="2278">
          <cell r="B2278">
            <v>5150121</v>
          </cell>
          <cell r="C2278" t="str">
            <v>VITAO ALIMENTOS LTDA</v>
          </cell>
          <cell r="D2278" t="str">
            <v>4001</v>
          </cell>
          <cell r="E2278" t="str">
            <v>0455</v>
          </cell>
          <cell r="F2278" t="str">
            <v>C1</v>
          </cell>
          <cell r="G2278" t="str">
            <v>PR</v>
          </cell>
          <cell r="H2278" t="str">
            <v>INGREDIENTS</v>
          </cell>
          <cell r="I2278" t="str">
            <v>INGREDIENTS</v>
          </cell>
          <cell r="J2278" t="str">
            <v>MARCELO RODRIGUES</v>
          </cell>
          <cell r="K2278" t="str">
            <v>LACTALIS</v>
          </cell>
          <cell r="L2278" t="str">
            <v>MAURICIO</v>
          </cell>
          <cell r="M2278" t="str">
            <v>MARCELO</v>
          </cell>
        </row>
        <row r="2279">
          <cell r="B2279">
            <v>5170056</v>
          </cell>
          <cell r="C2279" t="str">
            <v>ANTONIO ROBERTO M DOS SANTOS ME</v>
          </cell>
          <cell r="D2279" t="str">
            <v>4001</v>
          </cell>
          <cell r="E2279" t="str">
            <v>0437</v>
          </cell>
          <cell r="F2279" t="str">
            <v>C1</v>
          </cell>
          <cell r="G2279" t="str">
            <v>SP</v>
          </cell>
          <cell r="H2279" t="str">
            <v>INGREDIENTS</v>
          </cell>
          <cell r="I2279" t="str">
            <v>INGREDIENTS</v>
          </cell>
          <cell r="J2279" t="str">
            <v>MARCELO RODRIGUES</v>
          </cell>
          <cell r="K2279" t="str">
            <v>LACTALIS</v>
          </cell>
          <cell r="L2279" t="str">
            <v>MAURICIO</v>
          </cell>
          <cell r="M2279" t="str">
            <v>MARCELO</v>
          </cell>
        </row>
        <row r="2280">
          <cell r="B2280">
            <v>5171893</v>
          </cell>
          <cell r="C2280" t="str">
            <v>M DIAS BRANCO SA IND COM ALIM</v>
          </cell>
          <cell r="D2280" t="str">
            <v>4001</v>
          </cell>
          <cell r="E2280" t="str">
            <v>0454</v>
          </cell>
          <cell r="F2280" t="str">
            <v>C1</v>
          </cell>
          <cell r="G2280" t="str">
            <v>PE</v>
          </cell>
          <cell r="H2280" t="str">
            <v>INGREDIENTS</v>
          </cell>
          <cell r="I2280" t="str">
            <v>INGREDIENTS</v>
          </cell>
          <cell r="J2280" t="str">
            <v>JOEL ELEOTÉRIO</v>
          </cell>
          <cell r="K2280" t="str">
            <v>LACTALIS</v>
          </cell>
          <cell r="L2280" t="str">
            <v>MAURICIO</v>
          </cell>
          <cell r="M2280" t="str">
            <v>JOEL</v>
          </cell>
        </row>
        <row r="2281">
          <cell r="B2281">
            <v>5181258</v>
          </cell>
          <cell r="C2281" t="str">
            <v>LATICINIOS TIROLEZ LTDA</v>
          </cell>
          <cell r="D2281" t="str">
            <v>4001</v>
          </cell>
          <cell r="E2281" t="str">
            <v>0437</v>
          </cell>
          <cell r="F2281" t="str">
            <v>C1</v>
          </cell>
          <cell r="G2281" t="str">
            <v>SP</v>
          </cell>
          <cell r="H2281" t="str">
            <v>INGREDIENTS</v>
          </cell>
          <cell r="I2281" t="str">
            <v>INGREDIENTS</v>
          </cell>
          <cell r="J2281" t="str">
            <v>MARCELO RODRIGUES</v>
          </cell>
          <cell r="K2281" t="str">
            <v>LACTALIS</v>
          </cell>
          <cell r="L2281" t="str">
            <v>MAURICIO</v>
          </cell>
          <cell r="M2281" t="str">
            <v>MARCELO</v>
          </cell>
        </row>
        <row r="2282">
          <cell r="B2282">
            <v>5192017</v>
          </cell>
          <cell r="C2282" t="str">
            <v>SORVESAN IND E COM DE SORV LTDA</v>
          </cell>
          <cell r="D2282" t="str">
            <v>4001</v>
          </cell>
          <cell r="E2282" t="str">
            <v>0437</v>
          </cell>
          <cell r="F2282" t="str">
            <v>C1</v>
          </cell>
          <cell r="G2282" t="str">
            <v>SP</v>
          </cell>
          <cell r="H2282" t="str">
            <v>INGREDIENTS</v>
          </cell>
          <cell r="I2282" t="str">
            <v>INGREDIENTS</v>
          </cell>
          <cell r="J2282" t="str">
            <v>MARCELO RODRIGUES</v>
          </cell>
          <cell r="K2282" t="str">
            <v>LACTALIS</v>
          </cell>
          <cell r="L2282" t="str">
            <v>MAURICIO</v>
          </cell>
          <cell r="M2282" t="str">
            <v>MARCELO</v>
          </cell>
        </row>
        <row r="2283">
          <cell r="B2283">
            <v>5217383</v>
          </cell>
          <cell r="C2283" t="str">
            <v>FRUTAL INDUSTRIA E COMERCIO LTD</v>
          </cell>
          <cell r="D2283" t="str">
            <v>4001</v>
          </cell>
          <cell r="E2283" t="str">
            <v>0540</v>
          </cell>
          <cell r="F2283" t="str">
            <v>C1</v>
          </cell>
          <cell r="G2283" t="str">
            <v>AM</v>
          </cell>
          <cell r="H2283" t="str">
            <v>INGREDIENTS</v>
          </cell>
          <cell r="I2283" t="str">
            <v>INGREDIENTS</v>
          </cell>
          <cell r="J2283" t="str">
            <v>JOEL ELEOTÉRIO</v>
          </cell>
          <cell r="K2283" t="str">
            <v>LACTALIS</v>
          </cell>
          <cell r="L2283" t="str">
            <v>MAURICIO</v>
          </cell>
          <cell r="M2283" t="str">
            <v>JOEL</v>
          </cell>
        </row>
        <row r="2284">
          <cell r="B2284">
            <v>5223459</v>
          </cell>
          <cell r="C2284" t="str">
            <v>POMPEIA SA INDUSTRIA E COMERCIO</v>
          </cell>
          <cell r="D2284" t="str">
            <v>4001</v>
          </cell>
          <cell r="E2284" t="str">
            <v>0437</v>
          </cell>
          <cell r="F2284" t="str">
            <v>C1</v>
          </cell>
          <cell r="G2284" t="str">
            <v>SP</v>
          </cell>
          <cell r="H2284" t="str">
            <v>INGREDIENTS</v>
          </cell>
          <cell r="I2284" t="str">
            <v>INGREDIENTS</v>
          </cell>
          <cell r="J2284" t="str">
            <v>MARCELO RODRIGUES</v>
          </cell>
          <cell r="K2284" t="str">
            <v>LACTALIS</v>
          </cell>
          <cell r="L2284" t="str">
            <v>MAURICIO</v>
          </cell>
          <cell r="M2284" t="str">
            <v>MARCELO</v>
          </cell>
        </row>
        <row r="2285">
          <cell r="B2285">
            <v>5256477</v>
          </cell>
          <cell r="C2285" t="str">
            <v>CAPRICCHE SA</v>
          </cell>
          <cell r="D2285" t="str">
            <v>4001</v>
          </cell>
          <cell r="E2285" t="str">
            <v>0454</v>
          </cell>
          <cell r="F2285" t="str">
            <v>C1</v>
          </cell>
          <cell r="G2285" t="str">
            <v>PE</v>
          </cell>
          <cell r="H2285" t="str">
            <v>INGREDIENTS</v>
          </cell>
          <cell r="I2285" t="str">
            <v>INGREDIENTS</v>
          </cell>
          <cell r="J2285" t="str">
            <v>JOEL ELEOTÉRIO</v>
          </cell>
          <cell r="K2285" t="str">
            <v>LACTALIS</v>
          </cell>
          <cell r="L2285" t="str">
            <v>MAURICIO</v>
          </cell>
          <cell r="M2285" t="str">
            <v>JOEL</v>
          </cell>
        </row>
        <row r="2286">
          <cell r="B2286">
            <v>5260663</v>
          </cell>
          <cell r="C2286" t="str">
            <v>M DIAS BRANCO SA IND E COM DE A</v>
          </cell>
          <cell r="D2286" t="str">
            <v>4001</v>
          </cell>
          <cell r="E2286" t="str">
            <v>0546</v>
          </cell>
          <cell r="F2286" t="str">
            <v>C1</v>
          </cell>
          <cell r="G2286" t="str">
            <v>RS</v>
          </cell>
          <cell r="H2286" t="str">
            <v>INGREDIENTS</v>
          </cell>
          <cell r="I2286" t="str">
            <v>INGREDIENTS</v>
          </cell>
          <cell r="J2286" t="str">
            <v>JOEL ELEOTÉRIO</v>
          </cell>
          <cell r="K2286" t="str">
            <v>LACTALIS</v>
          </cell>
          <cell r="L2286" t="str">
            <v>MAURICIO</v>
          </cell>
          <cell r="M2286" t="str">
            <v>JOEL</v>
          </cell>
        </row>
        <row r="2287">
          <cell r="B2287">
            <v>5265736</v>
          </cell>
          <cell r="C2287" t="str">
            <v>LATICINIOS VENEZA LTDA</v>
          </cell>
          <cell r="D2287" t="str">
            <v>4001</v>
          </cell>
          <cell r="E2287" t="str">
            <v>0456</v>
          </cell>
          <cell r="F2287" t="str">
            <v>C1</v>
          </cell>
          <cell r="G2287" t="str">
            <v>SC</v>
          </cell>
          <cell r="H2287" t="str">
            <v>INGREDIENTS</v>
          </cell>
          <cell r="I2287" t="str">
            <v>INGREDIENTS</v>
          </cell>
          <cell r="J2287" t="str">
            <v>JOEL ELEOTÉRIO</v>
          </cell>
          <cell r="K2287" t="str">
            <v>LACTALIS</v>
          </cell>
          <cell r="L2287" t="str">
            <v>MAURICIO</v>
          </cell>
          <cell r="M2287" t="str">
            <v>JOEL</v>
          </cell>
        </row>
        <row r="2288">
          <cell r="B2288">
            <v>5280081</v>
          </cell>
          <cell r="C2288" t="str">
            <v>BUNGE ALIMENTOS S A</v>
          </cell>
          <cell r="D2288" t="str">
            <v>4001</v>
          </cell>
          <cell r="E2288" t="str">
            <v>0455</v>
          </cell>
          <cell r="F2288" t="str">
            <v>C1</v>
          </cell>
          <cell r="G2288" t="str">
            <v>PR</v>
          </cell>
          <cell r="H2288" t="str">
            <v>INGREDIENTS</v>
          </cell>
          <cell r="I2288" t="str">
            <v>INGREDIENTS</v>
          </cell>
          <cell r="J2288" t="str">
            <v>JOEL ELEOTÉRIO</v>
          </cell>
          <cell r="K2288" t="str">
            <v>LACTALIS</v>
          </cell>
          <cell r="L2288" t="str">
            <v>MAURICIO</v>
          </cell>
          <cell r="M2288" t="str">
            <v>JOEL</v>
          </cell>
        </row>
        <row r="2289">
          <cell r="B2289">
            <v>5281650</v>
          </cell>
          <cell r="C2289" t="str">
            <v>T R KLEINCIA LTDA</v>
          </cell>
          <cell r="D2289" t="str">
            <v>4001</v>
          </cell>
          <cell r="E2289" t="str">
            <v>0546</v>
          </cell>
          <cell r="F2289" t="str">
            <v>C1</v>
          </cell>
          <cell r="G2289" t="str">
            <v>RS</v>
          </cell>
          <cell r="H2289" t="str">
            <v>INGREDIENTS</v>
          </cell>
          <cell r="I2289" t="str">
            <v>INGREDIENTS</v>
          </cell>
          <cell r="J2289" t="str">
            <v>JOEL ELEOTÉRIO</v>
          </cell>
          <cell r="K2289" t="str">
            <v>LACTALIS</v>
          </cell>
          <cell r="L2289" t="str">
            <v>MAURICIO</v>
          </cell>
          <cell r="M2289" t="str">
            <v>JOEL</v>
          </cell>
        </row>
        <row r="2290">
          <cell r="B2290">
            <v>5283460</v>
          </cell>
          <cell r="C2290" t="str">
            <v>FRIMESA COOPERATIVA CENTRAL</v>
          </cell>
          <cell r="D2290" t="str">
            <v>4001</v>
          </cell>
          <cell r="E2290" t="str">
            <v>0455</v>
          </cell>
          <cell r="F2290" t="str">
            <v>C1</v>
          </cell>
          <cell r="G2290" t="str">
            <v>PR</v>
          </cell>
          <cell r="H2290" t="str">
            <v>INGREDIENTS</v>
          </cell>
          <cell r="I2290" t="str">
            <v>INGREDIENTS</v>
          </cell>
          <cell r="J2290" t="str">
            <v>MARCELO RODRIGUES</v>
          </cell>
          <cell r="K2290" t="str">
            <v>LACTALIS</v>
          </cell>
          <cell r="L2290" t="str">
            <v>MAURICIO</v>
          </cell>
          <cell r="M2290" t="str">
            <v>MARCELO</v>
          </cell>
        </row>
        <row r="2291">
          <cell r="B2291">
            <v>5284531</v>
          </cell>
          <cell r="C2291" t="str">
            <v>LATICINIO BELO VALE LTDA</v>
          </cell>
          <cell r="D2291" t="str">
            <v>4001</v>
          </cell>
          <cell r="E2291" t="str">
            <v>0543</v>
          </cell>
          <cell r="F2291" t="str">
            <v>C1</v>
          </cell>
          <cell r="G2291" t="str">
            <v>PB</v>
          </cell>
          <cell r="H2291" t="str">
            <v>INGREDIENTS</v>
          </cell>
          <cell r="I2291" t="str">
            <v>INGREDIENTS</v>
          </cell>
          <cell r="J2291" t="str">
            <v>JOEL ELEOTÉRIO</v>
          </cell>
          <cell r="K2291" t="str">
            <v>LACTALIS</v>
          </cell>
          <cell r="L2291" t="str">
            <v>MAURICIO</v>
          </cell>
          <cell r="M2291" t="str">
            <v>JOEL</v>
          </cell>
        </row>
        <row r="2292">
          <cell r="B2292">
            <v>5284837</v>
          </cell>
          <cell r="C2292" t="str">
            <v>FRIMESA COOPERATIVA CENTRAL</v>
          </cell>
          <cell r="D2292" t="str">
            <v>4001</v>
          </cell>
          <cell r="E2292" t="str">
            <v>0455</v>
          </cell>
          <cell r="F2292" t="str">
            <v>C1</v>
          </cell>
          <cell r="G2292" t="str">
            <v>PR</v>
          </cell>
          <cell r="H2292" t="str">
            <v>INGREDIENTS</v>
          </cell>
          <cell r="I2292" t="str">
            <v>INGREDIENTS</v>
          </cell>
          <cell r="J2292" t="str">
            <v>MARCELO RODRIGUES</v>
          </cell>
          <cell r="K2292" t="str">
            <v>LACTALIS</v>
          </cell>
          <cell r="L2292" t="str">
            <v>MAURICIO</v>
          </cell>
          <cell r="M2292" t="str">
            <v>MARCELO</v>
          </cell>
        </row>
        <row r="2293">
          <cell r="B2293">
            <v>5346909</v>
          </cell>
          <cell r="C2293" t="str">
            <v>LIOTECNICA TECNOLOGIA</v>
          </cell>
          <cell r="D2293" t="str">
            <v>4001</v>
          </cell>
          <cell r="E2293" t="str">
            <v>0437</v>
          </cell>
          <cell r="F2293" t="str">
            <v>C1</v>
          </cell>
          <cell r="G2293" t="str">
            <v>SP</v>
          </cell>
          <cell r="H2293" t="str">
            <v>INGREDIENTS</v>
          </cell>
          <cell r="I2293" t="str">
            <v>INGREDIENTS</v>
          </cell>
          <cell r="J2293" t="str">
            <v>MARCELO RODRIGUES</v>
          </cell>
          <cell r="K2293" t="str">
            <v>LACTALIS</v>
          </cell>
          <cell r="L2293" t="str">
            <v>MAURICIO</v>
          </cell>
          <cell r="M2293" t="str">
            <v>MARCELO</v>
          </cell>
        </row>
        <row r="2294">
          <cell r="B2294">
            <v>5350225</v>
          </cell>
          <cell r="C2294" t="str">
            <v>GABEN FERNANDEZ HOTEL LTDA</v>
          </cell>
          <cell r="D2294" t="str">
            <v>7001</v>
          </cell>
          <cell r="E2294" t="str">
            <v>0749</v>
          </cell>
          <cell r="F2294" t="str">
            <v>C5</v>
          </cell>
          <cell r="G2294" t="str">
            <v>SP</v>
          </cell>
          <cell r="H2294" t="str">
            <v>DISTRIBUIÇÃO</v>
          </cell>
          <cell r="I2294" t="str">
            <v>FOOD SERVICE</v>
          </cell>
          <cell r="J2294" t="str">
            <v>FLAC 5</v>
          </cell>
          <cell r="K2294" t="str">
            <v>LACTALIS</v>
          </cell>
          <cell r="L2294" t="str">
            <v>RODRIGO</v>
          </cell>
          <cell r="M2294" t="str">
            <v>ALEXANDRO</v>
          </cell>
        </row>
        <row r="2295">
          <cell r="B2295">
            <v>5352687</v>
          </cell>
          <cell r="C2295" t="str">
            <v>AHTO PATISSERIE LTDA</v>
          </cell>
          <cell r="D2295" t="str">
            <v>7001</v>
          </cell>
          <cell r="E2295" t="str">
            <v>0749</v>
          </cell>
          <cell r="F2295" t="str">
            <v>C5</v>
          </cell>
          <cell r="G2295" t="str">
            <v>SP</v>
          </cell>
          <cell r="H2295" t="str">
            <v>DISTRIBUIÇÃO</v>
          </cell>
          <cell r="I2295" t="str">
            <v>FOOD SERVICE</v>
          </cell>
          <cell r="J2295" t="str">
            <v>FLAC 6</v>
          </cell>
          <cell r="K2295" t="str">
            <v>LACTALIS</v>
          </cell>
          <cell r="L2295" t="str">
            <v>RODRIGO</v>
          </cell>
          <cell r="M2295" t="str">
            <v>ALEXANDRO</v>
          </cell>
        </row>
        <row r="2296">
          <cell r="B2296">
            <v>5183495</v>
          </cell>
          <cell r="C2296" t="str">
            <v>ASTRON INDUSTRIA DE DOCES L</v>
          </cell>
          <cell r="D2296" t="str">
            <v>3001</v>
          </cell>
          <cell r="E2296" t="str">
            <v>0028</v>
          </cell>
          <cell r="F2296" t="str">
            <v>C1</v>
          </cell>
          <cell r="G2296" t="str">
            <v>MG</v>
          </cell>
          <cell r="H2296" t="str">
            <v>INGREDIENTS</v>
          </cell>
          <cell r="I2296" t="str">
            <v>INGREDIENTS</v>
          </cell>
          <cell r="J2296" t="str">
            <v>HENRIQUE FERREIRA</v>
          </cell>
          <cell r="K2296" t="str">
            <v>ITAMBÉ</v>
          </cell>
          <cell r="L2296" t="str">
            <v>MAURICIO</v>
          </cell>
          <cell r="M2296" t="str">
            <v>JOEL</v>
          </cell>
        </row>
        <row r="2297">
          <cell r="B2297">
            <v>5262210</v>
          </cell>
          <cell r="C2297" t="str">
            <v>ZHF RESTAURANTE</v>
          </cell>
          <cell r="D2297" t="str">
            <v>7001</v>
          </cell>
          <cell r="E2297" t="str">
            <v>0749</v>
          </cell>
          <cell r="F2297" t="str">
            <v>C5</v>
          </cell>
          <cell r="G2297" t="str">
            <v>SP</v>
          </cell>
          <cell r="H2297" t="str">
            <v>DISTRIBUIÇÃO</v>
          </cell>
          <cell r="I2297" t="str">
            <v>FOOD SERVICE</v>
          </cell>
          <cell r="J2297" t="str">
            <v>FLAC 5</v>
          </cell>
          <cell r="K2297" t="str">
            <v>LACTALIS</v>
          </cell>
          <cell r="L2297" t="str">
            <v>RODRIGO</v>
          </cell>
          <cell r="M2297" t="str">
            <v>ALEXANDRO</v>
          </cell>
        </row>
        <row r="2298">
          <cell r="B2298">
            <v>5349266</v>
          </cell>
          <cell r="C2298" t="str">
            <v>ATHENAS ROQUE LANCHES LTDA</v>
          </cell>
          <cell r="D2298" t="str">
            <v>7001</v>
          </cell>
          <cell r="E2298" t="str">
            <v>0749</v>
          </cell>
          <cell r="F2298" t="str">
            <v>C5</v>
          </cell>
          <cell r="G2298" t="str">
            <v>SP</v>
          </cell>
          <cell r="H2298" t="str">
            <v>DISTRIBUIÇÃO</v>
          </cell>
          <cell r="I2298" t="str">
            <v>FOOD SERVICE</v>
          </cell>
          <cell r="J2298" t="str">
            <v>FLAC 5</v>
          </cell>
          <cell r="K2298" t="str">
            <v>LACTALIS</v>
          </cell>
          <cell r="L2298" t="str">
            <v>RODRIGO</v>
          </cell>
          <cell r="M2298" t="str">
            <v>ALEXANDRO</v>
          </cell>
        </row>
        <row r="2299">
          <cell r="B2299">
            <v>5310902</v>
          </cell>
          <cell r="C2299" t="str">
            <v>RA DISTRIBUIDORA</v>
          </cell>
          <cell r="D2299" t="str">
            <v>7001</v>
          </cell>
          <cell r="E2299" t="str">
            <v>0749</v>
          </cell>
          <cell r="F2299" t="str">
            <v>C5</v>
          </cell>
          <cell r="G2299" t="str">
            <v>SP</v>
          </cell>
          <cell r="H2299" t="str">
            <v>DISTRIBUIÇÃO</v>
          </cell>
          <cell r="I2299" t="str">
            <v>FOOD SERVICE</v>
          </cell>
          <cell r="J2299" t="str">
            <v>FLAC 2</v>
          </cell>
          <cell r="K2299" t="str">
            <v>LACTALIS</v>
          </cell>
          <cell r="L2299" t="str">
            <v>RODRIGO</v>
          </cell>
          <cell r="M2299" t="str">
            <v>ALEXANDRO</v>
          </cell>
        </row>
        <row r="2300">
          <cell r="B2300">
            <v>5131228</v>
          </cell>
          <cell r="C2300" t="str">
            <v>POLENGHI INDUSTRIAS ALIMS LTDA</v>
          </cell>
          <cell r="D2300" t="str">
            <v>3001</v>
          </cell>
          <cell r="E2300" t="str">
            <v>0028</v>
          </cell>
          <cell r="F2300" t="str">
            <v>C1</v>
          </cell>
          <cell r="G2300" t="str">
            <v>GO</v>
          </cell>
          <cell r="H2300" t="str">
            <v>INGREDIENTS</v>
          </cell>
          <cell r="I2300" t="str">
            <v>INGREDIENTS</v>
          </cell>
          <cell r="J2300" t="str">
            <v>TATIANA NITTA</v>
          </cell>
          <cell r="K2300" t="str">
            <v>ITAMBÉ</v>
          </cell>
          <cell r="L2300" t="str">
            <v>MAURICIO</v>
          </cell>
          <cell r="M2300" t="str">
            <v>TATIANA NITTA</v>
          </cell>
        </row>
        <row r="2301">
          <cell r="B2301">
            <v>5218658</v>
          </cell>
          <cell r="C2301" t="str">
            <v>ADLM SERVICOS MEDICOS LTDA</v>
          </cell>
          <cell r="D2301" t="str">
            <v>7001</v>
          </cell>
          <cell r="E2301" t="str">
            <v>0749</v>
          </cell>
          <cell r="F2301" t="str">
            <v>C5</v>
          </cell>
          <cell r="G2301" t="str">
            <v>SP</v>
          </cell>
          <cell r="H2301" t="str">
            <v>DISTRIBUIÇÃO</v>
          </cell>
          <cell r="I2301" t="str">
            <v>FOOD SERVICE</v>
          </cell>
          <cell r="J2301" t="str">
            <v>FLAC 5</v>
          </cell>
          <cell r="K2301" t="str">
            <v>LACTALIS</v>
          </cell>
          <cell r="L2301" t="str">
            <v>RODRIGO</v>
          </cell>
          <cell r="M2301" t="str">
            <v>ALEXANDRO</v>
          </cell>
        </row>
        <row r="2302">
          <cell r="B2302">
            <v>5351794</v>
          </cell>
          <cell r="C2302" t="str">
            <v>GRAN RIO HOTEL DAN INN LTDA</v>
          </cell>
          <cell r="D2302" t="str">
            <v>7001</v>
          </cell>
          <cell r="E2302" t="str">
            <v>0749</v>
          </cell>
          <cell r="F2302" t="str">
            <v>C5</v>
          </cell>
          <cell r="G2302" t="str">
            <v>SP</v>
          </cell>
          <cell r="H2302" t="str">
            <v>DISTRIBUIÇÃO</v>
          </cell>
          <cell r="I2302" t="str">
            <v>FOOD SERVICE</v>
          </cell>
          <cell r="J2302" t="str">
            <v>FLAC 8</v>
          </cell>
          <cell r="K2302" t="str">
            <v>LACTALIS</v>
          </cell>
          <cell r="L2302" t="str">
            <v>RODRIGO</v>
          </cell>
          <cell r="M2302" t="str">
            <v>ALEXANDRO</v>
          </cell>
        </row>
        <row r="2303">
          <cell r="B2303">
            <v>5352824</v>
          </cell>
          <cell r="C2303" t="str">
            <v>SAMUEL OLIVEIRA</v>
          </cell>
          <cell r="D2303" t="str">
            <v>7001</v>
          </cell>
          <cell r="E2303" t="str">
            <v>0749</v>
          </cell>
          <cell r="F2303" t="str">
            <v>C5</v>
          </cell>
          <cell r="G2303" t="str">
            <v>SP</v>
          </cell>
          <cell r="H2303" t="str">
            <v>DISTRIBUIÇÃO</v>
          </cell>
          <cell r="I2303" t="str">
            <v>FOOD SERVICE</v>
          </cell>
          <cell r="J2303" t="str">
            <v>FLAC 5</v>
          </cell>
          <cell r="K2303" t="str">
            <v>LACTALIS</v>
          </cell>
          <cell r="L2303" t="str">
            <v>RODRIGO</v>
          </cell>
          <cell r="M2303" t="str">
            <v>ALEXANDRO</v>
          </cell>
        </row>
        <row r="2304">
          <cell r="B2304">
            <v>5011062</v>
          </cell>
          <cell r="C2304" t="str">
            <v>LACTICINIOS TIROL LTDA</v>
          </cell>
          <cell r="D2304" t="str">
            <v>4001</v>
          </cell>
          <cell r="E2304" t="str">
            <v>0455</v>
          </cell>
          <cell r="F2304" t="str">
            <v>C1</v>
          </cell>
          <cell r="G2304" t="str">
            <v>PR</v>
          </cell>
          <cell r="H2304" t="str">
            <v>OUTROS</v>
          </cell>
          <cell r="I2304" t="str">
            <v>OUTROS</v>
          </cell>
          <cell r="J2304" t="str">
            <v>SERVIÇO TIROL</v>
          </cell>
          <cell r="K2304" t="str">
            <v>OUTROS</v>
          </cell>
          <cell r="L2304" t="str">
            <v>OUTROS</v>
          </cell>
          <cell r="M2304" t="str">
            <v>SERVIÇO TIROL</v>
          </cell>
        </row>
        <row r="2305">
          <cell r="B2305">
            <v>5324461</v>
          </cell>
          <cell r="C2305" t="str">
            <v>RODOLUKI COMERCIO LOGISTICA E D</v>
          </cell>
          <cell r="D2305" t="str">
            <v>7001</v>
          </cell>
          <cell r="E2305" t="str">
            <v>0722</v>
          </cell>
          <cell r="F2305" t="str">
            <v>C1</v>
          </cell>
          <cell r="G2305" t="str">
            <v>SP</v>
          </cell>
          <cell r="H2305" t="str">
            <v>QSR</v>
          </cell>
          <cell r="I2305" t="str">
            <v>FOOD SERVICE</v>
          </cell>
          <cell r="J2305" t="str">
            <v>ANA MENIQUETE</v>
          </cell>
          <cell r="K2305" t="str">
            <v>LACTALIS</v>
          </cell>
          <cell r="L2305" t="str">
            <v>PEDRO</v>
          </cell>
          <cell r="M2305" t="str">
            <v>ANA MENIQUETE</v>
          </cell>
        </row>
        <row r="2306">
          <cell r="B2306">
            <v>5335459</v>
          </cell>
          <cell r="C2306" t="str">
            <v>KARLA CHRISTINA DE PAIVA SANTOS</v>
          </cell>
          <cell r="D2306" t="str">
            <v>3001</v>
          </cell>
          <cell r="E2306" t="str">
            <v>0028</v>
          </cell>
          <cell r="F2306" t="str">
            <v>C1</v>
          </cell>
          <cell r="G2306" t="str">
            <v>MG</v>
          </cell>
          <cell r="H2306" t="str">
            <v>INGREDIENTS</v>
          </cell>
          <cell r="I2306" t="str">
            <v>INGREDIENTS</v>
          </cell>
          <cell r="J2306" t="str">
            <v>HENRIQUE FERREIRA</v>
          </cell>
          <cell r="K2306" t="str">
            <v>ITAMBÉ</v>
          </cell>
          <cell r="L2306" t="str">
            <v>MAURICIO</v>
          </cell>
          <cell r="M2306" t="str">
            <v>JOEL</v>
          </cell>
        </row>
        <row r="2307">
          <cell r="B2307">
            <v>5351439</v>
          </cell>
          <cell r="C2307" t="str">
            <v>FREAK CAFES ESPECIAIS LTDA</v>
          </cell>
          <cell r="D2307" t="str">
            <v>7001</v>
          </cell>
          <cell r="E2307" t="str">
            <v>0749</v>
          </cell>
          <cell r="F2307" t="str">
            <v>C5</v>
          </cell>
          <cell r="G2307" t="str">
            <v>SP</v>
          </cell>
          <cell r="H2307" t="str">
            <v>DISTRIBUIÇÃO</v>
          </cell>
          <cell r="I2307" t="str">
            <v>FOOD SERVICE</v>
          </cell>
          <cell r="J2307" t="str">
            <v>FLAC 5</v>
          </cell>
          <cell r="K2307" t="str">
            <v>LACTALIS</v>
          </cell>
          <cell r="L2307" t="str">
            <v>RODRIGO</v>
          </cell>
          <cell r="M2307" t="str">
            <v>ALEXANDRO</v>
          </cell>
        </row>
        <row r="2308">
          <cell r="B2308">
            <v>5352327</v>
          </cell>
          <cell r="C2308" t="str">
            <v>PRIME UP COM DE FRUTAS E DOCES</v>
          </cell>
          <cell r="D2308" t="str">
            <v>7001</v>
          </cell>
          <cell r="E2308" t="str">
            <v>0749</v>
          </cell>
          <cell r="F2308" t="str">
            <v>C5</v>
          </cell>
          <cell r="G2308" t="str">
            <v>SP</v>
          </cell>
          <cell r="H2308" t="str">
            <v>DISTRIBUIÇÃO</v>
          </cell>
          <cell r="I2308" t="str">
            <v>FOOD SERVICE</v>
          </cell>
          <cell r="J2308" t="str">
            <v>FLAC 3</v>
          </cell>
          <cell r="K2308" t="str">
            <v>LACTALIS</v>
          </cell>
          <cell r="L2308" t="str">
            <v>RODRIGO</v>
          </cell>
          <cell r="M2308" t="str">
            <v>ALEXANDRO</v>
          </cell>
        </row>
        <row r="2309">
          <cell r="B2309">
            <v>5352584</v>
          </cell>
          <cell r="C2309" t="str">
            <v>LANCHONETE MORENO LTDA</v>
          </cell>
          <cell r="D2309" t="str">
            <v>7001</v>
          </cell>
          <cell r="E2309" t="str">
            <v>0749</v>
          </cell>
          <cell r="F2309" t="str">
            <v>C5</v>
          </cell>
          <cell r="G2309" t="str">
            <v>SP</v>
          </cell>
          <cell r="H2309" t="str">
            <v>DISTRIBUIÇÃO</v>
          </cell>
          <cell r="I2309" t="str">
            <v>FOOD SERVICE</v>
          </cell>
          <cell r="J2309" t="str">
            <v>FLAC 5</v>
          </cell>
          <cell r="K2309" t="str">
            <v>LACTALIS</v>
          </cell>
          <cell r="L2309" t="str">
            <v>RODRIGO</v>
          </cell>
          <cell r="M2309" t="str">
            <v>ALEXANDRO</v>
          </cell>
        </row>
        <row r="2310">
          <cell r="B2310">
            <v>5352804</v>
          </cell>
          <cell r="C2310" t="str">
            <v>OPERA PADARIA E CONFEITARIA LTD</v>
          </cell>
          <cell r="D2310" t="str">
            <v>7001</v>
          </cell>
          <cell r="E2310" t="str">
            <v>0749</v>
          </cell>
          <cell r="F2310" t="str">
            <v>C5</v>
          </cell>
          <cell r="G2310" t="str">
            <v>SP</v>
          </cell>
          <cell r="H2310" t="str">
            <v>DISTRIBUIÇÃO</v>
          </cell>
          <cell r="I2310" t="str">
            <v>FOOD SERVICE</v>
          </cell>
          <cell r="J2310" t="str">
            <v>FLAC 6</v>
          </cell>
          <cell r="K2310" t="str">
            <v>LACTALIS</v>
          </cell>
          <cell r="L2310" t="str">
            <v>RODRIGO</v>
          </cell>
          <cell r="M2310" t="str">
            <v>ALEXANDRO</v>
          </cell>
        </row>
        <row r="2311">
          <cell r="B2311">
            <v>5353190</v>
          </cell>
          <cell r="C2311" t="str">
            <v>MORUMBY COMERCIO DE ALIMENT</v>
          </cell>
          <cell r="D2311" t="str">
            <v>7001</v>
          </cell>
          <cell r="E2311" t="str">
            <v>0749</v>
          </cell>
          <cell r="F2311" t="str">
            <v>C5</v>
          </cell>
          <cell r="G2311" t="str">
            <v>SP</v>
          </cell>
          <cell r="H2311" t="str">
            <v>DISTRIBUIÇÃO</v>
          </cell>
          <cell r="I2311" t="str">
            <v>FOOD SERVICE</v>
          </cell>
          <cell r="J2311" t="str">
            <v>FLAC 3</v>
          </cell>
          <cell r="K2311" t="str">
            <v>LACTALIS</v>
          </cell>
          <cell r="L2311" t="str">
            <v>RODRIGO</v>
          </cell>
          <cell r="M2311" t="str">
            <v>ALEXANDRO</v>
          </cell>
        </row>
        <row r="2312">
          <cell r="B2312">
            <v>5060394</v>
          </cell>
          <cell r="C2312" t="str">
            <v>SCHREIBER FOODS DO BRASIL IND ALIM</v>
          </cell>
          <cell r="D2312" t="str">
            <v>4001</v>
          </cell>
          <cell r="E2312" t="str">
            <v>0455</v>
          </cell>
          <cell r="F2312" t="str">
            <v>C1</v>
          </cell>
          <cell r="G2312" t="str">
            <v>PR</v>
          </cell>
          <cell r="H2312" t="str">
            <v>INGREDIENTS</v>
          </cell>
          <cell r="I2312" t="str">
            <v>INGREDIENTS</v>
          </cell>
          <cell r="J2312" t="str">
            <v>MARCELO RODRIGUES</v>
          </cell>
          <cell r="K2312" t="str">
            <v>LACTALIS</v>
          </cell>
          <cell r="L2312" t="str">
            <v>MAURICIO</v>
          </cell>
          <cell r="M2312" t="str">
            <v>MARCELO</v>
          </cell>
        </row>
        <row r="2313">
          <cell r="B2313">
            <v>5063510</v>
          </cell>
          <cell r="C2313" t="str">
            <v>ASS CULTURAL NSA SENHORA DE FAT</v>
          </cell>
          <cell r="D2313" t="str">
            <v>7001</v>
          </cell>
          <cell r="E2313" t="str">
            <v>0749</v>
          </cell>
          <cell r="F2313" t="str">
            <v>C5</v>
          </cell>
          <cell r="G2313" t="str">
            <v>SP</v>
          </cell>
          <cell r="H2313" t="str">
            <v>DISTRIBUIÇÃO</v>
          </cell>
          <cell r="I2313" t="str">
            <v>FOOD SERVICE</v>
          </cell>
          <cell r="J2313" t="str">
            <v>FLAC 2</v>
          </cell>
          <cell r="K2313" t="str">
            <v>LACTALIS</v>
          </cell>
          <cell r="L2313" t="str">
            <v>RODRIGO</v>
          </cell>
          <cell r="M2313" t="str">
            <v>ALEXANDRO</v>
          </cell>
        </row>
        <row r="2314">
          <cell r="B2314">
            <v>5169969</v>
          </cell>
          <cell r="C2314" t="str">
            <v>WCN COM E REPRESENTACAO DE ALIM</v>
          </cell>
          <cell r="D2314" t="str">
            <v>6001</v>
          </cell>
          <cell r="E2314" t="str">
            <v>6009</v>
          </cell>
          <cell r="F2314" t="str">
            <v>C1</v>
          </cell>
          <cell r="G2314" t="str">
            <v>BA</v>
          </cell>
          <cell r="H2314" t="str">
            <v>DISTRIBUIÇÃO</v>
          </cell>
          <cell r="I2314" t="str">
            <v>FOOD SERVICE</v>
          </cell>
          <cell r="J2314" t="str">
            <v xml:space="preserve">KARIS FOOD / LUIZ </v>
          </cell>
          <cell r="K2314" t="str">
            <v>ITAMBÉ</v>
          </cell>
          <cell r="L2314" t="str">
            <v>RODRIGO</v>
          </cell>
          <cell r="M2314" t="str">
            <v>VAGO NORDESTE</v>
          </cell>
        </row>
        <row r="2315">
          <cell r="B2315">
            <v>5199005</v>
          </cell>
          <cell r="C2315" t="str">
            <v>IMAC INDUSTRIA DE MASSAS CONGEL</v>
          </cell>
          <cell r="D2315" t="str">
            <v>6001</v>
          </cell>
          <cell r="E2315" t="str">
            <v>6127</v>
          </cell>
          <cell r="F2315" t="str">
            <v>C1</v>
          </cell>
          <cell r="G2315" t="str">
            <v>CE</v>
          </cell>
          <cell r="H2315" t="str">
            <v>DISTRIBUIÇÃO</v>
          </cell>
          <cell r="I2315" t="str">
            <v>FOOD SERVICE</v>
          </cell>
          <cell r="J2315" t="str">
            <v>WH FOOD SERVICE CE</v>
          </cell>
          <cell r="K2315" t="str">
            <v>ITAMBÉ</v>
          </cell>
          <cell r="L2315" t="str">
            <v>RODRIGO</v>
          </cell>
          <cell r="M2315" t="str">
            <v>VAGO NORDESTE</v>
          </cell>
        </row>
        <row r="2316">
          <cell r="B2316">
            <v>5352925</v>
          </cell>
          <cell r="C2316" t="str">
            <v>JT INDUSTRIA E COM DE ALIM LTDA</v>
          </cell>
          <cell r="D2316" t="str">
            <v>4001</v>
          </cell>
          <cell r="E2316" t="str">
            <v>0458</v>
          </cell>
          <cell r="F2316" t="str">
            <v>C1</v>
          </cell>
          <cell r="G2316" t="str">
            <v>MG</v>
          </cell>
          <cell r="H2316" t="str">
            <v>INGREDIENTS</v>
          </cell>
          <cell r="I2316" t="str">
            <v>INGREDIENTS</v>
          </cell>
          <cell r="J2316" t="str">
            <v>JOEL ELEOTÉRIO</v>
          </cell>
          <cell r="K2316" t="str">
            <v>LACTALIS</v>
          </cell>
          <cell r="L2316" t="str">
            <v>MAURICIO</v>
          </cell>
          <cell r="M2316" t="str">
            <v>JOEL</v>
          </cell>
        </row>
        <row r="2317">
          <cell r="B2317">
            <v>5353188</v>
          </cell>
          <cell r="C2317" t="str">
            <v>ACZ CAFE EXPRESSO LTDA</v>
          </cell>
          <cell r="D2317" t="str">
            <v>7001</v>
          </cell>
          <cell r="E2317" t="str">
            <v>0749</v>
          </cell>
          <cell r="F2317" t="str">
            <v>C5</v>
          </cell>
          <cell r="G2317" t="str">
            <v>SP</v>
          </cell>
          <cell r="H2317" t="str">
            <v>DISTRIBUIÇÃO</v>
          </cell>
          <cell r="I2317" t="str">
            <v>FOOD SERVICE</v>
          </cell>
          <cell r="J2317" t="str">
            <v>FLAC 5</v>
          </cell>
          <cell r="K2317" t="str">
            <v>LACTALIS</v>
          </cell>
          <cell r="L2317" t="str">
            <v>RODRIGO</v>
          </cell>
          <cell r="M2317" t="str">
            <v>ALEXANDRO</v>
          </cell>
        </row>
        <row r="2318">
          <cell r="B2318">
            <v>5275102</v>
          </cell>
          <cell r="C2318" t="str">
            <v>AFFARI ALIMENTACAO LTDA</v>
          </cell>
          <cell r="D2318" t="str">
            <v>7001</v>
          </cell>
          <cell r="E2318" t="str">
            <v>0749</v>
          </cell>
          <cell r="F2318" t="str">
            <v>C5</v>
          </cell>
          <cell r="G2318" t="str">
            <v>SP</v>
          </cell>
          <cell r="H2318" t="str">
            <v>DISTRIBUIÇÃO</v>
          </cell>
          <cell r="I2318" t="str">
            <v>FOOD SERVICE</v>
          </cell>
          <cell r="J2318" t="str">
            <v>FLAC 5</v>
          </cell>
          <cell r="K2318" t="str">
            <v>LACTALIS</v>
          </cell>
          <cell r="L2318" t="str">
            <v>RODRIGO</v>
          </cell>
          <cell r="M2318" t="str">
            <v>ALEXANDRO</v>
          </cell>
        </row>
        <row r="2319">
          <cell r="B2319">
            <v>5338667</v>
          </cell>
          <cell r="C2319" t="str">
            <v>IBAE IND BRASILEIRA DE ALI ESP</v>
          </cell>
          <cell r="D2319" t="str">
            <v>4001</v>
          </cell>
          <cell r="E2319" t="str">
            <v>0437</v>
          </cell>
          <cell r="F2319" t="str">
            <v>C1</v>
          </cell>
          <cell r="G2319" t="str">
            <v>ES</v>
          </cell>
          <cell r="H2319" t="str">
            <v>INGREDIENTS</v>
          </cell>
          <cell r="I2319" t="str">
            <v>INGREDIENTS</v>
          </cell>
          <cell r="J2319" t="str">
            <v>TATIANA NITTA</v>
          </cell>
          <cell r="K2319" t="str">
            <v>LACTALIS</v>
          </cell>
          <cell r="L2319" t="str">
            <v>MAURICIO</v>
          </cell>
          <cell r="M2319" t="str">
            <v>TATIANA NITTA</v>
          </cell>
        </row>
        <row r="2320">
          <cell r="B2320">
            <v>5296844</v>
          </cell>
          <cell r="C2320" t="str">
            <v>SANTU PANIFICACAO LTDA</v>
          </cell>
          <cell r="D2320" t="str">
            <v>7001</v>
          </cell>
          <cell r="E2320" t="str">
            <v>0749</v>
          </cell>
          <cell r="F2320" t="str">
            <v>C5</v>
          </cell>
          <cell r="G2320" t="str">
            <v>SP</v>
          </cell>
          <cell r="H2320" t="str">
            <v>DISTRIBUIÇÃO</v>
          </cell>
          <cell r="I2320" t="str">
            <v>FOOD SERVICE</v>
          </cell>
          <cell r="J2320" t="str">
            <v>FLAC 2</v>
          </cell>
          <cell r="K2320" t="str">
            <v>LACTALIS</v>
          </cell>
          <cell r="L2320" t="str">
            <v>RODRIGO</v>
          </cell>
          <cell r="M2320" t="str">
            <v>ALEXANDRO</v>
          </cell>
        </row>
        <row r="2321">
          <cell r="B2321">
            <v>5319474</v>
          </cell>
          <cell r="C2321" t="str">
            <v>PADARIA ARTESANAL ORGANICA LTDA</v>
          </cell>
          <cell r="D2321" t="str">
            <v>7001</v>
          </cell>
          <cell r="E2321" t="str">
            <v>0749</v>
          </cell>
          <cell r="F2321" t="str">
            <v>C5</v>
          </cell>
          <cell r="G2321" t="str">
            <v>SP</v>
          </cell>
          <cell r="H2321" t="str">
            <v>DISTRIBUIÇÃO</v>
          </cell>
          <cell r="I2321" t="str">
            <v>FOOD SERVICE</v>
          </cell>
          <cell r="J2321" t="str">
            <v>FLAC 5</v>
          </cell>
          <cell r="K2321" t="str">
            <v>LACTALIS</v>
          </cell>
          <cell r="L2321" t="str">
            <v>RODRIGO</v>
          </cell>
          <cell r="M2321" t="str">
            <v>ALEXANDRO</v>
          </cell>
        </row>
        <row r="2322">
          <cell r="B2322">
            <v>5352113</v>
          </cell>
          <cell r="C2322" t="str">
            <v>VUPI ALIMENTOS LTDA</v>
          </cell>
          <cell r="D2322" t="str">
            <v>6001</v>
          </cell>
          <cell r="E2322" t="str">
            <v>6125</v>
          </cell>
          <cell r="F2322" t="str">
            <v>C1</v>
          </cell>
          <cell r="G2322" t="str">
            <v>SP</v>
          </cell>
          <cell r="H2322" t="str">
            <v>DISTRIBUIÇÃO</v>
          </cell>
          <cell r="I2322" t="str">
            <v>FOOD SERVICE</v>
          </cell>
          <cell r="J2322" t="str">
            <v>LUCAS ANDRADE</v>
          </cell>
          <cell r="K2322" t="str">
            <v>ITAMBÉ</v>
          </cell>
          <cell r="L2322" t="str">
            <v>RODRIGO</v>
          </cell>
          <cell r="M2322" t="str">
            <v>RAQUEL BARBOSA</v>
          </cell>
        </row>
        <row r="2323">
          <cell r="B2323">
            <v>5352467</v>
          </cell>
          <cell r="C2323" t="str">
            <v>CRP JOAO CACHOEIRA COMERCIO DE</v>
          </cell>
          <cell r="D2323" t="str">
            <v>7001</v>
          </cell>
          <cell r="E2323" t="str">
            <v>0749</v>
          </cell>
          <cell r="F2323" t="str">
            <v>C5</v>
          </cell>
          <cell r="G2323" t="str">
            <v>SP</v>
          </cell>
          <cell r="H2323" t="str">
            <v>DISTRIBUIÇÃO</v>
          </cell>
          <cell r="I2323" t="str">
            <v>FOOD SERVICE</v>
          </cell>
          <cell r="J2323" t="str">
            <v>FLAC 5</v>
          </cell>
          <cell r="K2323" t="str">
            <v>LACTALIS</v>
          </cell>
          <cell r="L2323" t="str">
            <v>RODRIGO</v>
          </cell>
          <cell r="M2323" t="str">
            <v>ALEXANDRO</v>
          </cell>
        </row>
        <row r="2324">
          <cell r="B2324">
            <v>5231792</v>
          </cell>
          <cell r="C2324" t="str">
            <v>FIOR CAMBUI ALIMEN SAUDAVEL LTD</v>
          </cell>
          <cell r="D2324" t="str">
            <v>7001</v>
          </cell>
          <cell r="E2324" t="str">
            <v>0749</v>
          </cell>
          <cell r="F2324" t="str">
            <v>C5</v>
          </cell>
          <cell r="G2324" t="str">
            <v>SP</v>
          </cell>
          <cell r="H2324" t="str">
            <v>DISTRIBUIÇÃO</v>
          </cell>
          <cell r="I2324" t="str">
            <v>FOOD SERVICE</v>
          </cell>
          <cell r="J2324" t="str">
            <v>FLAC 5</v>
          </cell>
          <cell r="K2324" t="str">
            <v>LACTALIS</v>
          </cell>
          <cell r="L2324" t="str">
            <v>RODRIGO</v>
          </cell>
          <cell r="M2324" t="str">
            <v>ALEXANDRO</v>
          </cell>
        </row>
        <row r="2325">
          <cell r="B2325">
            <v>5352570</v>
          </cell>
          <cell r="C2325" t="str">
            <v>GREENJOY RESTAURANTES LTDA</v>
          </cell>
          <cell r="D2325" t="str">
            <v>7001</v>
          </cell>
          <cell r="E2325" t="str">
            <v>0749</v>
          </cell>
          <cell r="F2325" t="str">
            <v>C5</v>
          </cell>
          <cell r="G2325" t="str">
            <v>SP</v>
          </cell>
          <cell r="H2325" t="str">
            <v>DISTRIBUIÇÃO</v>
          </cell>
          <cell r="I2325" t="str">
            <v>FOOD SERVICE</v>
          </cell>
          <cell r="J2325" t="str">
            <v>FLAC 5</v>
          </cell>
          <cell r="K2325" t="str">
            <v>LACTALIS</v>
          </cell>
          <cell r="L2325" t="str">
            <v>RODRIGO</v>
          </cell>
          <cell r="M2325" t="str">
            <v>ALEXANDRO</v>
          </cell>
        </row>
        <row r="2326">
          <cell r="B2326">
            <v>5353431</v>
          </cell>
          <cell r="C2326" t="str">
            <v>RVG COMERCIO DE PROD ALIM E BEB</v>
          </cell>
          <cell r="D2326" t="str">
            <v>7001</v>
          </cell>
          <cell r="E2326" t="str">
            <v>0749</v>
          </cell>
          <cell r="F2326" t="str">
            <v>C5</v>
          </cell>
          <cell r="G2326" t="str">
            <v>SP</v>
          </cell>
          <cell r="H2326" t="str">
            <v>DISTRIBUIÇÃO</v>
          </cell>
          <cell r="I2326" t="str">
            <v>FOOD SERVICE</v>
          </cell>
          <cell r="J2326" t="str">
            <v>FLAC 5</v>
          </cell>
          <cell r="K2326" t="str">
            <v>LACTALIS</v>
          </cell>
          <cell r="L2326" t="str">
            <v>RODRIGO</v>
          </cell>
          <cell r="M2326" t="str">
            <v>ALEXANDRO</v>
          </cell>
        </row>
        <row r="2327">
          <cell r="B2327">
            <v>5230508</v>
          </cell>
          <cell r="C2327" t="str">
            <v>THIAGO MAGNO SILVERIO DA FONSEC</v>
          </cell>
          <cell r="D2327" t="str">
            <v>6001</v>
          </cell>
          <cell r="E2327" t="str">
            <v>6075</v>
          </cell>
          <cell r="F2327" t="str">
            <v>C1</v>
          </cell>
          <cell r="G2327" t="str">
            <v>CE</v>
          </cell>
          <cell r="H2327" t="str">
            <v>DISTRIBUIÇÃO</v>
          </cell>
          <cell r="I2327" t="str">
            <v>FOOD SERVICE</v>
          </cell>
          <cell r="J2327" t="str">
            <v>WH FOOD SERVICE CE</v>
          </cell>
          <cell r="K2327" t="str">
            <v>ITAMBÉ</v>
          </cell>
          <cell r="L2327" t="str">
            <v>RODRIGO</v>
          </cell>
          <cell r="M2327" t="str">
            <v>VAGO NORDESTE</v>
          </cell>
        </row>
        <row r="2328">
          <cell r="B2328">
            <v>5316368</v>
          </cell>
          <cell r="C2328" t="str">
            <v>BANOFFERIA SALVADOR LTDA</v>
          </cell>
          <cell r="D2328" t="str">
            <v>3001</v>
          </cell>
          <cell r="E2328" t="str">
            <v>0127</v>
          </cell>
          <cell r="F2328" t="str">
            <v>C1</v>
          </cell>
          <cell r="G2328" t="str">
            <v>BA</v>
          </cell>
          <cell r="H2328" t="str">
            <v>DISTRIBUIÇÃO</v>
          </cell>
          <cell r="I2328" t="str">
            <v>FOOD SERVICE</v>
          </cell>
          <cell r="J2328" t="str">
            <v xml:space="preserve">KARIS FOOD / LUIZ </v>
          </cell>
          <cell r="K2328" t="str">
            <v>ITAMBÉ</v>
          </cell>
          <cell r="L2328" t="str">
            <v>RODRIGO</v>
          </cell>
          <cell r="M2328" t="str">
            <v>VAGO NORDESTE</v>
          </cell>
        </row>
        <row r="2329">
          <cell r="B2329">
            <v>5350294</v>
          </cell>
          <cell r="C2329" t="str">
            <v>MIX CEASA EXPRESSO ALIMENTOS LT</v>
          </cell>
          <cell r="D2329" t="str">
            <v>3001</v>
          </cell>
          <cell r="E2329" t="str">
            <v>0127</v>
          </cell>
          <cell r="F2329" t="str">
            <v>C1</v>
          </cell>
          <cell r="G2329" t="str">
            <v>PE</v>
          </cell>
          <cell r="H2329" t="str">
            <v>DISTRIBUIÇÃO</v>
          </cell>
          <cell r="I2329" t="str">
            <v>FOOD SERVICE</v>
          </cell>
          <cell r="J2329" t="str">
            <v>CLAUDIO JORGE</v>
          </cell>
          <cell r="K2329" t="str">
            <v>ITAMBÉ</v>
          </cell>
          <cell r="L2329" t="str">
            <v>RODRIGO</v>
          </cell>
          <cell r="M2329" t="str">
            <v>VAGO NORDESTE</v>
          </cell>
        </row>
        <row r="2330">
          <cell r="B2330">
            <v>5352582</v>
          </cell>
          <cell r="C2330" t="str">
            <v>CESARS ALIMENTACAO LTDA</v>
          </cell>
          <cell r="D2330" t="str">
            <v>7001</v>
          </cell>
          <cell r="E2330" t="str">
            <v>0749</v>
          </cell>
          <cell r="F2330" t="str">
            <v>C5</v>
          </cell>
          <cell r="G2330" t="str">
            <v>SP</v>
          </cell>
          <cell r="H2330" t="str">
            <v>DISTRIBUIÇÃO</v>
          </cell>
          <cell r="I2330" t="str">
            <v>FOOD SERVICE</v>
          </cell>
          <cell r="J2330" t="str">
            <v>FLAC 5</v>
          </cell>
          <cell r="K2330" t="str">
            <v>LACTALIS</v>
          </cell>
          <cell r="L2330" t="str">
            <v>RODRIGO</v>
          </cell>
          <cell r="M2330" t="str">
            <v>ALEXANDRO</v>
          </cell>
        </row>
        <row r="2331">
          <cell r="B2331">
            <v>5041698</v>
          </cell>
          <cell r="C2331" t="str">
            <v>REFFEL PRODUTOS ALIMENTICIOS LT</v>
          </cell>
          <cell r="D2331" t="str">
            <v>6001</v>
          </cell>
          <cell r="E2331" t="str">
            <v>6028</v>
          </cell>
          <cell r="F2331" t="str">
            <v>C1</v>
          </cell>
          <cell r="G2331" t="str">
            <v>SP</v>
          </cell>
          <cell r="H2331" t="str">
            <v>INGREDIENTS</v>
          </cell>
          <cell r="I2331" t="str">
            <v>INGREDIENTS</v>
          </cell>
          <cell r="J2331" t="str">
            <v>HENRIQUE FERREIRA</v>
          </cell>
          <cell r="K2331" t="str">
            <v>ITAMBÉ</v>
          </cell>
          <cell r="L2331" t="str">
            <v>MAURICIO</v>
          </cell>
          <cell r="M2331" t="str">
            <v>JOEL</v>
          </cell>
        </row>
        <row r="2332">
          <cell r="B2332">
            <v>5126977</v>
          </cell>
          <cell r="C2332" t="str">
            <v>COMERCIO DE ALIMENTOS NOVO MEXI</v>
          </cell>
          <cell r="D2332" t="str">
            <v>7001</v>
          </cell>
          <cell r="E2332" t="str">
            <v>0739</v>
          </cell>
          <cell r="F2332" t="str">
            <v>C1</v>
          </cell>
          <cell r="G2332" t="str">
            <v>ES</v>
          </cell>
          <cell r="H2332" t="str">
            <v>DISTRIBUIÇÃO</v>
          </cell>
          <cell r="I2332" t="str">
            <v>FOOD SERVICE</v>
          </cell>
          <cell r="J2332" t="str">
            <v>MARCELO DUARTE</v>
          </cell>
          <cell r="K2332" t="str">
            <v>LACTALIS</v>
          </cell>
          <cell r="L2332" t="str">
            <v>RODRIGO</v>
          </cell>
          <cell r="M2332" t="str">
            <v>JESSICA</v>
          </cell>
        </row>
        <row r="2333">
          <cell r="B2333">
            <v>5145924</v>
          </cell>
          <cell r="C2333" t="str">
            <v>CAFE TRES CORACOES SA</v>
          </cell>
          <cell r="D2333" t="str">
            <v>4001</v>
          </cell>
          <cell r="E2333" t="str">
            <v>0458</v>
          </cell>
          <cell r="F2333" t="str">
            <v>C1</v>
          </cell>
          <cell r="G2333" t="str">
            <v>MG</v>
          </cell>
          <cell r="H2333" t="str">
            <v>INGREDIENTS</v>
          </cell>
          <cell r="I2333" t="str">
            <v>INGREDIENTS</v>
          </cell>
          <cell r="J2333" t="str">
            <v>JOEL ELEOTÉRIO</v>
          </cell>
          <cell r="K2333" t="str">
            <v>LACTALIS</v>
          </cell>
          <cell r="L2333" t="str">
            <v>MAURICIO</v>
          </cell>
          <cell r="M2333" t="str">
            <v>JOEL</v>
          </cell>
        </row>
        <row r="2334">
          <cell r="B2334">
            <v>5332247</v>
          </cell>
          <cell r="C2334" t="str">
            <v>AMIV COMERCIO DE PRODUTOS</v>
          </cell>
          <cell r="D2334" t="str">
            <v>6001</v>
          </cell>
          <cell r="E2334" t="str">
            <v>6075</v>
          </cell>
          <cell r="F2334" t="str">
            <v>C1</v>
          </cell>
          <cell r="G2334" t="str">
            <v>CE</v>
          </cell>
          <cell r="H2334" t="str">
            <v>DISTRIBUIÇÃO</v>
          </cell>
          <cell r="I2334" t="str">
            <v>FOOD SERVICE</v>
          </cell>
          <cell r="J2334" t="str">
            <v>WH FOOD SERVICE CE</v>
          </cell>
          <cell r="K2334" t="str">
            <v>ITAMBÉ</v>
          </cell>
          <cell r="L2334" t="str">
            <v>RODRIGO</v>
          </cell>
          <cell r="M2334" t="str">
            <v>VAGO NORDESTE</v>
          </cell>
        </row>
        <row r="2335">
          <cell r="B2335">
            <v>5350815</v>
          </cell>
          <cell r="C2335" t="str">
            <v>SORVETOP COMERCIO LTDA</v>
          </cell>
          <cell r="D2335" t="str">
            <v>6001</v>
          </cell>
          <cell r="E2335" t="str">
            <v>6169</v>
          </cell>
          <cell r="F2335" t="str">
            <v>C1</v>
          </cell>
          <cell r="G2335" t="str">
            <v>ES</v>
          </cell>
          <cell r="H2335" t="str">
            <v>DISTRIBUIÇÃO</v>
          </cell>
          <cell r="I2335" t="str">
            <v>FOOD SERVICE</v>
          </cell>
          <cell r="J2335" t="str">
            <v>MARCELO DUARTE</v>
          </cell>
          <cell r="K2335" t="str">
            <v>ITAMBÉ</v>
          </cell>
          <cell r="L2335" t="str">
            <v>RODRIGO</v>
          </cell>
          <cell r="M2335" t="str">
            <v>JESSICA</v>
          </cell>
        </row>
        <row r="2336">
          <cell r="B2336">
            <v>5352573</v>
          </cell>
          <cell r="C2336" t="str">
            <v>CRP KINOPLEX 77 LTDA</v>
          </cell>
          <cell r="D2336" t="str">
            <v>7001</v>
          </cell>
          <cell r="E2336" t="str">
            <v>0749</v>
          </cell>
          <cell r="F2336" t="str">
            <v>C5</v>
          </cell>
          <cell r="G2336" t="str">
            <v>SP</v>
          </cell>
          <cell r="H2336" t="str">
            <v>DISTRIBUIÇÃO</v>
          </cell>
          <cell r="I2336" t="str">
            <v>FOOD SERVICE</v>
          </cell>
          <cell r="J2336" t="str">
            <v>FLAC 5</v>
          </cell>
          <cell r="K2336" t="str">
            <v>LACTALIS</v>
          </cell>
          <cell r="L2336" t="str">
            <v>RODRIGO</v>
          </cell>
          <cell r="M2336" t="str">
            <v>ALEXANDRO</v>
          </cell>
        </row>
        <row r="2337">
          <cell r="B2337">
            <v>5316368</v>
          </cell>
          <cell r="C2337" t="str">
            <v>BANOFFERIA SALVADOR LTDA</v>
          </cell>
          <cell r="D2337" t="str">
            <v>6001</v>
          </cell>
          <cell r="E2337" t="str">
            <v>6127</v>
          </cell>
          <cell r="F2337" t="str">
            <v>C1</v>
          </cell>
          <cell r="G2337" t="str">
            <v>BA</v>
          </cell>
          <cell r="H2337" t="str">
            <v>DISTRIBUIÇÃO</v>
          </cell>
          <cell r="I2337" t="str">
            <v>FOOD SERVICE</v>
          </cell>
          <cell r="J2337" t="str">
            <v xml:space="preserve">KARIS FOOD / LUIZ </v>
          </cell>
          <cell r="K2337" t="str">
            <v>ITAMBÉ</v>
          </cell>
          <cell r="L2337" t="str">
            <v>RODRIGO</v>
          </cell>
          <cell r="M2337" t="str">
            <v>VAGO NORDESTE</v>
          </cell>
        </row>
        <row r="2338">
          <cell r="B2338">
            <v>5173305</v>
          </cell>
          <cell r="C2338" t="str">
            <v>ARCOR DO BRASIL LTDA</v>
          </cell>
          <cell r="D2338" t="str">
            <v>4001</v>
          </cell>
          <cell r="E2338" t="str">
            <v>0437</v>
          </cell>
          <cell r="F2338" t="str">
            <v>C1</v>
          </cell>
          <cell r="G2338" t="str">
            <v>SP</v>
          </cell>
          <cell r="H2338" t="str">
            <v>INGREDIENTS</v>
          </cell>
          <cell r="I2338" t="str">
            <v>INGREDIENTS</v>
          </cell>
          <cell r="J2338" t="str">
            <v>TATIANA NITTA</v>
          </cell>
          <cell r="K2338" t="str">
            <v>LACTALIS</v>
          </cell>
          <cell r="L2338" t="str">
            <v>MAURICIO</v>
          </cell>
          <cell r="M2338" t="str">
            <v>TATIANA NITTA</v>
          </cell>
        </row>
        <row r="2339">
          <cell r="B2339">
            <v>5183495</v>
          </cell>
          <cell r="C2339" t="str">
            <v>ASTRON INDUSTRIA DE DOCES L</v>
          </cell>
          <cell r="D2339" t="str">
            <v>3001</v>
          </cell>
          <cell r="E2339" t="str">
            <v>0122</v>
          </cell>
          <cell r="F2339" t="str">
            <v>C1</v>
          </cell>
          <cell r="G2339" t="str">
            <v>MG</v>
          </cell>
          <cell r="H2339" t="str">
            <v>INGREDIENTS</v>
          </cell>
          <cell r="I2339" t="str">
            <v>INGREDIENTS</v>
          </cell>
          <cell r="J2339" t="str">
            <v>HENRIQUE FERREIRA</v>
          </cell>
          <cell r="K2339" t="str">
            <v>ITAMBÉ</v>
          </cell>
          <cell r="L2339" t="str">
            <v>MAURICIO</v>
          </cell>
          <cell r="M2339" t="str">
            <v>JOEL</v>
          </cell>
        </row>
        <row r="2340">
          <cell r="B2340">
            <v>5321026</v>
          </cell>
          <cell r="C2340" t="str">
            <v>GOODSERVICE PROMOE EVENTOS LTDA</v>
          </cell>
          <cell r="D2340" t="str">
            <v>7001</v>
          </cell>
          <cell r="E2340" t="str">
            <v>0749</v>
          </cell>
          <cell r="F2340" t="str">
            <v>C5</v>
          </cell>
          <cell r="G2340" t="str">
            <v>SP</v>
          </cell>
          <cell r="H2340" t="str">
            <v>DISTRIBUIÇÃO</v>
          </cell>
          <cell r="I2340" t="str">
            <v>FOOD SERVICE</v>
          </cell>
          <cell r="J2340" t="str">
            <v>FLAC 2</v>
          </cell>
          <cell r="K2340" t="str">
            <v>LACTALIS</v>
          </cell>
          <cell r="L2340" t="str">
            <v>RODRIGO</v>
          </cell>
          <cell r="M2340" t="str">
            <v>ALEXANDRO</v>
          </cell>
        </row>
        <row r="2341">
          <cell r="B2341">
            <v>5351693</v>
          </cell>
          <cell r="C2341" t="str">
            <v>CANELLE HEALTHY E CO LTDA</v>
          </cell>
          <cell r="D2341" t="str">
            <v>7001</v>
          </cell>
          <cell r="E2341" t="str">
            <v>0749</v>
          </cell>
          <cell r="F2341" t="str">
            <v>C5</v>
          </cell>
          <cell r="G2341" t="str">
            <v>SP</v>
          </cell>
          <cell r="H2341" t="str">
            <v>DISTRIBUIÇÃO</v>
          </cell>
          <cell r="I2341" t="str">
            <v>FOOD SERVICE</v>
          </cell>
          <cell r="J2341" t="str">
            <v>FLAC 6</v>
          </cell>
          <cell r="K2341" t="str">
            <v>LACTALIS</v>
          </cell>
          <cell r="L2341" t="str">
            <v>RODRIGO</v>
          </cell>
          <cell r="M2341" t="str">
            <v>ALEXANDRO</v>
          </cell>
        </row>
        <row r="2342">
          <cell r="B2342">
            <v>5317313</v>
          </cell>
          <cell r="C2342" t="str">
            <v>RESTAURANTE LELLIS TRATTORIA LT</v>
          </cell>
          <cell r="D2342" t="str">
            <v>7001</v>
          </cell>
          <cell r="E2342" t="str">
            <v>0749</v>
          </cell>
          <cell r="F2342" t="str">
            <v>C5</v>
          </cell>
          <cell r="G2342" t="str">
            <v>SP</v>
          </cell>
          <cell r="H2342" t="str">
            <v>DISTRIBUIÇÃO</v>
          </cell>
          <cell r="I2342" t="str">
            <v>FOOD SERVICE</v>
          </cell>
          <cell r="J2342" t="str">
            <v>FLAC 5</v>
          </cell>
          <cell r="K2342" t="str">
            <v>LACTALIS</v>
          </cell>
          <cell r="L2342" t="str">
            <v>RODRIGO</v>
          </cell>
          <cell r="M2342" t="str">
            <v>ALEXANDRO</v>
          </cell>
        </row>
        <row r="2343">
          <cell r="B2343">
            <v>5328247</v>
          </cell>
          <cell r="C2343" t="str">
            <v>TUDO NA BRASA RESTAURANTE DELIV</v>
          </cell>
          <cell r="D2343" t="str">
            <v>4001</v>
          </cell>
          <cell r="E2343" t="str">
            <v>0458</v>
          </cell>
          <cell r="F2343" t="str">
            <v>C1</v>
          </cell>
          <cell r="G2343" t="str">
            <v>MG</v>
          </cell>
          <cell r="H2343" t="str">
            <v>INGREDIENTS</v>
          </cell>
          <cell r="I2343" t="str">
            <v>INGREDIENTS</v>
          </cell>
          <cell r="J2343" t="str">
            <v>HENRIQUE FERREIRA</v>
          </cell>
          <cell r="K2343" t="str">
            <v>LACTALIS</v>
          </cell>
          <cell r="L2343" t="str">
            <v>MAURICIO</v>
          </cell>
          <cell r="M2343" t="str">
            <v>JOEL</v>
          </cell>
        </row>
        <row r="2344">
          <cell r="B2344">
            <v>5352823</v>
          </cell>
          <cell r="C2344" t="str">
            <v>BACO DIVINO COM DE BEBIDAS LTDA</v>
          </cell>
          <cell r="D2344" t="str">
            <v>7001</v>
          </cell>
          <cell r="E2344" t="str">
            <v>0749</v>
          </cell>
          <cell r="F2344" t="str">
            <v>C5</v>
          </cell>
          <cell r="G2344" t="str">
            <v>SP</v>
          </cell>
          <cell r="H2344" t="str">
            <v>DISTRIBUIÇÃO</v>
          </cell>
          <cell r="I2344" t="str">
            <v>FOOD SERVICE</v>
          </cell>
          <cell r="J2344" t="str">
            <v>FLAC 2</v>
          </cell>
          <cell r="K2344" t="str">
            <v>LACTALIS</v>
          </cell>
          <cell r="L2344" t="str">
            <v>RODRIGO</v>
          </cell>
          <cell r="M2344" t="str">
            <v>ALEXANDRO</v>
          </cell>
        </row>
        <row r="2345">
          <cell r="B2345">
            <v>5353256</v>
          </cell>
          <cell r="C2345" t="str">
            <v>GOODSERVICE PROMOE EVENTOS LTDA</v>
          </cell>
          <cell r="D2345" t="str">
            <v>7001</v>
          </cell>
          <cell r="E2345" t="str">
            <v>0749</v>
          </cell>
          <cell r="F2345" t="str">
            <v>C5</v>
          </cell>
          <cell r="G2345" t="str">
            <v>SP</v>
          </cell>
          <cell r="H2345" t="str">
            <v>DISTRIBUIÇÃO</v>
          </cell>
          <cell r="I2345" t="str">
            <v>FOOD SERVICE</v>
          </cell>
          <cell r="J2345" t="str">
            <v>FLAC 2</v>
          </cell>
          <cell r="K2345" t="str">
            <v>LACTALIS</v>
          </cell>
          <cell r="L2345" t="str">
            <v>RODRIGO</v>
          </cell>
          <cell r="M2345" t="str">
            <v>ALEXANDRO</v>
          </cell>
        </row>
        <row r="2346">
          <cell r="B2346">
            <v>5349403</v>
          </cell>
          <cell r="C2346" t="str">
            <v>PARADELA DIST DE ALIMENTOS LTDA</v>
          </cell>
          <cell r="D2346" t="str">
            <v>6001</v>
          </cell>
          <cell r="E2346" t="str">
            <v>6169</v>
          </cell>
          <cell r="F2346" t="str">
            <v>C1</v>
          </cell>
          <cell r="G2346" t="str">
            <v>RJ</v>
          </cell>
          <cell r="H2346" t="str">
            <v>DISTRIBUIÇÃO</v>
          </cell>
          <cell r="I2346" t="str">
            <v>FOOD SERVICE</v>
          </cell>
          <cell r="J2346" t="str">
            <v>JULIANA CORDEIRO</v>
          </cell>
          <cell r="K2346" t="str">
            <v>ITAMBÉ</v>
          </cell>
          <cell r="L2346" t="str">
            <v>RODRIGO</v>
          </cell>
          <cell r="M2346" t="str">
            <v>JESSICA</v>
          </cell>
        </row>
        <row r="2347">
          <cell r="B2347">
            <v>5353604</v>
          </cell>
          <cell r="C2347" t="str">
            <v>ELIBRE CLINICA DE SAUDE LTDA</v>
          </cell>
          <cell r="D2347" t="str">
            <v>7001</v>
          </cell>
          <cell r="E2347" t="str">
            <v>0749</v>
          </cell>
          <cell r="F2347" t="str">
            <v>C5</v>
          </cell>
          <cell r="G2347" t="str">
            <v>SP</v>
          </cell>
          <cell r="H2347" t="str">
            <v>DISTRIBUIÇÃO</v>
          </cell>
          <cell r="I2347" t="str">
            <v>FOOD SERVICE</v>
          </cell>
          <cell r="J2347" t="str">
            <v>FLAC 3</v>
          </cell>
          <cell r="K2347" t="str">
            <v>LACTALIS</v>
          </cell>
          <cell r="L2347" t="str">
            <v>RODRIGO</v>
          </cell>
          <cell r="M2347" t="str">
            <v>ALEXANDRO</v>
          </cell>
        </row>
        <row r="2348">
          <cell r="B2348">
            <v>5115189</v>
          </cell>
          <cell r="C2348" t="str">
            <v>STA DISTRIBUIDORA DE ALIMENTOS LTDA</v>
          </cell>
          <cell r="D2348" t="str">
            <v>7001</v>
          </cell>
          <cell r="E2348" t="str">
            <v>0562</v>
          </cell>
          <cell r="F2348" t="str">
            <v>C5</v>
          </cell>
          <cell r="G2348" t="str">
            <v>GO</v>
          </cell>
          <cell r="H2348" t="str">
            <v>DISTRIBUIÇÃO</v>
          </cell>
          <cell r="I2348" t="str">
            <v>FOOD SERVICE</v>
          </cell>
          <cell r="J2348" t="str">
            <v>CLAUDIO JORGE/MARIA LAURA</v>
          </cell>
          <cell r="K2348" t="str">
            <v>LACTALIS</v>
          </cell>
          <cell r="L2348" t="str">
            <v>RODRIGO</v>
          </cell>
          <cell r="M2348" t="str">
            <v>MARCO AURELIO</v>
          </cell>
        </row>
        <row r="2349">
          <cell r="B2349">
            <v>5130771</v>
          </cell>
          <cell r="C2349" t="str">
            <v>DEFAL COMERCIO ATACADISTA DE BE</v>
          </cell>
          <cell r="D2349" t="str">
            <v>6001</v>
          </cell>
          <cell r="E2349" t="str">
            <v>6125</v>
          </cell>
          <cell r="F2349" t="str">
            <v>C1</v>
          </cell>
          <cell r="G2349" t="str">
            <v>SP</v>
          </cell>
          <cell r="H2349" t="str">
            <v>INGREDIENTS</v>
          </cell>
          <cell r="I2349" t="str">
            <v>INGREDIENTS</v>
          </cell>
          <cell r="J2349" t="str">
            <v>HENRIQUE FERREIRA</v>
          </cell>
          <cell r="K2349" t="str">
            <v>ITAMBÉ</v>
          </cell>
          <cell r="L2349" t="str">
            <v>MAURICIO</v>
          </cell>
          <cell r="M2349" t="str">
            <v>JOEL</v>
          </cell>
        </row>
        <row r="2350">
          <cell r="B2350">
            <v>5316125</v>
          </cell>
          <cell r="C2350" t="str">
            <v>AFFARI ALIMENTACAO LTDA</v>
          </cell>
          <cell r="D2350" t="str">
            <v>7001</v>
          </cell>
          <cell r="E2350" t="str">
            <v>0749</v>
          </cell>
          <cell r="F2350" t="str">
            <v>C5</v>
          </cell>
          <cell r="G2350" t="str">
            <v>SP</v>
          </cell>
          <cell r="H2350" t="str">
            <v>DISTRIBUIÇÃO</v>
          </cell>
          <cell r="I2350" t="str">
            <v>FOOD SERVICE</v>
          </cell>
          <cell r="J2350" t="str">
            <v>FLAC 4</v>
          </cell>
          <cell r="K2350" t="str">
            <v>LACTALIS</v>
          </cell>
          <cell r="L2350" t="str">
            <v>RODRIGO</v>
          </cell>
          <cell r="M2350" t="str">
            <v>ALEXANDRO</v>
          </cell>
        </row>
        <row r="2351">
          <cell r="B2351">
            <v>5316128</v>
          </cell>
          <cell r="C2351" t="str">
            <v>AFFARI ALIMENTACAO LTDA</v>
          </cell>
          <cell r="D2351" t="str">
            <v>7001</v>
          </cell>
          <cell r="E2351" t="str">
            <v>0749</v>
          </cell>
          <cell r="F2351" t="str">
            <v>C5</v>
          </cell>
          <cell r="G2351" t="str">
            <v>SP</v>
          </cell>
          <cell r="H2351" t="str">
            <v>DISTRIBUIÇÃO</v>
          </cell>
          <cell r="I2351" t="str">
            <v>FOOD SERVICE</v>
          </cell>
          <cell r="J2351" t="str">
            <v>FLAC 4</v>
          </cell>
          <cell r="K2351" t="str">
            <v>LACTALIS</v>
          </cell>
          <cell r="L2351" t="str">
            <v>RODRIGO</v>
          </cell>
          <cell r="M2351" t="str">
            <v>ALEXANDRO</v>
          </cell>
        </row>
        <row r="2352">
          <cell r="B2352">
            <v>5353215</v>
          </cell>
          <cell r="C2352" t="str">
            <v>SORVET E LANCH SABOR E ARTE LTD</v>
          </cell>
          <cell r="D2352" t="str">
            <v>3001</v>
          </cell>
          <cell r="E2352" t="str">
            <v>0028</v>
          </cell>
          <cell r="F2352" t="str">
            <v>C1</v>
          </cell>
          <cell r="G2352" t="str">
            <v>MG</v>
          </cell>
          <cell r="H2352" t="str">
            <v>INGREDIENTS</v>
          </cell>
          <cell r="I2352" t="str">
            <v>INGREDIENTS</v>
          </cell>
          <cell r="J2352" t="str">
            <v>HENRIQUE FERREIRA</v>
          </cell>
          <cell r="K2352" t="str">
            <v>ITAMBÉ</v>
          </cell>
          <cell r="L2352" t="str">
            <v>MAURICIO</v>
          </cell>
          <cell r="M2352" t="str">
            <v>JOEL</v>
          </cell>
        </row>
        <row r="2353">
          <cell r="B2353">
            <v>5133664</v>
          </cell>
          <cell r="C2353" t="str">
            <v>PADEIRAO COMERCIO PROD PARA PANI LT</v>
          </cell>
          <cell r="D2353" t="str">
            <v>4001</v>
          </cell>
          <cell r="E2353" t="str">
            <v>0536</v>
          </cell>
          <cell r="F2353" t="str">
            <v>C5</v>
          </cell>
          <cell r="G2353" t="str">
            <v>PE</v>
          </cell>
          <cell r="H2353" t="str">
            <v>DISTRIBUIÇÃO</v>
          </cell>
          <cell r="I2353" t="str">
            <v>FOOD SERVICE</v>
          </cell>
          <cell r="J2353" t="str">
            <v>CLAUDIO JORGE</v>
          </cell>
          <cell r="K2353" t="str">
            <v>LACTALIS</v>
          </cell>
          <cell r="L2353" t="str">
            <v>RODRIGO</v>
          </cell>
          <cell r="M2353" t="str">
            <v>VAGO NORDESTE</v>
          </cell>
        </row>
        <row r="2354">
          <cell r="B2354">
            <v>5353757</v>
          </cell>
          <cell r="C2354" t="str">
            <v>GIOVANA G RONDON E SILVA 48468438820</v>
          </cell>
          <cell r="D2354" t="str">
            <v>7001</v>
          </cell>
          <cell r="E2354" t="str">
            <v>0749</v>
          </cell>
          <cell r="F2354" t="str">
            <v>C5</v>
          </cell>
          <cell r="G2354" t="str">
            <v>SP</v>
          </cell>
          <cell r="H2354" t="str">
            <v>DISTRIBUIÇÃO</v>
          </cell>
          <cell r="I2354" t="str">
            <v>FOOD SERVICE</v>
          </cell>
          <cell r="J2354" t="str">
            <v>FLAC 5</v>
          </cell>
          <cell r="K2354" t="str">
            <v>LACTALIS</v>
          </cell>
          <cell r="L2354" t="str">
            <v>RODRIGO</v>
          </cell>
          <cell r="M2354" t="str">
            <v>ALEXANDRO</v>
          </cell>
        </row>
        <row r="2355">
          <cell r="B2355">
            <v>5198408</v>
          </cell>
          <cell r="C2355" t="str">
            <v>MARIA ISABEL TOMICH DUARTE 0150</v>
          </cell>
          <cell r="D2355" t="str">
            <v>3001</v>
          </cell>
          <cell r="E2355" t="str">
            <v>0028</v>
          </cell>
          <cell r="F2355" t="str">
            <v>C1</v>
          </cell>
          <cell r="G2355" t="str">
            <v>MG</v>
          </cell>
          <cell r="H2355" t="str">
            <v>INGREDIENTS</v>
          </cell>
          <cell r="I2355" t="str">
            <v>INGREDIENTS</v>
          </cell>
          <cell r="J2355" t="str">
            <v>HENRIQUE FERREIRA</v>
          </cell>
          <cell r="K2355" t="str">
            <v>ITAMBÉ</v>
          </cell>
          <cell r="L2355" t="str">
            <v>MAURICIO</v>
          </cell>
          <cell r="M2355" t="str">
            <v>JOEL</v>
          </cell>
        </row>
        <row r="2356">
          <cell r="B2356">
            <v>5330279</v>
          </cell>
          <cell r="C2356" t="str">
            <v>AUREA INDUSTRIA E COMERCIO LTDA</v>
          </cell>
          <cell r="D2356" t="str">
            <v>4001</v>
          </cell>
          <cell r="E2356" t="str">
            <v>0456</v>
          </cell>
          <cell r="F2356" t="str">
            <v>C1</v>
          </cell>
          <cell r="G2356" t="str">
            <v>SC</v>
          </cell>
          <cell r="H2356" t="str">
            <v>INGREDIENTS</v>
          </cell>
          <cell r="I2356" t="str">
            <v>INGREDIENTS</v>
          </cell>
          <cell r="J2356" t="str">
            <v>MARCELO RODRIGUES</v>
          </cell>
          <cell r="K2356" t="str">
            <v>LACTALIS</v>
          </cell>
          <cell r="L2356" t="str">
            <v>MAURICIO</v>
          </cell>
          <cell r="M2356" t="str">
            <v>MARCELO</v>
          </cell>
        </row>
        <row r="2357">
          <cell r="B2357">
            <v>5331461</v>
          </cell>
          <cell r="C2357" t="str">
            <v>TANGARA IMPORTADORA E EXPORTADO</v>
          </cell>
          <cell r="D2357" t="str">
            <v>4001</v>
          </cell>
          <cell r="E2357" t="str">
            <v>0546</v>
          </cell>
          <cell r="F2357" t="str">
            <v>C1</v>
          </cell>
          <cell r="G2357" t="str">
            <v>RS</v>
          </cell>
          <cell r="H2357" t="str">
            <v>INGREDIENTS</v>
          </cell>
          <cell r="I2357" t="str">
            <v>INGREDIENTS</v>
          </cell>
          <cell r="J2357" t="str">
            <v>MARCELO RODRIGUES</v>
          </cell>
          <cell r="K2357" t="str">
            <v>LACTALIS</v>
          </cell>
          <cell r="L2357" t="str">
            <v>MAURICIO</v>
          </cell>
          <cell r="M2357" t="str">
            <v>MARCELO</v>
          </cell>
        </row>
        <row r="2358">
          <cell r="B2358">
            <v>5350693</v>
          </cell>
          <cell r="C2358" t="str">
            <v>SPAZIO VERDE HOTEL LTDA</v>
          </cell>
          <cell r="D2358" t="str">
            <v>7001</v>
          </cell>
          <cell r="E2358" t="str">
            <v>0749</v>
          </cell>
          <cell r="F2358" t="str">
            <v>C5</v>
          </cell>
          <cell r="G2358" t="str">
            <v>SP</v>
          </cell>
          <cell r="H2358" t="str">
            <v>DISTRIBUIÇÃO</v>
          </cell>
          <cell r="I2358" t="str">
            <v>FOOD SERVICE</v>
          </cell>
          <cell r="J2358" t="str">
            <v>FLAC 7</v>
          </cell>
          <cell r="K2358" t="str">
            <v>LACTALIS</v>
          </cell>
          <cell r="L2358" t="str">
            <v>RODRIGO</v>
          </cell>
          <cell r="M2358" t="str">
            <v>ALEXANDRO</v>
          </cell>
        </row>
        <row r="2359">
          <cell r="B2359">
            <v>5353656</v>
          </cell>
          <cell r="C2359" t="str">
            <v>COSTA ALIMENTOS LTDA</v>
          </cell>
          <cell r="D2359" t="str">
            <v>7001</v>
          </cell>
          <cell r="E2359" t="str">
            <v>0749</v>
          </cell>
          <cell r="F2359" t="str">
            <v>C5</v>
          </cell>
          <cell r="G2359" t="str">
            <v>SP</v>
          </cell>
          <cell r="H2359" t="str">
            <v>DISTRIBUIÇÃO</v>
          </cell>
          <cell r="I2359" t="str">
            <v>FOOD SERVICE</v>
          </cell>
          <cell r="J2359" t="str">
            <v>FLAC 5</v>
          </cell>
          <cell r="K2359" t="str">
            <v>LACTALIS</v>
          </cell>
          <cell r="L2359" t="str">
            <v>RODRIGO</v>
          </cell>
          <cell r="M2359" t="str">
            <v>ALEXANDRO</v>
          </cell>
        </row>
        <row r="2360">
          <cell r="B2360">
            <v>5353769</v>
          </cell>
          <cell r="C2360" t="str">
            <v>TWF EMPORIO E CAFE LTDA</v>
          </cell>
          <cell r="D2360" t="str">
            <v>7001</v>
          </cell>
          <cell r="E2360" t="str">
            <v>0749</v>
          </cell>
          <cell r="F2360" t="str">
            <v>C5</v>
          </cell>
          <cell r="G2360" t="str">
            <v>SP</v>
          </cell>
          <cell r="H2360" t="str">
            <v>DISTRIBUIÇÃO</v>
          </cell>
          <cell r="I2360" t="str">
            <v>FOOD SERVICE</v>
          </cell>
          <cell r="J2360" t="str">
            <v>FLAC 6</v>
          </cell>
          <cell r="K2360" t="str">
            <v>LACTALIS</v>
          </cell>
          <cell r="L2360" t="str">
            <v>RODRIGO</v>
          </cell>
          <cell r="M2360" t="str">
            <v>ALEXANDRO</v>
          </cell>
        </row>
        <row r="2361">
          <cell r="B2361">
            <v>5353998</v>
          </cell>
          <cell r="C2361" t="str">
            <v>RESTAURANTE PIZZARIA E DISTRI A</v>
          </cell>
          <cell r="D2361" t="str">
            <v>7001</v>
          </cell>
          <cell r="E2361" t="str">
            <v>0749</v>
          </cell>
          <cell r="F2361" t="str">
            <v>C5</v>
          </cell>
          <cell r="G2361" t="str">
            <v>SP</v>
          </cell>
          <cell r="H2361" t="str">
            <v>DISTRIBUIÇÃO</v>
          </cell>
          <cell r="I2361" t="str">
            <v>FOOD SERVICE</v>
          </cell>
          <cell r="J2361" t="str">
            <v>FLAC 5</v>
          </cell>
          <cell r="K2361" t="str">
            <v>LACTALIS</v>
          </cell>
          <cell r="L2361" t="str">
            <v>RODRIGO</v>
          </cell>
          <cell r="M2361" t="str">
            <v>ALEXANDRO</v>
          </cell>
        </row>
        <row r="2362">
          <cell r="B2362">
            <v>5250457</v>
          </cell>
          <cell r="C2362" t="str">
            <v>CARLOTA ALIMENTOS LTDA</v>
          </cell>
          <cell r="D2362" t="str">
            <v>7001</v>
          </cell>
          <cell r="E2362" t="str">
            <v>0749</v>
          </cell>
          <cell r="F2362" t="str">
            <v>C5</v>
          </cell>
          <cell r="G2362" t="str">
            <v>SP</v>
          </cell>
          <cell r="H2362" t="str">
            <v>DISTRIBUIÇÃO</v>
          </cell>
          <cell r="I2362" t="str">
            <v>FOOD SERVICE</v>
          </cell>
          <cell r="J2362" t="str">
            <v>FLAC 6</v>
          </cell>
          <cell r="K2362" t="str">
            <v>LACTALIS</v>
          </cell>
          <cell r="L2362" t="str">
            <v>RODRIGO</v>
          </cell>
          <cell r="M2362" t="str">
            <v>ALEXANDRO</v>
          </cell>
        </row>
        <row r="2363">
          <cell r="B2363">
            <v>5308405</v>
          </cell>
          <cell r="C2363" t="str">
            <v>EGP COMERCIO DE ALIMENTOS LTDA</v>
          </cell>
          <cell r="D2363" t="str">
            <v>4001</v>
          </cell>
          <cell r="E2363" t="str">
            <v>0546</v>
          </cell>
          <cell r="F2363" t="str">
            <v>C1</v>
          </cell>
          <cell r="G2363" t="str">
            <v>RS</v>
          </cell>
          <cell r="H2363" t="str">
            <v>INGREDIENTS</v>
          </cell>
          <cell r="I2363" t="str">
            <v>INGREDIENTS</v>
          </cell>
          <cell r="J2363" t="str">
            <v>JOEL ELEOTÉRIO</v>
          </cell>
          <cell r="K2363" t="str">
            <v>LACTALIS</v>
          </cell>
          <cell r="L2363" t="str">
            <v>MAURICIO</v>
          </cell>
          <cell r="M2363" t="str">
            <v>JOEL</v>
          </cell>
        </row>
        <row r="2364">
          <cell r="B2364">
            <v>5341743</v>
          </cell>
          <cell r="C2364" t="str">
            <v>MAURO SIQUEIRA DE MOURA JUNIOR</v>
          </cell>
          <cell r="D2364" t="str">
            <v>4001</v>
          </cell>
          <cell r="E2364" t="str">
            <v>0437</v>
          </cell>
          <cell r="F2364" t="str">
            <v>C1</v>
          </cell>
          <cell r="G2364" t="str">
            <v>SP</v>
          </cell>
          <cell r="H2364" t="str">
            <v>INGREDIENTS</v>
          </cell>
          <cell r="I2364" t="str">
            <v>INGREDIENTS</v>
          </cell>
          <cell r="J2364" t="str">
            <v>JOEL ELEOTÉRIO</v>
          </cell>
          <cell r="K2364" t="str">
            <v>LACTALIS</v>
          </cell>
          <cell r="L2364" t="str">
            <v>MAURICIO</v>
          </cell>
          <cell r="M2364" t="str">
            <v>JOEL</v>
          </cell>
        </row>
        <row r="2365">
          <cell r="B2365">
            <v>5349798</v>
          </cell>
          <cell r="C2365" t="str">
            <v>41224939 EDJACKSON DA CRUZ DE C</v>
          </cell>
          <cell r="D2365" t="str">
            <v>7001</v>
          </cell>
          <cell r="E2365" t="str">
            <v>0749</v>
          </cell>
          <cell r="F2365" t="str">
            <v>C5</v>
          </cell>
          <cell r="G2365" t="str">
            <v>SP</v>
          </cell>
          <cell r="H2365" t="str">
            <v>DISTRIBUIÇÃO</v>
          </cell>
          <cell r="I2365" t="str">
            <v>FOOD SERVICE</v>
          </cell>
          <cell r="J2365" t="str">
            <v>FLAC 5</v>
          </cell>
          <cell r="K2365" t="str">
            <v>LACTALIS</v>
          </cell>
          <cell r="L2365" t="str">
            <v>RODRIGO</v>
          </cell>
          <cell r="M2365" t="str">
            <v>ALEXANDRO</v>
          </cell>
        </row>
        <row r="2366">
          <cell r="B2366">
            <v>5353685</v>
          </cell>
          <cell r="C2366" t="str">
            <v>GANTE COMERCIO DE DOCES LTDA</v>
          </cell>
          <cell r="D2366" t="str">
            <v>6001</v>
          </cell>
          <cell r="E2366" t="str">
            <v>6028</v>
          </cell>
          <cell r="F2366" t="str">
            <v>C1</v>
          </cell>
          <cell r="G2366" t="str">
            <v>SP</v>
          </cell>
          <cell r="H2366" t="str">
            <v>INGREDIENTS</v>
          </cell>
          <cell r="I2366" t="str">
            <v>INGREDIENTS</v>
          </cell>
          <cell r="J2366" t="str">
            <v>HENRIQUE FERREIRA</v>
          </cell>
          <cell r="K2366" t="str">
            <v>ITAMBÉ</v>
          </cell>
          <cell r="L2366" t="str">
            <v>MAURICIO</v>
          </cell>
          <cell r="M2366" t="str">
            <v>JOEL</v>
          </cell>
        </row>
        <row r="2367">
          <cell r="B2367">
            <v>5143288</v>
          </cell>
          <cell r="C2367" t="str">
            <v>KERRY DO BRASIL LTDA</v>
          </cell>
          <cell r="D2367" t="str">
            <v>4001</v>
          </cell>
          <cell r="E2367" t="str">
            <v>0458</v>
          </cell>
          <cell r="F2367" t="str">
            <v>C1</v>
          </cell>
          <cell r="G2367" t="str">
            <v>MG</v>
          </cell>
          <cell r="H2367" t="str">
            <v>INGREDIENTS</v>
          </cell>
          <cell r="I2367" t="str">
            <v>INGREDIENTS</v>
          </cell>
          <cell r="J2367" t="str">
            <v>JOEL ELEOTÉRIO</v>
          </cell>
          <cell r="K2367" t="str">
            <v>LACTALIS</v>
          </cell>
          <cell r="L2367" t="str">
            <v>MAURICIO</v>
          </cell>
          <cell r="M2367" t="str">
            <v>JOEL</v>
          </cell>
        </row>
        <row r="2368">
          <cell r="B2368">
            <v>5328019</v>
          </cell>
          <cell r="C2368" t="str">
            <v>CROISSANTS DE FRA COM DE MASSAS</v>
          </cell>
          <cell r="D2368" t="str">
            <v>4001</v>
          </cell>
          <cell r="E2368" t="str">
            <v>0455</v>
          </cell>
          <cell r="F2368" t="str">
            <v>C1</v>
          </cell>
          <cell r="G2368" t="str">
            <v>SC</v>
          </cell>
          <cell r="H2368" t="str">
            <v>INGREDIENTS</v>
          </cell>
          <cell r="I2368" t="str">
            <v>INGREDIENTS</v>
          </cell>
          <cell r="J2368" t="str">
            <v>MARCELO RODRIGUES</v>
          </cell>
          <cell r="K2368" t="str">
            <v>LACTALIS</v>
          </cell>
          <cell r="L2368" t="str">
            <v>MAURICIO</v>
          </cell>
          <cell r="M2368" t="str">
            <v>MARCELO</v>
          </cell>
        </row>
        <row r="2369">
          <cell r="B2369">
            <v>5335320</v>
          </cell>
          <cell r="C2369" t="str">
            <v>RA CATERING DO BRASIL LTDA</v>
          </cell>
          <cell r="D2369" t="str">
            <v>6001</v>
          </cell>
          <cell r="E2369" t="str">
            <v>6125</v>
          </cell>
          <cell r="F2369" t="str">
            <v>C1</v>
          </cell>
          <cell r="G2369" t="str">
            <v>SP</v>
          </cell>
          <cell r="H2369" t="str">
            <v>QSR</v>
          </cell>
          <cell r="I2369" t="str">
            <v>FOOD SERVICE</v>
          </cell>
          <cell r="J2369" t="str">
            <v>ANA MENIQUETE</v>
          </cell>
          <cell r="K2369" t="str">
            <v>ITAMBÉ</v>
          </cell>
          <cell r="L2369" t="str">
            <v>PEDRO</v>
          </cell>
          <cell r="M2369" t="str">
            <v>ANA MENIQUETE</v>
          </cell>
        </row>
        <row r="2370">
          <cell r="B2370">
            <v>5351026</v>
          </cell>
          <cell r="C2370" t="str">
            <v>SWEET SHOT CONFEITARIA GOURMET</v>
          </cell>
          <cell r="D2370" t="str">
            <v>7001</v>
          </cell>
          <cell r="E2370" t="str">
            <v>0749</v>
          </cell>
          <cell r="F2370" t="str">
            <v>C5</v>
          </cell>
          <cell r="G2370" t="str">
            <v>SP</v>
          </cell>
          <cell r="H2370" t="str">
            <v>DISTRIBUIÇÃO</v>
          </cell>
          <cell r="I2370" t="str">
            <v>FOOD SERVICE</v>
          </cell>
          <cell r="J2370" t="str">
            <v>FLAC 6</v>
          </cell>
          <cell r="K2370" t="str">
            <v>LACTALIS</v>
          </cell>
          <cell r="L2370" t="str">
            <v>RODRIGO</v>
          </cell>
          <cell r="M2370" t="str">
            <v>ALEXANDRO</v>
          </cell>
        </row>
        <row r="2371">
          <cell r="B2371">
            <v>5353716</v>
          </cell>
          <cell r="C2371" t="str">
            <v>JON PIL LEE 04161454694</v>
          </cell>
          <cell r="D2371" t="str">
            <v>7001</v>
          </cell>
          <cell r="E2371" t="str">
            <v>0749</v>
          </cell>
          <cell r="F2371" t="str">
            <v>C5</v>
          </cell>
          <cell r="G2371" t="str">
            <v>SP</v>
          </cell>
          <cell r="H2371" t="str">
            <v>DISTRIBUIÇÃO</v>
          </cell>
          <cell r="I2371" t="str">
            <v>FOOD SERVICE</v>
          </cell>
          <cell r="J2371" t="str">
            <v>FLAC 5</v>
          </cell>
          <cell r="K2371" t="str">
            <v>LACTALIS</v>
          </cell>
          <cell r="L2371" t="str">
            <v>RODRIGO</v>
          </cell>
          <cell r="M2371" t="str">
            <v>ALEXANDRO</v>
          </cell>
        </row>
        <row r="2372">
          <cell r="B2372">
            <v>5335320</v>
          </cell>
          <cell r="C2372" t="str">
            <v>RA CATERING DO BRASIL LTDA</v>
          </cell>
          <cell r="D2372" t="str">
            <v>7001</v>
          </cell>
          <cell r="E2372" t="str">
            <v>0722</v>
          </cell>
          <cell r="F2372" t="str">
            <v>C1</v>
          </cell>
          <cell r="G2372" t="str">
            <v>SP</v>
          </cell>
          <cell r="H2372" t="str">
            <v>QSR</v>
          </cell>
          <cell r="I2372" t="str">
            <v>FOOD SERVICE</v>
          </cell>
          <cell r="J2372" t="str">
            <v>ANA MENIQUETE</v>
          </cell>
          <cell r="K2372" t="str">
            <v>LACTALIS</v>
          </cell>
          <cell r="L2372" t="str">
            <v>PEDRO</v>
          </cell>
          <cell r="M2372" t="str">
            <v>ANA MENIQUETE</v>
          </cell>
        </row>
        <row r="2373">
          <cell r="B2373">
            <v>5235618</v>
          </cell>
          <cell r="C2373" t="str">
            <v>GIRO SERVICOS E LATICINIOS LTDA</v>
          </cell>
          <cell r="D2373" t="str">
            <v>4001</v>
          </cell>
          <cell r="E2373" t="str">
            <v>0437</v>
          </cell>
          <cell r="F2373" t="str">
            <v>C1</v>
          </cell>
          <cell r="G2373" t="str">
            <v>SP</v>
          </cell>
          <cell r="H2373" t="str">
            <v>INGREDIENTS</v>
          </cell>
          <cell r="I2373" t="str">
            <v>INGREDIENTS</v>
          </cell>
          <cell r="J2373" t="str">
            <v>MARCELO RODRIGUES</v>
          </cell>
          <cell r="K2373" t="str">
            <v>LACTALIS</v>
          </cell>
          <cell r="L2373" t="str">
            <v>MAURICIO</v>
          </cell>
          <cell r="M2373" t="str">
            <v>MARCELO</v>
          </cell>
        </row>
        <row r="2374">
          <cell r="B2374">
            <v>5314037</v>
          </cell>
          <cell r="C2374" t="str">
            <v>Q ALIMENTARE COMERC IMPORT E EX</v>
          </cell>
          <cell r="D2374" t="str">
            <v>4001</v>
          </cell>
          <cell r="E2374" t="str">
            <v>0437</v>
          </cell>
          <cell r="F2374" t="str">
            <v>C1</v>
          </cell>
          <cell r="G2374" t="str">
            <v>SP</v>
          </cell>
          <cell r="H2374" t="str">
            <v>INGREDIENTS</v>
          </cell>
          <cell r="I2374" t="str">
            <v>INGREDIENTS</v>
          </cell>
          <cell r="J2374" t="str">
            <v>MARCELO RODRIGUES</v>
          </cell>
          <cell r="K2374" t="str">
            <v>LACTALIS</v>
          </cell>
          <cell r="L2374" t="str">
            <v>MAURICIO</v>
          </cell>
          <cell r="M2374" t="str">
            <v>MARCELO</v>
          </cell>
        </row>
        <row r="2375">
          <cell r="B2375">
            <v>5168941</v>
          </cell>
          <cell r="C2375" t="str">
            <v>GANACHE DOCERIA LTDA</v>
          </cell>
          <cell r="D2375" t="str">
            <v>6001</v>
          </cell>
          <cell r="E2375" t="str">
            <v>6127</v>
          </cell>
          <cell r="F2375" t="str">
            <v>C1</v>
          </cell>
          <cell r="G2375" t="str">
            <v>BA</v>
          </cell>
          <cell r="H2375" t="str">
            <v>DISTRIBUIÇÃO</v>
          </cell>
          <cell r="I2375" t="str">
            <v>FOOD SERVICE</v>
          </cell>
          <cell r="J2375" t="str">
            <v xml:space="preserve">KARIS FOOD / LUIZ </v>
          </cell>
          <cell r="K2375" t="str">
            <v>ITAMBÉ</v>
          </cell>
          <cell r="L2375" t="str">
            <v>RODRIGO</v>
          </cell>
          <cell r="M2375" t="str">
            <v>VAGO NORDESTE</v>
          </cell>
        </row>
        <row r="2376">
          <cell r="B2376">
            <v>5204939</v>
          </cell>
          <cell r="C2376" t="str">
            <v>UNICA COMERCIO E DISTRIBUICAO L</v>
          </cell>
          <cell r="D2376" t="str">
            <v>6001</v>
          </cell>
          <cell r="E2376" t="str">
            <v>6125</v>
          </cell>
          <cell r="F2376" t="str">
            <v>C1</v>
          </cell>
          <cell r="G2376" t="str">
            <v>SP</v>
          </cell>
          <cell r="H2376" t="str">
            <v>QSR</v>
          </cell>
          <cell r="I2376" t="str">
            <v>FOOD SERVICE</v>
          </cell>
          <cell r="J2376" t="str">
            <v>AMANDA CARVALHO</v>
          </cell>
          <cell r="K2376" t="str">
            <v>ITAMBÉ</v>
          </cell>
          <cell r="L2376" t="str">
            <v>PEDRO</v>
          </cell>
          <cell r="M2376" t="str">
            <v>AMANDA</v>
          </cell>
        </row>
        <row r="2377">
          <cell r="B2377">
            <v>5280111</v>
          </cell>
          <cell r="C2377" t="str">
            <v>FEDERACAO ESPIRITA DO ESTADO DO</v>
          </cell>
          <cell r="D2377" t="str">
            <v>7001</v>
          </cell>
          <cell r="E2377" t="str">
            <v>0749</v>
          </cell>
          <cell r="F2377" t="str">
            <v>C5</v>
          </cell>
          <cell r="G2377" t="str">
            <v>SP</v>
          </cell>
          <cell r="H2377" t="str">
            <v>DISTRIBUIÇÃO</v>
          </cell>
          <cell r="I2377" t="str">
            <v>FOOD SERVICE</v>
          </cell>
          <cell r="J2377" t="str">
            <v>FLAC 5</v>
          </cell>
          <cell r="K2377" t="str">
            <v>LACTALIS</v>
          </cell>
          <cell r="L2377" t="str">
            <v>RODRIGO</v>
          </cell>
          <cell r="M2377" t="str">
            <v>ALEXANDRO</v>
          </cell>
        </row>
        <row r="2378">
          <cell r="B2378">
            <v>5352581</v>
          </cell>
          <cell r="C2378" t="str">
            <v>CRP FARIA LIMA 77 COMERCIO DE A</v>
          </cell>
          <cell r="D2378" t="str">
            <v>7001</v>
          </cell>
          <cell r="E2378" t="str">
            <v>0749</v>
          </cell>
          <cell r="F2378" t="str">
            <v>C5</v>
          </cell>
          <cell r="G2378" t="str">
            <v>SP</v>
          </cell>
          <cell r="H2378" t="str">
            <v>DISTRIBUIÇÃO</v>
          </cell>
          <cell r="I2378" t="str">
            <v>FOOD SERVICE</v>
          </cell>
          <cell r="J2378" t="str">
            <v>FLAC 5</v>
          </cell>
          <cell r="K2378" t="str">
            <v>LACTALIS</v>
          </cell>
          <cell r="L2378" t="str">
            <v>RODRIGO</v>
          </cell>
          <cell r="M2378" t="str">
            <v>ALEXANDRO</v>
          </cell>
        </row>
        <row r="2379">
          <cell r="B2379">
            <v>5354129</v>
          </cell>
          <cell r="C2379" t="str">
            <v>OBRAS SOCIAIS N SENHORA AQUIROP</v>
          </cell>
          <cell r="D2379" t="str">
            <v>7001</v>
          </cell>
          <cell r="E2379" t="str">
            <v>0749</v>
          </cell>
          <cell r="F2379" t="str">
            <v>C5</v>
          </cell>
          <cell r="G2379" t="str">
            <v>SP</v>
          </cell>
          <cell r="H2379" t="str">
            <v>DISTRIBUIÇÃO</v>
          </cell>
          <cell r="I2379" t="str">
            <v>FOOD SERVICE</v>
          </cell>
          <cell r="J2379" t="str">
            <v>FLAC 5</v>
          </cell>
          <cell r="K2379" t="str">
            <v>LACTALIS</v>
          </cell>
          <cell r="L2379" t="str">
            <v>RODRIGO</v>
          </cell>
          <cell r="M2379" t="str">
            <v>ALEXANDRO</v>
          </cell>
        </row>
        <row r="2380">
          <cell r="B2380">
            <v>5354300</v>
          </cell>
          <cell r="C2380" t="str">
            <v>MATHEUS CASTILHO DOS SANTOS LTD</v>
          </cell>
          <cell r="D2380" t="str">
            <v>3001</v>
          </cell>
          <cell r="E2380" t="str">
            <v>0028</v>
          </cell>
          <cell r="F2380" t="str">
            <v>C1</v>
          </cell>
          <cell r="G2380" t="str">
            <v>PR</v>
          </cell>
          <cell r="H2380" t="str">
            <v>INGREDIENTS</v>
          </cell>
          <cell r="I2380" t="str">
            <v>INGREDIENTS</v>
          </cell>
          <cell r="J2380" t="str">
            <v>MARCELO RODRIGUES</v>
          </cell>
          <cell r="K2380" t="str">
            <v>ITAMBÉ</v>
          </cell>
          <cell r="L2380" t="str">
            <v>MAURICIO</v>
          </cell>
          <cell r="M2380" t="str">
            <v>MARCELO</v>
          </cell>
        </row>
        <row r="2381">
          <cell r="B2381">
            <v>5028647</v>
          </cell>
          <cell r="C2381" t="str">
            <v>LAURO DELEVEDOVE</v>
          </cell>
          <cell r="D2381" t="str">
            <v>6001</v>
          </cell>
          <cell r="E2381" t="str">
            <v>0169</v>
          </cell>
          <cell r="F2381" t="str">
            <v>C1</v>
          </cell>
          <cell r="G2381" t="str">
            <v>ES</v>
          </cell>
          <cell r="H2381" t="str">
            <v>DISTRIBUIÇÃO</v>
          </cell>
          <cell r="I2381" t="str">
            <v>FOOD SERVICE</v>
          </cell>
          <cell r="J2381" t="str">
            <v>MARCELO DUARTE</v>
          </cell>
          <cell r="K2381" t="str">
            <v>ITAMBÉ</v>
          </cell>
          <cell r="L2381" t="str">
            <v>RODRIGO</v>
          </cell>
          <cell r="M2381" t="str">
            <v>JESSICA</v>
          </cell>
        </row>
        <row r="2382">
          <cell r="B2382">
            <v>5033323</v>
          </cell>
          <cell r="C2382" t="str">
            <v>SORVESHOPES COMERCIAL LTDA</v>
          </cell>
          <cell r="D2382" t="str">
            <v>3001</v>
          </cell>
          <cell r="E2382" t="str">
            <v>6028</v>
          </cell>
          <cell r="F2382" t="str">
            <v>C1</v>
          </cell>
          <cell r="G2382" t="str">
            <v>ES</v>
          </cell>
          <cell r="H2382" t="str">
            <v>DISTRIBUIÇÃO</v>
          </cell>
          <cell r="I2382" t="str">
            <v>FOOD SERVICE</v>
          </cell>
          <cell r="J2382" t="str">
            <v>MARCELO DUARTE</v>
          </cell>
          <cell r="K2382" t="str">
            <v>ITAMBÉ</v>
          </cell>
          <cell r="L2382" t="str">
            <v>RODRIGO</v>
          </cell>
          <cell r="M2382" t="str">
            <v>JESSICA</v>
          </cell>
        </row>
        <row r="2383">
          <cell r="B2383">
            <v>5069172</v>
          </cell>
          <cell r="C2383" t="str">
            <v>SANNA COMERCIO DE ALIMENTOS LTD</v>
          </cell>
          <cell r="D2383" t="str">
            <v>6001</v>
          </cell>
          <cell r="E2383" t="str">
            <v>0126</v>
          </cell>
          <cell r="F2383" t="str">
            <v>C1</v>
          </cell>
          <cell r="G2383" t="str">
            <v>SP</v>
          </cell>
          <cell r="H2383" t="str">
            <v>DISTRIBUIÇÃO</v>
          </cell>
          <cell r="I2383" t="str">
            <v>FOOD SERVICE</v>
          </cell>
          <cell r="J2383" t="str">
            <v>EMMANUEL FRANCISCO</v>
          </cell>
          <cell r="K2383" t="str">
            <v>ITAMBÉ</v>
          </cell>
          <cell r="L2383" t="str">
            <v>RODRIGO</v>
          </cell>
          <cell r="M2383" t="str">
            <v>VAGO SP - INTERIOR</v>
          </cell>
        </row>
        <row r="2384">
          <cell r="B2384">
            <v>5108984</v>
          </cell>
          <cell r="C2384" t="str">
            <v>IRMAOS BENASSI PROD E DIST DE F</v>
          </cell>
          <cell r="D2384" t="str">
            <v>6001</v>
          </cell>
          <cell r="E2384" t="str">
            <v>0169</v>
          </cell>
          <cell r="F2384" t="str">
            <v>C1</v>
          </cell>
          <cell r="G2384" t="str">
            <v>RJ</v>
          </cell>
          <cell r="H2384" t="str">
            <v>DISTRIBUIÇÃO</v>
          </cell>
          <cell r="I2384" t="str">
            <v>FOOD SERVICE</v>
          </cell>
          <cell r="J2384" t="str">
            <v>LUCIANA MARTINS</v>
          </cell>
          <cell r="K2384" t="str">
            <v>ITAMBÉ</v>
          </cell>
          <cell r="L2384" t="str">
            <v>RODRIGO</v>
          </cell>
          <cell r="M2384" t="str">
            <v>JESSICA</v>
          </cell>
        </row>
        <row r="2385">
          <cell r="B2385">
            <v>5109334</v>
          </cell>
          <cell r="C2385" t="str">
            <v>CENTRAL OSASCO DIST ALIM E BEBI</v>
          </cell>
          <cell r="D2385" t="str">
            <v>3001</v>
          </cell>
          <cell r="E2385" t="str">
            <v>6125</v>
          </cell>
          <cell r="F2385" t="str">
            <v>C1</v>
          </cell>
          <cell r="G2385" t="str">
            <v>SP</v>
          </cell>
          <cell r="H2385" t="str">
            <v>INGREDIENTS</v>
          </cell>
          <cell r="I2385" t="str">
            <v>INGREDIENTS</v>
          </cell>
          <cell r="J2385" t="str">
            <v>DUAS RODAS</v>
          </cell>
          <cell r="K2385" t="str">
            <v>ITAMBÉ</v>
          </cell>
          <cell r="L2385" t="str">
            <v>MAURICIO</v>
          </cell>
          <cell r="M2385" t="str">
            <v>TATIANA NITTA</v>
          </cell>
        </row>
        <row r="2386">
          <cell r="B2386">
            <v>5118035</v>
          </cell>
          <cell r="C2386" t="str">
            <v>A B GUIMARAES BRANDAO VILAR</v>
          </cell>
          <cell r="D2386" t="str">
            <v>6001</v>
          </cell>
          <cell r="E2386" t="str">
            <v>0127</v>
          </cell>
          <cell r="F2386" t="str">
            <v>C1</v>
          </cell>
          <cell r="G2386" t="str">
            <v>BA</v>
          </cell>
          <cell r="H2386" t="str">
            <v>DISTRIBUIÇÃO</v>
          </cell>
          <cell r="I2386" t="str">
            <v>FOOD SERVICE</v>
          </cell>
          <cell r="J2386" t="str">
            <v xml:space="preserve">KARIS FOOD / LUIZ </v>
          </cell>
          <cell r="K2386" t="str">
            <v>ITAMBÉ</v>
          </cell>
          <cell r="L2386" t="str">
            <v>RODRIGO</v>
          </cell>
          <cell r="M2386" t="str">
            <v>VAGO NORDESTE</v>
          </cell>
        </row>
        <row r="2387">
          <cell r="B2387">
            <v>5126977</v>
          </cell>
          <cell r="C2387" t="str">
            <v>COMERCIO DE ALIMENTOS NOVO MEXI</v>
          </cell>
          <cell r="D2387" t="str">
            <v>6001</v>
          </cell>
          <cell r="E2387" t="str">
            <v>0169</v>
          </cell>
          <cell r="F2387" t="str">
            <v>C1</v>
          </cell>
          <cell r="G2387" t="str">
            <v>ES</v>
          </cell>
          <cell r="H2387" t="str">
            <v>DISTRIBUIÇÃO</v>
          </cell>
          <cell r="I2387" t="str">
            <v>FOOD SERVICE</v>
          </cell>
          <cell r="J2387" t="str">
            <v>MARCELO DUARTE</v>
          </cell>
          <cell r="K2387" t="str">
            <v>ITAMBÉ</v>
          </cell>
          <cell r="L2387" t="str">
            <v>RODRIGO</v>
          </cell>
          <cell r="M2387" t="str">
            <v>JESSICA</v>
          </cell>
        </row>
        <row r="2388">
          <cell r="B2388">
            <v>5139324</v>
          </cell>
          <cell r="C2388" t="str">
            <v>H P EMABALAGENS LTDA ME</v>
          </cell>
          <cell r="D2388" t="str">
            <v>6001</v>
          </cell>
          <cell r="E2388" t="str">
            <v>0169</v>
          </cell>
          <cell r="F2388" t="str">
            <v>C1</v>
          </cell>
          <cell r="G2388" t="str">
            <v>ES</v>
          </cell>
          <cell r="H2388" t="str">
            <v>INGREDIENTS</v>
          </cell>
          <cell r="I2388" t="str">
            <v>INGREDIENTS</v>
          </cell>
          <cell r="J2388" t="str">
            <v>DUAS RODAS</v>
          </cell>
          <cell r="K2388" t="str">
            <v>ITAMBÉ</v>
          </cell>
          <cell r="L2388" t="str">
            <v>MAURICIO</v>
          </cell>
          <cell r="M2388" t="str">
            <v>TATIANA NITTA</v>
          </cell>
        </row>
        <row r="2389">
          <cell r="B2389">
            <v>5141759</v>
          </cell>
          <cell r="C2389" t="str">
            <v>V C F BOM DOCE LTDA</v>
          </cell>
          <cell r="D2389" t="str">
            <v>6001</v>
          </cell>
          <cell r="E2389" t="str">
            <v>0169</v>
          </cell>
          <cell r="F2389" t="str">
            <v>C1</v>
          </cell>
          <cell r="G2389" t="str">
            <v>ES</v>
          </cell>
          <cell r="H2389" t="str">
            <v>DISTRIBUIÇÃO</v>
          </cell>
          <cell r="I2389" t="str">
            <v>FOOD SERVICE</v>
          </cell>
          <cell r="J2389" t="str">
            <v>MARCELO DUARTE</v>
          </cell>
          <cell r="K2389" t="str">
            <v>ITAMBÉ</v>
          </cell>
          <cell r="L2389" t="str">
            <v>RODRIGO</v>
          </cell>
          <cell r="M2389" t="str">
            <v>JESSICA</v>
          </cell>
        </row>
        <row r="2390">
          <cell r="B2390">
            <v>5165963</v>
          </cell>
          <cell r="C2390" t="str">
            <v>SORVEMIX COMERCIO DE ALIM LTDA</v>
          </cell>
          <cell r="D2390" t="str">
            <v>3001</v>
          </cell>
          <cell r="E2390" t="str">
            <v>6028</v>
          </cell>
          <cell r="F2390" t="str">
            <v>C1</v>
          </cell>
          <cell r="G2390" t="str">
            <v>SP</v>
          </cell>
          <cell r="H2390" t="str">
            <v>INGREDIENTS</v>
          </cell>
          <cell r="I2390" t="str">
            <v>INGREDIENTS</v>
          </cell>
          <cell r="J2390" t="str">
            <v>DUAS RODAS</v>
          </cell>
          <cell r="K2390" t="str">
            <v>ITAMBÉ</v>
          </cell>
          <cell r="L2390" t="str">
            <v>MAURICIO</v>
          </cell>
          <cell r="M2390" t="str">
            <v>TATIANA NITTA</v>
          </cell>
        </row>
        <row r="2391">
          <cell r="B2391">
            <v>5166253</v>
          </cell>
          <cell r="C2391" t="str">
            <v>AGRANA FRUIT BRASIL IND COM IMP</v>
          </cell>
          <cell r="D2391" t="str">
            <v>6001</v>
          </cell>
          <cell r="E2391" t="str">
            <v>0125</v>
          </cell>
          <cell r="F2391" t="str">
            <v>C1</v>
          </cell>
          <cell r="G2391" t="str">
            <v>SP</v>
          </cell>
          <cell r="H2391" t="str">
            <v>INGREDIENTS</v>
          </cell>
          <cell r="I2391" t="str">
            <v>INGREDIENTS</v>
          </cell>
          <cell r="J2391" t="str">
            <v>HENRIQUE FERREIRA</v>
          </cell>
          <cell r="K2391" t="str">
            <v>ITAMBÉ</v>
          </cell>
          <cell r="L2391" t="str">
            <v>MAURICIO</v>
          </cell>
          <cell r="M2391" t="str">
            <v>JOEL</v>
          </cell>
        </row>
        <row r="2392">
          <cell r="B2392">
            <v>5171400</v>
          </cell>
          <cell r="C2392" t="str">
            <v>PANIBRASIL MASSAS CONGELADAS LT</v>
          </cell>
          <cell r="D2392" t="str">
            <v>6001</v>
          </cell>
          <cell r="E2392" t="str">
            <v>0125</v>
          </cell>
          <cell r="F2392" t="str">
            <v>C1</v>
          </cell>
          <cell r="G2392" t="str">
            <v>SP</v>
          </cell>
          <cell r="H2392" t="str">
            <v>INGREDIENTS</v>
          </cell>
          <cell r="I2392" t="str">
            <v>INGREDIENTS</v>
          </cell>
          <cell r="J2392" t="str">
            <v>HENRIQUE FERREIRA</v>
          </cell>
          <cell r="K2392" t="str">
            <v>ITAMBÉ</v>
          </cell>
          <cell r="L2392" t="str">
            <v>MAURICIO</v>
          </cell>
          <cell r="M2392" t="str">
            <v>JOEL</v>
          </cell>
        </row>
        <row r="2393">
          <cell r="B2393">
            <v>5187333</v>
          </cell>
          <cell r="C2393" t="str">
            <v>MONTE CARLO COMERCIO DE ALIMENT</v>
          </cell>
          <cell r="D2393" t="str">
            <v>6001</v>
          </cell>
          <cell r="E2393" t="str">
            <v>0127</v>
          </cell>
          <cell r="F2393" t="str">
            <v>C1</v>
          </cell>
          <cell r="G2393" t="str">
            <v>CE</v>
          </cell>
          <cell r="H2393" t="str">
            <v>DISTRIBUIÇÃO</v>
          </cell>
          <cell r="I2393" t="str">
            <v>FOOD SERVICE</v>
          </cell>
          <cell r="J2393" t="str">
            <v>WH FOOD SERVICE CE</v>
          </cell>
          <cell r="K2393" t="str">
            <v>ITAMBÉ</v>
          </cell>
          <cell r="L2393" t="str">
            <v>RODRIGO</v>
          </cell>
          <cell r="M2393" t="str">
            <v>VAGO NORDESTE</v>
          </cell>
        </row>
        <row r="2394">
          <cell r="B2394">
            <v>5198698</v>
          </cell>
          <cell r="C2394" t="str">
            <v>PANDURATA ALIMENTOS LTDA</v>
          </cell>
          <cell r="D2394" t="str">
            <v>7001</v>
          </cell>
          <cell r="E2394" t="str">
            <v>0722</v>
          </cell>
          <cell r="F2394" t="str">
            <v>C1</v>
          </cell>
          <cell r="G2394" t="str">
            <v>SP</v>
          </cell>
          <cell r="H2394" t="str">
            <v>INGREDIENTS</v>
          </cell>
          <cell r="I2394" t="str">
            <v>INGREDIENTS</v>
          </cell>
          <cell r="J2394" t="str">
            <v>JOEL ELEOTÉRIO</v>
          </cell>
          <cell r="K2394" t="str">
            <v>LACTALIS</v>
          </cell>
          <cell r="L2394" t="str">
            <v>MAURICIO</v>
          </cell>
          <cell r="M2394" t="str">
            <v>JOEL</v>
          </cell>
        </row>
        <row r="2395">
          <cell r="B2395">
            <v>5200068</v>
          </cell>
          <cell r="C2395" t="str">
            <v>GULA COM DE REF E BEB LTDA</v>
          </cell>
          <cell r="D2395" t="str">
            <v>3001</v>
          </cell>
          <cell r="E2395" t="str">
            <v>6127</v>
          </cell>
          <cell r="F2395" t="str">
            <v>C1</v>
          </cell>
          <cell r="G2395" t="str">
            <v>CE</v>
          </cell>
          <cell r="H2395" t="str">
            <v>DISTRIBUIÇÃO</v>
          </cell>
          <cell r="I2395" t="str">
            <v>FOOD SERVICE</v>
          </cell>
          <cell r="J2395" t="str">
            <v>WH FOOD SERVICE CE</v>
          </cell>
          <cell r="K2395" t="str">
            <v>ITAMBÉ</v>
          </cell>
          <cell r="L2395" t="str">
            <v>RODRIGO</v>
          </cell>
          <cell r="M2395" t="str">
            <v>VAGO NORDESTE</v>
          </cell>
        </row>
        <row r="2396">
          <cell r="B2396">
            <v>5210615</v>
          </cell>
          <cell r="C2396" t="str">
            <v>M A DA SILVA COMERCIO</v>
          </cell>
          <cell r="D2396" t="str">
            <v>6001</v>
          </cell>
          <cell r="E2396" t="str">
            <v>0169</v>
          </cell>
          <cell r="F2396" t="str">
            <v>C1</v>
          </cell>
          <cell r="G2396" t="str">
            <v>ES</v>
          </cell>
          <cell r="H2396" t="str">
            <v>DISTRIBUIÇÃO</v>
          </cell>
          <cell r="I2396" t="str">
            <v>FOOD SERVICE</v>
          </cell>
          <cell r="J2396" t="str">
            <v>MARCELO DUARTE</v>
          </cell>
          <cell r="K2396" t="str">
            <v>ITAMBÉ</v>
          </cell>
          <cell r="L2396" t="str">
            <v>RODRIGO</v>
          </cell>
          <cell r="M2396" t="str">
            <v>JESSICA</v>
          </cell>
        </row>
        <row r="2397">
          <cell r="B2397">
            <v>5211387</v>
          </cell>
          <cell r="C2397" t="str">
            <v>C B M MORAES COMERCIO DE PRODUT</v>
          </cell>
          <cell r="D2397" t="str">
            <v>6001</v>
          </cell>
          <cell r="E2397" t="str">
            <v>0169</v>
          </cell>
          <cell r="F2397" t="str">
            <v>C1</v>
          </cell>
          <cell r="G2397" t="str">
            <v>ES</v>
          </cell>
          <cell r="H2397" t="str">
            <v>DISTRIBUIÇÃO</v>
          </cell>
          <cell r="I2397" t="str">
            <v>FOOD SERVICE</v>
          </cell>
          <cell r="J2397" t="str">
            <v>MARCELO DUARTE</v>
          </cell>
          <cell r="K2397" t="str">
            <v>ITAMBÉ</v>
          </cell>
          <cell r="L2397" t="str">
            <v>RODRIGO</v>
          </cell>
          <cell r="M2397" t="str">
            <v>JESSICA</v>
          </cell>
        </row>
        <row r="2398">
          <cell r="B2398">
            <v>5213440</v>
          </cell>
          <cell r="C2398" t="str">
            <v>DOCE INDUSTRIA DE BISCOITOS LTD</v>
          </cell>
          <cell r="D2398" t="str">
            <v>6001</v>
          </cell>
          <cell r="E2398" t="str">
            <v>0123</v>
          </cell>
          <cell r="F2398" t="str">
            <v>C1</v>
          </cell>
          <cell r="G2398" t="str">
            <v>DF</v>
          </cell>
          <cell r="H2398" t="str">
            <v>DISTRIBUIÇÃO</v>
          </cell>
          <cell r="I2398" t="str">
            <v>FOOD SERVICE</v>
          </cell>
          <cell r="J2398" t="str">
            <v>CLAUDIO JORGE</v>
          </cell>
          <cell r="K2398" t="str">
            <v>ITAMBÉ</v>
          </cell>
          <cell r="L2398" t="str">
            <v>RODRIGO</v>
          </cell>
          <cell r="M2398" t="str">
            <v>MARCO AURELIO</v>
          </cell>
        </row>
        <row r="2399">
          <cell r="B2399">
            <v>5224995</v>
          </cell>
          <cell r="C2399" t="str">
            <v>DISALLCON DIST DE DOCES LTDA</v>
          </cell>
          <cell r="D2399" t="str">
            <v>3001</v>
          </cell>
          <cell r="E2399" t="str">
            <v>0126</v>
          </cell>
          <cell r="F2399" t="str">
            <v>C1</v>
          </cell>
          <cell r="G2399" t="str">
            <v>PR</v>
          </cell>
          <cell r="H2399" t="str">
            <v>INGREDIENTS</v>
          </cell>
          <cell r="I2399" t="str">
            <v>INGREDIENTS</v>
          </cell>
          <cell r="J2399" t="str">
            <v>MARCELO RODRIGUES</v>
          </cell>
          <cell r="K2399" t="str">
            <v>ITAMBÉ</v>
          </cell>
          <cell r="L2399" t="str">
            <v>MAURICIO</v>
          </cell>
          <cell r="M2399" t="str">
            <v>MARCELO</v>
          </cell>
        </row>
        <row r="2400">
          <cell r="B2400">
            <v>5225381</v>
          </cell>
          <cell r="C2400" t="str">
            <v>SEC INDUSTRIA E COMERCIO LTDA</v>
          </cell>
          <cell r="D2400" t="str">
            <v>3001</v>
          </cell>
          <cell r="E2400" t="str">
            <v>0028</v>
          </cell>
          <cell r="F2400" t="str">
            <v>C1</v>
          </cell>
          <cell r="G2400" t="str">
            <v>MG</v>
          </cell>
          <cell r="H2400" t="str">
            <v>INGREDIENTS</v>
          </cell>
          <cell r="I2400" t="str">
            <v>INGREDIENTS</v>
          </cell>
          <cell r="J2400" t="str">
            <v>HENRIQUE FERREIRA</v>
          </cell>
          <cell r="K2400" t="str">
            <v>ITAMBÉ</v>
          </cell>
          <cell r="L2400" t="str">
            <v>MAURICIO</v>
          </cell>
          <cell r="M2400" t="str">
            <v>JOEL</v>
          </cell>
        </row>
        <row r="2401">
          <cell r="B2401">
            <v>5226805</v>
          </cell>
          <cell r="C2401" t="str">
            <v>OESA COMERCIO E REPRESENTACOES</v>
          </cell>
          <cell r="D2401" t="str">
            <v>4001</v>
          </cell>
          <cell r="E2401" t="str">
            <v>0458</v>
          </cell>
          <cell r="F2401" t="str">
            <v>C1</v>
          </cell>
          <cell r="G2401" t="str">
            <v>MG</v>
          </cell>
          <cell r="H2401" t="str">
            <v>DISTRIBUIÇÃO</v>
          </cell>
          <cell r="I2401" t="str">
            <v>FOOD SERVICE</v>
          </cell>
          <cell r="J2401" t="str">
            <v>CELIO/MARANATHA</v>
          </cell>
          <cell r="K2401" t="str">
            <v>LACTALIS</v>
          </cell>
          <cell r="L2401" t="str">
            <v>RODRIGO</v>
          </cell>
          <cell r="M2401" t="str">
            <v>CELIO MARTINS</v>
          </cell>
        </row>
        <row r="2402">
          <cell r="B2402">
            <v>5228827</v>
          </cell>
          <cell r="C2402" t="str">
            <v>FABRICA ACAI MAGNIFICO LTDA</v>
          </cell>
          <cell r="D2402" t="str">
            <v>3001</v>
          </cell>
          <cell r="E2402" t="str">
            <v>6028</v>
          </cell>
          <cell r="F2402" t="str">
            <v>C1</v>
          </cell>
          <cell r="G2402" t="str">
            <v>SP</v>
          </cell>
          <cell r="H2402" t="str">
            <v>INGREDIENTS</v>
          </cell>
          <cell r="I2402" t="str">
            <v>INGREDIENTS</v>
          </cell>
          <cell r="J2402" t="str">
            <v>HENRIQUE FERREIRA</v>
          </cell>
          <cell r="K2402" t="str">
            <v>ITAMBÉ</v>
          </cell>
          <cell r="L2402" t="str">
            <v>MAURICIO</v>
          </cell>
          <cell r="M2402" t="str">
            <v>JOEL</v>
          </cell>
        </row>
        <row r="2403">
          <cell r="B2403">
            <v>5229621</v>
          </cell>
          <cell r="C2403" t="str">
            <v>NUTRY MAX COMERCIO DE PRODUTOS</v>
          </cell>
          <cell r="D2403" t="str">
            <v>6001</v>
          </cell>
          <cell r="E2403" t="str">
            <v>0169</v>
          </cell>
          <cell r="F2403" t="str">
            <v>C1</v>
          </cell>
          <cell r="G2403" t="str">
            <v>RJ</v>
          </cell>
          <cell r="H2403" t="str">
            <v>DISTRIBUIÇÃO</v>
          </cell>
          <cell r="I2403" t="str">
            <v>FOOD SERVICE</v>
          </cell>
          <cell r="J2403" t="str">
            <v>JESSICA CARLA</v>
          </cell>
          <cell r="K2403" t="str">
            <v>ITAMBÉ</v>
          </cell>
          <cell r="L2403" t="str">
            <v>RODRIGO</v>
          </cell>
          <cell r="M2403" t="str">
            <v>JESSICA</v>
          </cell>
        </row>
        <row r="2404">
          <cell r="B2404">
            <v>5313531</v>
          </cell>
          <cell r="C2404" t="str">
            <v>VIA LACTEA INDUSTRIA E COMERCIO</v>
          </cell>
          <cell r="D2404" t="str">
            <v>6001</v>
          </cell>
          <cell r="E2404" t="str">
            <v>0028</v>
          </cell>
          <cell r="F2404" t="str">
            <v>C1</v>
          </cell>
          <cell r="G2404" t="str">
            <v>CE</v>
          </cell>
          <cell r="H2404" t="str">
            <v>INGREDIENTS</v>
          </cell>
          <cell r="I2404" t="str">
            <v>INGREDIENTS</v>
          </cell>
          <cell r="J2404" t="str">
            <v>JOEL ELEOTÉRIO</v>
          </cell>
          <cell r="K2404" t="str">
            <v>ITAMBÉ</v>
          </cell>
          <cell r="L2404" t="str">
            <v>MAURICIO</v>
          </cell>
          <cell r="M2404" t="str">
            <v>JOEL</v>
          </cell>
        </row>
        <row r="2405">
          <cell r="B2405">
            <v>5314689</v>
          </cell>
          <cell r="C2405" t="str">
            <v>DUMIL PRODUTOS ALIMENTICIOS LTD</v>
          </cell>
          <cell r="D2405" t="str">
            <v>3001</v>
          </cell>
          <cell r="E2405" t="str">
            <v>6125</v>
          </cell>
          <cell r="F2405" t="str">
            <v>C1</v>
          </cell>
          <cell r="G2405" t="str">
            <v>SP</v>
          </cell>
          <cell r="H2405" t="str">
            <v>DISTRIBUIÇÃO</v>
          </cell>
          <cell r="I2405" t="str">
            <v>FOOD SERVICE</v>
          </cell>
          <cell r="J2405" t="str">
            <v>GUILHERME NASCIMENTO</v>
          </cell>
          <cell r="K2405" t="str">
            <v>ITAMBÉ</v>
          </cell>
          <cell r="L2405" t="str">
            <v>RODRIGO</v>
          </cell>
          <cell r="M2405" t="str">
            <v>ALEXANDRO</v>
          </cell>
        </row>
        <row r="2406">
          <cell r="B2406">
            <v>5344709</v>
          </cell>
          <cell r="C2406" t="str">
            <v>ADL COMERCIO DE ALIMENTOS LTDA</v>
          </cell>
          <cell r="D2406" t="str">
            <v>6001</v>
          </cell>
          <cell r="E2406" t="str">
            <v>0127</v>
          </cell>
          <cell r="F2406" t="str">
            <v>C1</v>
          </cell>
          <cell r="G2406" t="str">
            <v>BA</v>
          </cell>
          <cell r="H2406" t="str">
            <v>DISTRIBUIÇÃO</v>
          </cell>
          <cell r="I2406" t="str">
            <v>FOOD SERVICE</v>
          </cell>
          <cell r="J2406" t="str">
            <v xml:space="preserve">KARIS FOOD / LUIZ </v>
          </cell>
          <cell r="K2406" t="str">
            <v>ITAMBÉ</v>
          </cell>
          <cell r="L2406" t="str">
            <v>RODRIGO</v>
          </cell>
          <cell r="M2406" t="str">
            <v>VAGO NORDESTE</v>
          </cell>
        </row>
        <row r="2407">
          <cell r="B2407">
            <v>5155365</v>
          </cell>
          <cell r="C2407" t="str">
            <v>MINI MERCADO FLOR DE MOEMA LTDA</v>
          </cell>
          <cell r="D2407" t="str">
            <v>7001</v>
          </cell>
          <cell r="E2407" t="str">
            <v>0749</v>
          </cell>
          <cell r="F2407" t="str">
            <v>C5</v>
          </cell>
          <cell r="G2407" t="str">
            <v>SP</v>
          </cell>
          <cell r="H2407" t="str">
            <v>DISTRIBUIÇÃO</v>
          </cell>
          <cell r="I2407" t="str">
            <v>FOOD SERVICE</v>
          </cell>
          <cell r="J2407" t="str">
            <v>FLAC 5</v>
          </cell>
          <cell r="K2407" t="str">
            <v>LACTALIS</v>
          </cell>
          <cell r="L2407" t="str">
            <v>RODRIGO</v>
          </cell>
          <cell r="M2407" t="str">
            <v>ALEXANDRO</v>
          </cell>
        </row>
        <row r="2408">
          <cell r="B2408">
            <v>5198698</v>
          </cell>
          <cell r="C2408" t="str">
            <v>PANDURATA ALIMENTOS LTDA</v>
          </cell>
          <cell r="D2408" t="str">
            <v>6001</v>
          </cell>
          <cell r="E2408" t="str">
            <v>6028</v>
          </cell>
          <cell r="F2408" t="str">
            <v>C1</v>
          </cell>
          <cell r="G2408" t="str">
            <v>SP</v>
          </cell>
          <cell r="H2408" t="str">
            <v>INGREDIENTS</v>
          </cell>
          <cell r="I2408" t="str">
            <v>INGREDIENTS</v>
          </cell>
          <cell r="J2408" t="str">
            <v>JOEL ELEOTÉRIO</v>
          </cell>
          <cell r="K2408" t="str">
            <v>ITAMBÉ</v>
          </cell>
          <cell r="L2408" t="str">
            <v>MAURICIO</v>
          </cell>
          <cell r="M2408" t="str">
            <v>JOEL</v>
          </cell>
        </row>
        <row r="2409">
          <cell r="B2409">
            <v>5353526</v>
          </cell>
          <cell r="C2409" t="str">
            <v>NUNEKI ALIMENTOS LTDA</v>
          </cell>
          <cell r="D2409" t="str">
            <v>7001</v>
          </cell>
          <cell r="E2409" t="str">
            <v>0749</v>
          </cell>
          <cell r="F2409" t="str">
            <v>C5</v>
          </cell>
          <cell r="G2409" t="str">
            <v>SP</v>
          </cell>
          <cell r="H2409" t="str">
            <v>DISTRIBUIÇÃO</v>
          </cell>
          <cell r="I2409" t="str">
            <v>FOOD SERVICE</v>
          </cell>
          <cell r="J2409" t="str">
            <v>FLAC 3</v>
          </cell>
          <cell r="K2409" t="str">
            <v>LACTALIS</v>
          </cell>
          <cell r="L2409" t="str">
            <v>RODRIGO</v>
          </cell>
          <cell r="M2409" t="str">
            <v>ALEXANDRO</v>
          </cell>
        </row>
        <row r="2410">
          <cell r="B2410">
            <v>5354395</v>
          </cell>
          <cell r="C2410" t="str">
            <v>GRANO NOSTRO PAN E COM DE AL LT</v>
          </cell>
          <cell r="D2410" t="str">
            <v>7001</v>
          </cell>
          <cell r="E2410" t="str">
            <v>0749</v>
          </cell>
          <cell r="F2410" t="str">
            <v>C5</v>
          </cell>
          <cell r="G2410" t="str">
            <v>SP</v>
          </cell>
          <cell r="H2410" t="str">
            <v>DISTRIBUIÇÃO</v>
          </cell>
          <cell r="I2410" t="str">
            <v>FOOD SERVICE</v>
          </cell>
          <cell r="J2410" t="str">
            <v>FLAC 2</v>
          </cell>
          <cell r="K2410" t="str">
            <v>LACTALIS</v>
          </cell>
          <cell r="L2410" t="str">
            <v>RODRIGO</v>
          </cell>
          <cell r="M2410" t="str">
            <v>ALEXANDRO</v>
          </cell>
        </row>
        <row r="2411">
          <cell r="B2411">
            <v>5354456</v>
          </cell>
          <cell r="C2411" t="str">
            <v>NEXO CAFE LTDA</v>
          </cell>
          <cell r="D2411" t="str">
            <v>7001</v>
          </cell>
          <cell r="E2411" t="str">
            <v>0749</v>
          </cell>
          <cell r="F2411" t="str">
            <v>C5</v>
          </cell>
          <cell r="G2411" t="str">
            <v>SP</v>
          </cell>
          <cell r="H2411" t="str">
            <v>DISTRIBUIÇÃO</v>
          </cell>
          <cell r="I2411" t="str">
            <v>FOOD SERVICE</v>
          </cell>
          <cell r="J2411" t="str">
            <v>FLAC 2</v>
          </cell>
          <cell r="K2411" t="str">
            <v>LACTALIS</v>
          </cell>
          <cell r="L2411" t="str">
            <v>RODRIGO</v>
          </cell>
          <cell r="M2411" t="str">
            <v>ALEXANDRO</v>
          </cell>
        </row>
        <row r="2412">
          <cell r="B2412">
            <v>5275476</v>
          </cell>
          <cell r="C2412" t="str">
            <v>MON CHOU COM IMP E EXP LTDA</v>
          </cell>
          <cell r="D2412" t="str">
            <v>7001</v>
          </cell>
          <cell r="E2412" t="str">
            <v>0739</v>
          </cell>
          <cell r="F2412" t="str">
            <v>C1</v>
          </cell>
          <cell r="G2412" t="str">
            <v>SP</v>
          </cell>
          <cell r="H2412" t="str">
            <v>DISTRIBUIÇÃO</v>
          </cell>
          <cell r="I2412" t="str">
            <v>FOOD SERVICE</v>
          </cell>
          <cell r="J2412" t="str">
            <v>LUCIANA MARTINS</v>
          </cell>
          <cell r="K2412" t="str">
            <v>LACTALIS</v>
          </cell>
          <cell r="L2412" t="str">
            <v>RODRIGO</v>
          </cell>
          <cell r="M2412" t="str">
            <v>JESSICA</v>
          </cell>
        </row>
        <row r="2413">
          <cell r="B2413">
            <v>5354424</v>
          </cell>
          <cell r="C2413" t="str">
            <v>PRM FOODS IND E COM DE ALIM LTD</v>
          </cell>
          <cell r="D2413" t="str">
            <v>4001</v>
          </cell>
          <cell r="E2413" t="str">
            <v>0437</v>
          </cell>
          <cell r="F2413" t="str">
            <v>C1</v>
          </cell>
          <cell r="G2413" t="str">
            <v>SP</v>
          </cell>
          <cell r="H2413" t="str">
            <v>INGREDIENTS</v>
          </cell>
          <cell r="I2413" t="str">
            <v>INGREDIENTS</v>
          </cell>
          <cell r="J2413" t="str">
            <v>MARCELO RODRIGUES</v>
          </cell>
          <cell r="K2413" t="str">
            <v>LACTALIS</v>
          </cell>
          <cell r="L2413" t="str">
            <v>MAURICIO</v>
          </cell>
          <cell r="M2413" t="str">
            <v>MARCELO</v>
          </cell>
        </row>
        <row r="2414">
          <cell r="B2414">
            <v>5027769</v>
          </cell>
          <cell r="C2414" t="str">
            <v>TAPIOCARIA DE ITAPUA LTDA ME</v>
          </cell>
          <cell r="D2414" t="str">
            <v>6001</v>
          </cell>
          <cell r="E2414" t="str">
            <v>6009</v>
          </cell>
          <cell r="F2414" t="str">
            <v>C1</v>
          </cell>
          <cell r="G2414" t="str">
            <v>BA</v>
          </cell>
          <cell r="H2414" t="str">
            <v>DISTRIBUIÇÃO</v>
          </cell>
          <cell r="I2414" t="str">
            <v>FOOD SERVICE</v>
          </cell>
          <cell r="J2414" t="str">
            <v xml:space="preserve">KARIS FOOD / LUIZ </v>
          </cell>
          <cell r="K2414" t="str">
            <v>ITAMBÉ</v>
          </cell>
          <cell r="L2414" t="str">
            <v>RODRIGO</v>
          </cell>
          <cell r="M2414" t="str">
            <v>VAGO NORDESTE</v>
          </cell>
        </row>
        <row r="2415">
          <cell r="B2415">
            <v>5031579</v>
          </cell>
          <cell r="C2415" t="str">
            <v>ALPES BUFFET SERV E COM LTDA ME</v>
          </cell>
          <cell r="D2415" t="str">
            <v>3001</v>
          </cell>
          <cell r="E2415" t="str">
            <v>0028</v>
          </cell>
          <cell r="F2415" t="str">
            <v>C1</v>
          </cell>
          <cell r="G2415" t="str">
            <v>MG</v>
          </cell>
          <cell r="H2415" t="str">
            <v>INGREDIENTS</v>
          </cell>
          <cell r="I2415" t="str">
            <v>INGREDIENTS</v>
          </cell>
          <cell r="J2415" t="str">
            <v>MARCELO RODRIGUES</v>
          </cell>
          <cell r="K2415" t="str">
            <v>ITAMBÉ</v>
          </cell>
          <cell r="L2415" t="str">
            <v>MAURICIO</v>
          </cell>
          <cell r="M2415" t="str">
            <v>MARCELO</v>
          </cell>
        </row>
        <row r="2416">
          <cell r="B2416">
            <v>5160241</v>
          </cell>
          <cell r="C2416" t="str">
            <v>TRES CORACOES ALIMENTOS SA</v>
          </cell>
          <cell r="D2416" t="str">
            <v>4001</v>
          </cell>
          <cell r="E2416" t="str">
            <v>0437</v>
          </cell>
          <cell r="F2416" t="str">
            <v>C1</v>
          </cell>
          <cell r="G2416" t="str">
            <v>RN</v>
          </cell>
          <cell r="H2416" t="str">
            <v>INGREDIENTS</v>
          </cell>
          <cell r="I2416" t="str">
            <v>INGREDIENTS</v>
          </cell>
          <cell r="J2416" t="str">
            <v>JOEL ELEOTÉRIO</v>
          </cell>
          <cell r="K2416" t="str">
            <v>LACTALIS</v>
          </cell>
          <cell r="L2416" t="str">
            <v>MAURICIO</v>
          </cell>
          <cell r="M2416" t="str">
            <v>JOEL</v>
          </cell>
        </row>
        <row r="2417">
          <cell r="B2417">
            <v>5340677</v>
          </cell>
          <cell r="C2417" t="str">
            <v>M SANTOS IANSEN SORVETERIA</v>
          </cell>
          <cell r="D2417" t="str">
            <v>3001</v>
          </cell>
          <cell r="E2417" t="str">
            <v>0028</v>
          </cell>
          <cell r="F2417" t="str">
            <v>C1</v>
          </cell>
          <cell r="G2417" t="str">
            <v>PR</v>
          </cell>
          <cell r="H2417" t="str">
            <v>INGREDIENTS</v>
          </cell>
          <cell r="I2417" t="str">
            <v>INGREDIENTS</v>
          </cell>
          <cell r="J2417" t="str">
            <v>TATIANA NITTA</v>
          </cell>
          <cell r="K2417" t="str">
            <v>ITAMBÉ</v>
          </cell>
          <cell r="L2417" t="str">
            <v>MAURICIO</v>
          </cell>
          <cell r="M2417" t="str">
            <v>TATIANA NITTA</v>
          </cell>
        </row>
        <row r="2418">
          <cell r="B2418">
            <v>5352914</v>
          </cell>
          <cell r="C2418" t="str">
            <v>OSTUNI ADMINIST HOTELEIRA LTDA</v>
          </cell>
          <cell r="D2418" t="str">
            <v>7001</v>
          </cell>
          <cell r="E2418" t="str">
            <v>0749</v>
          </cell>
          <cell r="F2418" t="str">
            <v>C5</v>
          </cell>
          <cell r="G2418" t="str">
            <v>SP</v>
          </cell>
          <cell r="H2418" t="str">
            <v>DISTRIBUIÇÃO</v>
          </cell>
          <cell r="I2418" t="str">
            <v>FOOD SERVICE</v>
          </cell>
          <cell r="J2418" t="str">
            <v>FLAC 3</v>
          </cell>
          <cell r="K2418" t="str">
            <v>LACTALIS</v>
          </cell>
          <cell r="L2418" t="str">
            <v>RODRIGO</v>
          </cell>
          <cell r="M2418" t="str">
            <v>ALEXANDRO</v>
          </cell>
        </row>
        <row r="2419">
          <cell r="B2419">
            <v>5354388</v>
          </cell>
          <cell r="C2419" t="str">
            <v>PEDRO HENRIQUE COSTA SEDRIM</v>
          </cell>
          <cell r="D2419" t="str">
            <v>7001</v>
          </cell>
          <cell r="E2419" t="str">
            <v>0749</v>
          </cell>
          <cell r="F2419" t="str">
            <v>C5</v>
          </cell>
          <cell r="G2419" t="str">
            <v>SP</v>
          </cell>
          <cell r="H2419" t="str">
            <v>DISTRIBUIÇÃO</v>
          </cell>
          <cell r="I2419" t="str">
            <v>FOOD SERVICE</v>
          </cell>
          <cell r="J2419" t="str">
            <v>FLAC 2</v>
          </cell>
          <cell r="K2419" t="str">
            <v>LACTALIS</v>
          </cell>
          <cell r="L2419" t="str">
            <v>RODRIGO</v>
          </cell>
          <cell r="M2419" t="str">
            <v>ALEXANDRO</v>
          </cell>
        </row>
        <row r="2420">
          <cell r="B2420">
            <v>5270160</v>
          </cell>
          <cell r="C2420" t="str">
            <v>PASTICCERIA INTERNAZIONALE LTDA</v>
          </cell>
          <cell r="D2420" t="str">
            <v>7001</v>
          </cell>
          <cell r="E2420" t="str">
            <v>0749</v>
          </cell>
          <cell r="F2420" t="str">
            <v>C5</v>
          </cell>
          <cell r="G2420" t="str">
            <v>SP</v>
          </cell>
          <cell r="H2420" t="str">
            <v>DISTRIBUIÇÃO</v>
          </cell>
          <cell r="I2420" t="str">
            <v>FOOD SERVICE</v>
          </cell>
          <cell r="J2420" t="str">
            <v>FLAC 3</v>
          </cell>
          <cell r="K2420" t="str">
            <v>LACTALIS</v>
          </cell>
          <cell r="L2420" t="str">
            <v>RODRIGO</v>
          </cell>
          <cell r="M2420" t="str">
            <v>ALEXANDRO</v>
          </cell>
        </row>
        <row r="2421">
          <cell r="B2421">
            <v>5341282</v>
          </cell>
          <cell r="C2421" t="str">
            <v>GRACA DI NAPOLLI PIZZ E REST LT</v>
          </cell>
          <cell r="D2421" t="str">
            <v>7001</v>
          </cell>
          <cell r="E2421" t="str">
            <v>0749</v>
          </cell>
          <cell r="F2421" t="str">
            <v>C5</v>
          </cell>
          <cell r="G2421" t="str">
            <v>SP</v>
          </cell>
          <cell r="H2421" t="str">
            <v>DISTRIBUIÇÃO</v>
          </cell>
          <cell r="I2421" t="str">
            <v>FOOD SERVICE</v>
          </cell>
          <cell r="J2421" t="str">
            <v>FLAC 5</v>
          </cell>
          <cell r="K2421" t="str">
            <v>LACTALIS</v>
          </cell>
          <cell r="L2421" t="str">
            <v>RODRIGO</v>
          </cell>
          <cell r="M2421" t="str">
            <v>ALEXANDRO</v>
          </cell>
        </row>
        <row r="2422">
          <cell r="B2422">
            <v>5353844</v>
          </cell>
          <cell r="C2422" t="str">
            <v>FEITO CHOCOLATE LTDA</v>
          </cell>
          <cell r="D2422" t="str">
            <v>3001</v>
          </cell>
          <cell r="E2422" t="str">
            <v>0126</v>
          </cell>
          <cell r="F2422" t="str">
            <v>C1</v>
          </cell>
          <cell r="G2422" t="str">
            <v>PR</v>
          </cell>
          <cell r="H2422" t="str">
            <v>DISTRIBUIÇÃO</v>
          </cell>
          <cell r="I2422" t="str">
            <v>FOOD SERVICE</v>
          </cell>
          <cell r="J2422" t="str">
            <v>ANTÔNIO SOUZA</v>
          </cell>
          <cell r="K2422" t="str">
            <v>ITAMBÉ</v>
          </cell>
          <cell r="L2422" t="str">
            <v>RODRIGO</v>
          </cell>
          <cell r="M2422" t="str">
            <v>VAGO SUL</v>
          </cell>
        </row>
        <row r="2423">
          <cell r="B2423">
            <v>5349113</v>
          </cell>
          <cell r="C2423" t="str">
            <v>PRAIA DO PAO PADARIA ARTESANAL LTDA</v>
          </cell>
          <cell r="D2423" t="str">
            <v>7001</v>
          </cell>
          <cell r="E2423" t="str">
            <v>0749</v>
          </cell>
          <cell r="F2423" t="str">
            <v>C5</v>
          </cell>
          <cell r="G2423" t="str">
            <v>SP</v>
          </cell>
          <cell r="H2423" t="str">
            <v>DISTRIBUIÇÃO</v>
          </cell>
          <cell r="I2423" t="str">
            <v>FOOD SERVICE</v>
          </cell>
          <cell r="J2423" t="str">
            <v>FLAC 6</v>
          </cell>
          <cell r="K2423" t="str">
            <v>LACTALIS</v>
          </cell>
          <cell r="L2423" t="str">
            <v>RODRIGO</v>
          </cell>
          <cell r="M2423" t="str">
            <v>ALEXANDRO</v>
          </cell>
        </row>
        <row r="2424">
          <cell r="B2424">
            <v>5350878</v>
          </cell>
          <cell r="C2424" t="str">
            <v>LE JOUR LA NUIT CUISINE BISTRO</v>
          </cell>
          <cell r="D2424" t="str">
            <v>7001</v>
          </cell>
          <cell r="E2424" t="str">
            <v>0749</v>
          </cell>
          <cell r="F2424" t="str">
            <v>C5</v>
          </cell>
          <cell r="G2424" t="str">
            <v>SP</v>
          </cell>
          <cell r="H2424" t="str">
            <v>DISTRIBUIÇÃO</v>
          </cell>
          <cell r="I2424" t="str">
            <v>FOOD SERVICE</v>
          </cell>
          <cell r="J2424" t="str">
            <v>FLAC 2</v>
          </cell>
          <cell r="K2424" t="str">
            <v>LACTALIS</v>
          </cell>
          <cell r="L2424" t="str">
            <v>RODRIGO</v>
          </cell>
          <cell r="M2424" t="str">
            <v>ALEXANDRO</v>
          </cell>
        </row>
        <row r="2425">
          <cell r="B2425">
            <v>5353664</v>
          </cell>
          <cell r="C2425" t="str">
            <v>PAMIJUCA ALIMENTACAO LTDA</v>
          </cell>
          <cell r="D2425" t="str">
            <v>7001</v>
          </cell>
          <cell r="E2425" t="str">
            <v>0749</v>
          </cell>
          <cell r="F2425" t="str">
            <v>C5</v>
          </cell>
          <cell r="G2425" t="str">
            <v>SP</v>
          </cell>
          <cell r="H2425" t="str">
            <v>DISTRIBUIÇÃO</v>
          </cell>
          <cell r="I2425" t="str">
            <v>FOOD SERVICE</v>
          </cell>
          <cell r="J2425" t="str">
            <v>FLAC 5</v>
          </cell>
          <cell r="K2425" t="str">
            <v>LACTALIS</v>
          </cell>
          <cell r="L2425" t="str">
            <v>RODRIGO</v>
          </cell>
          <cell r="M2425" t="str">
            <v>ALEXANDRO</v>
          </cell>
        </row>
        <row r="2426">
          <cell r="B2426">
            <v>5171550</v>
          </cell>
          <cell r="C2426" t="str">
            <v>PSG COMERCIO DE ALIMENTOS LTDA ME</v>
          </cell>
          <cell r="D2426" t="str">
            <v>3001</v>
          </cell>
          <cell r="E2426" t="str">
            <v>0126</v>
          </cell>
          <cell r="F2426" t="str">
            <v>C1</v>
          </cell>
          <cell r="G2426" t="str">
            <v>PR</v>
          </cell>
          <cell r="H2426" t="str">
            <v>QSR</v>
          </cell>
          <cell r="I2426" t="str">
            <v>FOOD SERVICE</v>
          </cell>
          <cell r="J2426" t="str">
            <v>AMANDA CARVALHO</v>
          </cell>
          <cell r="K2426" t="str">
            <v>ITAMBÉ</v>
          </cell>
          <cell r="L2426" t="str">
            <v>PEDRO</v>
          </cell>
          <cell r="M2426" t="str">
            <v>AMANDA</v>
          </cell>
        </row>
        <row r="2427">
          <cell r="B2427">
            <v>5342745</v>
          </cell>
          <cell r="C2427" t="str">
            <v>INICIAL COM E DISTRIB DE ALIM L</v>
          </cell>
          <cell r="D2427" t="str">
            <v>6001</v>
          </cell>
          <cell r="E2427" t="str">
            <v>6028</v>
          </cell>
          <cell r="F2427" t="str">
            <v>C1</v>
          </cell>
          <cell r="G2427" t="str">
            <v>MS</v>
          </cell>
          <cell r="H2427" t="str">
            <v>INGREDIENTS</v>
          </cell>
          <cell r="I2427" t="str">
            <v>INGREDIENTS</v>
          </cell>
          <cell r="J2427" t="str">
            <v>DUAS RODAS</v>
          </cell>
          <cell r="K2427" t="str">
            <v>ITAMBÉ</v>
          </cell>
          <cell r="L2427" t="str">
            <v>MAURICIO</v>
          </cell>
          <cell r="M2427" t="str">
            <v>MARCELO</v>
          </cell>
        </row>
        <row r="2428">
          <cell r="B2428">
            <v>5354795</v>
          </cell>
          <cell r="C2428" t="str">
            <v>COB EVENTOS CAFE E CIA LTDA</v>
          </cell>
          <cell r="D2428" t="str">
            <v>7001</v>
          </cell>
          <cell r="E2428" t="str">
            <v>0749</v>
          </cell>
          <cell r="F2428" t="str">
            <v>C5</v>
          </cell>
          <cell r="G2428" t="str">
            <v>SP</v>
          </cell>
          <cell r="H2428" t="str">
            <v>DISTRIBUIÇÃO</v>
          </cell>
          <cell r="I2428" t="str">
            <v>FOOD SERVICE</v>
          </cell>
          <cell r="J2428" t="str">
            <v>FLAC 7</v>
          </cell>
          <cell r="K2428" t="str">
            <v>LACTALIS</v>
          </cell>
          <cell r="L2428" t="str">
            <v>RODRIGO</v>
          </cell>
          <cell r="M2428" t="str">
            <v>ALEXANDRO</v>
          </cell>
        </row>
        <row r="2429">
          <cell r="B2429">
            <v>5354201</v>
          </cell>
          <cell r="C2429" t="str">
            <v>INTL LABORATORIOS NUTRACEUT LTD</v>
          </cell>
          <cell r="D2429" t="str">
            <v>7001</v>
          </cell>
          <cell r="E2429" t="str">
            <v>0553</v>
          </cell>
          <cell r="F2429" t="str">
            <v>C1</v>
          </cell>
          <cell r="G2429" t="str">
            <v>ES</v>
          </cell>
          <cell r="H2429" t="str">
            <v>INGREDIENTS</v>
          </cell>
          <cell r="I2429" t="str">
            <v>INGREDIENTS</v>
          </cell>
          <cell r="J2429" t="str">
            <v>JOEL ELEOTÉRIO</v>
          </cell>
          <cell r="K2429" t="str">
            <v>LACTALIS</v>
          </cell>
          <cell r="L2429" t="str">
            <v>MAURICIO</v>
          </cell>
          <cell r="M2429" t="str">
            <v>JOEL</v>
          </cell>
        </row>
        <row r="2430">
          <cell r="B2430">
            <v>5354561</v>
          </cell>
          <cell r="C2430" t="str">
            <v>LANCHONETE JOIA DO BRAS LTDA</v>
          </cell>
          <cell r="D2430" t="str">
            <v>7001</v>
          </cell>
          <cell r="E2430" t="str">
            <v>0749</v>
          </cell>
          <cell r="F2430" t="str">
            <v>C5</v>
          </cell>
          <cell r="G2430" t="str">
            <v>SP</v>
          </cell>
          <cell r="H2430" t="str">
            <v>DISTRIBUIÇÃO</v>
          </cell>
          <cell r="I2430" t="str">
            <v>FOOD SERVICE</v>
          </cell>
          <cell r="J2430" t="str">
            <v>FLAC 10</v>
          </cell>
          <cell r="K2430" t="str">
            <v>LACTALIS</v>
          </cell>
          <cell r="L2430" t="str">
            <v>RODRIGO</v>
          </cell>
          <cell r="M2430" t="str">
            <v>ALEXANDRO</v>
          </cell>
        </row>
        <row r="2431">
          <cell r="B2431">
            <v>5144334</v>
          </cell>
          <cell r="C2431" t="str">
            <v>ALICE QUINDINS DOCERIA LTD</v>
          </cell>
          <cell r="D2431" t="str">
            <v>7001</v>
          </cell>
          <cell r="E2431" t="str">
            <v>0749</v>
          </cell>
          <cell r="F2431" t="str">
            <v>C5</v>
          </cell>
          <cell r="G2431" t="str">
            <v>SP</v>
          </cell>
          <cell r="H2431" t="str">
            <v>DISTRIBUIÇÃO</v>
          </cell>
          <cell r="I2431" t="str">
            <v>FOOD SERVICE</v>
          </cell>
          <cell r="J2431" t="str">
            <v>FLAC 5</v>
          </cell>
          <cell r="K2431" t="str">
            <v>LACTALIS</v>
          </cell>
          <cell r="L2431" t="str">
            <v>RODRIGO</v>
          </cell>
          <cell r="M2431" t="str">
            <v>ALEXANDRO</v>
          </cell>
        </row>
        <row r="2432">
          <cell r="B2432">
            <v>5349649</v>
          </cell>
          <cell r="C2432" t="str">
            <v>AKIBA STATION STORE IMP EXPO LT</v>
          </cell>
          <cell r="D2432" t="str">
            <v>7001</v>
          </cell>
          <cell r="E2432" t="str">
            <v>0749</v>
          </cell>
          <cell r="F2432" t="str">
            <v>C5</v>
          </cell>
          <cell r="G2432" t="str">
            <v>SP</v>
          </cell>
          <cell r="H2432" t="str">
            <v>DISTRIBUIÇÃO</v>
          </cell>
          <cell r="I2432" t="str">
            <v>FOOD SERVICE</v>
          </cell>
          <cell r="J2432" t="str">
            <v>FLAC 3</v>
          </cell>
          <cell r="K2432" t="str">
            <v>LACTALIS</v>
          </cell>
          <cell r="L2432" t="str">
            <v>RODRIGO</v>
          </cell>
          <cell r="M2432" t="str">
            <v>ALEXANDRO</v>
          </cell>
        </row>
        <row r="2433">
          <cell r="B2433">
            <v>5353848</v>
          </cell>
          <cell r="C2433" t="str">
            <v>LOGUI DISTRIBUICAO LTDA</v>
          </cell>
          <cell r="D2433" t="str">
            <v>3001</v>
          </cell>
          <cell r="E2433" t="str">
            <v>0128</v>
          </cell>
          <cell r="F2433" t="str">
            <v>C1</v>
          </cell>
          <cell r="G2433" t="str">
            <v>PA</v>
          </cell>
          <cell r="H2433" t="str">
            <v>DISTRIBUIÇÃO</v>
          </cell>
          <cell r="I2433" t="str">
            <v>FOOD SERVICE</v>
          </cell>
          <cell r="J2433" t="str">
            <v>TC REPRESENTAÇÕES</v>
          </cell>
          <cell r="K2433" t="str">
            <v>ITAMBÉ</v>
          </cell>
          <cell r="L2433" t="str">
            <v>RODRIGO</v>
          </cell>
          <cell r="M2433" t="str">
            <v>MARCO AURELIO</v>
          </cell>
        </row>
        <row r="2434">
          <cell r="B2434">
            <v>5354989</v>
          </cell>
          <cell r="C2434" t="str">
            <v>SOBASICO IND E COMERCIO DE ALIM LTD</v>
          </cell>
          <cell r="D2434" t="str">
            <v>4001</v>
          </cell>
          <cell r="E2434" t="str">
            <v>0437</v>
          </cell>
          <cell r="F2434" t="str">
            <v>C1</v>
          </cell>
          <cell r="G2434" t="str">
            <v>SP</v>
          </cell>
          <cell r="H2434" t="str">
            <v>INGREDIENTS</v>
          </cell>
          <cell r="I2434" t="str">
            <v>INGREDIENTS</v>
          </cell>
          <cell r="J2434" t="str">
            <v>MARCELO RODRIGUES</v>
          </cell>
          <cell r="K2434" t="str">
            <v>LACTALIS</v>
          </cell>
          <cell r="L2434" t="str">
            <v>MAURICIO</v>
          </cell>
          <cell r="M2434" t="str">
            <v>MARCELO</v>
          </cell>
        </row>
        <row r="2435">
          <cell r="B2435">
            <v>5012695</v>
          </cell>
          <cell r="C2435" t="str">
            <v>LACTOMIL IND E COM DE ALIM LTDA</v>
          </cell>
          <cell r="D2435" t="str">
            <v>4001</v>
          </cell>
          <cell r="E2435" t="str">
            <v>0437</v>
          </cell>
          <cell r="F2435" t="str">
            <v>C1</v>
          </cell>
          <cell r="G2435" t="str">
            <v>SP</v>
          </cell>
          <cell r="H2435" t="str">
            <v>INGREDIENTS</v>
          </cell>
          <cell r="I2435" t="str">
            <v>INGREDIENTS</v>
          </cell>
          <cell r="J2435" t="str">
            <v>JOEL ELEOTÉRIO</v>
          </cell>
          <cell r="K2435" t="str">
            <v>LACTALIS</v>
          </cell>
          <cell r="L2435" t="str">
            <v>MAURICIO</v>
          </cell>
          <cell r="M2435" t="str">
            <v>JOEL</v>
          </cell>
        </row>
        <row r="2436">
          <cell r="B2436">
            <v>5323094</v>
          </cell>
          <cell r="C2436" t="str">
            <v>NC ALAMEDA SANTOS COMERCIO DE A</v>
          </cell>
          <cell r="D2436" t="str">
            <v>7001</v>
          </cell>
          <cell r="E2436" t="str">
            <v>0749</v>
          </cell>
          <cell r="F2436" t="str">
            <v>C5</v>
          </cell>
          <cell r="G2436" t="str">
            <v>SP</v>
          </cell>
          <cell r="H2436" t="str">
            <v>DISTRIBUIÇÃO</v>
          </cell>
          <cell r="I2436" t="str">
            <v>FOOD SERVICE</v>
          </cell>
          <cell r="J2436" t="str">
            <v>FLAC 5</v>
          </cell>
          <cell r="K2436" t="str">
            <v>LACTALIS</v>
          </cell>
          <cell r="L2436" t="str">
            <v>RODRIGO</v>
          </cell>
          <cell r="M2436" t="str">
            <v>ALEXANDRO</v>
          </cell>
        </row>
        <row r="2437">
          <cell r="B2437">
            <v>5346651</v>
          </cell>
          <cell r="C2437" t="str">
            <v>BRASKOP COMERCIO DE ALIMENTOS L</v>
          </cell>
          <cell r="D2437" t="str">
            <v>7001</v>
          </cell>
          <cell r="E2437" t="str">
            <v>0749</v>
          </cell>
          <cell r="F2437" t="str">
            <v>C5</v>
          </cell>
          <cell r="G2437" t="str">
            <v>SP</v>
          </cell>
          <cell r="H2437" t="str">
            <v>DISTRIBUIÇÃO</v>
          </cell>
          <cell r="I2437" t="str">
            <v>FOOD SERVICE</v>
          </cell>
          <cell r="J2437" t="str">
            <v>FLAC 6</v>
          </cell>
          <cell r="K2437" t="str">
            <v>LACTALIS</v>
          </cell>
          <cell r="L2437" t="str">
            <v>RODRIGO</v>
          </cell>
          <cell r="M2437" t="str">
            <v>ALEXANDRO</v>
          </cell>
        </row>
        <row r="2438">
          <cell r="B2438">
            <v>5353280</v>
          </cell>
          <cell r="C2438" t="str">
            <v>FENIX HOTEL BOM RETIRO LTDA</v>
          </cell>
          <cell r="D2438" t="str">
            <v>7001</v>
          </cell>
          <cell r="E2438" t="str">
            <v>0749</v>
          </cell>
          <cell r="F2438" t="str">
            <v>C5</v>
          </cell>
          <cell r="G2438" t="str">
            <v>SP</v>
          </cell>
          <cell r="H2438" t="str">
            <v>DISTRIBUIÇÃO</v>
          </cell>
          <cell r="I2438" t="str">
            <v>FOOD SERVICE</v>
          </cell>
          <cell r="J2438" t="str">
            <v>FLAC 5</v>
          </cell>
          <cell r="K2438" t="str">
            <v>LACTALIS</v>
          </cell>
          <cell r="L2438" t="str">
            <v>RODRIGO</v>
          </cell>
          <cell r="M2438" t="str">
            <v>ALEXANDRO</v>
          </cell>
        </row>
        <row r="2439">
          <cell r="B2439">
            <v>5109334</v>
          </cell>
          <cell r="C2439" t="str">
            <v>CENTRAL OSASCO DIST ALIM E BEBI</v>
          </cell>
          <cell r="D2439" t="str">
            <v>6001</v>
          </cell>
          <cell r="E2439" t="str">
            <v>6028</v>
          </cell>
          <cell r="F2439" t="str">
            <v>C1</v>
          </cell>
          <cell r="G2439" t="str">
            <v>SP</v>
          </cell>
          <cell r="H2439" t="str">
            <v>INGREDIENTS</v>
          </cell>
          <cell r="I2439" t="str">
            <v>INGREDIENTS</v>
          </cell>
          <cell r="J2439" t="str">
            <v>DUAS RODAS</v>
          </cell>
          <cell r="K2439" t="str">
            <v>ITAMBÉ</v>
          </cell>
          <cell r="L2439" t="str">
            <v>MAURICIO</v>
          </cell>
          <cell r="M2439" t="str">
            <v>TATIANA NITTA</v>
          </cell>
        </row>
        <row r="2440">
          <cell r="B2440">
            <v>5162498</v>
          </cell>
          <cell r="C2440" t="str">
            <v>DOCE ENCONTRO LTDA</v>
          </cell>
          <cell r="D2440" t="str">
            <v>3001</v>
          </cell>
          <cell r="E2440" t="str">
            <v>0028</v>
          </cell>
          <cell r="F2440" t="str">
            <v>C1</v>
          </cell>
          <cell r="G2440" t="str">
            <v>PR</v>
          </cell>
          <cell r="H2440" t="str">
            <v>INGREDIENTS</v>
          </cell>
          <cell r="I2440" t="str">
            <v>INGREDIENTS</v>
          </cell>
          <cell r="J2440" t="str">
            <v>MARCELO RODRIGUES</v>
          </cell>
          <cell r="K2440" t="str">
            <v>ITAMBÉ</v>
          </cell>
          <cell r="L2440" t="str">
            <v>MAURICIO</v>
          </cell>
          <cell r="M2440" t="str">
            <v>MARCELO</v>
          </cell>
        </row>
        <row r="2441">
          <cell r="B2441">
            <v>5178343</v>
          </cell>
          <cell r="C2441" t="str">
            <v>NT INDSUTRIA E COM DE PANIFICAC</v>
          </cell>
          <cell r="D2441" t="str">
            <v>4001</v>
          </cell>
          <cell r="E2441" t="str">
            <v>0531</v>
          </cell>
          <cell r="F2441" t="str">
            <v>C5</v>
          </cell>
          <cell r="G2441" t="str">
            <v>AM</v>
          </cell>
          <cell r="H2441" t="str">
            <v>DISTRIBUIÇÃO</v>
          </cell>
          <cell r="I2441" t="str">
            <v>FOOD SERVICE</v>
          </cell>
          <cell r="J2441" t="str">
            <v>CLAUDIO JORGE</v>
          </cell>
          <cell r="K2441" t="str">
            <v>LACTALIS</v>
          </cell>
          <cell r="L2441" t="str">
            <v>RODRIGO</v>
          </cell>
          <cell r="M2441" t="str">
            <v>MARCO AURELIO</v>
          </cell>
        </row>
        <row r="2442">
          <cell r="B2442">
            <v>5263281</v>
          </cell>
          <cell r="C2442" t="str">
            <v>PAO E TALHO SANDUICHERIA LTDA M</v>
          </cell>
          <cell r="D2442" t="str">
            <v>7001</v>
          </cell>
          <cell r="E2442" t="str">
            <v>0749</v>
          </cell>
          <cell r="F2442" t="str">
            <v>C5</v>
          </cell>
          <cell r="G2442" t="str">
            <v>SP</v>
          </cell>
          <cell r="H2442" t="str">
            <v>DISTRIBUIÇÃO</v>
          </cell>
          <cell r="I2442" t="str">
            <v>FOOD SERVICE</v>
          </cell>
          <cell r="J2442" t="str">
            <v>FLAC 2</v>
          </cell>
          <cell r="K2442" t="str">
            <v>LACTALIS</v>
          </cell>
          <cell r="L2442" t="str">
            <v>RODRIGO</v>
          </cell>
          <cell r="M2442" t="str">
            <v>ALEXANDRO</v>
          </cell>
        </row>
        <row r="2443">
          <cell r="B2443">
            <v>5354761</v>
          </cell>
          <cell r="C2443" t="str">
            <v>DISTRIBUIDORA DIEGO MORANGOS LT</v>
          </cell>
          <cell r="D2443" t="str">
            <v>3001</v>
          </cell>
          <cell r="E2443" t="str">
            <v>0028</v>
          </cell>
          <cell r="F2443" t="str">
            <v>C1</v>
          </cell>
          <cell r="G2443" t="str">
            <v>MG</v>
          </cell>
          <cell r="H2443" t="str">
            <v>INGREDIENTS</v>
          </cell>
          <cell r="I2443" t="str">
            <v>INGREDIENTS</v>
          </cell>
          <cell r="J2443" t="str">
            <v>HENRIQUE FERREIRA</v>
          </cell>
          <cell r="K2443" t="str">
            <v>ITAMBÉ</v>
          </cell>
          <cell r="L2443" t="str">
            <v>MAURICIO</v>
          </cell>
          <cell r="M2443" t="str">
            <v>JOEL</v>
          </cell>
        </row>
        <row r="2444">
          <cell r="B2444">
            <v>5355051</v>
          </cell>
          <cell r="C2444" t="str">
            <v>UNIAO LOGISTICA IMPORTACAO E EX</v>
          </cell>
          <cell r="D2444" t="str">
            <v>4001</v>
          </cell>
          <cell r="E2444" t="str">
            <v>0437</v>
          </cell>
          <cell r="F2444" t="str">
            <v>C1</v>
          </cell>
          <cell r="G2444" t="str">
            <v>SP</v>
          </cell>
          <cell r="H2444" t="str">
            <v>INGREDIENTS</v>
          </cell>
          <cell r="I2444" t="str">
            <v>INGREDIENTS</v>
          </cell>
          <cell r="J2444" t="str">
            <v>MARCELO RODRIGUES</v>
          </cell>
          <cell r="K2444" t="str">
            <v>LACTALIS</v>
          </cell>
          <cell r="L2444" t="str">
            <v>MAURICIO</v>
          </cell>
          <cell r="M2444" t="str">
            <v>MARCELO</v>
          </cell>
        </row>
        <row r="2445">
          <cell r="B2445">
            <v>5348271</v>
          </cell>
          <cell r="C2445" t="str">
            <v>CENTRAL MIX LTDA</v>
          </cell>
          <cell r="D2445" t="str">
            <v>3001</v>
          </cell>
          <cell r="E2445" t="str">
            <v>0122</v>
          </cell>
          <cell r="F2445" t="str">
            <v>C1</v>
          </cell>
          <cell r="G2445" t="str">
            <v>MG</v>
          </cell>
          <cell r="H2445" t="str">
            <v>DISTRIBUIÇÃO</v>
          </cell>
          <cell r="I2445" t="str">
            <v>FOOD SERVICE</v>
          </cell>
          <cell r="J2445" t="str">
            <v>MARCELO SILVA</v>
          </cell>
          <cell r="K2445" t="str">
            <v>ITAMBÉ</v>
          </cell>
          <cell r="L2445" t="str">
            <v>RODRIGO</v>
          </cell>
          <cell r="M2445" t="str">
            <v>CELIO MARTINS</v>
          </cell>
        </row>
        <row r="2446">
          <cell r="B2446">
            <v>5353525</v>
          </cell>
          <cell r="C2446" t="str">
            <v>AEROMATE DISTRIBUIDORA LTDA</v>
          </cell>
          <cell r="D2446" t="str">
            <v>7001</v>
          </cell>
          <cell r="E2446" t="str">
            <v>0749</v>
          </cell>
          <cell r="F2446" t="str">
            <v>C5</v>
          </cell>
          <cell r="G2446" t="str">
            <v>SP</v>
          </cell>
          <cell r="H2446" t="str">
            <v>DISTRIBUIÇÃO</v>
          </cell>
          <cell r="I2446" t="str">
            <v>FOOD SERVICE</v>
          </cell>
          <cell r="J2446" t="str">
            <v>FLAC 3</v>
          </cell>
          <cell r="K2446" t="str">
            <v>LACTALIS</v>
          </cell>
          <cell r="L2446" t="str">
            <v>RODRIGO</v>
          </cell>
          <cell r="M2446" t="str">
            <v>ALEXANDRO</v>
          </cell>
        </row>
        <row r="2447">
          <cell r="B2447">
            <v>5355174</v>
          </cell>
          <cell r="C2447" t="str">
            <v>JOH GASTRONOMIA LTDA</v>
          </cell>
          <cell r="D2447" t="str">
            <v>7001</v>
          </cell>
          <cell r="E2447" t="str">
            <v>0749</v>
          </cell>
          <cell r="F2447" t="str">
            <v>C5</v>
          </cell>
          <cell r="G2447" t="str">
            <v>SP</v>
          </cell>
          <cell r="H2447" t="str">
            <v>DISTRIBUIÇÃO</v>
          </cell>
          <cell r="I2447" t="str">
            <v>FOOD SERVICE</v>
          </cell>
          <cell r="J2447" t="str">
            <v>FLAC 5</v>
          </cell>
          <cell r="K2447" t="str">
            <v>LACTALIS</v>
          </cell>
          <cell r="L2447" t="str">
            <v>RODRIGO</v>
          </cell>
          <cell r="M2447" t="str">
            <v>ALEXANDRO</v>
          </cell>
        </row>
        <row r="2448">
          <cell r="B2448">
            <v>5160918</v>
          </cell>
          <cell r="C2448" t="str">
            <v>PECCIN S A</v>
          </cell>
          <cell r="D2448" t="str">
            <v>4001</v>
          </cell>
          <cell r="E2448" t="str">
            <v>0455</v>
          </cell>
          <cell r="F2448" t="str">
            <v>C1</v>
          </cell>
          <cell r="G2448" t="str">
            <v>RS</v>
          </cell>
          <cell r="H2448" t="str">
            <v>INGREDIENTS</v>
          </cell>
          <cell r="I2448" t="str">
            <v>INGREDIENTS</v>
          </cell>
          <cell r="J2448" t="str">
            <v>MARCELO RODRIGUES</v>
          </cell>
          <cell r="K2448" t="str">
            <v>LACTALIS</v>
          </cell>
          <cell r="L2448" t="str">
            <v>MAURICIO</v>
          </cell>
          <cell r="M2448" t="str">
            <v>MARCELO</v>
          </cell>
        </row>
        <row r="2449">
          <cell r="B2449">
            <v>5206128</v>
          </cell>
          <cell r="C2449" t="str">
            <v>NUTRIWAY FOODS INDUSTRIA</v>
          </cell>
          <cell r="D2449" t="str">
            <v>4001</v>
          </cell>
          <cell r="E2449" t="str">
            <v>0437</v>
          </cell>
          <cell r="F2449" t="str">
            <v>C1</v>
          </cell>
          <cell r="G2449" t="str">
            <v>MG</v>
          </cell>
          <cell r="H2449" t="str">
            <v>INGREDIENTS</v>
          </cell>
          <cell r="I2449" t="str">
            <v>INGREDIENTS</v>
          </cell>
          <cell r="J2449" t="str">
            <v>JOEL ELEOTÉRIO</v>
          </cell>
          <cell r="K2449" t="str">
            <v>LACTALIS</v>
          </cell>
          <cell r="L2449" t="str">
            <v>MAURICIO</v>
          </cell>
          <cell r="M2449" t="str">
            <v>JOEL</v>
          </cell>
        </row>
        <row r="2450">
          <cell r="B2450">
            <v>5352912</v>
          </cell>
          <cell r="C2450" t="str">
            <v>EMPORIO MC MINI MERCADO E PAD L</v>
          </cell>
          <cell r="D2450" t="str">
            <v>7001</v>
          </cell>
          <cell r="E2450" t="str">
            <v>0749</v>
          </cell>
          <cell r="F2450" t="str">
            <v>C5</v>
          </cell>
          <cell r="G2450" t="str">
            <v>SP</v>
          </cell>
          <cell r="H2450" t="str">
            <v>DISTRIBUIÇÃO</v>
          </cell>
          <cell r="I2450" t="str">
            <v>FOOD SERVICE</v>
          </cell>
          <cell r="J2450" t="str">
            <v>FLAC 5</v>
          </cell>
          <cell r="K2450" t="str">
            <v>LACTALIS</v>
          </cell>
          <cell r="L2450" t="str">
            <v>RODRIGO</v>
          </cell>
          <cell r="M2450" t="str">
            <v>ALEXANDRO</v>
          </cell>
        </row>
        <row r="2451">
          <cell r="B2451">
            <v>5355120</v>
          </cell>
          <cell r="C2451" t="str">
            <v>ATEMPORAL ALIMENTOS LTDA</v>
          </cell>
          <cell r="D2451" t="str">
            <v>7001</v>
          </cell>
          <cell r="E2451" t="str">
            <v>0749</v>
          </cell>
          <cell r="F2451" t="str">
            <v>C5</v>
          </cell>
          <cell r="G2451" t="str">
            <v>SP</v>
          </cell>
          <cell r="H2451" t="str">
            <v>DISTRIBUIÇÃO</v>
          </cell>
          <cell r="I2451" t="str">
            <v>FOOD SERVICE</v>
          </cell>
          <cell r="J2451" t="str">
            <v>FLAC 5</v>
          </cell>
          <cell r="K2451" t="str">
            <v>LACTALIS</v>
          </cell>
          <cell r="L2451" t="str">
            <v>RODRIGO</v>
          </cell>
          <cell r="M2451" t="str">
            <v>ALEXANDRO</v>
          </cell>
        </row>
        <row r="2452">
          <cell r="B2452">
            <v>5216898</v>
          </cell>
          <cell r="C2452" t="str">
            <v>CASA DAS EMBALAGENS E DOCES</v>
          </cell>
          <cell r="D2452" t="str">
            <v>6001</v>
          </cell>
          <cell r="E2452" t="str">
            <v>6169</v>
          </cell>
          <cell r="F2452" t="str">
            <v>C1</v>
          </cell>
          <cell r="G2452" t="str">
            <v>ES</v>
          </cell>
          <cell r="H2452" t="str">
            <v>DISTRIBUIÇÃO</v>
          </cell>
          <cell r="I2452" t="str">
            <v>FOOD SERVICE</v>
          </cell>
          <cell r="J2452" t="str">
            <v>MARCELO DUARTE</v>
          </cell>
          <cell r="K2452" t="str">
            <v>ITAMBÉ</v>
          </cell>
          <cell r="L2452" t="str">
            <v>RODRIGO</v>
          </cell>
          <cell r="M2452" t="str">
            <v>JESSICA</v>
          </cell>
        </row>
        <row r="2453">
          <cell r="B2453">
            <v>5353717</v>
          </cell>
          <cell r="C2453" t="str">
            <v>GNTP PIZ TRATORIA E RESTAURANTE</v>
          </cell>
          <cell r="D2453" t="str">
            <v>7001</v>
          </cell>
          <cell r="E2453" t="str">
            <v>0749</v>
          </cell>
          <cell r="F2453" t="str">
            <v>C5</v>
          </cell>
          <cell r="G2453" t="str">
            <v>SP</v>
          </cell>
          <cell r="H2453" t="str">
            <v>DISTRIBUIÇÃO</v>
          </cell>
          <cell r="I2453" t="str">
            <v>FOOD SERVICE</v>
          </cell>
          <cell r="J2453" t="str">
            <v>FLAC 5</v>
          </cell>
          <cell r="K2453" t="str">
            <v>LACTALIS</v>
          </cell>
          <cell r="L2453" t="str">
            <v>RODRIGO</v>
          </cell>
          <cell r="M2453" t="str">
            <v>ALEXANDRO</v>
          </cell>
        </row>
        <row r="2454">
          <cell r="B2454">
            <v>5008478</v>
          </cell>
          <cell r="C2454" t="str">
            <v>JCA FOODS COM DE PROD ALIM LTDA</v>
          </cell>
          <cell r="D2454" t="str">
            <v>6001</v>
          </cell>
          <cell r="E2454" t="str">
            <v>6125</v>
          </cell>
          <cell r="F2454" t="str">
            <v>C1</v>
          </cell>
          <cell r="G2454" t="str">
            <v>SP</v>
          </cell>
          <cell r="H2454" t="str">
            <v>DISTRIBUIÇÃO</v>
          </cell>
          <cell r="I2454" t="str">
            <v>FOOD SERVICE</v>
          </cell>
          <cell r="J2454" t="str">
            <v>LUCAS ANDRADE</v>
          </cell>
          <cell r="K2454" t="str">
            <v>ITAMBÉ</v>
          </cell>
          <cell r="L2454" t="str">
            <v>RODRIGO</v>
          </cell>
          <cell r="M2454" t="str">
            <v>RAQUEL BARBOSA</v>
          </cell>
        </row>
        <row r="2455">
          <cell r="B2455">
            <v>5331354</v>
          </cell>
          <cell r="C2455" t="str">
            <v>JFS ALIMENTOS LTDA</v>
          </cell>
          <cell r="D2455" t="str">
            <v>4001</v>
          </cell>
          <cell r="E2455" t="str">
            <v>0437</v>
          </cell>
          <cell r="F2455" t="str">
            <v>C1</v>
          </cell>
          <cell r="G2455" t="str">
            <v>SP</v>
          </cell>
          <cell r="H2455" t="str">
            <v>INGREDIENTS</v>
          </cell>
          <cell r="I2455" t="str">
            <v>INGREDIENTS</v>
          </cell>
          <cell r="J2455" t="str">
            <v>MARCELO RODRIGUES</v>
          </cell>
          <cell r="K2455" t="str">
            <v>LACTALIS</v>
          </cell>
          <cell r="L2455" t="str">
            <v>MAURICIO</v>
          </cell>
          <cell r="M2455" t="str">
            <v>MARCELO</v>
          </cell>
        </row>
        <row r="2456">
          <cell r="B2456">
            <v>5355292</v>
          </cell>
          <cell r="C2456" t="str">
            <v>DOM MAITRE BUFFET E EVENTOS LTD</v>
          </cell>
          <cell r="D2456" t="str">
            <v>7001</v>
          </cell>
          <cell r="E2456" t="str">
            <v>0749</v>
          </cell>
          <cell r="F2456" t="str">
            <v>C5</v>
          </cell>
          <cell r="G2456" t="str">
            <v>SP</v>
          </cell>
          <cell r="H2456" t="str">
            <v>DISTRIBUIÇÃO</v>
          </cell>
          <cell r="I2456" t="str">
            <v>FOOD SERVICE</v>
          </cell>
          <cell r="J2456" t="str">
            <v>FLAC 5</v>
          </cell>
          <cell r="K2456" t="str">
            <v>LACTALIS</v>
          </cell>
          <cell r="L2456" t="str">
            <v>RODRIGO</v>
          </cell>
          <cell r="M2456" t="str">
            <v>ALEXANDRO</v>
          </cell>
        </row>
        <row r="2457">
          <cell r="B2457">
            <v>5355294</v>
          </cell>
          <cell r="C2457" t="str">
            <v>RB HAMBURGUERIA CENTRO LTDA</v>
          </cell>
          <cell r="D2457" t="str">
            <v>7001</v>
          </cell>
          <cell r="E2457" t="str">
            <v>0749</v>
          </cell>
          <cell r="F2457" t="str">
            <v>C5</v>
          </cell>
          <cell r="G2457" t="str">
            <v>SP</v>
          </cell>
          <cell r="H2457" t="str">
            <v>DISTRIBUIÇÃO</v>
          </cell>
          <cell r="I2457" t="str">
            <v>FOOD SERVICE</v>
          </cell>
          <cell r="J2457" t="str">
            <v>FLAC 2</v>
          </cell>
          <cell r="K2457" t="str">
            <v>LACTALIS</v>
          </cell>
          <cell r="L2457" t="str">
            <v>RODRIGO</v>
          </cell>
          <cell r="M2457" t="str">
            <v>ALEXANDRO</v>
          </cell>
        </row>
        <row r="2458">
          <cell r="B2458">
            <v>5182828</v>
          </cell>
          <cell r="C2458" t="str">
            <v>AMORIX ALIMENTOS LTDA</v>
          </cell>
          <cell r="D2458" t="str">
            <v>7001</v>
          </cell>
          <cell r="E2458" t="str">
            <v>0562</v>
          </cell>
          <cell r="F2458" t="str">
            <v>C5</v>
          </cell>
          <cell r="G2458" t="str">
            <v>GO</v>
          </cell>
          <cell r="H2458" t="str">
            <v>DISTRIBUIÇÃO</v>
          </cell>
          <cell r="I2458" t="str">
            <v>FOOD SERVICE</v>
          </cell>
          <cell r="J2458" t="str">
            <v>CLAUDIO JORGE</v>
          </cell>
          <cell r="K2458" t="str">
            <v>LACTALIS</v>
          </cell>
          <cell r="L2458" t="str">
            <v>RODRIGO</v>
          </cell>
          <cell r="M2458" t="str">
            <v>MARCO AURELIO</v>
          </cell>
        </row>
        <row r="2459">
          <cell r="B2459">
            <v>5228827</v>
          </cell>
          <cell r="C2459" t="str">
            <v>FABRICA ACAI MAGNIFICO LTDA</v>
          </cell>
          <cell r="D2459" t="str">
            <v>3001</v>
          </cell>
          <cell r="E2459" t="str">
            <v>0028</v>
          </cell>
          <cell r="F2459" t="str">
            <v>C1</v>
          </cell>
          <cell r="G2459" t="str">
            <v>SP</v>
          </cell>
          <cell r="H2459" t="str">
            <v>INGREDIENTS</v>
          </cell>
          <cell r="I2459" t="str">
            <v>INGREDIENTS</v>
          </cell>
          <cell r="J2459" t="str">
            <v>HENRIQUE FERREIRA</v>
          </cell>
          <cell r="K2459" t="str">
            <v>ITAMBÉ</v>
          </cell>
          <cell r="L2459" t="str">
            <v>MAURICIO</v>
          </cell>
          <cell r="M2459" t="str">
            <v>JOEL</v>
          </cell>
        </row>
        <row r="2460">
          <cell r="B2460">
            <v>5355125</v>
          </cell>
          <cell r="C2460" t="str">
            <v>FAGS COMERCIO LTDA</v>
          </cell>
          <cell r="D2460" t="str">
            <v>3001</v>
          </cell>
          <cell r="E2460" t="str">
            <v>0028</v>
          </cell>
          <cell r="F2460" t="str">
            <v>C1</v>
          </cell>
          <cell r="G2460" t="str">
            <v>PR</v>
          </cell>
          <cell r="H2460" t="str">
            <v>INGREDIENTS</v>
          </cell>
          <cell r="I2460" t="str">
            <v>INGREDIENTS</v>
          </cell>
          <cell r="J2460" t="str">
            <v>MARCELO RODRIGUES</v>
          </cell>
          <cell r="K2460" t="str">
            <v>ITAMBÉ</v>
          </cell>
          <cell r="L2460" t="str">
            <v>MAURICIO</v>
          </cell>
          <cell r="M2460" t="str">
            <v>MARCELO</v>
          </cell>
        </row>
        <row r="2461">
          <cell r="B2461">
            <v>5213747</v>
          </cell>
          <cell r="C2461" t="str">
            <v>MEGGA MANIA SORVETES</v>
          </cell>
          <cell r="D2461" t="str">
            <v>6001</v>
          </cell>
          <cell r="E2461" t="str">
            <v>6028</v>
          </cell>
          <cell r="F2461" t="str">
            <v>C1</v>
          </cell>
          <cell r="G2461" t="str">
            <v>SP</v>
          </cell>
          <cell r="H2461" t="str">
            <v>INGREDIENTS</v>
          </cell>
          <cell r="I2461" t="str">
            <v>INGREDIENTS</v>
          </cell>
          <cell r="J2461" t="str">
            <v>DUAS RODAS</v>
          </cell>
          <cell r="K2461" t="str">
            <v>ITAMBÉ</v>
          </cell>
          <cell r="L2461" t="str">
            <v>MAURICIO</v>
          </cell>
          <cell r="M2461" t="str">
            <v>TATIANA NITTA</v>
          </cell>
        </row>
        <row r="2462">
          <cell r="B2462">
            <v>5354394</v>
          </cell>
          <cell r="C2462" t="str">
            <v>POMAR DO NORTE C DE P AL E B LT</v>
          </cell>
          <cell r="D2462" t="str">
            <v>7001</v>
          </cell>
          <cell r="E2462" t="str">
            <v>0749</v>
          </cell>
          <cell r="F2462" t="str">
            <v>C5</v>
          </cell>
          <cell r="G2462" t="str">
            <v>SP</v>
          </cell>
          <cell r="H2462" t="str">
            <v>DISTRIBUIÇÃO</v>
          </cell>
          <cell r="I2462" t="str">
            <v>FOOD SERVICE</v>
          </cell>
          <cell r="J2462" t="str">
            <v>FLAC 2</v>
          </cell>
          <cell r="K2462" t="str">
            <v>LACTALIS</v>
          </cell>
          <cell r="L2462" t="str">
            <v>RODRIGO</v>
          </cell>
          <cell r="M2462" t="str">
            <v>ALEXANDRO</v>
          </cell>
        </row>
        <row r="2463">
          <cell r="B2463">
            <v>5355547</v>
          </cell>
          <cell r="C2463" t="str">
            <v>GGC ALIMENTOS LTDA</v>
          </cell>
          <cell r="D2463" t="str">
            <v>3001</v>
          </cell>
          <cell r="E2463" t="str">
            <v>0028</v>
          </cell>
          <cell r="F2463" t="str">
            <v>C1</v>
          </cell>
          <cell r="G2463" t="str">
            <v>MG</v>
          </cell>
          <cell r="H2463" t="str">
            <v>INGREDIENTS</v>
          </cell>
          <cell r="I2463" t="str">
            <v>INGREDIENTS</v>
          </cell>
          <cell r="J2463" t="str">
            <v>HENRIQUE FERREIRA</v>
          </cell>
          <cell r="K2463" t="str">
            <v>ITAMBÉ</v>
          </cell>
          <cell r="L2463" t="str">
            <v>MAURICIO</v>
          </cell>
          <cell r="M2463" t="str">
            <v>JOEL</v>
          </cell>
        </row>
        <row r="2464">
          <cell r="B2464">
            <v>5058881</v>
          </cell>
          <cell r="C2464" t="str">
            <v>GR SERVICOS E ALIMENTACAO LTDA</v>
          </cell>
          <cell r="D2464" t="str">
            <v>7001</v>
          </cell>
          <cell r="E2464" t="str">
            <v>0749</v>
          </cell>
          <cell r="F2464" t="str">
            <v>C5</v>
          </cell>
          <cell r="G2464" t="str">
            <v>SP</v>
          </cell>
          <cell r="H2464" t="str">
            <v>QSR</v>
          </cell>
          <cell r="I2464" t="str">
            <v>FOOD SERVICE</v>
          </cell>
          <cell r="J2464" t="str">
            <v>NUTRI</v>
          </cell>
          <cell r="K2464" t="str">
            <v>LACTALIS</v>
          </cell>
          <cell r="L2464" t="str">
            <v>PEDRO</v>
          </cell>
          <cell r="M2464" t="str">
            <v>AMANDA</v>
          </cell>
        </row>
        <row r="2465">
          <cell r="B2465">
            <v>5191198</v>
          </cell>
          <cell r="C2465" t="str">
            <v>ACAI NO KILO INDUS E COME DE AL</v>
          </cell>
          <cell r="D2465" t="str">
            <v>6001</v>
          </cell>
          <cell r="E2465" t="str">
            <v>6009</v>
          </cell>
          <cell r="F2465" t="str">
            <v>C1</v>
          </cell>
          <cell r="G2465" t="str">
            <v>BA</v>
          </cell>
          <cell r="H2465" t="str">
            <v>DISTRIBUIÇÃO</v>
          </cell>
          <cell r="I2465" t="str">
            <v>FOOD SERVICE</v>
          </cell>
          <cell r="J2465" t="str">
            <v xml:space="preserve">KARIS FOOD / LUIZ </v>
          </cell>
          <cell r="K2465" t="str">
            <v>ITAMBÉ</v>
          </cell>
          <cell r="L2465" t="str">
            <v>RODRIGO</v>
          </cell>
          <cell r="M2465" t="str">
            <v>VAGO NORDESTE</v>
          </cell>
        </row>
        <row r="2466">
          <cell r="B2466">
            <v>5199893</v>
          </cell>
          <cell r="C2466" t="str">
            <v>JADE COM ATAC DE PROD EM SACHES</v>
          </cell>
          <cell r="D2466" t="str">
            <v>7001</v>
          </cell>
          <cell r="E2466" t="str">
            <v>0756</v>
          </cell>
          <cell r="F2466" t="str">
            <v>C1</v>
          </cell>
          <cell r="G2466" t="str">
            <v>SC</v>
          </cell>
          <cell r="H2466" t="str">
            <v>DISTRIBUIÇÃO</v>
          </cell>
          <cell r="I2466" t="str">
            <v>FOOD SERVICE</v>
          </cell>
          <cell r="J2466" t="str">
            <v>ANTÔNIO SOUZA</v>
          </cell>
          <cell r="K2466" t="str">
            <v>LACTALIS</v>
          </cell>
          <cell r="L2466" t="str">
            <v>RODRIGO</v>
          </cell>
          <cell r="M2466" t="str">
            <v>VAGO SUL</v>
          </cell>
        </row>
        <row r="2467">
          <cell r="B2467">
            <v>5355693</v>
          </cell>
          <cell r="C2467" t="str">
            <v>MICA CHOCOLATES LTDA</v>
          </cell>
          <cell r="D2467" t="str">
            <v>7001</v>
          </cell>
          <cell r="E2467" t="str">
            <v>0749</v>
          </cell>
          <cell r="F2467" t="str">
            <v>C5</v>
          </cell>
          <cell r="G2467" t="str">
            <v>SP</v>
          </cell>
          <cell r="H2467" t="str">
            <v>DISTRIBUIÇÃO</v>
          </cell>
          <cell r="I2467" t="str">
            <v>FOOD SERVICE</v>
          </cell>
          <cell r="J2467" t="str">
            <v>FLAC 10</v>
          </cell>
          <cell r="K2467" t="str">
            <v>LACTALIS</v>
          </cell>
          <cell r="L2467" t="str">
            <v>RODRIGO</v>
          </cell>
          <cell r="M2467" t="str">
            <v>ALEXANDRO</v>
          </cell>
        </row>
        <row r="2468">
          <cell r="B2468">
            <v>5262010</v>
          </cell>
          <cell r="C2468" t="str">
            <v>JOSE ROBERTO NESTORIO SORVET BO</v>
          </cell>
          <cell r="D2468" t="str">
            <v>7001</v>
          </cell>
          <cell r="E2468" t="str">
            <v>0749</v>
          </cell>
          <cell r="F2468" t="str">
            <v>C5</v>
          </cell>
          <cell r="G2468" t="str">
            <v>SP</v>
          </cell>
          <cell r="H2468" t="str">
            <v>DISTRIBUIÇÃO</v>
          </cell>
          <cell r="I2468" t="str">
            <v>FOOD SERVICE</v>
          </cell>
          <cell r="J2468" t="str">
            <v>FLAC 3</v>
          </cell>
          <cell r="K2468" t="str">
            <v>LACTALIS</v>
          </cell>
          <cell r="L2468" t="str">
            <v>RODRIGO</v>
          </cell>
          <cell r="M2468" t="str">
            <v>ALEXANDRO</v>
          </cell>
        </row>
        <row r="2469">
          <cell r="B2469">
            <v>5352468</v>
          </cell>
          <cell r="C2469" t="str">
            <v>GJ FUNCHAL LTDA</v>
          </cell>
          <cell r="D2469" t="str">
            <v>7001</v>
          </cell>
          <cell r="E2469" t="str">
            <v>0749</v>
          </cell>
          <cell r="F2469" t="str">
            <v>C5</v>
          </cell>
          <cell r="G2469" t="str">
            <v>SP</v>
          </cell>
          <cell r="H2469" t="str">
            <v>DISTRIBUIÇÃO</v>
          </cell>
          <cell r="I2469" t="str">
            <v>FOOD SERVICE</v>
          </cell>
          <cell r="J2469" t="str">
            <v>FLAC 5</v>
          </cell>
          <cell r="K2469" t="str">
            <v>LACTALIS</v>
          </cell>
          <cell r="L2469" t="str">
            <v>RODRIGO</v>
          </cell>
          <cell r="M2469" t="str">
            <v>ALEXANDRO</v>
          </cell>
        </row>
        <row r="2470">
          <cell r="B2470">
            <v>5355103</v>
          </cell>
          <cell r="C2470" t="str">
            <v>ATRIO HOTEIS S A</v>
          </cell>
          <cell r="D2470" t="str">
            <v>7001</v>
          </cell>
          <cell r="E2470" t="str">
            <v>0749</v>
          </cell>
          <cell r="F2470" t="str">
            <v>C5</v>
          </cell>
          <cell r="G2470" t="str">
            <v>SP</v>
          </cell>
          <cell r="H2470" t="str">
            <v>DISTRIBUIÇÃO</v>
          </cell>
          <cell r="I2470" t="str">
            <v>FOOD SERVICE</v>
          </cell>
          <cell r="J2470" t="str">
            <v>FLAC 3</v>
          </cell>
          <cell r="K2470" t="str">
            <v>LACTALIS</v>
          </cell>
          <cell r="L2470" t="str">
            <v>RODRIGO</v>
          </cell>
          <cell r="M2470" t="str">
            <v>ALEXANDRO</v>
          </cell>
        </row>
        <row r="2471">
          <cell r="B2471">
            <v>5355680</v>
          </cell>
          <cell r="C2471" t="str">
            <v>48284083 WELLINGTON B FARIAS</v>
          </cell>
          <cell r="D2471" t="str">
            <v>7001</v>
          </cell>
          <cell r="E2471" t="str">
            <v>0749</v>
          </cell>
          <cell r="F2471" t="str">
            <v>C5</v>
          </cell>
          <cell r="G2471" t="str">
            <v>SP</v>
          </cell>
          <cell r="H2471" t="str">
            <v>DISTRIBUIÇÃO</v>
          </cell>
          <cell r="I2471" t="str">
            <v>FOOD SERVICE</v>
          </cell>
          <cell r="J2471" t="str">
            <v>FLAC 10</v>
          </cell>
          <cell r="K2471" t="str">
            <v>LACTALIS</v>
          </cell>
          <cell r="L2471" t="str">
            <v>RODRIGO</v>
          </cell>
          <cell r="M2471" t="str">
            <v>ALEXANDRO</v>
          </cell>
        </row>
        <row r="2472">
          <cell r="B2472">
            <v>5353255</v>
          </cell>
          <cell r="C2472" t="str">
            <v>PAULIMAR INDUSTRIA DISTRIBUIDOR</v>
          </cell>
          <cell r="D2472">
            <v>7001</v>
          </cell>
          <cell r="E2472" t="str">
            <v>0749</v>
          </cell>
          <cell r="F2472" t="str">
            <v>C5</v>
          </cell>
          <cell r="G2472" t="str">
            <v>SP</v>
          </cell>
          <cell r="H2472" t="str">
            <v>DISTRIBUIÇÃO</v>
          </cell>
          <cell r="I2472" t="str">
            <v>FOOD SERVICE</v>
          </cell>
          <cell r="J2472" t="str">
            <v>FLAC 10</v>
          </cell>
          <cell r="K2472" t="str">
            <v>LACTALIS</v>
          </cell>
          <cell r="L2472" t="str">
            <v>RODRIGO</v>
          </cell>
          <cell r="M2472" t="str">
            <v>ALEXANDRO</v>
          </cell>
        </row>
        <row r="2473">
          <cell r="B2473">
            <v>5352276</v>
          </cell>
          <cell r="C2473" t="str">
            <v>RESTAURANTE TRATTORIA DO PIER L</v>
          </cell>
          <cell r="D2473">
            <v>7001</v>
          </cell>
          <cell r="E2473" t="str">
            <v>0749</v>
          </cell>
          <cell r="F2473" t="str">
            <v>C5</v>
          </cell>
          <cell r="G2473" t="str">
            <v>SP</v>
          </cell>
          <cell r="H2473" t="str">
            <v>DISTRIBUIÇÃO</v>
          </cell>
          <cell r="I2473" t="str">
            <v>FOOD SERVICE</v>
          </cell>
          <cell r="J2473" t="str">
            <v>FLAC 4</v>
          </cell>
          <cell r="K2473" t="str">
            <v>LACTALIS</v>
          </cell>
          <cell r="L2473" t="str">
            <v>RODRIGO</v>
          </cell>
          <cell r="M2473" t="str">
            <v>ALEXANDRO</v>
          </cell>
        </row>
        <row r="2474">
          <cell r="B2474">
            <v>5036214</v>
          </cell>
          <cell r="C2474" t="str">
            <v>ESPACO CHEF COMERCIO E DIST LTD</v>
          </cell>
          <cell r="D2474" t="str">
            <v>6001</v>
          </cell>
          <cell r="E2474" t="str">
            <v>0127</v>
          </cell>
          <cell r="F2474" t="str">
            <v>C1</v>
          </cell>
          <cell r="G2474" t="str">
            <v>CE</v>
          </cell>
          <cell r="H2474" t="str">
            <v>DISTRIBUIÇÃO</v>
          </cell>
          <cell r="I2474" t="str">
            <v>FOOD SERVICE</v>
          </cell>
          <cell r="J2474" t="str">
            <v>WH FOOD SERVICE CE</v>
          </cell>
          <cell r="K2474" t="str">
            <v>ITAMBÉ</v>
          </cell>
          <cell r="L2474" t="str">
            <v>RODRIGO</v>
          </cell>
          <cell r="M2474" t="str">
            <v>VAGO NORDESTE</v>
          </cell>
        </row>
        <row r="2475">
          <cell r="B2475">
            <v>5041698</v>
          </cell>
          <cell r="C2475" t="str">
            <v>REFFEL PRODUTOS ALIMENTICIOS LT</v>
          </cell>
          <cell r="D2475" t="str">
            <v>6001</v>
          </cell>
          <cell r="E2475" t="str">
            <v>0125</v>
          </cell>
          <cell r="F2475" t="str">
            <v>C1</v>
          </cell>
          <cell r="G2475" t="str">
            <v>SP</v>
          </cell>
          <cell r="H2475" t="str">
            <v>INGREDIENTS</v>
          </cell>
          <cell r="I2475" t="str">
            <v>INGREDIENTS</v>
          </cell>
          <cell r="J2475" t="str">
            <v>HENRIQUE FERREIRA</v>
          </cell>
          <cell r="K2475" t="str">
            <v>ITAMBÉ</v>
          </cell>
          <cell r="L2475" t="str">
            <v>MAURICIO</v>
          </cell>
          <cell r="M2475" t="str">
            <v>JOEL</v>
          </cell>
        </row>
        <row r="2476">
          <cell r="B2476">
            <v>5044784</v>
          </cell>
          <cell r="C2476" t="str">
            <v>BOZZETTI COMERCIO DE DOCES LTDA</v>
          </cell>
          <cell r="D2476" t="str">
            <v>6001</v>
          </cell>
          <cell r="E2476" t="str">
            <v>0169</v>
          </cell>
          <cell r="F2476" t="str">
            <v>C1</v>
          </cell>
          <cell r="G2476" t="str">
            <v>ES</v>
          </cell>
          <cell r="H2476" t="str">
            <v>DISTRIBUIÇÃO</v>
          </cell>
          <cell r="I2476" t="str">
            <v>FOOD SERVICE</v>
          </cell>
          <cell r="J2476" t="str">
            <v>MARCELO DUARTE</v>
          </cell>
          <cell r="K2476" t="str">
            <v>ITAMBÉ</v>
          </cell>
          <cell r="L2476" t="str">
            <v>RODRIGO</v>
          </cell>
          <cell r="M2476" t="str">
            <v>JESSICA</v>
          </cell>
        </row>
        <row r="2477">
          <cell r="B2477">
            <v>5073333</v>
          </cell>
          <cell r="C2477" t="str">
            <v>TUFFUS</v>
          </cell>
          <cell r="D2477" t="str">
            <v>6001</v>
          </cell>
          <cell r="E2477" t="str">
            <v>0127</v>
          </cell>
          <cell r="F2477" t="str">
            <v>C1</v>
          </cell>
          <cell r="G2477" t="str">
            <v>BA</v>
          </cell>
          <cell r="H2477" t="str">
            <v>DISTRIBUIÇÃO</v>
          </cell>
          <cell r="I2477" t="str">
            <v>FOOD SERVICE</v>
          </cell>
          <cell r="J2477" t="str">
            <v xml:space="preserve">KARIS FOOD / LUIZ </v>
          </cell>
          <cell r="K2477" t="str">
            <v>ITAMBÉ</v>
          </cell>
          <cell r="L2477" t="str">
            <v>RODRIGO</v>
          </cell>
          <cell r="M2477" t="str">
            <v>VAGO NORDESTE</v>
          </cell>
        </row>
        <row r="2478">
          <cell r="B2478">
            <v>5161553</v>
          </cell>
          <cell r="C2478" t="str">
            <v>SAPORE SA</v>
          </cell>
          <cell r="D2478" t="str">
            <v>3001</v>
          </cell>
          <cell r="E2478" t="str">
            <v>0126</v>
          </cell>
          <cell r="F2478" t="str">
            <v>C1</v>
          </cell>
          <cell r="G2478" t="str">
            <v>PR</v>
          </cell>
          <cell r="H2478" t="str">
            <v>QSR</v>
          </cell>
          <cell r="I2478" t="str">
            <v>FOOD SERVICE</v>
          </cell>
          <cell r="J2478" t="str">
            <v>NUTRI</v>
          </cell>
          <cell r="K2478" t="str">
            <v>ITAMBÉ</v>
          </cell>
          <cell r="L2478" t="str">
            <v>PEDRO</v>
          </cell>
          <cell r="M2478" t="str">
            <v>AMANDA</v>
          </cell>
        </row>
        <row r="2479">
          <cell r="B2479">
            <v>5168151</v>
          </cell>
          <cell r="C2479" t="str">
            <v>I S M GOMES DE MATTOS LTDA</v>
          </cell>
          <cell r="D2479" t="str">
            <v>6001</v>
          </cell>
          <cell r="E2479" t="str">
            <v>0127</v>
          </cell>
          <cell r="F2479" t="str">
            <v>C1</v>
          </cell>
          <cell r="G2479" t="str">
            <v>CE</v>
          </cell>
          <cell r="H2479" t="str">
            <v>DISTRIBUIÇÃO</v>
          </cell>
          <cell r="I2479" t="str">
            <v>FOOD SERVICE</v>
          </cell>
          <cell r="J2479" t="str">
            <v>WH FOOD SERVICE CE</v>
          </cell>
          <cell r="K2479" t="str">
            <v>ITAMBÉ</v>
          </cell>
          <cell r="L2479" t="str">
            <v>RODRIGO</v>
          </cell>
          <cell r="M2479" t="str">
            <v>VAGO NORDESTE</v>
          </cell>
        </row>
        <row r="2480">
          <cell r="B2480">
            <v>5168941</v>
          </cell>
          <cell r="C2480" t="str">
            <v>GANACHE DOCERIA LTDA</v>
          </cell>
          <cell r="D2480" t="str">
            <v>6001</v>
          </cell>
          <cell r="E2480" t="str">
            <v>0127</v>
          </cell>
          <cell r="F2480" t="str">
            <v>C1</v>
          </cell>
          <cell r="G2480" t="str">
            <v>BA</v>
          </cell>
          <cell r="H2480" t="str">
            <v>DISTRIBUIÇÃO</v>
          </cell>
          <cell r="I2480" t="str">
            <v>FOOD SERVICE</v>
          </cell>
          <cell r="J2480" t="str">
            <v xml:space="preserve">KARIS FOOD / LUIZ </v>
          </cell>
          <cell r="K2480" t="str">
            <v>ITAMBÉ</v>
          </cell>
          <cell r="L2480" t="str">
            <v>RODRIGO</v>
          </cell>
          <cell r="M2480" t="str">
            <v>VAGO NORDESTE</v>
          </cell>
        </row>
        <row r="2481">
          <cell r="B2481">
            <v>5189644</v>
          </cell>
          <cell r="C2481" t="str">
            <v>BOCAO COMERCIO DE DOCES LTDA</v>
          </cell>
          <cell r="D2481" t="str">
            <v>6001</v>
          </cell>
          <cell r="E2481" t="str">
            <v>0125</v>
          </cell>
          <cell r="F2481" t="str">
            <v>C1</v>
          </cell>
          <cell r="G2481" t="str">
            <v>SP</v>
          </cell>
          <cell r="H2481" t="str">
            <v>DISTRIBUIÇÃO</v>
          </cell>
          <cell r="I2481" t="str">
            <v>FOOD SERVICE</v>
          </cell>
          <cell r="J2481" t="str">
            <v>EMMANUEL FRANCISCO</v>
          </cell>
          <cell r="K2481" t="str">
            <v>ITAMBÉ</v>
          </cell>
          <cell r="L2481" t="str">
            <v>RODRIGO</v>
          </cell>
          <cell r="M2481" t="str">
            <v>ALEXANDRO</v>
          </cell>
        </row>
        <row r="2482">
          <cell r="B2482">
            <v>5191198</v>
          </cell>
          <cell r="C2482" t="str">
            <v>ACAI NO KILO INDUS E COME DE AL</v>
          </cell>
          <cell r="D2482" t="str">
            <v>6001</v>
          </cell>
          <cell r="E2482" t="str">
            <v>0127</v>
          </cell>
          <cell r="F2482" t="str">
            <v>C1</v>
          </cell>
          <cell r="G2482" t="str">
            <v>BA</v>
          </cell>
          <cell r="H2482" t="str">
            <v>DISTRIBUIÇÃO</v>
          </cell>
          <cell r="I2482" t="str">
            <v>FOOD SERVICE</v>
          </cell>
          <cell r="J2482" t="str">
            <v xml:space="preserve">KARIS FOOD / LUIZ </v>
          </cell>
          <cell r="K2482" t="str">
            <v>ITAMBÉ</v>
          </cell>
          <cell r="L2482" t="str">
            <v>RODRIGO</v>
          </cell>
          <cell r="M2482" t="str">
            <v>VAGO NORDESTE</v>
          </cell>
        </row>
        <row r="2483">
          <cell r="B2483">
            <v>5199005</v>
          </cell>
          <cell r="C2483" t="str">
            <v>IMAC INDUSTRIA DE MASSAS CONGEL</v>
          </cell>
          <cell r="D2483" t="str">
            <v>6001</v>
          </cell>
          <cell r="E2483" t="str">
            <v>0127</v>
          </cell>
          <cell r="F2483" t="str">
            <v>C1</v>
          </cell>
          <cell r="G2483" t="str">
            <v>CE</v>
          </cell>
          <cell r="H2483" t="str">
            <v>DISTRIBUIÇÃO</v>
          </cell>
          <cell r="I2483" t="str">
            <v>FOOD SERVICE</v>
          </cell>
          <cell r="J2483" t="str">
            <v>WH FOOD SERVICE CE</v>
          </cell>
          <cell r="K2483" t="str">
            <v>ITAMBÉ</v>
          </cell>
          <cell r="L2483" t="str">
            <v>RODRIGO</v>
          </cell>
          <cell r="M2483" t="str">
            <v>VAGO NORDESTE</v>
          </cell>
        </row>
        <row r="2484">
          <cell r="B2484">
            <v>5204939</v>
          </cell>
          <cell r="C2484" t="str">
            <v>UNICA COMERCIO E DISTRIBUICAO L</v>
          </cell>
          <cell r="D2484" t="str">
            <v>6001</v>
          </cell>
          <cell r="E2484" t="str">
            <v>0125</v>
          </cell>
          <cell r="F2484" t="str">
            <v>C1</v>
          </cell>
          <cell r="G2484" t="str">
            <v>SP</v>
          </cell>
          <cell r="H2484" t="str">
            <v>QSR</v>
          </cell>
          <cell r="I2484" t="str">
            <v>FOOD SERVICE</v>
          </cell>
          <cell r="J2484" t="str">
            <v>AMANDA CARVALHO</v>
          </cell>
          <cell r="K2484" t="str">
            <v>ITAMBÉ</v>
          </cell>
          <cell r="L2484" t="str">
            <v>PEDRO</v>
          </cell>
          <cell r="M2484" t="str">
            <v>AMANDA</v>
          </cell>
        </row>
        <row r="2485">
          <cell r="B2485">
            <v>5216898</v>
          </cell>
          <cell r="C2485" t="str">
            <v>CASA DAS EMBALAGENS E DOCES</v>
          </cell>
          <cell r="D2485" t="str">
            <v>6001</v>
          </cell>
          <cell r="E2485" t="str">
            <v>0169</v>
          </cell>
          <cell r="F2485" t="str">
            <v>C1</v>
          </cell>
          <cell r="G2485" t="str">
            <v>ES</v>
          </cell>
          <cell r="H2485" t="str">
            <v>DISTRIBUIÇÃO</v>
          </cell>
          <cell r="I2485" t="str">
            <v>FOOD SERVICE</v>
          </cell>
          <cell r="J2485" t="str">
            <v>MARCELO DUARTE</v>
          </cell>
          <cell r="K2485" t="str">
            <v>ITAMBÉ</v>
          </cell>
          <cell r="L2485" t="str">
            <v>RODRIGO</v>
          </cell>
          <cell r="M2485" t="str">
            <v>JESSICA</v>
          </cell>
        </row>
        <row r="2486">
          <cell r="B2486">
            <v>5218945</v>
          </cell>
          <cell r="C2486" t="str">
            <v>MAIS LEVE C DE ALIMENTOS SAUDAV</v>
          </cell>
          <cell r="D2486" t="str">
            <v>6001</v>
          </cell>
          <cell r="E2486" t="str">
            <v>0127</v>
          </cell>
          <cell r="F2486" t="str">
            <v>C1</v>
          </cell>
          <cell r="G2486" t="str">
            <v>BA</v>
          </cell>
          <cell r="H2486" t="str">
            <v>DISTRIBUIÇÃO</v>
          </cell>
          <cell r="I2486" t="str">
            <v>FOOD SERVICE</v>
          </cell>
          <cell r="J2486" t="str">
            <v xml:space="preserve">KARIS FOOD / LUIZ </v>
          </cell>
          <cell r="K2486" t="str">
            <v>ITAMBÉ</v>
          </cell>
          <cell r="L2486" t="str">
            <v>RODRIGO</v>
          </cell>
          <cell r="M2486" t="str">
            <v>VAGO NORDESTE</v>
          </cell>
        </row>
        <row r="2487">
          <cell r="B2487">
            <v>5219588</v>
          </cell>
          <cell r="C2487" t="str">
            <v>DOCE GELATO COM E DIST DE ALIM</v>
          </cell>
          <cell r="D2487" t="str">
            <v>6001</v>
          </cell>
          <cell r="E2487" t="str">
            <v>0127</v>
          </cell>
          <cell r="F2487" t="str">
            <v>C1</v>
          </cell>
          <cell r="G2487" t="str">
            <v>BA</v>
          </cell>
          <cell r="H2487" t="str">
            <v>DISTRIBUIÇÃO</v>
          </cell>
          <cell r="I2487" t="str">
            <v>FOOD SERVICE</v>
          </cell>
          <cell r="J2487" t="str">
            <v xml:space="preserve">KARIS FOOD / LUIZ </v>
          </cell>
          <cell r="K2487" t="str">
            <v>ITAMBÉ</v>
          </cell>
          <cell r="L2487" t="str">
            <v>RODRIGO</v>
          </cell>
          <cell r="M2487" t="str">
            <v>VAGO NORDESTE</v>
          </cell>
        </row>
        <row r="2488">
          <cell r="B2488">
            <v>5230508</v>
          </cell>
          <cell r="C2488" t="str">
            <v>THIAGO MAGNO SILVERIO DA FONSEC</v>
          </cell>
          <cell r="D2488" t="str">
            <v>6001</v>
          </cell>
          <cell r="E2488" t="str">
            <v>0127</v>
          </cell>
          <cell r="F2488" t="str">
            <v>C1</v>
          </cell>
          <cell r="G2488" t="str">
            <v>CE</v>
          </cell>
          <cell r="H2488" t="str">
            <v>DISTRIBUIÇÃO</v>
          </cell>
          <cell r="I2488" t="str">
            <v>FOOD SERVICE</v>
          </cell>
          <cell r="J2488" t="str">
            <v>WH FOOD SERVICE CE</v>
          </cell>
          <cell r="K2488" t="str">
            <v>ITAMBÉ</v>
          </cell>
          <cell r="L2488" t="str">
            <v>RODRIGO</v>
          </cell>
          <cell r="M2488" t="str">
            <v>VAGO NORDESTE</v>
          </cell>
        </row>
        <row r="2489">
          <cell r="B2489">
            <v>5316368</v>
          </cell>
          <cell r="C2489" t="str">
            <v>BANOFFERIA SALVADOR LTDA</v>
          </cell>
          <cell r="D2489" t="str">
            <v>6001</v>
          </cell>
          <cell r="E2489" t="str">
            <v>0127</v>
          </cell>
          <cell r="F2489" t="str">
            <v>C1</v>
          </cell>
          <cell r="G2489" t="str">
            <v>BA</v>
          </cell>
          <cell r="H2489" t="str">
            <v>DISTRIBUIÇÃO</v>
          </cell>
          <cell r="I2489" t="str">
            <v>FOOD SERVICE</v>
          </cell>
          <cell r="J2489" t="str">
            <v xml:space="preserve">KARIS FOOD / LUIZ </v>
          </cell>
          <cell r="K2489" t="str">
            <v>ITAMBÉ</v>
          </cell>
          <cell r="L2489" t="str">
            <v>RODRIGO</v>
          </cell>
          <cell r="M2489" t="str">
            <v>VAGO NORDESTE</v>
          </cell>
        </row>
        <row r="2490">
          <cell r="B2490">
            <v>5321120</v>
          </cell>
          <cell r="C2490" t="str">
            <v>CHALANA SORVETES LTDA ME</v>
          </cell>
          <cell r="D2490" t="str">
            <v>6001</v>
          </cell>
          <cell r="E2490" t="str">
            <v>0028</v>
          </cell>
          <cell r="F2490" t="str">
            <v>C1</v>
          </cell>
          <cell r="G2490" t="str">
            <v>MS</v>
          </cell>
          <cell r="H2490" t="str">
            <v>INGREDIENTS</v>
          </cell>
          <cell r="I2490" t="str">
            <v>INGREDIENTS</v>
          </cell>
          <cell r="J2490" t="str">
            <v>DUAS RODAS</v>
          </cell>
          <cell r="K2490" t="str">
            <v>ITAMBÉ</v>
          </cell>
          <cell r="L2490" t="str">
            <v>MAURICIO</v>
          </cell>
          <cell r="M2490" t="str">
            <v>MARCELO</v>
          </cell>
        </row>
        <row r="2491">
          <cell r="B2491">
            <v>5332247</v>
          </cell>
          <cell r="C2491" t="str">
            <v>AMIV COMERCIO DE PRODUTOS</v>
          </cell>
          <cell r="D2491" t="str">
            <v>6001</v>
          </cell>
          <cell r="E2491" t="str">
            <v>0127</v>
          </cell>
          <cell r="F2491" t="str">
            <v>C1</v>
          </cell>
          <cell r="G2491" t="str">
            <v>CE</v>
          </cell>
          <cell r="H2491" t="str">
            <v>DISTRIBUIÇÃO</v>
          </cell>
          <cell r="I2491" t="str">
            <v>FOOD SERVICE</v>
          </cell>
          <cell r="J2491" t="str">
            <v>WH FOOD SERVICE CE</v>
          </cell>
          <cell r="K2491" t="str">
            <v>ITAMBÉ</v>
          </cell>
          <cell r="L2491" t="str">
            <v>RODRIGO</v>
          </cell>
          <cell r="M2491" t="str">
            <v>VAGO NORDESTE</v>
          </cell>
        </row>
        <row r="2492">
          <cell r="B2492">
            <v>5342745</v>
          </cell>
          <cell r="C2492" t="str">
            <v>INICIAL COM E DISTRIB DE ALIM L</v>
          </cell>
          <cell r="D2492" t="str">
            <v>6001</v>
          </cell>
          <cell r="E2492" t="str">
            <v>0028</v>
          </cell>
          <cell r="F2492" t="str">
            <v>C1</v>
          </cell>
          <cell r="G2492" t="str">
            <v>MS</v>
          </cell>
          <cell r="H2492" t="str">
            <v>INGREDIENTS</v>
          </cell>
          <cell r="I2492" t="str">
            <v>INGREDIENTS</v>
          </cell>
          <cell r="J2492" t="str">
            <v>DUAS RODAS</v>
          </cell>
          <cell r="K2492" t="str">
            <v>ITAMBÉ</v>
          </cell>
          <cell r="L2492" t="str">
            <v>MAURICIO</v>
          </cell>
          <cell r="M2492" t="str">
            <v>MARCELO</v>
          </cell>
        </row>
        <row r="2493">
          <cell r="B2493">
            <v>5355742</v>
          </cell>
          <cell r="C2493" t="str">
            <v>ARAUJO HECKERT EMBALAGENS LTDA</v>
          </cell>
          <cell r="D2493" t="str">
            <v>3001</v>
          </cell>
          <cell r="E2493" t="str">
            <v>0028</v>
          </cell>
          <cell r="F2493" t="str">
            <v>C1</v>
          </cell>
          <cell r="G2493" t="str">
            <v>MG</v>
          </cell>
          <cell r="H2493" t="str">
            <v>INGREDIENTS</v>
          </cell>
          <cell r="I2493" t="str">
            <v>INGREDIENTS</v>
          </cell>
          <cell r="J2493" t="str">
            <v>DUAS RODAS</v>
          </cell>
          <cell r="K2493" t="str">
            <v>ITAMBÉ</v>
          </cell>
          <cell r="L2493" t="str">
            <v>MAURICIO</v>
          </cell>
          <cell r="M2493" t="str">
            <v>TATIANA NITTA</v>
          </cell>
        </row>
        <row r="2494">
          <cell r="B2494">
            <v>5355774</v>
          </cell>
          <cell r="C2494" t="str">
            <v>M ISHIKAVA LTDA</v>
          </cell>
          <cell r="D2494" t="str">
            <v>7001</v>
          </cell>
          <cell r="E2494" t="str">
            <v>0749</v>
          </cell>
          <cell r="F2494" t="str">
            <v>C5</v>
          </cell>
          <cell r="G2494" t="str">
            <v>SP</v>
          </cell>
          <cell r="H2494" t="str">
            <v>DISTRIBUIÇÃO</v>
          </cell>
          <cell r="I2494" t="str">
            <v>FOOD SERVICE</v>
          </cell>
          <cell r="J2494" t="str">
            <v>FLAC 3</v>
          </cell>
          <cell r="K2494" t="str">
            <v>LACTALIS</v>
          </cell>
          <cell r="L2494" t="str">
            <v>RODRIGO</v>
          </cell>
          <cell r="M2494" t="str">
            <v>ALEXANDRO</v>
          </cell>
        </row>
        <row r="2495">
          <cell r="B2495">
            <v>5021079</v>
          </cell>
          <cell r="C2495" t="str">
            <v>MARIANGELA BUFFET LTDA</v>
          </cell>
          <cell r="D2495" t="str">
            <v>3001</v>
          </cell>
          <cell r="E2495" t="str">
            <v>0122</v>
          </cell>
          <cell r="F2495" t="str">
            <v>C1</v>
          </cell>
          <cell r="G2495" t="str">
            <v>MG</v>
          </cell>
          <cell r="H2495" t="str">
            <v>QSR</v>
          </cell>
          <cell r="I2495" t="str">
            <v>FOOD SERVICE</v>
          </cell>
          <cell r="J2495" t="str">
            <v>NUTRI</v>
          </cell>
          <cell r="K2495" t="str">
            <v>ITAMBÉ</v>
          </cell>
          <cell r="L2495" t="str">
            <v>PEDRO</v>
          </cell>
          <cell r="M2495" t="str">
            <v>AMANDA</v>
          </cell>
        </row>
        <row r="2496">
          <cell r="B2496">
            <v>5212172</v>
          </cell>
          <cell r="C2496" t="str">
            <v>TANGARA IMPORTADORA E EXPORTADO</v>
          </cell>
          <cell r="D2496" t="str">
            <v>4001</v>
          </cell>
          <cell r="E2496" t="str">
            <v>0437</v>
          </cell>
          <cell r="F2496" t="str">
            <v>C1</v>
          </cell>
          <cell r="G2496" t="str">
            <v>MG</v>
          </cell>
          <cell r="H2496" t="str">
            <v>INGREDIENTS</v>
          </cell>
          <cell r="I2496" t="str">
            <v>INGREDIENTS</v>
          </cell>
          <cell r="J2496" t="str">
            <v>MARCELO RODRIGUES</v>
          </cell>
          <cell r="K2496" t="str">
            <v>LACTALIS</v>
          </cell>
          <cell r="L2496" t="str">
            <v>MAURICIO</v>
          </cell>
          <cell r="M2496" t="str">
            <v>MARCELO</v>
          </cell>
        </row>
        <row r="2497">
          <cell r="B2497">
            <v>5355260</v>
          </cell>
          <cell r="C2497" t="str">
            <v>KAREN DOS SANTOS SILVA 45883036</v>
          </cell>
          <cell r="D2497" t="str">
            <v>7001</v>
          </cell>
          <cell r="E2497" t="str">
            <v>0749</v>
          </cell>
          <cell r="F2497" t="str">
            <v>C5</v>
          </cell>
          <cell r="G2497" t="str">
            <v>SP</v>
          </cell>
          <cell r="H2497" t="str">
            <v>DISTRIBUIÇÃO</v>
          </cell>
          <cell r="I2497" t="str">
            <v>FOOD SERVICE</v>
          </cell>
          <cell r="J2497" t="str">
            <v>FLAC 6</v>
          </cell>
          <cell r="K2497" t="str">
            <v>LACTALIS</v>
          </cell>
          <cell r="L2497" t="str">
            <v>RODRIGO</v>
          </cell>
          <cell r="M2497" t="str">
            <v>ALEXANDRO</v>
          </cell>
        </row>
        <row r="2498">
          <cell r="B2498">
            <v>5075754</v>
          </cell>
          <cell r="C2498" t="str">
            <v>OMEGA DISTR DE PROD ALIM LTDA</v>
          </cell>
          <cell r="D2498" t="str">
            <v>6001</v>
          </cell>
          <cell r="E2498" t="str">
            <v>6127</v>
          </cell>
          <cell r="F2498" t="str">
            <v>C1</v>
          </cell>
          <cell r="G2498" t="str">
            <v>CE</v>
          </cell>
          <cell r="H2498" t="str">
            <v>DISTRIBUIÇÃO</v>
          </cell>
          <cell r="I2498" t="str">
            <v>FOOD SERVICE</v>
          </cell>
          <cell r="J2498" t="str">
            <v>WH FOOD SERVICE CE</v>
          </cell>
          <cell r="K2498" t="str">
            <v>ITAMBÉ</v>
          </cell>
          <cell r="L2498" t="str">
            <v>RODRIGO</v>
          </cell>
          <cell r="M2498" t="str">
            <v>VAGO NORDESTE</v>
          </cell>
        </row>
        <row r="2499">
          <cell r="B2499">
            <v>5218199</v>
          </cell>
          <cell r="C2499" t="str">
            <v>CANTINHO GOURMET FAB DE ALIM CO</v>
          </cell>
          <cell r="D2499" t="str">
            <v>6001</v>
          </cell>
          <cell r="E2499" t="str">
            <v>6127</v>
          </cell>
          <cell r="F2499" t="str">
            <v>C1</v>
          </cell>
          <cell r="G2499" t="str">
            <v>BA</v>
          </cell>
          <cell r="H2499" t="str">
            <v>DISTRIBUIÇÃO</v>
          </cell>
          <cell r="I2499" t="str">
            <v>FOOD SERVICE</v>
          </cell>
          <cell r="J2499" t="str">
            <v xml:space="preserve">KARIS FOOD / LUIZ </v>
          </cell>
          <cell r="K2499" t="str">
            <v>ITAMBÉ</v>
          </cell>
          <cell r="L2499" t="str">
            <v>RODRIGO</v>
          </cell>
          <cell r="M2499" t="str">
            <v>VAGO NORDESTE</v>
          </cell>
        </row>
        <row r="2500">
          <cell r="B2500">
            <v>5260901</v>
          </cell>
          <cell r="C2500" t="str">
            <v>NUTRI ALIMENTOS COMERCIO LTDA</v>
          </cell>
          <cell r="D2500" t="str">
            <v>7001</v>
          </cell>
          <cell r="E2500" t="str">
            <v>0749</v>
          </cell>
          <cell r="F2500" t="str">
            <v>C5</v>
          </cell>
          <cell r="G2500" t="str">
            <v>SP</v>
          </cell>
          <cell r="H2500" t="str">
            <v>QSR</v>
          </cell>
          <cell r="I2500" t="str">
            <v>FOOD SERVICE</v>
          </cell>
          <cell r="J2500" t="str">
            <v>NUTRI</v>
          </cell>
          <cell r="K2500" t="str">
            <v>LACTALIS</v>
          </cell>
          <cell r="L2500" t="str">
            <v>PEDRO</v>
          </cell>
          <cell r="M2500" t="str">
            <v>AMANDA</v>
          </cell>
        </row>
        <row r="2501">
          <cell r="B2501">
            <v>5331461</v>
          </cell>
          <cell r="C2501" t="str">
            <v>TANGARA IMPORTADORA E EXPORTADO</v>
          </cell>
          <cell r="D2501" t="str">
            <v>4001</v>
          </cell>
          <cell r="E2501" t="str">
            <v>0455</v>
          </cell>
          <cell r="F2501" t="str">
            <v>C1</v>
          </cell>
          <cell r="G2501" t="str">
            <v>RS</v>
          </cell>
          <cell r="H2501" t="str">
            <v>INGREDIENTS</v>
          </cell>
          <cell r="I2501" t="str">
            <v>INGREDIENTS</v>
          </cell>
          <cell r="J2501" t="str">
            <v>MARCELO RODRIGUES</v>
          </cell>
          <cell r="K2501" t="str">
            <v>LACTALIS</v>
          </cell>
          <cell r="L2501" t="str">
            <v>MAURICIO</v>
          </cell>
          <cell r="M2501" t="str">
            <v>MARCELO</v>
          </cell>
        </row>
        <row r="2502">
          <cell r="B2502">
            <v>5354201</v>
          </cell>
          <cell r="C2502" t="str">
            <v>INTL LABORATORIOS NUTRACEUT LTD</v>
          </cell>
          <cell r="D2502" t="str">
            <v>4001</v>
          </cell>
          <cell r="E2502" t="str">
            <v>0437</v>
          </cell>
          <cell r="F2502" t="str">
            <v>C1</v>
          </cell>
          <cell r="G2502" t="str">
            <v>ES</v>
          </cell>
          <cell r="H2502" t="str">
            <v>INGREDIENTS</v>
          </cell>
          <cell r="I2502" t="str">
            <v>INGREDIENTS</v>
          </cell>
          <cell r="J2502" t="str">
            <v>JOEL ELEOTÉRIO</v>
          </cell>
          <cell r="K2502" t="str">
            <v>LACTALIS</v>
          </cell>
          <cell r="L2502" t="str">
            <v>MAURICIO</v>
          </cell>
          <cell r="M2502" t="str">
            <v>JOEL</v>
          </cell>
        </row>
        <row r="2503">
          <cell r="B2503">
            <v>5355951</v>
          </cell>
          <cell r="C2503" t="str">
            <v>SORVETES OLIVEIRA LTDA</v>
          </cell>
          <cell r="D2503" t="str">
            <v>6001</v>
          </cell>
          <cell r="E2503" t="str">
            <v>6028</v>
          </cell>
          <cell r="F2503" t="str">
            <v>C1</v>
          </cell>
          <cell r="G2503" t="str">
            <v>SP</v>
          </cell>
          <cell r="H2503" t="str">
            <v>INGREDIENTS</v>
          </cell>
          <cell r="I2503" t="str">
            <v>INGREDIENTS</v>
          </cell>
          <cell r="J2503" t="str">
            <v>DUAS RODAS</v>
          </cell>
          <cell r="K2503" t="str">
            <v>ITAMBÉ</v>
          </cell>
          <cell r="L2503" t="str">
            <v>MAURICIO</v>
          </cell>
          <cell r="M2503" t="str">
            <v>TATIANA NITTA</v>
          </cell>
        </row>
        <row r="2504">
          <cell r="B2504">
            <v>5229831</v>
          </cell>
          <cell r="C2504" t="str">
            <v>BRIGADEIRO INDUSTRIA E COMERCIO</v>
          </cell>
          <cell r="D2504" t="str">
            <v>6001</v>
          </cell>
          <cell r="E2504" t="str">
            <v>6028</v>
          </cell>
          <cell r="F2504" t="str">
            <v>C1</v>
          </cell>
          <cell r="G2504" t="str">
            <v>RJ</v>
          </cell>
          <cell r="H2504" t="str">
            <v>INGREDIENTS</v>
          </cell>
          <cell r="I2504" t="str">
            <v>INGREDIENTS</v>
          </cell>
          <cell r="J2504" t="str">
            <v>TATIANA NITTA</v>
          </cell>
          <cell r="K2504" t="str">
            <v>ITAMBÉ</v>
          </cell>
          <cell r="L2504" t="str">
            <v>MAURICIO</v>
          </cell>
          <cell r="M2504" t="str">
            <v>TATIANA NITTA</v>
          </cell>
        </row>
        <row r="2505">
          <cell r="B2505">
            <v>5270630</v>
          </cell>
          <cell r="C2505" t="str">
            <v>EL CAMINO FOODS SA</v>
          </cell>
          <cell r="D2505" t="str">
            <v>6001</v>
          </cell>
          <cell r="E2505" t="str">
            <v>6125</v>
          </cell>
          <cell r="F2505" t="str">
            <v>C1</v>
          </cell>
          <cell r="G2505" t="str">
            <v>SP</v>
          </cell>
          <cell r="H2505" t="str">
            <v>QSR</v>
          </cell>
          <cell r="I2505" t="str">
            <v>FOOD SERVICE</v>
          </cell>
          <cell r="J2505" t="str">
            <v>ANA MENIQUETE</v>
          </cell>
          <cell r="K2505" t="str">
            <v>ITAMBÉ</v>
          </cell>
          <cell r="L2505" t="str">
            <v>PEDRO</v>
          </cell>
          <cell r="M2505" t="str">
            <v>ANA MENIQUETE</v>
          </cell>
        </row>
        <row r="2506">
          <cell r="B2506">
            <v>5354378</v>
          </cell>
          <cell r="C2506" t="str">
            <v>BERTONI DOCES LTDA</v>
          </cell>
          <cell r="D2506" t="str">
            <v>3001</v>
          </cell>
          <cell r="E2506" t="str">
            <v>0126</v>
          </cell>
          <cell r="F2506" t="str">
            <v>C1</v>
          </cell>
          <cell r="G2506" t="str">
            <v>PR</v>
          </cell>
          <cell r="H2506" t="str">
            <v>QSR</v>
          </cell>
          <cell r="I2506" t="str">
            <v>FOOD SERVICE</v>
          </cell>
          <cell r="J2506" t="str">
            <v>AMANDA CARVALHO</v>
          </cell>
          <cell r="K2506" t="str">
            <v>ITAMBÉ</v>
          </cell>
          <cell r="L2506" t="str">
            <v>PEDRO</v>
          </cell>
          <cell r="M2506" t="str">
            <v>AMANDA</v>
          </cell>
        </row>
        <row r="2507">
          <cell r="B2507">
            <v>5355771</v>
          </cell>
          <cell r="C2507" t="str">
            <v>VITAMINA D LANCHONETE LTDA</v>
          </cell>
          <cell r="D2507" t="str">
            <v>7001</v>
          </cell>
          <cell r="E2507" t="str">
            <v>0749</v>
          </cell>
          <cell r="F2507" t="str">
            <v>C5</v>
          </cell>
          <cell r="G2507" t="str">
            <v>SP</v>
          </cell>
          <cell r="H2507" t="str">
            <v>DISTRIBUIÇÃO</v>
          </cell>
          <cell r="I2507" t="str">
            <v>FOOD SERVICE</v>
          </cell>
          <cell r="J2507" t="str">
            <v>FLAC 5</v>
          </cell>
          <cell r="K2507" t="str">
            <v>LACTALIS</v>
          </cell>
          <cell r="L2507" t="str">
            <v>RODRIGO</v>
          </cell>
          <cell r="M2507" t="str">
            <v>ALEXANDRO</v>
          </cell>
        </row>
        <row r="2508">
          <cell r="B2508">
            <v>5063519</v>
          </cell>
          <cell r="C2508" t="str">
            <v>SAPORE SA</v>
          </cell>
          <cell r="D2508">
            <v>6001</v>
          </cell>
          <cell r="E2508" t="str">
            <v>0028</v>
          </cell>
          <cell r="F2508" t="str">
            <v>C1</v>
          </cell>
          <cell r="G2508" t="str">
            <v>SP</v>
          </cell>
          <cell r="H2508" t="str">
            <v>QSR</v>
          </cell>
          <cell r="I2508" t="str">
            <v>FOOD SERVICE</v>
          </cell>
          <cell r="J2508" t="str">
            <v>NUTRI</v>
          </cell>
          <cell r="K2508" t="str">
            <v>ITAMBÉ</v>
          </cell>
          <cell r="L2508" t="str">
            <v>PEDRO</v>
          </cell>
          <cell r="M2508" t="str">
            <v>AMANDA</v>
          </cell>
        </row>
        <row r="2509">
          <cell r="B2509">
            <v>5063519</v>
          </cell>
          <cell r="C2509" t="str">
            <v>SAPORE SA</v>
          </cell>
          <cell r="D2509" t="str">
            <v>3001</v>
          </cell>
          <cell r="E2509" t="str">
            <v>0028</v>
          </cell>
          <cell r="F2509" t="str">
            <v>C1</v>
          </cell>
          <cell r="G2509" t="str">
            <v>SP</v>
          </cell>
          <cell r="H2509" t="str">
            <v>QSR</v>
          </cell>
          <cell r="I2509" t="str">
            <v>FOOD SERVICE</v>
          </cell>
          <cell r="J2509" t="str">
            <v>NUTRI</v>
          </cell>
          <cell r="K2509" t="str">
            <v>ITAMBÉ</v>
          </cell>
          <cell r="L2509" t="str">
            <v>PEDRO</v>
          </cell>
          <cell r="M2509" t="str">
            <v>AMANDA</v>
          </cell>
        </row>
        <row r="2510">
          <cell r="B2510">
            <v>5340484</v>
          </cell>
          <cell r="C2510" t="str">
            <v>COLUMBIA RESTAURANTES LTDA</v>
          </cell>
          <cell r="D2510" t="str">
            <v>7001</v>
          </cell>
          <cell r="E2510" t="str">
            <v>0749</v>
          </cell>
          <cell r="F2510" t="str">
            <v>C5</v>
          </cell>
          <cell r="G2510" t="str">
            <v>SP</v>
          </cell>
          <cell r="H2510" t="str">
            <v>DISTRIBUIÇÃO</v>
          </cell>
          <cell r="I2510" t="str">
            <v>FOOD SERVICE</v>
          </cell>
          <cell r="J2510" t="str">
            <v>FLAC 5</v>
          </cell>
          <cell r="K2510" t="str">
            <v>LACTALIS</v>
          </cell>
          <cell r="L2510" t="str">
            <v>RODRIGO</v>
          </cell>
          <cell r="M2510" t="str">
            <v>ALEXANDRO</v>
          </cell>
        </row>
        <row r="2511">
          <cell r="B2511">
            <v>5221359</v>
          </cell>
          <cell r="C2511" t="str">
            <v>FABRICACAO DE PRODUTOS DE PADAR</v>
          </cell>
          <cell r="D2511" t="str">
            <v>6001</v>
          </cell>
          <cell r="E2511" t="str">
            <v>6127</v>
          </cell>
          <cell r="F2511" t="str">
            <v>C1</v>
          </cell>
          <cell r="G2511" t="str">
            <v>BA</v>
          </cell>
          <cell r="H2511" t="str">
            <v>DISTRIBUIÇÃO</v>
          </cell>
          <cell r="I2511" t="str">
            <v>FOOD SERVICE</v>
          </cell>
          <cell r="J2511" t="str">
            <v xml:space="preserve">KARIS FOOD / LUIZ </v>
          </cell>
          <cell r="K2511" t="str">
            <v>ITAMBÉ</v>
          </cell>
          <cell r="L2511" t="str">
            <v>RODRIGO</v>
          </cell>
          <cell r="M2511" t="str">
            <v>VAGO NORDESTE</v>
          </cell>
        </row>
        <row r="2512">
          <cell r="B2512">
            <v>5356025</v>
          </cell>
          <cell r="C2512" t="str">
            <v>R D R P RESTAURANTE E SORVETERI</v>
          </cell>
          <cell r="D2512" t="str">
            <v>6001</v>
          </cell>
          <cell r="E2512" t="str">
            <v>6028</v>
          </cell>
          <cell r="F2512" t="str">
            <v>C1</v>
          </cell>
          <cell r="G2512" t="str">
            <v>SP</v>
          </cell>
          <cell r="H2512" t="str">
            <v>INGREDIENTS</v>
          </cell>
          <cell r="I2512" t="str">
            <v>INGREDIENTS</v>
          </cell>
          <cell r="J2512" t="str">
            <v>TATIANA NITTA</v>
          </cell>
          <cell r="K2512" t="str">
            <v>ITAMBÉ</v>
          </cell>
          <cell r="L2512" t="str">
            <v>MAURICIO</v>
          </cell>
          <cell r="M2512" t="str">
            <v>TATIANA NITTA</v>
          </cell>
        </row>
        <row r="2513">
          <cell r="B2513">
            <v>5356130</v>
          </cell>
          <cell r="C2513" t="str">
            <v>CAFE DAS ARTES E SERV DE ALIMEN</v>
          </cell>
          <cell r="D2513" t="str">
            <v>7001</v>
          </cell>
          <cell r="E2513" t="str">
            <v>0749</v>
          </cell>
          <cell r="F2513" t="str">
            <v>C5</v>
          </cell>
          <cell r="G2513" t="str">
            <v>SP</v>
          </cell>
          <cell r="H2513" t="str">
            <v>DISTRIBUIÇÃO</v>
          </cell>
          <cell r="I2513" t="str">
            <v>FOOD SERVICE</v>
          </cell>
          <cell r="J2513" t="str">
            <v>FLAC 3</v>
          </cell>
          <cell r="K2513" t="str">
            <v>LACTALIS</v>
          </cell>
          <cell r="L2513" t="str">
            <v>RODRIGO</v>
          </cell>
          <cell r="M2513" t="str">
            <v>ALEXANDRO</v>
          </cell>
        </row>
        <row r="2514">
          <cell r="B2514">
            <v>5105028</v>
          </cell>
          <cell r="C2514" t="str">
            <v>CARVALHO AMENITIES E SACHES DIST LT</v>
          </cell>
          <cell r="D2514" t="str">
            <v>3001</v>
          </cell>
          <cell r="E2514" t="str">
            <v>0122</v>
          </cell>
          <cell r="F2514" t="str">
            <v>C1</v>
          </cell>
          <cell r="G2514" t="str">
            <v>MG</v>
          </cell>
          <cell r="H2514" t="str">
            <v>DISTRIBUIÇÃO</v>
          </cell>
          <cell r="I2514" t="str">
            <v>FOOD SERVICE</v>
          </cell>
          <cell r="J2514" t="str">
            <v>MARCELO SILVA</v>
          </cell>
          <cell r="K2514" t="str">
            <v>ITAMBÉ</v>
          </cell>
          <cell r="L2514" t="str">
            <v>RODRIGO</v>
          </cell>
          <cell r="M2514" t="str">
            <v>CELIO MARTINS</v>
          </cell>
        </row>
        <row r="2515">
          <cell r="B2515">
            <v>5147526</v>
          </cell>
          <cell r="C2515" t="str">
            <v>SAPORE SA</v>
          </cell>
          <cell r="D2515" t="str">
            <v>6001</v>
          </cell>
          <cell r="E2515" t="str">
            <v>6169</v>
          </cell>
          <cell r="F2515" t="str">
            <v>C1</v>
          </cell>
          <cell r="G2515" t="str">
            <v>RJ</v>
          </cell>
          <cell r="H2515" t="str">
            <v>QSR</v>
          </cell>
          <cell r="I2515" t="str">
            <v>FOOD SERVICE</v>
          </cell>
          <cell r="J2515" t="str">
            <v>NUTRI</v>
          </cell>
          <cell r="K2515" t="str">
            <v>ITAMBÉ</v>
          </cell>
          <cell r="L2515" t="str">
            <v>PEDRO</v>
          </cell>
          <cell r="M2515" t="str">
            <v>AMANDA</v>
          </cell>
        </row>
        <row r="2516">
          <cell r="B2516">
            <v>5190780</v>
          </cell>
          <cell r="C2516" t="str">
            <v>JULES PANIFICADORA E CONFEITARIA EI</v>
          </cell>
          <cell r="D2516" t="str">
            <v>7001</v>
          </cell>
          <cell r="E2516" t="str">
            <v>0749</v>
          </cell>
          <cell r="F2516" t="str">
            <v>C5</v>
          </cell>
          <cell r="G2516" t="str">
            <v>SP</v>
          </cell>
          <cell r="H2516" t="str">
            <v>QSR</v>
          </cell>
          <cell r="I2516" t="str">
            <v>FOOD SERVICE</v>
          </cell>
          <cell r="J2516" t="str">
            <v>ANA MENIQUETE</v>
          </cell>
          <cell r="K2516" t="str">
            <v>LACTALIS</v>
          </cell>
          <cell r="L2516" t="str">
            <v>PEDRO</v>
          </cell>
          <cell r="M2516" t="str">
            <v>ANA MENIQUETE</v>
          </cell>
        </row>
        <row r="2517">
          <cell r="B2517">
            <v>5227772</v>
          </cell>
          <cell r="C2517" t="str">
            <v>CHOCONATA INDUSTRIA E COM DE AL</v>
          </cell>
          <cell r="D2517" t="str">
            <v>6001</v>
          </cell>
          <cell r="E2517" t="str">
            <v>6028</v>
          </cell>
          <cell r="F2517" t="str">
            <v>C1</v>
          </cell>
          <cell r="G2517" t="str">
            <v>RJ</v>
          </cell>
          <cell r="H2517" t="str">
            <v>INGREDIENTS</v>
          </cell>
          <cell r="I2517" t="str">
            <v>INGREDIENTS</v>
          </cell>
          <cell r="J2517" t="str">
            <v>TATIANA NITTA</v>
          </cell>
          <cell r="K2517" t="str">
            <v>ITAMBÉ</v>
          </cell>
          <cell r="L2517" t="str">
            <v>MAURICIO</v>
          </cell>
          <cell r="M2517" t="str">
            <v>TATIANA NITTA</v>
          </cell>
        </row>
        <row r="2518">
          <cell r="B2518">
            <v>5351302</v>
          </cell>
          <cell r="C2518" t="str">
            <v>LE CROQ PREMIUM BROWNIE LTDA</v>
          </cell>
          <cell r="D2518" t="str">
            <v>7001</v>
          </cell>
          <cell r="E2518" t="str">
            <v>0749</v>
          </cell>
          <cell r="F2518" t="str">
            <v>C5</v>
          </cell>
          <cell r="G2518" t="str">
            <v>SP</v>
          </cell>
          <cell r="H2518" t="str">
            <v>DISTRIBUIÇÃO</v>
          </cell>
          <cell r="I2518" t="str">
            <v>FOOD SERVICE</v>
          </cell>
          <cell r="J2518" t="str">
            <v>FLAC 4</v>
          </cell>
          <cell r="K2518" t="str">
            <v>LACTALIS</v>
          </cell>
          <cell r="L2518" t="str">
            <v>RODRIGO</v>
          </cell>
          <cell r="M2518" t="str">
            <v>ALEXANDRO</v>
          </cell>
        </row>
        <row r="2519">
          <cell r="B2519">
            <v>5355986</v>
          </cell>
          <cell r="C2519" t="str">
            <v>FUNCHAL IND E COM DE PAPEIS LTD</v>
          </cell>
          <cell r="D2519" t="str">
            <v>6001</v>
          </cell>
          <cell r="E2519" t="str">
            <v>6125</v>
          </cell>
          <cell r="F2519" t="str">
            <v>C1</v>
          </cell>
          <cell r="G2519" t="str">
            <v>SP</v>
          </cell>
          <cell r="H2519" t="str">
            <v>DISTRIBUIÇÃO</v>
          </cell>
          <cell r="I2519" t="str">
            <v>FOOD SERVICE</v>
          </cell>
          <cell r="J2519" t="str">
            <v>LUCAS ANDRADE</v>
          </cell>
          <cell r="K2519" t="str">
            <v>ITAMBÉ</v>
          </cell>
          <cell r="L2519" t="str">
            <v>RODRIGO</v>
          </cell>
          <cell r="M2519" t="str">
            <v>RAQUEL BARBOSA</v>
          </cell>
        </row>
        <row r="2520">
          <cell r="B2520">
            <v>5111398</v>
          </cell>
          <cell r="C2520" t="str">
            <v>SCANIA LATIN AMERICA LTDA</v>
          </cell>
          <cell r="D2520" t="str">
            <v>7001</v>
          </cell>
          <cell r="E2520" t="str">
            <v>0749</v>
          </cell>
          <cell r="F2520" t="str">
            <v>C5</v>
          </cell>
          <cell r="G2520" t="str">
            <v>SP</v>
          </cell>
          <cell r="H2520" t="str">
            <v>QSR</v>
          </cell>
          <cell r="I2520" t="str">
            <v>FOOD SERVICE</v>
          </cell>
          <cell r="J2520" t="str">
            <v>AMANDA CARVALHO</v>
          </cell>
          <cell r="K2520" t="str">
            <v>LACTALIS</v>
          </cell>
          <cell r="L2520" t="str">
            <v>PEDRO</v>
          </cell>
          <cell r="M2520" t="str">
            <v>AMANDA</v>
          </cell>
        </row>
        <row r="2521">
          <cell r="B2521">
            <v>5347144</v>
          </cell>
          <cell r="C2521" t="str">
            <v>MBF IND E COM DE ALIMENTOS LTDA</v>
          </cell>
          <cell r="D2521" t="str">
            <v>6001</v>
          </cell>
          <cell r="E2521" t="str">
            <v>6028</v>
          </cell>
          <cell r="F2521" t="str">
            <v>C1</v>
          </cell>
          <cell r="G2521" t="str">
            <v>SP</v>
          </cell>
          <cell r="H2521" t="str">
            <v>INGREDIENTS</v>
          </cell>
          <cell r="I2521" t="str">
            <v>INGREDIENTS</v>
          </cell>
          <cell r="J2521" t="str">
            <v>TATIANA NITTA</v>
          </cell>
          <cell r="K2521" t="str">
            <v>ITAMBÉ</v>
          </cell>
          <cell r="L2521" t="str">
            <v>MAURICIO</v>
          </cell>
          <cell r="M2521" t="str">
            <v>TATIANA NITTA</v>
          </cell>
        </row>
        <row r="2522">
          <cell r="B2522">
            <v>5015298</v>
          </cell>
          <cell r="C2522" t="str">
            <v>CASA DA PANI COM DE PROD PARA PANI</v>
          </cell>
          <cell r="D2522" t="str">
            <v>7001</v>
          </cell>
          <cell r="E2522" t="str">
            <v>0756</v>
          </cell>
          <cell r="F2522" t="str">
            <v>C1</v>
          </cell>
          <cell r="G2522" t="str">
            <v>SC</v>
          </cell>
          <cell r="H2522" t="str">
            <v>DISTRIBUIÇÃO</v>
          </cell>
          <cell r="I2522" t="str">
            <v>FOOD SERVICE</v>
          </cell>
          <cell r="J2522" t="str">
            <v>ANTÔNIO SOUZA</v>
          </cell>
          <cell r="K2522" t="str">
            <v>LACTALIS</v>
          </cell>
          <cell r="L2522" t="str">
            <v>RODRIGO</v>
          </cell>
          <cell r="M2522" t="str">
            <v>VAGO SUL</v>
          </cell>
        </row>
        <row r="2523">
          <cell r="B2523">
            <v>5214716</v>
          </cell>
          <cell r="C2523" t="str">
            <v>SOLANGE TENORIO DOS SANTOS CONFEITA</v>
          </cell>
          <cell r="D2523" t="str">
            <v>7001</v>
          </cell>
          <cell r="E2523" t="str">
            <v>0749</v>
          </cell>
          <cell r="F2523" t="str">
            <v>C5</v>
          </cell>
          <cell r="G2523" t="str">
            <v>SP</v>
          </cell>
          <cell r="H2523" t="str">
            <v>DISTRIBUIÇÃO</v>
          </cell>
          <cell r="I2523" t="str">
            <v>FOOD SERVICE</v>
          </cell>
          <cell r="J2523" t="str">
            <v>FLAC 10</v>
          </cell>
          <cell r="K2523" t="str">
            <v>LACTALIS</v>
          </cell>
          <cell r="L2523" t="str">
            <v>RODRIGO</v>
          </cell>
          <cell r="M2523" t="str">
            <v>ALEXANDRO</v>
          </cell>
        </row>
        <row r="2524">
          <cell r="B2524">
            <v>5226350</v>
          </cell>
          <cell r="C2524" t="str">
            <v>SOS ALIMENTOS E TRANSPORTES LTD</v>
          </cell>
          <cell r="D2524" t="str">
            <v>7001</v>
          </cell>
          <cell r="E2524" t="str">
            <v>0756</v>
          </cell>
          <cell r="F2524" t="str">
            <v>C1</v>
          </cell>
          <cell r="G2524" t="str">
            <v>SC</v>
          </cell>
          <cell r="H2524" t="str">
            <v>DISTRIBUIÇÃO</v>
          </cell>
          <cell r="I2524" t="str">
            <v>FOOD SERVICE</v>
          </cell>
          <cell r="J2524" t="str">
            <v>ANTÔNIO SOUZA</v>
          </cell>
          <cell r="K2524" t="str">
            <v>LACTALIS</v>
          </cell>
          <cell r="L2524" t="str">
            <v>RODRIGO</v>
          </cell>
          <cell r="M2524" t="str">
            <v>VAGO SUL</v>
          </cell>
        </row>
        <row r="2525">
          <cell r="B2525">
            <v>5346652</v>
          </cell>
          <cell r="C2525" t="str">
            <v>VIVA COMERCIO DE CHOCOLATES LTD</v>
          </cell>
          <cell r="D2525" t="str">
            <v>7001</v>
          </cell>
          <cell r="E2525" t="str">
            <v>0749</v>
          </cell>
          <cell r="F2525" t="str">
            <v>C5</v>
          </cell>
          <cell r="G2525" t="str">
            <v>SP</v>
          </cell>
          <cell r="H2525" t="str">
            <v>DISTRIBUIÇÃO</v>
          </cell>
          <cell r="I2525" t="str">
            <v>FOOD SERVICE</v>
          </cell>
          <cell r="J2525" t="str">
            <v>FLAC 6</v>
          </cell>
          <cell r="K2525" t="str">
            <v>LACTALIS</v>
          </cell>
          <cell r="L2525" t="str">
            <v>RODRIGO</v>
          </cell>
          <cell r="M2525" t="str">
            <v>ALEXANDRO</v>
          </cell>
        </row>
        <row r="2526">
          <cell r="B2526">
            <v>5279284</v>
          </cell>
          <cell r="C2526" t="str">
            <v>FLAC REPRESENTACAO E COMERCIO L</v>
          </cell>
          <cell r="D2526" t="str">
            <v>7001</v>
          </cell>
          <cell r="E2526" t="str">
            <v>0722</v>
          </cell>
          <cell r="F2526" t="str">
            <v>C1</v>
          </cell>
          <cell r="G2526" t="str">
            <v>SP</v>
          </cell>
          <cell r="H2526" t="str">
            <v>DISTRIBUIÇÃO</v>
          </cell>
          <cell r="I2526" t="str">
            <v>FOOD SERVICE</v>
          </cell>
          <cell r="J2526" t="str">
            <v>ALEXANDRO RODRIGUES</v>
          </cell>
          <cell r="K2526" t="str">
            <v>LACTALIS</v>
          </cell>
          <cell r="L2526" t="str">
            <v>RODRIGO</v>
          </cell>
          <cell r="M2526" t="str">
            <v>ALEXANDRO</v>
          </cell>
        </row>
        <row r="2527">
          <cell r="B2527">
            <v>5355972</v>
          </cell>
          <cell r="C2527" t="str">
            <v>BROWNIE DA MINHA MAE DOCERIA LT</v>
          </cell>
          <cell r="D2527" t="str">
            <v>7001</v>
          </cell>
          <cell r="E2527" t="str">
            <v>0749</v>
          </cell>
          <cell r="F2527" t="str">
            <v>C5</v>
          </cell>
          <cell r="G2527" t="str">
            <v>SP</v>
          </cell>
          <cell r="H2527" t="str">
            <v>DISTRIBUIÇÃO</v>
          </cell>
          <cell r="I2527" t="str">
            <v>FOOD SERVICE</v>
          </cell>
          <cell r="J2527" t="str">
            <v>FLAC 5</v>
          </cell>
          <cell r="K2527" t="str">
            <v>LACTALIS</v>
          </cell>
          <cell r="L2527" t="str">
            <v>RODRIGO</v>
          </cell>
          <cell r="M2527" t="str">
            <v>ALEXANDRO</v>
          </cell>
        </row>
        <row r="2528">
          <cell r="B2528">
            <v>5356234</v>
          </cell>
          <cell r="C2528" t="str">
            <v>HOTEL LIDO PLAZA LTDA</v>
          </cell>
          <cell r="D2528" t="str">
            <v>7001</v>
          </cell>
          <cell r="E2528" t="str">
            <v>0749</v>
          </cell>
          <cell r="F2528" t="str">
            <v>C5</v>
          </cell>
          <cell r="G2528" t="str">
            <v>SP</v>
          </cell>
          <cell r="H2528" t="str">
            <v>DISTRIBUIÇÃO</v>
          </cell>
          <cell r="I2528" t="str">
            <v>FOOD SERVICE</v>
          </cell>
          <cell r="J2528" t="str">
            <v>FLAC 10</v>
          </cell>
          <cell r="K2528" t="str">
            <v>LACTALIS</v>
          </cell>
          <cell r="L2528" t="str">
            <v>RODRIGO</v>
          </cell>
          <cell r="M2528" t="str">
            <v>ALEXANDRO</v>
          </cell>
        </row>
        <row r="2529">
          <cell r="B2529">
            <v>5356296</v>
          </cell>
          <cell r="C2529" t="str">
            <v>NEXO PADARIA ARTESANAL LTDA</v>
          </cell>
          <cell r="D2529" t="str">
            <v>7001</v>
          </cell>
          <cell r="E2529" t="str">
            <v>0749</v>
          </cell>
          <cell r="F2529" t="str">
            <v>C5</v>
          </cell>
          <cell r="G2529" t="str">
            <v>SP</v>
          </cell>
          <cell r="H2529" t="str">
            <v>DISTRIBUIÇÃO</v>
          </cell>
          <cell r="I2529" t="str">
            <v>FOOD SERVICE</v>
          </cell>
          <cell r="J2529" t="str">
            <v>FLAC 7</v>
          </cell>
          <cell r="K2529" t="str">
            <v>LACTALIS</v>
          </cell>
          <cell r="L2529" t="str">
            <v>RODRIGO</v>
          </cell>
          <cell r="M2529" t="str">
            <v>ALEXANDRO</v>
          </cell>
        </row>
        <row r="2530">
          <cell r="B2530">
            <v>5043898</v>
          </cell>
          <cell r="C2530" t="str">
            <v>SUPERMERCADO JACOMAR LTDA</v>
          </cell>
          <cell r="D2530" t="str">
            <v>3001</v>
          </cell>
          <cell r="E2530" t="str">
            <v>0126</v>
          </cell>
          <cell r="F2530" t="str">
            <v>C1</v>
          </cell>
          <cell r="G2530" t="str">
            <v>PR</v>
          </cell>
          <cell r="H2530" t="str">
            <v>QSR</v>
          </cell>
          <cell r="I2530" t="str">
            <v>FOOD SERVICE</v>
          </cell>
          <cell r="J2530" t="str">
            <v>AMANDA CARVALHO</v>
          </cell>
          <cell r="K2530" t="str">
            <v>ITAMBÉ</v>
          </cell>
          <cell r="L2530" t="str">
            <v>PEDRO</v>
          </cell>
          <cell r="M2530" t="str">
            <v>AMANDA</v>
          </cell>
        </row>
        <row r="2531">
          <cell r="B2531">
            <v>5079293</v>
          </cell>
          <cell r="C2531" t="str">
            <v>COPROSUL COMERCIO IMPORT E EXPO</v>
          </cell>
          <cell r="D2531" t="str">
            <v>6001</v>
          </cell>
          <cell r="E2531" t="str">
            <v>6125</v>
          </cell>
          <cell r="F2531" t="str">
            <v>C1</v>
          </cell>
          <cell r="G2531" t="str">
            <v>SP</v>
          </cell>
          <cell r="H2531" t="str">
            <v>DISTRIBUIÇÃO</v>
          </cell>
          <cell r="I2531" t="str">
            <v>FOOD SERVICE</v>
          </cell>
          <cell r="J2531" t="str">
            <v>GUILHERME NASCIMENTO</v>
          </cell>
          <cell r="K2531" t="str">
            <v>ITAMBÉ</v>
          </cell>
          <cell r="L2531" t="str">
            <v>RODRIGO</v>
          </cell>
          <cell r="M2531" t="str">
            <v>ALEXANDRO</v>
          </cell>
        </row>
        <row r="2532">
          <cell r="B2532">
            <v>5190347</v>
          </cell>
          <cell r="C2532" t="str">
            <v>HIPER PAN DISTDE PROD DE PAN LT</v>
          </cell>
          <cell r="D2532" t="str">
            <v>6001</v>
          </cell>
          <cell r="E2532" t="str">
            <v>6127</v>
          </cell>
          <cell r="F2532" t="str">
            <v>C1</v>
          </cell>
          <cell r="G2532" t="str">
            <v>BA</v>
          </cell>
          <cell r="H2532" t="str">
            <v>DISTRIBUIÇÃO</v>
          </cell>
          <cell r="I2532" t="str">
            <v>FOOD SERVICE</v>
          </cell>
          <cell r="J2532" t="str">
            <v xml:space="preserve">KARIS FOOD / LUIZ </v>
          </cell>
          <cell r="K2532" t="str">
            <v>ITAMBÉ</v>
          </cell>
          <cell r="L2532" t="str">
            <v>RODRIGO</v>
          </cell>
          <cell r="M2532" t="str">
            <v>VAGO NORDESTE</v>
          </cell>
        </row>
        <row r="2533">
          <cell r="B2533">
            <v>5299403</v>
          </cell>
          <cell r="C2533" t="str">
            <v>ATRIO HOTEIS SA</v>
          </cell>
          <cell r="D2533" t="str">
            <v>7001</v>
          </cell>
          <cell r="E2533" t="str">
            <v>0749</v>
          </cell>
          <cell r="F2533" t="str">
            <v>C5</v>
          </cell>
          <cell r="G2533" t="str">
            <v>SP</v>
          </cell>
          <cell r="H2533" t="str">
            <v>DISTRIBUIÇÃO</v>
          </cell>
          <cell r="I2533" t="str">
            <v>FOOD SERVICE</v>
          </cell>
          <cell r="J2533" t="str">
            <v>FLAC 5</v>
          </cell>
          <cell r="K2533" t="str">
            <v>LACTALIS</v>
          </cell>
          <cell r="L2533" t="str">
            <v>RODRIGO</v>
          </cell>
          <cell r="M2533" t="str">
            <v>ALEXANDRO</v>
          </cell>
        </row>
        <row r="2534">
          <cell r="B2534">
            <v>5352994</v>
          </cell>
          <cell r="C2534" t="str">
            <v>LUCIMAR FRANCISCO MARQUES 18870</v>
          </cell>
          <cell r="D2534" t="str">
            <v>7001</v>
          </cell>
          <cell r="E2534" t="str">
            <v>0749</v>
          </cell>
          <cell r="F2534" t="str">
            <v>C5</v>
          </cell>
          <cell r="G2534" t="str">
            <v>SP</v>
          </cell>
          <cell r="H2534" t="str">
            <v>DISTRIBUIÇÃO</v>
          </cell>
          <cell r="I2534" t="str">
            <v>FOOD SERVICE</v>
          </cell>
          <cell r="J2534" t="str">
            <v>FLAC 10</v>
          </cell>
          <cell r="K2534" t="str">
            <v>LACTALIS</v>
          </cell>
          <cell r="L2534" t="str">
            <v>RODRIGO</v>
          </cell>
          <cell r="M2534" t="str">
            <v>ALEXANDRO</v>
          </cell>
        </row>
        <row r="2535">
          <cell r="B2535">
            <v>5356487</v>
          </cell>
          <cell r="C2535" t="str">
            <v>ROASTED COFFEE CAFETERIA LTDA</v>
          </cell>
          <cell r="D2535" t="str">
            <v>7001</v>
          </cell>
          <cell r="E2535" t="str">
            <v>0749</v>
          </cell>
          <cell r="F2535" t="str">
            <v>C5</v>
          </cell>
          <cell r="G2535" t="str">
            <v>SP</v>
          </cell>
          <cell r="H2535" t="str">
            <v>DISTRIBUIÇÃO</v>
          </cell>
          <cell r="I2535" t="str">
            <v>FOOD SERVICE</v>
          </cell>
          <cell r="J2535" t="str">
            <v>FLAC 6</v>
          </cell>
          <cell r="K2535" t="str">
            <v>LACTALIS</v>
          </cell>
          <cell r="L2535" t="str">
            <v>RODRIGO</v>
          </cell>
          <cell r="M2535" t="str">
            <v>ALEXANDRO</v>
          </cell>
        </row>
        <row r="2536">
          <cell r="B2536">
            <v>5353050</v>
          </cell>
          <cell r="C2536" t="str">
            <v>ALIBEY IND E COM DE ALIM E LTDA</v>
          </cell>
          <cell r="D2536" t="str">
            <v>6001</v>
          </cell>
          <cell r="E2536" t="str">
            <v>6028</v>
          </cell>
          <cell r="F2536" t="str">
            <v>C1</v>
          </cell>
          <cell r="G2536" t="str">
            <v>SP</v>
          </cell>
          <cell r="H2536" t="str">
            <v>INGREDIENTS</v>
          </cell>
          <cell r="I2536" t="str">
            <v>INGREDIENTS</v>
          </cell>
          <cell r="J2536" t="str">
            <v>TATIANA NITTA</v>
          </cell>
          <cell r="K2536" t="str">
            <v>ITAMBÉ</v>
          </cell>
          <cell r="L2536" t="str">
            <v>MAURICIO</v>
          </cell>
          <cell r="M2536" t="str">
            <v>TATIANA NITTA</v>
          </cell>
        </row>
        <row r="2537">
          <cell r="B2537">
            <v>5355701</v>
          </cell>
          <cell r="C2537" t="str">
            <v>TRENTINO ALIMENTOS LTDA</v>
          </cell>
          <cell r="D2537" t="str">
            <v>3001</v>
          </cell>
          <cell r="E2537" t="str">
            <v>0028</v>
          </cell>
          <cell r="F2537" t="str">
            <v>C1</v>
          </cell>
          <cell r="G2537" t="str">
            <v>MG</v>
          </cell>
          <cell r="H2537" t="str">
            <v>INGREDIENTS</v>
          </cell>
          <cell r="I2537" t="str">
            <v>INGREDIENTS</v>
          </cell>
          <cell r="J2537" t="str">
            <v>HENRIQUE FERREIRA</v>
          </cell>
          <cell r="K2537" t="str">
            <v>ITAMBÉ</v>
          </cell>
          <cell r="L2537" t="str">
            <v>MAURICIO</v>
          </cell>
          <cell r="M2537" t="str">
            <v>JOEL</v>
          </cell>
        </row>
        <row r="2538">
          <cell r="B2538">
            <v>5204180</v>
          </cell>
          <cell r="C2538" t="str">
            <v>E E MODOLO ME</v>
          </cell>
          <cell r="D2538" t="str">
            <v>7001</v>
          </cell>
          <cell r="E2538" t="str">
            <v>0739</v>
          </cell>
          <cell r="F2538" t="str">
            <v>C1</v>
          </cell>
          <cell r="G2538" t="str">
            <v>ES</v>
          </cell>
          <cell r="H2538" t="str">
            <v>DISTRIBUIÇÃO</v>
          </cell>
          <cell r="I2538" t="str">
            <v>FOOD SERVICE</v>
          </cell>
          <cell r="J2538" t="str">
            <v>MARCELO DUARTE</v>
          </cell>
          <cell r="K2538" t="str">
            <v>LACTALIS</v>
          </cell>
          <cell r="L2538" t="str">
            <v>RODRIGO</v>
          </cell>
          <cell r="M2538" t="str">
            <v>JESSICA</v>
          </cell>
        </row>
        <row r="2539">
          <cell r="B2539">
            <v>5339674</v>
          </cell>
          <cell r="C2539" t="str">
            <v>LANCH E REST BAMBARAS LTDA</v>
          </cell>
          <cell r="D2539" t="str">
            <v>6001</v>
          </cell>
          <cell r="E2539" t="str">
            <v>6125</v>
          </cell>
          <cell r="F2539" t="str">
            <v>C1</v>
          </cell>
          <cell r="G2539" t="str">
            <v>SP</v>
          </cell>
          <cell r="H2539" t="str">
            <v>DISTRIBUIÇÃO</v>
          </cell>
          <cell r="I2539" t="str">
            <v>FOOD SERVICE</v>
          </cell>
          <cell r="J2539" t="str">
            <v>GUILHERME NASCIMENTO</v>
          </cell>
          <cell r="K2539" t="str">
            <v>ITAMBÉ</v>
          </cell>
          <cell r="L2539" t="str">
            <v>RODRIGO</v>
          </cell>
          <cell r="M2539" t="str">
            <v>ALEXANDRO</v>
          </cell>
        </row>
        <row r="2540">
          <cell r="B2540">
            <v>5356504</v>
          </cell>
          <cell r="C2540" t="str">
            <v>RESTAURANTE VISTA AO PARQUE LTD</v>
          </cell>
          <cell r="D2540" t="str">
            <v>7001</v>
          </cell>
          <cell r="E2540" t="str">
            <v>0749</v>
          </cell>
          <cell r="F2540" t="str">
            <v>C5</v>
          </cell>
          <cell r="G2540" t="str">
            <v>SP</v>
          </cell>
          <cell r="H2540" t="str">
            <v>DISTRIBUIÇÃO</v>
          </cell>
          <cell r="I2540" t="str">
            <v>FOOD SERVICE</v>
          </cell>
          <cell r="J2540" t="str">
            <v>FLAC 2</v>
          </cell>
          <cell r="K2540" t="str">
            <v>LACTALIS</v>
          </cell>
          <cell r="L2540" t="str">
            <v>RODRIGO</v>
          </cell>
          <cell r="M2540" t="str">
            <v>ALEXANDRO</v>
          </cell>
        </row>
        <row r="2541">
          <cell r="B2541">
            <v>5343417</v>
          </cell>
          <cell r="C2541" t="str">
            <v>LEITE CONFIANCA IND E COMERCIO LTDA</v>
          </cell>
          <cell r="D2541" t="str">
            <v>3001</v>
          </cell>
          <cell r="E2541" t="str">
            <v>0028</v>
          </cell>
          <cell r="F2541" t="str">
            <v>C1</v>
          </cell>
          <cell r="G2541" t="str">
            <v>PE</v>
          </cell>
          <cell r="H2541" t="str">
            <v>INGREDIENTS</v>
          </cell>
          <cell r="I2541" t="str">
            <v>INGREDIENTS</v>
          </cell>
          <cell r="J2541" t="str">
            <v>MARCELO RODRIGUES</v>
          </cell>
          <cell r="K2541" t="str">
            <v>ITAMBÉ</v>
          </cell>
          <cell r="L2541" t="str">
            <v>MAURICIO</v>
          </cell>
          <cell r="M2541" t="str">
            <v>MARCELO</v>
          </cell>
        </row>
        <row r="2542">
          <cell r="B2542">
            <v>5353593</v>
          </cell>
          <cell r="C2542" t="str">
            <v>SABIA DO PARQUE ALIMENTOS LTDA</v>
          </cell>
          <cell r="D2542" t="str">
            <v>7001</v>
          </cell>
          <cell r="E2542" t="str">
            <v>0749</v>
          </cell>
          <cell r="F2542" t="str">
            <v>C5</v>
          </cell>
          <cell r="G2542" t="str">
            <v>SP</v>
          </cell>
          <cell r="H2542" t="str">
            <v>DISTRIBUIÇÃO</v>
          </cell>
          <cell r="I2542" t="str">
            <v>FOOD SERVICE</v>
          </cell>
          <cell r="J2542" t="str">
            <v>FLAC 5</v>
          </cell>
          <cell r="K2542" t="str">
            <v>LACTALIS</v>
          </cell>
          <cell r="L2542" t="str">
            <v>RODRIGO</v>
          </cell>
          <cell r="M2542" t="str">
            <v>ALEXANDRO</v>
          </cell>
        </row>
        <row r="2543">
          <cell r="B2543">
            <v>5154644</v>
          </cell>
          <cell r="C2543" t="str">
            <v>LEITINO COMERCIO E IND DE LACTEOS L</v>
          </cell>
          <cell r="D2543" t="str">
            <v>3001</v>
          </cell>
          <cell r="E2543" t="str">
            <v>0122</v>
          </cell>
          <cell r="F2543" t="str">
            <v>C1</v>
          </cell>
          <cell r="G2543" t="str">
            <v>MG</v>
          </cell>
          <cell r="H2543" t="str">
            <v>INGREDIENTS</v>
          </cell>
          <cell r="I2543" t="str">
            <v>INGREDIENTS</v>
          </cell>
          <cell r="J2543" t="str">
            <v>JOEL ELEOTÉRIO</v>
          </cell>
          <cell r="K2543" t="str">
            <v>ITAMBÉ</v>
          </cell>
          <cell r="L2543" t="str">
            <v>MAURICIO</v>
          </cell>
          <cell r="M2543" t="str">
            <v>JOEL</v>
          </cell>
        </row>
        <row r="2544">
          <cell r="B2544">
            <v>5181837</v>
          </cell>
          <cell r="C2544" t="str">
            <v>LEVI KARKLIS 65217756934</v>
          </cell>
          <cell r="D2544" t="str">
            <v>3001</v>
          </cell>
          <cell r="E2544" t="str">
            <v>0028</v>
          </cell>
          <cell r="F2544" t="str">
            <v>C1</v>
          </cell>
          <cell r="G2544" t="str">
            <v>SC</v>
          </cell>
          <cell r="H2544" t="str">
            <v>INGREDIENTS</v>
          </cell>
          <cell r="I2544" t="str">
            <v>INGREDIENTS</v>
          </cell>
          <cell r="J2544" t="str">
            <v>DUAS RODAS</v>
          </cell>
          <cell r="K2544" t="str">
            <v>ITAMBÉ</v>
          </cell>
          <cell r="L2544" t="str">
            <v>MAURICIO</v>
          </cell>
          <cell r="M2544" t="str">
            <v>TATIANA NITTA</v>
          </cell>
        </row>
        <row r="2545">
          <cell r="B2545">
            <v>5321782</v>
          </cell>
          <cell r="C2545" t="str">
            <v>CENTER COMERCIO DE EMBALAGENS L</v>
          </cell>
          <cell r="D2545" t="str">
            <v>4001</v>
          </cell>
          <cell r="E2545" t="str">
            <v>0455</v>
          </cell>
          <cell r="F2545" t="str">
            <v>C1</v>
          </cell>
          <cell r="G2545" t="str">
            <v>PR</v>
          </cell>
          <cell r="H2545" t="str">
            <v>DISTRIBUIÇÃO</v>
          </cell>
          <cell r="I2545" t="str">
            <v>FOOD SERVICE</v>
          </cell>
          <cell r="J2545" t="str">
            <v>ANTÔNIO SOUZA</v>
          </cell>
          <cell r="K2545" t="str">
            <v>LACTALIS</v>
          </cell>
          <cell r="L2545" t="str">
            <v>RODRIGO</v>
          </cell>
          <cell r="M2545" t="str">
            <v>VAGO SUL</v>
          </cell>
        </row>
        <row r="2546">
          <cell r="B2546">
            <v>5356800</v>
          </cell>
          <cell r="C2546" t="str">
            <v>M I S MEKARO DOCERIA</v>
          </cell>
          <cell r="D2546" t="str">
            <v>7001</v>
          </cell>
          <cell r="E2546" t="str">
            <v>0749</v>
          </cell>
          <cell r="F2546" t="str">
            <v>C5</v>
          </cell>
          <cell r="G2546" t="str">
            <v>SP</v>
          </cell>
          <cell r="H2546" t="str">
            <v>DISTRIBUIÇÃO</v>
          </cell>
          <cell r="I2546" t="str">
            <v>FOOD SERVICE</v>
          </cell>
          <cell r="J2546" t="str">
            <v>FLAC 5</v>
          </cell>
          <cell r="K2546" t="str">
            <v>LACTALIS</v>
          </cell>
          <cell r="L2546" t="str">
            <v>RODRIGO</v>
          </cell>
          <cell r="M2546" t="str">
            <v>ALEXANDRO</v>
          </cell>
        </row>
        <row r="2547">
          <cell r="B2547">
            <v>5323939</v>
          </cell>
          <cell r="C2547" t="str">
            <v>CANAA COMERCIO DE FRIOS E PAES LTDA</v>
          </cell>
          <cell r="D2547" t="str">
            <v>4001</v>
          </cell>
          <cell r="E2547" t="str">
            <v>0437</v>
          </cell>
          <cell r="F2547" t="str">
            <v>C1</v>
          </cell>
          <cell r="G2547" t="str">
            <v>SP</v>
          </cell>
          <cell r="H2547" t="str">
            <v>INGREDIENTS</v>
          </cell>
          <cell r="I2547" t="str">
            <v>INGREDIENTS</v>
          </cell>
          <cell r="J2547" t="str">
            <v>JOEL ELEOTÉRIO</v>
          </cell>
          <cell r="K2547" t="str">
            <v>LACTALIS</v>
          </cell>
          <cell r="L2547" t="str">
            <v>MAURICIO</v>
          </cell>
          <cell r="M2547" t="str">
            <v>JOEL</v>
          </cell>
        </row>
        <row r="2548">
          <cell r="B2548">
            <v>5356536</v>
          </cell>
          <cell r="C2548" t="str">
            <v>KEZ PADARIA LTDA</v>
          </cell>
          <cell r="D2548" t="str">
            <v>7001</v>
          </cell>
          <cell r="E2548" t="str">
            <v>0749</v>
          </cell>
          <cell r="F2548" t="str">
            <v>C5</v>
          </cell>
          <cell r="G2548" t="str">
            <v>SP</v>
          </cell>
          <cell r="H2548" t="str">
            <v>DISTRIBUIÇÃO</v>
          </cell>
          <cell r="I2548" t="str">
            <v>FOOD SERVICE</v>
          </cell>
          <cell r="J2548" t="str">
            <v>FLAC 10</v>
          </cell>
          <cell r="K2548" t="str">
            <v>LACTALIS</v>
          </cell>
          <cell r="L2548" t="str">
            <v>RODRIGO</v>
          </cell>
          <cell r="M2548" t="str">
            <v>ALEXANDRO</v>
          </cell>
        </row>
        <row r="2549">
          <cell r="B2549">
            <v>5356544</v>
          </cell>
          <cell r="C2549" t="str">
            <v>NEFROSTAR CLIN MEDICA DE NEFROL</v>
          </cell>
          <cell r="D2549" t="str">
            <v>7001</v>
          </cell>
          <cell r="E2549" t="str">
            <v>0749</v>
          </cell>
          <cell r="F2549" t="str">
            <v>C5</v>
          </cell>
          <cell r="G2549" t="str">
            <v>SP</v>
          </cell>
          <cell r="H2549" t="str">
            <v>DISTRIBUIÇÃO</v>
          </cell>
          <cell r="I2549" t="str">
            <v>FOOD SERVICE</v>
          </cell>
          <cell r="J2549" t="str">
            <v>FLAC 10</v>
          </cell>
          <cell r="K2549" t="str">
            <v>LACTALIS</v>
          </cell>
          <cell r="L2549" t="str">
            <v>RODRIGO</v>
          </cell>
          <cell r="M2549" t="str">
            <v>ALEXANDRO</v>
          </cell>
        </row>
        <row r="2550">
          <cell r="B2550">
            <v>5063322</v>
          </cell>
          <cell r="C2550" t="str">
            <v>C D A DISTRIBUIDORA DE ALIMENTO</v>
          </cell>
          <cell r="D2550" t="str">
            <v>3001</v>
          </cell>
          <cell r="E2550" t="str">
            <v>0122</v>
          </cell>
          <cell r="F2550" t="str">
            <v>C1</v>
          </cell>
          <cell r="G2550" t="str">
            <v>MG</v>
          </cell>
          <cell r="H2550" t="str">
            <v>DISTRIBUIÇÃO</v>
          </cell>
          <cell r="I2550" t="str">
            <v>FOOD SERVICE</v>
          </cell>
          <cell r="J2550" t="str">
            <v>MARCELO SILVA</v>
          </cell>
          <cell r="K2550" t="str">
            <v>ITAMBÉ</v>
          </cell>
          <cell r="L2550" t="str">
            <v>RODRIGO</v>
          </cell>
          <cell r="M2550" t="str">
            <v>CELIO MARTINS</v>
          </cell>
        </row>
        <row r="2551">
          <cell r="B2551">
            <v>5034664</v>
          </cell>
          <cell r="C2551" t="str">
            <v>MAFRIOS DIST E IMPORTADORA LTDA</v>
          </cell>
          <cell r="D2551" t="str">
            <v>4001</v>
          </cell>
          <cell r="E2551" t="str">
            <v>0482</v>
          </cell>
          <cell r="F2551" t="str">
            <v>C5</v>
          </cell>
          <cell r="G2551" t="str">
            <v>AL</v>
          </cell>
          <cell r="H2551" t="str">
            <v>DISTRIBUIÇÃO</v>
          </cell>
          <cell r="I2551" t="str">
            <v>FOOD SERVICE</v>
          </cell>
          <cell r="J2551" t="str">
            <v>CLAUDIO JORGE</v>
          </cell>
          <cell r="K2551" t="str">
            <v>LACTALIS</v>
          </cell>
          <cell r="L2551" t="str">
            <v>RODRIGO</v>
          </cell>
          <cell r="M2551" t="str">
            <v>VAGO NORDESTE</v>
          </cell>
        </row>
        <row r="2552">
          <cell r="B2552">
            <v>5316455</v>
          </cell>
          <cell r="C2552" t="str">
            <v>LLINEA SERVICOS E ALIMENTACAO L</v>
          </cell>
          <cell r="D2552" t="str">
            <v>6001</v>
          </cell>
          <cell r="E2552" t="str">
            <v>6125</v>
          </cell>
          <cell r="F2552" t="str">
            <v>C1</v>
          </cell>
          <cell r="G2552" t="str">
            <v>SP</v>
          </cell>
          <cell r="H2552" t="str">
            <v>QSR</v>
          </cell>
          <cell r="I2552" t="str">
            <v>FOOD SERVICE</v>
          </cell>
          <cell r="J2552" t="str">
            <v>AMANDA CARVALHO</v>
          </cell>
          <cell r="K2552" t="str">
            <v>ITAMBÉ</v>
          </cell>
          <cell r="L2552" t="str">
            <v>PEDRO</v>
          </cell>
          <cell r="M2552" t="str">
            <v>AMANDA</v>
          </cell>
        </row>
        <row r="2553">
          <cell r="B2553">
            <v>5329531</v>
          </cell>
          <cell r="C2553" t="str">
            <v>ACOMODACOES BRASIL LTDA</v>
          </cell>
          <cell r="D2553" t="str">
            <v>7001</v>
          </cell>
          <cell r="E2553" t="str">
            <v>0749</v>
          </cell>
          <cell r="F2553" t="str">
            <v>C5</v>
          </cell>
          <cell r="G2553" t="str">
            <v>SP</v>
          </cell>
          <cell r="H2553" t="str">
            <v>DISTRIBUIÇÃO</v>
          </cell>
          <cell r="I2553" t="str">
            <v>FOOD SERVICE</v>
          </cell>
          <cell r="J2553" t="str">
            <v>FLAC 5</v>
          </cell>
          <cell r="K2553" t="str">
            <v>LACTALIS</v>
          </cell>
          <cell r="L2553" t="str">
            <v>RODRIGO</v>
          </cell>
          <cell r="M2553" t="str">
            <v>ALEXANDRO</v>
          </cell>
        </row>
        <row r="2554">
          <cell r="B2554">
            <v>5233387</v>
          </cell>
          <cell r="C2554" t="str">
            <v>COOPERATIVA LANGUIRU LTDA</v>
          </cell>
          <cell r="D2554" t="str">
            <v>4001</v>
          </cell>
          <cell r="E2554" t="str">
            <v>0546</v>
          </cell>
          <cell r="F2554" t="str">
            <v>C1</v>
          </cell>
          <cell r="G2554" t="str">
            <v>RS</v>
          </cell>
          <cell r="H2554" t="str">
            <v>OUTROS</v>
          </cell>
          <cell r="I2554" t="str">
            <v>OUTROS</v>
          </cell>
          <cell r="J2554" t="str">
            <v>OUTROS</v>
          </cell>
          <cell r="K2554" t="str">
            <v>OUTROS</v>
          </cell>
          <cell r="L2554" t="str">
            <v>OUTROS</v>
          </cell>
          <cell r="M2554" t="str">
            <v>OUTROS</v>
          </cell>
        </row>
        <row r="2555">
          <cell r="B2555">
            <v>5355175</v>
          </cell>
          <cell r="C2555" t="str">
            <v>SMAK COMERCIO E SERVICOS LTDA</v>
          </cell>
          <cell r="D2555" t="str">
            <v>7001</v>
          </cell>
          <cell r="E2555" t="str">
            <v>0749</v>
          </cell>
          <cell r="F2555" t="str">
            <v>C5</v>
          </cell>
          <cell r="G2555" t="str">
            <v>SP</v>
          </cell>
          <cell r="H2555" t="str">
            <v>DISTRIBUIÇÃO</v>
          </cell>
          <cell r="I2555" t="str">
            <v>FOOD SERVICE</v>
          </cell>
          <cell r="J2555" t="str">
            <v>FLAC 3</v>
          </cell>
          <cell r="K2555" t="str">
            <v>LACTALIS</v>
          </cell>
          <cell r="L2555" t="str">
            <v>RODRIGO</v>
          </cell>
          <cell r="M2555" t="str">
            <v>ALEXANDRO</v>
          </cell>
        </row>
        <row r="2556">
          <cell r="B2556">
            <v>5356655</v>
          </cell>
          <cell r="C2556" t="str">
            <v>AVIVA DISTRIBUIDORA DE PAES LTDA</v>
          </cell>
          <cell r="D2556" t="str">
            <v>7001</v>
          </cell>
          <cell r="E2556" t="str">
            <v>0749</v>
          </cell>
          <cell r="F2556" t="str">
            <v>C5</v>
          </cell>
          <cell r="G2556" t="str">
            <v>SP</v>
          </cell>
          <cell r="H2556" t="str">
            <v>DISTRIBUIÇÃO</v>
          </cell>
          <cell r="I2556" t="str">
            <v>FOOD SERVICE</v>
          </cell>
          <cell r="J2556" t="str">
            <v>FLAC 10</v>
          </cell>
          <cell r="K2556" t="str">
            <v>LACTALIS</v>
          </cell>
          <cell r="L2556" t="str">
            <v>RODRIGO</v>
          </cell>
          <cell r="M2556" t="str">
            <v>ALEXANDRO</v>
          </cell>
        </row>
        <row r="2557">
          <cell r="B2557">
            <v>5357008</v>
          </cell>
          <cell r="C2557" t="str">
            <v>JNR TRANSPORTES E LOGISTICA LTDA</v>
          </cell>
          <cell r="D2557" t="str">
            <v>7001</v>
          </cell>
          <cell r="E2557" t="str">
            <v>0749</v>
          </cell>
          <cell r="F2557" t="str">
            <v>C5</v>
          </cell>
          <cell r="G2557" t="str">
            <v>SP</v>
          </cell>
          <cell r="H2557" t="str">
            <v>DISTRIBUIÇÃO</v>
          </cell>
          <cell r="I2557" t="str">
            <v>FOOD SERVICE</v>
          </cell>
          <cell r="J2557" t="str">
            <v>FLAC 2</v>
          </cell>
          <cell r="K2557" t="str">
            <v>LACTALIS</v>
          </cell>
          <cell r="L2557" t="str">
            <v>RODRIGO</v>
          </cell>
          <cell r="M2557" t="str">
            <v>ALEXANDRO</v>
          </cell>
        </row>
        <row r="2558">
          <cell r="B2558">
            <v>5204620</v>
          </cell>
          <cell r="C2558" t="str">
            <v>M DIAS BRANCO SA IND E COM DE ALIM</v>
          </cell>
          <cell r="D2558" t="str">
            <v>4001</v>
          </cell>
          <cell r="E2558" t="str">
            <v>0437</v>
          </cell>
          <cell r="F2558" t="str">
            <v>C1</v>
          </cell>
          <cell r="G2558" t="str">
            <v>RJ</v>
          </cell>
          <cell r="H2558" t="str">
            <v>INGREDIENTS</v>
          </cell>
          <cell r="I2558" t="str">
            <v>INGREDIENTS</v>
          </cell>
          <cell r="J2558" t="str">
            <v>JOEL ELEOTÉRIO</v>
          </cell>
          <cell r="K2558" t="str">
            <v>LACTALIS</v>
          </cell>
          <cell r="L2558" t="str">
            <v>MAURICIO</v>
          </cell>
          <cell r="M2558" t="str">
            <v>JOEL</v>
          </cell>
        </row>
        <row r="2559">
          <cell r="B2559">
            <v>5343417</v>
          </cell>
          <cell r="C2559" t="str">
            <v>LEITE CONFIANCA IND E COMERCIO</v>
          </cell>
          <cell r="D2559" t="str">
            <v>4001</v>
          </cell>
          <cell r="E2559" t="str">
            <v>0454</v>
          </cell>
          <cell r="F2559" t="str">
            <v>C1</v>
          </cell>
          <cell r="G2559" t="str">
            <v>PE</v>
          </cell>
          <cell r="H2559" t="str">
            <v>INGREDIENTS</v>
          </cell>
          <cell r="I2559" t="str">
            <v>INGREDIENTS</v>
          </cell>
          <cell r="J2559" t="str">
            <v>MARCELO RODRIGUES</v>
          </cell>
          <cell r="K2559" t="str">
            <v>LACTALIS</v>
          </cell>
          <cell r="L2559" t="str">
            <v>MAURICIO</v>
          </cell>
          <cell r="M2559" t="str">
            <v>MARCELO</v>
          </cell>
        </row>
        <row r="2560">
          <cell r="B2560">
            <v>5331354</v>
          </cell>
          <cell r="C2560" t="str">
            <v>JFS ALIMENTOS LTDA</v>
          </cell>
          <cell r="D2560" t="str">
            <v>4001</v>
          </cell>
          <cell r="E2560" t="str">
            <v>0455</v>
          </cell>
          <cell r="F2560" t="str">
            <v>C1</v>
          </cell>
          <cell r="G2560" t="str">
            <v>SP</v>
          </cell>
          <cell r="H2560" t="str">
            <v>INGREDIENTS</v>
          </cell>
          <cell r="I2560" t="str">
            <v>INGREDIENTS</v>
          </cell>
          <cell r="J2560" t="str">
            <v>MARCELO RODRIGUES</v>
          </cell>
          <cell r="K2560" t="str">
            <v>LACTALIS</v>
          </cell>
          <cell r="L2560" t="str">
            <v>MAURICIO</v>
          </cell>
          <cell r="M2560" t="str">
            <v>MARCELO</v>
          </cell>
        </row>
        <row r="2561">
          <cell r="B2561">
            <v>5207685</v>
          </cell>
          <cell r="C2561" t="str">
            <v>ESPECIALI INDUSTRIA DE ALIMENTO</v>
          </cell>
          <cell r="D2561" t="str">
            <v>4001</v>
          </cell>
          <cell r="E2561" t="str">
            <v>0458</v>
          </cell>
          <cell r="F2561" t="str">
            <v>C1</v>
          </cell>
          <cell r="G2561" t="str">
            <v>MG</v>
          </cell>
          <cell r="H2561" t="str">
            <v>INGREDIENTS</v>
          </cell>
          <cell r="I2561" t="str">
            <v>INGREDIENTS</v>
          </cell>
          <cell r="J2561" t="str">
            <v>HENRIQUE FERREIRA</v>
          </cell>
          <cell r="K2561" t="str">
            <v>LACTALIS</v>
          </cell>
          <cell r="L2561" t="str">
            <v>MAURICIO</v>
          </cell>
          <cell r="M2561" t="str">
            <v>JOEL</v>
          </cell>
        </row>
        <row r="2562">
          <cell r="B2562">
            <v>5357073</v>
          </cell>
          <cell r="C2562" t="str">
            <v>PADARIA E CONFEITARIA ERICS BAK</v>
          </cell>
          <cell r="D2562" t="str">
            <v>7001</v>
          </cell>
          <cell r="E2562" t="str">
            <v>0749</v>
          </cell>
          <cell r="F2562" t="str">
            <v>C5</v>
          </cell>
          <cell r="G2562" t="str">
            <v>SP</v>
          </cell>
          <cell r="H2562" t="str">
            <v>DISTRIBUIÇÃO</v>
          </cell>
          <cell r="I2562" t="str">
            <v>FOOD SERVICE</v>
          </cell>
          <cell r="J2562" t="str">
            <v>FLAC 10</v>
          </cell>
          <cell r="K2562" t="str">
            <v>LACTALIS</v>
          </cell>
          <cell r="L2562" t="str">
            <v>RODRIGO</v>
          </cell>
          <cell r="M2562" t="str">
            <v>ALEXANDRO</v>
          </cell>
        </row>
        <row r="2563">
          <cell r="B2563">
            <v>5355801</v>
          </cell>
          <cell r="C2563" t="str">
            <v>EDILSON SANTOS SOUZA PADARIA</v>
          </cell>
          <cell r="D2563">
            <v>7001</v>
          </cell>
          <cell r="E2563" t="str">
            <v>0749</v>
          </cell>
          <cell r="F2563" t="str">
            <v>C5</v>
          </cell>
          <cell r="G2563" t="str">
            <v>SP</v>
          </cell>
          <cell r="H2563" t="str">
            <v>DISTRIBUIÇÃO</v>
          </cell>
          <cell r="I2563" t="str">
            <v>FOOD SERVICE</v>
          </cell>
          <cell r="J2563" t="str">
            <v>FLAC 10</v>
          </cell>
          <cell r="K2563" t="str">
            <v>LACTALIS</v>
          </cell>
          <cell r="L2563" t="str">
            <v>RODRIGO</v>
          </cell>
          <cell r="M2563" t="str">
            <v>ALEXANDRO</v>
          </cell>
        </row>
        <row r="2564">
          <cell r="B2564">
            <v>5002549</v>
          </cell>
          <cell r="C2564" t="str">
            <v>SERVCATER INTERNACIONAL LTDA</v>
          </cell>
          <cell r="D2564" t="str">
            <v>6001</v>
          </cell>
          <cell r="E2564" t="str">
            <v>0028</v>
          </cell>
          <cell r="F2564" t="str">
            <v>C1</v>
          </cell>
          <cell r="G2564" t="str">
            <v>SP</v>
          </cell>
          <cell r="H2564" t="str">
            <v>QSR</v>
          </cell>
          <cell r="I2564" t="str">
            <v>FOOD SERVICE</v>
          </cell>
          <cell r="J2564" t="str">
            <v>ANA MENIQUETE</v>
          </cell>
          <cell r="K2564" t="str">
            <v>ITAMBÉ</v>
          </cell>
          <cell r="L2564" t="str">
            <v>PEDRO</v>
          </cell>
          <cell r="M2564" t="str">
            <v>ANA MENIQUETE</v>
          </cell>
        </row>
        <row r="2565">
          <cell r="B2565">
            <v>5075754</v>
          </cell>
          <cell r="C2565" t="str">
            <v>OMEGA DISTR DE PROD ALIM LTDA</v>
          </cell>
          <cell r="D2565" t="str">
            <v>6001</v>
          </cell>
          <cell r="E2565" t="str">
            <v>0127</v>
          </cell>
          <cell r="F2565" t="str">
            <v>C1</v>
          </cell>
          <cell r="G2565" t="str">
            <v>CE</v>
          </cell>
          <cell r="H2565" t="str">
            <v>DISTRIBUIÇÃO</v>
          </cell>
          <cell r="I2565" t="str">
            <v>FOOD SERVICE</v>
          </cell>
          <cell r="J2565" t="str">
            <v>WH FOOD SERVICE CE</v>
          </cell>
          <cell r="K2565" t="str">
            <v>ITAMBÉ</v>
          </cell>
          <cell r="L2565" t="str">
            <v>RODRIGO</v>
          </cell>
          <cell r="M2565" t="str">
            <v>VAGO NORDESTE</v>
          </cell>
        </row>
        <row r="2566">
          <cell r="B2566">
            <v>5110910</v>
          </cell>
          <cell r="C2566" t="str">
            <v>SORVETERIA RIBEIRA LTDA</v>
          </cell>
          <cell r="D2566" t="str">
            <v>6001</v>
          </cell>
          <cell r="E2566" t="str">
            <v>0127</v>
          </cell>
          <cell r="F2566" t="str">
            <v>C1</v>
          </cell>
          <cell r="G2566" t="str">
            <v>BA</v>
          </cell>
          <cell r="H2566" t="str">
            <v>DISTRIBUIÇÃO</v>
          </cell>
          <cell r="I2566" t="str">
            <v>FOOD SERVICE</v>
          </cell>
          <cell r="J2566" t="str">
            <v xml:space="preserve">KARIS FOOD / LUIZ </v>
          </cell>
          <cell r="K2566" t="str">
            <v>ITAMBÉ</v>
          </cell>
          <cell r="L2566" t="str">
            <v>RODRIGO</v>
          </cell>
          <cell r="M2566" t="str">
            <v>VAGO NORDESTE</v>
          </cell>
        </row>
        <row r="2567">
          <cell r="B2567">
            <v>5138388</v>
          </cell>
          <cell r="C2567" t="str">
            <v>GOIASMINAS INDUSTRIA DE LATICIN</v>
          </cell>
          <cell r="D2567" t="str">
            <v>4001</v>
          </cell>
          <cell r="E2567" t="str">
            <v>0437</v>
          </cell>
          <cell r="F2567" t="str">
            <v>C1</v>
          </cell>
          <cell r="G2567" t="str">
            <v>GO</v>
          </cell>
          <cell r="H2567" t="str">
            <v>INGREDIENTS</v>
          </cell>
          <cell r="I2567" t="str">
            <v>INGREDIENTS</v>
          </cell>
          <cell r="J2567" t="str">
            <v>JOEL ELEOTÉRIO</v>
          </cell>
          <cell r="K2567" t="str">
            <v>LACTALIS</v>
          </cell>
          <cell r="L2567" t="str">
            <v>MAURICIO</v>
          </cell>
          <cell r="M2567" t="str">
            <v>JOEL</v>
          </cell>
        </row>
        <row r="2568">
          <cell r="B2568">
            <v>5183642</v>
          </cell>
          <cell r="C2568" t="str">
            <v>BOLOS CASEIROS CASQUEL LTDA</v>
          </cell>
          <cell r="D2568" t="str">
            <v>3001</v>
          </cell>
          <cell r="E2568" t="str">
            <v>0126</v>
          </cell>
          <cell r="F2568" t="str">
            <v>C1</v>
          </cell>
          <cell r="G2568" t="str">
            <v>PR</v>
          </cell>
          <cell r="H2568" t="str">
            <v>QSR</v>
          </cell>
          <cell r="I2568" t="str">
            <v>FOOD SERVICE</v>
          </cell>
          <cell r="J2568" t="str">
            <v>AMANDA CARVALHO</v>
          </cell>
          <cell r="K2568" t="str">
            <v>ITAMBÉ</v>
          </cell>
          <cell r="L2568" t="str">
            <v>PEDRO</v>
          </cell>
          <cell r="M2568" t="str">
            <v>AMANDA</v>
          </cell>
        </row>
        <row r="2569">
          <cell r="B2569">
            <v>5183963</v>
          </cell>
          <cell r="C2569" t="str">
            <v>JOSIMAR COMERCIO DE DOCES LTDA</v>
          </cell>
          <cell r="D2569" t="str">
            <v>3001</v>
          </cell>
          <cell r="E2569" t="str">
            <v>0028</v>
          </cell>
          <cell r="F2569" t="str">
            <v>C1</v>
          </cell>
          <cell r="G2569" t="str">
            <v>PR</v>
          </cell>
          <cell r="H2569" t="str">
            <v>INGREDIENTS</v>
          </cell>
          <cell r="I2569" t="str">
            <v>INGREDIENTS</v>
          </cell>
          <cell r="J2569" t="str">
            <v>DUAS RODAS</v>
          </cell>
          <cell r="K2569" t="str">
            <v>ITAMBÉ</v>
          </cell>
          <cell r="L2569" t="str">
            <v>MAURICIO</v>
          </cell>
          <cell r="M2569" t="str">
            <v>TATIANA NITTA</v>
          </cell>
        </row>
        <row r="2570">
          <cell r="B2570">
            <v>5190347</v>
          </cell>
          <cell r="C2570" t="str">
            <v>HIPER PAN DISTDE PROD DE PAN LT</v>
          </cell>
          <cell r="D2570" t="str">
            <v>6001</v>
          </cell>
          <cell r="E2570" t="str">
            <v>0127</v>
          </cell>
          <cell r="F2570" t="str">
            <v>C1</v>
          </cell>
          <cell r="G2570" t="str">
            <v>BA</v>
          </cell>
          <cell r="H2570" t="str">
            <v>DISTRIBUIÇÃO</v>
          </cell>
          <cell r="I2570" t="str">
            <v>FOOD SERVICE</v>
          </cell>
          <cell r="J2570" t="str">
            <v xml:space="preserve">KARIS FOOD / LUIZ </v>
          </cell>
          <cell r="K2570" t="str">
            <v>ITAMBÉ</v>
          </cell>
          <cell r="L2570" t="str">
            <v>RODRIGO</v>
          </cell>
          <cell r="M2570" t="str">
            <v>VAGO NORDESTE</v>
          </cell>
        </row>
        <row r="2571">
          <cell r="B2571">
            <v>5191804</v>
          </cell>
          <cell r="C2571" t="str">
            <v>BOX 81 DISTR DE PRODS ALIMENT</v>
          </cell>
          <cell r="D2571" t="str">
            <v>6001</v>
          </cell>
          <cell r="E2571" t="str">
            <v>0169</v>
          </cell>
          <cell r="F2571" t="str">
            <v>C1</v>
          </cell>
          <cell r="G2571" t="str">
            <v>RJ</v>
          </cell>
          <cell r="H2571" t="str">
            <v>DISTRIBUIÇÃO</v>
          </cell>
          <cell r="I2571" t="str">
            <v>FOOD SERVICE</v>
          </cell>
          <cell r="J2571" t="str">
            <v>JULIANA CORDEIRO</v>
          </cell>
          <cell r="K2571" t="str">
            <v>ITAMBÉ</v>
          </cell>
          <cell r="L2571" t="str">
            <v>RODRIGO</v>
          </cell>
          <cell r="M2571" t="str">
            <v>JESSICA</v>
          </cell>
        </row>
        <row r="2572">
          <cell r="B2572">
            <v>5213747</v>
          </cell>
          <cell r="C2572" t="str">
            <v>MEGGA MANIA SORVETES</v>
          </cell>
          <cell r="D2572" t="str">
            <v>6001</v>
          </cell>
          <cell r="E2572" t="str">
            <v>0028</v>
          </cell>
          <cell r="F2572" t="str">
            <v>C1</v>
          </cell>
          <cell r="G2572" t="str">
            <v>SP</v>
          </cell>
          <cell r="H2572" t="str">
            <v>INGREDIENTS</v>
          </cell>
          <cell r="I2572" t="str">
            <v>INGREDIENTS</v>
          </cell>
          <cell r="J2572" t="str">
            <v>DUAS RODAS</v>
          </cell>
          <cell r="K2572" t="str">
            <v>ITAMBÉ</v>
          </cell>
          <cell r="L2572" t="str">
            <v>MAURICIO</v>
          </cell>
          <cell r="M2572" t="str">
            <v>TATIANA NITTA</v>
          </cell>
        </row>
        <row r="2573">
          <cell r="B2573">
            <v>5218199</v>
          </cell>
          <cell r="C2573" t="str">
            <v>CANTINHO GOURMET FAB DE ALIM CO</v>
          </cell>
          <cell r="D2573" t="str">
            <v>6001</v>
          </cell>
          <cell r="E2573" t="str">
            <v>0127</v>
          </cell>
          <cell r="F2573" t="str">
            <v>C1</v>
          </cell>
          <cell r="G2573" t="str">
            <v>BA</v>
          </cell>
          <cell r="H2573" t="str">
            <v>DISTRIBUIÇÃO</v>
          </cell>
          <cell r="I2573" t="str">
            <v>FOOD SERVICE</v>
          </cell>
          <cell r="J2573" t="str">
            <v xml:space="preserve">KARIS FOOD / LUIZ </v>
          </cell>
          <cell r="K2573" t="str">
            <v>ITAMBÉ</v>
          </cell>
          <cell r="L2573" t="str">
            <v>RODRIGO</v>
          </cell>
          <cell r="M2573" t="str">
            <v>VAGO NORDESTE</v>
          </cell>
        </row>
        <row r="2574">
          <cell r="B2574">
            <v>5221359</v>
          </cell>
          <cell r="C2574" t="str">
            <v>FABRICACAO DE PRODUTOS DE PADAR</v>
          </cell>
          <cell r="D2574" t="str">
            <v>6001</v>
          </cell>
          <cell r="E2574" t="str">
            <v>0127</v>
          </cell>
          <cell r="F2574" t="str">
            <v>C1</v>
          </cell>
          <cell r="G2574" t="str">
            <v>BA</v>
          </cell>
          <cell r="H2574" t="str">
            <v>DISTRIBUIÇÃO</v>
          </cell>
          <cell r="I2574" t="str">
            <v>FOOD SERVICE</v>
          </cell>
          <cell r="J2574" t="str">
            <v xml:space="preserve">KARIS FOOD / LUIZ </v>
          </cell>
          <cell r="K2574" t="str">
            <v>ITAMBÉ</v>
          </cell>
          <cell r="L2574" t="str">
            <v>RODRIGO</v>
          </cell>
          <cell r="M2574" t="str">
            <v>VAGO NORDESTE</v>
          </cell>
        </row>
        <row r="2575">
          <cell r="B2575">
            <v>5227772</v>
          </cell>
          <cell r="C2575" t="str">
            <v>CHOCONATA INDUSTRIA E COM DE AL</v>
          </cell>
          <cell r="D2575" t="str">
            <v>6001</v>
          </cell>
          <cell r="E2575" t="str">
            <v>0169</v>
          </cell>
          <cell r="F2575" t="str">
            <v>C1</v>
          </cell>
          <cell r="G2575" t="str">
            <v>RJ</v>
          </cell>
          <cell r="H2575" t="str">
            <v>INGREDIENTS</v>
          </cell>
          <cell r="I2575" t="str">
            <v>INGREDIENTS</v>
          </cell>
          <cell r="J2575" t="str">
            <v>TATIANA NITTA</v>
          </cell>
          <cell r="K2575" t="str">
            <v>ITAMBÉ</v>
          </cell>
          <cell r="L2575" t="str">
            <v>MAURICIO</v>
          </cell>
          <cell r="M2575" t="str">
            <v>TATIANA NITTA</v>
          </cell>
        </row>
        <row r="2576">
          <cell r="B2576">
            <v>5229831</v>
          </cell>
          <cell r="C2576" t="str">
            <v>BRIGADEIRO INDUSTRIA E COMERCIO</v>
          </cell>
          <cell r="D2576" t="str">
            <v>6001</v>
          </cell>
          <cell r="E2576" t="str">
            <v>0169</v>
          </cell>
          <cell r="F2576" t="str">
            <v>C1</v>
          </cell>
          <cell r="G2576" t="str">
            <v>RJ</v>
          </cell>
          <cell r="H2576" t="str">
            <v>INGREDIENTS</v>
          </cell>
          <cell r="I2576" t="str">
            <v>INGREDIENTS</v>
          </cell>
          <cell r="J2576" t="str">
            <v>TATIANA NITTA</v>
          </cell>
          <cell r="K2576" t="str">
            <v>ITAMBÉ</v>
          </cell>
          <cell r="L2576" t="str">
            <v>MAURICIO</v>
          </cell>
          <cell r="M2576" t="str">
            <v>TATIANA NITTA</v>
          </cell>
        </row>
        <row r="2577">
          <cell r="B2577">
            <v>5230041</v>
          </cell>
          <cell r="C2577" t="str">
            <v>LATICINIOS REZENDE LTDA</v>
          </cell>
          <cell r="D2577" t="str">
            <v>4001</v>
          </cell>
          <cell r="E2577" t="str">
            <v>0423</v>
          </cell>
          <cell r="F2577" t="str">
            <v>C5</v>
          </cell>
          <cell r="G2577" t="str">
            <v>MG</v>
          </cell>
          <cell r="H2577" t="str">
            <v>INGREDIENTS</v>
          </cell>
          <cell r="I2577" t="str">
            <v>INGREDIENTS</v>
          </cell>
          <cell r="J2577" t="str">
            <v>DLUM</v>
          </cell>
          <cell r="K2577" t="str">
            <v>LACTALIS</v>
          </cell>
          <cell r="L2577" t="str">
            <v>MAURICIO</v>
          </cell>
          <cell r="M2577" t="str">
            <v>JOEL</v>
          </cell>
        </row>
        <row r="2578">
          <cell r="B2578">
            <v>5357099</v>
          </cell>
          <cell r="C2578" t="str">
            <v>BIANCA MORO GALUPPO SILVEIRA 11</v>
          </cell>
          <cell r="D2578" t="str">
            <v>7001</v>
          </cell>
          <cell r="E2578" t="str">
            <v>0749</v>
          </cell>
          <cell r="F2578" t="str">
            <v>C5</v>
          </cell>
          <cell r="G2578" t="str">
            <v>SP</v>
          </cell>
          <cell r="H2578" t="str">
            <v>DISTRIBUIÇÃO</v>
          </cell>
          <cell r="I2578" t="str">
            <v>FOOD SERVICE</v>
          </cell>
          <cell r="J2578" t="str">
            <v>FLAC 10</v>
          </cell>
          <cell r="K2578" t="str">
            <v>LACTALIS</v>
          </cell>
          <cell r="L2578" t="str">
            <v>RODRIGO</v>
          </cell>
          <cell r="M2578" t="str">
            <v>ALEXANDRO</v>
          </cell>
        </row>
        <row r="2579">
          <cell r="B2579">
            <v>5357220</v>
          </cell>
          <cell r="C2579" t="str">
            <v>SORVETES MELO LTDA</v>
          </cell>
          <cell r="D2579" t="str">
            <v>7001</v>
          </cell>
          <cell r="E2579" t="str">
            <v>0749</v>
          </cell>
          <cell r="F2579" t="str">
            <v>C5</v>
          </cell>
          <cell r="G2579" t="str">
            <v>SP</v>
          </cell>
          <cell r="H2579" t="str">
            <v>DISTRIBUIÇÃO</v>
          </cell>
          <cell r="I2579" t="str">
            <v>FOOD SERVICE</v>
          </cell>
          <cell r="J2579" t="str">
            <v>FLAC 3</v>
          </cell>
          <cell r="K2579" t="str">
            <v>LACTALIS</v>
          </cell>
          <cell r="L2579" t="str">
            <v>RODRIGO</v>
          </cell>
          <cell r="M2579" t="str">
            <v>ALEXANDRO</v>
          </cell>
        </row>
        <row r="2580">
          <cell r="B2580">
            <v>5128929</v>
          </cell>
          <cell r="C2580" t="str">
            <v>LPATSA ALIM TERC DE SERV ADMIN</v>
          </cell>
          <cell r="D2580" t="str">
            <v>6001</v>
          </cell>
          <cell r="E2580" t="str">
            <v>6127</v>
          </cell>
          <cell r="F2580" t="str">
            <v>C1</v>
          </cell>
          <cell r="G2580" t="str">
            <v>BA</v>
          </cell>
          <cell r="H2580" t="str">
            <v>DISTRIBUIÇÃO</v>
          </cell>
          <cell r="I2580" t="str">
            <v>FOOD SERVICE</v>
          </cell>
          <cell r="J2580" t="str">
            <v xml:space="preserve">KARIS FOOD / LUIZ </v>
          </cell>
          <cell r="K2580" t="str">
            <v>ITAMBÉ</v>
          </cell>
          <cell r="L2580" t="str">
            <v>RODRIGO</v>
          </cell>
          <cell r="M2580" t="str">
            <v>VAGO NORDESTE</v>
          </cell>
        </row>
        <row r="2581">
          <cell r="B2581">
            <v>5214053</v>
          </cell>
          <cell r="C2581" t="str">
            <v>MP MARTINS ALIMENTOS LTDA</v>
          </cell>
          <cell r="D2581" t="str">
            <v>7001</v>
          </cell>
          <cell r="E2581" t="str">
            <v>0756</v>
          </cell>
          <cell r="F2581" t="str">
            <v>C1</v>
          </cell>
          <cell r="G2581" t="str">
            <v>SC</v>
          </cell>
          <cell r="H2581" t="str">
            <v>DISTRIBUIÇÃO</v>
          </cell>
          <cell r="I2581" t="str">
            <v>FOOD SERVICE</v>
          </cell>
          <cell r="J2581" t="str">
            <v>ANTÔNIO SOUZA</v>
          </cell>
          <cell r="K2581" t="str">
            <v>LACTALIS</v>
          </cell>
          <cell r="L2581" t="str">
            <v>RODRIGO</v>
          </cell>
          <cell r="M2581" t="str">
            <v>VAGO SUL</v>
          </cell>
        </row>
        <row r="2582">
          <cell r="B2582">
            <v>5307722</v>
          </cell>
          <cell r="C2582" t="str">
            <v>SELECTO CACAU IND E COM PR ALIM</v>
          </cell>
          <cell r="D2582" t="str">
            <v>6001</v>
          </cell>
          <cell r="E2582" t="str">
            <v>6028</v>
          </cell>
          <cell r="F2582" t="str">
            <v>C1</v>
          </cell>
          <cell r="G2582" t="str">
            <v>SP</v>
          </cell>
          <cell r="H2582" t="str">
            <v>INGREDIENTS</v>
          </cell>
          <cell r="I2582" t="str">
            <v>INGREDIENTS</v>
          </cell>
          <cell r="J2582" t="str">
            <v>TATIANA NITTA</v>
          </cell>
          <cell r="K2582" t="str">
            <v>ITAMBÉ</v>
          </cell>
          <cell r="L2582" t="str">
            <v>MAURICIO</v>
          </cell>
          <cell r="M2582" t="str">
            <v>TATIANA NITTA</v>
          </cell>
        </row>
        <row r="2583">
          <cell r="B2583">
            <v>5231426</v>
          </cell>
          <cell r="C2583" t="str">
            <v>RC PADARIA E CONFEITARIA LTDA</v>
          </cell>
          <cell r="D2583" t="str">
            <v>7001</v>
          </cell>
          <cell r="E2583" t="str">
            <v>0749</v>
          </cell>
          <cell r="F2583" t="str">
            <v>C5</v>
          </cell>
          <cell r="G2583" t="str">
            <v>SP</v>
          </cell>
          <cell r="H2583" t="str">
            <v>DISTRIBUIÇÃO</v>
          </cell>
          <cell r="I2583" t="str">
            <v>FOOD SERVICE</v>
          </cell>
          <cell r="J2583" t="str">
            <v>FLAC 7</v>
          </cell>
          <cell r="K2583" t="str">
            <v>LACTALIS</v>
          </cell>
          <cell r="L2583" t="str">
            <v>RODRIGO</v>
          </cell>
          <cell r="M2583" t="str">
            <v>ALEXANDRO</v>
          </cell>
        </row>
        <row r="2584">
          <cell r="B2584">
            <v>5357534</v>
          </cell>
          <cell r="C2584" t="str">
            <v>THE WISH FACTORY LTDA</v>
          </cell>
          <cell r="D2584" t="str">
            <v>7001</v>
          </cell>
          <cell r="E2584" t="str">
            <v>0749</v>
          </cell>
          <cell r="F2584" t="str">
            <v>C5</v>
          </cell>
          <cell r="G2584" t="str">
            <v>SP</v>
          </cell>
          <cell r="H2584" t="str">
            <v>DISTRIBUIÇÃO</v>
          </cell>
          <cell r="I2584" t="str">
            <v>FOOD SERVICE</v>
          </cell>
          <cell r="J2584" t="str">
            <v>FLAC 10</v>
          </cell>
          <cell r="K2584" t="str">
            <v>LACTALIS</v>
          </cell>
          <cell r="L2584" t="str">
            <v>RODRIGO</v>
          </cell>
          <cell r="M2584" t="str">
            <v>ALEXANDRO</v>
          </cell>
        </row>
        <row r="2585">
          <cell r="B2585">
            <v>5084421</v>
          </cell>
          <cell r="C2585" t="str">
            <v>BONOTTO E COSTA COM ALIMENTOS L</v>
          </cell>
          <cell r="D2585" t="str">
            <v>4001</v>
          </cell>
          <cell r="E2585" t="str">
            <v>0546</v>
          </cell>
          <cell r="F2585" t="str">
            <v>C1</v>
          </cell>
          <cell r="G2585" t="str">
            <v>RS</v>
          </cell>
          <cell r="H2585" t="str">
            <v>DISTRIBUIÇÃO</v>
          </cell>
          <cell r="I2585" t="str">
            <v>FOOD SERVICE</v>
          </cell>
          <cell r="J2585" t="str">
            <v>ANTÔNIO SOUZA</v>
          </cell>
          <cell r="K2585" t="str">
            <v>LACTALIS</v>
          </cell>
          <cell r="L2585" t="str">
            <v>RODRIGO</v>
          </cell>
          <cell r="M2585" t="str">
            <v>VAGO SUL</v>
          </cell>
        </row>
        <row r="2586">
          <cell r="B2586">
            <v>5338667</v>
          </cell>
          <cell r="C2586" t="str">
            <v>IBAE IND BRASILEIRA DE ALI ESP</v>
          </cell>
          <cell r="D2586" t="str">
            <v>6001</v>
          </cell>
          <cell r="E2586" t="str">
            <v>6028</v>
          </cell>
          <cell r="F2586" t="str">
            <v>C1</v>
          </cell>
          <cell r="G2586" t="str">
            <v>ES</v>
          </cell>
          <cell r="H2586" t="str">
            <v>INGREDIENTS</v>
          </cell>
          <cell r="I2586" t="str">
            <v>INGREDIENTS</v>
          </cell>
          <cell r="J2586" t="str">
            <v>TATIANA NITTA</v>
          </cell>
          <cell r="K2586" t="str">
            <v>ITAMBÉ</v>
          </cell>
          <cell r="L2586" t="str">
            <v>MAURICIO</v>
          </cell>
          <cell r="M2586" t="str">
            <v>TATIANA NITTA</v>
          </cell>
        </row>
        <row r="2587">
          <cell r="B2587">
            <v>5357586</v>
          </cell>
          <cell r="C2587" t="str">
            <v>54760991 MAURISTELLA GOMES DO N</v>
          </cell>
          <cell r="D2587" t="str">
            <v>7001</v>
          </cell>
          <cell r="E2587" t="str">
            <v>0749</v>
          </cell>
          <cell r="F2587" t="str">
            <v>C5</v>
          </cell>
          <cell r="G2587" t="str">
            <v>SP</v>
          </cell>
          <cell r="H2587" t="str">
            <v>DISTRIBUIÇÃO</v>
          </cell>
          <cell r="I2587" t="str">
            <v>FOOD SERVICE</v>
          </cell>
          <cell r="J2587" t="str">
            <v>FLAC 5</v>
          </cell>
          <cell r="K2587" t="str">
            <v>LACTALIS</v>
          </cell>
          <cell r="L2587" t="str">
            <v>RODRIGO</v>
          </cell>
          <cell r="M2587" t="str">
            <v>ALEXANDRO</v>
          </cell>
        </row>
        <row r="2588">
          <cell r="B2588">
            <v>5261023</v>
          </cell>
          <cell r="C2588" t="str">
            <v>EMPORIO MEGA 100 COMERCIO DE AL</v>
          </cell>
          <cell r="D2588">
            <v>7001</v>
          </cell>
          <cell r="E2588" t="str">
            <v>0749</v>
          </cell>
          <cell r="F2588" t="str">
            <v>C5</v>
          </cell>
          <cell r="G2588" t="str">
            <v>SP</v>
          </cell>
          <cell r="H2588" t="str">
            <v>DISTRIBUIÇÃO</v>
          </cell>
          <cell r="I2588" t="str">
            <v>FOOD SERVICE</v>
          </cell>
          <cell r="J2588" t="str">
            <v>FLAC 1</v>
          </cell>
          <cell r="K2588" t="str">
            <v>LACTALIS</v>
          </cell>
          <cell r="L2588" t="str">
            <v>RODRIGO</v>
          </cell>
          <cell r="M2588" t="str">
            <v>ALEXANDRO</v>
          </cell>
        </row>
        <row r="2589">
          <cell r="B2589">
            <v>5103562</v>
          </cell>
          <cell r="C2589" t="str">
            <v>ERG DISTRIBUIDORA LTDA</v>
          </cell>
          <cell r="D2589" t="str">
            <v>3001</v>
          </cell>
          <cell r="E2589" t="str">
            <v>0122</v>
          </cell>
          <cell r="F2589" t="str">
            <v>C1</v>
          </cell>
          <cell r="G2589" t="str">
            <v>MG</v>
          </cell>
          <cell r="H2589" t="str">
            <v>DISTRIBUIÇÃO</v>
          </cell>
          <cell r="I2589" t="str">
            <v>FOOD SERVICE</v>
          </cell>
          <cell r="J2589" t="str">
            <v>MARCELO SILVA</v>
          </cell>
          <cell r="K2589" t="str">
            <v>ITAMBÉ</v>
          </cell>
          <cell r="L2589" t="str">
            <v>RODRIGO</v>
          </cell>
          <cell r="M2589" t="str">
            <v>CELIO MARTINS</v>
          </cell>
        </row>
        <row r="2590">
          <cell r="B2590">
            <v>5357567</v>
          </cell>
          <cell r="C2590" t="str">
            <v>GO TWO MKT LTDA</v>
          </cell>
          <cell r="D2590" t="str">
            <v>7001</v>
          </cell>
          <cell r="E2590" t="str">
            <v>0749</v>
          </cell>
          <cell r="F2590" t="str">
            <v>C5</v>
          </cell>
          <cell r="G2590" t="str">
            <v>SP</v>
          </cell>
          <cell r="H2590" t="str">
            <v>DISTRIBUIÇÃO</v>
          </cell>
          <cell r="I2590" t="str">
            <v>FOOD SERVICE</v>
          </cell>
          <cell r="J2590" t="str">
            <v>FLAC 10</v>
          </cell>
          <cell r="K2590" t="str">
            <v>LACTALIS</v>
          </cell>
          <cell r="L2590" t="str">
            <v>RODRIGO</v>
          </cell>
          <cell r="M2590" t="str">
            <v>ALEXANDRO</v>
          </cell>
        </row>
        <row r="2591">
          <cell r="B2591">
            <v>5357614</v>
          </cell>
          <cell r="C2591" t="str">
            <v>ACAI ISLAND COMERCIO E DISTRIBU</v>
          </cell>
          <cell r="D2591" t="str">
            <v>6001</v>
          </cell>
          <cell r="E2591" t="str">
            <v>6028</v>
          </cell>
          <cell r="F2591" t="str">
            <v>C1</v>
          </cell>
          <cell r="G2591" t="str">
            <v>SP</v>
          </cell>
          <cell r="H2591" t="str">
            <v>INGREDIENTS</v>
          </cell>
          <cell r="I2591" t="str">
            <v>INGREDIENTS</v>
          </cell>
          <cell r="J2591" t="str">
            <v>TATIANA NITTA</v>
          </cell>
          <cell r="K2591" t="str">
            <v>ITAMBÉ</v>
          </cell>
          <cell r="L2591" t="str">
            <v>MAURICIO</v>
          </cell>
          <cell r="M2591" t="str">
            <v>TATIANA NITTA</v>
          </cell>
        </row>
        <row r="2592">
          <cell r="B2592">
            <v>5357101</v>
          </cell>
          <cell r="C2592" t="str">
            <v>57739361 PAULO GUILH MIRANDA DA CRU</v>
          </cell>
          <cell r="D2592">
            <v>7001</v>
          </cell>
          <cell r="E2592" t="str">
            <v>0749</v>
          </cell>
          <cell r="F2592" t="str">
            <v>C5</v>
          </cell>
          <cell r="G2592" t="str">
            <v>SP</v>
          </cell>
          <cell r="H2592" t="str">
            <v>DISTRIBUIÇÃO</v>
          </cell>
          <cell r="I2592" t="str">
            <v>FOOD SERVICE</v>
          </cell>
          <cell r="J2592" t="str">
            <v>FLAC 10</v>
          </cell>
          <cell r="K2592" t="str">
            <v>LACTALIS</v>
          </cell>
          <cell r="L2592" t="str">
            <v>RODRIGO</v>
          </cell>
          <cell r="M2592" t="str">
            <v>ALEXANDRO</v>
          </cell>
        </row>
        <row r="2593">
          <cell r="B2593">
            <v>5099052</v>
          </cell>
          <cell r="C2593" t="str">
            <v>BORA INDUSTRIA DO BRASIL LTDA</v>
          </cell>
          <cell r="D2593">
            <v>4001</v>
          </cell>
          <cell r="E2593" t="str">
            <v>0455</v>
          </cell>
          <cell r="F2593" t="str">
            <v>C1</v>
          </cell>
          <cell r="G2593" t="str">
            <v>PR</v>
          </cell>
          <cell r="H2593" t="str">
            <v>INGREDIENTS</v>
          </cell>
          <cell r="I2593" t="str">
            <v>INGREDIENTS</v>
          </cell>
          <cell r="J2593" t="str">
            <v>MARCELO RODRIGUES</v>
          </cell>
          <cell r="K2593" t="str">
            <v>LACTALIS</v>
          </cell>
          <cell r="L2593" t="str">
            <v>MAURICIO</v>
          </cell>
          <cell r="M2593" t="str">
            <v>MARCELO</v>
          </cell>
        </row>
        <row r="2594">
          <cell r="B2594">
            <v>5207685</v>
          </cell>
          <cell r="C2594" t="str">
            <v>ESPECIALI INDUSTRIA DE ALIMENTO</v>
          </cell>
          <cell r="D2594" t="str">
            <v>3001</v>
          </cell>
          <cell r="E2594" t="str">
            <v>0028</v>
          </cell>
          <cell r="F2594" t="str">
            <v>C1</v>
          </cell>
          <cell r="G2594" t="str">
            <v>MG</v>
          </cell>
          <cell r="H2594" t="str">
            <v>INGREDIENTS</v>
          </cell>
          <cell r="I2594" t="str">
            <v>INGREDIENTS</v>
          </cell>
          <cell r="J2594" t="str">
            <v>HENRIQUE FERREIRA</v>
          </cell>
          <cell r="K2594" t="str">
            <v>ITAMBÉ</v>
          </cell>
          <cell r="L2594" t="str">
            <v>MAURICIO</v>
          </cell>
          <cell r="M2594" t="str">
            <v>JOEL</v>
          </cell>
        </row>
        <row r="2595">
          <cell r="B2595">
            <v>5353965</v>
          </cell>
          <cell r="C2595" t="str">
            <v>KROKO KIDS ORG DE FEST E LOC DE</v>
          </cell>
          <cell r="D2595" t="str">
            <v>7001</v>
          </cell>
          <cell r="E2595" t="str">
            <v>0749</v>
          </cell>
          <cell r="F2595" t="str">
            <v>C5</v>
          </cell>
          <cell r="G2595" t="str">
            <v>SP</v>
          </cell>
          <cell r="H2595" t="str">
            <v>DISTRIBUIÇÃO</v>
          </cell>
          <cell r="I2595" t="str">
            <v>FOOD SERVICE</v>
          </cell>
          <cell r="J2595" t="str">
            <v>FLAC 10</v>
          </cell>
          <cell r="K2595" t="str">
            <v>LACTALIS</v>
          </cell>
          <cell r="L2595" t="str">
            <v>RODRIGO</v>
          </cell>
          <cell r="M2595" t="str">
            <v>ALEXANDRO</v>
          </cell>
        </row>
        <row r="2596">
          <cell r="B2596">
            <v>5357100</v>
          </cell>
          <cell r="C2596" t="str">
            <v>LC COFFEE E SNACKS LTDA</v>
          </cell>
          <cell r="D2596" t="str">
            <v>7001</v>
          </cell>
          <cell r="E2596" t="str">
            <v>0749</v>
          </cell>
          <cell r="F2596" t="str">
            <v>C5</v>
          </cell>
          <cell r="G2596" t="str">
            <v>SP</v>
          </cell>
          <cell r="H2596" t="str">
            <v>DISTRIBUIÇÃO</v>
          </cell>
          <cell r="I2596" t="str">
            <v>FOOD SERVICE</v>
          </cell>
          <cell r="J2596" t="str">
            <v>FLAC 10</v>
          </cell>
          <cell r="K2596" t="str">
            <v>LACTALIS</v>
          </cell>
          <cell r="L2596" t="str">
            <v>RODRIGO</v>
          </cell>
          <cell r="M2596" t="str">
            <v>ALEXANDRO</v>
          </cell>
        </row>
        <row r="2597">
          <cell r="B2597">
            <v>5355684</v>
          </cell>
          <cell r="C2597" t="str">
            <v>MARCIO HENRIQUE GILIOLI 0426382</v>
          </cell>
          <cell r="D2597" t="str">
            <v>7001</v>
          </cell>
          <cell r="E2597" t="str">
            <v>0749</v>
          </cell>
          <cell r="F2597" t="str">
            <v>C5</v>
          </cell>
          <cell r="G2597" t="str">
            <v>SP</v>
          </cell>
          <cell r="H2597" t="str">
            <v>DISTRIBUIÇÃO</v>
          </cell>
          <cell r="I2597" t="str">
            <v>FOOD SERVICE</v>
          </cell>
          <cell r="J2597" t="str">
            <v>FLAC 10</v>
          </cell>
          <cell r="K2597" t="str">
            <v>LACTALIS</v>
          </cell>
          <cell r="L2597" t="str">
            <v>RODRIGO</v>
          </cell>
          <cell r="M2597" t="str">
            <v>ALEXANDRO</v>
          </cell>
        </row>
        <row r="2598">
          <cell r="B2598">
            <v>5357699</v>
          </cell>
          <cell r="C2598" t="str">
            <v>SCHPANSKI SERVICOS DE ALIMENTAC</v>
          </cell>
          <cell r="D2598" t="str">
            <v>3001</v>
          </cell>
          <cell r="E2598" t="str">
            <v>0028</v>
          </cell>
          <cell r="F2598" t="str">
            <v>C1</v>
          </cell>
          <cell r="G2598" t="str">
            <v>PR</v>
          </cell>
          <cell r="H2598" t="str">
            <v>INGREDIENTS</v>
          </cell>
          <cell r="I2598" t="str">
            <v>INGREDIENTS</v>
          </cell>
          <cell r="J2598" t="str">
            <v>MARCELO RODRIGUES</v>
          </cell>
          <cell r="K2598" t="str">
            <v>ITAMBÉ</v>
          </cell>
          <cell r="L2598" t="str">
            <v>MAURICIO</v>
          </cell>
          <cell r="M2598" t="str">
            <v>MARCELO</v>
          </cell>
        </row>
        <row r="2599">
          <cell r="B2599">
            <v>5249249</v>
          </cell>
          <cell r="C2599" t="str">
            <v>SAX HOTEIS LTDA</v>
          </cell>
          <cell r="D2599">
            <v>7001</v>
          </cell>
          <cell r="E2599" t="str">
            <v>0749</v>
          </cell>
          <cell r="F2599" t="str">
            <v>C5</v>
          </cell>
          <cell r="G2599" t="str">
            <v>SP</v>
          </cell>
          <cell r="H2599" t="str">
            <v>DISTRIBUIÇÃO</v>
          </cell>
          <cell r="I2599" t="str">
            <v>FOOD SERVICE</v>
          </cell>
          <cell r="J2599" t="str">
            <v>FLAC 6</v>
          </cell>
          <cell r="K2599" t="str">
            <v>LACTALIS</v>
          </cell>
          <cell r="L2599" t="str">
            <v>RODRIGO</v>
          </cell>
          <cell r="M2599" t="str">
            <v>ALEXANDRO</v>
          </cell>
        </row>
        <row r="2600">
          <cell r="B2600">
            <v>5161950</v>
          </cell>
          <cell r="C2600" t="str">
            <v>SEM LIMITE DIST DE ALIMENTOS LTDA</v>
          </cell>
          <cell r="D2600">
            <v>3001</v>
          </cell>
          <cell r="E2600" t="str">
            <v>0122</v>
          </cell>
          <cell r="F2600" t="str">
            <v>C1</v>
          </cell>
          <cell r="G2600" t="str">
            <v>MG</v>
          </cell>
          <cell r="H2600" t="str">
            <v>DISTRIBUIÇÃO</v>
          </cell>
          <cell r="I2600" t="str">
            <v>FOOD SERVICE</v>
          </cell>
          <cell r="J2600" t="str">
            <v>MARCELO SILVA</v>
          </cell>
          <cell r="K2600" t="str">
            <v>ITAMBÉ</v>
          </cell>
          <cell r="L2600" t="str">
            <v>RODRIGO</v>
          </cell>
          <cell r="M2600" t="str">
            <v>CELIO MARTINS</v>
          </cell>
        </row>
        <row r="2601">
          <cell r="B2601">
            <v>5019640</v>
          </cell>
          <cell r="C2601" t="str">
            <v>BIG CHURROS DE PIRACICABA LTDA</v>
          </cell>
          <cell r="D2601" t="str">
            <v>7001</v>
          </cell>
          <cell r="E2601" t="str">
            <v>0722</v>
          </cell>
          <cell r="F2601" t="str">
            <v>C1</v>
          </cell>
          <cell r="G2601" t="str">
            <v>SP</v>
          </cell>
          <cell r="H2601" t="str">
            <v>INGREDIENTS</v>
          </cell>
          <cell r="I2601" t="str">
            <v>INGREDIENTS</v>
          </cell>
          <cell r="J2601" t="str">
            <v>HENRIQUE FERREIRA</v>
          </cell>
          <cell r="K2601" t="str">
            <v>LACTALIS</v>
          </cell>
          <cell r="L2601" t="str">
            <v>MAURICIO</v>
          </cell>
          <cell r="M2601" t="str">
            <v>JOEL</v>
          </cell>
        </row>
        <row r="2602">
          <cell r="B2602">
            <v>5158121</v>
          </cell>
          <cell r="C2602" t="str">
            <v>DIHELO ALIMENTOS LTDA</v>
          </cell>
          <cell r="D2602" t="str">
            <v>3001</v>
          </cell>
          <cell r="E2602" t="str">
            <v>0126</v>
          </cell>
          <cell r="F2602" t="str">
            <v>C1</v>
          </cell>
          <cell r="G2602" t="str">
            <v>SC</v>
          </cell>
          <cell r="H2602" t="str">
            <v>INGREDIENTS</v>
          </cell>
          <cell r="I2602" t="str">
            <v>INGREDIENTS</v>
          </cell>
          <cell r="J2602" t="str">
            <v>JOEL ELEOTÉRIO</v>
          </cell>
          <cell r="K2602" t="str">
            <v>ITAMBÉ</v>
          </cell>
          <cell r="L2602" t="str">
            <v>MAURICIO</v>
          </cell>
          <cell r="M2602" t="str">
            <v>JOEL</v>
          </cell>
        </row>
        <row r="2603">
          <cell r="B2603">
            <v>5220056</v>
          </cell>
          <cell r="C2603" t="str">
            <v>CAFE ITAPEVA LTDA</v>
          </cell>
          <cell r="D2603" t="str">
            <v>7001</v>
          </cell>
          <cell r="E2603" t="str">
            <v>0749</v>
          </cell>
          <cell r="F2603" t="str">
            <v>C5</v>
          </cell>
          <cell r="G2603" t="str">
            <v>SP</v>
          </cell>
          <cell r="H2603" t="str">
            <v>DISTRIBUIÇÃO</v>
          </cell>
          <cell r="I2603" t="str">
            <v>FOOD SERVICE</v>
          </cell>
          <cell r="J2603" t="str">
            <v>FLAC 5</v>
          </cell>
          <cell r="K2603" t="str">
            <v>LACTALIS</v>
          </cell>
          <cell r="L2603" t="str">
            <v>RODRIGO</v>
          </cell>
          <cell r="M2603" t="str">
            <v>ALEXANDRO</v>
          </cell>
        </row>
        <row r="2604">
          <cell r="B2604">
            <v>5230041</v>
          </cell>
          <cell r="C2604" t="str">
            <v>LATICINIOS REZENDE LTDA</v>
          </cell>
          <cell r="D2604" t="str">
            <v>3001</v>
          </cell>
          <cell r="E2604" t="str">
            <v>0028</v>
          </cell>
          <cell r="F2604" t="str">
            <v>C1</v>
          </cell>
          <cell r="G2604" t="str">
            <v>MG</v>
          </cell>
          <cell r="H2604" t="str">
            <v>INGREDIENTS</v>
          </cell>
          <cell r="I2604" t="str">
            <v>INGREDIENTS</v>
          </cell>
          <cell r="J2604" t="str">
            <v>JOEL ELEOTÉRIO</v>
          </cell>
          <cell r="K2604" t="str">
            <v>ITAMBÉ</v>
          </cell>
          <cell r="L2604" t="str">
            <v>MAURICIO</v>
          </cell>
          <cell r="M2604" t="str">
            <v>JOEL</v>
          </cell>
        </row>
        <row r="2605">
          <cell r="B2605">
            <v>5319562</v>
          </cell>
          <cell r="C2605" t="str">
            <v>FUTURA GASTRONOMIA S A</v>
          </cell>
          <cell r="D2605" t="str">
            <v>7001</v>
          </cell>
          <cell r="E2605" t="str">
            <v>0749</v>
          </cell>
          <cell r="F2605" t="str">
            <v>C5</v>
          </cell>
          <cell r="G2605" t="str">
            <v>SP</v>
          </cell>
          <cell r="H2605" t="str">
            <v>DISTRIBUIÇÃO</v>
          </cell>
          <cell r="I2605" t="str">
            <v>FOOD SERVICE</v>
          </cell>
          <cell r="J2605" t="str">
            <v>FLAC 5</v>
          </cell>
          <cell r="K2605" t="str">
            <v>LACTALIS</v>
          </cell>
          <cell r="L2605" t="str">
            <v>RODRIGO</v>
          </cell>
          <cell r="M2605" t="str">
            <v>ALEXANDRO</v>
          </cell>
        </row>
        <row r="2606">
          <cell r="B2606">
            <v>5357859</v>
          </cell>
          <cell r="C2606" t="str">
            <v>PLANAR CONSULTORIA E INVESTIMEN</v>
          </cell>
          <cell r="D2606" t="str">
            <v>7001</v>
          </cell>
          <cell r="E2606" t="str">
            <v>0749</v>
          </cell>
          <cell r="F2606" t="str">
            <v>C5</v>
          </cell>
          <cell r="G2606" t="str">
            <v>SP</v>
          </cell>
          <cell r="H2606" t="str">
            <v>DISTRIBUIÇÃO</v>
          </cell>
          <cell r="I2606" t="str">
            <v>FOOD SERVICE</v>
          </cell>
          <cell r="J2606" t="str">
            <v>FLAC 5</v>
          </cell>
          <cell r="K2606" t="str">
            <v>LACTALIS</v>
          </cell>
          <cell r="L2606" t="str">
            <v>RODRIGO</v>
          </cell>
          <cell r="M2606" t="str">
            <v>ALEXANDRO</v>
          </cell>
        </row>
        <row r="2607">
          <cell r="B2607">
            <v>5357894</v>
          </cell>
          <cell r="C2607" t="str">
            <v>MINI MERCADINHO SILVA LTDA</v>
          </cell>
          <cell r="D2607" t="str">
            <v>7001</v>
          </cell>
          <cell r="E2607" t="str">
            <v>0749</v>
          </cell>
          <cell r="F2607" t="str">
            <v>C5</v>
          </cell>
          <cell r="G2607" t="str">
            <v>SP</v>
          </cell>
          <cell r="H2607" t="str">
            <v>DISTRIBUIÇÃO</v>
          </cell>
          <cell r="I2607" t="str">
            <v>FOOD SERVICE</v>
          </cell>
          <cell r="J2607" t="str">
            <v>FLAC 2</v>
          </cell>
          <cell r="K2607" t="str">
            <v>LACTALIS</v>
          </cell>
          <cell r="L2607" t="str">
            <v>RODRIGO</v>
          </cell>
          <cell r="M2607" t="str">
            <v>ALEXANDRO</v>
          </cell>
        </row>
        <row r="2608">
          <cell r="B2608">
            <v>5233735</v>
          </cell>
          <cell r="C2608" t="str">
            <v>IND MATSUBARA DE PROD ALIMENTIC</v>
          </cell>
          <cell r="D2608" t="str">
            <v>3001</v>
          </cell>
          <cell r="E2608" t="str">
            <v>0127</v>
          </cell>
          <cell r="F2608" t="str">
            <v>C1</v>
          </cell>
          <cell r="G2608" t="str">
            <v>AL</v>
          </cell>
          <cell r="H2608" t="str">
            <v>INGREDIENTS</v>
          </cell>
          <cell r="I2608" t="str">
            <v>INGREDIENTS</v>
          </cell>
          <cell r="J2608" t="str">
            <v>JOEL ELEOTÉRIO</v>
          </cell>
          <cell r="K2608" t="str">
            <v>ITAMBÉ</v>
          </cell>
          <cell r="L2608" t="str">
            <v>MAURICIO</v>
          </cell>
          <cell r="M2608" t="str">
            <v>JOEL</v>
          </cell>
        </row>
        <row r="2609">
          <cell r="B2609">
            <v>5285875</v>
          </cell>
          <cell r="C2609" t="str">
            <v>RAINER E RAINER ARMAZEM LTDA ME</v>
          </cell>
          <cell r="D2609" t="str">
            <v>7001</v>
          </cell>
          <cell r="E2609" t="str">
            <v>0749</v>
          </cell>
          <cell r="F2609" t="str">
            <v>C5</v>
          </cell>
          <cell r="G2609" t="str">
            <v>SP</v>
          </cell>
          <cell r="H2609" t="str">
            <v>DISTRIBUIÇÃO</v>
          </cell>
          <cell r="I2609" t="str">
            <v>FOOD SERVICE</v>
          </cell>
          <cell r="J2609" t="str">
            <v>FLAC 2</v>
          </cell>
          <cell r="K2609" t="str">
            <v>LACTALIS</v>
          </cell>
          <cell r="L2609" t="str">
            <v>RODRIGO</v>
          </cell>
          <cell r="M2609" t="str">
            <v>ALEXANDRO</v>
          </cell>
        </row>
        <row r="2610">
          <cell r="B2610">
            <v>5357695</v>
          </cell>
          <cell r="C2610" t="str">
            <v>JESSICA TORRES 35866196859</v>
          </cell>
          <cell r="D2610" t="str">
            <v>7001</v>
          </cell>
          <cell r="E2610" t="str">
            <v>0749</v>
          </cell>
          <cell r="F2610" t="str">
            <v>C5</v>
          </cell>
          <cell r="G2610" t="str">
            <v>SP</v>
          </cell>
          <cell r="H2610" t="str">
            <v>DISTRIBUIÇÃO</v>
          </cell>
          <cell r="I2610" t="str">
            <v>FOOD SERVICE</v>
          </cell>
          <cell r="J2610" t="str">
            <v>FLAC 6</v>
          </cell>
          <cell r="K2610" t="str">
            <v>LACTALIS</v>
          </cell>
          <cell r="L2610" t="str">
            <v>RODRIGO</v>
          </cell>
          <cell r="M2610" t="str">
            <v>ALEXANDRO</v>
          </cell>
        </row>
        <row r="2611">
          <cell r="B2611">
            <v>5357959</v>
          </cell>
          <cell r="C2611" t="str">
            <v>LANCHONETE BARRACA DA LU LU LTD</v>
          </cell>
          <cell r="D2611" t="str">
            <v>7001</v>
          </cell>
          <cell r="E2611" t="str">
            <v>0749</v>
          </cell>
          <cell r="F2611" t="str">
            <v>C5</v>
          </cell>
          <cell r="G2611" t="str">
            <v>SP</v>
          </cell>
          <cell r="H2611" t="str">
            <v>DISTRIBUIÇÃO</v>
          </cell>
          <cell r="I2611" t="str">
            <v>FOOD SERVICE</v>
          </cell>
          <cell r="J2611" t="str">
            <v>FLAC 10</v>
          </cell>
          <cell r="K2611" t="str">
            <v>LACTALIS</v>
          </cell>
          <cell r="L2611" t="str">
            <v>RODRIGO</v>
          </cell>
          <cell r="M2611" t="str">
            <v>ALEXANDRO</v>
          </cell>
        </row>
        <row r="2612">
          <cell r="B2612">
            <v>5007304</v>
          </cell>
          <cell r="C2612" t="str">
            <v>WWW BIGSTORE COM DE MINIATURAS</v>
          </cell>
          <cell r="D2612" t="str">
            <v>7001</v>
          </cell>
          <cell r="E2612" t="str">
            <v>0739</v>
          </cell>
          <cell r="F2612" t="str">
            <v>C1</v>
          </cell>
          <cell r="G2612" t="str">
            <v>RJ</v>
          </cell>
          <cell r="H2612" t="str">
            <v>DISTRIBUIÇÃO</v>
          </cell>
          <cell r="I2612" t="str">
            <v>FOOD SERVICE</v>
          </cell>
          <cell r="J2612" t="str">
            <v>JULIANA CORDEIRO</v>
          </cell>
          <cell r="K2612" t="str">
            <v>LACTALIS</v>
          </cell>
          <cell r="L2612" t="str">
            <v>RODRIGO</v>
          </cell>
          <cell r="M2612" t="str">
            <v>JESSICA</v>
          </cell>
        </row>
        <row r="2613">
          <cell r="B2613">
            <v>5204041</v>
          </cell>
          <cell r="C2613" t="str">
            <v>CAUCASUS RESTAURANTES LTDA</v>
          </cell>
          <cell r="D2613" t="str">
            <v>7001</v>
          </cell>
          <cell r="E2613" t="str">
            <v>0722</v>
          </cell>
          <cell r="F2613" t="str">
            <v>C1</v>
          </cell>
          <cell r="G2613" t="str">
            <v>SP</v>
          </cell>
          <cell r="H2613" t="str">
            <v>QSR</v>
          </cell>
          <cell r="I2613" t="str">
            <v>FOOD SERVICE</v>
          </cell>
          <cell r="J2613" t="str">
            <v>ANA MENIQUETE</v>
          </cell>
          <cell r="K2613" t="str">
            <v>LACTALIS</v>
          </cell>
          <cell r="L2613" t="str">
            <v>PEDRO</v>
          </cell>
          <cell r="M2613" t="str">
            <v>ANA MENIQUETE</v>
          </cell>
        </row>
        <row r="2614">
          <cell r="B2614">
            <v>5221294</v>
          </cell>
          <cell r="C2614" t="str">
            <v>HOTELARIA ACCOR BRASIL SA</v>
          </cell>
          <cell r="D2614" t="str">
            <v>7001</v>
          </cell>
          <cell r="E2614" t="str">
            <v>0749</v>
          </cell>
          <cell r="F2614" t="str">
            <v>C5</v>
          </cell>
          <cell r="G2614" t="str">
            <v>SP</v>
          </cell>
          <cell r="H2614" t="str">
            <v>DISTRIBUIÇÃO</v>
          </cell>
          <cell r="I2614" t="str">
            <v>FOOD SERVICE</v>
          </cell>
          <cell r="J2614" t="str">
            <v>FLAC 3</v>
          </cell>
          <cell r="K2614" t="str">
            <v>LACTALIS</v>
          </cell>
          <cell r="L2614" t="str">
            <v>RODRIGO</v>
          </cell>
          <cell r="M2614" t="str">
            <v>ALEXANDRO</v>
          </cell>
        </row>
        <row r="2615">
          <cell r="B2615">
            <v>5231829</v>
          </cell>
          <cell r="C2615" t="str">
            <v>SEM LIMITE DIST DE ALIMENTOS LT</v>
          </cell>
          <cell r="D2615" t="str">
            <v>3001</v>
          </cell>
          <cell r="E2615" t="str">
            <v>0122</v>
          </cell>
          <cell r="F2615" t="str">
            <v>C1</v>
          </cell>
          <cell r="G2615" t="str">
            <v>MG</v>
          </cell>
          <cell r="H2615" t="str">
            <v>DISTRIBUIÇÃO</v>
          </cell>
          <cell r="I2615" t="str">
            <v>FOOD SERVICE</v>
          </cell>
          <cell r="J2615" t="str">
            <v>MARCELO SILVA</v>
          </cell>
          <cell r="K2615" t="str">
            <v>ITAMBÉ</v>
          </cell>
          <cell r="L2615" t="str">
            <v>RODRIGO</v>
          </cell>
          <cell r="M2615" t="str">
            <v>CELIO MARTINS</v>
          </cell>
        </row>
        <row r="2616">
          <cell r="B2616">
            <v>5358039</v>
          </cell>
          <cell r="C2616" t="str">
            <v>ANDREIA MIGLIORELI DE MORAES SA</v>
          </cell>
          <cell r="D2616" t="str">
            <v>6001</v>
          </cell>
          <cell r="E2616" t="str">
            <v>6028</v>
          </cell>
          <cell r="F2616" t="str">
            <v>C1</v>
          </cell>
          <cell r="G2616" t="str">
            <v>SP</v>
          </cell>
          <cell r="H2616" t="str">
            <v>INGREDIENTS</v>
          </cell>
          <cell r="I2616" t="str">
            <v>INGREDIENTS</v>
          </cell>
          <cell r="J2616" t="str">
            <v>DUAS RODAS</v>
          </cell>
          <cell r="K2616" t="str">
            <v>ITAMBÉ</v>
          </cell>
          <cell r="L2616" t="str">
            <v>MAURICIO</v>
          </cell>
          <cell r="M2616" t="str">
            <v>TATIANA NITTA</v>
          </cell>
        </row>
        <row r="2617">
          <cell r="B2617">
            <v>5192480</v>
          </cell>
          <cell r="C2617" t="str">
            <v>RALSKI RESTAURANTES LTDA</v>
          </cell>
          <cell r="D2617" t="str">
            <v>7001</v>
          </cell>
          <cell r="E2617" t="str">
            <v>0722</v>
          </cell>
          <cell r="F2617" t="str">
            <v>C1</v>
          </cell>
          <cell r="G2617" t="str">
            <v>SP</v>
          </cell>
          <cell r="H2617" t="str">
            <v>QSR</v>
          </cell>
          <cell r="I2617" t="str">
            <v>FOOD SERVICE</v>
          </cell>
          <cell r="J2617" t="str">
            <v>ANA MENIQUETE</v>
          </cell>
          <cell r="K2617" t="str">
            <v>LACTALIS</v>
          </cell>
          <cell r="L2617" t="str">
            <v>PEDRO</v>
          </cell>
          <cell r="M2617" t="str">
            <v>ANA MENIQUETE</v>
          </cell>
        </row>
        <row r="2618">
          <cell r="B2618">
            <v>5207341</v>
          </cell>
          <cell r="C2618" t="str">
            <v>ALIMENTOS PORTIOLI LTDA</v>
          </cell>
          <cell r="D2618" t="str">
            <v>7001</v>
          </cell>
          <cell r="E2618" t="str">
            <v>0749</v>
          </cell>
          <cell r="F2618" t="str">
            <v>C5</v>
          </cell>
          <cell r="G2618" t="str">
            <v>SP</v>
          </cell>
          <cell r="H2618" t="str">
            <v>DISTRIBUIÇÃO</v>
          </cell>
          <cell r="I2618" t="str">
            <v>FOOD SERVICE</v>
          </cell>
          <cell r="J2618" t="str">
            <v>FLAC 8</v>
          </cell>
          <cell r="K2618" t="str">
            <v>LACTALIS</v>
          </cell>
          <cell r="L2618" t="str">
            <v>RODRIGO</v>
          </cell>
          <cell r="M2618" t="str">
            <v>ALEXANDRO</v>
          </cell>
        </row>
        <row r="2619">
          <cell r="B2619">
            <v>5331617</v>
          </cell>
          <cell r="C2619" t="str">
            <v>BEATRIZ N PILLON VIZIOLLI 33371</v>
          </cell>
          <cell r="D2619" t="str">
            <v>7001</v>
          </cell>
          <cell r="E2619" t="str">
            <v>0749</v>
          </cell>
          <cell r="F2619" t="str">
            <v>C5</v>
          </cell>
          <cell r="G2619" t="str">
            <v>SP</v>
          </cell>
          <cell r="H2619" t="str">
            <v>DISTRIBUIÇÃO</v>
          </cell>
          <cell r="I2619" t="str">
            <v>FOOD SERVICE</v>
          </cell>
          <cell r="J2619" t="str">
            <v>FLAC 2</v>
          </cell>
          <cell r="K2619" t="str">
            <v>LACTALIS</v>
          </cell>
          <cell r="L2619" t="str">
            <v>RODRIGO</v>
          </cell>
          <cell r="M2619" t="str">
            <v>ALEXANDRO</v>
          </cell>
        </row>
        <row r="2620">
          <cell r="B2620">
            <v>5354650</v>
          </cell>
          <cell r="C2620" t="str">
            <v>ARMAZEM MATEUS SA</v>
          </cell>
          <cell r="D2620" t="str">
            <v>3001</v>
          </cell>
          <cell r="E2620" t="str">
            <v>0128</v>
          </cell>
          <cell r="F2620" t="str">
            <v>C1</v>
          </cell>
          <cell r="G2620" t="str">
            <v>MA</v>
          </cell>
          <cell r="H2620" t="str">
            <v>DISTRIBUIÇÃO</v>
          </cell>
          <cell r="I2620" t="str">
            <v>FOOD SERVICE</v>
          </cell>
          <cell r="J2620" t="str">
            <v>CLAUDIO JORGE</v>
          </cell>
          <cell r="K2620" t="str">
            <v>ITAMBÉ</v>
          </cell>
          <cell r="L2620" t="str">
            <v>RODRIGO</v>
          </cell>
          <cell r="M2620" t="str">
            <v>MARCO AURELIO</v>
          </cell>
        </row>
        <row r="2621">
          <cell r="B2621">
            <v>5358021</v>
          </cell>
          <cell r="C2621" t="str">
            <v>VAM REFEICOES E EVENTOS LTDA</v>
          </cell>
          <cell r="D2621" t="str">
            <v>7001</v>
          </cell>
          <cell r="E2621" t="str">
            <v>0749</v>
          </cell>
          <cell r="F2621" t="str">
            <v>C5</v>
          </cell>
          <cell r="G2621" t="str">
            <v>SP</v>
          </cell>
          <cell r="H2621" t="str">
            <v>DISTRIBUIÇÃO</v>
          </cell>
          <cell r="I2621" t="str">
            <v>FOOD SERVICE</v>
          </cell>
          <cell r="J2621" t="str">
            <v>FLAC 10</v>
          </cell>
          <cell r="K2621" t="str">
            <v>LACTALIS</v>
          </cell>
          <cell r="L2621" t="str">
            <v>RODRIGO</v>
          </cell>
          <cell r="M2621" t="str">
            <v>ALEXANDRO</v>
          </cell>
        </row>
        <row r="2622">
          <cell r="B2622">
            <v>5355052</v>
          </cell>
          <cell r="C2622" t="str">
            <v>MATEUS FOOD LTDA</v>
          </cell>
          <cell r="D2622" t="str">
            <v>3001</v>
          </cell>
          <cell r="E2622" t="str">
            <v>0128</v>
          </cell>
          <cell r="F2622" t="str">
            <v>C1</v>
          </cell>
          <cell r="G2622" t="str">
            <v>MA</v>
          </cell>
          <cell r="H2622" t="str">
            <v>DISTRIBUIÇÃO</v>
          </cell>
          <cell r="I2622" t="str">
            <v>FOOD SERVICE</v>
          </cell>
          <cell r="J2622" t="str">
            <v>CLAUDIO JORGE</v>
          </cell>
          <cell r="K2622" t="str">
            <v>ITAMBÉ</v>
          </cell>
          <cell r="L2622" t="str">
            <v>RODRIGO</v>
          </cell>
          <cell r="M2622" t="str">
            <v>MARCO AURELIO</v>
          </cell>
        </row>
        <row r="2623">
          <cell r="B2623">
            <v>5131510</v>
          </cell>
          <cell r="C2623" t="str">
            <v>A T OLIVEIRA E CIA LTDA ME</v>
          </cell>
          <cell r="D2623" t="str">
            <v>3001</v>
          </cell>
          <cell r="E2623" t="str">
            <v>0126</v>
          </cell>
          <cell r="F2623" t="str">
            <v>C1</v>
          </cell>
          <cell r="G2623" t="str">
            <v>PR</v>
          </cell>
          <cell r="H2623" t="str">
            <v>DISTRIBUIÇÃO</v>
          </cell>
          <cell r="I2623" t="str">
            <v>FOOD SERVICE</v>
          </cell>
          <cell r="J2623" t="str">
            <v>ANTÔNIO SOUZA</v>
          </cell>
          <cell r="K2623" t="str">
            <v>ITAMBÉ</v>
          </cell>
          <cell r="L2623" t="str">
            <v>RODRIGO</v>
          </cell>
          <cell r="M2623" t="str">
            <v>VAGO SUL</v>
          </cell>
        </row>
        <row r="2624">
          <cell r="B2624">
            <v>5190845</v>
          </cell>
          <cell r="C2624" t="str">
            <v>DENGO CHOCOLATES SA</v>
          </cell>
          <cell r="D2624" t="str">
            <v>6001</v>
          </cell>
          <cell r="E2624" t="str">
            <v>6028</v>
          </cell>
          <cell r="F2624" t="str">
            <v>C1</v>
          </cell>
          <cell r="G2624" t="str">
            <v>SP</v>
          </cell>
          <cell r="H2624" t="str">
            <v>INGREDIENTS</v>
          </cell>
          <cell r="I2624" t="str">
            <v>INGREDIENTS</v>
          </cell>
          <cell r="J2624" t="str">
            <v>HENRIQUE FERREIRA</v>
          </cell>
          <cell r="K2624" t="str">
            <v>ITAMBÉ</v>
          </cell>
          <cell r="L2624" t="str">
            <v>MAURICIO</v>
          </cell>
          <cell r="M2624" t="str">
            <v>JOEL</v>
          </cell>
        </row>
        <row r="2625">
          <cell r="B2625">
            <v>5232803</v>
          </cell>
          <cell r="C2625" t="str">
            <v>L GONZAGA MIX AMBIENTAL</v>
          </cell>
          <cell r="D2625" t="str">
            <v>4001</v>
          </cell>
          <cell r="E2625" t="str">
            <v>0437</v>
          </cell>
          <cell r="F2625" t="str">
            <v>C1</v>
          </cell>
          <cell r="G2625" t="str">
            <v>SP</v>
          </cell>
          <cell r="H2625" t="str">
            <v>INGREDIENTS</v>
          </cell>
          <cell r="I2625" t="str">
            <v>INGREDIENTS</v>
          </cell>
          <cell r="J2625" t="str">
            <v>HENRIQUE FERREIRA</v>
          </cell>
          <cell r="K2625" t="str">
            <v>LACTALIS</v>
          </cell>
          <cell r="L2625" t="str">
            <v>MAURICIO</v>
          </cell>
          <cell r="M2625" t="str">
            <v>JOEL</v>
          </cell>
        </row>
        <row r="2626">
          <cell r="B2626">
            <v>5358334</v>
          </cell>
          <cell r="C2626" t="str">
            <v>FMZ FABRICA DE PAES E DERIVADOS</v>
          </cell>
          <cell r="D2626" t="str">
            <v>7001</v>
          </cell>
          <cell r="E2626" t="str">
            <v>0749</v>
          </cell>
          <cell r="F2626" t="str">
            <v>C5</v>
          </cell>
          <cell r="G2626" t="str">
            <v>SP</v>
          </cell>
          <cell r="H2626" t="str">
            <v>DISTRIBUIÇÃO</v>
          </cell>
          <cell r="I2626" t="str">
            <v>FOOD SERVICE</v>
          </cell>
          <cell r="J2626" t="str">
            <v>FLAC 5</v>
          </cell>
          <cell r="K2626" t="str">
            <v>LACTALIS</v>
          </cell>
          <cell r="L2626" t="str">
            <v>RODRIGO</v>
          </cell>
          <cell r="M2626" t="str">
            <v>ALEXANDRO</v>
          </cell>
        </row>
        <row r="2627">
          <cell r="B2627">
            <v>5357510</v>
          </cell>
          <cell r="C2627" t="str">
            <v>29185590 JOAO CARLOS ALVES DE SALES</v>
          </cell>
          <cell r="D2627">
            <v>7001</v>
          </cell>
          <cell r="E2627" t="str">
            <v>0749</v>
          </cell>
          <cell r="F2627" t="str">
            <v>C5</v>
          </cell>
          <cell r="G2627" t="str">
            <v>SP</v>
          </cell>
          <cell r="H2627" t="str">
            <v>DISTRIBUIÇÃO</v>
          </cell>
          <cell r="I2627" t="str">
            <v>FOOD SERVICE</v>
          </cell>
          <cell r="J2627" t="str">
            <v>FLAC 10</v>
          </cell>
          <cell r="K2627" t="str">
            <v>LACTALIS</v>
          </cell>
          <cell r="L2627" t="str">
            <v>RODRIGO</v>
          </cell>
          <cell r="M2627" t="str">
            <v>ALEXANDRO</v>
          </cell>
        </row>
        <row r="2628">
          <cell r="B2628">
            <v>5259495</v>
          </cell>
          <cell r="C2628" t="str">
            <v>CESTAS SOFISTICADAS ALIM E PRESENT</v>
          </cell>
          <cell r="D2628">
            <v>7001</v>
          </cell>
          <cell r="E2628" t="str">
            <v>0749</v>
          </cell>
          <cell r="F2628" t="str">
            <v>C5</v>
          </cell>
          <cell r="G2628" t="str">
            <v>SP</v>
          </cell>
          <cell r="H2628" t="str">
            <v>DISTRIBUIÇÃO</v>
          </cell>
          <cell r="I2628" t="str">
            <v>FOOD SERVICE</v>
          </cell>
          <cell r="J2628" t="str">
            <v>FLAC 1</v>
          </cell>
          <cell r="K2628" t="str">
            <v>LACTALIS</v>
          </cell>
          <cell r="L2628" t="str">
            <v>RODRIGO</v>
          </cell>
          <cell r="M2628" t="str">
            <v>ALEXANDRO</v>
          </cell>
        </row>
        <row r="2629">
          <cell r="B2629">
            <v>5010911</v>
          </cell>
          <cell r="C2629" t="str">
            <v>VAPZA ALIMENTOS SA</v>
          </cell>
          <cell r="D2629" t="str">
            <v>4001</v>
          </cell>
          <cell r="E2629" t="str">
            <v>0455</v>
          </cell>
          <cell r="F2629" t="str">
            <v>C1</v>
          </cell>
          <cell r="G2629" t="str">
            <v>PR</v>
          </cell>
          <cell r="H2629" t="str">
            <v>INGREDIENTS</v>
          </cell>
          <cell r="I2629" t="str">
            <v>INGREDIENTS</v>
          </cell>
          <cell r="J2629" t="str">
            <v>MARCELO RODRIGUES</v>
          </cell>
          <cell r="K2629" t="str">
            <v>LACTALIS</v>
          </cell>
          <cell r="L2629" t="str">
            <v>MAURICIO</v>
          </cell>
          <cell r="M2629" t="str">
            <v>MARCELO</v>
          </cell>
        </row>
        <row r="2630">
          <cell r="B2630">
            <v>5069172</v>
          </cell>
          <cell r="C2630" t="str">
            <v>SANNA COMERCIO DE ALIMENTOS LTDA</v>
          </cell>
          <cell r="D2630" t="str">
            <v>7001</v>
          </cell>
          <cell r="E2630" t="str">
            <v>0749</v>
          </cell>
          <cell r="F2630" t="str">
            <v>C5</v>
          </cell>
          <cell r="G2630" t="str">
            <v>SP</v>
          </cell>
          <cell r="H2630" t="str">
            <v>DISTRIBUIÇÃO</v>
          </cell>
          <cell r="I2630" t="str">
            <v>FOOD SERVICE</v>
          </cell>
          <cell r="J2630" t="str">
            <v>FLAC 8</v>
          </cell>
          <cell r="K2630" t="str">
            <v>LACTALIS</v>
          </cell>
          <cell r="L2630" t="str">
            <v>RODRIGO</v>
          </cell>
          <cell r="M2630" t="str">
            <v>ALEXANDRO</v>
          </cell>
        </row>
        <row r="2631">
          <cell r="B2631">
            <v>5162170</v>
          </cell>
          <cell r="C2631" t="str">
            <v>DAN VIGOR IND E COM DE LATICINIOS L</v>
          </cell>
          <cell r="D2631" t="str">
            <v>3001</v>
          </cell>
          <cell r="E2631" t="str">
            <v>0028</v>
          </cell>
          <cell r="F2631" t="str">
            <v>C1</v>
          </cell>
          <cell r="G2631" t="str">
            <v>SP</v>
          </cell>
          <cell r="H2631" t="str">
            <v>INGREDIENTS</v>
          </cell>
          <cell r="I2631" t="str">
            <v>INGREDIENTS</v>
          </cell>
          <cell r="J2631" t="str">
            <v>JOEL ELEOTÉRIO</v>
          </cell>
          <cell r="K2631" t="str">
            <v>ITAMBÉ</v>
          </cell>
          <cell r="L2631" t="str">
            <v>MAURICIO</v>
          </cell>
          <cell r="M2631" t="str">
            <v>JOEL</v>
          </cell>
        </row>
        <row r="2632">
          <cell r="B2632">
            <v>5357700</v>
          </cell>
          <cell r="C2632" t="str">
            <v>NOVA ERA COMERCIAL DE ALIMEN LTDA</v>
          </cell>
          <cell r="D2632" t="str">
            <v>6001</v>
          </cell>
          <cell r="E2632" t="str">
            <v>6127</v>
          </cell>
          <cell r="F2632" t="str">
            <v>C1</v>
          </cell>
          <cell r="G2632" t="str">
            <v>BA</v>
          </cell>
          <cell r="H2632" t="str">
            <v>DISTRIBUIÇÃO</v>
          </cell>
          <cell r="I2632" t="str">
            <v>FOOD SERVICE</v>
          </cell>
          <cell r="J2632" t="str">
            <v xml:space="preserve">KARIS FOOD / LUIZ </v>
          </cell>
          <cell r="K2632" t="str">
            <v>ITAMBÉ</v>
          </cell>
          <cell r="L2632" t="str">
            <v>RODRIGO</v>
          </cell>
          <cell r="M2632" t="str">
            <v>VAGO NORDESTE</v>
          </cell>
        </row>
        <row r="2633">
          <cell r="B2633">
            <v>5358032</v>
          </cell>
          <cell r="C2633" t="str">
            <v>SPADER DISTRIBUIDORA DE ALIMENTOS L</v>
          </cell>
          <cell r="D2633" t="str">
            <v>4001</v>
          </cell>
          <cell r="E2633" t="str">
            <v>0546</v>
          </cell>
          <cell r="F2633" t="str">
            <v>C1</v>
          </cell>
          <cell r="G2633" t="str">
            <v>RS</v>
          </cell>
          <cell r="H2633" t="str">
            <v>DISTRIBUIÇÃO</v>
          </cell>
          <cell r="I2633" t="str">
            <v>FOOD SERVICE</v>
          </cell>
          <cell r="J2633" t="str">
            <v>ANTÔNIO SOUZA</v>
          </cell>
          <cell r="K2633" t="str">
            <v>LACTALIS</v>
          </cell>
          <cell r="L2633" t="str">
            <v>RODRIGO</v>
          </cell>
          <cell r="M2633" t="str">
            <v>VAGO SUL</v>
          </cell>
        </row>
        <row r="2634">
          <cell r="B2634">
            <v>5192483</v>
          </cell>
          <cell r="C2634" t="str">
            <v>REXPAR RESTAURANTES LTDA</v>
          </cell>
          <cell r="D2634" t="str">
            <v>7001</v>
          </cell>
          <cell r="E2634" t="str">
            <v>0722</v>
          </cell>
          <cell r="F2634" t="str">
            <v>C1</v>
          </cell>
          <cell r="G2634" t="str">
            <v>SP</v>
          </cell>
          <cell r="H2634" t="str">
            <v>QSR</v>
          </cell>
          <cell r="I2634" t="str">
            <v>FOOD SERVICE</v>
          </cell>
          <cell r="J2634" t="str">
            <v>ANA MENIQUETE</v>
          </cell>
          <cell r="K2634" t="str">
            <v>LACTALIS</v>
          </cell>
          <cell r="L2634" t="str">
            <v>PEDRO</v>
          </cell>
          <cell r="M2634" t="str">
            <v>ANA MENIQUETE</v>
          </cell>
        </row>
        <row r="2635">
          <cell r="B2635">
            <v>5147526</v>
          </cell>
          <cell r="C2635" t="str">
            <v>SAPORE SA</v>
          </cell>
          <cell r="D2635" t="str">
            <v>3001</v>
          </cell>
          <cell r="E2635" t="str">
            <v>0169</v>
          </cell>
          <cell r="F2635" t="str">
            <v>C1</v>
          </cell>
          <cell r="G2635" t="str">
            <v>RJ</v>
          </cell>
          <cell r="H2635" t="str">
            <v>QSR</v>
          </cell>
          <cell r="I2635" t="str">
            <v>FOOD SERVICE</v>
          </cell>
          <cell r="J2635" t="str">
            <v>NUTRI</v>
          </cell>
          <cell r="K2635" t="str">
            <v>ITAMBÉ</v>
          </cell>
          <cell r="L2635" t="str">
            <v>PEDRO</v>
          </cell>
          <cell r="M2635" t="str">
            <v>AMANDA</v>
          </cell>
        </row>
        <row r="2636">
          <cell r="B2636">
            <v>5283024</v>
          </cell>
          <cell r="C2636" t="str">
            <v>PAMFIS ALIMENTOS INDUSTRIA E CO</v>
          </cell>
          <cell r="D2636" t="str">
            <v>7001</v>
          </cell>
          <cell r="E2636" t="str">
            <v>0737</v>
          </cell>
          <cell r="F2636" t="str">
            <v>C1</v>
          </cell>
          <cell r="G2636" t="str">
            <v>SP</v>
          </cell>
          <cell r="H2636" t="str">
            <v>INGREDIENTS</v>
          </cell>
          <cell r="I2636" t="str">
            <v>INGREDIENTS</v>
          </cell>
          <cell r="J2636" t="str">
            <v>JOEL ELEOTÉRIO</v>
          </cell>
          <cell r="K2636" t="str">
            <v>LACTALIS</v>
          </cell>
          <cell r="L2636" t="str">
            <v>MAURICIO</v>
          </cell>
          <cell r="M2636" t="str">
            <v>JOEL</v>
          </cell>
        </row>
        <row r="2637">
          <cell r="B2637">
            <v>5348593</v>
          </cell>
          <cell r="C2637" t="str">
            <v>WINK BLINK BAKEHOUSE PAD ART LT</v>
          </cell>
          <cell r="D2637" t="str">
            <v>7001</v>
          </cell>
          <cell r="E2637" t="str">
            <v>0749</v>
          </cell>
          <cell r="F2637" t="str">
            <v>C5</v>
          </cell>
          <cell r="G2637" t="str">
            <v>SP</v>
          </cell>
          <cell r="H2637" t="str">
            <v>DISTRIBUIÇÃO</v>
          </cell>
          <cell r="I2637" t="str">
            <v>FOOD SERVICE</v>
          </cell>
          <cell r="J2637" t="str">
            <v>FLAC 2</v>
          </cell>
          <cell r="K2637" t="str">
            <v>LACTALIS</v>
          </cell>
          <cell r="L2637" t="str">
            <v>RODRIGO</v>
          </cell>
          <cell r="M2637" t="str">
            <v>ALEXANDRO</v>
          </cell>
        </row>
        <row r="2638">
          <cell r="B2638">
            <v>5358195</v>
          </cell>
          <cell r="C2638" t="str">
            <v>BELLA COMERCIO DE EMBALAGENS LT</v>
          </cell>
          <cell r="D2638" t="str">
            <v>6001</v>
          </cell>
          <cell r="E2638" t="str">
            <v>6169</v>
          </cell>
          <cell r="F2638" t="str">
            <v>C1</v>
          </cell>
          <cell r="G2638" t="str">
            <v>ES</v>
          </cell>
          <cell r="H2638" t="str">
            <v>DISTRIBUIÇÃO</v>
          </cell>
          <cell r="I2638" t="str">
            <v>FOOD SERVICE</v>
          </cell>
          <cell r="J2638" t="str">
            <v>MARCELO DUARTE</v>
          </cell>
          <cell r="K2638" t="str">
            <v>ITAMBÉ</v>
          </cell>
          <cell r="L2638" t="str">
            <v>RODRIGO</v>
          </cell>
          <cell r="M2638" t="str">
            <v>JESSICA</v>
          </cell>
        </row>
        <row r="2639">
          <cell r="B2639">
            <v>5358488</v>
          </cell>
          <cell r="C2639" t="str">
            <v>SB COMERCIO E DISTRIB DE PROD A</v>
          </cell>
          <cell r="D2639" t="str">
            <v>7001</v>
          </cell>
          <cell r="E2639" t="str">
            <v>0749</v>
          </cell>
          <cell r="F2639" t="str">
            <v>C5</v>
          </cell>
          <cell r="G2639" t="str">
            <v>SP</v>
          </cell>
          <cell r="H2639" t="str">
            <v>DISTRIBUIÇÃO</v>
          </cell>
          <cell r="I2639" t="str">
            <v>FOOD SERVICE</v>
          </cell>
          <cell r="J2639" t="str">
            <v>FLAC 5</v>
          </cell>
          <cell r="K2639" t="str">
            <v>LACTALIS</v>
          </cell>
          <cell r="L2639" t="str">
            <v>RODRIGO</v>
          </cell>
          <cell r="M2639" t="str">
            <v>ALEXANDRO</v>
          </cell>
        </row>
        <row r="2640">
          <cell r="B2640">
            <v>5259285</v>
          </cell>
          <cell r="C2640" t="str">
            <v>CBP COMERCIAL E DISTRIBUIDORA LTDA</v>
          </cell>
          <cell r="D2640" t="str">
            <v>7001</v>
          </cell>
          <cell r="E2640" t="str">
            <v>0749</v>
          </cell>
          <cell r="F2640" t="str">
            <v>C5</v>
          </cell>
          <cell r="G2640" t="str">
            <v>SP</v>
          </cell>
          <cell r="H2640" t="str">
            <v>DISTRIBUIÇÃO</v>
          </cell>
          <cell r="I2640" t="str">
            <v>FOOD SERVICE</v>
          </cell>
          <cell r="J2640" t="str">
            <v>FLAC 1</v>
          </cell>
          <cell r="K2640" t="str">
            <v>LACTALIS</v>
          </cell>
          <cell r="L2640" t="str">
            <v>RODRIGO</v>
          </cell>
          <cell r="M2640" t="str">
            <v>ALEXANDRO</v>
          </cell>
        </row>
        <row r="2641">
          <cell r="B2641">
            <v>5346742</v>
          </cell>
          <cell r="C2641" t="str">
            <v>ALTOKOP COMERCIO DE CHOCOLATES</v>
          </cell>
          <cell r="D2641" t="str">
            <v>7001</v>
          </cell>
          <cell r="E2641" t="str">
            <v>0749</v>
          </cell>
          <cell r="F2641" t="str">
            <v>C5</v>
          </cell>
          <cell r="G2641" t="str">
            <v>SP</v>
          </cell>
          <cell r="H2641" t="str">
            <v>DISTRIBUIÇÃO</v>
          </cell>
          <cell r="I2641" t="str">
            <v>FOOD SERVICE</v>
          </cell>
          <cell r="J2641" t="str">
            <v>FLAC 6</v>
          </cell>
          <cell r="K2641" t="str">
            <v>LACTALIS</v>
          </cell>
          <cell r="L2641" t="str">
            <v>RODRIGO</v>
          </cell>
          <cell r="M2641" t="str">
            <v>ALEXANDRO</v>
          </cell>
        </row>
        <row r="2642">
          <cell r="B2642">
            <v>5355473</v>
          </cell>
          <cell r="C2642" t="str">
            <v>CONDOMINIO EDIFICIO FLAT PAULIS</v>
          </cell>
          <cell r="D2642" t="str">
            <v>7001</v>
          </cell>
          <cell r="E2642" t="str">
            <v>0749</v>
          </cell>
          <cell r="F2642" t="str">
            <v>C5</v>
          </cell>
          <cell r="G2642" t="str">
            <v>SP</v>
          </cell>
          <cell r="H2642" t="str">
            <v>DISTRIBUIÇÃO</v>
          </cell>
          <cell r="I2642" t="str">
            <v>FOOD SERVICE</v>
          </cell>
          <cell r="J2642" t="str">
            <v>FLAC 2</v>
          </cell>
          <cell r="K2642" t="str">
            <v>LACTALIS</v>
          </cell>
          <cell r="L2642" t="str">
            <v>RODRIGO</v>
          </cell>
          <cell r="M2642" t="str">
            <v>ALEXANDRO</v>
          </cell>
        </row>
        <row r="2643">
          <cell r="B2643">
            <v>5358586</v>
          </cell>
          <cell r="C2643" t="str">
            <v>FERREIRA DIS COM DE PROD ALIM E</v>
          </cell>
          <cell r="D2643" t="str">
            <v>7001</v>
          </cell>
          <cell r="E2643" t="str">
            <v>0749</v>
          </cell>
          <cell r="F2643" t="str">
            <v>C5</v>
          </cell>
          <cell r="G2643" t="str">
            <v>SP</v>
          </cell>
          <cell r="H2643" t="str">
            <v>DISTRIBUIÇÃO</v>
          </cell>
          <cell r="I2643" t="str">
            <v>FOOD SERVICE</v>
          </cell>
          <cell r="J2643" t="str">
            <v>FLAC 2</v>
          </cell>
          <cell r="K2643" t="str">
            <v>LACTALIS</v>
          </cell>
          <cell r="L2643" t="str">
            <v>RODRIGO</v>
          </cell>
          <cell r="M2643" t="str">
            <v>ALEXANDRO</v>
          </cell>
        </row>
        <row r="2644">
          <cell r="B2644">
            <v>5358595</v>
          </cell>
          <cell r="C2644" t="str">
            <v>60658972 RAFAEL ARAUJO DE OLIVE</v>
          </cell>
          <cell r="D2644" t="str">
            <v>7001</v>
          </cell>
          <cell r="E2644" t="str">
            <v>0749</v>
          </cell>
          <cell r="F2644" t="str">
            <v>C5</v>
          </cell>
          <cell r="G2644" t="str">
            <v>SP</v>
          </cell>
          <cell r="H2644" t="str">
            <v>DISTRIBUIÇÃO</v>
          </cell>
          <cell r="I2644" t="str">
            <v>FOOD SERVICE</v>
          </cell>
          <cell r="J2644" t="str">
            <v>FLAC 2</v>
          </cell>
          <cell r="K2644" t="str">
            <v>LACTALIS</v>
          </cell>
          <cell r="L2644" t="str">
            <v>RODRIGO</v>
          </cell>
          <cell r="M2644" t="str">
            <v>ALEXANDRO</v>
          </cell>
        </row>
        <row r="2645">
          <cell r="B2645">
            <v>5353768</v>
          </cell>
          <cell r="C2645" t="str">
            <v>RESTAURANTE GRAND PEKIN LTDA</v>
          </cell>
          <cell r="D2645" t="str">
            <v>7001</v>
          </cell>
          <cell r="E2645" t="str">
            <v>0749</v>
          </cell>
          <cell r="F2645" t="str">
            <v>C5</v>
          </cell>
          <cell r="G2645" t="str">
            <v>SP</v>
          </cell>
          <cell r="H2645" t="str">
            <v>DISTRIBUIÇÃO</v>
          </cell>
          <cell r="I2645" t="str">
            <v>FOOD SERVICE</v>
          </cell>
          <cell r="J2645" t="str">
            <v>FLAC 3</v>
          </cell>
          <cell r="K2645" t="str">
            <v>LACTALIS</v>
          </cell>
          <cell r="L2645" t="str">
            <v>RODRIGO</v>
          </cell>
          <cell r="M2645" t="str">
            <v>ALEXANDRO</v>
          </cell>
        </row>
        <row r="2646">
          <cell r="B2646">
            <v>5063519</v>
          </cell>
          <cell r="C2646" t="str">
            <v>SAPORE SA</v>
          </cell>
          <cell r="D2646" t="str">
            <v>6001</v>
          </cell>
          <cell r="E2646" t="str">
            <v>6125</v>
          </cell>
          <cell r="F2646" t="str">
            <v>C1</v>
          </cell>
          <cell r="G2646" t="str">
            <v>SP</v>
          </cell>
          <cell r="H2646" t="str">
            <v>QSR</v>
          </cell>
          <cell r="I2646" t="str">
            <v>FOOD SERVICE</v>
          </cell>
          <cell r="J2646" t="str">
            <v>NUTRI</v>
          </cell>
          <cell r="K2646" t="str">
            <v>ITAMBÉ</v>
          </cell>
          <cell r="L2646" t="str">
            <v>PEDRO</v>
          </cell>
          <cell r="M2646" t="str">
            <v>AMANDA</v>
          </cell>
        </row>
        <row r="2647">
          <cell r="B2647">
            <v>5340377</v>
          </cell>
          <cell r="C2647" t="str">
            <v>ROST GUIMARAES DIST E TRANSPORT</v>
          </cell>
          <cell r="D2647" t="str">
            <v>7001</v>
          </cell>
          <cell r="E2647" t="str">
            <v>0749</v>
          </cell>
          <cell r="F2647" t="str">
            <v>C5</v>
          </cell>
          <cell r="G2647" t="str">
            <v>SP</v>
          </cell>
          <cell r="H2647" t="str">
            <v>DISTRIBUIÇÃO</v>
          </cell>
          <cell r="I2647" t="str">
            <v>FOOD SERVICE</v>
          </cell>
          <cell r="J2647" t="str">
            <v>FLAC 8</v>
          </cell>
          <cell r="K2647" t="str">
            <v>LACTALIS</v>
          </cell>
          <cell r="L2647" t="str">
            <v>RODRIGO</v>
          </cell>
          <cell r="M2647" t="str">
            <v>ALEXANDRO</v>
          </cell>
        </row>
        <row r="2648">
          <cell r="B2648">
            <v>5174117</v>
          </cell>
          <cell r="C2648" t="str">
            <v>MASSIMA ALIMENTACAO SA</v>
          </cell>
          <cell r="D2648" t="str">
            <v>6001</v>
          </cell>
          <cell r="E2648" t="str">
            <v>6028</v>
          </cell>
          <cell r="F2648" t="str">
            <v>C1</v>
          </cell>
          <cell r="G2648" t="str">
            <v>RJ</v>
          </cell>
          <cell r="H2648" t="str">
            <v>QSR</v>
          </cell>
          <cell r="I2648" t="str">
            <v>FOOD SERVICE</v>
          </cell>
          <cell r="J2648" t="str">
            <v>NUTRI</v>
          </cell>
          <cell r="K2648" t="str">
            <v>ITAMBÉ</v>
          </cell>
          <cell r="L2648" t="str">
            <v>PEDRO</v>
          </cell>
          <cell r="M2648" t="str">
            <v>AMANDA</v>
          </cell>
        </row>
        <row r="2649">
          <cell r="B2649">
            <v>5190845</v>
          </cell>
          <cell r="C2649" t="str">
            <v>DENGO CHOCOLATES SA</v>
          </cell>
          <cell r="D2649" t="str">
            <v>6001</v>
          </cell>
          <cell r="E2649" t="str">
            <v>6125</v>
          </cell>
          <cell r="F2649" t="str">
            <v>C1</v>
          </cell>
          <cell r="G2649" t="str">
            <v>SP</v>
          </cell>
          <cell r="H2649" t="str">
            <v>INGREDIENTS</v>
          </cell>
          <cell r="I2649" t="str">
            <v>INGREDIENTS</v>
          </cell>
          <cell r="J2649" t="str">
            <v>HENRIQUE FERREIRA</v>
          </cell>
          <cell r="K2649" t="str">
            <v>ITAMBÉ</v>
          </cell>
          <cell r="L2649" t="str">
            <v>MAURICIO</v>
          </cell>
          <cell r="M2649" t="str">
            <v>JOEL</v>
          </cell>
        </row>
        <row r="2650">
          <cell r="B2650">
            <v>5358864</v>
          </cell>
          <cell r="C2650" t="str">
            <v>MARCIO ROMANI DIAS</v>
          </cell>
          <cell r="D2650" t="str">
            <v>7001</v>
          </cell>
          <cell r="E2650" t="str">
            <v>0749</v>
          </cell>
          <cell r="F2650" t="str">
            <v>C5</v>
          </cell>
          <cell r="G2650" t="str">
            <v>SP</v>
          </cell>
          <cell r="H2650" t="str">
            <v>DISTRIBUIÇÃO</v>
          </cell>
          <cell r="I2650" t="str">
            <v>FOOD SERVICE</v>
          </cell>
          <cell r="J2650" t="str">
            <v>FLAC 2</v>
          </cell>
          <cell r="K2650" t="str">
            <v>LACTALIS</v>
          </cell>
          <cell r="L2650" t="str">
            <v>RODRIGO</v>
          </cell>
          <cell r="M2650" t="str">
            <v>ALEXANDRO</v>
          </cell>
        </row>
        <row r="2651">
          <cell r="B2651">
            <v>5033323</v>
          </cell>
          <cell r="C2651" t="str">
            <v>SORVESHOPES COMERCIAL LTDA</v>
          </cell>
          <cell r="D2651" t="str">
            <v>6001</v>
          </cell>
          <cell r="E2651" t="str">
            <v>6169</v>
          </cell>
          <cell r="F2651" t="str">
            <v>C1</v>
          </cell>
          <cell r="G2651" t="str">
            <v>ES</v>
          </cell>
          <cell r="H2651" t="str">
            <v>DISTRIBUIÇÃO</v>
          </cell>
          <cell r="I2651" t="str">
            <v>FOOD SERVICE</v>
          </cell>
          <cell r="J2651" t="str">
            <v>MARCELO DUARTE</v>
          </cell>
          <cell r="K2651" t="str">
            <v>ITAMBÉ</v>
          </cell>
          <cell r="L2651" t="str">
            <v>RODRIGO</v>
          </cell>
          <cell r="M2651" t="str">
            <v>JESSICA</v>
          </cell>
        </row>
        <row r="2652">
          <cell r="B2652">
            <v>5043976</v>
          </cell>
          <cell r="C2652" t="str">
            <v>UP DIST DE PRODS DESCARTAVEIS L</v>
          </cell>
          <cell r="D2652" t="str">
            <v>3001</v>
          </cell>
          <cell r="E2652" t="str">
            <v>0014</v>
          </cell>
          <cell r="F2652" t="str">
            <v>C1</v>
          </cell>
          <cell r="G2652" t="str">
            <v>AL</v>
          </cell>
          <cell r="H2652" t="str">
            <v>DISTRIBUIÇÃO</v>
          </cell>
          <cell r="I2652" t="str">
            <v>FOOD SERVICE</v>
          </cell>
          <cell r="J2652" t="str">
            <v>DIGMA REPR LTDA</v>
          </cell>
          <cell r="K2652" t="str">
            <v>ITAMBÉ</v>
          </cell>
          <cell r="L2652" t="str">
            <v>RODRIGO</v>
          </cell>
          <cell r="M2652" t="str">
            <v>VAGO NORDESTE</v>
          </cell>
        </row>
        <row r="2653">
          <cell r="B2653">
            <v>5112607</v>
          </cell>
          <cell r="C2653" t="str">
            <v>REDE COMERCIO E DISTRIB DE ALIM</v>
          </cell>
          <cell r="D2653" t="str">
            <v>7001</v>
          </cell>
          <cell r="E2653" t="str">
            <v>0749</v>
          </cell>
          <cell r="F2653" t="str">
            <v>C5</v>
          </cell>
          <cell r="G2653" t="str">
            <v>SP</v>
          </cell>
          <cell r="H2653" t="str">
            <v>DISTRIBUIÇÃO</v>
          </cell>
          <cell r="I2653" t="str">
            <v>FOOD SERVICE</v>
          </cell>
          <cell r="J2653" t="str">
            <v>FLAC 1</v>
          </cell>
          <cell r="K2653" t="str">
            <v>LACTALIS</v>
          </cell>
          <cell r="L2653" t="str">
            <v>RODRIGO</v>
          </cell>
          <cell r="M2653" t="str">
            <v>ALEXANDRO</v>
          </cell>
        </row>
        <row r="2654">
          <cell r="B2654">
            <v>5008636</v>
          </cell>
          <cell r="C2654" t="str">
            <v>GR SERVICOS E ALIMENTACAO LTDA</v>
          </cell>
          <cell r="D2654" t="str">
            <v>6001</v>
          </cell>
          <cell r="E2654" t="str">
            <v>6169</v>
          </cell>
          <cell r="F2654" t="str">
            <v>C1</v>
          </cell>
          <cell r="G2654" t="str">
            <v>RJ</v>
          </cell>
          <cell r="H2654" t="str">
            <v>QSR</v>
          </cell>
          <cell r="I2654" t="str">
            <v>FOOD SERVICE</v>
          </cell>
          <cell r="J2654" t="str">
            <v>NUTRI</v>
          </cell>
          <cell r="K2654" t="str">
            <v>ITAMBÉ</v>
          </cell>
          <cell r="L2654" t="str">
            <v>PEDRO</v>
          </cell>
          <cell r="M2654" t="str">
            <v>AMANDA</v>
          </cell>
        </row>
        <row r="2655">
          <cell r="B2655">
            <v>5010931</v>
          </cell>
          <cell r="C2655" t="str">
            <v>SAO FRANCISCO IND DE ALIMENTOS</v>
          </cell>
          <cell r="D2655" t="str">
            <v>4001</v>
          </cell>
          <cell r="E2655" t="str">
            <v>0455</v>
          </cell>
          <cell r="F2655" t="str">
            <v>C1</v>
          </cell>
          <cell r="G2655" t="str">
            <v>PR</v>
          </cell>
          <cell r="H2655" t="str">
            <v>INGREDIENTS</v>
          </cell>
          <cell r="I2655" t="str">
            <v>INGREDIENTS</v>
          </cell>
          <cell r="J2655" t="str">
            <v>MARCELO RODRIGUES</v>
          </cell>
          <cell r="K2655" t="str">
            <v>LACTALIS</v>
          </cell>
          <cell r="L2655" t="str">
            <v>MAURICIO</v>
          </cell>
          <cell r="M2655" t="str">
            <v>MARCELO</v>
          </cell>
        </row>
        <row r="2656">
          <cell r="B2656">
            <v>5356861</v>
          </cell>
          <cell r="C2656" t="str">
            <v>INSTITUTO DAS IRMAS DA SANTA CR</v>
          </cell>
          <cell r="D2656" t="str">
            <v>7001</v>
          </cell>
          <cell r="E2656" t="str">
            <v>0749</v>
          </cell>
          <cell r="F2656" t="str">
            <v>C5</v>
          </cell>
          <cell r="G2656" t="str">
            <v>SP</v>
          </cell>
          <cell r="H2656" t="str">
            <v>DISTRIBUIÇÃO</v>
          </cell>
          <cell r="I2656" t="str">
            <v>FOOD SERVICE</v>
          </cell>
          <cell r="J2656" t="str">
            <v>FLAC 10</v>
          </cell>
          <cell r="K2656" t="str">
            <v>LACTALIS</v>
          </cell>
          <cell r="L2656" t="str">
            <v>RODRIGO</v>
          </cell>
          <cell r="M2656" t="str">
            <v>ALEXANDRO</v>
          </cell>
        </row>
        <row r="2657">
          <cell r="B2657">
            <v>5358671</v>
          </cell>
          <cell r="C2657" t="str">
            <v>CAFE PACIFICO SA</v>
          </cell>
          <cell r="D2657" t="str">
            <v>7001</v>
          </cell>
          <cell r="E2657" t="str">
            <v>0722</v>
          </cell>
          <cell r="F2657" t="str">
            <v>C1</v>
          </cell>
          <cell r="G2657" t="str">
            <v>SP</v>
          </cell>
          <cell r="H2657" t="str">
            <v>QSR</v>
          </cell>
          <cell r="I2657" t="str">
            <v>FOOD SERVICE</v>
          </cell>
          <cell r="J2657" t="str">
            <v>AMANDA CARVALHO</v>
          </cell>
          <cell r="K2657" t="str">
            <v>LACTALIS</v>
          </cell>
          <cell r="L2657" t="str">
            <v>PEDRO</v>
          </cell>
          <cell r="M2657" t="str">
            <v>AMANDA</v>
          </cell>
        </row>
        <row r="2658">
          <cell r="B2658">
            <v>5358974</v>
          </cell>
          <cell r="C2658" t="str">
            <v>FRATONI ALIMENTOS LTDA</v>
          </cell>
          <cell r="D2658" t="str">
            <v>3001</v>
          </cell>
          <cell r="E2658" t="str">
            <v>0028</v>
          </cell>
          <cell r="F2658" t="str">
            <v>C1</v>
          </cell>
          <cell r="G2658" t="str">
            <v>PR</v>
          </cell>
          <cell r="H2658" t="str">
            <v>INGREDIENTS</v>
          </cell>
          <cell r="I2658" t="str">
            <v>INGREDIENTS</v>
          </cell>
          <cell r="J2658" t="str">
            <v>MARCELO RODRIGUES</v>
          </cell>
          <cell r="K2658" t="str">
            <v>ITAMBÉ</v>
          </cell>
          <cell r="L2658" t="str">
            <v>MAURICIO</v>
          </cell>
          <cell r="M2658" t="str">
            <v>MARCELO</v>
          </cell>
        </row>
        <row r="2659">
          <cell r="B2659">
            <v>5228956</v>
          </cell>
          <cell r="C2659" t="str">
            <v>MARTINS E SILVA COMERCIO LTDA</v>
          </cell>
          <cell r="D2659" t="str">
            <v>3001</v>
          </cell>
          <cell r="E2659" t="str">
            <v>0128</v>
          </cell>
          <cell r="F2659" t="str">
            <v>C1</v>
          </cell>
          <cell r="G2659" t="str">
            <v>RR</v>
          </cell>
          <cell r="H2659" t="str">
            <v>DISTRIBUIÇÃO</v>
          </cell>
          <cell r="I2659" t="str">
            <v>FOOD SERVICE</v>
          </cell>
          <cell r="J2659" t="str">
            <v>CLAUDIO JORGE</v>
          </cell>
          <cell r="K2659" t="str">
            <v>ITAMBÉ</v>
          </cell>
          <cell r="L2659" t="str">
            <v>RODRIGO</v>
          </cell>
          <cell r="M2659" t="str">
            <v>MARCO AURELIO</v>
          </cell>
        </row>
        <row r="2660">
          <cell r="B2660">
            <v>5269686</v>
          </cell>
          <cell r="C2660" t="str">
            <v>BRUXELAS COMERCIO DE ALIMENTOS</v>
          </cell>
          <cell r="D2660">
            <v>4001</v>
          </cell>
          <cell r="E2660" t="str">
            <v>0437</v>
          </cell>
          <cell r="F2660" t="str">
            <v>C1</v>
          </cell>
          <cell r="G2660" t="str">
            <v>PR</v>
          </cell>
          <cell r="H2660" t="str">
            <v>INGREDIENTS</v>
          </cell>
          <cell r="I2660" t="str">
            <v>INGREDIENTS</v>
          </cell>
          <cell r="J2660" t="str">
            <v>HENRIQUE FERREIRA</v>
          </cell>
          <cell r="K2660" t="str">
            <v>LACTALIS</v>
          </cell>
          <cell r="L2660" t="str">
            <v>MAURICIO</v>
          </cell>
          <cell r="M2660" t="str">
            <v>JOEL</v>
          </cell>
        </row>
        <row r="2661">
          <cell r="B2661">
            <v>5172313</v>
          </cell>
          <cell r="C2661" t="str">
            <v>FRONERI BRASIL DIST DE SORV E CONG</v>
          </cell>
          <cell r="D2661" t="str">
            <v>4001</v>
          </cell>
          <cell r="E2661" t="str">
            <v>0437</v>
          </cell>
          <cell r="F2661" t="str">
            <v>C1</v>
          </cell>
          <cell r="G2661" t="str">
            <v>RJ</v>
          </cell>
          <cell r="H2661" t="str">
            <v>INGREDIENTS</v>
          </cell>
          <cell r="I2661" t="str">
            <v>INGREDIENTS</v>
          </cell>
          <cell r="J2661" t="str">
            <v>JOEL ELEOTÉRIO</v>
          </cell>
          <cell r="K2661" t="str">
            <v>LACTALIS</v>
          </cell>
          <cell r="L2661" t="str">
            <v>MAURICIO</v>
          </cell>
          <cell r="M2661" t="str">
            <v>JOEL</v>
          </cell>
        </row>
        <row r="2662">
          <cell r="B2662">
            <v>5358152</v>
          </cell>
          <cell r="C2662" t="str">
            <v>VOOOPT COMERCIO DE ALIMENTOS LTDA</v>
          </cell>
          <cell r="D2662" t="str">
            <v>7001</v>
          </cell>
          <cell r="E2662" t="str">
            <v>0737</v>
          </cell>
          <cell r="F2662" t="str">
            <v>C1</v>
          </cell>
          <cell r="G2662" t="str">
            <v>SP</v>
          </cell>
          <cell r="H2662" t="str">
            <v>INGREDIENTS</v>
          </cell>
          <cell r="I2662" t="str">
            <v>INGREDIENTS</v>
          </cell>
          <cell r="J2662" t="str">
            <v>TATIANA NITTA</v>
          </cell>
          <cell r="K2662" t="str">
            <v>LACTALIS</v>
          </cell>
          <cell r="L2662" t="str">
            <v>MAURICIO</v>
          </cell>
          <cell r="M2662" t="str">
            <v>TATIANA NITTA</v>
          </cell>
        </row>
        <row r="2663">
          <cell r="B2663">
            <v>5312073</v>
          </cell>
          <cell r="C2663" t="str">
            <v>ATOL CONFEITARIA LTDA</v>
          </cell>
          <cell r="D2663" t="str">
            <v>7001</v>
          </cell>
          <cell r="E2663" t="str">
            <v>0749</v>
          </cell>
          <cell r="F2663" t="str">
            <v>C5</v>
          </cell>
          <cell r="G2663" t="str">
            <v>SP</v>
          </cell>
          <cell r="H2663" t="str">
            <v>DISTRIBUIÇÃO</v>
          </cell>
          <cell r="I2663" t="str">
            <v>FOOD SERVICE</v>
          </cell>
          <cell r="J2663" t="str">
            <v>FLAC 6</v>
          </cell>
          <cell r="K2663" t="str">
            <v>LACTALIS</v>
          </cell>
          <cell r="L2663" t="str">
            <v>RODRIGO</v>
          </cell>
          <cell r="M2663" t="str">
            <v>ALEXANDRO</v>
          </cell>
        </row>
        <row r="2664">
          <cell r="B2664">
            <v>5225690</v>
          </cell>
          <cell r="C2664" t="str">
            <v>NEUGEBAUER ALIMENTOS SA</v>
          </cell>
          <cell r="D2664" t="str">
            <v>4001</v>
          </cell>
          <cell r="E2664" t="str">
            <v>0455</v>
          </cell>
          <cell r="F2664" t="str">
            <v>C1</v>
          </cell>
          <cell r="G2664" t="str">
            <v>RS</v>
          </cell>
          <cell r="H2664" t="str">
            <v>INGREDIENTS</v>
          </cell>
          <cell r="I2664" t="str">
            <v>INGREDIENTS</v>
          </cell>
          <cell r="J2664" t="str">
            <v>MARCELO RODRIGUES</v>
          </cell>
          <cell r="K2664" t="str">
            <v>LACTALIS</v>
          </cell>
          <cell r="L2664" t="str">
            <v>MAURICIO</v>
          </cell>
          <cell r="M2664" t="str">
            <v>MARCELO</v>
          </cell>
        </row>
        <row r="2665">
          <cell r="B2665">
            <v>5235133</v>
          </cell>
          <cell r="C2665" t="str">
            <v>CTTBRN ALIMENTOS E BEBIDAS LTDA</v>
          </cell>
          <cell r="D2665" t="str">
            <v>7001</v>
          </cell>
          <cell r="E2665" t="str">
            <v>0749</v>
          </cell>
          <cell r="F2665" t="str">
            <v>C5</v>
          </cell>
          <cell r="G2665" t="str">
            <v>SP</v>
          </cell>
          <cell r="H2665" t="str">
            <v>DISTRIBUIÇÃO</v>
          </cell>
          <cell r="I2665" t="str">
            <v>FOOD SERVICE</v>
          </cell>
          <cell r="J2665" t="str">
            <v>FLAC 4</v>
          </cell>
          <cell r="K2665" t="str">
            <v>LACTALIS</v>
          </cell>
          <cell r="L2665" t="str">
            <v>RODRIGO</v>
          </cell>
          <cell r="M2665" t="str">
            <v>ALEXANDRO</v>
          </cell>
        </row>
        <row r="2666">
          <cell r="B2666">
            <v>5356510</v>
          </cell>
          <cell r="C2666" t="str">
            <v>37048076 DAIANA ARAUJO DOURADO</v>
          </cell>
          <cell r="D2666" t="str">
            <v>7001</v>
          </cell>
          <cell r="E2666" t="str">
            <v>0749</v>
          </cell>
          <cell r="F2666" t="str">
            <v>C5</v>
          </cell>
          <cell r="G2666" t="str">
            <v>SP</v>
          </cell>
          <cell r="H2666" t="str">
            <v>DISTRIBUIÇÃO</v>
          </cell>
          <cell r="I2666" t="str">
            <v>FOOD SERVICE</v>
          </cell>
          <cell r="J2666" t="str">
            <v>FLAC 5</v>
          </cell>
          <cell r="K2666" t="str">
            <v>LACTALIS</v>
          </cell>
          <cell r="L2666" t="str">
            <v>RODRIGO</v>
          </cell>
          <cell r="M2666" t="str">
            <v>ALEXANDRO</v>
          </cell>
        </row>
        <row r="2667">
          <cell r="B2667">
            <v>5358749</v>
          </cell>
          <cell r="C2667" t="str">
            <v>A CASA DO LAGO RESTAURANTE LTDA</v>
          </cell>
          <cell r="D2667" t="str">
            <v>7001</v>
          </cell>
          <cell r="E2667" t="str">
            <v>0749</v>
          </cell>
          <cell r="F2667" t="str">
            <v>C5</v>
          </cell>
          <cell r="G2667" t="str">
            <v>SP</v>
          </cell>
          <cell r="H2667" t="str">
            <v>DISTRIBUIÇÃO</v>
          </cell>
          <cell r="I2667" t="str">
            <v>FOOD SERVICE</v>
          </cell>
          <cell r="J2667" t="str">
            <v>FLAC 7</v>
          </cell>
          <cell r="K2667" t="str">
            <v>LACTALIS</v>
          </cell>
          <cell r="L2667" t="str">
            <v>RODRIGO</v>
          </cell>
          <cell r="M2667" t="str">
            <v>ALEXANDRO</v>
          </cell>
        </row>
        <row r="2668">
          <cell r="B2668">
            <v>5230508</v>
          </cell>
          <cell r="C2668" t="str">
            <v>THIAGO MAGNO SILVERIO DA FONSEC</v>
          </cell>
          <cell r="D2668" t="str">
            <v>6001</v>
          </cell>
          <cell r="E2668" t="str">
            <v>6127</v>
          </cell>
          <cell r="F2668" t="str">
            <v>C1</v>
          </cell>
          <cell r="G2668" t="str">
            <v>CE</v>
          </cell>
          <cell r="H2668" t="str">
            <v>DISTRIBUIÇÃO</v>
          </cell>
          <cell r="I2668" t="str">
            <v>FOOD SERVICE</v>
          </cell>
          <cell r="J2668" t="str">
            <v>WH FOOD SERVICE CE</v>
          </cell>
          <cell r="K2668" t="str">
            <v>ITAMBÉ</v>
          </cell>
          <cell r="L2668" t="str">
            <v>RODRIGO</v>
          </cell>
          <cell r="M2668" t="str">
            <v>VAGO NORDESTE</v>
          </cell>
        </row>
        <row r="2669">
          <cell r="B2669">
            <v>5280087</v>
          </cell>
          <cell r="C2669" t="str">
            <v>MADIA COM DE REFEICOES LTDA</v>
          </cell>
          <cell r="D2669" t="str">
            <v>7001</v>
          </cell>
          <cell r="E2669" t="str">
            <v>0749</v>
          </cell>
          <cell r="F2669" t="str">
            <v>C5</v>
          </cell>
          <cell r="G2669" t="str">
            <v>SP</v>
          </cell>
          <cell r="H2669" t="str">
            <v>DISTRIBUIÇÃO</v>
          </cell>
          <cell r="I2669" t="str">
            <v>FOOD SERVICE</v>
          </cell>
          <cell r="J2669" t="str">
            <v>FLAC 5</v>
          </cell>
          <cell r="K2669" t="str">
            <v>LACTALIS</v>
          </cell>
          <cell r="L2669" t="str">
            <v>RODRIGO</v>
          </cell>
          <cell r="M2669" t="str">
            <v>ALEXANDRO</v>
          </cell>
        </row>
        <row r="2670">
          <cell r="B2670">
            <v>5358596</v>
          </cell>
          <cell r="C2670" t="str">
            <v>AGAFEL RESTAURANTE LTDA</v>
          </cell>
          <cell r="D2670" t="str">
            <v>7001</v>
          </cell>
          <cell r="E2670" t="str">
            <v>0749</v>
          </cell>
          <cell r="F2670" t="str">
            <v>C5</v>
          </cell>
          <cell r="G2670" t="str">
            <v>SP</v>
          </cell>
          <cell r="H2670" t="str">
            <v>DISTRIBUIÇÃO</v>
          </cell>
          <cell r="I2670" t="str">
            <v>FOOD SERVICE</v>
          </cell>
          <cell r="J2670" t="str">
            <v>FLAC 3</v>
          </cell>
          <cell r="K2670" t="str">
            <v>LACTALIS</v>
          </cell>
          <cell r="L2670" t="str">
            <v>RODRIGO</v>
          </cell>
          <cell r="M2670" t="str">
            <v>ALEXANDRO</v>
          </cell>
        </row>
        <row r="2671">
          <cell r="B2671">
            <v>5359180</v>
          </cell>
          <cell r="C2671" t="str">
            <v>57073522 VIVIANA MARISOL SANCHE</v>
          </cell>
          <cell r="D2671" t="str">
            <v>7001</v>
          </cell>
          <cell r="E2671" t="str">
            <v>0749</v>
          </cell>
          <cell r="F2671" t="str">
            <v>C5</v>
          </cell>
          <cell r="G2671" t="str">
            <v>SP</v>
          </cell>
          <cell r="H2671" t="str">
            <v>DISTRIBUIÇÃO</v>
          </cell>
          <cell r="I2671" t="str">
            <v>FOOD SERVICE</v>
          </cell>
          <cell r="J2671" t="str">
            <v>FLAC 3</v>
          </cell>
          <cell r="K2671" t="str">
            <v>LACTALIS</v>
          </cell>
          <cell r="L2671" t="str">
            <v>RODRIGO</v>
          </cell>
          <cell r="M2671" t="str">
            <v>ALEXANDRO</v>
          </cell>
        </row>
        <row r="2672">
          <cell r="B2672">
            <v>5130557</v>
          </cell>
          <cell r="C2672" t="str">
            <v>HACHIMITSU ATELIER DE DELICIAS LTDA</v>
          </cell>
          <cell r="D2672" t="str">
            <v>4001</v>
          </cell>
          <cell r="E2672" t="str">
            <v>0455</v>
          </cell>
          <cell r="F2672" t="str">
            <v>C1</v>
          </cell>
          <cell r="G2672" t="str">
            <v>PR</v>
          </cell>
          <cell r="H2672" t="str">
            <v>INGREDIENTS</v>
          </cell>
          <cell r="I2672" t="str">
            <v>INGREDIENTS</v>
          </cell>
          <cell r="J2672" t="str">
            <v>MARCELO RODRIGUES</v>
          </cell>
          <cell r="K2672" t="str">
            <v>LACTALIS</v>
          </cell>
          <cell r="L2672" t="str">
            <v>MAURICIO</v>
          </cell>
          <cell r="M2672" t="str">
            <v>MARCELO</v>
          </cell>
        </row>
        <row r="2673">
          <cell r="B2673">
            <v>5194176</v>
          </cell>
          <cell r="C2673" t="str">
            <v>1001 UTILIDADES E DECORACOES LT</v>
          </cell>
          <cell r="D2673" t="str">
            <v>3001</v>
          </cell>
          <cell r="E2673" t="str">
            <v>0028</v>
          </cell>
          <cell r="F2673" t="str">
            <v>C1</v>
          </cell>
          <cell r="G2673" t="str">
            <v>MG</v>
          </cell>
          <cell r="H2673" t="str">
            <v>INGREDIENTS</v>
          </cell>
          <cell r="I2673" t="str">
            <v>INGREDIENTS</v>
          </cell>
          <cell r="J2673" t="str">
            <v>DUAS RODAS</v>
          </cell>
          <cell r="K2673" t="str">
            <v>ITAMBÉ</v>
          </cell>
          <cell r="L2673" t="str">
            <v>MAURICIO</v>
          </cell>
          <cell r="M2673" t="str">
            <v>TATIANA NITTA</v>
          </cell>
        </row>
        <row r="2674">
          <cell r="B2674">
            <v>5260630</v>
          </cell>
          <cell r="C2674" t="str">
            <v>REVIV COM DE ALIM LTDA</v>
          </cell>
          <cell r="D2674" t="str">
            <v>7001</v>
          </cell>
          <cell r="E2674" t="str">
            <v>0749</v>
          </cell>
          <cell r="F2674" t="str">
            <v>C5</v>
          </cell>
          <cell r="G2674" t="str">
            <v>SP</v>
          </cell>
          <cell r="H2674" t="str">
            <v>DISTRIBUIÇÃO</v>
          </cell>
          <cell r="I2674" t="str">
            <v>FOOD SERVICE</v>
          </cell>
          <cell r="J2674" t="str">
            <v>FLAC 1</v>
          </cell>
          <cell r="K2674" t="str">
            <v>LACTALIS</v>
          </cell>
          <cell r="L2674" t="str">
            <v>RODRIGO</v>
          </cell>
          <cell r="M2674" t="str">
            <v>ALEXANDRO</v>
          </cell>
        </row>
        <row r="2675">
          <cell r="B2675">
            <v>5358913</v>
          </cell>
          <cell r="C2675" t="str">
            <v>55639593 LUIZ CLEYTON MACEDO AL</v>
          </cell>
          <cell r="D2675" t="str">
            <v>7001</v>
          </cell>
          <cell r="E2675" t="str">
            <v>0749</v>
          </cell>
          <cell r="F2675" t="str">
            <v>C5</v>
          </cell>
          <cell r="G2675" t="str">
            <v>SP</v>
          </cell>
          <cell r="H2675" t="str">
            <v>DISTRIBUIÇÃO</v>
          </cell>
          <cell r="I2675" t="str">
            <v>FOOD SERVICE</v>
          </cell>
          <cell r="J2675" t="str">
            <v>FLAC 2</v>
          </cell>
          <cell r="K2675" t="str">
            <v>LACTALIS</v>
          </cell>
          <cell r="L2675" t="str">
            <v>RODRIGO</v>
          </cell>
          <cell r="M2675" t="str">
            <v>ALEXANDRO</v>
          </cell>
        </row>
        <row r="2676">
          <cell r="B2676">
            <v>5359185</v>
          </cell>
          <cell r="C2676" t="str">
            <v>DISTRIBUIDORA DE AMIZADE LTDA</v>
          </cell>
          <cell r="D2676" t="str">
            <v>3001</v>
          </cell>
          <cell r="E2676" t="str">
            <v>0028</v>
          </cell>
          <cell r="F2676" t="str">
            <v>C1</v>
          </cell>
          <cell r="G2676" t="str">
            <v>MG</v>
          </cell>
          <cell r="H2676" t="str">
            <v>INGREDIENTS</v>
          </cell>
          <cell r="I2676" t="str">
            <v>INGREDIENTS</v>
          </cell>
          <cell r="J2676" t="str">
            <v>TATIANA NITTA</v>
          </cell>
          <cell r="K2676" t="str">
            <v>ITAMBÉ</v>
          </cell>
          <cell r="L2676" t="str">
            <v>MAURICIO</v>
          </cell>
          <cell r="M2676" t="str">
            <v>TATIANA NITTA</v>
          </cell>
        </row>
        <row r="2677">
          <cell r="B2677">
            <v>5359379</v>
          </cell>
          <cell r="C2677" t="str">
            <v>SUPERMERCADO BELLADORA LTDA</v>
          </cell>
          <cell r="D2677" t="str">
            <v>3001</v>
          </cell>
          <cell r="E2677" t="str">
            <v>0028</v>
          </cell>
          <cell r="F2677" t="str">
            <v>C1</v>
          </cell>
          <cell r="G2677" t="str">
            <v>SC</v>
          </cell>
          <cell r="H2677" t="str">
            <v>INGREDIENTS</v>
          </cell>
          <cell r="I2677" t="str">
            <v>INGREDIENTS</v>
          </cell>
          <cell r="J2677" t="str">
            <v>MARCELO RODRIGUES</v>
          </cell>
          <cell r="K2677" t="str">
            <v>ITAMBÉ</v>
          </cell>
          <cell r="L2677" t="str">
            <v>MAURICIO</v>
          </cell>
          <cell r="M2677" t="str">
            <v>MARCELO</v>
          </cell>
        </row>
        <row r="2678">
          <cell r="B2678">
            <v>5359245</v>
          </cell>
          <cell r="C2678" t="str">
            <v>BUFFET ESPACO RAFAH LTDA</v>
          </cell>
          <cell r="D2678" t="str">
            <v>7001</v>
          </cell>
          <cell r="E2678" t="str">
            <v>0749</v>
          </cell>
          <cell r="F2678" t="str">
            <v>C5</v>
          </cell>
          <cell r="G2678" t="str">
            <v>SP</v>
          </cell>
          <cell r="H2678" t="str">
            <v>DISTRIBUIÇÃO</v>
          </cell>
          <cell r="I2678" t="str">
            <v>FOOD SERVICE</v>
          </cell>
          <cell r="J2678" t="str">
            <v>FLAC 5</v>
          </cell>
          <cell r="K2678" t="str">
            <v>LACTALIS</v>
          </cell>
          <cell r="L2678" t="str">
            <v>RODRIGO</v>
          </cell>
          <cell r="M2678" t="str">
            <v>ALEXANDRO</v>
          </cell>
        </row>
        <row r="2679">
          <cell r="B2679">
            <v>5359323</v>
          </cell>
          <cell r="C2679" t="str">
            <v>PANEVINI PANIFICACAO ARTESANAL LTDA</v>
          </cell>
          <cell r="D2679" t="str">
            <v>7001</v>
          </cell>
          <cell r="E2679" t="str">
            <v>0749</v>
          </cell>
          <cell r="F2679" t="str">
            <v>C5</v>
          </cell>
          <cell r="G2679" t="str">
            <v>SP</v>
          </cell>
          <cell r="H2679" t="str">
            <v>DISTRIBUIÇÃO</v>
          </cell>
          <cell r="I2679" t="str">
            <v>FOOD SERVICE</v>
          </cell>
          <cell r="J2679" t="str">
            <v>FLAC 5</v>
          </cell>
          <cell r="K2679" t="str">
            <v>LACTALIS</v>
          </cell>
          <cell r="L2679" t="str">
            <v>RODRIGO</v>
          </cell>
          <cell r="M2679" t="str">
            <v>ALEXANDRO</v>
          </cell>
        </row>
        <row r="2680">
          <cell r="B2680">
            <v>5352083</v>
          </cell>
          <cell r="C2680" t="str">
            <v>DISTRIBUIDORA J V LTDA</v>
          </cell>
          <cell r="D2680" t="str">
            <v>3001</v>
          </cell>
          <cell r="E2680" t="str">
            <v>0122</v>
          </cell>
          <cell r="F2680" t="str">
            <v>C1</v>
          </cell>
          <cell r="G2680" t="str">
            <v>MG</v>
          </cell>
          <cell r="H2680" t="str">
            <v>DISTRIBUIÇÃO</v>
          </cell>
          <cell r="I2680" t="str">
            <v>FOOD SERVICE</v>
          </cell>
          <cell r="J2680" t="str">
            <v>MARCELO SILVA</v>
          </cell>
          <cell r="K2680" t="str">
            <v>ITAMBÉ</v>
          </cell>
          <cell r="L2680" t="str">
            <v>RODRIGO</v>
          </cell>
          <cell r="M2680" t="str">
            <v>CELIO MARTINS</v>
          </cell>
        </row>
        <row r="2681">
          <cell r="B2681">
            <v>5182318</v>
          </cell>
          <cell r="C2681" t="str">
            <v>MARQUISE EMPREENDIMENTOS SA</v>
          </cell>
          <cell r="D2681" t="str">
            <v>6001</v>
          </cell>
          <cell r="E2681" t="str">
            <v>6075</v>
          </cell>
          <cell r="F2681" t="str">
            <v>C1</v>
          </cell>
          <cell r="G2681" t="str">
            <v>CE</v>
          </cell>
          <cell r="H2681" t="str">
            <v>DISTRIBUIÇÃO</v>
          </cell>
          <cell r="I2681" t="str">
            <v>FOOD SERVICE</v>
          </cell>
          <cell r="J2681" t="str">
            <v>WH FOOD SERVICE CE</v>
          </cell>
          <cell r="K2681" t="str">
            <v>ITAMBÉ</v>
          </cell>
          <cell r="L2681" t="str">
            <v>RODRIGO</v>
          </cell>
          <cell r="M2681" t="str">
            <v>VAGO NORDESTE</v>
          </cell>
        </row>
        <row r="2682">
          <cell r="B2682">
            <v>5273675</v>
          </cell>
          <cell r="C2682" t="str">
            <v>SM FERREIRA COMERCIO DE ALIMENT</v>
          </cell>
          <cell r="D2682" t="str">
            <v>7001</v>
          </cell>
          <cell r="E2682" t="str">
            <v>0749</v>
          </cell>
          <cell r="F2682" t="str">
            <v>C5</v>
          </cell>
          <cell r="G2682" t="str">
            <v>SP</v>
          </cell>
          <cell r="H2682" t="str">
            <v>DISTRIBUIÇÃO</v>
          </cell>
          <cell r="I2682" t="str">
            <v>FOOD SERVICE</v>
          </cell>
          <cell r="J2682" t="str">
            <v>FLAC 8</v>
          </cell>
          <cell r="K2682" t="str">
            <v>LACTALIS</v>
          </cell>
          <cell r="L2682" t="str">
            <v>RODRIGO</v>
          </cell>
          <cell r="M2682" t="str">
            <v>ALEXANDRO</v>
          </cell>
        </row>
        <row r="2683">
          <cell r="B2683">
            <v>5294986</v>
          </cell>
          <cell r="C2683" t="str">
            <v>NR FOODS INDUSTRIA E COMERCIO L</v>
          </cell>
          <cell r="D2683" t="str">
            <v>3001</v>
          </cell>
          <cell r="E2683" t="str">
            <v>0028</v>
          </cell>
          <cell r="F2683" t="str">
            <v>C1</v>
          </cell>
          <cell r="G2683" t="str">
            <v>RS</v>
          </cell>
          <cell r="H2683" t="str">
            <v>INGREDIENTS</v>
          </cell>
          <cell r="I2683" t="str">
            <v>INGREDIENTS</v>
          </cell>
          <cell r="J2683" t="str">
            <v>JOEL ELEOTÉRIO</v>
          </cell>
          <cell r="K2683" t="str">
            <v>ITAMBÉ</v>
          </cell>
          <cell r="L2683" t="str">
            <v>MAURICIO</v>
          </cell>
          <cell r="M2683" t="str">
            <v>JOEL</v>
          </cell>
        </row>
        <row r="2684">
          <cell r="B2684">
            <v>5337773</v>
          </cell>
          <cell r="C2684" t="str">
            <v>CAFE PACIFICO LTDA</v>
          </cell>
          <cell r="D2684" t="str">
            <v>6001</v>
          </cell>
          <cell r="E2684" t="str">
            <v>6125</v>
          </cell>
          <cell r="F2684" t="str">
            <v>C1</v>
          </cell>
          <cell r="G2684" t="str">
            <v>SP</v>
          </cell>
          <cell r="H2684" t="str">
            <v>QSR</v>
          </cell>
          <cell r="I2684" t="str">
            <v>FOOD SERVICE</v>
          </cell>
          <cell r="J2684" t="str">
            <v>AMANDA CARVALHO</v>
          </cell>
          <cell r="K2684" t="str">
            <v>ITAMBÉ</v>
          </cell>
          <cell r="L2684" t="str">
            <v>PEDRO</v>
          </cell>
          <cell r="M2684" t="str">
            <v>AMANDA</v>
          </cell>
        </row>
        <row r="2685">
          <cell r="B2685">
            <v>5359428</v>
          </cell>
          <cell r="C2685" t="str">
            <v>RUUU SORVETES E ACAI LTDA</v>
          </cell>
          <cell r="D2685" t="str">
            <v>3001</v>
          </cell>
          <cell r="E2685" t="str">
            <v>0028</v>
          </cell>
          <cell r="F2685" t="str">
            <v>C1</v>
          </cell>
          <cell r="G2685" t="str">
            <v>MG</v>
          </cell>
          <cell r="H2685" t="str">
            <v>INGREDIENTS</v>
          </cell>
          <cell r="I2685" t="str">
            <v>INGREDIENTS</v>
          </cell>
          <cell r="J2685" t="str">
            <v>DUAS RODAS</v>
          </cell>
          <cell r="K2685" t="str">
            <v>ITAMBÉ</v>
          </cell>
          <cell r="L2685" t="str">
            <v>MAURICIO</v>
          </cell>
          <cell r="M2685" t="str">
            <v>TATIANA NITTA</v>
          </cell>
        </row>
        <row r="2686">
          <cell r="B2686">
            <v>5170033</v>
          </cell>
          <cell r="C2686" t="str">
            <v>SORVETERIA SANTIAGO LTDA</v>
          </cell>
          <cell r="D2686" t="str">
            <v>6001</v>
          </cell>
          <cell r="E2686" t="str">
            <v>6028</v>
          </cell>
          <cell r="F2686" t="str">
            <v>C1</v>
          </cell>
          <cell r="G2686" t="str">
            <v>BA</v>
          </cell>
          <cell r="H2686" t="str">
            <v>INGREDIENTS</v>
          </cell>
          <cell r="I2686" t="str">
            <v>INGREDIENTS</v>
          </cell>
          <cell r="J2686" t="str">
            <v>DUAS RODAS</v>
          </cell>
          <cell r="K2686" t="str">
            <v>ITAMBÉ</v>
          </cell>
          <cell r="L2686" t="str">
            <v>MAURICIO</v>
          </cell>
          <cell r="M2686" t="str">
            <v>JOEL</v>
          </cell>
        </row>
        <row r="2687">
          <cell r="B2687">
            <v>5334876</v>
          </cell>
          <cell r="C2687" t="str">
            <v>52861029 ALINE RODRIGUES DA SIL</v>
          </cell>
          <cell r="D2687" t="str">
            <v>7001</v>
          </cell>
          <cell r="E2687" t="str">
            <v>0749</v>
          </cell>
          <cell r="F2687" t="str">
            <v>C5</v>
          </cell>
          <cell r="G2687" t="str">
            <v>SP</v>
          </cell>
          <cell r="H2687" t="str">
            <v>DISTRIBUIÇÃO</v>
          </cell>
          <cell r="I2687" t="str">
            <v>FOOD SERVICE</v>
          </cell>
          <cell r="J2687" t="str">
            <v>FLAC 5</v>
          </cell>
          <cell r="K2687" t="str">
            <v>LACTALIS</v>
          </cell>
          <cell r="L2687" t="str">
            <v>RODRIGO</v>
          </cell>
          <cell r="M2687" t="str">
            <v>ALEXANDRO</v>
          </cell>
        </row>
        <row r="2688">
          <cell r="B2688">
            <v>5358594</v>
          </cell>
          <cell r="C2688" t="str">
            <v>PADRISSIMO RESTAURANTE E BUFFET</v>
          </cell>
          <cell r="D2688" t="str">
            <v>7001</v>
          </cell>
          <cell r="E2688" t="str">
            <v>0749</v>
          </cell>
          <cell r="F2688" t="str">
            <v>C5</v>
          </cell>
          <cell r="G2688" t="str">
            <v>SP</v>
          </cell>
          <cell r="H2688" t="str">
            <v>DISTRIBUIÇÃO</v>
          </cell>
          <cell r="I2688" t="str">
            <v>FOOD SERVICE</v>
          </cell>
          <cell r="J2688" t="str">
            <v>FLAC 5</v>
          </cell>
          <cell r="K2688" t="str">
            <v>LACTALIS</v>
          </cell>
          <cell r="L2688" t="str">
            <v>RODRIGO</v>
          </cell>
          <cell r="M2688" t="str">
            <v>ALEXANDRO</v>
          </cell>
        </row>
        <row r="2689">
          <cell r="B2689">
            <v>5359647</v>
          </cell>
          <cell r="C2689" t="str">
            <v>AM COFFEE E CO LTDA</v>
          </cell>
          <cell r="D2689" t="str">
            <v>7001</v>
          </cell>
          <cell r="E2689" t="str">
            <v>0749</v>
          </cell>
          <cell r="F2689" t="str">
            <v>C5</v>
          </cell>
          <cell r="G2689" t="str">
            <v>SP</v>
          </cell>
          <cell r="H2689" t="str">
            <v>DISTRIBUIÇÃO</v>
          </cell>
          <cell r="I2689" t="str">
            <v>FOOD SERVICE</v>
          </cell>
          <cell r="J2689" t="str">
            <v>FLAC 3</v>
          </cell>
          <cell r="K2689" t="str">
            <v>LACTALIS</v>
          </cell>
          <cell r="L2689" t="str">
            <v>RODRIGO</v>
          </cell>
          <cell r="M2689" t="str">
            <v>ALEXANDRO</v>
          </cell>
        </row>
        <row r="2690">
          <cell r="B2690">
            <v>5146856</v>
          </cell>
          <cell r="C2690" t="str">
            <v>WD VENDING MACHINE LTDA</v>
          </cell>
          <cell r="D2690" t="str">
            <v>6001</v>
          </cell>
          <cell r="E2690" t="str">
            <v>6009</v>
          </cell>
          <cell r="F2690" t="str">
            <v>C1</v>
          </cell>
          <cell r="G2690" t="str">
            <v>BA</v>
          </cell>
          <cell r="H2690" t="str">
            <v>DISTRIBUIÇÃO</v>
          </cell>
          <cell r="I2690" t="str">
            <v>FOOD SERVICE</v>
          </cell>
          <cell r="J2690" t="str">
            <v xml:space="preserve">KARIS FOOD / LUIZ </v>
          </cell>
          <cell r="K2690" t="str">
            <v>ITAMBÉ</v>
          </cell>
          <cell r="L2690" t="str">
            <v>RODRIGO</v>
          </cell>
          <cell r="M2690" t="str">
            <v>VAGO NORDESTE</v>
          </cell>
        </row>
        <row r="2691">
          <cell r="B2691">
            <v>5206787</v>
          </cell>
          <cell r="C2691" t="str">
            <v>CS FABRICACAO DE ALIMENTOS</v>
          </cell>
          <cell r="D2691" t="str">
            <v>6001</v>
          </cell>
          <cell r="E2691" t="str">
            <v>6125</v>
          </cell>
          <cell r="F2691" t="str">
            <v>C1</v>
          </cell>
          <cell r="G2691" t="str">
            <v>SP</v>
          </cell>
          <cell r="H2691" t="str">
            <v>QSR</v>
          </cell>
          <cell r="I2691" t="str">
            <v>FOOD SERVICE</v>
          </cell>
          <cell r="J2691" t="str">
            <v>ANA MENIQUETE</v>
          </cell>
          <cell r="K2691" t="str">
            <v>ITAMBÉ</v>
          </cell>
          <cell r="L2691" t="str">
            <v>PEDRO</v>
          </cell>
          <cell r="M2691" t="str">
            <v>ANA MENIQUETE</v>
          </cell>
        </row>
        <row r="2692">
          <cell r="B2692">
            <v>5320070</v>
          </cell>
          <cell r="C2692" t="str">
            <v>MON CHOU COM IMPORTACAO E EXPOR</v>
          </cell>
          <cell r="D2692" t="str">
            <v>6001</v>
          </cell>
          <cell r="E2692" t="str">
            <v>6169</v>
          </cell>
          <cell r="F2692" t="str">
            <v>C1</v>
          </cell>
          <cell r="G2692" t="str">
            <v>RJ</v>
          </cell>
          <cell r="H2692" t="str">
            <v>DISTRIBUIÇÃO</v>
          </cell>
          <cell r="I2692" t="str">
            <v>FOOD SERVICE</v>
          </cell>
          <cell r="J2692" t="str">
            <v>LUCIANA MARTINS</v>
          </cell>
          <cell r="K2692" t="str">
            <v>ITAMBÉ</v>
          </cell>
          <cell r="L2692" t="str">
            <v>RODRIGO</v>
          </cell>
          <cell r="M2692" t="str">
            <v>JESSICA</v>
          </cell>
        </row>
        <row r="2693">
          <cell r="B2693">
            <v>5357392</v>
          </cell>
          <cell r="C2693" t="str">
            <v>CORA PATISSERIE LTDA</v>
          </cell>
          <cell r="D2693" t="str">
            <v>7001</v>
          </cell>
          <cell r="E2693" t="str">
            <v>0749</v>
          </cell>
          <cell r="F2693" t="str">
            <v>C5</v>
          </cell>
          <cell r="G2693" t="str">
            <v>SP</v>
          </cell>
          <cell r="H2693" t="str">
            <v>DISTRIBUIÇÃO</v>
          </cell>
          <cell r="I2693" t="str">
            <v>FOOD SERVICE</v>
          </cell>
          <cell r="J2693" t="str">
            <v>FLAC 5</v>
          </cell>
          <cell r="K2693" t="str">
            <v>LACTALIS</v>
          </cell>
          <cell r="L2693" t="str">
            <v>RODRIGO</v>
          </cell>
          <cell r="M2693" t="str">
            <v>ALEXANDRO</v>
          </cell>
        </row>
        <row r="2694">
          <cell r="B2694">
            <v>5359640</v>
          </cell>
          <cell r="C2694" t="str">
            <v>CHURRASCARIA JAGUARE 07 LTDA</v>
          </cell>
          <cell r="D2694" t="str">
            <v>7001</v>
          </cell>
          <cell r="E2694" t="str">
            <v>0749</v>
          </cell>
          <cell r="F2694" t="str">
            <v>C5</v>
          </cell>
          <cell r="G2694" t="str">
            <v>SP</v>
          </cell>
          <cell r="H2694" t="str">
            <v>DISTRIBUIÇÃO</v>
          </cell>
          <cell r="I2694" t="str">
            <v>FOOD SERVICE</v>
          </cell>
          <cell r="J2694" t="str">
            <v>FLAC 3</v>
          </cell>
          <cell r="K2694" t="str">
            <v>LACTALIS</v>
          </cell>
          <cell r="L2694" t="str">
            <v>RODRIGO</v>
          </cell>
          <cell r="M2694" t="str">
            <v>ALEXANDRO</v>
          </cell>
        </row>
        <row r="2695">
          <cell r="B2695">
            <v>5146856</v>
          </cell>
          <cell r="C2695" t="str">
            <v>WD VENDING MACHINE LTDA</v>
          </cell>
          <cell r="D2695" t="str">
            <v>6001</v>
          </cell>
          <cell r="E2695" t="str">
            <v>6127</v>
          </cell>
          <cell r="F2695" t="str">
            <v>C1</v>
          </cell>
          <cell r="G2695" t="str">
            <v>BA</v>
          </cell>
          <cell r="H2695" t="str">
            <v>DISTRIBUIÇÃO</v>
          </cell>
          <cell r="I2695" t="str">
            <v>FOOD SERVICE</v>
          </cell>
          <cell r="J2695" t="str">
            <v xml:space="preserve">KARIS FOOD / LUIZ </v>
          </cell>
          <cell r="K2695" t="str">
            <v>ITAMBÉ</v>
          </cell>
          <cell r="L2695" t="str">
            <v>RODRIGO</v>
          </cell>
          <cell r="M2695" t="str">
            <v>VAGO NORDESTE</v>
          </cell>
        </row>
        <row r="2696">
          <cell r="B2696">
            <v>5110662</v>
          </cell>
          <cell r="C2696" t="str">
            <v>CANELA E CIA RESTAURANTE LTDA</v>
          </cell>
          <cell r="D2696" t="str">
            <v>6001</v>
          </cell>
          <cell r="E2696" t="str">
            <v>6127</v>
          </cell>
          <cell r="F2696" t="str">
            <v>C1</v>
          </cell>
          <cell r="G2696" t="str">
            <v>BA</v>
          </cell>
          <cell r="H2696" t="str">
            <v>DISTRIBUIÇÃO</v>
          </cell>
          <cell r="I2696" t="str">
            <v>FOOD SERVICE</v>
          </cell>
          <cell r="J2696" t="str">
            <v xml:space="preserve">KARIS FOOD / LUIZ </v>
          </cell>
          <cell r="K2696" t="str">
            <v>ITAMBÉ</v>
          </cell>
          <cell r="L2696" t="str">
            <v>RODRIGO</v>
          </cell>
          <cell r="M2696" t="str">
            <v>VAGO NORDESTE</v>
          </cell>
        </row>
        <row r="2697">
          <cell r="B2697">
            <v>5359027</v>
          </cell>
          <cell r="C2697" t="str">
            <v>COM CIDADE DE SP BAR E TRATORIA</v>
          </cell>
          <cell r="D2697" t="str">
            <v>7001</v>
          </cell>
          <cell r="E2697" t="str">
            <v>0749</v>
          </cell>
          <cell r="F2697" t="str">
            <v>C5</v>
          </cell>
          <cell r="G2697" t="str">
            <v>SP</v>
          </cell>
          <cell r="H2697" t="str">
            <v>DISTRIBUIÇÃO</v>
          </cell>
          <cell r="I2697" t="str">
            <v>FOOD SERVICE</v>
          </cell>
          <cell r="J2697" t="str">
            <v>FLAC 4</v>
          </cell>
          <cell r="K2697" t="str">
            <v>LACTALIS</v>
          </cell>
          <cell r="L2697" t="str">
            <v>RODRIGO</v>
          </cell>
          <cell r="M2697" t="str">
            <v>ALEXANDRO</v>
          </cell>
        </row>
        <row r="2698">
          <cell r="B2698">
            <v>5203725</v>
          </cell>
          <cell r="C2698" t="str">
            <v>SORVEMEL SORVETES LTDA</v>
          </cell>
          <cell r="D2698" t="str">
            <v>6001</v>
          </cell>
          <cell r="E2698" t="str">
            <v>6028</v>
          </cell>
          <cell r="F2698" t="str">
            <v>C1</v>
          </cell>
          <cell r="G2698" t="str">
            <v>SP</v>
          </cell>
          <cell r="H2698" t="str">
            <v>INGREDIENTS</v>
          </cell>
          <cell r="I2698" t="str">
            <v>INGREDIENTS</v>
          </cell>
          <cell r="J2698" t="str">
            <v>DUAS RODAS</v>
          </cell>
          <cell r="K2698" t="str">
            <v>ITAMBÉ</v>
          </cell>
          <cell r="L2698" t="str">
            <v>MAURICIO</v>
          </cell>
          <cell r="M2698" t="str">
            <v>TATIANA NITTA</v>
          </cell>
        </row>
        <row r="2699">
          <cell r="B2699">
            <v>5217293</v>
          </cell>
          <cell r="C2699" t="str">
            <v>OESA COMERCIO E REPRESENTACOES SA</v>
          </cell>
          <cell r="D2699" t="str">
            <v>7001</v>
          </cell>
          <cell r="E2699" t="str">
            <v>0722</v>
          </cell>
          <cell r="F2699" t="str">
            <v>C1</v>
          </cell>
          <cell r="G2699" t="str">
            <v>SP</v>
          </cell>
          <cell r="H2699" t="str">
            <v>DISTRIBUIÇÃO</v>
          </cell>
          <cell r="I2699" t="str">
            <v>FOOD SERVICE</v>
          </cell>
          <cell r="J2699" t="str">
            <v>LUCAS ANDRADE</v>
          </cell>
          <cell r="K2699" t="str">
            <v>LACTALIS</v>
          </cell>
          <cell r="L2699" t="str">
            <v>RODRIGO</v>
          </cell>
          <cell r="M2699" t="str">
            <v>RAQUEL BARBOSA</v>
          </cell>
        </row>
        <row r="2700">
          <cell r="B2700">
            <v>5350810</v>
          </cell>
          <cell r="C2700" t="str">
            <v>COMERCIO DE ALIM NOVA PITOKO LT</v>
          </cell>
          <cell r="D2700" t="str">
            <v>6001</v>
          </cell>
          <cell r="E2700" t="str">
            <v>6169</v>
          </cell>
          <cell r="F2700" t="str">
            <v>C1</v>
          </cell>
          <cell r="G2700" t="str">
            <v>RJ</v>
          </cell>
          <cell r="H2700" t="str">
            <v>DISTRIBUIÇÃO</v>
          </cell>
          <cell r="I2700" t="str">
            <v>FOOD SERVICE</v>
          </cell>
          <cell r="J2700" t="str">
            <v>JULIANA CORDEIRO</v>
          </cell>
          <cell r="K2700" t="str">
            <v>ITAMBÉ</v>
          </cell>
          <cell r="L2700" t="str">
            <v>RODRIGO</v>
          </cell>
          <cell r="M2700" t="str">
            <v>JESSICA</v>
          </cell>
        </row>
        <row r="2701">
          <cell r="B2701">
            <v>5357111</v>
          </cell>
          <cell r="C2701" t="str">
            <v>59100275 ALEXANDRE COLETE SILVA</v>
          </cell>
          <cell r="D2701" t="str">
            <v>7001</v>
          </cell>
          <cell r="E2701" t="str">
            <v>0749</v>
          </cell>
          <cell r="F2701" t="str">
            <v>C5</v>
          </cell>
          <cell r="G2701" t="str">
            <v>SP</v>
          </cell>
          <cell r="H2701" t="str">
            <v>DISTRIBUIÇÃO</v>
          </cell>
          <cell r="I2701" t="str">
            <v>FOOD SERVICE</v>
          </cell>
          <cell r="J2701" t="str">
            <v>FLAC 2</v>
          </cell>
          <cell r="K2701" t="str">
            <v>LACTALIS</v>
          </cell>
          <cell r="L2701" t="str">
            <v>RODRIGO</v>
          </cell>
          <cell r="M2701" t="str">
            <v>ALEXANDRO</v>
          </cell>
        </row>
        <row r="2702">
          <cell r="B2702">
            <v>5359750</v>
          </cell>
          <cell r="C2702" t="str">
            <v>61818384 MAYANNA VICTO DE OLIVE</v>
          </cell>
          <cell r="D2702" t="str">
            <v>7001</v>
          </cell>
          <cell r="E2702" t="str">
            <v>0749</v>
          </cell>
          <cell r="F2702" t="str">
            <v>C5</v>
          </cell>
          <cell r="G2702" t="str">
            <v>SP</v>
          </cell>
          <cell r="H2702" t="str">
            <v>DISTRIBUIÇÃO</v>
          </cell>
          <cell r="I2702" t="str">
            <v>FOOD SERVICE</v>
          </cell>
          <cell r="J2702" t="str">
            <v>FLAC 4</v>
          </cell>
          <cell r="K2702" t="str">
            <v>LACTALIS</v>
          </cell>
          <cell r="L2702" t="str">
            <v>RODRIGO</v>
          </cell>
          <cell r="M2702" t="str">
            <v>ALEXANDRO</v>
          </cell>
        </row>
        <row r="2703">
          <cell r="B2703">
            <v>5231829</v>
          </cell>
          <cell r="C2703" t="str">
            <v>SEM LIMITE DIST DE ALIMENTOS LT</v>
          </cell>
          <cell r="D2703" t="str">
            <v>4001</v>
          </cell>
          <cell r="E2703" t="str">
            <v>0458</v>
          </cell>
          <cell r="F2703" t="str">
            <v>C1</v>
          </cell>
          <cell r="G2703" t="str">
            <v>MG</v>
          </cell>
          <cell r="H2703" t="str">
            <v>DISTRIBUIÇÃO</v>
          </cell>
          <cell r="I2703" t="str">
            <v>FOOD SERVICE</v>
          </cell>
          <cell r="J2703" t="str">
            <v>MARCELO SILVA</v>
          </cell>
          <cell r="K2703" t="str">
            <v>LACTALIS</v>
          </cell>
          <cell r="L2703" t="str">
            <v>RODRIGO</v>
          </cell>
          <cell r="M2703" t="str">
            <v>CELIO MARTINS</v>
          </cell>
        </row>
        <row r="2704">
          <cell r="B2704">
            <v>5336689</v>
          </cell>
          <cell r="C2704" t="str">
            <v>RESTAURANTE NUNES CLEMENTINO LT</v>
          </cell>
          <cell r="D2704" t="str">
            <v>7001</v>
          </cell>
          <cell r="E2704" t="str">
            <v>0749</v>
          </cell>
          <cell r="F2704" t="str">
            <v>C5</v>
          </cell>
          <cell r="G2704" t="str">
            <v>SP</v>
          </cell>
          <cell r="H2704" t="str">
            <v>DISTRIBUIÇÃO</v>
          </cell>
          <cell r="I2704" t="str">
            <v>FOOD SERVICE</v>
          </cell>
          <cell r="J2704" t="str">
            <v>FLAC 6</v>
          </cell>
          <cell r="K2704" t="str">
            <v>LACTALIS</v>
          </cell>
          <cell r="L2704" t="str">
            <v>RODRIGO</v>
          </cell>
          <cell r="M2704" t="str">
            <v>ALEXANDRO</v>
          </cell>
        </row>
        <row r="2705">
          <cell r="B2705">
            <v>5359877</v>
          </cell>
          <cell r="C2705" t="str">
            <v>EUROPANE IND E COM DE PROD E PA</v>
          </cell>
          <cell r="D2705" t="str">
            <v>7001</v>
          </cell>
          <cell r="E2705" t="str">
            <v>0749</v>
          </cell>
          <cell r="F2705" t="str">
            <v>C5</v>
          </cell>
          <cell r="G2705" t="str">
            <v>SP</v>
          </cell>
          <cell r="H2705" t="str">
            <v>DISTRIBUIÇÃO</v>
          </cell>
          <cell r="I2705" t="str">
            <v>FOOD SERVICE</v>
          </cell>
          <cell r="J2705" t="str">
            <v>FLAC 4</v>
          </cell>
          <cell r="K2705" t="str">
            <v>LACTALIS</v>
          </cell>
          <cell r="L2705" t="str">
            <v>RODRIGO</v>
          </cell>
          <cell r="M2705" t="str">
            <v>ALEXANDRO</v>
          </cell>
        </row>
        <row r="2706">
          <cell r="B2706">
            <v>5226651</v>
          </cell>
          <cell r="C2706" t="str">
            <v>CARINO INGREDIENTES LTDA</v>
          </cell>
          <cell r="D2706" t="str">
            <v>6001</v>
          </cell>
          <cell r="E2706" t="str">
            <v>6125</v>
          </cell>
          <cell r="F2706" t="str">
            <v>C1</v>
          </cell>
          <cell r="G2706" t="str">
            <v>SP</v>
          </cell>
          <cell r="H2706" t="str">
            <v>INGREDIENTS</v>
          </cell>
          <cell r="I2706" t="str">
            <v>INGREDIENTS</v>
          </cell>
          <cell r="J2706" t="str">
            <v>MARCELO RODRIGUES</v>
          </cell>
          <cell r="K2706" t="str">
            <v>ITAMBÉ</v>
          </cell>
          <cell r="L2706" t="str">
            <v>MAURICIO</v>
          </cell>
          <cell r="M2706" t="str">
            <v>MARCELO</v>
          </cell>
        </row>
        <row r="2707">
          <cell r="B2707">
            <v>5234169</v>
          </cell>
          <cell r="C2707" t="str">
            <v>CLUBE ATLETICO MONTE LIBANO</v>
          </cell>
          <cell r="D2707" t="str">
            <v>7001</v>
          </cell>
          <cell r="E2707" t="str">
            <v>0749</v>
          </cell>
          <cell r="F2707" t="str">
            <v>C5</v>
          </cell>
          <cell r="G2707" t="str">
            <v>SP</v>
          </cell>
          <cell r="H2707" t="str">
            <v>DISTRIBUIÇÃO</v>
          </cell>
          <cell r="I2707" t="str">
            <v>FOOD SERVICE</v>
          </cell>
          <cell r="J2707" t="str">
            <v>FLAC 6</v>
          </cell>
          <cell r="K2707" t="str">
            <v>LACTALIS</v>
          </cell>
          <cell r="L2707" t="str">
            <v>RODRIGO</v>
          </cell>
          <cell r="M2707" t="str">
            <v>ALEXANDRO</v>
          </cell>
        </row>
        <row r="2708">
          <cell r="B2708">
            <v>5340507</v>
          </cell>
          <cell r="C2708" t="str">
            <v>SUAVE SABOR DOCERIA LTDA</v>
          </cell>
          <cell r="D2708" t="str">
            <v>6001</v>
          </cell>
          <cell r="E2708" t="str">
            <v>6028</v>
          </cell>
          <cell r="F2708" t="str">
            <v>C1</v>
          </cell>
          <cell r="G2708" t="str">
            <v>SP</v>
          </cell>
          <cell r="H2708" t="str">
            <v>INGREDIENTS</v>
          </cell>
          <cell r="I2708" t="str">
            <v>INGREDIENTS</v>
          </cell>
          <cell r="J2708" t="str">
            <v>TATIANA NITTA</v>
          </cell>
          <cell r="K2708" t="str">
            <v>ITAMBÉ</v>
          </cell>
          <cell r="L2708" t="str">
            <v>MAURICIO</v>
          </cell>
          <cell r="M2708" t="str">
            <v>TATIANA NITTA</v>
          </cell>
        </row>
        <row r="2709">
          <cell r="B2709">
            <v>5058881</v>
          </cell>
          <cell r="C2709" t="str">
            <v>GR SERVICOS E ALIMENTACAO LTDA</v>
          </cell>
          <cell r="D2709" t="str">
            <v>6001</v>
          </cell>
          <cell r="E2709" t="str">
            <v>6028</v>
          </cell>
          <cell r="F2709" t="str">
            <v>C1</v>
          </cell>
          <cell r="G2709" t="str">
            <v>SP</v>
          </cell>
          <cell r="H2709" t="str">
            <v>QSR</v>
          </cell>
          <cell r="I2709" t="str">
            <v>FOOD SERVICE</v>
          </cell>
          <cell r="J2709" t="str">
            <v>NUTRI</v>
          </cell>
          <cell r="K2709" t="str">
            <v>ITAMBÉ</v>
          </cell>
          <cell r="L2709" t="str">
            <v>PEDRO</v>
          </cell>
          <cell r="M2709" t="str">
            <v>AMANDA</v>
          </cell>
        </row>
        <row r="2710">
          <cell r="B2710">
            <v>5114387</v>
          </cell>
          <cell r="C2710" t="str">
            <v>JAQUELINI CARDOSO COSTA DA SILV</v>
          </cell>
          <cell r="D2710" t="str">
            <v>6001</v>
          </cell>
          <cell r="E2710" t="str">
            <v>6125</v>
          </cell>
          <cell r="F2710" t="str">
            <v>C1</v>
          </cell>
          <cell r="G2710" t="str">
            <v>SP</v>
          </cell>
          <cell r="H2710" t="str">
            <v>INGREDIENTS</v>
          </cell>
          <cell r="I2710" t="str">
            <v>INGREDIENTS</v>
          </cell>
          <cell r="J2710" t="str">
            <v>HENRIQUE FERREIRA</v>
          </cell>
          <cell r="K2710" t="str">
            <v>ITAMBÉ</v>
          </cell>
          <cell r="L2710" t="str">
            <v>MAURICIO</v>
          </cell>
          <cell r="M2710" t="str">
            <v>JOEL</v>
          </cell>
        </row>
        <row r="2711">
          <cell r="B2711">
            <v>5149780</v>
          </cell>
          <cell r="C2711" t="str">
            <v>MAX PAO LAS VEGAS PAES E DOCES</v>
          </cell>
          <cell r="D2711" t="str">
            <v>7001</v>
          </cell>
          <cell r="E2711" t="str">
            <v>0749</v>
          </cell>
          <cell r="F2711" t="str">
            <v>C5</v>
          </cell>
          <cell r="G2711" t="str">
            <v>SP</v>
          </cell>
          <cell r="H2711" t="str">
            <v>DISTRIBUIÇÃO</v>
          </cell>
          <cell r="I2711" t="str">
            <v>FOOD SERVICE</v>
          </cell>
          <cell r="J2711" t="str">
            <v>FLAC 10</v>
          </cell>
          <cell r="K2711" t="str">
            <v>LACTALIS</v>
          </cell>
          <cell r="L2711" t="str">
            <v>RODRIGO</v>
          </cell>
          <cell r="M2711" t="str">
            <v>ALEXANDRO</v>
          </cell>
        </row>
        <row r="2712">
          <cell r="B2712">
            <v>5172313</v>
          </cell>
          <cell r="C2712" t="str">
            <v>FRONERI BRASIL DIST DE SORV E C</v>
          </cell>
          <cell r="D2712" t="str">
            <v>7001</v>
          </cell>
          <cell r="E2712" t="str">
            <v>0739</v>
          </cell>
          <cell r="F2712" t="str">
            <v>C1</v>
          </cell>
          <cell r="G2712" t="str">
            <v>RJ</v>
          </cell>
          <cell r="H2712" t="str">
            <v>INGREDIENTS</v>
          </cell>
          <cell r="I2712" t="str">
            <v>INGREDIENTS</v>
          </cell>
          <cell r="J2712" t="str">
            <v>JOEL ELEOTÉRIO</v>
          </cell>
          <cell r="K2712" t="str">
            <v>LACTALIS</v>
          </cell>
          <cell r="L2712" t="str">
            <v>MAURICIO</v>
          </cell>
          <cell r="M2712" t="str">
            <v>JOEL</v>
          </cell>
        </row>
        <row r="2713">
          <cell r="B2713">
            <v>5211582</v>
          </cell>
          <cell r="C2713" t="str">
            <v>DAN VIGOR IND E COM LATICINIOS</v>
          </cell>
          <cell r="D2713" t="str">
            <v>4001</v>
          </cell>
          <cell r="E2713" t="str">
            <v>0423</v>
          </cell>
          <cell r="F2713" t="str">
            <v>C5</v>
          </cell>
          <cell r="G2713" t="str">
            <v>SP</v>
          </cell>
          <cell r="H2713" t="str">
            <v>INGREDIENTS</v>
          </cell>
          <cell r="I2713" t="str">
            <v>INGREDIENTS</v>
          </cell>
          <cell r="J2713" t="str">
            <v>FERREIRA MELO</v>
          </cell>
          <cell r="K2713" t="str">
            <v>LACTALIS</v>
          </cell>
          <cell r="L2713" t="str">
            <v>MAURICIO</v>
          </cell>
          <cell r="M2713" t="str">
            <v>JOEL</v>
          </cell>
        </row>
        <row r="2714">
          <cell r="B2714">
            <v>5359895</v>
          </cell>
          <cell r="C2714" t="str">
            <v>LEILA RESTAURANTES LTDA</v>
          </cell>
          <cell r="D2714" t="str">
            <v>7001</v>
          </cell>
          <cell r="E2714" t="str">
            <v>0749</v>
          </cell>
          <cell r="F2714" t="str">
            <v>C5</v>
          </cell>
          <cell r="G2714" t="str">
            <v>SP</v>
          </cell>
          <cell r="H2714" t="str">
            <v>DISTRIBUIÇÃO</v>
          </cell>
          <cell r="I2714" t="str">
            <v>FOOD SERVICE</v>
          </cell>
          <cell r="J2714" t="str">
            <v>FLAC 5</v>
          </cell>
          <cell r="K2714" t="str">
            <v>LACTALIS</v>
          </cell>
          <cell r="L2714" t="str">
            <v>RODRIGO</v>
          </cell>
          <cell r="M2714" t="str">
            <v>ALEXANDRO</v>
          </cell>
        </row>
        <row r="2715">
          <cell r="B2715">
            <v>5360090</v>
          </cell>
          <cell r="C2715" t="str">
            <v>62497836 MARCELO CARNEIRO</v>
          </cell>
          <cell r="D2715" t="str">
            <v>7001</v>
          </cell>
          <cell r="E2715" t="str">
            <v>0749</v>
          </cell>
          <cell r="F2715" t="str">
            <v>C5</v>
          </cell>
          <cell r="G2715" t="str">
            <v>SP</v>
          </cell>
          <cell r="H2715" t="str">
            <v>DISTRIBUIÇÃO</v>
          </cell>
          <cell r="I2715" t="str">
            <v>FOOD SERVICE</v>
          </cell>
          <cell r="J2715" t="str">
            <v>FLAC 6</v>
          </cell>
          <cell r="K2715" t="str">
            <v>LACTALIS</v>
          </cell>
          <cell r="L2715" t="str">
            <v>RODRIGO</v>
          </cell>
          <cell r="M2715" t="str">
            <v>ALEXANDRO</v>
          </cell>
        </row>
        <row r="2716">
          <cell r="B2716">
            <v>5359869</v>
          </cell>
          <cell r="C2716" t="str">
            <v>BIG CHURROS KENNEDY LTDA</v>
          </cell>
          <cell r="D2716">
            <v>6001</v>
          </cell>
          <cell r="E2716">
            <v>6028</v>
          </cell>
          <cell r="F2716" t="str">
            <v>C1</v>
          </cell>
          <cell r="G2716" t="str">
            <v>SP</v>
          </cell>
          <cell r="H2716" t="str">
            <v>INGREDIENTS</v>
          </cell>
          <cell r="I2716" t="str">
            <v>INGREDIENTS</v>
          </cell>
          <cell r="J2716" t="str">
            <v>HENRIQUE FERREIRA</v>
          </cell>
          <cell r="K2716" t="str">
            <v>ITAMBÉ</v>
          </cell>
          <cell r="L2716" t="str">
            <v>MAURICIO</v>
          </cell>
          <cell r="M2716" t="str">
            <v>JOEL</v>
          </cell>
        </row>
        <row r="2717">
          <cell r="B2717">
            <v>5359749</v>
          </cell>
          <cell r="C2717" t="str">
            <v>BR NUTRI ADM DE REST E SERVICOS LTD</v>
          </cell>
          <cell r="D2717" t="str">
            <v>7001</v>
          </cell>
          <cell r="E2717" t="str">
            <v>0749</v>
          </cell>
          <cell r="F2717" t="str">
            <v>C5</v>
          </cell>
          <cell r="G2717" t="str">
            <v>SP</v>
          </cell>
          <cell r="H2717" t="str">
            <v>DISTRIBUIÇÃO</v>
          </cell>
          <cell r="I2717" t="str">
            <v>FOOD SERVICE</v>
          </cell>
          <cell r="J2717" t="str">
            <v>FLAC 4</v>
          </cell>
          <cell r="K2717" t="str">
            <v>LACTALIS</v>
          </cell>
          <cell r="L2717" t="str">
            <v>RODRIGO</v>
          </cell>
          <cell r="M2717" t="str">
            <v>ALEXANDRO</v>
          </cell>
        </row>
        <row r="2718">
          <cell r="B2718">
            <v>5360087</v>
          </cell>
          <cell r="C2718" t="str">
            <v>PITAYA EXPRESS SANTANA LTDA</v>
          </cell>
          <cell r="D2718" t="str">
            <v>7001</v>
          </cell>
          <cell r="E2718" t="str">
            <v>0749</v>
          </cell>
          <cell r="F2718" t="str">
            <v>C5</v>
          </cell>
          <cell r="G2718" t="str">
            <v>SP</v>
          </cell>
          <cell r="H2718" t="str">
            <v>DISTRIBUIÇÃO</v>
          </cell>
          <cell r="I2718" t="str">
            <v>FOOD SERVICE</v>
          </cell>
          <cell r="J2718" t="str">
            <v>FLAC 3</v>
          </cell>
          <cell r="K2718" t="str">
            <v>LACTALIS</v>
          </cell>
          <cell r="L2718" t="str">
            <v>RODRIGO</v>
          </cell>
          <cell r="M2718" t="str">
            <v>ALEXANDRO</v>
          </cell>
        </row>
        <row r="2719">
          <cell r="B2719">
            <v>5359018</v>
          </cell>
          <cell r="C2719" t="str">
            <v>LEO CAFE LTDA</v>
          </cell>
          <cell r="D2719" t="str">
            <v>7001</v>
          </cell>
          <cell r="E2719" t="str">
            <v>0749</v>
          </cell>
          <cell r="F2719" t="str">
            <v>C5</v>
          </cell>
          <cell r="G2719" t="str">
            <v>SP</v>
          </cell>
          <cell r="H2719" t="str">
            <v>DISTRIBUIÇÃO</v>
          </cell>
          <cell r="I2719" t="str">
            <v>FOOD SERVICE</v>
          </cell>
          <cell r="J2719" t="str">
            <v>FLAC 6</v>
          </cell>
          <cell r="K2719" t="str">
            <v>LACTALIS</v>
          </cell>
          <cell r="L2719" t="str">
            <v>RODRIGO</v>
          </cell>
          <cell r="M2719" t="str">
            <v>ALEXANDRO</v>
          </cell>
        </row>
        <row r="2720">
          <cell r="B2720">
            <v>5360029</v>
          </cell>
          <cell r="C2720" t="str">
            <v>WRAPPD ALIMENTO SAUDAVEL LTDA</v>
          </cell>
          <cell r="D2720" t="str">
            <v>7001</v>
          </cell>
          <cell r="E2720" t="str">
            <v>0749</v>
          </cell>
          <cell r="F2720" t="str">
            <v>C5</v>
          </cell>
          <cell r="G2720" t="str">
            <v>SP</v>
          </cell>
          <cell r="H2720" t="str">
            <v>DISTRIBUIÇÃO</v>
          </cell>
          <cell r="I2720" t="str">
            <v>FOOD SERVICE</v>
          </cell>
          <cell r="J2720" t="str">
            <v>FLAC 6</v>
          </cell>
          <cell r="K2720" t="str">
            <v>LACTALIS</v>
          </cell>
          <cell r="L2720" t="str">
            <v>RODRIGO</v>
          </cell>
          <cell r="M2720" t="str">
            <v>ALEXANDRO</v>
          </cell>
        </row>
        <row r="2721">
          <cell r="B2721">
            <v>5332942</v>
          </cell>
          <cell r="C2721" t="str">
            <v>LE MELLOW JAZZ BAR E RESTAURANT</v>
          </cell>
          <cell r="D2721" t="str">
            <v>7001</v>
          </cell>
          <cell r="E2721" t="str">
            <v>0749</v>
          </cell>
          <cell r="F2721" t="str">
            <v>C5</v>
          </cell>
          <cell r="G2721" t="str">
            <v>SP</v>
          </cell>
          <cell r="H2721" t="str">
            <v>DISTRIBUIÇÃO</v>
          </cell>
          <cell r="I2721" t="str">
            <v>FOOD SERVICE</v>
          </cell>
          <cell r="J2721" t="str">
            <v>FLAC 5</v>
          </cell>
          <cell r="K2721" t="str">
            <v>LACTALIS</v>
          </cell>
          <cell r="L2721" t="str">
            <v>RODRIGO</v>
          </cell>
          <cell r="M2721" t="str">
            <v>ALEXANDRO</v>
          </cell>
        </row>
        <row r="2722">
          <cell r="B2722">
            <v>5332949</v>
          </cell>
          <cell r="C2722" t="str">
            <v>LE JAZZ HIGIENOPOLIS BAR E REST</v>
          </cell>
          <cell r="D2722" t="str">
            <v>7001</v>
          </cell>
          <cell r="E2722" t="str">
            <v>0749</v>
          </cell>
          <cell r="F2722" t="str">
            <v>C5</v>
          </cell>
          <cell r="G2722" t="str">
            <v>SP</v>
          </cell>
          <cell r="H2722" t="str">
            <v>DISTRIBUIÇÃO</v>
          </cell>
          <cell r="I2722" t="str">
            <v>FOOD SERVICE</v>
          </cell>
          <cell r="J2722" t="str">
            <v>FLAC 5</v>
          </cell>
          <cell r="K2722" t="str">
            <v>LACTALIS</v>
          </cell>
          <cell r="L2722" t="str">
            <v>RODRIGO</v>
          </cell>
          <cell r="M2722" t="str">
            <v>ALEXANDRO</v>
          </cell>
        </row>
        <row r="2723">
          <cell r="B2723">
            <v>5182318</v>
          </cell>
          <cell r="C2723" t="str">
            <v>MARQUISE EMPREENDIMENTOS SA</v>
          </cell>
          <cell r="D2723" t="str">
            <v>6001</v>
          </cell>
          <cell r="E2723" t="str">
            <v>6127</v>
          </cell>
          <cell r="F2723" t="str">
            <v>C1</v>
          </cell>
          <cell r="G2723" t="str">
            <v>CE</v>
          </cell>
          <cell r="H2723" t="str">
            <v>DISTRIBUIÇÃO</v>
          </cell>
          <cell r="I2723" t="str">
            <v>FOOD SERVICE</v>
          </cell>
          <cell r="J2723" t="str">
            <v>WH FOOD SERVICE CE</v>
          </cell>
          <cell r="K2723" t="str">
            <v>ITAMBÉ</v>
          </cell>
          <cell r="L2723" t="str">
            <v>RODRIGO</v>
          </cell>
          <cell r="M2723" t="str">
            <v>VAGO NORDESTE</v>
          </cell>
        </row>
        <row r="2724">
          <cell r="B2724">
            <v>5360185</v>
          </cell>
          <cell r="C2724" t="str">
            <v>LUCAS BON APPETIT COMERCIO LTDA</v>
          </cell>
          <cell r="D2724" t="str">
            <v>7001</v>
          </cell>
          <cell r="E2724" t="str">
            <v>0749</v>
          </cell>
          <cell r="F2724" t="str">
            <v>C5</v>
          </cell>
          <cell r="G2724" t="str">
            <v>SP</v>
          </cell>
          <cell r="H2724" t="str">
            <v>DISTRIBUIÇÃO</v>
          </cell>
          <cell r="I2724" t="str">
            <v>FOOD SERVICE</v>
          </cell>
          <cell r="J2724" t="str">
            <v>FLAC 4</v>
          </cell>
          <cell r="K2724" t="str">
            <v>LACTALIS</v>
          </cell>
          <cell r="L2724" t="str">
            <v>RODRIGO</v>
          </cell>
          <cell r="M2724" t="str">
            <v>ALEXANDRO</v>
          </cell>
        </row>
        <row r="2725">
          <cell r="B2725">
            <v>5360067</v>
          </cell>
          <cell r="C2725" t="str">
            <v>FERRARA CAFE LTDA</v>
          </cell>
          <cell r="D2725">
            <v>7001</v>
          </cell>
          <cell r="E2725" t="str">
            <v>0749</v>
          </cell>
          <cell r="F2725" t="str">
            <v>C5</v>
          </cell>
          <cell r="G2725" t="str">
            <v>SP</v>
          </cell>
          <cell r="H2725" t="str">
            <v>DISTRIBUIÇÃO</v>
          </cell>
          <cell r="I2725" t="str">
            <v>FOOD SERVICE</v>
          </cell>
          <cell r="J2725" t="str">
            <v>FLAC 3</v>
          </cell>
          <cell r="K2725" t="str">
            <v>LACTALIS</v>
          </cell>
          <cell r="L2725" t="str">
            <v>RODRIGO</v>
          </cell>
          <cell r="M2725" t="str">
            <v>ALEXANDRO</v>
          </cell>
        </row>
        <row r="2726">
          <cell r="B2726">
            <v>5360075</v>
          </cell>
          <cell r="C2726" t="str">
            <v>FERRARA CAFE LTDA</v>
          </cell>
          <cell r="D2726">
            <v>7001</v>
          </cell>
          <cell r="E2726" t="str">
            <v>0749</v>
          </cell>
          <cell r="F2726" t="str">
            <v>C5</v>
          </cell>
          <cell r="G2726" t="str">
            <v>SP</v>
          </cell>
          <cell r="H2726" t="str">
            <v>DISTRIBUIÇÃO</v>
          </cell>
          <cell r="I2726" t="str">
            <v>FOOD SERVICE</v>
          </cell>
          <cell r="J2726" t="str">
            <v>FLAC 3</v>
          </cell>
          <cell r="K2726" t="str">
            <v>LACTALIS</v>
          </cell>
          <cell r="L2726" t="str">
            <v>RODRIGO</v>
          </cell>
          <cell r="M2726" t="str">
            <v>ALEXANDRO</v>
          </cell>
        </row>
        <row r="2727">
          <cell r="B2727">
            <v>5157986</v>
          </cell>
          <cell r="C2727" t="str">
            <v>INDUSTRIA E COM DE PROD ALIM GELONI</v>
          </cell>
          <cell r="D2727" t="str">
            <v>3001</v>
          </cell>
          <cell r="E2727" t="str">
            <v>0126</v>
          </cell>
          <cell r="F2727" t="str">
            <v>C1</v>
          </cell>
          <cell r="G2727" t="str">
            <v>PR</v>
          </cell>
          <cell r="H2727" t="str">
            <v>INGREDIENTS</v>
          </cell>
          <cell r="I2727" t="str">
            <v>INGREDIENTS</v>
          </cell>
          <cell r="J2727" t="str">
            <v>JOEL ELEOTÉRIO</v>
          </cell>
          <cell r="K2727" t="str">
            <v>ITAMBÉ</v>
          </cell>
          <cell r="L2727" t="str">
            <v>MAURICIO</v>
          </cell>
          <cell r="M2727" t="str">
            <v>JOEL</v>
          </cell>
        </row>
        <row r="2728">
          <cell r="B2728">
            <v>5360437</v>
          </cell>
          <cell r="C2728" t="str">
            <v>BEZERRA COMER DE PRODU ALIMEN E</v>
          </cell>
          <cell r="D2728" t="str">
            <v>7001</v>
          </cell>
          <cell r="E2728" t="str">
            <v>0749</v>
          </cell>
          <cell r="F2728" t="str">
            <v>C5</v>
          </cell>
          <cell r="G2728" t="str">
            <v>SP</v>
          </cell>
          <cell r="H2728" t="str">
            <v>DISTRIBUIÇÃO</v>
          </cell>
          <cell r="I2728" t="str">
            <v>FOOD SERVICE</v>
          </cell>
          <cell r="J2728" t="str">
            <v>FLAC 4</v>
          </cell>
          <cell r="K2728" t="str">
            <v>LACTALIS</v>
          </cell>
          <cell r="L2728" t="str">
            <v>RODRIGO</v>
          </cell>
          <cell r="M2728" t="str">
            <v>ALEXANDRO</v>
          </cell>
        </row>
        <row r="2729">
          <cell r="B2729">
            <v>5360547</v>
          </cell>
          <cell r="C2729" t="str">
            <v>ATRIO HOTEIS S A</v>
          </cell>
          <cell r="D2729" t="str">
            <v>7001</v>
          </cell>
          <cell r="E2729" t="str">
            <v>0749</v>
          </cell>
          <cell r="F2729" t="str">
            <v>C5</v>
          </cell>
          <cell r="G2729" t="str">
            <v>SP</v>
          </cell>
          <cell r="H2729" t="str">
            <v>DISTRIBUIÇÃO</v>
          </cell>
          <cell r="I2729" t="str">
            <v>FOOD SERVICE</v>
          </cell>
          <cell r="J2729" t="str">
            <v>FLAC 5</v>
          </cell>
          <cell r="K2729" t="str">
            <v>LACTALIS</v>
          </cell>
          <cell r="L2729" t="str">
            <v>RODRIGO</v>
          </cell>
          <cell r="M2729" t="str">
            <v>ALEXANDRO</v>
          </cell>
        </row>
        <row r="2730">
          <cell r="B2730">
            <v>5198276</v>
          </cell>
          <cell r="C2730" t="str">
            <v>GABRIEL SECCHIM DA SILVA SORV E DIS</v>
          </cell>
          <cell r="D2730" t="str">
            <v>6001</v>
          </cell>
          <cell r="E2730" t="str">
            <v>6169</v>
          </cell>
          <cell r="F2730" t="str">
            <v>C1</v>
          </cell>
          <cell r="G2730" t="str">
            <v>ES</v>
          </cell>
          <cell r="H2730" t="str">
            <v>DISTRIBUIÇÃO</v>
          </cell>
          <cell r="I2730" t="str">
            <v>FOOD SERVICE</v>
          </cell>
          <cell r="J2730" t="str">
            <v>MARCELO DUARTE</v>
          </cell>
          <cell r="K2730" t="str">
            <v>ITAMBÉ</v>
          </cell>
          <cell r="L2730" t="str">
            <v>RODRIGO</v>
          </cell>
          <cell r="M2730" t="str">
            <v>JESSICA</v>
          </cell>
        </row>
        <row r="2731">
          <cell r="B2731">
            <v>5357980</v>
          </cell>
          <cell r="C2731" t="str">
            <v>PADARIA ARTESANAL PAN DINIZ LTDA</v>
          </cell>
          <cell r="D2731" t="str">
            <v>7001</v>
          </cell>
          <cell r="E2731" t="str">
            <v>0749</v>
          </cell>
          <cell r="F2731" t="str">
            <v>C5</v>
          </cell>
          <cell r="G2731" t="str">
            <v>SP</v>
          </cell>
          <cell r="H2731" t="str">
            <v>DISTRIBUIÇÃO</v>
          </cell>
          <cell r="I2731" t="str">
            <v>FOOD SERVICE</v>
          </cell>
          <cell r="J2731" t="str">
            <v>FLAC 6</v>
          </cell>
          <cell r="K2731" t="str">
            <v>LACTALIS</v>
          </cell>
          <cell r="L2731" t="str">
            <v>RODRIGO</v>
          </cell>
          <cell r="M2731" t="str">
            <v>ALEXANDRO</v>
          </cell>
        </row>
        <row r="2732">
          <cell r="B2732">
            <v>5359623</v>
          </cell>
          <cell r="C2732" t="str">
            <v>BLUX AMERICA DO SUL COM DIST E IMP</v>
          </cell>
          <cell r="D2732">
            <v>3001</v>
          </cell>
          <cell r="E2732" t="str">
            <v>0123</v>
          </cell>
          <cell r="F2732" t="str">
            <v>C1</v>
          </cell>
          <cell r="G2732" t="str">
            <v>GO</v>
          </cell>
          <cell r="H2732" t="str">
            <v>DISTRIBUIÇÃO</v>
          </cell>
          <cell r="I2732" t="str">
            <v>FOOD SERVICE</v>
          </cell>
          <cell r="J2732" t="str">
            <v>CLAUDIO JORGE</v>
          </cell>
          <cell r="K2732" t="str">
            <v>ITAMBÉ</v>
          </cell>
          <cell r="L2732" t="str">
            <v>RODRIGO</v>
          </cell>
          <cell r="M2732" t="str">
            <v>MARCO AURELIO</v>
          </cell>
        </row>
        <row r="2733">
          <cell r="B2733">
            <v>5011045</v>
          </cell>
          <cell r="C2733" t="str">
            <v>AGRICOLA HORIZONTE LTDA</v>
          </cell>
          <cell r="D2733" t="str">
            <v>4001</v>
          </cell>
          <cell r="E2733" t="str">
            <v>0455</v>
          </cell>
          <cell r="F2733" t="str">
            <v>C1</v>
          </cell>
          <cell r="G2733" t="str">
            <v>PR</v>
          </cell>
          <cell r="H2733" t="str">
            <v>INGREDIENTS</v>
          </cell>
          <cell r="I2733" t="str">
            <v>INGREDIENTS</v>
          </cell>
          <cell r="J2733" t="str">
            <v>MARCELO RODRIGUES</v>
          </cell>
          <cell r="K2733" t="str">
            <v>LACTALIS</v>
          </cell>
          <cell r="L2733" t="str">
            <v>MAURICIO</v>
          </cell>
          <cell r="M2733" t="str">
            <v>MARCELO</v>
          </cell>
        </row>
        <row r="2734">
          <cell r="B2734">
            <v>5284751</v>
          </cell>
          <cell r="C2734" t="str">
            <v>LATICINIO MARIANNA LTDA</v>
          </cell>
          <cell r="D2734" t="str">
            <v>4001</v>
          </cell>
          <cell r="E2734" t="str">
            <v>0423</v>
          </cell>
          <cell r="F2734" t="str">
            <v>C5</v>
          </cell>
          <cell r="G2734" t="str">
            <v>BA</v>
          </cell>
          <cell r="H2734" t="str">
            <v>INGREDIENTS</v>
          </cell>
          <cell r="I2734" t="str">
            <v>INGREDIENTS</v>
          </cell>
          <cell r="J2734" t="str">
            <v>DLUM</v>
          </cell>
          <cell r="K2734" t="str">
            <v>LACTALIS</v>
          </cell>
          <cell r="L2734" t="str">
            <v>MAURICIO</v>
          </cell>
          <cell r="M2734" t="str">
            <v>JOEL</v>
          </cell>
        </row>
        <row r="2735">
          <cell r="B2735">
            <v>5320058</v>
          </cell>
          <cell r="C2735" t="str">
            <v>51078089 ANA CLAUDIA MERCADO LEBRAO</v>
          </cell>
          <cell r="D2735" t="str">
            <v>7001</v>
          </cell>
          <cell r="E2735" t="str">
            <v>0749</v>
          </cell>
          <cell r="F2735" t="str">
            <v>C5</v>
          </cell>
          <cell r="G2735" t="str">
            <v>SP</v>
          </cell>
          <cell r="H2735" t="str">
            <v>DISTRIBUIÇÃO</v>
          </cell>
          <cell r="I2735" t="str">
            <v>FOOD SERVICE</v>
          </cell>
          <cell r="J2735" t="str">
            <v>FLAC 4</v>
          </cell>
          <cell r="K2735" t="str">
            <v>LACTALIS</v>
          </cell>
          <cell r="L2735" t="str">
            <v>RODRIGO</v>
          </cell>
          <cell r="M2735" t="str">
            <v>ALEXANDRO</v>
          </cell>
        </row>
        <row r="2736">
          <cell r="B2736">
            <v>5360740</v>
          </cell>
          <cell r="C2736" t="str">
            <v>SUPERLAC INDUSTRIA E COME DE ALIMEN</v>
          </cell>
          <cell r="D2736" t="str">
            <v>4001</v>
          </cell>
          <cell r="E2736" t="str">
            <v>0437</v>
          </cell>
          <cell r="F2736" t="str">
            <v>C1</v>
          </cell>
          <cell r="G2736" t="str">
            <v>RN</v>
          </cell>
          <cell r="H2736" t="str">
            <v>INGREDIENTS</v>
          </cell>
          <cell r="I2736" t="str">
            <v>INGREDIENTS</v>
          </cell>
          <cell r="J2736" t="str">
            <v>JOEL ELEOTÉRIO</v>
          </cell>
          <cell r="K2736" t="str">
            <v>LACTALIS</v>
          </cell>
          <cell r="L2736" t="str">
            <v>MAURICIO</v>
          </cell>
          <cell r="M2736" t="str">
            <v>JOEL</v>
          </cell>
        </row>
        <row r="2737">
          <cell r="B2737">
            <v>5217104</v>
          </cell>
          <cell r="C2737" t="str">
            <v>CAKE SWEET AND SUGAR ATELIE DE DOC</v>
          </cell>
          <cell r="D2737" t="str">
            <v>7001</v>
          </cell>
          <cell r="E2737" t="str">
            <v>0749</v>
          </cell>
          <cell r="F2737" t="str">
            <v>C5</v>
          </cell>
          <cell r="G2737" t="str">
            <v>SP</v>
          </cell>
          <cell r="H2737" t="str">
            <v>DISTRIBUIÇÃO</v>
          </cell>
          <cell r="I2737" t="str">
            <v>FOOD SERVICE</v>
          </cell>
          <cell r="J2737" t="str">
            <v>FLAC 5</v>
          </cell>
          <cell r="K2737" t="str">
            <v>LACTALIS</v>
          </cell>
          <cell r="L2737" t="str">
            <v>RODRIGO</v>
          </cell>
          <cell r="M2737" t="str">
            <v>ALEXANDRO</v>
          </cell>
        </row>
        <row r="2738">
          <cell r="B2738">
            <v>5360779</v>
          </cell>
          <cell r="C2738" t="str">
            <v>SALT E PEPE RESTAURANTE LTDA</v>
          </cell>
          <cell r="D2738" t="str">
            <v>7001</v>
          </cell>
          <cell r="E2738" t="str">
            <v>0749</v>
          </cell>
          <cell r="F2738" t="str">
            <v>C5</v>
          </cell>
          <cell r="G2738" t="str">
            <v>SP</v>
          </cell>
          <cell r="H2738" t="str">
            <v>DISTRIBUIÇÃO</v>
          </cell>
          <cell r="I2738" t="str">
            <v>FOOD SERVICE</v>
          </cell>
          <cell r="J2738" t="str">
            <v>FLAC 2</v>
          </cell>
          <cell r="K2738" t="str">
            <v>LACTALIS</v>
          </cell>
          <cell r="L2738" t="str">
            <v>RODRIGO</v>
          </cell>
          <cell r="M2738" t="str">
            <v>ALEXANDRO</v>
          </cell>
        </row>
        <row r="2739">
          <cell r="B2739">
            <v>5169659</v>
          </cell>
          <cell r="C2739" t="str">
            <v>DELICIOUS EVENTOS LTDA</v>
          </cell>
          <cell r="D2739">
            <v>7001</v>
          </cell>
          <cell r="E2739" t="str">
            <v>0749</v>
          </cell>
          <cell r="F2739" t="str">
            <v>C5</v>
          </cell>
          <cell r="G2739" t="str">
            <v>SP</v>
          </cell>
          <cell r="H2739" t="str">
            <v>DISTRIBUIÇÃO</v>
          </cell>
          <cell r="I2739" t="str">
            <v>FOOD SERVICE</v>
          </cell>
          <cell r="J2739" t="str">
            <v>FLAC 3</v>
          </cell>
          <cell r="K2739" t="str">
            <v>LACTALIS</v>
          </cell>
          <cell r="L2739" t="str">
            <v>RODRIGO</v>
          </cell>
          <cell r="M2739" t="str">
            <v>ALEXANDRO</v>
          </cell>
        </row>
        <row r="2740">
          <cell r="B2740">
            <v>5360457</v>
          </cell>
          <cell r="C2740" t="str">
            <v>BELLAS MASSAS COMERCIO DE ALIMENTOS</v>
          </cell>
          <cell r="D2740">
            <v>7001</v>
          </cell>
          <cell r="E2740" t="str">
            <v>0749</v>
          </cell>
          <cell r="F2740" t="str">
            <v>C5</v>
          </cell>
          <cell r="G2740" t="str">
            <v>SP</v>
          </cell>
          <cell r="H2740" t="str">
            <v>DISTRIBUIÇÃO</v>
          </cell>
          <cell r="I2740" t="str">
            <v>FOOD SERVICE</v>
          </cell>
          <cell r="J2740" t="str">
            <v>FLAC 3</v>
          </cell>
          <cell r="K2740" t="str">
            <v>LACTALIS</v>
          </cell>
          <cell r="L2740" t="str">
            <v>RODRIGO</v>
          </cell>
          <cell r="M2740" t="str">
            <v>ALEXANDRO</v>
          </cell>
        </row>
        <row r="2741">
          <cell r="B2741">
            <v>5360682</v>
          </cell>
          <cell r="C2741" t="str">
            <v>HFW INFORMATICA TECNOLOGIA LTDA</v>
          </cell>
          <cell r="D2741">
            <v>7001</v>
          </cell>
          <cell r="E2741" t="str">
            <v>0749</v>
          </cell>
          <cell r="F2741" t="str">
            <v>C5</v>
          </cell>
          <cell r="G2741" t="str">
            <v>SP</v>
          </cell>
          <cell r="H2741" t="str">
            <v>DISTRIBUIÇÃO</v>
          </cell>
          <cell r="I2741" t="str">
            <v>FOOD SERVICE</v>
          </cell>
          <cell r="J2741" t="str">
            <v>FLAC 2</v>
          </cell>
          <cell r="K2741" t="str">
            <v>LACTALIS</v>
          </cell>
          <cell r="L2741" t="str">
            <v>RODRIGO</v>
          </cell>
          <cell r="M2741" t="str">
            <v>ALEXANDRO</v>
          </cell>
        </row>
        <row r="2742">
          <cell r="B2742">
            <v>5347235</v>
          </cell>
          <cell r="C2742" t="str">
            <v>34318363 CLAUDETE SILVA DE OLIVEIRA</v>
          </cell>
          <cell r="D2742">
            <v>6001</v>
          </cell>
          <cell r="E2742">
            <v>6028</v>
          </cell>
          <cell r="F2742" t="str">
            <v>C1</v>
          </cell>
          <cell r="G2742" t="str">
            <v>SP</v>
          </cell>
          <cell r="H2742" t="str">
            <v>INGREDIENTS</v>
          </cell>
          <cell r="I2742" t="str">
            <v>INGREDIENTS</v>
          </cell>
          <cell r="J2742" t="str">
            <v>DUAS RODAS</v>
          </cell>
          <cell r="K2742" t="str">
            <v>ITAMBÉ</v>
          </cell>
          <cell r="L2742" t="str">
            <v>MAURICIO</v>
          </cell>
          <cell r="M2742" t="str">
            <v>TATIANA NITTA</v>
          </cell>
        </row>
        <row r="2743">
          <cell r="B2743">
            <v>5225860</v>
          </cell>
          <cell r="C2743" t="str">
            <v>DISPAN DISTRIBUIDORA DE ALIMENTOS</v>
          </cell>
          <cell r="D2743" t="str">
            <v>6001</v>
          </cell>
          <cell r="E2743" t="str">
            <v>0127</v>
          </cell>
          <cell r="F2743" t="str">
            <v>C1</v>
          </cell>
          <cell r="G2743" t="str">
            <v>PE</v>
          </cell>
          <cell r="H2743" t="str">
            <v>DISTRIBUIÇÃO</v>
          </cell>
          <cell r="I2743" t="str">
            <v>FOOD SERVICE</v>
          </cell>
          <cell r="J2743" t="str">
            <v>CLAUDIO JORGE/AMANDA SANDS</v>
          </cell>
          <cell r="K2743" t="str">
            <v>LACTALIS</v>
          </cell>
          <cell r="L2743" t="str">
            <v>RODRIGO</v>
          </cell>
          <cell r="M2743" t="str">
            <v>VAGO NORDESTE</v>
          </cell>
        </row>
        <row r="2744">
          <cell r="B2744">
            <v>5360679</v>
          </cell>
          <cell r="C2744" t="str">
            <v>TRASTEVERI RESTAURANTE LTDA</v>
          </cell>
          <cell r="D2744" t="str">
            <v>7001</v>
          </cell>
          <cell r="E2744" t="str">
            <v>0749</v>
          </cell>
          <cell r="F2744" t="str">
            <v>C5</v>
          </cell>
          <cell r="G2744" t="str">
            <v>SP</v>
          </cell>
          <cell r="H2744" t="str">
            <v>DISTRIBUIÇÃO</v>
          </cell>
          <cell r="I2744" t="str">
            <v>FOOD SERVICE</v>
          </cell>
          <cell r="J2744" t="str">
            <v>FLAC 6</v>
          </cell>
          <cell r="K2744" t="str">
            <v>LACTALIS</v>
          </cell>
          <cell r="L2744" t="str">
            <v>RODRIGO</v>
          </cell>
          <cell r="M2744" t="str">
            <v>ALEXANDRO</v>
          </cell>
        </row>
        <row r="2745">
          <cell r="B2745">
            <v>5278288</v>
          </cell>
          <cell r="C2745" t="str">
            <v>FAZENDA DOS PAES CONVENIENCIAS LTDA</v>
          </cell>
          <cell r="D2745" t="str">
            <v>7001</v>
          </cell>
          <cell r="E2745" t="str">
            <v>0749</v>
          </cell>
          <cell r="F2745" t="str">
            <v>C5</v>
          </cell>
          <cell r="G2745" t="str">
            <v>SP</v>
          </cell>
          <cell r="H2745" t="str">
            <v>DISTRIBUIÇÃO</v>
          </cell>
          <cell r="I2745" t="str">
            <v>FOOD SERVICE</v>
          </cell>
          <cell r="J2745" t="str">
            <v>FLAC 10</v>
          </cell>
          <cell r="K2745" t="str">
            <v>LACTALIS</v>
          </cell>
          <cell r="L2745" t="str">
            <v>RODRIGO</v>
          </cell>
          <cell r="M2745" t="str">
            <v>ALEXANDRO</v>
          </cell>
        </row>
        <row r="2746">
          <cell r="B2746">
            <v>5323712</v>
          </cell>
          <cell r="C2746" t="str">
            <v>LATICINIOS REZENDE LTDA</v>
          </cell>
          <cell r="D2746" t="str">
            <v>3001</v>
          </cell>
          <cell r="E2746" t="str">
            <v>0028</v>
          </cell>
          <cell r="F2746" t="str">
            <v>C1</v>
          </cell>
          <cell r="G2746" t="str">
            <v>SE</v>
          </cell>
          <cell r="H2746" t="str">
            <v>INGREDIENTS</v>
          </cell>
          <cell r="I2746" t="str">
            <v>INGREDIENTS</v>
          </cell>
          <cell r="J2746" t="str">
            <v>JOEL ELEOTÉRIO</v>
          </cell>
          <cell r="K2746" t="str">
            <v>ITAMBÉ</v>
          </cell>
          <cell r="L2746" t="str">
            <v>MAURICIO</v>
          </cell>
          <cell r="M2746" t="str">
            <v>JOEL</v>
          </cell>
        </row>
        <row r="2747">
          <cell r="B2747">
            <v>5345440</v>
          </cell>
          <cell r="C2747" t="str">
            <v>FORMENTON ATACADISTA DE FRIOS L</v>
          </cell>
          <cell r="D2747" t="str">
            <v>7001</v>
          </cell>
          <cell r="E2747" t="str">
            <v>0722</v>
          </cell>
          <cell r="F2747" t="str">
            <v>C1</v>
          </cell>
          <cell r="G2747" t="str">
            <v>SP</v>
          </cell>
          <cell r="H2747" t="str">
            <v>DISTRIBUIÇÃO</v>
          </cell>
          <cell r="I2747" t="str">
            <v>FOOD SERVICE</v>
          </cell>
          <cell r="J2747" t="str">
            <v>EMMANUEL FRANCISCO</v>
          </cell>
          <cell r="K2747" t="str">
            <v>LACTALIS</v>
          </cell>
          <cell r="L2747" t="str">
            <v>RODRIGO</v>
          </cell>
          <cell r="M2747" t="str">
            <v>VAGO SP - INTERIOR</v>
          </cell>
        </row>
        <row r="2748">
          <cell r="B2748">
            <v>5348489</v>
          </cell>
          <cell r="C2748" t="str">
            <v>TREVI RESTAURANTE LTDA</v>
          </cell>
          <cell r="D2748" t="str">
            <v>7001</v>
          </cell>
          <cell r="E2748" t="str">
            <v>0749</v>
          </cell>
          <cell r="F2748" t="str">
            <v>C5</v>
          </cell>
          <cell r="G2748" t="str">
            <v>SP</v>
          </cell>
          <cell r="H2748" t="str">
            <v>DISTRIBUIÇÃO</v>
          </cell>
          <cell r="I2748" t="str">
            <v>FOOD SERVICE</v>
          </cell>
          <cell r="J2748" t="str">
            <v>FLAC 6</v>
          </cell>
          <cell r="K2748" t="str">
            <v>LACTALIS</v>
          </cell>
          <cell r="L2748" t="str">
            <v>RODRIGO</v>
          </cell>
          <cell r="M2748" t="str">
            <v>ALEXANDRO</v>
          </cell>
        </row>
        <row r="2749">
          <cell r="B2749">
            <v>5360073</v>
          </cell>
          <cell r="C2749" t="str">
            <v>BASE ALIMENTOS BRASIL LTDA</v>
          </cell>
          <cell r="D2749" t="str">
            <v>4001</v>
          </cell>
          <cell r="E2749" t="str">
            <v>0423</v>
          </cell>
          <cell r="F2749" t="str">
            <v>C5</v>
          </cell>
          <cell r="G2749" t="str">
            <v>MG</v>
          </cell>
          <cell r="H2749" t="str">
            <v>INGREDIENTS</v>
          </cell>
          <cell r="I2749" t="str">
            <v>INGREDIENTS</v>
          </cell>
          <cell r="J2749" t="str">
            <v>DLUM</v>
          </cell>
          <cell r="K2749" t="str">
            <v>LACTALIS</v>
          </cell>
          <cell r="L2749" t="str">
            <v>MAURICIO</v>
          </cell>
          <cell r="M2749" t="str">
            <v>JOEL</v>
          </cell>
        </row>
        <row r="2750">
          <cell r="B2750">
            <v>5360546</v>
          </cell>
          <cell r="C2750" t="str">
            <v>PATRICIA ARONI 39560531840</v>
          </cell>
          <cell r="D2750" t="str">
            <v>7001</v>
          </cell>
          <cell r="E2750" t="str">
            <v>0749</v>
          </cell>
          <cell r="F2750" t="str">
            <v>C5</v>
          </cell>
          <cell r="G2750" t="str">
            <v>SP</v>
          </cell>
          <cell r="H2750" t="str">
            <v>DISTRIBUIÇÃO</v>
          </cell>
          <cell r="I2750" t="str">
            <v>FOOD SERVICE</v>
          </cell>
          <cell r="J2750" t="str">
            <v>FLAC 5</v>
          </cell>
          <cell r="K2750" t="str">
            <v>LACTALIS</v>
          </cell>
          <cell r="L2750" t="str">
            <v>RODRIGO</v>
          </cell>
          <cell r="M2750" t="str">
            <v>ALEXANDRO</v>
          </cell>
        </row>
        <row r="2751">
          <cell r="B2751">
            <v>5360902</v>
          </cell>
          <cell r="C2751" t="str">
            <v>K2 EVENTOS E PRODUCOES LTDA</v>
          </cell>
          <cell r="D2751" t="str">
            <v>7001</v>
          </cell>
          <cell r="E2751" t="str">
            <v>0749</v>
          </cell>
          <cell r="F2751" t="str">
            <v>C5</v>
          </cell>
          <cell r="G2751" t="str">
            <v>SP</v>
          </cell>
          <cell r="H2751" t="str">
            <v>DISTRIBUIÇÃO</v>
          </cell>
          <cell r="I2751" t="str">
            <v>FOOD SERVICE</v>
          </cell>
          <cell r="J2751" t="str">
            <v>FLAC 2</v>
          </cell>
          <cell r="K2751" t="str">
            <v>LACTALIS</v>
          </cell>
          <cell r="L2751" t="str">
            <v>RODRIGO</v>
          </cell>
          <cell r="M2751" t="str">
            <v>ALEXANDRO</v>
          </cell>
        </row>
        <row r="2752">
          <cell r="B2752">
            <v>5360955</v>
          </cell>
          <cell r="C2752" t="str">
            <v>LANCHONETE BIL BURGER LTDA</v>
          </cell>
          <cell r="D2752">
            <v>7001</v>
          </cell>
          <cell r="E2752" t="str">
            <v>0749</v>
          </cell>
          <cell r="F2752" t="str">
            <v>C5</v>
          </cell>
          <cell r="G2752" t="str">
            <v>SP</v>
          </cell>
          <cell r="H2752" t="str">
            <v>DISTRIBUIÇÃO</v>
          </cell>
          <cell r="I2752" t="str">
            <v>FOOD SERVICE</v>
          </cell>
          <cell r="J2752" t="str">
            <v>FLAC 4</v>
          </cell>
          <cell r="K2752" t="str">
            <v>LACTALIS</v>
          </cell>
          <cell r="L2752" t="str">
            <v>RODRIGO</v>
          </cell>
          <cell r="M2752" t="str">
            <v>ALEXANDRO</v>
          </cell>
        </row>
        <row r="2753">
          <cell r="B2753">
            <v>5360961</v>
          </cell>
          <cell r="C2753" t="str">
            <v>60193602 ANGELA MARIA SILVA DOS SAN</v>
          </cell>
          <cell r="D2753">
            <v>7001</v>
          </cell>
          <cell r="E2753" t="str">
            <v>0749</v>
          </cell>
          <cell r="F2753" t="str">
            <v>C5</v>
          </cell>
          <cell r="G2753" t="str">
            <v>SP</v>
          </cell>
          <cell r="H2753" t="str">
            <v>DISTRIBUIÇÃO</v>
          </cell>
          <cell r="I2753" t="str">
            <v>FOOD SERVICE</v>
          </cell>
          <cell r="J2753" t="str">
            <v>FLAC 5</v>
          </cell>
          <cell r="K2753" t="str">
            <v>LACTALIS</v>
          </cell>
          <cell r="L2753" t="str">
            <v>RODRIGO</v>
          </cell>
          <cell r="M2753" t="str">
            <v>ALEXANDRO</v>
          </cell>
        </row>
        <row r="2754">
          <cell r="B2754">
            <v>5360488</v>
          </cell>
          <cell r="C2754" t="str">
            <v>PAES E DOCES SENNA DE G LTDA</v>
          </cell>
          <cell r="D2754">
            <v>7001</v>
          </cell>
          <cell r="E2754" t="str">
            <v>0749</v>
          </cell>
          <cell r="F2754" t="str">
            <v>C5</v>
          </cell>
          <cell r="G2754" t="str">
            <v>SP</v>
          </cell>
          <cell r="H2754" t="str">
            <v>DISTRIBUIÇÃO</v>
          </cell>
          <cell r="I2754" t="str">
            <v>FOOD SERVICE</v>
          </cell>
          <cell r="J2754" t="str">
            <v>FLAC 4</v>
          </cell>
          <cell r="K2754" t="str">
            <v>LACTALIS</v>
          </cell>
          <cell r="L2754" t="str">
            <v>RODRIGO</v>
          </cell>
          <cell r="M2754" t="str">
            <v>ALEXANDRO</v>
          </cell>
        </row>
        <row r="2755">
          <cell r="B2755">
            <v>5357819</v>
          </cell>
          <cell r="C2755" t="str">
            <v>RICH DO BRASIL LTDA</v>
          </cell>
          <cell r="D2755">
            <v>4001</v>
          </cell>
          <cell r="E2755" t="str">
            <v>0437</v>
          </cell>
          <cell r="F2755" t="str">
            <v>C1</v>
          </cell>
          <cell r="G2755" t="str">
            <v>SP</v>
          </cell>
          <cell r="H2755" t="str">
            <v>INGREDIENTS</v>
          </cell>
          <cell r="I2755" t="str">
            <v>INGREDIENTS</v>
          </cell>
          <cell r="J2755" t="str">
            <v>MARCELO RODRIGUES</v>
          </cell>
          <cell r="K2755" t="str">
            <v>LACTALIS</v>
          </cell>
          <cell r="L2755" t="str">
            <v>MAURICIO</v>
          </cell>
          <cell r="M2755" t="str">
            <v>MARCELO</v>
          </cell>
        </row>
        <row r="2756">
          <cell r="B2756">
            <v>5157839</v>
          </cell>
          <cell r="C2756" t="str">
            <v>SAPORE SA</v>
          </cell>
          <cell r="D2756">
            <v>7001</v>
          </cell>
          <cell r="E2756" t="str">
            <v>0749</v>
          </cell>
          <cell r="F2756" t="str">
            <v>C1</v>
          </cell>
          <cell r="G2756" t="str">
            <v>SP</v>
          </cell>
          <cell r="H2756" t="str">
            <v>QSR</v>
          </cell>
          <cell r="I2756" t="str">
            <v>FOOD SERVICE</v>
          </cell>
          <cell r="J2756" t="str">
            <v>NUTRI</v>
          </cell>
          <cell r="K2756" t="str">
            <v>LACTALIS</v>
          </cell>
          <cell r="L2756" t="str">
            <v>PEDRO</v>
          </cell>
          <cell r="M2756" t="str">
            <v>AMANDA</v>
          </cell>
        </row>
        <row r="2757">
          <cell r="B2757">
            <v>5015298</v>
          </cell>
          <cell r="C2757" t="str">
            <v>CASA DA PANI COM DE PROD PARA P</v>
          </cell>
          <cell r="D2757" t="str">
            <v>7001</v>
          </cell>
          <cell r="E2757" t="str">
            <v>0737</v>
          </cell>
          <cell r="F2757" t="str">
            <v>C1</v>
          </cell>
          <cell r="G2757" t="str">
            <v>SC</v>
          </cell>
          <cell r="H2757" t="str">
            <v>DISTRIBUIÇÃO</v>
          </cell>
          <cell r="I2757" t="str">
            <v>FOOD SERVICE</v>
          </cell>
          <cell r="J2757" t="str">
            <v>ANTÔNIO SOUZA</v>
          </cell>
          <cell r="K2757" t="str">
            <v>LACTALIS</v>
          </cell>
          <cell r="L2757" t="str">
            <v>RODRIGO</v>
          </cell>
          <cell r="M2757" t="str">
            <v>VAGO SUL</v>
          </cell>
        </row>
        <row r="2758">
          <cell r="B2758">
            <v>5157839</v>
          </cell>
          <cell r="C2758" t="str">
            <v>SAPORE SA</v>
          </cell>
          <cell r="D2758" t="str">
            <v>7001</v>
          </cell>
          <cell r="E2758" t="str">
            <v>0749</v>
          </cell>
          <cell r="F2758" t="str">
            <v>C5</v>
          </cell>
          <cell r="G2758" t="str">
            <v>SP</v>
          </cell>
          <cell r="H2758" t="str">
            <v>QSR</v>
          </cell>
          <cell r="I2758" t="str">
            <v>FOOD SERVICE</v>
          </cell>
          <cell r="J2758" t="str">
            <v>NUTRI</v>
          </cell>
          <cell r="K2758" t="str">
            <v>LACTALIS</v>
          </cell>
          <cell r="L2758" t="str">
            <v>PEDRO</v>
          </cell>
          <cell r="M2758" t="str">
            <v>AMANDA</v>
          </cell>
        </row>
        <row r="2759">
          <cell r="B2759">
            <v>5167344</v>
          </cell>
          <cell r="C2759" t="str">
            <v>RIO BRANCO ALIMENTOS SA</v>
          </cell>
          <cell r="D2759" t="str">
            <v>4001</v>
          </cell>
          <cell r="E2759" t="str">
            <v>0458</v>
          </cell>
          <cell r="F2759" t="str">
            <v>C1</v>
          </cell>
          <cell r="G2759" t="str">
            <v>MG</v>
          </cell>
          <cell r="H2759" t="str">
            <v>INGREDIENTS</v>
          </cell>
          <cell r="I2759" t="str">
            <v>INGREDIENTS</v>
          </cell>
          <cell r="J2759" t="str">
            <v>JOEL ELEOTÉRIO</v>
          </cell>
          <cell r="K2759" t="str">
            <v>LACTALIS</v>
          </cell>
          <cell r="L2759" t="str">
            <v>MAURICIO</v>
          </cell>
          <cell r="M2759" t="str">
            <v>JOEL</v>
          </cell>
        </row>
        <row r="2760">
          <cell r="B2760">
            <v>5226350</v>
          </cell>
          <cell r="C2760" t="str">
            <v>SOS ALIMENTOS E TRANSPORTES LTD</v>
          </cell>
          <cell r="D2760" t="str">
            <v>7001</v>
          </cell>
          <cell r="E2760" t="str">
            <v>0737</v>
          </cell>
          <cell r="F2760" t="str">
            <v>C1</v>
          </cell>
          <cell r="G2760" t="str">
            <v>SC</v>
          </cell>
          <cell r="H2760" t="str">
            <v>DISTRIBUIÇÃO</v>
          </cell>
          <cell r="I2760" t="str">
            <v>FOOD SERVICE</v>
          </cell>
          <cell r="J2760" t="str">
            <v>ANTÔNIO SOUZA</v>
          </cell>
          <cell r="K2760" t="str">
            <v>LACTALIS</v>
          </cell>
          <cell r="L2760" t="str">
            <v>RODRIGO</v>
          </cell>
          <cell r="M2760" t="str">
            <v>VAGO SUL</v>
          </cell>
        </row>
        <row r="2761">
          <cell r="B2761">
            <v>5278586</v>
          </cell>
          <cell r="C2761" t="str">
            <v>ALGARVE PAES DOCES</v>
          </cell>
          <cell r="D2761" t="str">
            <v>7001</v>
          </cell>
          <cell r="E2761" t="str">
            <v>0749</v>
          </cell>
          <cell r="F2761" t="str">
            <v>C5</v>
          </cell>
          <cell r="G2761" t="str">
            <v>SP</v>
          </cell>
          <cell r="H2761" t="str">
            <v>DISTRIBUIÇÃO</v>
          </cell>
          <cell r="I2761" t="str">
            <v>FOOD SERVICE</v>
          </cell>
          <cell r="J2761" t="str">
            <v>FLAC 10</v>
          </cell>
          <cell r="K2761" t="str">
            <v>LACTALIS</v>
          </cell>
          <cell r="L2761" t="str">
            <v>RODRIGO</v>
          </cell>
          <cell r="M2761" t="str">
            <v>ALEXANDRO</v>
          </cell>
        </row>
        <row r="2762">
          <cell r="B2762">
            <v>5332943</v>
          </cell>
          <cell r="C2762" t="str">
            <v>LE JAZZ BOULEVARD BAR E RESTAUR</v>
          </cell>
          <cell r="D2762" t="str">
            <v>7001</v>
          </cell>
          <cell r="E2762" t="str">
            <v>0749</v>
          </cell>
          <cell r="F2762" t="str">
            <v>C5</v>
          </cell>
          <cell r="G2762" t="str">
            <v>SP</v>
          </cell>
          <cell r="H2762" t="str">
            <v>DISTRIBUIÇÃO</v>
          </cell>
          <cell r="I2762" t="str">
            <v>FOOD SERVICE</v>
          </cell>
          <cell r="J2762" t="str">
            <v>FLAC 5</v>
          </cell>
          <cell r="K2762" t="str">
            <v>LACTALIS</v>
          </cell>
          <cell r="L2762" t="str">
            <v>RODRIGO</v>
          </cell>
          <cell r="M2762" t="str">
            <v>ALEXANDRO</v>
          </cell>
        </row>
        <row r="2763">
          <cell r="B2763">
            <v>5360393</v>
          </cell>
          <cell r="C2763" t="str">
            <v>MADALE RIO PRETO COM DE GEL E D</v>
          </cell>
          <cell r="D2763" t="str">
            <v>7001</v>
          </cell>
          <cell r="E2763" t="str">
            <v>0722</v>
          </cell>
          <cell r="F2763" t="str">
            <v>C1</v>
          </cell>
          <cell r="G2763" t="str">
            <v>SP</v>
          </cell>
          <cell r="H2763" t="str">
            <v>QSR</v>
          </cell>
          <cell r="I2763" t="str">
            <v>FOOD SERVICE</v>
          </cell>
          <cell r="J2763" t="str">
            <v>AMANDA CARVALHO</v>
          </cell>
          <cell r="K2763" t="str">
            <v>LACTALIS</v>
          </cell>
          <cell r="L2763" t="str">
            <v>PEDRO</v>
          </cell>
          <cell r="M2763" t="str">
            <v>AMANDA</v>
          </cell>
        </row>
        <row r="2764">
          <cell r="B2764">
            <v>5360926</v>
          </cell>
          <cell r="C2764" t="str">
            <v>MISTER DISTRIBUIDORA LTDA</v>
          </cell>
          <cell r="D2764" t="str">
            <v>3001</v>
          </cell>
          <cell r="E2764" t="str">
            <v>0028</v>
          </cell>
          <cell r="F2764" t="str">
            <v>C1</v>
          </cell>
          <cell r="G2764" t="str">
            <v>MA</v>
          </cell>
          <cell r="H2764" t="str">
            <v>INGREDIENTS</v>
          </cell>
          <cell r="I2764" t="str">
            <v>INGREDIENTS</v>
          </cell>
          <cell r="J2764" t="str">
            <v>HENRIQUE FERREIRA</v>
          </cell>
          <cell r="K2764" t="str">
            <v>ITAMBÉ</v>
          </cell>
          <cell r="L2764" t="str">
            <v>MAURICIO</v>
          </cell>
          <cell r="M2764" t="str">
            <v>JOEL</v>
          </cell>
        </row>
        <row r="2765">
          <cell r="B2765">
            <v>5361023</v>
          </cell>
          <cell r="C2765" t="str">
            <v>40027537 DANIELE FERNANDA MARTINS PIZA</v>
          </cell>
          <cell r="D2765" t="str">
            <v>6001</v>
          </cell>
          <cell r="E2765" t="str">
            <v>6028</v>
          </cell>
          <cell r="F2765" t="str">
            <v>C1</v>
          </cell>
          <cell r="G2765" t="str">
            <v>SP</v>
          </cell>
          <cell r="H2765" t="str">
            <v>INGREDIENTS</v>
          </cell>
          <cell r="I2765" t="str">
            <v>INGREDIENTS</v>
          </cell>
          <cell r="J2765" t="str">
            <v>TATIANA NITTA</v>
          </cell>
          <cell r="K2765" t="str">
            <v>ITAMBÉ</v>
          </cell>
          <cell r="L2765" t="str">
            <v>MAURICIO</v>
          </cell>
          <cell r="M2765" t="str">
            <v>TATIANA NITTA</v>
          </cell>
        </row>
        <row r="2766">
          <cell r="B2766">
            <v>5347474</v>
          </cell>
          <cell r="C2766" t="str">
            <v>COM DE ALIM TOP PRECOS DE DIA L</v>
          </cell>
          <cell r="D2766" t="str">
            <v>7001</v>
          </cell>
          <cell r="E2766" t="str">
            <v>0749</v>
          </cell>
          <cell r="F2766" t="str">
            <v>C5</v>
          </cell>
          <cell r="G2766" t="str">
            <v>SP</v>
          </cell>
          <cell r="H2766" t="str">
            <v>DISTRIBUIÇÃO</v>
          </cell>
          <cell r="I2766" t="str">
            <v>FOOD SERVICE</v>
          </cell>
          <cell r="J2766" t="str">
            <v>FLAC 2</v>
          </cell>
          <cell r="K2766" t="str">
            <v>LACTALIS</v>
          </cell>
          <cell r="L2766" t="str">
            <v>RODRIGO</v>
          </cell>
          <cell r="M2766" t="str">
            <v>ALEXANDRO</v>
          </cell>
        </row>
        <row r="2767">
          <cell r="B2767">
            <v>5360872</v>
          </cell>
          <cell r="C2767" t="str">
            <v>LIVIA CARVALHO PRESTES 52969530</v>
          </cell>
          <cell r="D2767" t="str">
            <v>7001</v>
          </cell>
          <cell r="E2767" t="str">
            <v>0749</v>
          </cell>
          <cell r="F2767" t="str">
            <v>C5</v>
          </cell>
          <cell r="G2767" t="str">
            <v>SP</v>
          </cell>
          <cell r="H2767" t="str">
            <v>DISTRIBUIÇÃO</v>
          </cell>
          <cell r="I2767" t="str">
            <v>FOOD SERVICE</v>
          </cell>
          <cell r="J2767" t="str">
            <v>FLAC 2</v>
          </cell>
          <cell r="K2767" t="str">
            <v>LACTALIS</v>
          </cell>
          <cell r="L2767" t="str">
            <v>RODRIGO</v>
          </cell>
          <cell r="M2767" t="str">
            <v>ALEXANDRO</v>
          </cell>
        </row>
        <row r="2768">
          <cell r="B2768">
            <v>5361107</v>
          </cell>
          <cell r="C2768" t="str">
            <v>MOINHO PETINHO INDUSTRIA E COME</v>
          </cell>
          <cell r="D2768" t="str">
            <v>4001</v>
          </cell>
          <cell r="E2768" t="str">
            <v>0423</v>
          </cell>
          <cell r="F2768" t="str">
            <v>C5</v>
          </cell>
          <cell r="G2768" t="str">
            <v>PE</v>
          </cell>
          <cell r="H2768" t="str">
            <v>INGREDIENTS</v>
          </cell>
          <cell r="I2768" t="str">
            <v>INGREDIENTS</v>
          </cell>
          <cell r="J2768" t="str">
            <v>DLUM</v>
          </cell>
          <cell r="K2768" t="str">
            <v>LACTALIS</v>
          </cell>
          <cell r="L2768" t="str">
            <v>MAURICIO</v>
          </cell>
          <cell r="M2768" t="str">
            <v>JOEL</v>
          </cell>
        </row>
        <row r="2769">
          <cell r="B2769">
            <v>5078445</v>
          </cell>
          <cell r="C2769" t="str">
            <v>EMPORIO MAIS PAES LTDA</v>
          </cell>
          <cell r="D2769" t="str">
            <v>6001</v>
          </cell>
          <cell r="E2769" t="str">
            <v>6127</v>
          </cell>
          <cell r="F2769" t="str">
            <v>C1</v>
          </cell>
          <cell r="G2769" t="str">
            <v>CE</v>
          </cell>
          <cell r="H2769" t="str">
            <v>DISTRIBUIÇÃO</v>
          </cell>
          <cell r="I2769" t="str">
            <v>FOOD SERVICE</v>
          </cell>
          <cell r="J2769" t="str">
            <v>WH FOOD SERVICE CE</v>
          </cell>
          <cell r="K2769" t="str">
            <v>ITAMBÉ</v>
          </cell>
          <cell r="L2769" t="str">
            <v>RODRIGO</v>
          </cell>
          <cell r="M2769" t="str">
            <v>VAGO NORDESTE</v>
          </cell>
        </row>
        <row r="2770">
          <cell r="B2770">
            <v>5181253</v>
          </cell>
          <cell r="C2770" t="str">
            <v>T F RESTAURANTE LTDA</v>
          </cell>
          <cell r="D2770" t="str">
            <v>7001</v>
          </cell>
          <cell r="E2770" t="str">
            <v>0749</v>
          </cell>
          <cell r="F2770" t="str">
            <v>C5</v>
          </cell>
          <cell r="G2770" t="str">
            <v>SP</v>
          </cell>
          <cell r="H2770" t="str">
            <v>DISTRIBUIÇÃO</v>
          </cell>
          <cell r="I2770" t="str">
            <v>FOOD SERVICE</v>
          </cell>
          <cell r="J2770" t="str">
            <v>FLAC 3</v>
          </cell>
          <cell r="K2770" t="str">
            <v>LACTALIS</v>
          </cell>
          <cell r="L2770" t="str">
            <v>RODRIGO</v>
          </cell>
          <cell r="M2770" t="str">
            <v>ALEXANDRO</v>
          </cell>
        </row>
        <row r="2771">
          <cell r="B2771">
            <v>5355119</v>
          </cell>
          <cell r="C2771" t="str">
            <v>MARCOS NUNES DOS SANTOS ITU</v>
          </cell>
          <cell r="D2771" t="str">
            <v>7001</v>
          </cell>
          <cell r="E2771" t="str">
            <v>0749</v>
          </cell>
          <cell r="F2771" t="str">
            <v>C5</v>
          </cell>
          <cell r="G2771" t="str">
            <v>SP</v>
          </cell>
          <cell r="H2771" t="str">
            <v>DISTRIBUIÇÃO</v>
          </cell>
          <cell r="I2771" t="str">
            <v>FOOD SERVICE</v>
          </cell>
          <cell r="J2771" t="str">
            <v>FLAC 4</v>
          </cell>
          <cell r="K2771" t="str">
            <v>LACTALIS</v>
          </cell>
          <cell r="L2771" t="str">
            <v>RODRIGO</v>
          </cell>
          <cell r="M2771" t="str">
            <v>ALEXANDRO</v>
          </cell>
        </row>
        <row r="2772">
          <cell r="B2772">
            <v>5360958</v>
          </cell>
          <cell r="C2772" t="str">
            <v>17358842 VITOR SILVA PARANHOS</v>
          </cell>
          <cell r="D2772" t="str">
            <v>7001</v>
          </cell>
          <cell r="E2772" t="str">
            <v>0749</v>
          </cell>
          <cell r="F2772" t="str">
            <v>C5</v>
          </cell>
          <cell r="G2772" t="str">
            <v>SP</v>
          </cell>
          <cell r="H2772" t="str">
            <v>DISTRIBUIÇÃO</v>
          </cell>
          <cell r="I2772" t="str">
            <v>FOOD SERVICE</v>
          </cell>
          <cell r="J2772" t="str">
            <v>FLAC 2</v>
          </cell>
          <cell r="K2772" t="str">
            <v>LACTALIS</v>
          </cell>
          <cell r="L2772" t="str">
            <v>RODRIGO</v>
          </cell>
          <cell r="M2772" t="str">
            <v>ALEXANDRO</v>
          </cell>
        </row>
        <row r="2773">
          <cell r="B2773">
            <v>5361020</v>
          </cell>
          <cell r="C2773" t="str">
            <v>CASA DO SORVETEIRO LTDA</v>
          </cell>
          <cell r="D2773" t="str">
            <v>6001</v>
          </cell>
          <cell r="E2773" t="str">
            <v>6169</v>
          </cell>
          <cell r="F2773" t="str">
            <v>C1</v>
          </cell>
          <cell r="G2773" t="str">
            <v>ES</v>
          </cell>
          <cell r="H2773" t="str">
            <v>DISTRIBUIÇÃO</v>
          </cell>
          <cell r="I2773" t="str">
            <v>FOOD SERVICE</v>
          </cell>
          <cell r="J2773" t="str">
            <v>MARCELO DUARTE</v>
          </cell>
          <cell r="K2773" t="str">
            <v>ITAMBÉ</v>
          </cell>
          <cell r="L2773" t="str">
            <v>RODRIGO</v>
          </cell>
          <cell r="M2773" t="str">
            <v>JESSICA</v>
          </cell>
        </row>
        <row r="2774">
          <cell r="B2774">
            <v>5361087</v>
          </cell>
          <cell r="C2774" t="str">
            <v>63428871 ISMAEL FERREIRA DOS SA</v>
          </cell>
          <cell r="D2774" t="str">
            <v>7001</v>
          </cell>
          <cell r="E2774" t="str">
            <v>0749</v>
          </cell>
          <cell r="F2774" t="str">
            <v>C5</v>
          </cell>
          <cell r="G2774" t="str">
            <v>SP</v>
          </cell>
          <cell r="H2774" t="str">
            <v>DISTRIBUIÇÃO</v>
          </cell>
          <cell r="I2774" t="str">
            <v>FOOD SERVICE</v>
          </cell>
          <cell r="J2774" t="str">
            <v>FLAC 10</v>
          </cell>
          <cell r="K2774" t="str">
            <v>LACTALIS</v>
          </cell>
          <cell r="L2774" t="str">
            <v>RODRIGO</v>
          </cell>
          <cell r="M2774" t="str">
            <v>ALEXANDRO</v>
          </cell>
        </row>
        <row r="2775">
          <cell r="B2775">
            <v>5361094</v>
          </cell>
          <cell r="C2775" t="str">
            <v>RENAL PLUS SA</v>
          </cell>
          <cell r="D2775" t="str">
            <v>7001</v>
          </cell>
          <cell r="E2775" t="str">
            <v>0749</v>
          </cell>
          <cell r="F2775" t="str">
            <v>C5</v>
          </cell>
          <cell r="G2775" t="str">
            <v>SP</v>
          </cell>
          <cell r="H2775" t="str">
            <v>DISTRIBUIÇÃO</v>
          </cell>
          <cell r="I2775" t="str">
            <v>FOOD SERVICE</v>
          </cell>
          <cell r="J2775" t="str">
            <v>FLAC 10</v>
          </cell>
          <cell r="K2775" t="str">
            <v>LACTALIS</v>
          </cell>
          <cell r="L2775" t="str">
            <v>RODRIGO</v>
          </cell>
          <cell r="M2775" t="str">
            <v>ALEXANDRO</v>
          </cell>
        </row>
        <row r="2776">
          <cell r="B2776">
            <v>5359707</v>
          </cell>
          <cell r="C2776" t="str">
            <v>GF4 PARTICIPACOES LTDA</v>
          </cell>
          <cell r="D2776" t="str">
            <v>7001</v>
          </cell>
          <cell r="E2776" t="str">
            <v>0749</v>
          </cell>
          <cell r="F2776" t="str">
            <v>C5</v>
          </cell>
          <cell r="G2776" t="str">
            <v>SP</v>
          </cell>
          <cell r="H2776" t="str">
            <v>DISTRIBUIÇÃO</v>
          </cell>
          <cell r="I2776" t="str">
            <v>FOOD SERVICE</v>
          </cell>
          <cell r="J2776" t="str">
            <v>FLAC 10</v>
          </cell>
          <cell r="K2776" t="str">
            <v>LACTALIS</v>
          </cell>
          <cell r="L2776" t="str">
            <v>RODRIGO</v>
          </cell>
          <cell r="M2776" t="str">
            <v>ALEXANDRO</v>
          </cell>
        </row>
        <row r="2777">
          <cell r="B2777">
            <v>5360416</v>
          </cell>
          <cell r="C2777" t="str">
            <v>SANTU ITAIM PANIFICACAO LTDA</v>
          </cell>
          <cell r="D2777" t="str">
            <v>7001</v>
          </cell>
          <cell r="E2777" t="str">
            <v>0749</v>
          </cell>
          <cell r="F2777" t="str">
            <v>C5</v>
          </cell>
          <cell r="G2777" t="str">
            <v>SP</v>
          </cell>
          <cell r="H2777" t="str">
            <v>DISTRIBUIÇÃO</v>
          </cell>
          <cell r="I2777" t="str">
            <v>FOOD SERVICE</v>
          </cell>
          <cell r="J2777" t="str">
            <v>FLAC 2</v>
          </cell>
          <cell r="K2777" t="str">
            <v>LACTALIS</v>
          </cell>
          <cell r="L2777" t="str">
            <v>RODRIGO</v>
          </cell>
          <cell r="M2777" t="str">
            <v>ALEXANDRO</v>
          </cell>
        </row>
        <row r="2778">
          <cell r="B2778">
            <v>5252392</v>
          </cell>
          <cell r="C2778" t="str">
            <v>AGRILAC IND COM LATICINIOS LTDA</v>
          </cell>
          <cell r="D2778">
            <v>4001</v>
          </cell>
          <cell r="E2778" t="str">
            <v>0423</v>
          </cell>
          <cell r="F2778" t="str">
            <v>C5</v>
          </cell>
          <cell r="G2778" t="str">
            <v>MA</v>
          </cell>
          <cell r="H2778" t="str">
            <v>INGREDIENTS</v>
          </cell>
          <cell r="I2778" t="str">
            <v>INGREDIENTS</v>
          </cell>
          <cell r="J2778" t="str">
            <v>DLUM</v>
          </cell>
          <cell r="K2778" t="str">
            <v>LACTALIS</v>
          </cell>
          <cell r="L2778" t="str">
            <v>MAURICIO</v>
          </cell>
          <cell r="M2778" t="str">
            <v>JOEL</v>
          </cell>
        </row>
        <row r="2779">
          <cell r="B2779">
            <v>5361155</v>
          </cell>
          <cell r="C2779" t="str">
            <v>CONFEAT INDUSTRIA E COMERCIO DE ALI</v>
          </cell>
          <cell r="D2779">
            <v>7001</v>
          </cell>
          <cell r="E2779" t="str">
            <v>0749</v>
          </cell>
          <cell r="F2779" t="str">
            <v>C5</v>
          </cell>
          <cell r="G2779" t="str">
            <v>SP</v>
          </cell>
          <cell r="H2779" t="str">
            <v>DISTRIBUIÇÃO</v>
          </cell>
          <cell r="I2779" t="str">
            <v>FOOD SERVICE</v>
          </cell>
          <cell r="J2779" t="str">
            <v>FLAC 6</v>
          </cell>
          <cell r="K2779" t="str">
            <v>LACTALIS</v>
          </cell>
          <cell r="L2779" t="str">
            <v>RODRIGO</v>
          </cell>
          <cell r="M2779" t="str">
            <v>ALEXANDRO</v>
          </cell>
        </row>
        <row r="2780">
          <cell r="B2780">
            <v>5278224</v>
          </cell>
          <cell r="C2780" t="str">
            <v>LATICINIOS SAO CARLOS LTDA</v>
          </cell>
          <cell r="D2780" t="str">
            <v>7001</v>
          </cell>
          <cell r="E2780" t="str">
            <v>0749</v>
          </cell>
          <cell r="F2780" t="str">
            <v>C5</v>
          </cell>
          <cell r="G2780" t="str">
            <v>SP</v>
          </cell>
          <cell r="H2780" t="str">
            <v>DISTRIBUIÇÃO</v>
          </cell>
          <cell r="I2780" t="str">
            <v>FOOD SERVICE</v>
          </cell>
          <cell r="J2780" t="str">
            <v>FLAC 1</v>
          </cell>
          <cell r="K2780" t="str">
            <v>LACTALIS</v>
          </cell>
          <cell r="L2780" t="str">
            <v>RODRIGO</v>
          </cell>
          <cell r="M2780" t="str">
            <v>ALEXANDRO</v>
          </cell>
        </row>
        <row r="2781">
          <cell r="B2781">
            <v>5359805</v>
          </cell>
          <cell r="C2781" t="str">
            <v>COMERCIAL DE ALIMENTOS VIVA NOV</v>
          </cell>
          <cell r="D2781" t="str">
            <v>7001</v>
          </cell>
          <cell r="E2781" t="str">
            <v>0722</v>
          </cell>
          <cell r="F2781" t="str">
            <v>C1</v>
          </cell>
          <cell r="G2781" t="str">
            <v>SP</v>
          </cell>
          <cell r="H2781" t="str">
            <v>DISTRIBUIÇÃO</v>
          </cell>
          <cell r="I2781" t="str">
            <v>FOOD SERVICE</v>
          </cell>
          <cell r="J2781" t="str">
            <v>LUCAS ANDRADE</v>
          </cell>
          <cell r="K2781" t="str">
            <v>LACTALIS</v>
          </cell>
          <cell r="L2781" t="str">
            <v>RODRIGO</v>
          </cell>
          <cell r="M2781" t="str">
            <v>RAQUEL BARBOSA</v>
          </cell>
        </row>
        <row r="2782">
          <cell r="B2782">
            <v>5360771</v>
          </cell>
          <cell r="C2782" t="str">
            <v>MARCOS E LUIS PIZZARIA LTDA</v>
          </cell>
          <cell r="D2782" t="str">
            <v>7001</v>
          </cell>
          <cell r="E2782" t="str">
            <v>0749</v>
          </cell>
          <cell r="F2782" t="str">
            <v>C5</v>
          </cell>
          <cell r="G2782" t="str">
            <v>SP</v>
          </cell>
          <cell r="H2782" t="str">
            <v>DISTRIBUIÇÃO</v>
          </cell>
          <cell r="I2782" t="str">
            <v>FOOD SERVICE</v>
          </cell>
          <cell r="J2782" t="str">
            <v>FLAC 4</v>
          </cell>
          <cell r="K2782" t="str">
            <v>LACTALIS</v>
          </cell>
          <cell r="L2782" t="str">
            <v>RODRIGO</v>
          </cell>
          <cell r="M2782" t="str">
            <v>ALEXANDRO</v>
          </cell>
        </row>
        <row r="2783">
          <cell r="B2783">
            <v>5014011</v>
          </cell>
          <cell r="C2783" t="str">
            <v>AGRO COMERCIAL DA VARGEM LTDA</v>
          </cell>
          <cell r="D2783" t="str">
            <v>7001</v>
          </cell>
          <cell r="E2783" t="str">
            <v>0749</v>
          </cell>
          <cell r="F2783" t="str">
            <v>C5</v>
          </cell>
          <cell r="G2783" t="str">
            <v>SP</v>
          </cell>
          <cell r="H2783" t="str">
            <v>DISTRIBUIÇÃO</v>
          </cell>
          <cell r="I2783" t="str">
            <v>FOOD SERVICE</v>
          </cell>
          <cell r="J2783" t="str">
            <v>FLAC 1</v>
          </cell>
          <cell r="K2783" t="str">
            <v>LACTALIS</v>
          </cell>
          <cell r="L2783" t="str">
            <v>RODRIGO</v>
          </cell>
          <cell r="M2783" t="str">
            <v>ALEXANDRO</v>
          </cell>
        </row>
        <row r="2784">
          <cell r="B2784">
            <v>5183645</v>
          </cell>
          <cell r="C2784" t="str">
            <v>LIGA COMERCIO DE PRODUTOS PARA</v>
          </cell>
          <cell r="D2784" t="str">
            <v>7001</v>
          </cell>
          <cell r="E2784" t="str">
            <v>0749</v>
          </cell>
          <cell r="F2784" t="str">
            <v>C5</v>
          </cell>
          <cell r="G2784" t="str">
            <v>SP</v>
          </cell>
          <cell r="H2784" t="str">
            <v>DISTRIBUIÇÃO</v>
          </cell>
          <cell r="I2784" t="str">
            <v>FOOD SERVICE</v>
          </cell>
          <cell r="J2784" t="str">
            <v>FLAC 3</v>
          </cell>
          <cell r="K2784" t="str">
            <v>LACTALIS</v>
          </cell>
          <cell r="L2784" t="str">
            <v>RODRIGO</v>
          </cell>
          <cell r="M2784" t="str">
            <v>ALEXANDRO</v>
          </cell>
        </row>
        <row r="2785">
          <cell r="B2785">
            <v>5360393</v>
          </cell>
          <cell r="C2785" t="str">
            <v>MADALE RIO PRETO COM DE GEL E D</v>
          </cell>
          <cell r="D2785" t="str">
            <v>6001</v>
          </cell>
          <cell r="E2785" t="str">
            <v>6125</v>
          </cell>
          <cell r="F2785" t="str">
            <v>C1</v>
          </cell>
          <cell r="G2785" t="str">
            <v>SP</v>
          </cell>
          <cell r="H2785" t="str">
            <v>QSR</v>
          </cell>
          <cell r="I2785" t="str">
            <v>FOOD SERVICE</v>
          </cell>
          <cell r="J2785" t="str">
            <v>AMANDA CARVALHO</v>
          </cell>
          <cell r="K2785" t="str">
            <v>ITAMBÉ</v>
          </cell>
          <cell r="L2785" t="str">
            <v>PEDRO</v>
          </cell>
          <cell r="M2785" t="str">
            <v>AMANDA</v>
          </cell>
        </row>
        <row r="2786">
          <cell r="B2786">
            <v>5361285</v>
          </cell>
          <cell r="C2786" t="str">
            <v>RESTAURANTE E BUFFET PONTO GAST</v>
          </cell>
          <cell r="D2786" t="str">
            <v>7001</v>
          </cell>
          <cell r="E2786" t="str">
            <v>0749</v>
          </cell>
          <cell r="F2786" t="str">
            <v>C5</v>
          </cell>
          <cell r="G2786" t="str">
            <v>SP</v>
          </cell>
          <cell r="H2786" t="str">
            <v>DISTRIBUIÇÃO</v>
          </cell>
          <cell r="I2786" t="str">
            <v>FOOD SERVICE</v>
          </cell>
          <cell r="J2786" t="str">
            <v>FLAC 5</v>
          </cell>
          <cell r="K2786" t="str">
            <v>LACTALIS</v>
          </cell>
          <cell r="L2786" t="str">
            <v>RODRIGO</v>
          </cell>
          <cell r="M2786" t="str">
            <v>ALEXANDRO</v>
          </cell>
        </row>
        <row r="2787">
          <cell r="B2787">
            <v>5133664</v>
          </cell>
          <cell r="C2787" t="str">
            <v>PADEIRAO COMERCIO PROD PARA PANI LT</v>
          </cell>
          <cell r="D2787" t="str">
            <v>4001</v>
          </cell>
          <cell r="E2787" t="str">
            <v>0454</v>
          </cell>
          <cell r="F2787" t="str">
            <v>C1</v>
          </cell>
          <cell r="G2787" t="str">
            <v>PE</v>
          </cell>
          <cell r="H2787" t="str">
            <v>DISTRIBUIÇÃO</v>
          </cell>
          <cell r="I2787" t="str">
            <v>FOOD SERVICE</v>
          </cell>
          <cell r="J2787" t="str">
            <v>CLAUDIO JORGE</v>
          </cell>
          <cell r="K2787" t="str">
            <v>LACTALIS</v>
          </cell>
          <cell r="L2787" t="str">
            <v>RODRIGO</v>
          </cell>
          <cell r="M2787" t="str">
            <v>VAGO NORDESTE</v>
          </cell>
        </row>
        <row r="2788">
          <cell r="B2788">
            <v>5138371</v>
          </cell>
          <cell r="C2788" t="str">
            <v>MADERO INDUSTRIA E COMERCIO SA</v>
          </cell>
          <cell r="D2788" t="str">
            <v>4001</v>
          </cell>
          <cell r="E2788" t="str">
            <v>0455</v>
          </cell>
          <cell r="F2788" t="str">
            <v>C1</v>
          </cell>
          <cell r="G2788" t="str">
            <v>PR</v>
          </cell>
          <cell r="H2788" t="str">
            <v>QSR</v>
          </cell>
          <cell r="I2788" t="str">
            <v>FOOD SERVICE</v>
          </cell>
          <cell r="J2788" t="str">
            <v>AMANDA CARVALHO</v>
          </cell>
          <cell r="K2788" t="str">
            <v>LACTALIS</v>
          </cell>
          <cell r="L2788" t="str">
            <v>PEDRO</v>
          </cell>
          <cell r="M2788" t="str">
            <v>AMANDA</v>
          </cell>
        </row>
        <row r="2789">
          <cell r="B2789">
            <v>5340614</v>
          </cell>
          <cell r="C2789" t="str">
            <v>TAVERNA DE MINAS D E ENG DE BEB</v>
          </cell>
          <cell r="D2789" t="str">
            <v>3001</v>
          </cell>
          <cell r="E2789" t="str">
            <v>0028</v>
          </cell>
          <cell r="F2789" t="str">
            <v>C1</v>
          </cell>
          <cell r="G2789" t="str">
            <v>MG</v>
          </cell>
          <cell r="H2789" t="str">
            <v>INGREDIENTS</v>
          </cell>
          <cell r="I2789" t="str">
            <v>INGREDIENTS</v>
          </cell>
          <cell r="J2789" t="str">
            <v>HENRIQUE FERREIRA</v>
          </cell>
          <cell r="K2789" t="str">
            <v>ITAMBÉ</v>
          </cell>
          <cell r="L2789" t="str">
            <v>MAURICIO</v>
          </cell>
          <cell r="M2789" t="str">
            <v>JOEL</v>
          </cell>
        </row>
        <row r="2790">
          <cell r="B2790">
            <v>5348161</v>
          </cell>
          <cell r="C2790" t="str">
            <v>MARIAS RESTAURANTE LTDA</v>
          </cell>
          <cell r="D2790" t="str">
            <v>7001</v>
          </cell>
          <cell r="E2790" t="str">
            <v>0749</v>
          </cell>
          <cell r="F2790" t="str">
            <v>C5</v>
          </cell>
          <cell r="G2790" t="str">
            <v>SP</v>
          </cell>
          <cell r="H2790" t="str">
            <v>DISTRIBUIÇÃO</v>
          </cell>
          <cell r="I2790" t="str">
            <v>FOOD SERVICE</v>
          </cell>
          <cell r="J2790" t="str">
            <v>FLAC 6</v>
          </cell>
          <cell r="K2790" t="str">
            <v>LACTALIS</v>
          </cell>
          <cell r="L2790" t="str">
            <v>RODRIGO</v>
          </cell>
          <cell r="M2790" t="str">
            <v>ALEXANDRO</v>
          </cell>
        </row>
        <row r="2791">
          <cell r="B2791">
            <v>5361496</v>
          </cell>
          <cell r="C2791" t="str">
            <v>30488312 PAULA PEREIRA COQUEIRO</v>
          </cell>
          <cell r="D2791" t="str">
            <v>7001</v>
          </cell>
          <cell r="E2791" t="str">
            <v>0749</v>
          </cell>
          <cell r="F2791" t="str">
            <v>C5</v>
          </cell>
          <cell r="G2791" t="str">
            <v>SP</v>
          </cell>
          <cell r="H2791" t="str">
            <v>DISTRIBUIÇÃO</v>
          </cell>
          <cell r="I2791" t="str">
            <v>FOOD SERVICE</v>
          </cell>
          <cell r="J2791" t="str">
            <v>FLAC 4</v>
          </cell>
          <cell r="K2791" t="str">
            <v>LACTALIS</v>
          </cell>
          <cell r="L2791" t="str">
            <v>RODRIGO</v>
          </cell>
          <cell r="M2791" t="str">
            <v>ALEXANDRO</v>
          </cell>
        </row>
        <row r="2792">
          <cell r="B2792">
            <v>5275476</v>
          </cell>
          <cell r="C2792" t="str">
            <v>MON CHOU COM IMP E EXP LTDA</v>
          </cell>
          <cell r="D2792" t="str">
            <v>6001</v>
          </cell>
          <cell r="E2792" t="str">
            <v>6125</v>
          </cell>
          <cell r="F2792" t="str">
            <v>C1</v>
          </cell>
          <cell r="G2792" t="str">
            <v>SP</v>
          </cell>
          <cell r="H2792" t="str">
            <v>DISTRIBUIÇÃO</v>
          </cell>
          <cell r="I2792" t="str">
            <v>FOOD SERVICE</v>
          </cell>
          <cell r="J2792" t="str">
            <v>LUCIANA MARTINS</v>
          </cell>
          <cell r="K2792" t="str">
            <v>ITAMBÉ</v>
          </cell>
          <cell r="L2792" t="str">
            <v>RODRIGO</v>
          </cell>
          <cell r="M2792" t="str">
            <v>JESSICA</v>
          </cell>
        </row>
        <row r="2793">
          <cell r="B2793">
            <v>5361431</v>
          </cell>
          <cell r="C2793" t="str">
            <v>ICELON INDUSTRIA E COMERCIO DE</v>
          </cell>
          <cell r="D2793" t="str">
            <v>4001</v>
          </cell>
          <cell r="E2793" t="str">
            <v>0455</v>
          </cell>
          <cell r="F2793" t="str">
            <v>C1</v>
          </cell>
          <cell r="G2793" t="str">
            <v>PR</v>
          </cell>
          <cell r="H2793" t="str">
            <v>INGREDIENTS</v>
          </cell>
          <cell r="I2793" t="str">
            <v>INGREDIENTS</v>
          </cell>
          <cell r="J2793" t="str">
            <v>MARCELO RODRIGUES</v>
          </cell>
          <cell r="K2793" t="str">
            <v>LACTALIS</v>
          </cell>
          <cell r="L2793" t="str">
            <v>MAURICIO</v>
          </cell>
          <cell r="M2793" t="str">
            <v>MARCELO</v>
          </cell>
        </row>
        <row r="2794">
          <cell r="B2794">
            <v>5361616</v>
          </cell>
          <cell r="C2794" t="str">
            <v>PAOCITO PAES ARTESANAIS LTDA</v>
          </cell>
          <cell r="D2794" t="str">
            <v>7001</v>
          </cell>
          <cell r="E2794" t="str">
            <v>0749</v>
          </cell>
          <cell r="F2794" t="str">
            <v>C5</v>
          </cell>
          <cell r="G2794" t="str">
            <v>SP</v>
          </cell>
          <cell r="H2794" t="str">
            <v>DISTRIBUIÇÃO</v>
          </cell>
          <cell r="I2794" t="str">
            <v>FOOD SERVICE</v>
          </cell>
          <cell r="J2794" t="str">
            <v>FLAC 2</v>
          </cell>
          <cell r="K2794" t="str">
            <v>LACTALIS</v>
          </cell>
          <cell r="L2794" t="str">
            <v>RODRIGO</v>
          </cell>
          <cell r="M2794" t="str">
            <v>ALEXANDRO</v>
          </cell>
        </row>
        <row r="2795">
          <cell r="B2795">
            <v>5107538</v>
          </cell>
          <cell r="C2795" t="str">
            <v>GELATERIA ANTARTICA LTDA</v>
          </cell>
          <cell r="D2795" t="str">
            <v>3001</v>
          </cell>
          <cell r="E2795" t="str">
            <v>0028</v>
          </cell>
          <cell r="F2795" t="str">
            <v>C1</v>
          </cell>
          <cell r="G2795" t="str">
            <v>MG</v>
          </cell>
          <cell r="H2795" t="str">
            <v>INGREDIENTS</v>
          </cell>
          <cell r="I2795" t="str">
            <v>INGREDIENTS</v>
          </cell>
          <cell r="J2795" t="str">
            <v>HENRIQUE FERREIRA</v>
          </cell>
          <cell r="K2795" t="str">
            <v>ITAMBÉ</v>
          </cell>
          <cell r="L2795" t="str">
            <v>MAURICIO</v>
          </cell>
          <cell r="M2795" t="str">
            <v>JOEL</v>
          </cell>
        </row>
        <row r="2796">
          <cell r="B2796">
            <v>5182536</v>
          </cell>
          <cell r="C2796" t="str">
            <v>CONCORDIA FRIOS E LATICINIOS LT</v>
          </cell>
          <cell r="D2796" t="str">
            <v>7001</v>
          </cell>
          <cell r="E2796" t="str">
            <v>0739</v>
          </cell>
          <cell r="F2796" t="str">
            <v>C1</v>
          </cell>
          <cell r="G2796" t="str">
            <v>RJ</v>
          </cell>
          <cell r="H2796" t="str">
            <v>DISTRIBUIÇÃO</v>
          </cell>
          <cell r="I2796" t="str">
            <v>FOOD SERVICE</v>
          </cell>
          <cell r="J2796" t="str">
            <v>JESSICA CARLA</v>
          </cell>
          <cell r="K2796" t="str">
            <v>LACTALIS</v>
          </cell>
          <cell r="L2796" t="str">
            <v>RODRIGO</v>
          </cell>
          <cell r="M2796" t="str">
            <v>JESSICA</v>
          </cell>
        </row>
        <row r="2797">
          <cell r="B2797">
            <v>5359414</v>
          </cell>
          <cell r="C2797" t="str">
            <v>MEL INDUSTRIA ALIMENTICIA DE DO</v>
          </cell>
          <cell r="D2797" t="str">
            <v>3001</v>
          </cell>
          <cell r="E2797" t="str">
            <v>0122</v>
          </cell>
          <cell r="F2797" t="str">
            <v>C1</v>
          </cell>
          <cell r="G2797" t="str">
            <v>MG</v>
          </cell>
          <cell r="H2797" t="str">
            <v>DISTRIBUIÇÃO</v>
          </cell>
          <cell r="I2797" t="str">
            <v>FOOD SERVICE</v>
          </cell>
          <cell r="J2797" t="str">
            <v>MARCELO SILVA</v>
          </cell>
          <cell r="K2797" t="str">
            <v>ITAMBÉ</v>
          </cell>
          <cell r="L2797" t="str">
            <v>RODRIGO</v>
          </cell>
          <cell r="M2797" t="str">
            <v>CELIO MARTINS</v>
          </cell>
        </row>
        <row r="2798">
          <cell r="B2798">
            <v>5361518</v>
          </cell>
          <cell r="C2798" t="str">
            <v>NIPOTE GASTROBAR LTDA</v>
          </cell>
          <cell r="D2798" t="str">
            <v>7001</v>
          </cell>
          <cell r="E2798" t="str">
            <v>0749</v>
          </cell>
          <cell r="F2798" t="str">
            <v>C5</v>
          </cell>
          <cell r="G2798" t="str">
            <v>SP</v>
          </cell>
          <cell r="H2798" t="str">
            <v>DISTRIBUIÇÃO</v>
          </cell>
          <cell r="I2798" t="str">
            <v>FOOD SERVICE</v>
          </cell>
          <cell r="J2798" t="str">
            <v>FLAC 5</v>
          </cell>
          <cell r="K2798" t="str">
            <v>LACTALIS</v>
          </cell>
          <cell r="L2798" t="str">
            <v>RODRIGO</v>
          </cell>
          <cell r="M2798" t="str">
            <v>ALEXANDRO</v>
          </cell>
        </row>
        <row r="2799">
          <cell r="B2799">
            <v>5360703</v>
          </cell>
          <cell r="C2799" t="str">
            <v>FP4 PRODUTOS DE PANIFICACAO LTD</v>
          </cell>
          <cell r="D2799" t="str">
            <v>7001</v>
          </cell>
          <cell r="E2799" t="str">
            <v>0749</v>
          </cell>
          <cell r="F2799" t="str">
            <v>C5</v>
          </cell>
          <cell r="G2799" t="str">
            <v>SP</v>
          </cell>
          <cell r="H2799" t="str">
            <v>DISTRIBUIÇÃO</v>
          </cell>
          <cell r="I2799" t="str">
            <v>FOOD SERVICE</v>
          </cell>
          <cell r="J2799" t="str">
            <v>FLAC 2</v>
          </cell>
          <cell r="K2799" t="str">
            <v>LACTALIS</v>
          </cell>
          <cell r="L2799" t="str">
            <v>RODRIGO</v>
          </cell>
          <cell r="M2799" t="str">
            <v>ALEXANDRO</v>
          </cell>
        </row>
        <row r="2800">
          <cell r="B2800">
            <v>5188800</v>
          </cell>
          <cell r="C2800" t="str">
            <v>DIEGO CESAR GOMES DA SILVA</v>
          </cell>
          <cell r="D2800" t="str">
            <v>6001</v>
          </cell>
          <cell r="E2800" t="str">
            <v>6028</v>
          </cell>
          <cell r="F2800" t="str">
            <v>C1</v>
          </cell>
          <cell r="G2800" t="str">
            <v>SP</v>
          </cell>
          <cell r="H2800" t="str">
            <v>INGREDIENTS</v>
          </cell>
          <cell r="I2800" t="str">
            <v>INGREDIENTS</v>
          </cell>
          <cell r="J2800" t="str">
            <v>HENRIQUE FERREIRA</v>
          </cell>
          <cell r="K2800" t="str">
            <v>ITAMBÉ</v>
          </cell>
          <cell r="L2800" t="str">
            <v>MAURICIO</v>
          </cell>
          <cell r="M2800" t="str">
            <v>JOEL</v>
          </cell>
        </row>
        <row r="2801">
          <cell r="B2801">
            <v>5194511</v>
          </cell>
          <cell r="C2801" t="str">
            <v>DOCEMEL ALIMENTOS</v>
          </cell>
          <cell r="D2801" t="str">
            <v>6001</v>
          </cell>
          <cell r="E2801" t="str">
            <v>6028</v>
          </cell>
          <cell r="F2801" t="str">
            <v>C1</v>
          </cell>
          <cell r="G2801" t="str">
            <v>MS</v>
          </cell>
          <cell r="H2801" t="str">
            <v>INGREDIENTS</v>
          </cell>
          <cell r="I2801" t="str">
            <v>INGREDIENTS</v>
          </cell>
          <cell r="J2801" t="str">
            <v>DUAS RODAS</v>
          </cell>
          <cell r="K2801" t="str">
            <v>ITAMBÉ</v>
          </cell>
          <cell r="L2801" t="str">
            <v>MAURICIO</v>
          </cell>
          <cell r="M2801" t="str">
            <v>MARCELO</v>
          </cell>
        </row>
        <row r="2802">
          <cell r="B2802">
            <v>5207523</v>
          </cell>
          <cell r="C2802" t="str">
            <v>ANGELICA CORREA DE SOUZA</v>
          </cell>
          <cell r="D2802" t="str">
            <v>3001</v>
          </cell>
          <cell r="E2802" t="str">
            <v>0122</v>
          </cell>
          <cell r="F2802" t="str">
            <v>C1</v>
          </cell>
          <cell r="G2802" t="str">
            <v>MG</v>
          </cell>
          <cell r="H2802" t="str">
            <v>DISTRIBUIÇÃO</v>
          </cell>
          <cell r="I2802" t="str">
            <v>FOOD SERVICE</v>
          </cell>
          <cell r="J2802" t="str">
            <v>MARCELO SILVA</v>
          </cell>
          <cell r="K2802" t="str">
            <v>ITAMBÉ</v>
          </cell>
          <cell r="L2802" t="str">
            <v>RODRIGO</v>
          </cell>
          <cell r="M2802" t="str">
            <v>CELIO MARTINS</v>
          </cell>
        </row>
        <row r="2803">
          <cell r="B2803">
            <v>5361803</v>
          </cell>
          <cell r="C2803" t="str">
            <v>SORVETERIA SOL DE LEOPOLDINA LT</v>
          </cell>
          <cell r="D2803" t="str">
            <v>7001</v>
          </cell>
          <cell r="E2803" t="str">
            <v>0749</v>
          </cell>
          <cell r="F2803" t="str">
            <v>C5</v>
          </cell>
          <cell r="G2803" t="str">
            <v>SP</v>
          </cell>
          <cell r="H2803" t="str">
            <v>DISTRIBUIÇÃO</v>
          </cell>
          <cell r="I2803" t="str">
            <v>FOOD SERVICE</v>
          </cell>
          <cell r="J2803" t="str">
            <v>FLAC 3</v>
          </cell>
          <cell r="K2803" t="str">
            <v>LACTALIS</v>
          </cell>
          <cell r="L2803" t="str">
            <v>RODRIGO</v>
          </cell>
          <cell r="M2803" t="str">
            <v>ALEXANDRO</v>
          </cell>
        </row>
        <row r="2804">
          <cell r="B2804">
            <v>5274693</v>
          </cell>
          <cell r="C2804" t="str">
            <v>PEP COMERCIO LTDA</v>
          </cell>
          <cell r="D2804" t="str">
            <v>7001</v>
          </cell>
          <cell r="E2804" t="str">
            <v>0749</v>
          </cell>
          <cell r="F2804" t="str">
            <v>C5</v>
          </cell>
          <cell r="G2804" t="str">
            <v>SP</v>
          </cell>
          <cell r="H2804" t="str">
            <v>DISTRIBUIÇÃO</v>
          </cell>
          <cell r="I2804" t="str">
            <v>FOOD SERVICE</v>
          </cell>
          <cell r="J2804" t="str">
            <v>FLAC 3</v>
          </cell>
          <cell r="K2804" t="str">
            <v>LACTALIS</v>
          </cell>
          <cell r="L2804" t="str">
            <v>RODRIGO</v>
          </cell>
          <cell r="M2804" t="str">
            <v>ALEXANDRO</v>
          </cell>
        </row>
        <row r="2805">
          <cell r="B2805">
            <v>5361872</v>
          </cell>
          <cell r="C2805" t="str">
            <v>VITAMINA D LANCHONETE LTDA</v>
          </cell>
          <cell r="D2805" t="str">
            <v>7001</v>
          </cell>
          <cell r="E2805" t="str">
            <v>0749</v>
          </cell>
          <cell r="F2805" t="str">
            <v>C5</v>
          </cell>
          <cell r="G2805" t="str">
            <v>SP</v>
          </cell>
          <cell r="H2805" t="str">
            <v>DISTRIBUIÇÃO</v>
          </cell>
          <cell r="I2805" t="str">
            <v>FOOD SERVICE</v>
          </cell>
          <cell r="J2805" t="str">
            <v>FLAC 5</v>
          </cell>
          <cell r="K2805" t="str">
            <v>LACTALIS</v>
          </cell>
          <cell r="L2805" t="str">
            <v>RODRIGO</v>
          </cell>
          <cell r="M2805" t="str">
            <v>ALEXANDRO</v>
          </cell>
        </row>
        <row r="2806">
          <cell r="B2806">
            <v>5249198</v>
          </cell>
          <cell r="C2806" t="str">
            <v>EDSON BATISTA DA SILVA GUARULHOS</v>
          </cell>
          <cell r="D2806" t="str">
            <v>7001</v>
          </cell>
          <cell r="E2806" t="str">
            <v>0749</v>
          </cell>
          <cell r="F2806" t="str">
            <v>C5</v>
          </cell>
          <cell r="G2806" t="str">
            <v>SP</v>
          </cell>
          <cell r="H2806" t="str">
            <v>DISTRIBUIÇÃO</v>
          </cell>
          <cell r="I2806" t="str">
            <v>FOOD SERVICE</v>
          </cell>
          <cell r="J2806" t="str">
            <v>FLAC 1</v>
          </cell>
          <cell r="K2806" t="str">
            <v>LACTALIS</v>
          </cell>
          <cell r="L2806" t="str">
            <v>RODRIGO</v>
          </cell>
          <cell r="M2806" t="str">
            <v>ALEXANDRO</v>
          </cell>
        </row>
        <row r="2807">
          <cell r="B2807">
            <v>5275620</v>
          </cell>
          <cell r="C2807" t="str">
            <v>HARUS INDUSTRIA E COM DE ALIM L</v>
          </cell>
          <cell r="D2807" t="str">
            <v>7001</v>
          </cell>
          <cell r="E2807" t="str">
            <v>0722</v>
          </cell>
          <cell r="F2807" t="str">
            <v>C1</v>
          </cell>
          <cell r="G2807" t="str">
            <v>SP</v>
          </cell>
          <cell r="H2807" t="str">
            <v>DISTRIBUIÇÃO</v>
          </cell>
          <cell r="I2807" t="str">
            <v>FOOD SERVICE</v>
          </cell>
          <cell r="J2807" t="str">
            <v>VAGO SP - INTERIOR</v>
          </cell>
          <cell r="K2807" t="str">
            <v>LACTALIS</v>
          </cell>
          <cell r="L2807" t="str">
            <v>RODRIGO</v>
          </cell>
          <cell r="M2807" t="str">
            <v>VAGO SP - INTERIOR</v>
          </cell>
        </row>
        <row r="2808">
          <cell r="B2808">
            <v>5332247</v>
          </cell>
          <cell r="C2808" t="str">
            <v>AMIV COMERCIO DE PRODUTOS</v>
          </cell>
          <cell r="D2808" t="str">
            <v>6001</v>
          </cell>
          <cell r="E2808" t="str">
            <v>6127</v>
          </cell>
          <cell r="F2808" t="str">
            <v>C1</v>
          </cell>
          <cell r="G2808" t="str">
            <v>CE</v>
          </cell>
          <cell r="H2808" t="str">
            <v>DISTRIBUIÇÃO</v>
          </cell>
          <cell r="I2808" t="str">
            <v>FOOD SERVICE</v>
          </cell>
          <cell r="J2808" t="str">
            <v>WH FOOD SERVICE CE</v>
          </cell>
          <cell r="K2808" t="str">
            <v>ITAMBÉ</v>
          </cell>
          <cell r="L2808" t="str">
            <v>RODRIGO</v>
          </cell>
          <cell r="M2808" t="str">
            <v>VAGO NORDESTE</v>
          </cell>
        </row>
        <row r="2809">
          <cell r="B2809">
            <v>5361938</v>
          </cell>
          <cell r="C2809" t="str">
            <v>DISTRIBUID NORDEST DE CONFE E P</v>
          </cell>
          <cell r="D2809" t="str">
            <v>3001</v>
          </cell>
          <cell r="E2809" t="str">
            <v>0127</v>
          </cell>
          <cell r="F2809" t="str">
            <v>C1</v>
          </cell>
          <cell r="G2809" t="str">
            <v>PE</v>
          </cell>
          <cell r="H2809" t="str">
            <v>DISTRIBUIÇÃO</v>
          </cell>
          <cell r="I2809" t="str">
            <v>FOOD SERVICE</v>
          </cell>
          <cell r="J2809" t="str">
            <v>CLAUDIO JORGE</v>
          </cell>
          <cell r="K2809" t="str">
            <v>ITAMBÉ</v>
          </cell>
          <cell r="L2809" t="str">
            <v>RODRIGO</v>
          </cell>
          <cell r="M2809" t="str">
            <v>VAGO NORDESTE</v>
          </cell>
        </row>
        <row r="2810">
          <cell r="B2810">
            <v>5292313</v>
          </cell>
          <cell r="C2810" t="str">
            <v>L GUEIROS LOMEU LATICINIOS LTDA</v>
          </cell>
          <cell r="D2810" t="str">
            <v>4001</v>
          </cell>
          <cell r="E2810" t="str">
            <v>0437</v>
          </cell>
          <cell r="F2810" t="str">
            <v>C1</v>
          </cell>
          <cell r="G2810" t="str">
            <v>MG</v>
          </cell>
          <cell r="H2810" t="str">
            <v>INGREDIENTS</v>
          </cell>
          <cell r="I2810" t="str">
            <v>INGREDIENTS</v>
          </cell>
          <cell r="J2810" t="str">
            <v>HENRIQUE FERREIRA</v>
          </cell>
          <cell r="K2810" t="str">
            <v>LACTALIS</v>
          </cell>
          <cell r="L2810" t="str">
            <v>MAURICIO</v>
          </cell>
          <cell r="M2810" t="str">
            <v>JOEL</v>
          </cell>
        </row>
        <row r="2811">
          <cell r="B2811">
            <v>5357531</v>
          </cell>
          <cell r="C2811" t="str">
            <v>FORNERIA BIGLIA PANIFIC E CONFE</v>
          </cell>
          <cell r="D2811" t="str">
            <v>7001</v>
          </cell>
          <cell r="E2811" t="str">
            <v>0722</v>
          </cell>
          <cell r="F2811" t="str">
            <v>C1</v>
          </cell>
          <cell r="G2811" t="str">
            <v>SP</v>
          </cell>
          <cell r="H2811" t="str">
            <v>DISTRIBUIÇÃO</v>
          </cell>
          <cell r="I2811" t="str">
            <v>FOOD SERVICE</v>
          </cell>
          <cell r="J2811" t="str">
            <v>EMMANUEL FRANCISCO</v>
          </cell>
          <cell r="K2811" t="str">
            <v>LACTALIS</v>
          </cell>
          <cell r="L2811" t="str">
            <v>RODRIGO</v>
          </cell>
          <cell r="M2811" t="str">
            <v>ALEXANDRO</v>
          </cell>
        </row>
        <row r="2812">
          <cell r="B2812">
            <v>5361873</v>
          </cell>
          <cell r="C2812" t="str">
            <v>54202034 KETLEN CRISTINA JACINT</v>
          </cell>
          <cell r="D2812" t="str">
            <v>7001</v>
          </cell>
          <cell r="E2812" t="str">
            <v>0749</v>
          </cell>
          <cell r="F2812" t="str">
            <v>C5</v>
          </cell>
          <cell r="G2812" t="str">
            <v>SP</v>
          </cell>
          <cell r="H2812" t="str">
            <v>DISTRIBUIÇÃO</v>
          </cell>
          <cell r="I2812" t="str">
            <v>FOOD SERVICE</v>
          </cell>
          <cell r="J2812" t="str">
            <v>FLAC 2</v>
          </cell>
          <cell r="K2812" t="str">
            <v>LACTALIS</v>
          </cell>
          <cell r="L2812" t="str">
            <v>RODRIGO</v>
          </cell>
          <cell r="M2812" t="str">
            <v>ALEXANDRO</v>
          </cell>
        </row>
        <row r="2813">
          <cell r="B2813">
            <v>5361874</v>
          </cell>
          <cell r="C2813" t="str">
            <v>COFFEE BREAK MANDU LTDA</v>
          </cell>
          <cell r="D2813" t="str">
            <v>7001</v>
          </cell>
          <cell r="E2813" t="str">
            <v>0749</v>
          </cell>
          <cell r="F2813" t="str">
            <v>C5</v>
          </cell>
          <cell r="G2813" t="str">
            <v>SP</v>
          </cell>
          <cell r="H2813" t="str">
            <v>DISTRIBUIÇÃO</v>
          </cell>
          <cell r="I2813" t="str">
            <v>FOOD SERVICE</v>
          </cell>
          <cell r="J2813" t="str">
            <v>FLAC 4</v>
          </cell>
          <cell r="K2813" t="str">
            <v>LACTALIS</v>
          </cell>
          <cell r="L2813" t="str">
            <v>RODRIGO</v>
          </cell>
          <cell r="M2813" t="str">
            <v>ALEXANDRO</v>
          </cell>
        </row>
        <row r="2814">
          <cell r="B2814">
            <v>5114387</v>
          </cell>
          <cell r="C2814" t="str">
            <v>JAQUELINI CARDOSO COSTA DA SILVA</v>
          </cell>
          <cell r="D2814" t="str">
            <v>6001</v>
          </cell>
          <cell r="E2814" t="str">
            <v>6028</v>
          </cell>
          <cell r="F2814" t="str">
            <v>C1</v>
          </cell>
          <cell r="G2814" t="str">
            <v>SP</v>
          </cell>
          <cell r="H2814" t="str">
            <v>INGREDIENTS</v>
          </cell>
          <cell r="I2814" t="str">
            <v>INGREDIENTS</v>
          </cell>
          <cell r="J2814" t="str">
            <v>HENRIQUE FERREIRA</v>
          </cell>
          <cell r="K2814" t="str">
            <v>ITAMBÉ</v>
          </cell>
          <cell r="L2814" t="str">
            <v>MAURICIO</v>
          </cell>
          <cell r="M2814" t="str">
            <v>JOEL</v>
          </cell>
        </row>
        <row r="2815">
          <cell r="B2815">
            <v>5362139</v>
          </cell>
          <cell r="C2815" t="str">
            <v>GERSON HILARIO ANDRUCHO</v>
          </cell>
          <cell r="D2815" t="str">
            <v>3001</v>
          </cell>
          <cell r="E2815" t="str">
            <v>0028</v>
          </cell>
          <cell r="F2815" t="str">
            <v>C1</v>
          </cell>
          <cell r="G2815" t="str">
            <v>SC</v>
          </cell>
          <cell r="H2815" t="str">
            <v>INGREDIENTS</v>
          </cell>
          <cell r="I2815" t="str">
            <v>INGREDIENTS</v>
          </cell>
          <cell r="J2815" t="str">
            <v>MARCELO RODRIGUES</v>
          </cell>
          <cell r="K2815" t="str">
            <v>ITAMBÉ</v>
          </cell>
          <cell r="L2815" t="str">
            <v>MAURICIO</v>
          </cell>
          <cell r="M2815" t="str">
            <v>MARCELO</v>
          </cell>
        </row>
        <row r="2816">
          <cell r="B2816">
            <v>5362013</v>
          </cell>
          <cell r="C2816" t="str">
            <v>VILLA ITALIA ROTISSERIA LTDA</v>
          </cell>
          <cell r="D2816">
            <v>7001</v>
          </cell>
          <cell r="E2816" t="str">
            <v>0749</v>
          </cell>
          <cell r="F2816" t="str">
            <v>C5</v>
          </cell>
          <cell r="G2816" t="str">
            <v>SP</v>
          </cell>
          <cell r="H2816" t="str">
            <v>DISTRIBUIÇÃO</v>
          </cell>
          <cell r="I2816" t="str">
            <v>FOOD SERVICE</v>
          </cell>
          <cell r="J2816" t="str">
            <v>FLAC 4</v>
          </cell>
          <cell r="K2816" t="str">
            <v>LACTALIS</v>
          </cell>
          <cell r="L2816" t="str">
            <v>RODRIGO</v>
          </cell>
          <cell r="M2816" t="str">
            <v>ALEXANDRO</v>
          </cell>
        </row>
        <row r="2817">
          <cell r="B2817">
            <v>5361885</v>
          </cell>
          <cell r="C2817" t="str">
            <v>CAMARA TRADE NEG INTERNACIONAIS LTD</v>
          </cell>
          <cell r="D2817" t="str">
            <v>3001</v>
          </cell>
          <cell r="E2817" t="str">
            <v>0028</v>
          </cell>
          <cell r="F2817" t="str">
            <v>C1</v>
          </cell>
          <cell r="G2817" t="str">
            <v>PR</v>
          </cell>
          <cell r="H2817" t="str">
            <v>INGREDIENTS</v>
          </cell>
          <cell r="I2817" t="str">
            <v>INGREDIENTS</v>
          </cell>
          <cell r="J2817" t="str">
            <v>JOEL ELEOTÉRIO</v>
          </cell>
          <cell r="K2817" t="str">
            <v>ITAMBÉ</v>
          </cell>
          <cell r="L2817" t="str">
            <v>MAURICIO</v>
          </cell>
          <cell r="M2817" t="str">
            <v>JOEL</v>
          </cell>
        </row>
        <row r="2818">
          <cell r="B2818">
            <v>5104129</v>
          </cell>
          <cell r="C2818" t="str">
            <v>FROSTY PRODUTOS ALIMENTICIOS LTDA</v>
          </cell>
          <cell r="D2818" t="str">
            <v>3001</v>
          </cell>
          <cell r="E2818" t="str">
            <v>0028</v>
          </cell>
          <cell r="F2818" t="str">
            <v>C1</v>
          </cell>
          <cell r="G2818" t="str">
            <v>CE</v>
          </cell>
          <cell r="H2818" t="str">
            <v>INGREDIENTS</v>
          </cell>
          <cell r="I2818" t="str">
            <v>INGREDIENTS</v>
          </cell>
          <cell r="J2818" t="str">
            <v>JOEL ELEOTÉRIO</v>
          </cell>
          <cell r="K2818" t="str">
            <v>ITAMBÉ</v>
          </cell>
          <cell r="L2818" t="str">
            <v>MAURICIO</v>
          </cell>
          <cell r="M2818" t="str">
            <v>JOEL</v>
          </cell>
        </row>
        <row r="2819">
          <cell r="B2819">
            <v>5361277</v>
          </cell>
          <cell r="C2819" t="str">
            <v>PIERRE DISTRIBUICAO LTDA</v>
          </cell>
          <cell r="D2819" t="str">
            <v>3001</v>
          </cell>
          <cell r="E2819" t="str">
            <v>0122</v>
          </cell>
          <cell r="F2819" t="str">
            <v>C1</v>
          </cell>
          <cell r="G2819" t="str">
            <v>MG</v>
          </cell>
          <cell r="H2819" t="str">
            <v>DISTRIBUIÇÃO</v>
          </cell>
          <cell r="I2819" t="str">
            <v>FOOD SERVICE</v>
          </cell>
          <cell r="J2819" t="str">
            <v>MARCELO SILVA</v>
          </cell>
          <cell r="K2819" t="str">
            <v>ITAMBÉ</v>
          </cell>
          <cell r="L2819" t="str">
            <v>RODRIGO</v>
          </cell>
          <cell r="M2819" t="str">
            <v>CELIO MARTINS</v>
          </cell>
        </row>
        <row r="2820">
          <cell r="B2820">
            <v>5361618</v>
          </cell>
          <cell r="C2820" t="str">
            <v>OSNIR HAMBURGER LTDA</v>
          </cell>
          <cell r="D2820">
            <v>7001</v>
          </cell>
          <cell r="E2820" t="str">
            <v>0749</v>
          </cell>
          <cell r="F2820" t="str">
            <v>C5</v>
          </cell>
          <cell r="G2820" t="str">
            <v>SP</v>
          </cell>
          <cell r="H2820" t="str">
            <v>DISTRIBUIÇÃO</v>
          </cell>
          <cell r="I2820" t="str">
            <v>FOOD SERVICE</v>
          </cell>
          <cell r="J2820" t="str">
            <v>FLAC 4</v>
          </cell>
          <cell r="K2820" t="str">
            <v>LACTALIS</v>
          </cell>
          <cell r="L2820" t="str">
            <v>RODRIGO</v>
          </cell>
          <cell r="M2820" t="str">
            <v>ALEXANDRO</v>
          </cell>
        </row>
        <row r="2821">
          <cell r="B2821">
            <v>5361542</v>
          </cell>
          <cell r="C2821" t="str">
            <v>BISA COME VAREJ DE CAFE E UTILI DOM</v>
          </cell>
          <cell r="D2821" t="str">
            <v>7001</v>
          </cell>
          <cell r="E2821" t="str">
            <v>0749</v>
          </cell>
          <cell r="F2821" t="str">
            <v>C5</v>
          </cell>
          <cell r="G2821" t="str">
            <v>SP</v>
          </cell>
          <cell r="H2821" t="str">
            <v>DISTRIBUIÇÃO</v>
          </cell>
          <cell r="I2821" t="str">
            <v>FOOD SERVICE</v>
          </cell>
          <cell r="J2821" t="str">
            <v>FLAC 10</v>
          </cell>
          <cell r="K2821" t="str">
            <v>LACTALIS</v>
          </cell>
          <cell r="L2821" t="str">
            <v>RODRIGO</v>
          </cell>
          <cell r="M2821" t="str">
            <v>ALEXANDRO</v>
          </cell>
        </row>
        <row r="2822">
          <cell r="B2822">
            <v>5360992</v>
          </cell>
          <cell r="C2822" t="str">
            <v>VRT CERVEJARIA LTDA</v>
          </cell>
          <cell r="D2822" t="str">
            <v>7001</v>
          </cell>
          <cell r="E2822" t="str">
            <v>0749</v>
          </cell>
          <cell r="F2822" t="str">
            <v>C5</v>
          </cell>
          <cell r="G2822" t="str">
            <v>SP</v>
          </cell>
          <cell r="H2822" t="str">
            <v>DISTRIBUIÇÃO</v>
          </cell>
          <cell r="I2822" t="str">
            <v>FOOD SERVICE</v>
          </cell>
          <cell r="J2822" t="str">
            <v>FLAC 2</v>
          </cell>
          <cell r="K2822" t="str">
            <v>LACTALIS</v>
          </cell>
          <cell r="L2822" t="str">
            <v>RODRIGO</v>
          </cell>
          <cell r="M2822" t="str">
            <v>ALEXANDRO</v>
          </cell>
        </row>
        <row r="2823">
          <cell r="B2823">
            <v>5262248</v>
          </cell>
          <cell r="C2823" t="str">
            <v>COMERCIAL DE ALIMENTOS FINESSE LTDA</v>
          </cell>
          <cell r="D2823">
            <v>7001</v>
          </cell>
          <cell r="E2823" t="str">
            <v>0749</v>
          </cell>
          <cell r="F2823" t="str">
            <v>C5</v>
          </cell>
          <cell r="G2823" t="str">
            <v>SP</v>
          </cell>
          <cell r="H2823" t="str">
            <v>DISTRIBUIÇÃO</v>
          </cell>
          <cell r="I2823" t="str">
            <v>FOOD SERVICE</v>
          </cell>
          <cell r="J2823" t="str">
            <v>FLAC 3</v>
          </cell>
          <cell r="K2823" t="str">
            <v>LACTALIS</v>
          </cell>
          <cell r="L2823" t="str">
            <v>RODRIGO</v>
          </cell>
          <cell r="M2823" t="str">
            <v>ALEXANDRO</v>
          </cell>
        </row>
        <row r="2824">
          <cell r="B2824">
            <v>5184917</v>
          </cell>
          <cell r="C2824" t="str">
            <v>BARONIN IND E COM DE SORVETES LTDA</v>
          </cell>
          <cell r="D2824" t="str">
            <v>6001</v>
          </cell>
          <cell r="E2824" t="str">
            <v>6028</v>
          </cell>
          <cell r="F2824" t="str">
            <v>C1</v>
          </cell>
          <cell r="G2824" t="str">
            <v>SP</v>
          </cell>
          <cell r="H2824" t="str">
            <v>INGREDIENTS</v>
          </cell>
          <cell r="I2824" t="str">
            <v>INGREDIENTS</v>
          </cell>
          <cell r="J2824" t="str">
            <v>DUAS RODAS</v>
          </cell>
          <cell r="K2824" t="str">
            <v>ITAMBÉ</v>
          </cell>
          <cell r="L2824" t="str">
            <v>MAURICIO</v>
          </cell>
          <cell r="M2824" t="str">
            <v>MARCELO</v>
          </cell>
        </row>
        <row r="2825">
          <cell r="B2825">
            <v>5361815</v>
          </cell>
          <cell r="C2825" t="str">
            <v>LGS DISTRIBUIDORA LTDA</v>
          </cell>
          <cell r="D2825" t="str">
            <v>6001</v>
          </cell>
          <cell r="E2825" t="str">
            <v>6125</v>
          </cell>
          <cell r="F2825" t="str">
            <v>C1</v>
          </cell>
          <cell r="G2825" t="str">
            <v>SP</v>
          </cell>
          <cell r="H2825" t="str">
            <v>DISTRIBUIÇÃO</v>
          </cell>
          <cell r="I2825" t="str">
            <v>FOOD SERVICE</v>
          </cell>
          <cell r="J2825" t="str">
            <v>LUCAS ANDRADE</v>
          </cell>
          <cell r="K2825" t="str">
            <v>ITAMBÉ</v>
          </cell>
          <cell r="L2825" t="str">
            <v>RODRIGO</v>
          </cell>
          <cell r="M2825" t="str">
            <v>RAQUEL BARBOSA</v>
          </cell>
        </row>
        <row r="2826">
          <cell r="B2826">
            <v>5361875</v>
          </cell>
          <cell r="C2826" t="str">
            <v>ATRIO HOTEIS SA</v>
          </cell>
          <cell r="D2826" t="str">
            <v>7001</v>
          </cell>
          <cell r="E2826" t="str">
            <v>0749</v>
          </cell>
          <cell r="F2826" t="str">
            <v>C5</v>
          </cell>
          <cell r="G2826" t="str">
            <v>SP</v>
          </cell>
          <cell r="H2826" t="str">
            <v>DISTRIBUIÇÃO</v>
          </cell>
          <cell r="I2826" t="str">
            <v>FOOD SERVICE</v>
          </cell>
          <cell r="J2826" t="str">
            <v>FLAC 4</v>
          </cell>
          <cell r="K2826" t="str">
            <v>LACTALIS</v>
          </cell>
          <cell r="L2826" t="str">
            <v>RODRIGO</v>
          </cell>
          <cell r="M2826" t="str">
            <v>ALEXANDRO</v>
          </cell>
        </row>
        <row r="2827">
          <cell r="B2827">
            <v>5362255</v>
          </cell>
          <cell r="C2827" t="str">
            <v>SPUMEL SORVETERIA LTDA</v>
          </cell>
          <cell r="D2827" t="str">
            <v>3001</v>
          </cell>
          <cell r="E2827" t="str">
            <v>0028</v>
          </cell>
          <cell r="F2827" t="str">
            <v>C1</v>
          </cell>
          <cell r="G2827" t="str">
            <v>MG</v>
          </cell>
          <cell r="H2827" t="str">
            <v>INGREDIENTS</v>
          </cell>
          <cell r="I2827" t="str">
            <v>INGREDIENTS</v>
          </cell>
          <cell r="J2827" t="str">
            <v>TATIANA NITTA</v>
          </cell>
          <cell r="K2827" t="str">
            <v>ITAMBÉ</v>
          </cell>
          <cell r="L2827" t="str">
            <v>MAURICIO</v>
          </cell>
          <cell r="M2827" t="str">
            <v>TATIANA NITTA</v>
          </cell>
        </row>
        <row r="2828">
          <cell r="B2828">
            <v>5173852</v>
          </cell>
          <cell r="C2828" t="str">
            <v>REDE EXATA SUPERMERCADOS LTDA</v>
          </cell>
          <cell r="D2828" t="str">
            <v>6001</v>
          </cell>
          <cell r="E2828" t="str">
            <v>6127</v>
          </cell>
          <cell r="F2828" t="str">
            <v>C1</v>
          </cell>
          <cell r="G2828" t="str">
            <v>CE</v>
          </cell>
          <cell r="H2828" t="str">
            <v>DISTRIBUIÇÃO</v>
          </cell>
          <cell r="I2828" t="str">
            <v>FOOD SERVICE</v>
          </cell>
          <cell r="J2828" t="str">
            <v>WH FOOD SERVICE CE</v>
          </cell>
          <cell r="K2828" t="str">
            <v>ITAMBÉ</v>
          </cell>
          <cell r="L2828" t="str">
            <v>RODRIGO</v>
          </cell>
          <cell r="M2828" t="str">
            <v>VAGO NORDESTE</v>
          </cell>
        </row>
        <row r="2829">
          <cell r="B2829">
            <v>5357700</v>
          </cell>
          <cell r="C2829" t="str">
            <v>NOVA ERA COMERCIAL DE ALIMEN LT</v>
          </cell>
          <cell r="D2829" t="str">
            <v>7001</v>
          </cell>
          <cell r="E2829" t="str">
            <v>0558</v>
          </cell>
          <cell r="F2829" t="str">
            <v>C5</v>
          </cell>
          <cell r="G2829" t="str">
            <v>BA</v>
          </cell>
          <cell r="H2829" t="str">
            <v>DISTRIBUIÇÃO</v>
          </cell>
          <cell r="I2829" t="str">
            <v>FOOD SERVICE</v>
          </cell>
          <cell r="J2829" t="str">
            <v>CLAUDIO JORGE</v>
          </cell>
          <cell r="K2829" t="str">
            <v>LACTALIS</v>
          </cell>
          <cell r="L2829" t="str">
            <v>RODRIGO</v>
          </cell>
          <cell r="M2829" t="str">
            <v>VAGO NORDESTE</v>
          </cell>
        </row>
        <row r="2830">
          <cell r="B2830">
            <v>5362248</v>
          </cell>
          <cell r="C2830" t="str">
            <v>33152550 ALINE DOS SANTOS SCHAM</v>
          </cell>
          <cell r="D2830" t="str">
            <v>7001</v>
          </cell>
          <cell r="E2830" t="str">
            <v>0749</v>
          </cell>
          <cell r="F2830" t="str">
            <v>C5</v>
          </cell>
          <cell r="G2830" t="str">
            <v>SP</v>
          </cell>
          <cell r="H2830" t="str">
            <v>DISTRIBUIÇÃO</v>
          </cell>
          <cell r="I2830" t="str">
            <v>FOOD SERVICE</v>
          </cell>
          <cell r="J2830" t="str">
            <v>FLAC 10</v>
          </cell>
          <cell r="K2830" t="str">
            <v>LACTALIS</v>
          </cell>
          <cell r="L2830" t="str">
            <v>RODRIGO</v>
          </cell>
          <cell r="M2830" t="str">
            <v>ALEXANDRO</v>
          </cell>
        </row>
        <row r="2831">
          <cell r="B2831">
            <v>5027623</v>
          </cell>
          <cell r="C2831" t="str">
            <v>H E A COM DE PRODUTOS LTDA</v>
          </cell>
          <cell r="D2831">
            <v>6001</v>
          </cell>
          <cell r="E2831">
            <v>6028</v>
          </cell>
          <cell r="F2831" t="str">
            <v>C1</v>
          </cell>
          <cell r="G2831" t="str">
            <v>ES</v>
          </cell>
          <cell r="H2831" t="str">
            <v>INGREDIENTS</v>
          </cell>
          <cell r="I2831" t="str">
            <v>INGREDIENTS</v>
          </cell>
          <cell r="J2831" t="str">
            <v>DUAS RODAS</v>
          </cell>
          <cell r="K2831" t="str">
            <v>ITAMBÉ</v>
          </cell>
          <cell r="L2831" t="str">
            <v>MAURICIO</v>
          </cell>
          <cell r="M2831" t="str">
            <v>TATIANA NITTA</v>
          </cell>
        </row>
        <row r="2832">
          <cell r="B2832">
            <v>5142874</v>
          </cell>
          <cell r="C2832" t="str">
            <v>REDE INTEGRADA COM DE PROD ALIM LTD</v>
          </cell>
          <cell r="D2832" t="str">
            <v>6001</v>
          </cell>
          <cell r="E2832" t="str">
            <v>6127</v>
          </cell>
          <cell r="F2832" t="str">
            <v>C1</v>
          </cell>
          <cell r="G2832" t="str">
            <v>CE</v>
          </cell>
          <cell r="H2832" t="str">
            <v>DISTRIBUIÇÃO</v>
          </cell>
          <cell r="I2832" t="str">
            <v>FOOD SERVICE</v>
          </cell>
          <cell r="J2832" t="str">
            <v>WH FOOD SERVICE CE</v>
          </cell>
          <cell r="K2832" t="str">
            <v>ITAMBÉ</v>
          </cell>
          <cell r="L2832" t="str">
            <v>RODRIGO</v>
          </cell>
          <cell r="M2832" t="str">
            <v>VAGO NORDESTE</v>
          </cell>
        </row>
        <row r="2833">
          <cell r="B2833">
            <v>5232803</v>
          </cell>
          <cell r="C2833" t="str">
            <v>L GONZAGA MIX AMBIENTAL</v>
          </cell>
          <cell r="D2833" t="str">
            <v>6001</v>
          </cell>
          <cell r="E2833" t="str">
            <v>6028</v>
          </cell>
          <cell r="F2833" t="str">
            <v>C1</v>
          </cell>
          <cell r="G2833" t="str">
            <v>SP</v>
          </cell>
          <cell r="H2833" t="str">
            <v>INGREDIENTS</v>
          </cell>
          <cell r="I2833" t="str">
            <v>INGREDIENTS</v>
          </cell>
          <cell r="J2833" t="str">
            <v>HENRIQUE FERREIRA</v>
          </cell>
          <cell r="K2833" t="str">
            <v>ITAMBÉ</v>
          </cell>
          <cell r="L2833" t="str">
            <v>MAURICIO</v>
          </cell>
          <cell r="M2833" t="str">
            <v>JOEL</v>
          </cell>
        </row>
        <row r="2834">
          <cell r="B2834">
            <v>5318526</v>
          </cell>
          <cell r="C2834" t="str">
            <v>SUNNY INTERNATIONAL FOOD COMERCIO A</v>
          </cell>
          <cell r="D2834">
            <v>3001</v>
          </cell>
          <cell r="E2834" t="str">
            <v>0028</v>
          </cell>
          <cell r="F2834" t="str">
            <v>C1</v>
          </cell>
          <cell r="G2834" t="str">
            <v>SC</v>
          </cell>
          <cell r="H2834" t="str">
            <v>INGREDIENTS</v>
          </cell>
          <cell r="I2834" t="str">
            <v>INGREDIENTS</v>
          </cell>
          <cell r="J2834" t="str">
            <v>TATIANA NITTA</v>
          </cell>
          <cell r="K2834" t="str">
            <v>ITAMBÉ</v>
          </cell>
          <cell r="L2834" t="str">
            <v>MAURICIO</v>
          </cell>
          <cell r="M2834" t="str">
            <v>TATIANA NITTA</v>
          </cell>
        </row>
        <row r="2835">
          <cell r="B2835">
            <v>5271259</v>
          </cell>
          <cell r="C2835" t="str">
            <v>A BRANDI POUSADA LTDALI</v>
          </cell>
          <cell r="D2835" t="str">
            <v>7001</v>
          </cell>
          <cell r="E2835" t="str">
            <v>0749</v>
          </cell>
          <cell r="F2835" t="str">
            <v>C5</v>
          </cell>
          <cell r="G2835" t="str">
            <v>SP</v>
          </cell>
          <cell r="H2835" t="str">
            <v>DISTRIBUIÇÃO</v>
          </cell>
          <cell r="I2835" t="str">
            <v>FOOD SERVICE</v>
          </cell>
          <cell r="J2835" t="str">
            <v>FLAC 10</v>
          </cell>
          <cell r="K2835" t="str">
            <v>LACTALIS</v>
          </cell>
          <cell r="L2835" t="str">
            <v>RODRIGO</v>
          </cell>
          <cell r="M2835" t="str">
            <v>ALEXANDRO</v>
          </cell>
        </row>
        <row r="2836">
          <cell r="B2836">
            <v>5355546</v>
          </cell>
          <cell r="C2836" t="str">
            <v>ATACADAO NORTE MIX LTDA</v>
          </cell>
          <cell r="D2836" t="str">
            <v>3001</v>
          </cell>
          <cell r="E2836" t="str">
            <v>0028</v>
          </cell>
          <cell r="F2836" t="str">
            <v>C1</v>
          </cell>
          <cell r="G2836" t="str">
            <v>AM</v>
          </cell>
          <cell r="H2836" t="str">
            <v>INGREDIENTS</v>
          </cell>
          <cell r="I2836" t="str">
            <v>INGREDIENTS</v>
          </cell>
          <cell r="J2836" t="str">
            <v>DUAS RODAS</v>
          </cell>
          <cell r="K2836" t="str">
            <v>ITAMBÉ</v>
          </cell>
          <cell r="L2836" t="str">
            <v>MAURICIO</v>
          </cell>
          <cell r="M2836" t="str">
            <v>JOEL</v>
          </cell>
        </row>
        <row r="2837">
          <cell r="B2837">
            <v>5362145</v>
          </cell>
          <cell r="C2837" t="str">
            <v>MARIA ELENI MOCIM MONDINI LTDA</v>
          </cell>
          <cell r="D2837" t="str">
            <v>7001</v>
          </cell>
          <cell r="E2837" t="str">
            <v>0749</v>
          </cell>
          <cell r="F2837" t="str">
            <v>C5</v>
          </cell>
          <cell r="G2837" t="str">
            <v>SP</v>
          </cell>
          <cell r="H2837" t="str">
            <v>DISTRIBUIÇÃO</v>
          </cell>
          <cell r="I2837" t="str">
            <v>FOOD SERVICE</v>
          </cell>
          <cell r="J2837" t="str">
            <v>FLAC 3</v>
          </cell>
          <cell r="K2837" t="str">
            <v>LACTALIS</v>
          </cell>
          <cell r="L2837" t="str">
            <v>RODRIGO</v>
          </cell>
          <cell r="M2837" t="str">
            <v>ALEXANDRO</v>
          </cell>
        </row>
        <row r="2838">
          <cell r="B2838">
            <v>5233736</v>
          </cell>
          <cell r="C2838" t="str">
            <v>ARGELIO ADELINO FARIA LTDA</v>
          </cell>
          <cell r="D2838" t="str">
            <v>4001</v>
          </cell>
          <cell r="E2838" t="str">
            <v>0458</v>
          </cell>
          <cell r="F2838" t="str">
            <v>C1</v>
          </cell>
          <cell r="G2838" t="str">
            <v>MG</v>
          </cell>
          <cell r="H2838" t="str">
            <v>INGREDIENTS</v>
          </cell>
          <cell r="I2838" t="str">
            <v>INGREDIENTS</v>
          </cell>
          <cell r="J2838" t="str">
            <v>JOEL ELEOTÉRIO</v>
          </cell>
          <cell r="K2838" t="str">
            <v>LACTALIS</v>
          </cell>
          <cell r="L2838" t="str">
            <v>MAURICIO</v>
          </cell>
          <cell r="M2838" t="str">
            <v>JOEL</v>
          </cell>
        </row>
        <row r="2839">
          <cell r="B2839">
            <v>5341743</v>
          </cell>
          <cell r="C2839" t="str">
            <v>MAURO SIQUEIRA DE MOURA JUNIOR</v>
          </cell>
          <cell r="D2839" t="str">
            <v>3001</v>
          </cell>
          <cell r="E2839" t="str">
            <v>0028</v>
          </cell>
          <cell r="F2839" t="str">
            <v>C1</v>
          </cell>
          <cell r="G2839" t="str">
            <v>SP</v>
          </cell>
          <cell r="H2839" t="str">
            <v>INGREDIENTS</v>
          </cell>
          <cell r="I2839" t="str">
            <v>INGREDIENTS</v>
          </cell>
          <cell r="J2839" t="str">
            <v>JOEL ELEOTÉRIO</v>
          </cell>
          <cell r="K2839" t="str">
            <v>ITAMBÉ</v>
          </cell>
          <cell r="L2839" t="str">
            <v>MAURICIO</v>
          </cell>
          <cell r="M2839" t="str">
            <v>JOEL</v>
          </cell>
        </row>
        <row r="2840">
          <cell r="B2840">
            <v>5181766</v>
          </cell>
          <cell r="C2840" t="str">
            <v>BRASIL NUTRI AMBIENTAL LTDA</v>
          </cell>
          <cell r="D2840" t="str">
            <v>7001</v>
          </cell>
          <cell r="E2840" t="str">
            <v>0550</v>
          </cell>
          <cell r="F2840" t="str">
            <v>C1</v>
          </cell>
          <cell r="G2840" t="str">
            <v>BA</v>
          </cell>
          <cell r="H2840" t="str">
            <v>INGREDIENTS</v>
          </cell>
          <cell r="I2840" t="str">
            <v>INGREDIENTS</v>
          </cell>
          <cell r="J2840" t="str">
            <v>HENRIQUE FERREIRA</v>
          </cell>
          <cell r="K2840" t="str">
            <v>LACTALIS</v>
          </cell>
          <cell r="L2840" t="str">
            <v>MAURICIO</v>
          </cell>
          <cell r="M2840" t="str">
            <v>JOEL</v>
          </cell>
        </row>
        <row r="2841">
          <cell r="B2841">
            <v>5324442</v>
          </cell>
          <cell r="C2841" t="str">
            <v>MAIROCA ALIMENTACAO LTDA</v>
          </cell>
          <cell r="D2841" t="str">
            <v>6001</v>
          </cell>
          <cell r="E2841" t="str">
            <v>6127</v>
          </cell>
          <cell r="F2841" t="str">
            <v>C1</v>
          </cell>
          <cell r="G2841" t="str">
            <v>BA</v>
          </cell>
          <cell r="H2841" t="str">
            <v>DISTRIBUIÇÃO</v>
          </cell>
          <cell r="I2841" t="str">
            <v>FOOD SERVICE</v>
          </cell>
          <cell r="J2841" t="str">
            <v xml:space="preserve">KARIS FOOD / LUIZ </v>
          </cell>
          <cell r="K2841" t="str">
            <v>ITAMBÉ</v>
          </cell>
          <cell r="L2841" t="str">
            <v>RODRIGO</v>
          </cell>
          <cell r="M2841" t="str">
            <v>VAGO NORDESTE</v>
          </cell>
        </row>
        <row r="2842">
          <cell r="B2842">
            <v>5331503</v>
          </cell>
          <cell r="C2842" t="str">
            <v>HELIOS REFEICOES LTDA</v>
          </cell>
          <cell r="D2842" t="str">
            <v>7001</v>
          </cell>
          <cell r="E2842" t="str">
            <v>0749</v>
          </cell>
          <cell r="F2842" t="str">
            <v>C5</v>
          </cell>
          <cell r="G2842" t="str">
            <v>SP</v>
          </cell>
          <cell r="H2842" t="str">
            <v>DISTRIBUIÇÃO</v>
          </cell>
          <cell r="I2842" t="str">
            <v>FOOD SERVICE</v>
          </cell>
          <cell r="J2842" t="str">
            <v>FLAC 10</v>
          </cell>
          <cell r="K2842" t="str">
            <v>LACTALIS</v>
          </cell>
          <cell r="L2842" t="str">
            <v>RODRIGO</v>
          </cell>
          <cell r="M2842" t="str">
            <v>ALEXANDRO</v>
          </cell>
        </row>
        <row r="2843">
          <cell r="B2843">
            <v>5357324</v>
          </cell>
          <cell r="C2843" t="str">
            <v>OESA COMERCIO E REPRESENTACOES S A</v>
          </cell>
          <cell r="D2843" t="str">
            <v>6001</v>
          </cell>
          <cell r="E2843" t="str">
            <v>6123</v>
          </cell>
          <cell r="F2843" t="str">
            <v>C1</v>
          </cell>
          <cell r="G2843" t="str">
            <v>MT</v>
          </cell>
          <cell r="H2843" t="str">
            <v>DISTRIBUIÇÃO</v>
          </cell>
          <cell r="I2843" t="str">
            <v>FOOD SERVICE</v>
          </cell>
          <cell r="J2843" t="str">
            <v>CLAUDIO JORGE</v>
          </cell>
          <cell r="K2843" t="str">
            <v>ITAMBÉ</v>
          </cell>
          <cell r="L2843" t="str">
            <v>RODRIGO</v>
          </cell>
          <cell r="M2843" t="str">
            <v>MARCO AURELIO</v>
          </cell>
        </row>
        <row r="2844">
          <cell r="B2844">
            <v>5361575</v>
          </cell>
          <cell r="C2844" t="str">
            <v>CAMILLOZZI DISTRIBUIÇÃO</v>
          </cell>
          <cell r="D2844" t="str">
            <v>3001</v>
          </cell>
          <cell r="E2844" t="str">
            <v>0122</v>
          </cell>
          <cell r="F2844" t="str">
            <v>C1</v>
          </cell>
          <cell r="G2844" t="str">
            <v>MG</v>
          </cell>
          <cell r="H2844" t="str">
            <v>DISTRIBUIÇÃO</v>
          </cell>
          <cell r="I2844" t="str">
            <v>FOOD SERVICE</v>
          </cell>
          <cell r="J2844" t="str">
            <v>MARCELO SILVA</v>
          </cell>
          <cell r="K2844" t="str">
            <v>ITAMBÉ</v>
          </cell>
          <cell r="L2844" t="str">
            <v>RODRIGO</v>
          </cell>
          <cell r="M2844" t="str">
            <v>CELIO MARTINS</v>
          </cell>
        </row>
        <row r="2845">
          <cell r="B2845">
            <v>5324082</v>
          </cell>
          <cell r="C2845" t="str">
            <v>HOTEL VILLAGIO EMBU LTDA</v>
          </cell>
          <cell r="D2845" t="str">
            <v>7001</v>
          </cell>
          <cell r="E2845" t="str">
            <v>0749</v>
          </cell>
          <cell r="F2845" t="str">
            <v>C5</v>
          </cell>
          <cell r="G2845" t="str">
            <v>SP</v>
          </cell>
          <cell r="H2845" t="str">
            <v>DISTRIBUIÇÃO</v>
          </cell>
          <cell r="I2845" t="str">
            <v>FOOD SERVICE</v>
          </cell>
          <cell r="J2845" t="str">
            <v>FLAC 4</v>
          </cell>
          <cell r="K2845" t="str">
            <v>LACTALIS</v>
          </cell>
          <cell r="L2845" t="str">
            <v>RODRIGO</v>
          </cell>
          <cell r="M2845" t="str">
            <v>ALEXANDRO</v>
          </cell>
        </row>
        <row r="2846">
          <cell r="B2846">
            <v>5361484</v>
          </cell>
          <cell r="C2846" t="str">
            <v>SD BOLOS E DOCES LTDA</v>
          </cell>
          <cell r="D2846" t="str">
            <v>7001</v>
          </cell>
          <cell r="E2846" t="str">
            <v>0749</v>
          </cell>
          <cell r="F2846" t="str">
            <v>C5</v>
          </cell>
          <cell r="G2846" t="str">
            <v>SP</v>
          </cell>
          <cell r="H2846" t="str">
            <v>DISTRIBUIÇÃO</v>
          </cell>
          <cell r="I2846" t="str">
            <v>FOOD SERVICE</v>
          </cell>
          <cell r="J2846" t="str">
            <v>FLAC 4</v>
          </cell>
          <cell r="K2846" t="str">
            <v>LACTALIS</v>
          </cell>
          <cell r="L2846" t="str">
            <v>RODRIGO</v>
          </cell>
          <cell r="M2846" t="str">
            <v>ALEXANDRO</v>
          </cell>
        </row>
        <row r="2847">
          <cell r="B2847">
            <v>5183340</v>
          </cell>
          <cell r="C2847" t="str">
            <v>CASA DA OMA IND E COM DE ALIM LTDA</v>
          </cell>
          <cell r="D2847" t="str">
            <v>3001</v>
          </cell>
          <cell r="E2847" t="str">
            <v>0126</v>
          </cell>
          <cell r="F2847" t="str">
            <v>C1</v>
          </cell>
          <cell r="G2847" t="str">
            <v>SC</v>
          </cell>
          <cell r="H2847" t="str">
            <v>INGREDIENTS</v>
          </cell>
          <cell r="I2847" t="str">
            <v>INGREDIENTS</v>
          </cell>
          <cell r="J2847" t="str">
            <v>MARCELO RODRIGUES</v>
          </cell>
          <cell r="K2847" t="str">
            <v>ITAMBÉ</v>
          </cell>
          <cell r="L2847" t="str">
            <v>MAURICIO</v>
          </cell>
          <cell r="M2847" t="str">
            <v>MARCELO</v>
          </cell>
        </row>
        <row r="2848">
          <cell r="B2848">
            <v>5338667</v>
          </cell>
          <cell r="C2848" t="str">
            <v>IBAE IND BRASILEIRA DE ALI ESP</v>
          </cell>
          <cell r="D2848" t="str">
            <v>6001</v>
          </cell>
          <cell r="E2848" t="str">
            <v>0028</v>
          </cell>
          <cell r="F2848" t="str">
            <v>C1</v>
          </cell>
          <cell r="G2848" t="str">
            <v>ES</v>
          </cell>
          <cell r="H2848" t="str">
            <v>INGREDIENTS</v>
          </cell>
          <cell r="I2848" t="str">
            <v>INGREDIENTS</v>
          </cell>
          <cell r="J2848" t="str">
            <v>TATIANA NITTA</v>
          </cell>
          <cell r="K2848" t="str">
            <v>ITAMBÉ</v>
          </cell>
          <cell r="L2848" t="str">
            <v>MAURICIO</v>
          </cell>
          <cell r="M2848" t="str">
            <v>TATIANA NITTA</v>
          </cell>
        </row>
        <row r="2849">
          <cell r="B2849">
            <v>5220504</v>
          </cell>
          <cell r="C2849" t="str">
            <v>BONATTI IND E COM DE SORVETES LTDA</v>
          </cell>
          <cell r="D2849" t="str">
            <v>3001</v>
          </cell>
          <cell r="E2849" t="str">
            <v>0126</v>
          </cell>
          <cell r="F2849" t="str">
            <v>C1</v>
          </cell>
          <cell r="G2849" t="str">
            <v>SC</v>
          </cell>
          <cell r="H2849" t="str">
            <v>QSR</v>
          </cell>
          <cell r="I2849" t="str">
            <v>FOOD SERVICE</v>
          </cell>
          <cell r="J2849" t="str">
            <v>NUTRI</v>
          </cell>
          <cell r="K2849" t="str">
            <v>ITAMBÉ</v>
          </cell>
          <cell r="L2849" t="str">
            <v>PEDRO</v>
          </cell>
          <cell r="M2849" t="str">
            <v>AMANDA</v>
          </cell>
        </row>
        <row r="2850">
          <cell r="B2850">
            <v>5234752</v>
          </cell>
          <cell r="C2850" t="str">
            <v>DAMAY CAFE E CONFEITARIA LTDA</v>
          </cell>
          <cell r="D2850" t="str">
            <v>3001</v>
          </cell>
          <cell r="E2850" t="str">
            <v>0028</v>
          </cell>
          <cell r="F2850" t="str">
            <v>C1</v>
          </cell>
          <cell r="G2850" t="str">
            <v>SC</v>
          </cell>
          <cell r="H2850" t="str">
            <v>INGREDIENTS</v>
          </cell>
          <cell r="I2850" t="str">
            <v>INGREDIENTS</v>
          </cell>
          <cell r="J2850" t="str">
            <v>HENRIQUE FERREIRA</v>
          </cell>
          <cell r="K2850" t="str">
            <v>ITAMBÉ</v>
          </cell>
          <cell r="L2850" t="str">
            <v>MAURICIO</v>
          </cell>
          <cell r="M2850" t="str">
            <v>JOEL</v>
          </cell>
        </row>
        <row r="2851">
          <cell r="B2851">
            <v>5362684</v>
          </cell>
          <cell r="C2851" t="str">
            <v>JOSE ZITO DA SILVEIRA CONVENIEN</v>
          </cell>
          <cell r="D2851" t="str">
            <v>7001</v>
          </cell>
          <cell r="E2851" t="str">
            <v>0749</v>
          </cell>
          <cell r="F2851" t="str">
            <v>C5</v>
          </cell>
          <cell r="G2851" t="str">
            <v>SP</v>
          </cell>
          <cell r="H2851" t="str">
            <v>DISTRIBUIÇÃO</v>
          </cell>
          <cell r="I2851" t="str">
            <v>FOOD SERVICE</v>
          </cell>
          <cell r="J2851" t="str">
            <v>FLAC 10</v>
          </cell>
          <cell r="K2851" t="str">
            <v>LACTALIS</v>
          </cell>
          <cell r="L2851" t="str">
            <v>RODRIGO</v>
          </cell>
          <cell r="M2851" t="str">
            <v>ALEXANDRO</v>
          </cell>
        </row>
        <row r="2852">
          <cell r="B2852">
            <v>5347103</v>
          </cell>
          <cell r="C2852" t="str">
            <v>DUBALY INDUSTRIA E COMERCIO</v>
          </cell>
          <cell r="D2852" t="str">
            <v>3001</v>
          </cell>
          <cell r="E2852" t="str">
            <v>0122</v>
          </cell>
          <cell r="F2852" t="str">
            <v>C1</v>
          </cell>
          <cell r="G2852" t="str">
            <v>MG</v>
          </cell>
          <cell r="H2852" t="str">
            <v>INGREDIENTS</v>
          </cell>
          <cell r="I2852" t="str">
            <v>INGREDIENTS</v>
          </cell>
          <cell r="J2852" t="str">
            <v>MARCELO RODRIGUES</v>
          </cell>
          <cell r="K2852" t="str">
            <v>ITAMBÉ</v>
          </cell>
          <cell r="L2852" t="str">
            <v>MAURICIO</v>
          </cell>
          <cell r="M2852" t="str">
            <v>MARCELO</v>
          </cell>
        </row>
        <row r="2853">
          <cell r="B2853">
            <v>5359916</v>
          </cell>
          <cell r="C2853" t="str">
            <v>JANETI PIZZATO BARNABE COM E SE</v>
          </cell>
          <cell r="D2853" t="str">
            <v>7001</v>
          </cell>
          <cell r="E2853" t="str">
            <v>0749</v>
          </cell>
          <cell r="F2853" t="str">
            <v>C5</v>
          </cell>
          <cell r="G2853" t="str">
            <v>SP</v>
          </cell>
          <cell r="H2853" t="str">
            <v>DISTRIBUIÇÃO</v>
          </cell>
          <cell r="I2853" t="str">
            <v>FOOD SERVICE</v>
          </cell>
          <cell r="J2853" t="str">
            <v>FLAC 4</v>
          </cell>
          <cell r="K2853" t="str">
            <v>LACTALIS</v>
          </cell>
          <cell r="L2853" t="str">
            <v>RODRIGO</v>
          </cell>
          <cell r="M2853" t="str">
            <v>ALEXANDRO</v>
          </cell>
        </row>
        <row r="2854">
          <cell r="B2854">
            <v>5359917</v>
          </cell>
          <cell r="C2854" t="str">
            <v>CORTESIA SERVICOS DE CONCRETAGE</v>
          </cell>
          <cell r="D2854" t="str">
            <v>7001</v>
          </cell>
          <cell r="E2854" t="str">
            <v>0749</v>
          </cell>
          <cell r="F2854" t="str">
            <v>C5</v>
          </cell>
          <cell r="G2854" t="str">
            <v>SP</v>
          </cell>
          <cell r="H2854" t="str">
            <v>DISTRIBUIÇÃO</v>
          </cell>
          <cell r="I2854" t="str">
            <v>FOOD SERVICE</v>
          </cell>
          <cell r="J2854" t="str">
            <v>FLAC 4</v>
          </cell>
          <cell r="K2854" t="str">
            <v>LACTALIS</v>
          </cell>
          <cell r="L2854" t="str">
            <v>RODRIGO</v>
          </cell>
          <cell r="M2854" t="str">
            <v>ALEXANDRO</v>
          </cell>
        </row>
        <row r="2855">
          <cell r="B2855">
            <v>5359924</v>
          </cell>
          <cell r="C2855" t="str">
            <v>CORTESIA SERVICOS DE CONCRETAGE</v>
          </cell>
          <cell r="D2855" t="str">
            <v>7001</v>
          </cell>
          <cell r="E2855" t="str">
            <v>0749</v>
          </cell>
          <cell r="F2855" t="str">
            <v>C5</v>
          </cell>
          <cell r="G2855" t="str">
            <v>SP</v>
          </cell>
          <cell r="H2855" t="str">
            <v>DISTRIBUIÇÃO</v>
          </cell>
          <cell r="I2855" t="str">
            <v>FOOD SERVICE</v>
          </cell>
          <cell r="J2855" t="str">
            <v>FLAC 4</v>
          </cell>
          <cell r="K2855" t="str">
            <v>LACTALIS</v>
          </cell>
          <cell r="L2855" t="str">
            <v>RODRIGO</v>
          </cell>
          <cell r="M2855" t="str">
            <v>ALEXANDRO</v>
          </cell>
        </row>
        <row r="2856">
          <cell r="B2856">
            <v>5362010</v>
          </cell>
          <cell r="C2856" t="str">
            <v>RESTAURANTE E PIZZARIA BERLIM L</v>
          </cell>
          <cell r="D2856" t="str">
            <v>7001</v>
          </cell>
          <cell r="E2856" t="str">
            <v>0749</v>
          </cell>
          <cell r="F2856" t="str">
            <v>C5</v>
          </cell>
          <cell r="G2856" t="str">
            <v>SP</v>
          </cell>
          <cell r="H2856" t="str">
            <v>DISTRIBUIÇÃO</v>
          </cell>
          <cell r="I2856" t="str">
            <v>FOOD SERVICE</v>
          </cell>
          <cell r="J2856" t="str">
            <v>FLAC 4</v>
          </cell>
          <cell r="K2856" t="str">
            <v>LACTALIS</v>
          </cell>
          <cell r="L2856" t="str">
            <v>RODRIGO</v>
          </cell>
          <cell r="M2856" t="str">
            <v>ALEXANDRO</v>
          </cell>
        </row>
        <row r="2857">
          <cell r="B2857">
            <v>5362800</v>
          </cell>
          <cell r="C2857" t="str">
            <v>VAM REFEICOES E EVENTOS LTDA</v>
          </cell>
          <cell r="D2857" t="str">
            <v>7001</v>
          </cell>
          <cell r="E2857" t="str">
            <v>0749</v>
          </cell>
          <cell r="F2857" t="str">
            <v>C5</v>
          </cell>
          <cell r="G2857" t="str">
            <v>SP</v>
          </cell>
          <cell r="H2857" t="str">
            <v>DISTRIBUIÇÃO</v>
          </cell>
          <cell r="I2857" t="str">
            <v>FOOD SERVICE</v>
          </cell>
          <cell r="J2857" t="str">
            <v>FLAC 10</v>
          </cell>
          <cell r="K2857" t="str">
            <v>LACTALIS</v>
          </cell>
          <cell r="L2857" t="str">
            <v>RODRIGO</v>
          </cell>
          <cell r="M2857" t="str">
            <v>ALEXANDRO</v>
          </cell>
        </row>
        <row r="2858">
          <cell r="B2858">
            <v>5349218</v>
          </cell>
          <cell r="C2858" t="str">
            <v>ANNA E DALVA PRODUTOS ALIMENTICIOS</v>
          </cell>
          <cell r="D2858" t="str">
            <v>7001</v>
          </cell>
          <cell r="E2858" t="str">
            <v>0749</v>
          </cell>
          <cell r="F2858" t="str">
            <v>C5</v>
          </cell>
          <cell r="G2858" t="str">
            <v>SP</v>
          </cell>
          <cell r="H2858" t="str">
            <v>DISTRIBUIÇÃO</v>
          </cell>
          <cell r="I2858" t="str">
            <v>FOOD SERVICE</v>
          </cell>
          <cell r="J2858" t="str">
            <v>FLAC 2</v>
          </cell>
          <cell r="K2858" t="str">
            <v>LACTALIS</v>
          </cell>
          <cell r="L2858" t="str">
            <v>RODRIGO</v>
          </cell>
          <cell r="M2858" t="str">
            <v>ALEXANDRO</v>
          </cell>
        </row>
        <row r="2859">
          <cell r="B2859">
            <v>5045012</v>
          </cell>
          <cell r="C2859" t="str">
            <v>BEBIDAS NOVA ENGENHOCA EILERI</v>
          </cell>
          <cell r="D2859" t="str">
            <v>6001</v>
          </cell>
          <cell r="E2859" t="str">
            <v>6028</v>
          </cell>
          <cell r="F2859" t="str">
            <v>C1</v>
          </cell>
          <cell r="G2859" t="str">
            <v>SP</v>
          </cell>
          <cell r="H2859" t="str">
            <v>INGREDIENTS</v>
          </cell>
          <cell r="I2859" t="str">
            <v>INGREDIENTS</v>
          </cell>
          <cell r="J2859" t="str">
            <v>TATIANA NITTA</v>
          </cell>
          <cell r="K2859" t="str">
            <v>ITAMBÉ</v>
          </cell>
          <cell r="L2859" t="str">
            <v>MAURICIO</v>
          </cell>
          <cell r="M2859" t="str">
            <v>TATIANA NITTA</v>
          </cell>
        </row>
        <row r="2860">
          <cell r="B2860">
            <v>5363035</v>
          </cell>
          <cell r="C2860" t="str">
            <v>SCARABEUS OPERACOES GASTRONOMIC</v>
          </cell>
          <cell r="D2860" t="str">
            <v>7001</v>
          </cell>
          <cell r="E2860" t="str">
            <v>0749</v>
          </cell>
          <cell r="F2860" t="str">
            <v>C5</v>
          </cell>
          <cell r="G2860" t="str">
            <v>SP</v>
          </cell>
          <cell r="H2860" t="str">
            <v>DISTRIBUIÇÃO</v>
          </cell>
          <cell r="I2860" t="str">
            <v>FOOD SERVICE</v>
          </cell>
          <cell r="J2860" t="str">
            <v>FLAC 6</v>
          </cell>
          <cell r="K2860" t="str">
            <v>LACTALIS</v>
          </cell>
          <cell r="L2860" t="str">
            <v>RODRIGO</v>
          </cell>
          <cell r="M2860" t="str">
            <v>ALEXANDRO</v>
          </cell>
        </row>
        <row r="2861">
          <cell r="B2861">
            <v>5194644</v>
          </cell>
          <cell r="C2861" t="str">
            <v>L F S COM E IMP DE ALIM LTDA</v>
          </cell>
          <cell r="D2861" t="str">
            <v>6001</v>
          </cell>
          <cell r="E2861" t="str">
            <v>6127</v>
          </cell>
          <cell r="F2861" t="str">
            <v>C1</v>
          </cell>
          <cell r="G2861" t="str">
            <v>CE</v>
          </cell>
          <cell r="H2861" t="str">
            <v>QSR</v>
          </cell>
          <cell r="I2861" t="str">
            <v>FOOD SERVICE</v>
          </cell>
          <cell r="J2861" t="str">
            <v>NUTRI</v>
          </cell>
          <cell r="K2861" t="str">
            <v>ITAMBÉ</v>
          </cell>
          <cell r="L2861" t="str">
            <v>PEDRO</v>
          </cell>
          <cell r="M2861" t="str">
            <v>AMANDA</v>
          </cell>
        </row>
        <row r="2862">
          <cell r="B2862">
            <v>5363061</v>
          </cell>
          <cell r="C2862" t="str">
            <v>FC BOLOS E DOCES LTDA</v>
          </cell>
          <cell r="D2862" t="str">
            <v>7001</v>
          </cell>
          <cell r="E2862" t="str">
            <v>0749</v>
          </cell>
          <cell r="F2862" t="str">
            <v>C5</v>
          </cell>
          <cell r="G2862" t="str">
            <v>SP</v>
          </cell>
          <cell r="H2862" t="str">
            <v>DISTRIBUIÇÃO</v>
          </cell>
          <cell r="I2862" t="str">
            <v>FOOD SERVICE</v>
          </cell>
          <cell r="J2862" t="str">
            <v>FLAC 4</v>
          </cell>
          <cell r="K2862" t="str">
            <v>LACTALIS</v>
          </cell>
          <cell r="L2862" t="str">
            <v>RODRIGO</v>
          </cell>
          <cell r="M2862" t="str">
            <v>ALEXANDRO</v>
          </cell>
        </row>
        <row r="2863">
          <cell r="B2863">
            <v>5362926</v>
          </cell>
          <cell r="C2863" t="str">
            <v>51978652 NEISILANE RODRIGUES DA</v>
          </cell>
          <cell r="D2863">
            <v>7001</v>
          </cell>
          <cell r="E2863" t="str">
            <v>0749</v>
          </cell>
          <cell r="F2863" t="str">
            <v>C5</v>
          </cell>
          <cell r="G2863" t="str">
            <v>SP</v>
          </cell>
          <cell r="H2863" t="str">
            <v>DISTRIBUIÇÃO</v>
          </cell>
          <cell r="I2863" t="str">
            <v>FOOD SERVICE</v>
          </cell>
          <cell r="J2863" t="str">
            <v>FLAC 2</v>
          </cell>
          <cell r="K2863" t="str">
            <v>LACTALIS</v>
          </cell>
          <cell r="L2863" t="str">
            <v>RODRIGO</v>
          </cell>
          <cell r="M2863" t="str">
            <v>ALEXANDRO</v>
          </cell>
        </row>
        <row r="2864">
          <cell r="B2864">
            <v>5205744</v>
          </cell>
          <cell r="C2864" t="str">
            <v>RS DISTRIBUIDORA LTDA</v>
          </cell>
          <cell r="D2864" t="str">
            <v>4001</v>
          </cell>
          <cell r="E2864" t="str">
            <v>0455</v>
          </cell>
          <cell r="F2864" t="str">
            <v>C1</v>
          </cell>
          <cell r="G2864" t="str">
            <v>SP</v>
          </cell>
          <cell r="H2864" t="str">
            <v>INGREDIENTS</v>
          </cell>
          <cell r="I2864" t="str">
            <v>INGREDIENTS</v>
          </cell>
          <cell r="J2864" t="str">
            <v>MARCELO RODRIGUES</v>
          </cell>
          <cell r="K2864" t="str">
            <v>LACTALIS</v>
          </cell>
          <cell r="L2864" t="str">
            <v>MAURICIO</v>
          </cell>
          <cell r="M2864" t="str">
            <v>MARCELO</v>
          </cell>
        </row>
        <row r="2865">
          <cell r="B2865">
            <v>5362375</v>
          </cell>
          <cell r="C2865" t="str">
            <v>STANQUINI COMERCIO E SERVICOS L</v>
          </cell>
          <cell r="D2865" t="str">
            <v>7001</v>
          </cell>
          <cell r="E2865" t="str">
            <v>0749</v>
          </cell>
          <cell r="F2865" t="str">
            <v>C5</v>
          </cell>
          <cell r="G2865" t="str">
            <v>SP</v>
          </cell>
          <cell r="H2865" t="str">
            <v>DISTRIBUIÇÃO</v>
          </cell>
          <cell r="I2865" t="str">
            <v>FOOD SERVICE</v>
          </cell>
          <cell r="J2865" t="str">
            <v>FLAC 2</v>
          </cell>
          <cell r="K2865" t="str">
            <v>LACTALIS</v>
          </cell>
          <cell r="L2865" t="str">
            <v>RODRIGO</v>
          </cell>
          <cell r="M2865" t="str">
            <v>ALEXANDRO</v>
          </cell>
        </row>
        <row r="2866">
          <cell r="B2866">
            <v>5362922</v>
          </cell>
          <cell r="C2866" t="str">
            <v>BENAS PADARIA ARTESANAL LTDA</v>
          </cell>
          <cell r="D2866" t="str">
            <v>7001</v>
          </cell>
          <cell r="E2866" t="str">
            <v>0749</v>
          </cell>
          <cell r="F2866" t="str">
            <v>C5</v>
          </cell>
          <cell r="G2866" t="str">
            <v>SP</v>
          </cell>
          <cell r="H2866" t="str">
            <v>DISTRIBUIÇÃO</v>
          </cell>
          <cell r="I2866" t="str">
            <v>FOOD SERVICE</v>
          </cell>
          <cell r="J2866" t="str">
            <v>FLAC 5</v>
          </cell>
          <cell r="K2866" t="str">
            <v>LACTALIS</v>
          </cell>
          <cell r="L2866" t="str">
            <v>RODRIGO</v>
          </cell>
          <cell r="M2866" t="str">
            <v>ALEXANDRO</v>
          </cell>
        </row>
        <row r="2867">
          <cell r="B2867">
            <v>5363157</v>
          </cell>
          <cell r="C2867" t="str">
            <v>44589456 JOSE FRANCISCO DE MELO</v>
          </cell>
          <cell r="D2867" t="str">
            <v>6001</v>
          </cell>
          <cell r="E2867" t="str">
            <v>6028</v>
          </cell>
          <cell r="F2867" t="str">
            <v>C1</v>
          </cell>
          <cell r="G2867" t="str">
            <v>SP</v>
          </cell>
          <cell r="H2867" t="str">
            <v>INGREDIENTS</v>
          </cell>
          <cell r="I2867" t="str">
            <v>INGREDIENTS</v>
          </cell>
          <cell r="J2867" t="str">
            <v>DUAS RODAS</v>
          </cell>
          <cell r="K2867" t="str">
            <v>ITAMBÉ</v>
          </cell>
          <cell r="L2867" t="str">
            <v>MAURICIO</v>
          </cell>
          <cell r="M2867" t="str">
            <v>TATIANA NITTA</v>
          </cell>
        </row>
        <row r="2868">
          <cell r="B2868">
            <v>5363352</v>
          </cell>
          <cell r="C2868" t="str">
            <v>BELLA MARIE BISTRO LTDA</v>
          </cell>
          <cell r="D2868" t="str">
            <v>7001</v>
          </cell>
          <cell r="E2868" t="str">
            <v>0749</v>
          </cell>
          <cell r="F2868" t="str">
            <v>C5</v>
          </cell>
          <cell r="G2868" t="str">
            <v>SP</v>
          </cell>
          <cell r="H2868" t="str">
            <v>DISTRIBUIÇÃO</v>
          </cell>
          <cell r="I2868" t="str">
            <v>FOOD SERVICE</v>
          </cell>
          <cell r="J2868" t="str">
            <v>FLAC 5</v>
          </cell>
          <cell r="K2868" t="str">
            <v>LACTALIS</v>
          </cell>
          <cell r="L2868" t="str">
            <v>RODRIGO</v>
          </cell>
          <cell r="M2868" t="str">
            <v>ALEXANDRO</v>
          </cell>
        </row>
        <row r="2869">
          <cell r="B2869">
            <v>5359925</v>
          </cell>
          <cell r="C2869" t="str">
            <v>CORTESIA SERVICOS DE CONCRETAGE</v>
          </cell>
          <cell r="D2869" t="str">
            <v>7001</v>
          </cell>
          <cell r="E2869" t="str">
            <v>0749</v>
          </cell>
          <cell r="F2869" t="str">
            <v>C5</v>
          </cell>
          <cell r="G2869" t="str">
            <v>SP</v>
          </cell>
          <cell r="H2869" t="str">
            <v>DISTRIBUIÇÃO</v>
          </cell>
          <cell r="I2869" t="str">
            <v>FOOD SERVICE</v>
          </cell>
          <cell r="J2869" t="str">
            <v>FLAC 4</v>
          </cell>
          <cell r="K2869" t="str">
            <v>LACTALIS</v>
          </cell>
          <cell r="L2869" t="str">
            <v>RODRIGO</v>
          </cell>
          <cell r="M2869" t="str">
            <v>ALEXANDRO</v>
          </cell>
        </row>
        <row r="2870">
          <cell r="B2870">
            <v>5359926</v>
          </cell>
          <cell r="C2870" t="str">
            <v>MARY LUCI PIZZATO ANGI COM E SE</v>
          </cell>
          <cell r="D2870" t="str">
            <v>7001</v>
          </cell>
          <cell r="E2870" t="str">
            <v>0749</v>
          </cell>
          <cell r="F2870" t="str">
            <v>C5</v>
          </cell>
          <cell r="G2870" t="str">
            <v>SP</v>
          </cell>
          <cell r="H2870" t="str">
            <v>DISTRIBUIÇÃO</v>
          </cell>
          <cell r="I2870" t="str">
            <v>FOOD SERVICE</v>
          </cell>
          <cell r="J2870" t="str">
            <v>FLAC 4</v>
          </cell>
          <cell r="K2870" t="str">
            <v>LACTALIS</v>
          </cell>
          <cell r="L2870" t="str">
            <v>RODRIGO</v>
          </cell>
          <cell r="M2870" t="str">
            <v>ALEXANDRO</v>
          </cell>
        </row>
        <row r="2871">
          <cell r="B2871">
            <v>5361822</v>
          </cell>
          <cell r="C2871" t="str">
            <v>ACPEN COMERCIO DE PRODUTOS ALIM</v>
          </cell>
          <cell r="D2871" t="str">
            <v>7001</v>
          </cell>
          <cell r="E2871" t="str">
            <v>0749</v>
          </cell>
          <cell r="F2871" t="str">
            <v>C5</v>
          </cell>
          <cell r="G2871" t="str">
            <v>SP</v>
          </cell>
          <cell r="H2871" t="str">
            <v>DISTRIBUIÇÃO</v>
          </cell>
          <cell r="I2871" t="str">
            <v>FOOD SERVICE</v>
          </cell>
          <cell r="J2871" t="str">
            <v>FLAC 3</v>
          </cell>
          <cell r="K2871" t="str">
            <v>LACTALIS</v>
          </cell>
          <cell r="L2871" t="str">
            <v>RODRIGO</v>
          </cell>
          <cell r="M2871" t="str">
            <v>ALEXANDRO</v>
          </cell>
        </row>
        <row r="2872">
          <cell r="B2872">
            <v>5363252</v>
          </cell>
          <cell r="C2872" t="str">
            <v>MIMADA RESTAURANTE LTDA</v>
          </cell>
          <cell r="D2872" t="str">
            <v>7001</v>
          </cell>
          <cell r="E2872" t="str">
            <v>0749</v>
          </cell>
          <cell r="F2872" t="str">
            <v>C5</v>
          </cell>
          <cell r="G2872" t="str">
            <v>SP</v>
          </cell>
          <cell r="H2872" t="str">
            <v>DISTRIBUIÇÃO</v>
          </cell>
          <cell r="I2872" t="str">
            <v>FOOD SERVICE</v>
          </cell>
          <cell r="J2872" t="str">
            <v>FLAC 3</v>
          </cell>
          <cell r="K2872" t="str">
            <v>LACTALIS</v>
          </cell>
          <cell r="L2872" t="str">
            <v>RODRIGO</v>
          </cell>
          <cell r="M2872" t="str">
            <v>ALEXANDRO</v>
          </cell>
        </row>
        <row r="2873">
          <cell r="B2873">
            <v>5363410</v>
          </cell>
          <cell r="C2873" t="str">
            <v>63303709 MARIA DO CARMO ROZENDO</v>
          </cell>
          <cell r="D2873" t="str">
            <v>7001</v>
          </cell>
          <cell r="E2873" t="str">
            <v>0749</v>
          </cell>
          <cell r="F2873" t="str">
            <v>C5</v>
          </cell>
          <cell r="G2873" t="str">
            <v>SP</v>
          </cell>
          <cell r="H2873" t="str">
            <v>DISTRIBUIÇÃO</v>
          </cell>
          <cell r="I2873" t="str">
            <v>FOOD SERVICE</v>
          </cell>
          <cell r="J2873" t="str">
            <v>FLAC 2</v>
          </cell>
          <cell r="K2873" t="str">
            <v>LACTALIS</v>
          </cell>
          <cell r="L2873" t="str">
            <v>RODRIGO</v>
          </cell>
          <cell r="M2873" t="str">
            <v>ALEXANDRO</v>
          </cell>
        </row>
        <row r="2874">
          <cell r="B2874">
            <v>5127102</v>
          </cell>
          <cell r="C2874" t="str">
            <v>FORTALEZA SERVICOS DE BORDO LTDA</v>
          </cell>
          <cell r="D2874">
            <v>6001</v>
          </cell>
          <cell r="E2874">
            <v>6127</v>
          </cell>
          <cell r="F2874" t="str">
            <v>C1</v>
          </cell>
          <cell r="G2874" t="str">
            <v>CE</v>
          </cell>
          <cell r="H2874" t="str">
            <v>QSR</v>
          </cell>
          <cell r="I2874" t="str">
            <v>FOOD SERVICE</v>
          </cell>
          <cell r="J2874" t="str">
            <v>ANA MENIQUETE</v>
          </cell>
          <cell r="K2874" t="str">
            <v>ITAMBÉ</v>
          </cell>
          <cell r="L2874" t="str">
            <v>PEDRO</v>
          </cell>
          <cell r="M2874" t="str">
            <v>ANA MENIQUETE</v>
          </cell>
        </row>
        <row r="2875">
          <cell r="B2875">
            <v>5363330</v>
          </cell>
          <cell r="C2875" t="str">
            <v>RODRIGO COELHO 33292675855</v>
          </cell>
          <cell r="D2875">
            <v>3001</v>
          </cell>
          <cell r="E2875" t="str">
            <v>0028</v>
          </cell>
          <cell r="F2875" t="str">
            <v>C1</v>
          </cell>
          <cell r="G2875" t="str">
            <v>MG</v>
          </cell>
          <cell r="H2875" t="str">
            <v>INGREDIENTS</v>
          </cell>
          <cell r="I2875" t="str">
            <v>INGREDIENTS</v>
          </cell>
          <cell r="J2875" t="str">
            <v>DUAS RODAS</v>
          </cell>
          <cell r="K2875" t="str">
            <v>ITAMBÉ</v>
          </cell>
          <cell r="L2875" t="str">
            <v>MAURICIO</v>
          </cell>
          <cell r="M2875" t="str">
            <v>TATIANA NITTA</v>
          </cell>
        </row>
        <row r="2876">
          <cell r="B2876">
            <v>5030629</v>
          </cell>
          <cell r="C2876" t="str">
            <v>CRISTINA ZUNTINI SANTOS</v>
          </cell>
          <cell r="D2876" t="str">
            <v>6001</v>
          </cell>
          <cell r="E2876" t="str">
            <v>6125</v>
          </cell>
          <cell r="F2876" t="str">
            <v>C1</v>
          </cell>
          <cell r="G2876" t="str">
            <v>SP</v>
          </cell>
          <cell r="H2876" t="str">
            <v>DISTRIBUIÇÃO</v>
          </cell>
          <cell r="I2876" t="str">
            <v>FOOD SERVICE</v>
          </cell>
          <cell r="J2876" t="str">
            <v>EMMANUEL FRANCISCO</v>
          </cell>
          <cell r="K2876" t="str">
            <v>LACTALIS</v>
          </cell>
          <cell r="L2876" t="str">
            <v>RODRIGO</v>
          </cell>
          <cell r="M2876" t="str">
            <v>ALEXANDRO</v>
          </cell>
        </row>
        <row r="2877">
          <cell r="B2877">
            <v>5112934</v>
          </cell>
          <cell r="C2877" t="str">
            <v>COMERCIAL REAL DE ALIMENTOS LTD</v>
          </cell>
          <cell r="D2877" t="str">
            <v>3001</v>
          </cell>
          <cell r="E2877" t="str">
            <v>0122</v>
          </cell>
          <cell r="F2877" t="str">
            <v>C1</v>
          </cell>
          <cell r="G2877" t="str">
            <v>MG</v>
          </cell>
          <cell r="H2877" t="str">
            <v>DISTRIBUIÇÃO</v>
          </cell>
          <cell r="I2877" t="str">
            <v>FOOD SERVICE</v>
          </cell>
          <cell r="J2877" t="str">
            <v>MARCELO SILVA</v>
          </cell>
          <cell r="K2877" t="str">
            <v>ITAMBÉ</v>
          </cell>
          <cell r="L2877" t="str">
            <v>RODRIGO</v>
          </cell>
          <cell r="M2877" t="str">
            <v>CELIO MARTINS</v>
          </cell>
        </row>
        <row r="2878">
          <cell r="B2878">
            <v>5227433</v>
          </cell>
          <cell r="C2878" t="str">
            <v>NAILDSOM VIEIRA MAIA</v>
          </cell>
          <cell r="D2878" t="str">
            <v>7001</v>
          </cell>
          <cell r="E2878" t="str">
            <v>0749</v>
          </cell>
          <cell r="F2878" t="str">
            <v>C5</v>
          </cell>
          <cell r="G2878" t="str">
            <v>SP</v>
          </cell>
          <cell r="H2878" t="str">
            <v>DISTRIBUIÇÃO</v>
          </cell>
          <cell r="I2878" t="str">
            <v>FOOD SERVICE</v>
          </cell>
          <cell r="J2878" t="str">
            <v>FLAC 2</v>
          </cell>
          <cell r="K2878" t="str">
            <v>LACTALIS</v>
          </cell>
          <cell r="L2878" t="str">
            <v>RODRIGO</v>
          </cell>
          <cell r="M2878" t="str">
            <v>ALEXANDRO</v>
          </cell>
        </row>
        <row r="2879">
          <cell r="B2879">
            <v>5291816</v>
          </cell>
          <cell r="C2879" t="str">
            <v>VANDERLEY P LEANDRO 30991388860</v>
          </cell>
          <cell r="D2879" t="str">
            <v>7001</v>
          </cell>
          <cell r="E2879" t="str">
            <v>0749</v>
          </cell>
          <cell r="F2879" t="str">
            <v>C5</v>
          </cell>
          <cell r="G2879" t="str">
            <v>SP</v>
          </cell>
          <cell r="H2879" t="str">
            <v>DISTRIBUIÇÃO</v>
          </cell>
          <cell r="I2879" t="str">
            <v>FOOD SERVICE</v>
          </cell>
          <cell r="J2879" t="str">
            <v>FLAC 2</v>
          </cell>
          <cell r="K2879" t="str">
            <v>LACTALIS</v>
          </cell>
          <cell r="L2879" t="str">
            <v>RODRIGO</v>
          </cell>
          <cell r="M2879" t="str">
            <v>ALEXANDRO</v>
          </cell>
        </row>
        <row r="2880">
          <cell r="B2880">
            <v>5348324</v>
          </cell>
          <cell r="C2880" t="str">
            <v>DIST NORD DE CONFEIT E PANIF LT</v>
          </cell>
          <cell r="D2880" t="str">
            <v>6001</v>
          </cell>
          <cell r="E2880" t="str">
            <v>6127</v>
          </cell>
          <cell r="F2880" t="str">
            <v>C1</v>
          </cell>
          <cell r="G2880" t="str">
            <v>BA</v>
          </cell>
          <cell r="H2880" t="str">
            <v>DISTRIBUIÇÃO</v>
          </cell>
          <cell r="I2880" t="str">
            <v>FOOD SERVICE</v>
          </cell>
          <cell r="J2880" t="str">
            <v>CLAUDIO JORGE</v>
          </cell>
          <cell r="K2880" t="str">
            <v>LACTALIS</v>
          </cell>
          <cell r="L2880" t="str">
            <v>RODRIGO</v>
          </cell>
          <cell r="M2880" t="str">
            <v>VAGO NORDESTE</v>
          </cell>
        </row>
        <row r="2881">
          <cell r="B2881">
            <v>5363509</v>
          </cell>
          <cell r="C2881" t="str">
            <v>SORVETERIA BOLA DE PRATA LTDA</v>
          </cell>
          <cell r="D2881" t="str">
            <v>6001</v>
          </cell>
          <cell r="E2881" t="str">
            <v>6028</v>
          </cell>
          <cell r="F2881" t="str">
            <v>C1</v>
          </cell>
          <cell r="G2881" t="str">
            <v>SP</v>
          </cell>
          <cell r="H2881" t="str">
            <v>INGREDIENTS</v>
          </cell>
          <cell r="I2881" t="str">
            <v>INGREDIENTS</v>
          </cell>
          <cell r="J2881" t="str">
            <v>DUAS RODAS</v>
          </cell>
          <cell r="K2881" t="str">
            <v>ITAMBÉ</v>
          </cell>
          <cell r="L2881" t="str">
            <v>MAURICIO</v>
          </cell>
          <cell r="M2881" t="str">
            <v>TATIANA NITTA</v>
          </cell>
        </row>
        <row r="2882">
          <cell r="B2882">
            <v>5168877</v>
          </cell>
          <cell r="C2882" t="str">
            <v>GILSON PIMENTEL DA SILVA SORVETERIA</v>
          </cell>
          <cell r="D2882" t="str">
            <v>6001</v>
          </cell>
          <cell r="E2882" t="str">
            <v>6028</v>
          </cell>
          <cell r="F2882" t="str">
            <v>C1</v>
          </cell>
          <cell r="G2882" t="str">
            <v>RJ</v>
          </cell>
          <cell r="H2882" t="str">
            <v>INGREDIENTS</v>
          </cell>
          <cell r="I2882" t="str">
            <v>INGREDIENTS</v>
          </cell>
          <cell r="J2882" t="str">
            <v>DUAS RODAS</v>
          </cell>
          <cell r="K2882" t="str">
            <v>ITAMBÉ</v>
          </cell>
          <cell r="L2882" t="str">
            <v>MAURICIO</v>
          </cell>
          <cell r="M2882" t="str">
            <v>TATIANA NITTA</v>
          </cell>
        </row>
        <row r="2883">
          <cell r="B2883">
            <v>5181547</v>
          </cell>
          <cell r="C2883" t="str">
            <v>CB BH COMERCIO DE ALIMENTOS LTD</v>
          </cell>
          <cell r="D2883" t="str">
            <v>3001</v>
          </cell>
          <cell r="E2883" t="str">
            <v>0122</v>
          </cell>
          <cell r="F2883" t="str">
            <v>C1</v>
          </cell>
          <cell r="G2883" t="str">
            <v>MG</v>
          </cell>
          <cell r="H2883" t="str">
            <v>QSR</v>
          </cell>
          <cell r="I2883" t="str">
            <v>FOOD SERVICE</v>
          </cell>
          <cell r="J2883" t="str">
            <v>AMANDA CARVALHO</v>
          </cell>
          <cell r="K2883" t="str">
            <v>ITAMBÉ</v>
          </cell>
          <cell r="L2883" t="str">
            <v>PEDRO</v>
          </cell>
          <cell r="M2883" t="str">
            <v>AMANDA</v>
          </cell>
        </row>
        <row r="2884">
          <cell r="B2884">
            <v>5183340</v>
          </cell>
          <cell r="C2884" t="str">
            <v>CASA DA OMA IND E COM DE ALIM L</v>
          </cell>
          <cell r="D2884" t="str">
            <v>3001</v>
          </cell>
          <cell r="E2884" t="str">
            <v>0028</v>
          </cell>
          <cell r="F2884" t="str">
            <v>C1</v>
          </cell>
          <cell r="G2884" t="str">
            <v>SC</v>
          </cell>
          <cell r="H2884" t="str">
            <v>INGREDIENTS</v>
          </cell>
          <cell r="I2884" t="str">
            <v>INGREDIENTS</v>
          </cell>
          <cell r="J2884" t="str">
            <v>MARCELO RODRIGUES</v>
          </cell>
          <cell r="K2884" t="str">
            <v>LACTALIS</v>
          </cell>
          <cell r="L2884" t="str">
            <v>MAURICIO</v>
          </cell>
          <cell r="M2884" t="str">
            <v>MARCELO</v>
          </cell>
        </row>
        <row r="2885">
          <cell r="B2885">
            <v>5210973</v>
          </cell>
          <cell r="C2885" t="str">
            <v>CB PORTO ALEGRE COMERCIO DE ALI</v>
          </cell>
          <cell r="D2885" t="str">
            <v>3001</v>
          </cell>
          <cell r="E2885" t="str">
            <v>0126</v>
          </cell>
          <cell r="F2885" t="str">
            <v>C1</v>
          </cell>
          <cell r="G2885" t="str">
            <v>RS</v>
          </cell>
          <cell r="H2885" t="str">
            <v>QSR</v>
          </cell>
          <cell r="I2885" t="str">
            <v>FOOD SERVICE</v>
          </cell>
          <cell r="J2885" t="str">
            <v>AMANDA CARVALHO</v>
          </cell>
          <cell r="K2885" t="str">
            <v>ITAMBÉ</v>
          </cell>
          <cell r="L2885" t="str">
            <v>PEDRO</v>
          </cell>
          <cell r="M2885" t="str">
            <v>AMANDA</v>
          </cell>
        </row>
        <row r="2886">
          <cell r="B2886">
            <v>5227266</v>
          </cell>
          <cell r="C2886" t="str">
            <v>CB IGUATEMI FORTALEZA COM DE AL</v>
          </cell>
          <cell r="D2886" t="str">
            <v>6001</v>
          </cell>
          <cell r="E2886" t="str">
            <v>6127</v>
          </cell>
          <cell r="F2886" t="str">
            <v>C1</v>
          </cell>
          <cell r="G2886" t="str">
            <v>CE</v>
          </cell>
          <cell r="H2886" t="str">
            <v>QSR</v>
          </cell>
          <cell r="I2886" t="str">
            <v>FOOD SERVICE</v>
          </cell>
          <cell r="J2886" t="str">
            <v>AMANDA CARVALHO</v>
          </cell>
          <cell r="K2886" t="str">
            <v>ITAMBÉ</v>
          </cell>
          <cell r="L2886" t="str">
            <v>PEDRO</v>
          </cell>
          <cell r="M2886" t="str">
            <v>AMANDA</v>
          </cell>
        </row>
        <row r="2887">
          <cell r="B2887">
            <v>5294395</v>
          </cell>
          <cell r="C2887" t="str">
            <v>CB PORTO ALEGRE COM DE ALIMENT</v>
          </cell>
          <cell r="D2887" t="str">
            <v>3001</v>
          </cell>
          <cell r="E2887" t="str">
            <v>0126</v>
          </cell>
          <cell r="F2887" t="str">
            <v>C1</v>
          </cell>
          <cell r="G2887" t="str">
            <v>RS</v>
          </cell>
          <cell r="H2887" t="str">
            <v>QSR</v>
          </cell>
          <cell r="I2887" t="str">
            <v>FOOD SERVICE</v>
          </cell>
          <cell r="J2887" t="str">
            <v>AMANDA CARVALHO</v>
          </cell>
          <cell r="K2887" t="str">
            <v>ITAMBÉ</v>
          </cell>
          <cell r="L2887" t="str">
            <v>PEDRO</v>
          </cell>
          <cell r="M2887" t="str">
            <v>AMANDA</v>
          </cell>
        </row>
        <row r="2888">
          <cell r="B2888">
            <v>5342592</v>
          </cell>
          <cell r="C2888" t="str">
            <v>CB LONDRINA COM DE ALIMENTOS LT</v>
          </cell>
          <cell r="D2888" t="str">
            <v>3001</v>
          </cell>
          <cell r="E2888" t="str">
            <v>0126</v>
          </cell>
          <cell r="F2888" t="str">
            <v>C1</v>
          </cell>
          <cell r="G2888" t="str">
            <v>PR</v>
          </cell>
          <cell r="H2888" t="str">
            <v>QSR</v>
          </cell>
          <cell r="I2888" t="str">
            <v>FOOD SERVICE</v>
          </cell>
          <cell r="J2888" t="str">
            <v>AMANDA CARVALHO</v>
          </cell>
          <cell r="K2888" t="str">
            <v>ITAMBÉ</v>
          </cell>
          <cell r="L2888" t="str">
            <v>PEDRO</v>
          </cell>
          <cell r="M2888" t="str">
            <v>AMANDA</v>
          </cell>
        </row>
        <row r="2889">
          <cell r="B2889">
            <v>5350655</v>
          </cell>
          <cell r="C2889" t="str">
            <v>CB CAMPINAS COM DE ALIMEN LTDA</v>
          </cell>
          <cell r="D2889" t="str">
            <v>6001</v>
          </cell>
          <cell r="E2889" t="str">
            <v>6125</v>
          </cell>
          <cell r="F2889" t="str">
            <v>C1</v>
          </cell>
          <cell r="G2889" t="str">
            <v>SP</v>
          </cell>
          <cell r="H2889" t="str">
            <v>QSR</v>
          </cell>
          <cell r="I2889" t="str">
            <v>FOOD SERVICE</v>
          </cell>
          <cell r="J2889" t="str">
            <v>AMANDA CARVALHO</v>
          </cell>
          <cell r="K2889" t="str">
            <v>ITAMBÉ</v>
          </cell>
          <cell r="L2889" t="str">
            <v>PEDRO</v>
          </cell>
          <cell r="M2889" t="str">
            <v>AMANDA</v>
          </cell>
        </row>
        <row r="2890">
          <cell r="B2890">
            <v>5350677</v>
          </cell>
          <cell r="C2890" t="str">
            <v>CB GUARULHOS COMER DE ALIMEN LT</v>
          </cell>
          <cell r="D2890" t="str">
            <v>6001</v>
          </cell>
          <cell r="E2890" t="str">
            <v>6125</v>
          </cell>
          <cell r="F2890" t="str">
            <v>C1</v>
          </cell>
          <cell r="G2890" t="str">
            <v>SP</v>
          </cell>
          <cell r="H2890" t="str">
            <v>QSR</v>
          </cell>
          <cell r="I2890" t="str">
            <v>FOOD SERVICE</v>
          </cell>
          <cell r="J2890" t="str">
            <v>AMANDA CARVALHO</v>
          </cell>
          <cell r="K2890" t="str">
            <v>ITAMBÉ</v>
          </cell>
          <cell r="L2890" t="str">
            <v>PEDRO</v>
          </cell>
          <cell r="M2890" t="str">
            <v>AMANDA</v>
          </cell>
        </row>
        <row r="2891">
          <cell r="B2891">
            <v>5350695</v>
          </cell>
          <cell r="C2891" t="str">
            <v>CB JUNDIAI COMERCIO DE ALIMEN L</v>
          </cell>
          <cell r="D2891" t="str">
            <v>6001</v>
          </cell>
          <cell r="E2891" t="str">
            <v>6125</v>
          </cell>
          <cell r="F2891" t="str">
            <v>C1</v>
          </cell>
          <cell r="G2891" t="str">
            <v>SP</v>
          </cell>
          <cell r="H2891" t="str">
            <v>QSR</v>
          </cell>
          <cell r="I2891" t="str">
            <v>FOOD SERVICE</v>
          </cell>
          <cell r="J2891" t="str">
            <v>AMANDA CARVALHO</v>
          </cell>
          <cell r="K2891" t="str">
            <v>ITAMBÉ</v>
          </cell>
          <cell r="L2891" t="str">
            <v>PEDRO</v>
          </cell>
          <cell r="M2891" t="str">
            <v>AMANDA</v>
          </cell>
        </row>
        <row r="2892">
          <cell r="B2892">
            <v>5350696</v>
          </cell>
          <cell r="C2892" t="str">
            <v>CB JUNDIAI COMERCIO DE ALIMEN L</v>
          </cell>
          <cell r="D2892" t="str">
            <v>6001</v>
          </cell>
          <cell r="E2892" t="str">
            <v>6125</v>
          </cell>
          <cell r="F2892" t="str">
            <v>C1</v>
          </cell>
          <cell r="G2892" t="str">
            <v>SP</v>
          </cell>
          <cell r="H2892" t="str">
            <v>QSR</v>
          </cell>
          <cell r="I2892" t="str">
            <v>FOOD SERVICE</v>
          </cell>
          <cell r="J2892" t="str">
            <v>AMANDA CARVALHO</v>
          </cell>
          <cell r="K2892" t="str">
            <v>ITAMBÉ</v>
          </cell>
          <cell r="L2892" t="str">
            <v>PEDRO</v>
          </cell>
          <cell r="M2892" t="str">
            <v>AMANDA</v>
          </cell>
        </row>
        <row r="2893">
          <cell r="B2893">
            <v>5350699</v>
          </cell>
          <cell r="C2893" t="str">
            <v>CB OSASCO COMERCIO DE ALIMENTOS</v>
          </cell>
          <cell r="D2893" t="str">
            <v>6001</v>
          </cell>
          <cell r="E2893" t="str">
            <v>6125</v>
          </cell>
          <cell r="F2893" t="str">
            <v>C1</v>
          </cell>
          <cell r="G2893" t="str">
            <v>SP</v>
          </cell>
          <cell r="H2893" t="str">
            <v>QSR</v>
          </cell>
          <cell r="I2893" t="str">
            <v>FOOD SERVICE</v>
          </cell>
          <cell r="J2893" t="str">
            <v>AMANDA CARVALHO</v>
          </cell>
          <cell r="K2893" t="str">
            <v>ITAMBÉ</v>
          </cell>
          <cell r="L2893" t="str">
            <v>PEDRO</v>
          </cell>
          <cell r="M2893" t="str">
            <v>AMANDA</v>
          </cell>
        </row>
        <row r="2894">
          <cell r="B2894">
            <v>5350704</v>
          </cell>
          <cell r="C2894" t="str">
            <v>CB SOROCABA COMERCIO DE ALIMENT</v>
          </cell>
          <cell r="D2894" t="str">
            <v>6001</v>
          </cell>
          <cell r="E2894" t="str">
            <v>6125</v>
          </cell>
          <cell r="F2894" t="str">
            <v>C1</v>
          </cell>
          <cell r="G2894" t="str">
            <v>SP</v>
          </cell>
          <cell r="H2894" t="str">
            <v>QSR</v>
          </cell>
          <cell r="I2894" t="str">
            <v>FOOD SERVICE</v>
          </cell>
          <cell r="J2894" t="str">
            <v>AMANDA CARVALHO</v>
          </cell>
          <cell r="K2894" t="str">
            <v>ITAMBÉ</v>
          </cell>
          <cell r="L2894" t="str">
            <v>PEDRO</v>
          </cell>
          <cell r="M2894" t="str">
            <v>AMANDA</v>
          </cell>
        </row>
        <row r="2895">
          <cell r="B2895">
            <v>5351861</v>
          </cell>
          <cell r="C2895" t="str">
            <v>CB CONCEITO BH COM DE ALIM LTDA</v>
          </cell>
          <cell r="D2895" t="str">
            <v>3001</v>
          </cell>
          <cell r="E2895" t="str">
            <v>0122</v>
          </cell>
          <cell r="F2895" t="str">
            <v>C1</v>
          </cell>
          <cell r="G2895" t="str">
            <v>SP</v>
          </cell>
          <cell r="H2895" t="str">
            <v>QSR</v>
          </cell>
          <cell r="I2895" t="str">
            <v>FOOD SERVICE</v>
          </cell>
          <cell r="J2895" t="str">
            <v>AMANDA CARVALHO</v>
          </cell>
          <cell r="K2895" t="str">
            <v>ITAMBÉ</v>
          </cell>
          <cell r="L2895" t="str">
            <v>PEDRO</v>
          </cell>
          <cell r="M2895" t="str">
            <v>AMANDA</v>
          </cell>
        </row>
        <row r="2896">
          <cell r="B2896">
            <v>5351894</v>
          </cell>
          <cell r="C2896" t="str">
            <v>CB RIO NITEROI COMER DE ALIM LT</v>
          </cell>
          <cell r="D2896" t="str">
            <v>6001</v>
          </cell>
          <cell r="E2896" t="str">
            <v>6169</v>
          </cell>
          <cell r="F2896" t="str">
            <v>C1</v>
          </cell>
          <cell r="G2896" t="str">
            <v>RJ</v>
          </cell>
          <cell r="H2896" t="str">
            <v>QSR</v>
          </cell>
          <cell r="I2896" t="str">
            <v>FOOD SERVICE</v>
          </cell>
          <cell r="J2896" t="str">
            <v>AMANDA CARVALHO</v>
          </cell>
          <cell r="K2896" t="str">
            <v>ITAMBÉ</v>
          </cell>
          <cell r="L2896" t="str">
            <v>PEDRO</v>
          </cell>
          <cell r="M2896" t="str">
            <v>AMANDA</v>
          </cell>
        </row>
        <row r="2897">
          <cell r="B2897">
            <v>5352111</v>
          </cell>
          <cell r="C2897" t="str">
            <v>COCO BAMBU PIZZARIA LTDA</v>
          </cell>
          <cell r="D2897" t="str">
            <v>6001</v>
          </cell>
          <cell r="E2897" t="str">
            <v>6127</v>
          </cell>
          <cell r="F2897" t="str">
            <v>C1</v>
          </cell>
          <cell r="G2897" t="str">
            <v>CE</v>
          </cell>
          <cell r="H2897" t="str">
            <v>QSR</v>
          </cell>
          <cell r="I2897" t="str">
            <v>FOOD SERVICE</v>
          </cell>
          <cell r="J2897" t="str">
            <v>AMANDA CARVALHO</v>
          </cell>
          <cell r="K2897" t="str">
            <v>ITAMBÉ</v>
          </cell>
          <cell r="L2897" t="str">
            <v>PEDRO</v>
          </cell>
          <cell r="M2897" t="str">
            <v>AMANDA</v>
          </cell>
        </row>
        <row r="2898">
          <cell r="B2898">
            <v>5352254</v>
          </cell>
          <cell r="C2898" t="str">
            <v>COCO BAMBU SUL PIZZARIA LTDA</v>
          </cell>
          <cell r="D2898" t="str">
            <v>6001</v>
          </cell>
          <cell r="E2898" t="str">
            <v>6127</v>
          </cell>
          <cell r="F2898" t="str">
            <v>C1</v>
          </cell>
          <cell r="G2898" t="str">
            <v>CE</v>
          </cell>
          <cell r="H2898" t="str">
            <v>QSR</v>
          </cell>
          <cell r="I2898" t="str">
            <v>FOOD SERVICE</v>
          </cell>
          <cell r="J2898" t="str">
            <v>AMANDA CARVALHO</v>
          </cell>
          <cell r="K2898" t="str">
            <v>ITAMBÉ</v>
          </cell>
          <cell r="L2898" t="str">
            <v>PEDRO</v>
          </cell>
          <cell r="M2898" t="str">
            <v>AMANDA</v>
          </cell>
        </row>
        <row r="2899">
          <cell r="B2899">
            <v>5352264</v>
          </cell>
          <cell r="C2899" t="str">
            <v>DOM PASTEL ALIMENTOS LTDA</v>
          </cell>
          <cell r="D2899" t="str">
            <v>6001</v>
          </cell>
          <cell r="E2899" t="str">
            <v>6127</v>
          </cell>
          <cell r="F2899" t="str">
            <v>C1</v>
          </cell>
          <cell r="G2899" t="str">
            <v>CE</v>
          </cell>
          <cell r="H2899" t="str">
            <v>QSR</v>
          </cell>
          <cell r="I2899" t="str">
            <v>FOOD SERVICE</v>
          </cell>
          <cell r="J2899" t="str">
            <v>AMANDA CARVALHO</v>
          </cell>
          <cell r="K2899" t="str">
            <v>ITAMBÉ</v>
          </cell>
          <cell r="L2899" t="str">
            <v>PEDRO</v>
          </cell>
          <cell r="M2899" t="str">
            <v>AMANDA</v>
          </cell>
        </row>
        <row r="2900">
          <cell r="B2900">
            <v>5352364</v>
          </cell>
          <cell r="C2900" t="str">
            <v>COCO BAMBU TERESINA LTDA</v>
          </cell>
          <cell r="D2900" t="str">
            <v>3001</v>
          </cell>
          <cell r="E2900" t="str">
            <v>0128</v>
          </cell>
          <cell r="F2900" t="str">
            <v>C1</v>
          </cell>
          <cell r="G2900" t="str">
            <v>PI</v>
          </cell>
          <cell r="H2900" t="str">
            <v>QSR</v>
          </cell>
          <cell r="I2900" t="str">
            <v>FOOD SERVICE</v>
          </cell>
          <cell r="J2900" t="str">
            <v>AMANDA CARVALHO</v>
          </cell>
          <cell r="K2900" t="str">
            <v>ITAMBÉ</v>
          </cell>
          <cell r="L2900" t="str">
            <v>PEDRO</v>
          </cell>
          <cell r="M2900" t="str">
            <v>AMANDA</v>
          </cell>
        </row>
        <row r="2901">
          <cell r="B2901">
            <v>5353734</v>
          </cell>
          <cell r="C2901" t="str">
            <v>CB ANAPOLIS COMER DE ALIME LTDA</v>
          </cell>
          <cell r="D2901" t="str">
            <v>3001</v>
          </cell>
          <cell r="E2901" t="str">
            <v>0123</v>
          </cell>
          <cell r="F2901" t="str">
            <v>C1</v>
          </cell>
          <cell r="G2901" t="str">
            <v>GO</v>
          </cell>
          <cell r="H2901" t="str">
            <v>QSR</v>
          </cell>
          <cell r="I2901" t="str">
            <v>FOOD SERVICE</v>
          </cell>
          <cell r="J2901" t="str">
            <v>AMANDA CARVALHO</v>
          </cell>
          <cell r="K2901" t="str">
            <v>ITAMBÉ</v>
          </cell>
          <cell r="L2901" t="str">
            <v>PEDRO</v>
          </cell>
          <cell r="M2901" t="str">
            <v>AMANDA</v>
          </cell>
        </row>
        <row r="2902">
          <cell r="B2902">
            <v>5363097</v>
          </cell>
          <cell r="C2902" t="str">
            <v>PDO ALIMENTOS E COME SOCIE EMPR</v>
          </cell>
          <cell r="D2902" t="str">
            <v>7001</v>
          </cell>
          <cell r="E2902" t="str">
            <v>0749</v>
          </cell>
          <cell r="F2902" t="str">
            <v>C5</v>
          </cell>
          <cell r="G2902" t="str">
            <v>SP</v>
          </cell>
          <cell r="H2902" t="str">
            <v>DISTRIBUIÇÃO</v>
          </cell>
          <cell r="I2902" t="str">
            <v>FOOD SERVICE</v>
          </cell>
          <cell r="J2902" t="str">
            <v>FLAC 5</v>
          </cell>
          <cell r="K2902" t="str">
            <v>LACTALIS</v>
          </cell>
          <cell r="L2902" t="str">
            <v>RODRIGO</v>
          </cell>
          <cell r="M2902" t="str">
            <v>ALEXANDRO</v>
          </cell>
        </row>
        <row r="2903">
          <cell r="B2903">
            <v>5363421</v>
          </cell>
          <cell r="C2903" t="str">
            <v>KATIA DOS SANTOS SILVA</v>
          </cell>
          <cell r="D2903" t="str">
            <v>3001</v>
          </cell>
          <cell r="E2903" t="str">
            <v>0028</v>
          </cell>
          <cell r="F2903" t="str">
            <v>C1</v>
          </cell>
          <cell r="G2903" t="str">
            <v>SC</v>
          </cell>
          <cell r="H2903" t="str">
            <v>INGREDIENTS</v>
          </cell>
          <cell r="I2903" t="str">
            <v>INGREDIENTS</v>
          </cell>
          <cell r="J2903" t="str">
            <v>MARCELO RODRIGUES</v>
          </cell>
          <cell r="K2903" t="str">
            <v>LACTALIS</v>
          </cell>
          <cell r="L2903" t="str">
            <v>MAURICIO</v>
          </cell>
          <cell r="M2903" t="str">
            <v>MARCELO</v>
          </cell>
        </row>
        <row r="2904">
          <cell r="B2904">
            <v>5181223</v>
          </cell>
          <cell r="C2904" t="str">
            <v>TAUA HOTEL E CONVNTION ATIBAIA</v>
          </cell>
          <cell r="D2904" t="str">
            <v>7001</v>
          </cell>
          <cell r="E2904" t="str">
            <v>0722</v>
          </cell>
          <cell r="F2904" t="str">
            <v>C1</v>
          </cell>
          <cell r="G2904" t="str">
            <v>SP</v>
          </cell>
          <cell r="H2904" t="str">
            <v>QSR</v>
          </cell>
          <cell r="I2904" t="str">
            <v>FOOD SERVICE</v>
          </cell>
          <cell r="J2904" t="str">
            <v>ANA MENIQUETE</v>
          </cell>
          <cell r="K2904" t="str">
            <v>ITAMBÉ</v>
          </cell>
          <cell r="L2904" t="str">
            <v>PEDRO</v>
          </cell>
          <cell r="M2904" t="str">
            <v>ANA MENIQUETE</v>
          </cell>
        </row>
        <row r="2905">
          <cell r="B2905">
            <v>5315925</v>
          </cell>
          <cell r="C2905" t="str">
            <v>CB VITORIA COMERCIO DE ALIMENTO</v>
          </cell>
          <cell r="D2905" t="str">
            <v>6001</v>
          </cell>
          <cell r="E2905" t="str">
            <v>6169</v>
          </cell>
          <cell r="F2905" t="str">
            <v>C1</v>
          </cell>
          <cell r="G2905" t="str">
            <v>ES</v>
          </cell>
          <cell r="H2905" t="str">
            <v>QSR</v>
          </cell>
          <cell r="I2905" t="str">
            <v>FOOD SERVICE</v>
          </cell>
          <cell r="J2905" t="str">
            <v>AMANDA CARVALHO</v>
          </cell>
          <cell r="K2905" t="str">
            <v>ITAMBÉ</v>
          </cell>
          <cell r="L2905" t="str">
            <v>PEDRO</v>
          </cell>
          <cell r="M2905" t="str">
            <v>AMANDA</v>
          </cell>
        </row>
        <row r="2906">
          <cell r="B2906">
            <v>5041289</v>
          </cell>
          <cell r="C2906" t="str">
            <v>C B BRASILIA COM DE ALIMENTOS LTDA</v>
          </cell>
          <cell r="D2906" t="str">
            <v>6001</v>
          </cell>
          <cell r="E2906" t="str">
            <v>6123</v>
          </cell>
          <cell r="F2906" t="str">
            <v>C1</v>
          </cell>
          <cell r="G2906" t="str">
            <v>DF</v>
          </cell>
          <cell r="H2906" t="str">
            <v>QSR</v>
          </cell>
          <cell r="I2906" t="str">
            <v>FOOD SERVICE</v>
          </cell>
          <cell r="J2906" t="str">
            <v>AMANDA CARVALHO</v>
          </cell>
          <cell r="K2906" t="str">
            <v>ITAMBÉ</v>
          </cell>
          <cell r="L2906" t="str">
            <v>PEDRO</v>
          </cell>
          <cell r="M2906" t="str">
            <v>AMANDA</v>
          </cell>
        </row>
        <row r="2907">
          <cell r="B2907">
            <v>5148812</v>
          </cell>
          <cell r="C2907" t="str">
            <v>CB VILA VELHA COM ALIMENTOS LTD</v>
          </cell>
          <cell r="D2907" t="str">
            <v>6001</v>
          </cell>
          <cell r="E2907" t="str">
            <v>6169</v>
          </cell>
          <cell r="F2907" t="str">
            <v>C1</v>
          </cell>
          <cell r="G2907" t="str">
            <v>ES</v>
          </cell>
          <cell r="H2907" t="str">
            <v>QSR</v>
          </cell>
          <cell r="I2907" t="str">
            <v>FOOD SERVICE</v>
          </cell>
          <cell r="J2907" t="str">
            <v>AMANDA CARVALHO</v>
          </cell>
          <cell r="K2907" t="str">
            <v>ITAMBÉ</v>
          </cell>
          <cell r="L2907" t="str">
            <v>PEDRO</v>
          </cell>
          <cell r="M2907" t="str">
            <v>AMANDA</v>
          </cell>
        </row>
        <row r="2908">
          <cell r="B2908">
            <v>5182612</v>
          </cell>
          <cell r="C2908" t="str">
            <v>CB UBERLANDIA COMERCIO DE ALIME</v>
          </cell>
          <cell r="D2908" t="str">
            <v>3001</v>
          </cell>
          <cell r="E2908" t="str">
            <v>0122</v>
          </cell>
          <cell r="F2908" t="str">
            <v>C1</v>
          </cell>
          <cell r="G2908" t="str">
            <v>MG</v>
          </cell>
          <cell r="H2908" t="str">
            <v>QSR</v>
          </cell>
          <cell r="I2908" t="str">
            <v>FOOD SERVICE</v>
          </cell>
          <cell r="J2908" t="str">
            <v>AMANDA CARVALHO</v>
          </cell>
          <cell r="K2908" t="str">
            <v>ITAMBÉ</v>
          </cell>
          <cell r="L2908" t="str">
            <v>PEDRO</v>
          </cell>
          <cell r="M2908" t="str">
            <v>AMANDA</v>
          </cell>
        </row>
        <row r="2909">
          <cell r="B2909">
            <v>5223622</v>
          </cell>
          <cell r="C2909" t="str">
            <v>CBX CG COMERCIO DE ALIMENTOS LT</v>
          </cell>
          <cell r="D2909" t="str">
            <v>6001</v>
          </cell>
          <cell r="E2909" t="str">
            <v>6123</v>
          </cell>
          <cell r="F2909" t="str">
            <v>C1</v>
          </cell>
          <cell r="G2909" t="str">
            <v>MS</v>
          </cell>
          <cell r="H2909" t="str">
            <v>QSR</v>
          </cell>
          <cell r="I2909" t="str">
            <v>FOOD SERVICE</v>
          </cell>
          <cell r="J2909" t="str">
            <v>AMANDA CARVALHO</v>
          </cell>
          <cell r="K2909" t="str">
            <v>ITAMBÉ</v>
          </cell>
          <cell r="L2909" t="str">
            <v>PEDRO</v>
          </cell>
          <cell r="M2909" t="str">
            <v>AMANDA</v>
          </cell>
        </row>
        <row r="2910">
          <cell r="B2910">
            <v>5352345</v>
          </cell>
          <cell r="C2910" t="str">
            <v>CB CUIABA COMERCIO DE ALIMENT L</v>
          </cell>
          <cell r="D2910" t="str">
            <v>6001</v>
          </cell>
          <cell r="E2910" t="str">
            <v>6123</v>
          </cell>
          <cell r="F2910" t="str">
            <v>C1</v>
          </cell>
          <cell r="G2910" t="str">
            <v>MT</v>
          </cell>
          <cell r="H2910" t="str">
            <v>QSR</v>
          </cell>
          <cell r="I2910" t="str">
            <v>FOOD SERVICE</v>
          </cell>
          <cell r="J2910" t="str">
            <v>AMANDA CARVALHO</v>
          </cell>
          <cell r="K2910" t="str">
            <v>ITAMBÉ</v>
          </cell>
          <cell r="L2910" t="str">
            <v>PEDRO</v>
          </cell>
          <cell r="M2910" t="str">
            <v>AMANDA</v>
          </cell>
        </row>
        <row r="2911">
          <cell r="B2911">
            <v>5352346</v>
          </cell>
          <cell r="C2911" t="str">
            <v>FGF ALIMENTOS LTDA</v>
          </cell>
          <cell r="D2911" t="str">
            <v>6001</v>
          </cell>
          <cell r="E2911" t="str">
            <v>6127</v>
          </cell>
          <cell r="F2911" t="str">
            <v>C1</v>
          </cell>
          <cell r="G2911" t="str">
            <v>BA</v>
          </cell>
          <cell r="H2911" t="str">
            <v>QSR</v>
          </cell>
          <cell r="I2911" t="str">
            <v>FOOD SERVICE</v>
          </cell>
          <cell r="J2911" t="str">
            <v>AMANDA CARVALHO</v>
          </cell>
          <cell r="K2911" t="str">
            <v>ITAMBÉ</v>
          </cell>
          <cell r="L2911" t="str">
            <v>PEDRO</v>
          </cell>
          <cell r="M2911" t="str">
            <v>AMANDA</v>
          </cell>
        </row>
        <row r="2912">
          <cell r="B2912">
            <v>5352421</v>
          </cell>
          <cell r="C2912" t="str">
            <v>CB AGUAS CLARAS COM DE ALIMENTO</v>
          </cell>
          <cell r="D2912" t="str">
            <v>6001</v>
          </cell>
          <cell r="E2912" t="str">
            <v>6123</v>
          </cell>
          <cell r="F2912" t="str">
            <v>C1</v>
          </cell>
          <cell r="G2912" t="str">
            <v>DF</v>
          </cell>
          <cell r="H2912" t="str">
            <v>QSR</v>
          </cell>
          <cell r="I2912" t="str">
            <v>FOOD SERVICE</v>
          </cell>
          <cell r="J2912" t="str">
            <v>AMANDA CARVALHO</v>
          </cell>
          <cell r="K2912" t="str">
            <v>ITAMBÉ</v>
          </cell>
          <cell r="L2912" t="str">
            <v>PEDRO</v>
          </cell>
          <cell r="M2912" t="str">
            <v>AMANDA</v>
          </cell>
        </row>
        <row r="2913">
          <cell r="B2913">
            <v>5352423</v>
          </cell>
          <cell r="C2913" t="str">
            <v>CB LAGO SUL COMERCIO DE ALIMEN</v>
          </cell>
          <cell r="D2913" t="str">
            <v>6001</v>
          </cell>
          <cell r="E2913" t="str">
            <v>6123</v>
          </cell>
          <cell r="F2913" t="str">
            <v>C1</v>
          </cell>
          <cell r="G2913" t="str">
            <v>DF</v>
          </cell>
          <cell r="H2913" t="str">
            <v>QSR</v>
          </cell>
          <cell r="I2913" t="str">
            <v>FOOD SERVICE</v>
          </cell>
          <cell r="J2913" t="str">
            <v>AMANDA CARVALHO</v>
          </cell>
          <cell r="K2913" t="str">
            <v>ITAMBÉ</v>
          </cell>
          <cell r="L2913" t="str">
            <v>PEDRO</v>
          </cell>
          <cell r="M2913" t="str">
            <v>AMANDA</v>
          </cell>
        </row>
        <row r="2914">
          <cell r="B2914">
            <v>5352459</v>
          </cell>
          <cell r="C2914" t="str">
            <v>CB PARK SHOPPING COMER DE ALIM</v>
          </cell>
          <cell r="D2914" t="str">
            <v>6001</v>
          </cell>
          <cell r="E2914" t="str">
            <v>6123</v>
          </cell>
          <cell r="F2914" t="str">
            <v>C1</v>
          </cell>
          <cell r="G2914" t="str">
            <v>DF</v>
          </cell>
          <cell r="H2914" t="str">
            <v>QSR</v>
          </cell>
          <cell r="I2914" t="str">
            <v>FOOD SERVICE</v>
          </cell>
          <cell r="J2914" t="str">
            <v>AMANDA CARVALHO</v>
          </cell>
          <cell r="K2914" t="str">
            <v>ITAMBÉ</v>
          </cell>
          <cell r="L2914" t="str">
            <v>PEDRO</v>
          </cell>
          <cell r="M2914" t="str">
            <v>AMANDA</v>
          </cell>
        </row>
        <row r="2915">
          <cell r="B2915">
            <v>5352420</v>
          </cell>
          <cell r="C2915" t="str">
            <v>CB AGUAS CLARAS COM DE ALIM LTDA</v>
          </cell>
          <cell r="D2915">
            <v>6001</v>
          </cell>
          <cell r="E2915" t="str">
            <v>6123</v>
          </cell>
          <cell r="F2915" t="str">
            <v>C1</v>
          </cell>
          <cell r="G2915" t="str">
            <v>DF</v>
          </cell>
          <cell r="H2915" t="str">
            <v>QSR</v>
          </cell>
          <cell r="I2915" t="str">
            <v>FOOD SERVICE</v>
          </cell>
          <cell r="J2915" t="str">
            <v>AMANDA CARVALHO</v>
          </cell>
          <cell r="K2915" t="str">
            <v>ITAMBÉ</v>
          </cell>
          <cell r="L2915" t="str">
            <v>PEDRO</v>
          </cell>
          <cell r="M2915" t="str">
            <v>AMANDA</v>
          </cell>
        </row>
        <row r="2916">
          <cell r="B2916">
            <v>5336832</v>
          </cell>
          <cell r="C2916" t="str">
            <v>COLORADO COMERCIO DE SORVETES LTDA</v>
          </cell>
          <cell r="D2916">
            <v>6001</v>
          </cell>
          <cell r="E2916" t="str">
            <v>6125</v>
          </cell>
          <cell r="F2916" t="str">
            <v>C1</v>
          </cell>
          <cell r="G2916" t="str">
            <v>SP</v>
          </cell>
          <cell r="H2916" t="str">
            <v>QSR</v>
          </cell>
          <cell r="I2916" t="str">
            <v>FOOD SERVICE</v>
          </cell>
          <cell r="J2916" t="str">
            <v>NUTRI</v>
          </cell>
          <cell r="K2916" t="str">
            <v>ITAMBÉ</v>
          </cell>
          <cell r="L2916" t="str">
            <v>PEDRO</v>
          </cell>
          <cell r="M2916" t="str">
            <v>AMANDA</v>
          </cell>
        </row>
        <row r="2917">
          <cell r="B2917">
            <v>5151341</v>
          </cell>
          <cell r="C2917" t="str">
            <v>FORMAGGIO DISTRIBUICAO ALIMENTOS LT</v>
          </cell>
          <cell r="D2917" t="str">
            <v>7001</v>
          </cell>
          <cell r="E2917" t="str">
            <v>0559</v>
          </cell>
          <cell r="F2917" t="str">
            <v>C5</v>
          </cell>
          <cell r="G2917" t="str">
            <v>PE</v>
          </cell>
          <cell r="H2917" t="str">
            <v>DISTRIBUIÇÃO</v>
          </cell>
          <cell r="I2917" t="str">
            <v>FOOD SERVICE</v>
          </cell>
          <cell r="J2917" t="str">
            <v>CLAUDIO JORGE</v>
          </cell>
          <cell r="K2917" t="str">
            <v>LACTALIS</v>
          </cell>
          <cell r="L2917" t="str">
            <v>RODRIGO</v>
          </cell>
          <cell r="M2917" t="str">
            <v>VAGO NORDESTE</v>
          </cell>
        </row>
        <row r="2918">
          <cell r="B2918">
            <v>5359928</v>
          </cell>
          <cell r="C2918" t="str">
            <v>V BARNABE COMERCIO E SERVICOS DE AL</v>
          </cell>
          <cell r="D2918" t="str">
            <v>7001</v>
          </cell>
          <cell r="E2918" t="str">
            <v>0749</v>
          </cell>
          <cell r="F2918" t="str">
            <v>C5</v>
          </cell>
          <cell r="G2918" t="str">
            <v>SP</v>
          </cell>
          <cell r="H2918" t="str">
            <v>DISTRIBUIÇÃO</v>
          </cell>
          <cell r="I2918" t="str">
            <v>FOOD SERVICE</v>
          </cell>
          <cell r="J2918" t="str">
            <v>FLAC 4</v>
          </cell>
          <cell r="K2918" t="str">
            <v>LACTALIS</v>
          </cell>
          <cell r="L2918" t="str">
            <v>RODRIGO</v>
          </cell>
          <cell r="M2918" t="str">
            <v>ALEXANDRO</v>
          </cell>
        </row>
        <row r="2919">
          <cell r="B2919">
            <v>5362876</v>
          </cell>
          <cell r="C2919" t="str">
            <v>SERIDOPLAST ATACADISTA LTDA</v>
          </cell>
          <cell r="D2919" t="str">
            <v>3001</v>
          </cell>
          <cell r="E2919" t="str">
            <v>0028</v>
          </cell>
          <cell r="F2919" t="str">
            <v>C1</v>
          </cell>
          <cell r="G2919" t="str">
            <v>RN</v>
          </cell>
          <cell r="H2919" t="str">
            <v>INGREDIENTS</v>
          </cell>
          <cell r="I2919" t="str">
            <v>INGREDIENTS</v>
          </cell>
          <cell r="J2919" t="str">
            <v>JOEL ELEOTÉRIO</v>
          </cell>
          <cell r="K2919" t="str">
            <v>ITAMBÉ</v>
          </cell>
          <cell r="L2919" t="str">
            <v>MAURICIO</v>
          </cell>
          <cell r="M2919" t="str">
            <v>JOEL</v>
          </cell>
        </row>
        <row r="2920">
          <cell r="B2920">
            <v>5345440</v>
          </cell>
          <cell r="C2920" t="str">
            <v>FORMENTON ATACADISTA DE FRIOS LTDA</v>
          </cell>
          <cell r="D2920" t="str">
            <v>6001</v>
          </cell>
          <cell r="E2920" t="str">
            <v>6125</v>
          </cell>
          <cell r="F2920" t="str">
            <v>C1</v>
          </cell>
          <cell r="G2920" t="str">
            <v>SP</v>
          </cell>
          <cell r="H2920" t="str">
            <v>DISTRIBUIÇÃO</v>
          </cell>
          <cell r="I2920" t="str">
            <v>FOOD SERVICE</v>
          </cell>
          <cell r="J2920" t="str">
            <v>EMMANUEL FRANCISCO</v>
          </cell>
          <cell r="K2920" t="str">
            <v>ITAMBÉ</v>
          </cell>
          <cell r="L2920" t="str">
            <v>RODRIGO</v>
          </cell>
          <cell r="M2920" t="str">
            <v>ALEXANDRO</v>
          </cell>
        </row>
        <row r="2921">
          <cell r="B2921">
            <v>5363684</v>
          </cell>
          <cell r="C2921" t="str">
            <v>BAKERY AND MUSIC BOUTIQUE DE PAES L</v>
          </cell>
          <cell r="D2921" t="str">
            <v>7001</v>
          </cell>
          <cell r="E2921" t="str">
            <v>0749</v>
          </cell>
          <cell r="F2921" t="str">
            <v>C5</v>
          </cell>
          <cell r="G2921" t="str">
            <v>SP</v>
          </cell>
          <cell r="H2921" t="str">
            <v>DISTRIBUIÇÃO</v>
          </cell>
          <cell r="I2921" t="str">
            <v>FOOD SERVICE</v>
          </cell>
          <cell r="J2921" t="str">
            <v>FLAC 2</v>
          </cell>
          <cell r="K2921" t="str">
            <v>LACTALIS</v>
          </cell>
          <cell r="L2921" t="str">
            <v>RODRIGO</v>
          </cell>
          <cell r="M2921" t="str">
            <v>ALEXANDRO</v>
          </cell>
        </row>
        <row r="2922">
          <cell r="B2922">
            <v>5363801</v>
          </cell>
          <cell r="C2922" t="str">
            <v>LOVE SUITES LTDA</v>
          </cell>
          <cell r="D2922" t="str">
            <v>7001</v>
          </cell>
          <cell r="E2922" t="str">
            <v>0749</v>
          </cell>
          <cell r="F2922" t="str">
            <v>C5</v>
          </cell>
          <cell r="G2922" t="str">
            <v>SP</v>
          </cell>
          <cell r="H2922" t="str">
            <v>DISTRIBUIÇÃO</v>
          </cell>
          <cell r="I2922" t="str">
            <v>FOOD SERVICE</v>
          </cell>
          <cell r="J2922" t="str">
            <v>FLAC 6</v>
          </cell>
          <cell r="K2922" t="str">
            <v>LACTALIS</v>
          </cell>
          <cell r="L2922" t="str">
            <v>RODRIGO</v>
          </cell>
          <cell r="M2922" t="str">
            <v>ALEXANDRO</v>
          </cell>
        </row>
        <row r="2923">
          <cell r="B2923">
            <v>5105392</v>
          </cell>
          <cell r="C2923" t="str">
            <v>PEC COM DE DOCES E ORG DE FESTAS LT</v>
          </cell>
          <cell r="D2923" t="str">
            <v>6001</v>
          </cell>
          <cell r="E2923" t="str">
            <v>6125</v>
          </cell>
          <cell r="F2923" t="str">
            <v>C1</v>
          </cell>
          <cell r="G2923" t="str">
            <v>SP</v>
          </cell>
          <cell r="H2923" t="str">
            <v>DISTRIBUIÇÃO</v>
          </cell>
          <cell r="I2923" t="str">
            <v>FOOD SERVICE</v>
          </cell>
          <cell r="J2923" t="str">
            <v>EMMANUEL FRANCISCO</v>
          </cell>
          <cell r="K2923" t="str">
            <v>ITAMBÉ</v>
          </cell>
          <cell r="L2923" t="str">
            <v>RODRIGO</v>
          </cell>
          <cell r="M2923" t="str">
            <v>ALEXANDRO</v>
          </cell>
        </row>
        <row r="2924">
          <cell r="B2924">
            <v>5226511</v>
          </cell>
          <cell r="C2924" t="str">
            <v>CHOCOLATES GAROTO LTDA</v>
          </cell>
          <cell r="D2924" t="str">
            <v>3001</v>
          </cell>
          <cell r="E2924" t="str">
            <v>0028</v>
          </cell>
          <cell r="F2924" t="str">
            <v>C1</v>
          </cell>
          <cell r="G2924" t="str">
            <v>ES</v>
          </cell>
          <cell r="H2924" t="str">
            <v>INGREDIENTS</v>
          </cell>
          <cell r="I2924" t="str">
            <v>INGREDIENTS</v>
          </cell>
          <cell r="J2924" t="str">
            <v>MARCELO RODRIGUES</v>
          </cell>
          <cell r="K2924" t="str">
            <v>ITAMBÉ</v>
          </cell>
          <cell r="L2924" t="str">
            <v>MAURICIO</v>
          </cell>
          <cell r="M2924" t="str">
            <v>MARCELO</v>
          </cell>
        </row>
        <row r="2925">
          <cell r="B2925">
            <v>5233735</v>
          </cell>
          <cell r="C2925" t="str">
            <v>IND MATSUBARA DE PROD ALIMENTIC</v>
          </cell>
          <cell r="D2925" t="str">
            <v>4001</v>
          </cell>
          <cell r="E2925" t="str">
            <v>0437</v>
          </cell>
          <cell r="F2925" t="str">
            <v>C1</v>
          </cell>
          <cell r="G2925" t="str">
            <v>AL</v>
          </cell>
          <cell r="H2925" t="str">
            <v>INGREDIENTS</v>
          </cell>
          <cell r="I2925" t="str">
            <v>INGREDIENTS</v>
          </cell>
          <cell r="J2925" t="str">
            <v>JOEL ELEOTÉRIO</v>
          </cell>
          <cell r="K2925" t="str">
            <v>LACTALIS</v>
          </cell>
          <cell r="L2925" t="str">
            <v>MAURICIO</v>
          </cell>
          <cell r="M2925" t="str">
            <v>JOEL</v>
          </cell>
        </row>
        <row r="2926">
          <cell r="B2926">
            <v>5337960</v>
          </cell>
          <cell r="C2926" t="str">
            <v>ULTRASUCAR LTDA</v>
          </cell>
          <cell r="D2926" t="str">
            <v>4001</v>
          </cell>
          <cell r="E2926" t="str">
            <v>0437</v>
          </cell>
          <cell r="F2926" t="str">
            <v>C1</v>
          </cell>
          <cell r="G2926" t="str">
            <v>SP</v>
          </cell>
          <cell r="H2926" t="str">
            <v>INGREDIENTS</v>
          </cell>
          <cell r="I2926" t="str">
            <v>INGREDIENTS</v>
          </cell>
          <cell r="J2926" t="str">
            <v>MARCELO RODRIGUES</v>
          </cell>
          <cell r="K2926" t="str">
            <v>LACTALIS</v>
          </cell>
          <cell r="L2926" t="str">
            <v>MAURICIO</v>
          </cell>
          <cell r="M2926" t="str">
            <v>MARCELO</v>
          </cell>
        </row>
        <row r="2927">
          <cell r="B2927">
            <v>5347103</v>
          </cell>
          <cell r="C2927" t="str">
            <v>DUBALY INDUSTRIA E COMERCIO</v>
          </cell>
          <cell r="D2927" t="str">
            <v>4001</v>
          </cell>
          <cell r="E2927" t="str">
            <v>0458</v>
          </cell>
          <cell r="F2927" t="str">
            <v>C1</v>
          </cell>
          <cell r="G2927" t="str">
            <v>MG</v>
          </cell>
          <cell r="H2927" t="str">
            <v>INGREDIENTS</v>
          </cell>
          <cell r="I2927" t="str">
            <v>INGREDIENTS</v>
          </cell>
          <cell r="J2927" t="str">
            <v>MARCELO RODRIGUES</v>
          </cell>
          <cell r="K2927" t="str">
            <v>LACTALIS</v>
          </cell>
          <cell r="L2927" t="str">
            <v>MAURICIO</v>
          </cell>
          <cell r="M2927" t="str">
            <v>MARCELO</v>
          </cell>
        </row>
        <row r="2928">
          <cell r="B2928" t="str">
            <v>5002549</v>
          </cell>
          <cell r="C2928" t="str">
            <v>Não Atribuído</v>
          </cell>
          <cell r="D2928" t="str">
            <v>3001</v>
          </cell>
          <cell r="E2928" t="str">
            <v>0028</v>
          </cell>
          <cell r="F2928" t="str">
            <v>C1</v>
          </cell>
          <cell r="G2928" t="str">
            <v>NA</v>
          </cell>
          <cell r="H2928" t="str">
            <v>Não Atribuído</v>
          </cell>
          <cell r="I2928" t="str">
            <v>Não Atribuído</v>
          </cell>
          <cell r="J2928" t="str">
            <v>Não Atribuído</v>
          </cell>
          <cell r="K2928" t="str">
            <v>ITAMBÉ</v>
          </cell>
          <cell r="L2928" t="str">
            <v>Não Atribuído</v>
          </cell>
          <cell r="M2928" t="str">
            <v>Não Atribuído</v>
          </cell>
        </row>
        <row r="2929">
          <cell r="B2929" t="str">
            <v>5006419</v>
          </cell>
          <cell r="C2929" t="str">
            <v>Não Atribuído</v>
          </cell>
          <cell r="D2929" t="str">
            <v>6001</v>
          </cell>
          <cell r="E2929" t="str">
            <v>0122</v>
          </cell>
          <cell r="F2929" t="str">
            <v>C1</v>
          </cell>
          <cell r="G2929" t="str">
            <v>NA</v>
          </cell>
          <cell r="H2929" t="str">
            <v>Não Atribuído</v>
          </cell>
          <cell r="I2929" t="str">
            <v>Não Atribuído</v>
          </cell>
          <cell r="J2929" t="str">
            <v>Não Atribuído</v>
          </cell>
          <cell r="K2929" t="str">
            <v>ITAMBÉ</v>
          </cell>
          <cell r="L2929" t="str">
            <v>Não Atribuído</v>
          </cell>
          <cell r="M2929" t="str">
            <v>Não Atribuído</v>
          </cell>
        </row>
        <row r="2930">
          <cell r="B2930" t="str">
            <v>5006978</v>
          </cell>
          <cell r="C2930" t="str">
            <v>Não Atribuído</v>
          </cell>
          <cell r="D2930" t="str">
            <v>3001</v>
          </cell>
          <cell r="E2930" t="str">
            <v>6125</v>
          </cell>
          <cell r="F2930" t="str">
            <v>C1</v>
          </cell>
          <cell r="G2930" t="str">
            <v>NA</v>
          </cell>
          <cell r="H2930" t="str">
            <v>Não Atribuído</v>
          </cell>
          <cell r="I2930" t="str">
            <v>Não Atribuído</v>
          </cell>
          <cell r="J2930" t="str">
            <v>Não Atribuído</v>
          </cell>
          <cell r="K2930" t="str">
            <v>ITAMBÉ</v>
          </cell>
          <cell r="L2930" t="str">
            <v>Não Atribuído</v>
          </cell>
          <cell r="M2930" t="str">
            <v>Não Atribuído</v>
          </cell>
        </row>
        <row r="2931">
          <cell r="B2931" t="str">
            <v>5009122</v>
          </cell>
          <cell r="C2931" t="str">
            <v>Não Atribuído</v>
          </cell>
          <cell r="D2931" t="str">
            <v>6001</v>
          </cell>
          <cell r="E2931" t="str">
            <v>0126</v>
          </cell>
          <cell r="F2931" t="str">
            <v>C1</v>
          </cell>
          <cell r="G2931" t="str">
            <v>NA</v>
          </cell>
          <cell r="H2931" t="str">
            <v>Não Atribuído</v>
          </cell>
          <cell r="I2931" t="str">
            <v>Não Atribuído</v>
          </cell>
          <cell r="J2931" t="str">
            <v>Não Atribuído</v>
          </cell>
          <cell r="K2931" t="str">
            <v>ITAMBÉ</v>
          </cell>
          <cell r="L2931" t="str">
            <v>Não Atribuído</v>
          </cell>
          <cell r="M2931" t="str">
            <v>Não Atribuído</v>
          </cell>
        </row>
        <row r="2932">
          <cell r="B2932" t="str">
            <v>5009420</v>
          </cell>
          <cell r="C2932" t="str">
            <v>Não Atribuído</v>
          </cell>
          <cell r="D2932" t="str">
            <v>3001</v>
          </cell>
          <cell r="E2932" t="str">
            <v>6028</v>
          </cell>
          <cell r="F2932" t="str">
            <v>C1</v>
          </cell>
          <cell r="G2932" t="str">
            <v>NA</v>
          </cell>
          <cell r="H2932" t="str">
            <v>Não Atribuído</v>
          </cell>
          <cell r="I2932" t="str">
            <v>Não Atribuído</v>
          </cell>
          <cell r="J2932" t="str">
            <v>Não Atribuído</v>
          </cell>
          <cell r="K2932" t="str">
            <v>ITAMBÉ</v>
          </cell>
          <cell r="L2932" t="str">
            <v>Não Atribuído</v>
          </cell>
          <cell r="M2932" t="str">
            <v>Não Atribuído</v>
          </cell>
        </row>
        <row r="2933">
          <cell r="B2933" t="str">
            <v>5011709</v>
          </cell>
          <cell r="C2933" t="str">
            <v>Não Atribuído</v>
          </cell>
          <cell r="D2933" t="str">
            <v>6001</v>
          </cell>
          <cell r="E2933" t="str">
            <v>0122</v>
          </cell>
          <cell r="F2933" t="str">
            <v>C1</v>
          </cell>
          <cell r="G2933" t="str">
            <v>NA</v>
          </cell>
          <cell r="H2933" t="str">
            <v>Não Atribuído</v>
          </cell>
          <cell r="I2933" t="str">
            <v>Não Atribuído</v>
          </cell>
          <cell r="J2933" t="str">
            <v>Não Atribuído</v>
          </cell>
          <cell r="K2933" t="str">
            <v>ITAMBÉ</v>
          </cell>
          <cell r="L2933" t="str">
            <v>Não Atribuído</v>
          </cell>
          <cell r="M2933" t="str">
            <v>Não Atribuído</v>
          </cell>
        </row>
        <row r="2934">
          <cell r="B2934" t="str">
            <v>5012641</v>
          </cell>
          <cell r="C2934" t="str">
            <v>Não Atribuído</v>
          </cell>
          <cell r="D2934" t="str">
            <v>3001</v>
          </cell>
          <cell r="E2934" t="str">
            <v>6125</v>
          </cell>
          <cell r="F2934" t="str">
            <v>C1</v>
          </cell>
          <cell r="G2934" t="str">
            <v>NA</v>
          </cell>
          <cell r="H2934" t="str">
            <v>Não Atribuído</v>
          </cell>
          <cell r="I2934" t="str">
            <v>Não Atribuído</v>
          </cell>
          <cell r="J2934" t="str">
            <v>Não Atribuído</v>
          </cell>
          <cell r="K2934" t="str">
            <v>ITAMBÉ</v>
          </cell>
          <cell r="L2934" t="str">
            <v>Não Atribuído</v>
          </cell>
          <cell r="M2934" t="str">
            <v>Não Atribuído</v>
          </cell>
        </row>
        <row r="2935">
          <cell r="B2935" t="str">
            <v>5013871</v>
          </cell>
          <cell r="C2935" t="str">
            <v>Não Atribuído</v>
          </cell>
          <cell r="D2935" t="str">
            <v>6001</v>
          </cell>
          <cell r="E2935" t="str">
            <v>0122</v>
          </cell>
          <cell r="F2935" t="str">
            <v>C1</v>
          </cell>
          <cell r="G2935" t="str">
            <v>NA</v>
          </cell>
          <cell r="H2935" t="str">
            <v>Não Atribuído</v>
          </cell>
          <cell r="I2935" t="str">
            <v>Não Atribuído</v>
          </cell>
          <cell r="J2935" t="str">
            <v>Não Atribuído</v>
          </cell>
          <cell r="K2935" t="str">
            <v>ITAMBÉ</v>
          </cell>
          <cell r="L2935" t="str">
            <v>Não Atribuído</v>
          </cell>
          <cell r="M2935" t="str">
            <v>Não Atribuído</v>
          </cell>
        </row>
        <row r="2936">
          <cell r="B2936" t="str">
            <v>5014910</v>
          </cell>
          <cell r="C2936" t="str">
            <v>Não Atribuído</v>
          </cell>
          <cell r="D2936" t="str">
            <v>3001</v>
          </cell>
          <cell r="E2936" t="str">
            <v>6125</v>
          </cell>
          <cell r="F2936" t="str">
            <v>C1</v>
          </cell>
          <cell r="G2936" t="str">
            <v>NA</v>
          </cell>
          <cell r="H2936" t="str">
            <v>Não Atribuído</v>
          </cell>
          <cell r="I2936" t="str">
            <v>Não Atribuído</v>
          </cell>
          <cell r="J2936" t="str">
            <v>Não Atribuído</v>
          </cell>
          <cell r="K2936" t="str">
            <v>ITAMBÉ</v>
          </cell>
          <cell r="L2936" t="str">
            <v>Não Atribuído</v>
          </cell>
          <cell r="M2936" t="str">
            <v>Não Atribuído</v>
          </cell>
        </row>
        <row r="2937">
          <cell r="B2937" t="str">
            <v>5015262</v>
          </cell>
          <cell r="C2937" t="str">
            <v>Não Atribuído</v>
          </cell>
          <cell r="D2937" t="str">
            <v>6001</v>
          </cell>
          <cell r="E2937" t="str">
            <v>0126</v>
          </cell>
          <cell r="F2937" t="str">
            <v>C1</v>
          </cell>
          <cell r="G2937" t="str">
            <v>NA</v>
          </cell>
          <cell r="H2937" t="str">
            <v>Não Atribuído</v>
          </cell>
          <cell r="I2937" t="str">
            <v>Não Atribuído</v>
          </cell>
          <cell r="J2937" t="str">
            <v>Não Atribuído</v>
          </cell>
          <cell r="K2937" t="str">
            <v>ITAMBÉ</v>
          </cell>
          <cell r="L2937" t="str">
            <v>Não Atribuído</v>
          </cell>
          <cell r="M2937" t="str">
            <v>Não Atribuído</v>
          </cell>
        </row>
        <row r="2938">
          <cell r="B2938" t="str">
            <v>5017576</v>
          </cell>
          <cell r="C2938" t="str">
            <v>Não Atribuído</v>
          </cell>
          <cell r="D2938" t="str">
            <v>3001</v>
          </cell>
          <cell r="E2938" t="str">
            <v>6169</v>
          </cell>
          <cell r="F2938" t="str">
            <v>C1</v>
          </cell>
          <cell r="G2938" t="str">
            <v>NA</v>
          </cell>
          <cell r="H2938" t="str">
            <v>Não Atribuído</v>
          </cell>
          <cell r="I2938" t="str">
            <v>Não Atribuído</v>
          </cell>
          <cell r="J2938" t="str">
            <v>Não Atribuído</v>
          </cell>
          <cell r="K2938" t="str">
            <v>ITAMBÉ</v>
          </cell>
          <cell r="L2938" t="str">
            <v>Não Atribuído</v>
          </cell>
          <cell r="M2938" t="str">
            <v>Não Atribuído</v>
          </cell>
        </row>
        <row r="2939">
          <cell r="B2939" t="str">
            <v>5019640</v>
          </cell>
          <cell r="C2939" t="str">
            <v>Não Atribuído</v>
          </cell>
          <cell r="D2939" t="str">
            <v>3001</v>
          </cell>
          <cell r="E2939" t="str">
            <v>6028</v>
          </cell>
          <cell r="F2939" t="str">
            <v>C1</v>
          </cell>
          <cell r="G2939" t="str">
            <v>NA</v>
          </cell>
          <cell r="H2939" t="str">
            <v>Não Atribuído</v>
          </cell>
          <cell r="I2939" t="str">
            <v>Não Atribuído</v>
          </cell>
          <cell r="J2939" t="str">
            <v>Não Atribuído</v>
          </cell>
          <cell r="K2939" t="str">
            <v>ITAMBÉ</v>
          </cell>
          <cell r="L2939" t="str">
            <v>Não Atribuído</v>
          </cell>
          <cell r="M2939" t="str">
            <v>Não Atribuído</v>
          </cell>
        </row>
        <row r="2940">
          <cell r="B2940" t="str">
            <v>5021079</v>
          </cell>
          <cell r="C2940" t="str">
            <v>Não Atribuído</v>
          </cell>
          <cell r="D2940" t="str">
            <v>6001</v>
          </cell>
          <cell r="E2940" t="str">
            <v>0122</v>
          </cell>
          <cell r="F2940" t="str">
            <v>C1</v>
          </cell>
          <cell r="G2940" t="str">
            <v>NA</v>
          </cell>
          <cell r="H2940" t="str">
            <v>Não Atribuído</v>
          </cell>
          <cell r="I2940" t="str">
            <v>Não Atribuído</v>
          </cell>
          <cell r="J2940" t="str">
            <v>Não Atribuído</v>
          </cell>
          <cell r="K2940" t="str">
            <v>ITAMBÉ</v>
          </cell>
          <cell r="L2940" t="str">
            <v>Não Atribuído</v>
          </cell>
          <cell r="M2940" t="str">
            <v>Não Atribuído</v>
          </cell>
        </row>
        <row r="2941">
          <cell r="B2941" t="str">
            <v>5022847</v>
          </cell>
          <cell r="C2941" t="str">
            <v>Não Atribuído</v>
          </cell>
          <cell r="D2941" t="str">
            <v>3001</v>
          </cell>
          <cell r="E2941" t="str">
            <v>6125</v>
          </cell>
          <cell r="F2941" t="str">
            <v>C1</v>
          </cell>
          <cell r="G2941" t="str">
            <v>NA</v>
          </cell>
          <cell r="H2941" t="str">
            <v>Não Atribuído</v>
          </cell>
          <cell r="I2941" t="str">
            <v>Não Atribuído</v>
          </cell>
          <cell r="J2941" t="str">
            <v>Não Atribuído</v>
          </cell>
          <cell r="K2941" t="str">
            <v>ITAMBÉ</v>
          </cell>
          <cell r="L2941" t="str">
            <v>Não Atribuído</v>
          </cell>
          <cell r="M2941" t="str">
            <v>Não Atribuído</v>
          </cell>
        </row>
        <row r="2942">
          <cell r="B2942" t="str">
            <v>5023870</v>
          </cell>
          <cell r="C2942" t="str">
            <v>Não Atribuído</v>
          </cell>
          <cell r="D2942" t="str">
            <v>6001</v>
          </cell>
          <cell r="E2942" t="str">
            <v>0126</v>
          </cell>
          <cell r="F2942" t="str">
            <v>C1</v>
          </cell>
          <cell r="G2942" t="str">
            <v>NA</v>
          </cell>
          <cell r="H2942" t="str">
            <v>Não Atribuído</v>
          </cell>
          <cell r="I2942" t="str">
            <v>Não Atribuído</v>
          </cell>
          <cell r="J2942" t="str">
            <v>Não Atribuído</v>
          </cell>
          <cell r="K2942" t="str">
            <v>ITAMBÉ</v>
          </cell>
          <cell r="L2942" t="str">
            <v>Não Atribuído</v>
          </cell>
          <cell r="M2942" t="str">
            <v>Não Atribuído</v>
          </cell>
        </row>
        <row r="2943">
          <cell r="B2943" t="str">
            <v>5024011</v>
          </cell>
          <cell r="C2943" t="str">
            <v>Não Atribuído</v>
          </cell>
          <cell r="D2943" t="str">
            <v>3001</v>
          </cell>
          <cell r="E2943" t="str">
            <v>6169</v>
          </cell>
          <cell r="F2943" t="str">
            <v>C1</v>
          </cell>
          <cell r="G2943" t="str">
            <v>NA</v>
          </cell>
          <cell r="H2943" t="str">
            <v>Não Atribuído</v>
          </cell>
          <cell r="I2943" t="str">
            <v>Não Atribuído</v>
          </cell>
          <cell r="J2943" t="str">
            <v>Não Atribuído</v>
          </cell>
          <cell r="K2943" t="str">
            <v>ITAMBÉ</v>
          </cell>
          <cell r="L2943" t="str">
            <v>Não Atribuído</v>
          </cell>
          <cell r="M2943" t="str">
            <v>Não Atribuído</v>
          </cell>
        </row>
        <row r="2944">
          <cell r="B2944" t="str">
            <v>5024950</v>
          </cell>
          <cell r="C2944" t="str">
            <v>Não Atribuído</v>
          </cell>
          <cell r="D2944" t="str">
            <v>6001</v>
          </cell>
          <cell r="E2944" t="str">
            <v>0126</v>
          </cell>
          <cell r="F2944" t="str">
            <v>C1</v>
          </cell>
          <cell r="G2944" t="str">
            <v>NA</v>
          </cell>
          <cell r="H2944" t="str">
            <v>Não Atribuído</v>
          </cell>
          <cell r="I2944" t="str">
            <v>Não Atribuído</v>
          </cell>
          <cell r="J2944" t="str">
            <v>Não Atribuído</v>
          </cell>
          <cell r="K2944" t="str">
            <v>ITAMBÉ</v>
          </cell>
          <cell r="L2944" t="str">
            <v>Não Atribuído</v>
          </cell>
          <cell r="M2944" t="str">
            <v>Não Atribuído</v>
          </cell>
        </row>
        <row r="2945">
          <cell r="B2945" t="str">
            <v>5026400</v>
          </cell>
          <cell r="C2945" t="str">
            <v>Não Atribuído</v>
          </cell>
          <cell r="D2945" t="str">
            <v>6001</v>
          </cell>
          <cell r="E2945" t="str">
            <v>0126</v>
          </cell>
          <cell r="F2945" t="str">
            <v>C1</v>
          </cell>
          <cell r="G2945" t="str">
            <v>NA</v>
          </cell>
          <cell r="H2945" t="str">
            <v>Não Atribuído</v>
          </cell>
          <cell r="I2945" t="str">
            <v>Não Atribuído</v>
          </cell>
          <cell r="J2945" t="str">
            <v>Não Atribuído</v>
          </cell>
          <cell r="K2945" t="str">
            <v>ITAMBÉ</v>
          </cell>
          <cell r="L2945" t="str">
            <v>Não Atribuído</v>
          </cell>
          <cell r="M2945" t="str">
            <v>Não Atribuído</v>
          </cell>
        </row>
        <row r="2946">
          <cell r="B2946" t="str">
            <v>5026768</v>
          </cell>
          <cell r="C2946" t="str">
            <v>Não Atribuído</v>
          </cell>
          <cell r="D2946" t="str">
            <v>3001</v>
          </cell>
          <cell r="E2946" t="str">
            <v>6127</v>
          </cell>
          <cell r="F2946" t="str">
            <v>C1</v>
          </cell>
          <cell r="G2946" t="str">
            <v>NA</v>
          </cell>
          <cell r="H2946" t="str">
            <v>Não Atribuído</v>
          </cell>
          <cell r="I2946" t="str">
            <v>Não Atribuído</v>
          </cell>
          <cell r="J2946" t="str">
            <v>Não Atribuído</v>
          </cell>
          <cell r="K2946" t="str">
            <v>ITAMBÉ</v>
          </cell>
          <cell r="L2946" t="str">
            <v>Não Atribuído</v>
          </cell>
          <cell r="M2946" t="str">
            <v>Não Atribuído</v>
          </cell>
        </row>
        <row r="2947">
          <cell r="B2947" t="str">
            <v>5026855</v>
          </cell>
          <cell r="C2947" t="str">
            <v>Não Atribuído</v>
          </cell>
          <cell r="D2947" t="str">
            <v>6001</v>
          </cell>
          <cell r="E2947" t="str">
            <v>0028</v>
          </cell>
          <cell r="F2947" t="str">
            <v>C1</v>
          </cell>
          <cell r="G2947" t="str">
            <v>NA</v>
          </cell>
          <cell r="H2947" t="str">
            <v>Não Atribuído</v>
          </cell>
          <cell r="I2947" t="str">
            <v>Não Atribuído</v>
          </cell>
          <cell r="J2947" t="str">
            <v>Não Atribuído</v>
          </cell>
          <cell r="K2947" t="str">
            <v>ITAMBÉ</v>
          </cell>
          <cell r="L2947" t="str">
            <v>Não Atribuído</v>
          </cell>
          <cell r="M2947" t="str">
            <v>Não Atribuído</v>
          </cell>
        </row>
        <row r="2948">
          <cell r="B2948" t="str">
            <v>5027769</v>
          </cell>
          <cell r="C2948" t="str">
            <v>Não Atribuído</v>
          </cell>
          <cell r="D2948" t="str">
            <v>3001</v>
          </cell>
          <cell r="E2948" t="str">
            <v>6127</v>
          </cell>
          <cell r="F2948" t="str">
            <v>C1</v>
          </cell>
          <cell r="G2948" t="str">
            <v>NA</v>
          </cell>
          <cell r="H2948" t="str">
            <v>Não Atribuído</v>
          </cell>
          <cell r="I2948" t="str">
            <v>Não Atribuído</v>
          </cell>
          <cell r="J2948" t="str">
            <v>Não Atribuído</v>
          </cell>
          <cell r="K2948" t="str">
            <v>ITAMBÉ</v>
          </cell>
          <cell r="L2948" t="str">
            <v>Não Atribuído</v>
          </cell>
          <cell r="M2948" t="str">
            <v>Não Atribuído</v>
          </cell>
        </row>
        <row r="2949">
          <cell r="B2949" t="str">
            <v>5041698</v>
          </cell>
          <cell r="C2949" t="str">
            <v>Não Atribuído</v>
          </cell>
          <cell r="D2949" t="str">
            <v>3001</v>
          </cell>
          <cell r="E2949" t="str">
            <v>0125</v>
          </cell>
          <cell r="F2949" t="str">
            <v>C1</v>
          </cell>
          <cell r="G2949" t="str">
            <v>NA</v>
          </cell>
          <cell r="H2949" t="str">
            <v>Não Atribuído</v>
          </cell>
          <cell r="I2949" t="str">
            <v>Não Atribuído</v>
          </cell>
          <cell r="J2949" t="str">
            <v>Não Atribuído</v>
          </cell>
          <cell r="K2949" t="str">
            <v>ITAMBÉ</v>
          </cell>
          <cell r="L2949" t="str">
            <v>Não Atribuído</v>
          </cell>
          <cell r="M2949" t="str">
            <v>Não Atribuído</v>
          </cell>
        </row>
        <row r="2950">
          <cell r="B2950" t="str">
            <v>5043271</v>
          </cell>
          <cell r="C2950" t="str">
            <v>Não Atribuído</v>
          </cell>
          <cell r="D2950" t="str">
            <v>6001</v>
          </cell>
          <cell r="E2950" t="str">
            <v>0028</v>
          </cell>
          <cell r="F2950" t="str">
            <v>C1</v>
          </cell>
          <cell r="G2950" t="str">
            <v>NA</v>
          </cell>
          <cell r="H2950" t="str">
            <v>Não Atribuído</v>
          </cell>
          <cell r="I2950" t="str">
            <v>Não Atribuído</v>
          </cell>
          <cell r="J2950" t="str">
            <v>Não Atribuído</v>
          </cell>
          <cell r="K2950" t="str">
            <v>ITAMBÉ</v>
          </cell>
          <cell r="L2950" t="str">
            <v>Não Atribuído</v>
          </cell>
          <cell r="M2950" t="str">
            <v>Não Atribuído</v>
          </cell>
        </row>
        <row r="2951">
          <cell r="B2951" t="str">
            <v>5044784</v>
          </cell>
          <cell r="C2951" t="str">
            <v>Não Atribuído</v>
          </cell>
          <cell r="D2951" t="str">
            <v>3001</v>
          </cell>
          <cell r="E2951" t="str">
            <v>0169</v>
          </cell>
          <cell r="F2951" t="str">
            <v>C1</v>
          </cell>
          <cell r="G2951" t="str">
            <v>NA</v>
          </cell>
          <cell r="H2951" t="str">
            <v>Não Atribuído</v>
          </cell>
          <cell r="I2951" t="str">
            <v>Não Atribuído</v>
          </cell>
          <cell r="J2951" t="str">
            <v>Não Atribuído</v>
          </cell>
          <cell r="K2951" t="str">
            <v>ITAMBÉ</v>
          </cell>
          <cell r="L2951" t="str">
            <v>Não Atribuído</v>
          </cell>
          <cell r="M2951" t="str">
            <v>Não Atribuído</v>
          </cell>
        </row>
        <row r="2952">
          <cell r="B2952" t="str">
            <v>5051163</v>
          </cell>
          <cell r="C2952" t="str">
            <v>Não Atribuído</v>
          </cell>
          <cell r="D2952" t="str">
            <v>6001</v>
          </cell>
          <cell r="E2952" t="str">
            <v>0122</v>
          </cell>
          <cell r="F2952" t="str">
            <v>C1</v>
          </cell>
          <cell r="G2952" t="str">
            <v>NA</v>
          </cell>
          <cell r="H2952" t="str">
            <v>Não Atribuído</v>
          </cell>
          <cell r="I2952" t="str">
            <v>Não Atribuído</v>
          </cell>
          <cell r="J2952" t="str">
            <v>Não Atribuído</v>
          </cell>
          <cell r="K2952" t="str">
            <v>ITAMBÉ</v>
          </cell>
          <cell r="L2952" t="str">
            <v>Não Atribuído</v>
          </cell>
          <cell r="M2952" t="str">
            <v>Não Atribuído</v>
          </cell>
        </row>
        <row r="2953">
          <cell r="B2953" t="str">
            <v>5059971</v>
          </cell>
          <cell r="C2953" t="str">
            <v>Não Atribuído</v>
          </cell>
          <cell r="D2953" t="str">
            <v>3001</v>
          </cell>
          <cell r="E2953" t="str">
            <v>6125</v>
          </cell>
          <cell r="F2953" t="str">
            <v>C1</v>
          </cell>
          <cell r="G2953" t="str">
            <v>NA</v>
          </cell>
          <cell r="H2953" t="str">
            <v>Não Atribuído</v>
          </cell>
          <cell r="I2953" t="str">
            <v>Não Atribuído</v>
          </cell>
          <cell r="J2953" t="str">
            <v>Não Atribuído</v>
          </cell>
          <cell r="K2953" t="str">
            <v>ITAMBÉ</v>
          </cell>
          <cell r="L2953" t="str">
            <v>Não Atribuído</v>
          </cell>
          <cell r="M2953" t="str">
            <v>Não Atribuído</v>
          </cell>
        </row>
        <row r="2954">
          <cell r="B2954" t="str">
            <v>5068894</v>
          </cell>
          <cell r="C2954" t="str">
            <v>Não Atribuído</v>
          </cell>
          <cell r="D2954" t="str">
            <v>6001</v>
          </cell>
          <cell r="E2954" t="str">
            <v>0028</v>
          </cell>
          <cell r="F2954" t="str">
            <v>C1</v>
          </cell>
          <cell r="G2954" t="str">
            <v>NA</v>
          </cell>
          <cell r="H2954" t="str">
            <v>Não Atribuído</v>
          </cell>
          <cell r="I2954" t="str">
            <v>Não Atribuído</v>
          </cell>
          <cell r="J2954" t="str">
            <v>Não Atribuído</v>
          </cell>
          <cell r="K2954" t="str">
            <v>ITAMBÉ</v>
          </cell>
          <cell r="L2954" t="str">
            <v>Não Atribuído</v>
          </cell>
          <cell r="M2954" t="str">
            <v>Não Atribuído</v>
          </cell>
        </row>
        <row r="2955">
          <cell r="B2955" t="str">
            <v>5070522</v>
          </cell>
          <cell r="C2955" t="str">
            <v>Não Atribuído</v>
          </cell>
          <cell r="D2955" t="str">
            <v>3001</v>
          </cell>
          <cell r="E2955" t="str">
            <v>6125</v>
          </cell>
          <cell r="F2955" t="str">
            <v>C1</v>
          </cell>
          <cell r="G2955" t="str">
            <v>NA</v>
          </cell>
          <cell r="H2955" t="str">
            <v>Não Atribuído</v>
          </cell>
          <cell r="I2955" t="str">
            <v>Não Atribuído</v>
          </cell>
          <cell r="J2955" t="str">
            <v>Não Atribuído</v>
          </cell>
          <cell r="K2955" t="str">
            <v>ITAMBÉ</v>
          </cell>
          <cell r="L2955" t="str">
            <v>Não Atribuído</v>
          </cell>
          <cell r="M2955" t="str">
            <v>Não Atribuído</v>
          </cell>
        </row>
        <row r="2956">
          <cell r="B2956" t="str">
            <v>5084421</v>
          </cell>
          <cell r="C2956" t="str">
            <v>Não Atribuído</v>
          </cell>
          <cell r="D2956" t="str">
            <v>6001</v>
          </cell>
          <cell r="E2956" t="str">
            <v>0126</v>
          </cell>
          <cell r="F2956" t="str">
            <v>C1</v>
          </cell>
          <cell r="G2956" t="str">
            <v>NA</v>
          </cell>
          <cell r="H2956" t="str">
            <v>Não Atribuído</v>
          </cell>
          <cell r="I2956" t="str">
            <v>Não Atribuído</v>
          </cell>
          <cell r="J2956" t="str">
            <v>Não Atribuído</v>
          </cell>
          <cell r="K2956" t="str">
            <v>ITAMBÉ</v>
          </cell>
          <cell r="L2956" t="str">
            <v>Não Atribuído</v>
          </cell>
          <cell r="M2956" t="str">
            <v>Não Atribuído</v>
          </cell>
        </row>
        <row r="2957">
          <cell r="B2957" t="str">
            <v>5086953</v>
          </cell>
          <cell r="C2957" t="str">
            <v>Não Atribuído</v>
          </cell>
          <cell r="D2957" t="str">
            <v>3001</v>
          </cell>
          <cell r="E2957" t="str">
            <v>6028</v>
          </cell>
          <cell r="F2957" t="str">
            <v>C1</v>
          </cell>
          <cell r="G2957" t="str">
            <v>NA</v>
          </cell>
          <cell r="H2957" t="str">
            <v>Não Atribuído</v>
          </cell>
          <cell r="I2957" t="str">
            <v>Não Atribuído</v>
          </cell>
          <cell r="J2957" t="str">
            <v>Não Atribuído</v>
          </cell>
          <cell r="K2957" t="str">
            <v>ITAMBÉ</v>
          </cell>
          <cell r="L2957" t="str">
            <v>Não Atribuído</v>
          </cell>
          <cell r="M2957" t="str">
            <v>Não Atribuído</v>
          </cell>
        </row>
        <row r="2958">
          <cell r="B2958" t="str">
            <v>5115814</v>
          </cell>
          <cell r="C2958" t="str">
            <v>Não Atribuído</v>
          </cell>
          <cell r="D2958" t="str">
            <v>3001</v>
          </cell>
          <cell r="E2958" t="str">
            <v>6169</v>
          </cell>
          <cell r="F2958" t="str">
            <v>C1</v>
          </cell>
          <cell r="G2958" t="str">
            <v>NA</v>
          </cell>
          <cell r="H2958" t="str">
            <v>Não Atribuído</v>
          </cell>
          <cell r="I2958" t="str">
            <v>Não Atribuído</v>
          </cell>
          <cell r="J2958" t="str">
            <v>Não Atribuído</v>
          </cell>
          <cell r="K2958" t="str">
            <v>ITAMBÉ</v>
          </cell>
          <cell r="L2958" t="str">
            <v>Não Atribuído</v>
          </cell>
          <cell r="M2958" t="str">
            <v>Não Atribuído</v>
          </cell>
        </row>
        <row r="2959">
          <cell r="B2959" t="str">
            <v>5119520</v>
          </cell>
          <cell r="C2959" t="str">
            <v>Não Atribuído</v>
          </cell>
          <cell r="D2959" t="str">
            <v>6001</v>
          </cell>
          <cell r="E2959" t="str">
            <v>0126</v>
          </cell>
          <cell r="F2959" t="str">
            <v>C1</v>
          </cell>
          <cell r="G2959" t="str">
            <v>NA</v>
          </cell>
          <cell r="H2959" t="str">
            <v>Não Atribuído</v>
          </cell>
          <cell r="I2959" t="str">
            <v>Não Atribuído</v>
          </cell>
          <cell r="J2959" t="str">
            <v>Não Atribuído</v>
          </cell>
          <cell r="K2959" t="str">
            <v>ITAMBÉ</v>
          </cell>
          <cell r="L2959" t="str">
            <v>Não Atribuído</v>
          </cell>
          <cell r="M2959" t="str">
            <v>Não Atribuído</v>
          </cell>
        </row>
        <row r="2960">
          <cell r="B2960" t="str">
            <v>5127549</v>
          </cell>
          <cell r="C2960" t="str">
            <v>Não Atribuído</v>
          </cell>
          <cell r="D2960" t="str">
            <v>3001</v>
          </cell>
          <cell r="E2960" t="str">
            <v>6028</v>
          </cell>
          <cell r="F2960" t="str">
            <v>C1</v>
          </cell>
          <cell r="G2960" t="str">
            <v>NA</v>
          </cell>
          <cell r="H2960" t="str">
            <v>Não Atribuído</v>
          </cell>
          <cell r="I2960" t="str">
            <v>Não Atribuído</v>
          </cell>
          <cell r="J2960" t="str">
            <v>Não Atribuído</v>
          </cell>
          <cell r="K2960" t="str">
            <v>ITAMBÉ</v>
          </cell>
          <cell r="L2960" t="str">
            <v>Não Atribuído</v>
          </cell>
          <cell r="M2960" t="str">
            <v>Não Atribuído</v>
          </cell>
        </row>
        <row r="2961">
          <cell r="B2961" t="str">
            <v>5131228</v>
          </cell>
          <cell r="C2961" t="str">
            <v>Não Atribuído</v>
          </cell>
          <cell r="D2961" t="str">
            <v>6001</v>
          </cell>
          <cell r="E2961" t="str">
            <v>0028</v>
          </cell>
          <cell r="F2961" t="str">
            <v>C1</v>
          </cell>
          <cell r="G2961" t="str">
            <v>NA</v>
          </cell>
          <cell r="H2961" t="str">
            <v>Não Atribuído</v>
          </cell>
          <cell r="I2961" t="str">
            <v>Não Atribuído</v>
          </cell>
          <cell r="J2961" t="str">
            <v>Não Atribuído</v>
          </cell>
          <cell r="K2961" t="str">
            <v>ITAMBÉ</v>
          </cell>
          <cell r="L2961" t="str">
            <v>Não Atribuído</v>
          </cell>
          <cell r="M2961" t="str">
            <v>Não Atribuído</v>
          </cell>
        </row>
        <row r="2962">
          <cell r="B2962" t="str">
            <v>5134556</v>
          </cell>
          <cell r="C2962" t="str">
            <v>Não Atribuído</v>
          </cell>
          <cell r="D2962" t="str">
            <v>3001</v>
          </cell>
          <cell r="E2962" t="str">
            <v>6169</v>
          </cell>
          <cell r="F2962" t="str">
            <v>C1</v>
          </cell>
          <cell r="G2962" t="str">
            <v>NA</v>
          </cell>
          <cell r="H2962" t="str">
            <v>Não Atribuído</v>
          </cell>
          <cell r="I2962" t="str">
            <v>Não Atribuído</v>
          </cell>
          <cell r="J2962" t="str">
            <v>Não Atribuído</v>
          </cell>
          <cell r="K2962" t="str">
            <v>ITAMBÉ</v>
          </cell>
          <cell r="L2962" t="str">
            <v>Não Atribuído</v>
          </cell>
          <cell r="M2962" t="str">
            <v>Não Atribuído</v>
          </cell>
        </row>
        <row r="2963">
          <cell r="B2963" t="str">
            <v>5136048</v>
          </cell>
          <cell r="C2963" t="str">
            <v>Não Atribuído</v>
          </cell>
          <cell r="D2963" t="str">
            <v>6001</v>
          </cell>
          <cell r="E2963" t="str">
            <v>0127</v>
          </cell>
          <cell r="F2963" t="str">
            <v>C1</v>
          </cell>
          <cell r="G2963" t="str">
            <v>NA</v>
          </cell>
          <cell r="H2963" t="str">
            <v>Não Atribuído</v>
          </cell>
          <cell r="I2963" t="str">
            <v>Não Atribuído</v>
          </cell>
          <cell r="J2963" t="str">
            <v>Não Atribuído</v>
          </cell>
          <cell r="K2963" t="str">
            <v>ITAMBÉ</v>
          </cell>
          <cell r="L2963" t="str">
            <v>Não Atribuído</v>
          </cell>
          <cell r="M2963" t="str">
            <v>Não Atribuído</v>
          </cell>
        </row>
        <row r="2964">
          <cell r="B2964" t="str">
            <v>5138561</v>
          </cell>
          <cell r="C2964" t="str">
            <v>Não Atribuído</v>
          </cell>
          <cell r="D2964" t="str">
            <v>3001</v>
          </cell>
          <cell r="E2964" t="str">
            <v>6028</v>
          </cell>
          <cell r="F2964" t="str">
            <v>C1</v>
          </cell>
          <cell r="G2964" t="str">
            <v>NA</v>
          </cell>
          <cell r="H2964" t="str">
            <v>Não Atribuído</v>
          </cell>
          <cell r="I2964" t="str">
            <v>Não Atribuído</v>
          </cell>
          <cell r="J2964" t="str">
            <v>Não Atribuído</v>
          </cell>
          <cell r="K2964" t="str">
            <v>ITAMBÉ</v>
          </cell>
          <cell r="L2964" t="str">
            <v>Não Atribuído</v>
          </cell>
          <cell r="M2964" t="str">
            <v>Não Atribuído</v>
          </cell>
        </row>
        <row r="2965">
          <cell r="B2965" t="str">
            <v>5139714</v>
          </cell>
          <cell r="C2965" t="str">
            <v>Não Atribuído</v>
          </cell>
          <cell r="D2965" t="str">
            <v>6001</v>
          </cell>
          <cell r="E2965" t="str">
            <v>0028</v>
          </cell>
          <cell r="F2965" t="str">
            <v>C1</v>
          </cell>
          <cell r="G2965" t="str">
            <v>NA</v>
          </cell>
          <cell r="H2965" t="str">
            <v>Não Atribuído</v>
          </cell>
          <cell r="I2965" t="str">
            <v>Não Atribuído</v>
          </cell>
          <cell r="J2965" t="str">
            <v>Não Atribuído</v>
          </cell>
          <cell r="K2965" t="str">
            <v>ITAMBÉ</v>
          </cell>
          <cell r="L2965" t="str">
            <v>Não Atribuído</v>
          </cell>
          <cell r="M2965" t="str">
            <v>Não Atribuído</v>
          </cell>
        </row>
        <row r="2966">
          <cell r="B2966" t="str">
            <v>5141420</v>
          </cell>
          <cell r="C2966" t="str">
            <v>Não Atribuído</v>
          </cell>
          <cell r="D2966" t="str">
            <v>3001</v>
          </cell>
          <cell r="E2966" t="str">
            <v>6123</v>
          </cell>
          <cell r="F2966" t="str">
            <v>C1</v>
          </cell>
          <cell r="G2966" t="str">
            <v>NA</v>
          </cell>
          <cell r="H2966" t="str">
            <v>Não Atribuído</v>
          </cell>
          <cell r="I2966" t="str">
            <v>Não Atribuído</v>
          </cell>
          <cell r="J2966" t="str">
            <v>Não Atribuído</v>
          </cell>
          <cell r="K2966" t="str">
            <v>ITAMBÉ</v>
          </cell>
          <cell r="L2966" t="str">
            <v>Não Atribuído</v>
          </cell>
          <cell r="M2966" t="str">
            <v>Não Atribuído</v>
          </cell>
        </row>
        <row r="2967">
          <cell r="B2967" t="str">
            <v>5142828</v>
          </cell>
          <cell r="C2967" t="str">
            <v>Não Atribuído</v>
          </cell>
          <cell r="D2967" t="str">
            <v>6001</v>
          </cell>
          <cell r="E2967" t="str">
            <v>0126</v>
          </cell>
          <cell r="F2967" t="str">
            <v>C1</v>
          </cell>
          <cell r="G2967" t="str">
            <v>NA</v>
          </cell>
          <cell r="H2967" t="str">
            <v>Não Atribuído</v>
          </cell>
          <cell r="I2967" t="str">
            <v>Não Atribuído</v>
          </cell>
          <cell r="J2967" t="str">
            <v>Não Atribuído</v>
          </cell>
          <cell r="K2967" t="str">
            <v>ITAMBÉ</v>
          </cell>
          <cell r="L2967" t="str">
            <v>Não Atribuído</v>
          </cell>
          <cell r="M2967" t="str">
            <v>Não Atribuído</v>
          </cell>
        </row>
        <row r="2968">
          <cell r="B2968" t="str">
            <v>5144654</v>
          </cell>
          <cell r="C2968" t="str">
            <v>Não Atribuído</v>
          </cell>
          <cell r="D2968" t="str">
            <v>3001</v>
          </cell>
          <cell r="E2968" t="str">
            <v>6127</v>
          </cell>
          <cell r="F2968" t="str">
            <v>C1</v>
          </cell>
          <cell r="G2968" t="str">
            <v>NA</v>
          </cell>
          <cell r="H2968" t="str">
            <v>Não Atribuído</v>
          </cell>
          <cell r="I2968" t="str">
            <v>Não Atribuído</v>
          </cell>
          <cell r="J2968" t="str">
            <v>Não Atribuído</v>
          </cell>
          <cell r="K2968" t="str">
            <v>ITAMBÉ</v>
          </cell>
          <cell r="L2968" t="str">
            <v>Não Atribuído</v>
          </cell>
          <cell r="M2968" t="str">
            <v>Não Atribuído</v>
          </cell>
        </row>
        <row r="2969">
          <cell r="B2969" t="str">
            <v>5145924</v>
          </cell>
          <cell r="C2969" t="str">
            <v>Não Atribuído</v>
          </cell>
          <cell r="D2969" t="str">
            <v>6001</v>
          </cell>
          <cell r="E2969" t="str">
            <v>0028</v>
          </cell>
          <cell r="F2969" t="str">
            <v>C1</v>
          </cell>
          <cell r="G2969" t="str">
            <v>NA</v>
          </cell>
          <cell r="H2969" t="str">
            <v>Não Atribuído</v>
          </cell>
          <cell r="I2969" t="str">
            <v>Não Atribuído</v>
          </cell>
          <cell r="J2969" t="str">
            <v>Não Atribuído</v>
          </cell>
          <cell r="K2969" t="str">
            <v>ITAMBÉ</v>
          </cell>
          <cell r="L2969" t="str">
            <v>Não Atribuído</v>
          </cell>
          <cell r="M2969" t="str">
            <v>Não Atribuído</v>
          </cell>
        </row>
        <row r="2970">
          <cell r="B2970" t="str">
            <v>5147526</v>
          </cell>
          <cell r="C2970" t="str">
            <v>Não Atribuído</v>
          </cell>
          <cell r="D2970" t="str">
            <v>3001</v>
          </cell>
          <cell r="E2970" t="str">
            <v>6028</v>
          </cell>
          <cell r="F2970" t="str">
            <v>C1</v>
          </cell>
          <cell r="G2970" t="str">
            <v>NA</v>
          </cell>
          <cell r="H2970" t="str">
            <v>Não Atribuído</v>
          </cell>
          <cell r="I2970" t="str">
            <v>Não Atribuído</v>
          </cell>
          <cell r="J2970" t="str">
            <v>Não Atribuído</v>
          </cell>
          <cell r="K2970" t="str">
            <v>ITAMBÉ</v>
          </cell>
          <cell r="L2970" t="str">
            <v>Não Atribuído</v>
          </cell>
          <cell r="M2970" t="str">
            <v>Não Atribuído</v>
          </cell>
        </row>
        <row r="2971">
          <cell r="B2971" t="str">
            <v>5151341</v>
          </cell>
          <cell r="C2971" t="str">
            <v>Não Atribuído</v>
          </cell>
          <cell r="D2971" t="str">
            <v>6001</v>
          </cell>
          <cell r="E2971" t="str">
            <v>0127</v>
          </cell>
          <cell r="F2971" t="str">
            <v>C1</v>
          </cell>
          <cell r="G2971" t="str">
            <v>NA</v>
          </cell>
          <cell r="H2971" t="str">
            <v>Não Atribuído</v>
          </cell>
          <cell r="I2971" t="str">
            <v>Não Atribuído</v>
          </cell>
          <cell r="J2971" t="str">
            <v>Não Atribuído</v>
          </cell>
          <cell r="K2971" t="str">
            <v>ITAMBÉ</v>
          </cell>
          <cell r="L2971" t="str">
            <v>Não Atribuído</v>
          </cell>
          <cell r="M2971" t="str">
            <v>Não Atribuído</v>
          </cell>
        </row>
        <row r="2972">
          <cell r="B2972" t="str">
            <v>5157891</v>
          </cell>
          <cell r="C2972" t="str">
            <v>Não Atribuído</v>
          </cell>
          <cell r="D2972" t="str">
            <v>3001</v>
          </cell>
          <cell r="E2972" t="str">
            <v>6125</v>
          </cell>
          <cell r="F2972" t="str">
            <v>C1</v>
          </cell>
          <cell r="G2972" t="str">
            <v>NA</v>
          </cell>
          <cell r="H2972" t="str">
            <v>Não Atribuído</v>
          </cell>
          <cell r="I2972" t="str">
            <v>Não Atribuído</v>
          </cell>
          <cell r="J2972" t="str">
            <v>Não Atribuído</v>
          </cell>
          <cell r="K2972" t="str">
            <v>ITAMBÉ</v>
          </cell>
          <cell r="L2972" t="str">
            <v>Não Atribuído</v>
          </cell>
          <cell r="M2972" t="str">
            <v>Não Atribuído</v>
          </cell>
        </row>
        <row r="2973">
          <cell r="B2973" t="str">
            <v>5159222</v>
          </cell>
          <cell r="C2973" t="str">
            <v>Não Atribuído</v>
          </cell>
          <cell r="D2973" t="str">
            <v>6001</v>
          </cell>
          <cell r="E2973" t="str">
            <v>0122</v>
          </cell>
          <cell r="F2973" t="str">
            <v>C1</v>
          </cell>
          <cell r="G2973" t="str">
            <v>NA</v>
          </cell>
          <cell r="H2973" t="str">
            <v>Não Atribuído</v>
          </cell>
          <cell r="I2973" t="str">
            <v>Não Atribuído</v>
          </cell>
          <cell r="J2973" t="str">
            <v>Não Atribuído</v>
          </cell>
          <cell r="K2973" t="str">
            <v>ITAMBÉ</v>
          </cell>
          <cell r="L2973" t="str">
            <v>Não Atribuído</v>
          </cell>
          <cell r="M2973" t="str">
            <v>Não Atribuído</v>
          </cell>
        </row>
        <row r="2974">
          <cell r="B2974" t="str">
            <v>5159289</v>
          </cell>
          <cell r="C2974" t="str">
            <v>Não Atribuído</v>
          </cell>
          <cell r="D2974" t="str">
            <v>3001</v>
          </cell>
          <cell r="E2974" t="str">
            <v>6125</v>
          </cell>
          <cell r="F2974" t="str">
            <v>C1</v>
          </cell>
          <cell r="G2974" t="str">
            <v>NA</v>
          </cell>
          <cell r="H2974" t="str">
            <v>Não Atribuído</v>
          </cell>
          <cell r="I2974" t="str">
            <v>Não Atribuído</v>
          </cell>
          <cell r="J2974" t="str">
            <v>Não Atribuído</v>
          </cell>
          <cell r="K2974" t="str">
            <v>ITAMBÉ</v>
          </cell>
          <cell r="L2974" t="str">
            <v>Não Atribuído</v>
          </cell>
          <cell r="M2974" t="str">
            <v>Não Atribuído</v>
          </cell>
        </row>
        <row r="2975">
          <cell r="B2975" t="str">
            <v>5159508</v>
          </cell>
          <cell r="C2975" t="str">
            <v>Não Atribuído</v>
          </cell>
          <cell r="D2975" t="str">
            <v>6001</v>
          </cell>
          <cell r="E2975" t="str">
            <v>0122</v>
          </cell>
          <cell r="F2975" t="str">
            <v>C1</v>
          </cell>
          <cell r="G2975" t="str">
            <v>NA</v>
          </cell>
          <cell r="H2975" t="str">
            <v>Não Atribuído</v>
          </cell>
          <cell r="I2975" t="str">
            <v>Não Atribuído</v>
          </cell>
          <cell r="J2975" t="str">
            <v>Não Atribuído</v>
          </cell>
          <cell r="K2975" t="str">
            <v>ITAMBÉ</v>
          </cell>
          <cell r="L2975" t="str">
            <v>Não Atribuído</v>
          </cell>
          <cell r="M2975" t="str">
            <v>Não Atribuído</v>
          </cell>
        </row>
        <row r="2976">
          <cell r="B2976" t="str">
            <v>5161553</v>
          </cell>
          <cell r="C2976" t="str">
            <v>Não Atribuído</v>
          </cell>
          <cell r="D2976" t="str">
            <v>6001</v>
          </cell>
          <cell r="E2976" t="str">
            <v>0126</v>
          </cell>
          <cell r="F2976" t="str">
            <v>C1</v>
          </cell>
          <cell r="G2976" t="str">
            <v>NA</v>
          </cell>
          <cell r="H2976" t="str">
            <v>Não Atribuído</v>
          </cell>
          <cell r="I2976" t="str">
            <v>Não Atribuído</v>
          </cell>
          <cell r="J2976" t="str">
            <v>Não Atribuído</v>
          </cell>
          <cell r="K2976" t="str">
            <v>ITAMBÉ</v>
          </cell>
          <cell r="L2976" t="str">
            <v>Não Atribuído</v>
          </cell>
          <cell r="M2976" t="str">
            <v>Não Atribuído</v>
          </cell>
        </row>
        <row r="2977">
          <cell r="B2977" t="str">
            <v>5161583</v>
          </cell>
          <cell r="C2977" t="str">
            <v>Não Atribuído</v>
          </cell>
          <cell r="D2977" t="str">
            <v>3001</v>
          </cell>
          <cell r="E2977" t="str">
            <v>6028</v>
          </cell>
          <cell r="F2977" t="str">
            <v>C1</v>
          </cell>
          <cell r="G2977" t="str">
            <v>NA</v>
          </cell>
          <cell r="H2977" t="str">
            <v>Não Atribuído</v>
          </cell>
          <cell r="I2977" t="str">
            <v>Não Atribuído</v>
          </cell>
          <cell r="J2977" t="str">
            <v>Não Atribuído</v>
          </cell>
          <cell r="K2977" t="str">
            <v>ITAMBÉ</v>
          </cell>
          <cell r="L2977" t="str">
            <v>Não Atribuído</v>
          </cell>
          <cell r="M2977" t="str">
            <v>Não Atribuído</v>
          </cell>
        </row>
        <row r="2978">
          <cell r="B2978" t="str">
            <v>5162498</v>
          </cell>
          <cell r="C2978" t="str">
            <v>Não Atribuído</v>
          </cell>
          <cell r="D2978" t="str">
            <v>6001</v>
          </cell>
          <cell r="E2978" t="str">
            <v>0028</v>
          </cell>
          <cell r="F2978" t="str">
            <v>C1</v>
          </cell>
          <cell r="G2978" t="str">
            <v>NA</v>
          </cell>
          <cell r="H2978" t="str">
            <v>Não Atribuído</v>
          </cell>
          <cell r="I2978" t="str">
            <v>Não Atribuído</v>
          </cell>
          <cell r="J2978" t="str">
            <v>Não Atribuído</v>
          </cell>
          <cell r="K2978" t="str">
            <v>ITAMBÉ</v>
          </cell>
          <cell r="L2978" t="str">
            <v>Não Atribuído</v>
          </cell>
          <cell r="M2978" t="str">
            <v>Não Atribuído</v>
          </cell>
        </row>
        <row r="2979">
          <cell r="B2979" t="str">
            <v>5164717</v>
          </cell>
          <cell r="C2979" t="str">
            <v>Não Atribuído</v>
          </cell>
          <cell r="D2979" t="str">
            <v>3001</v>
          </cell>
          <cell r="E2979" t="str">
            <v>6125</v>
          </cell>
          <cell r="F2979" t="str">
            <v>C1</v>
          </cell>
          <cell r="G2979" t="str">
            <v>NA</v>
          </cell>
          <cell r="H2979" t="str">
            <v>Não Atribuído</v>
          </cell>
          <cell r="I2979" t="str">
            <v>Não Atribuído</v>
          </cell>
          <cell r="J2979" t="str">
            <v>Não Atribuído</v>
          </cell>
          <cell r="K2979" t="str">
            <v>ITAMBÉ</v>
          </cell>
          <cell r="L2979" t="str">
            <v>Não Atribuído</v>
          </cell>
          <cell r="M2979" t="str">
            <v>Não Atribuído</v>
          </cell>
        </row>
        <row r="2980">
          <cell r="B2980" t="str">
            <v>5166328</v>
          </cell>
          <cell r="C2980" t="str">
            <v>Não Atribuído</v>
          </cell>
          <cell r="D2980" t="str">
            <v>6001</v>
          </cell>
          <cell r="E2980" t="str">
            <v>0126</v>
          </cell>
          <cell r="F2980" t="str">
            <v>C1</v>
          </cell>
          <cell r="G2980" t="str">
            <v>NA</v>
          </cell>
          <cell r="H2980" t="str">
            <v>Não Atribuído</v>
          </cell>
          <cell r="I2980" t="str">
            <v>Não Atribuído</v>
          </cell>
          <cell r="J2980" t="str">
            <v>Não Atribuído</v>
          </cell>
          <cell r="K2980" t="str">
            <v>ITAMBÉ</v>
          </cell>
          <cell r="L2980" t="str">
            <v>Não Atribuído</v>
          </cell>
          <cell r="M2980" t="str">
            <v>Não Atribuído</v>
          </cell>
        </row>
        <row r="2981">
          <cell r="B2981" t="str">
            <v>5168151</v>
          </cell>
          <cell r="C2981" t="str">
            <v>Não Atribuído</v>
          </cell>
          <cell r="D2981" t="str">
            <v>3001</v>
          </cell>
          <cell r="E2981" t="str">
            <v>0127</v>
          </cell>
          <cell r="F2981" t="str">
            <v>C1</v>
          </cell>
          <cell r="G2981" t="str">
            <v>NA</v>
          </cell>
          <cell r="H2981" t="str">
            <v>Não Atribuído</v>
          </cell>
          <cell r="I2981" t="str">
            <v>Não Atribuído</v>
          </cell>
          <cell r="J2981" t="str">
            <v>Não Atribuído</v>
          </cell>
          <cell r="K2981" t="str">
            <v>ITAMBÉ</v>
          </cell>
          <cell r="L2981" t="str">
            <v>Não Atribuído</v>
          </cell>
          <cell r="M2981" t="str">
            <v>Não Atribuído</v>
          </cell>
        </row>
        <row r="2982">
          <cell r="B2982" t="str">
            <v>5171550</v>
          </cell>
          <cell r="C2982" t="str">
            <v>Não Atribuído</v>
          </cell>
          <cell r="D2982" t="str">
            <v>6001</v>
          </cell>
          <cell r="E2982" t="str">
            <v>0126</v>
          </cell>
          <cell r="F2982" t="str">
            <v>C1</v>
          </cell>
          <cell r="G2982" t="str">
            <v>NA</v>
          </cell>
          <cell r="H2982" t="str">
            <v>Não Atribuído</v>
          </cell>
          <cell r="I2982" t="str">
            <v>Não Atribuído</v>
          </cell>
          <cell r="J2982" t="str">
            <v>Não Atribuído</v>
          </cell>
          <cell r="K2982" t="str">
            <v>ITAMBÉ</v>
          </cell>
          <cell r="L2982" t="str">
            <v>Não Atribuído</v>
          </cell>
          <cell r="M2982" t="str">
            <v>Não Atribuído</v>
          </cell>
        </row>
        <row r="2983">
          <cell r="B2983" t="str">
            <v>5172699</v>
          </cell>
          <cell r="C2983" t="str">
            <v>Não Atribuído</v>
          </cell>
          <cell r="D2983" t="str">
            <v>3001</v>
          </cell>
          <cell r="E2983" t="str">
            <v>6125</v>
          </cell>
          <cell r="F2983" t="str">
            <v>C1</v>
          </cell>
          <cell r="G2983" t="str">
            <v>NA</v>
          </cell>
          <cell r="H2983" t="str">
            <v>Não Atribuído</v>
          </cell>
          <cell r="I2983" t="str">
            <v>Não Atribuído</v>
          </cell>
          <cell r="J2983" t="str">
            <v>Não Atribuído</v>
          </cell>
          <cell r="K2983" t="str">
            <v>ITAMBÉ</v>
          </cell>
          <cell r="L2983" t="str">
            <v>Não Atribuído</v>
          </cell>
          <cell r="M2983" t="str">
            <v>Não Atribuído</v>
          </cell>
        </row>
        <row r="2984">
          <cell r="B2984" t="str">
            <v>5173427</v>
          </cell>
          <cell r="C2984" t="str">
            <v>Não Atribuído</v>
          </cell>
          <cell r="D2984" t="str">
            <v>6001</v>
          </cell>
          <cell r="E2984" t="str">
            <v>0028</v>
          </cell>
          <cell r="F2984" t="str">
            <v>C1</v>
          </cell>
          <cell r="G2984" t="str">
            <v>NA</v>
          </cell>
          <cell r="H2984" t="str">
            <v>Não Atribuído</v>
          </cell>
          <cell r="I2984" t="str">
            <v>Não Atribuído</v>
          </cell>
          <cell r="J2984" t="str">
            <v>Não Atribuído</v>
          </cell>
          <cell r="K2984" t="str">
            <v>ITAMBÉ</v>
          </cell>
          <cell r="L2984" t="str">
            <v>Não Atribuído</v>
          </cell>
          <cell r="M2984" t="str">
            <v>Não Atribuído</v>
          </cell>
        </row>
        <row r="2985">
          <cell r="B2985" t="str">
            <v>5174259</v>
          </cell>
          <cell r="C2985" t="str">
            <v>Não Atribuído</v>
          </cell>
          <cell r="D2985" t="str">
            <v>3001</v>
          </cell>
          <cell r="E2985" t="str">
            <v>6169</v>
          </cell>
          <cell r="F2985" t="str">
            <v>C1</v>
          </cell>
          <cell r="G2985" t="str">
            <v>NA</v>
          </cell>
          <cell r="H2985" t="str">
            <v>Não Atribuído</v>
          </cell>
          <cell r="I2985" t="str">
            <v>Não Atribuído</v>
          </cell>
          <cell r="J2985" t="str">
            <v>Não Atribuído</v>
          </cell>
          <cell r="K2985" t="str">
            <v>ITAMBÉ</v>
          </cell>
          <cell r="L2985" t="str">
            <v>Não Atribuído</v>
          </cell>
          <cell r="M2985" t="str">
            <v>Não Atribuído</v>
          </cell>
        </row>
        <row r="2986">
          <cell r="B2986" t="str">
            <v>5178343</v>
          </cell>
          <cell r="C2986" t="str">
            <v>Não Atribuído</v>
          </cell>
          <cell r="D2986" t="str">
            <v>6001</v>
          </cell>
          <cell r="E2986" t="str">
            <v>0128</v>
          </cell>
          <cell r="F2986" t="str">
            <v>C1</v>
          </cell>
          <cell r="G2986" t="str">
            <v>NA</v>
          </cell>
          <cell r="H2986" t="str">
            <v>Não Atribuído</v>
          </cell>
          <cell r="I2986" t="str">
            <v>Não Atribuído</v>
          </cell>
          <cell r="J2986" t="str">
            <v>Não Atribuído</v>
          </cell>
          <cell r="K2986" t="str">
            <v>ITAMBÉ</v>
          </cell>
          <cell r="L2986" t="str">
            <v>Não Atribuído</v>
          </cell>
          <cell r="M2986" t="str">
            <v>Não Atribuído</v>
          </cell>
        </row>
        <row r="2987">
          <cell r="B2987" t="str">
            <v>5178518</v>
          </cell>
          <cell r="C2987" t="str">
            <v>Não Atribuído</v>
          </cell>
          <cell r="D2987" t="str">
            <v>3001</v>
          </cell>
          <cell r="E2987" t="str">
            <v>6169</v>
          </cell>
          <cell r="F2987" t="str">
            <v>C1</v>
          </cell>
          <cell r="G2987" t="str">
            <v>NA</v>
          </cell>
          <cell r="H2987" t="str">
            <v>Não Atribuído</v>
          </cell>
          <cell r="I2987" t="str">
            <v>Não Atribuído</v>
          </cell>
          <cell r="J2987" t="str">
            <v>Não Atribuído</v>
          </cell>
          <cell r="K2987" t="str">
            <v>ITAMBÉ</v>
          </cell>
          <cell r="L2987" t="str">
            <v>Não Atribuído</v>
          </cell>
          <cell r="M2987" t="str">
            <v>Não Atribuído</v>
          </cell>
        </row>
        <row r="2988">
          <cell r="B2988" t="str">
            <v>5180088</v>
          </cell>
          <cell r="C2988" t="str">
            <v>Não Atribuído</v>
          </cell>
          <cell r="D2988" t="str">
            <v>6001</v>
          </cell>
          <cell r="E2988" t="str">
            <v>0028</v>
          </cell>
          <cell r="F2988" t="str">
            <v>C1</v>
          </cell>
          <cell r="G2988" t="str">
            <v>NA</v>
          </cell>
          <cell r="H2988" t="str">
            <v>Não Atribuído</v>
          </cell>
          <cell r="I2988" t="str">
            <v>Não Atribuído</v>
          </cell>
          <cell r="J2988" t="str">
            <v>Não Atribuído</v>
          </cell>
          <cell r="K2988" t="str">
            <v>ITAMBÉ</v>
          </cell>
          <cell r="L2988" t="str">
            <v>Não Atribuído</v>
          </cell>
          <cell r="M2988" t="str">
            <v>Não Atribuído</v>
          </cell>
        </row>
        <row r="2989">
          <cell r="B2989" t="str">
            <v>5181722</v>
          </cell>
          <cell r="C2989" t="str">
            <v>Não Atribuído</v>
          </cell>
          <cell r="D2989" t="str">
            <v>3001</v>
          </cell>
          <cell r="E2989" t="str">
            <v>6028</v>
          </cell>
          <cell r="F2989" t="str">
            <v>C1</v>
          </cell>
          <cell r="G2989" t="str">
            <v>NA</v>
          </cell>
          <cell r="H2989" t="str">
            <v>Não Atribuído</v>
          </cell>
          <cell r="I2989" t="str">
            <v>Não Atribuído</v>
          </cell>
          <cell r="J2989" t="str">
            <v>Não Atribuído</v>
          </cell>
          <cell r="K2989" t="str">
            <v>ITAMBÉ</v>
          </cell>
          <cell r="L2989" t="str">
            <v>Não Atribuído</v>
          </cell>
          <cell r="M2989" t="str">
            <v>Não Atribuído</v>
          </cell>
        </row>
        <row r="2990">
          <cell r="B2990" t="str">
            <v>5181837</v>
          </cell>
          <cell r="C2990" t="str">
            <v>Não Atribuído</v>
          </cell>
          <cell r="D2990" t="str">
            <v>6001</v>
          </cell>
          <cell r="E2990" t="str">
            <v>0028</v>
          </cell>
          <cell r="F2990" t="str">
            <v>C1</v>
          </cell>
          <cell r="G2990" t="str">
            <v>NA</v>
          </cell>
          <cell r="H2990" t="str">
            <v>Não Atribuído</v>
          </cell>
          <cell r="I2990" t="str">
            <v>Não Atribuído</v>
          </cell>
          <cell r="J2990" t="str">
            <v>Não Atribuído</v>
          </cell>
          <cell r="K2990" t="str">
            <v>ITAMBÉ</v>
          </cell>
          <cell r="L2990" t="str">
            <v>Não Atribuído</v>
          </cell>
          <cell r="M2990" t="str">
            <v>Não Atribuído</v>
          </cell>
        </row>
        <row r="2991">
          <cell r="B2991" t="str">
            <v>5182195</v>
          </cell>
          <cell r="C2991" t="str">
            <v>Não Atribuído</v>
          </cell>
          <cell r="D2991" t="str">
            <v>3001</v>
          </cell>
          <cell r="E2991" t="str">
            <v>6169</v>
          </cell>
          <cell r="F2991" t="str">
            <v>C1</v>
          </cell>
          <cell r="G2991" t="str">
            <v>NA</v>
          </cell>
          <cell r="H2991" t="str">
            <v>Não Atribuído</v>
          </cell>
          <cell r="I2991" t="str">
            <v>Não Atribuído</v>
          </cell>
          <cell r="J2991" t="str">
            <v>Não Atribuído</v>
          </cell>
          <cell r="K2991" t="str">
            <v>ITAMBÉ</v>
          </cell>
          <cell r="L2991" t="str">
            <v>Não Atribuído</v>
          </cell>
          <cell r="M2991" t="str">
            <v>Não Atribuído</v>
          </cell>
        </row>
        <row r="2992">
          <cell r="B2992" t="str">
            <v>5184155</v>
          </cell>
          <cell r="C2992" t="str">
            <v>Não Atribuído</v>
          </cell>
          <cell r="D2992" t="str">
            <v>3001</v>
          </cell>
          <cell r="E2992" t="str">
            <v>6127</v>
          </cell>
          <cell r="F2992" t="str">
            <v>C1</v>
          </cell>
          <cell r="G2992" t="str">
            <v>NA</v>
          </cell>
          <cell r="H2992" t="str">
            <v>Não Atribuído</v>
          </cell>
          <cell r="I2992" t="str">
            <v>Não Atribuído</v>
          </cell>
          <cell r="J2992" t="str">
            <v>Não Atribuído</v>
          </cell>
          <cell r="K2992" t="str">
            <v>ITAMBÉ</v>
          </cell>
          <cell r="L2992" t="str">
            <v>Não Atribuído</v>
          </cell>
          <cell r="M2992" t="str">
            <v>Não Atribuído</v>
          </cell>
        </row>
        <row r="2993">
          <cell r="B2993" t="str">
            <v>5186266</v>
          </cell>
          <cell r="C2993" t="str">
            <v>Não Atribuído</v>
          </cell>
          <cell r="D2993" t="str">
            <v>6001</v>
          </cell>
          <cell r="E2993" t="str">
            <v>0128</v>
          </cell>
          <cell r="F2993" t="str">
            <v>C1</v>
          </cell>
          <cell r="G2993" t="str">
            <v>NA</v>
          </cell>
          <cell r="H2993" t="str">
            <v>Não Atribuído</v>
          </cell>
          <cell r="I2993" t="str">
            <v>Não Atribuído</v>
          </cell>
          <cell r="J2993" t="str">
            <v>Não Atribuído</v>
          </cell>
          <cell r="K2993" t="str">
            <v>ITAMBÉ</v>
          </cell>
          <cell r="L2993" t="str">
            <v>Não Atribuído</v>
          </cell>
          <cell r="M2993" t="str">
            <v>Não Atribuído</v>
          </cell>
        </row>
        <row r="2994">
          <cell r="B2994" t="str">
            <v>5186815</v>
          </cell>
          <cell r="C2994" t="str">
            <v>Não Atribuído</v>
          </cell>
          <cell r="D2994" t="str">
            <v>3001</v>
          </cell>
          <cell r="E2994" t="str">
            <v>6169</v>
          </cell>
          <cell r="F2994" t="str">
            <v>C1</v>
          </cell>
          <cell r="G2994" t="str">
            <v>NA</v>
          </cell>
          <cell r="H2994" t="str">
            <v>Não Atribuído</v>
          </cell>
          <cell r="I2994" t="str">
            <v>Não Atribuído</v>
          </cell>
          <cell r="J2994" t="str">
            <v>Não Atribuído</v>
          </cell>
          <cell r="K2994" t="str">
            <v>ITAMBÉ</v>
          </cell>
          <cell r="L2994" t="str">
            <v>Não Atribuído</v>
          </cell>
          <cell r="M2994" t="str">
            <v>Não Atribuído</v>
          </cell>
        </row>
        <row r="2995">
          <cell r="B2995" t="str">
            <v>5186822</v>
          </cell>
          <cell r="C2995" t="str">
            <v>Não Atribuído</v>
          </cell>
          <cell r="D2995" t="str">
            <v>6001</v>
          </cell>
          <cell r="E2995" t="str">
            <v>0028</v>
          </cell>
          <cell r="F2995" t="str">
            <v>C1</v>
          </cell>
          <cell r="G2995" t="str">
            <v>NA</v>
          </cell>
          <cell r="H2995" t="str">
            <v>Não Atribuído</v>
          </cell>
          <cell r="I2995" t="str">
            <v>Não Atribuído</v>
          </cell>
          <cell r="J2995" t="str">
            <v>Não Atribuído</v>
          </cell>
          <cell r="K2995" t="str">
            <v>ITAMBÉ</v>
          </cell>
          <cell r="L2995" t="str">
            <v>Não Atribuído</v>
          </cell>
          <cell r="M2995" t="str">
            <v>Não Atribuído</v>
          </cell>
        </row>
        <row r="2996">
          <cell r="B2996" t="str">
            <v>5189644</v>
          </cell>
          <cell r="C2996" t="str">
            <v>Não Atribuído</v>
          </cell>
          <cell r="D2996" t="str">
            <v>3001</v>
          </cell>
          <cell r="E2996" t="str">
            <v>0125</v>
          </cell>
          <cell r="F2996" t="str">
            <v>C1</v>
          </cell>
          <cell r="G2996" t="str">
            <v>NA</v>
          </cell>
          <cell r="H2996" t="str">
            <v>Não Atribuído</v>
          </cell>
          <cell r="I2996" t="str">
            <v>Não Atribuído</v>
          </cell>
          <cell r="J2996" t="str">
            <v>Não Atribuído</v>
          </cell>
          <cell r="K2996" t="str">
            <v>ITAMBÉ</v>
          </cell>
          <cell r="L2996" t="str">
            <v>Não Atribuído</v>
          </cell>
          <cell r="M2996" t="str">
            <v>Não Atribuído</v>
          </cell>
        </row>
        <row r="2997">
          <cell r="B2997" t="str">
            <v>5193349</v>
          </cell>
          <cell r="C2997" t="str">
            <v>Não Atribuído</v>
          </cell>
          <cell r="D2997" t="str">
            <v>6001</v>
          </cell>
          <cell r="E2997" t="str">
            <v>0028</v>
          </cell>
          <cell r="F2997" t="str">
            <v>C1</v>
          </cell>
          <cell r="G2997" t="str">
            <v>NA</v>
          </cell>
          <cell r="H2997" t="str">
            <v>Não Atribuído</v>
          </cell>
          <cell r="I2997" t="str">
            <v>Não Atribuído</v>
          </cell>
          <cell r="J2997" t="str">
            <v>Não Atribuído</v>
          </cell>
          <cell r="K2997" t="str">
            <v>ITAMBÉ</v>
          </cell>
          <cell r="L2997" t="str">
            <v>Não Atribuído</v>
          </cell>
          <cell r="M2997" t="str">
            <v>Não Atribuído</v>
          </cell>
        </row>
        <row r="2998">
          <cell r="B2998" t="str">
            <v>5194018</v>
          </cell>
          <cell r="C2998" t="str">
            <v>Não Atribuído</v>
          </cell>
          <cell r="D2998" t="str">
            <v>3001</v>
          </cell>
          <cell r="E2998" t="str">
            <v>6169</v>
          </cell>
          <cell r="F2998" t="str">
            <v>C1</v>
          </cell>
          <cell r="G2998" t="str">
            <v>NA</v>
          </cell>
          <cell r="H2998" t="str">
            <v>Não Atribuído</v>
          </cell>
          <cell r="I2998" t="str">
            <v>Não Atribuído</v>
          </cell>
          <cell r="J2998" t="str">
            <v>Não Atribuído</v>
          </cell>
          <cell r="K2998" t="str">
            <v>ITAMBÉ</v>
          </cell>
          <cell r="L2998" t="str">
            <v>Não Atribuído</v>
          </cell>
          <cell r="M2998" t="str">
            <v>Não Atribuído</v>
          </cell>
        </row>
        <row r="2999">
          <cell r="B2999" t="str">
            <v>5194641</v>
          </cell>
          <cell r="C2999" t="str">
            <v>Não Atribuído</v>
          </cell>
          <cell r="D2999" t="str">
            <v>6001</v>
          </cell>
          <cell r="E2999" t="str">
            <v>0028</v>
          </cell>
          <cell r="F2999" t="str">
            <v>C1</v>
          </cell>
          <cell r="G2999" t="str">
            <v>NA</v>
          </cell>
          <cell r="H2999" t="str">
            <v>Não Atribuído</v>
          </cell>
          <cell r="I2999" t="str">
            <v>Não Atribuído</v>
          </cell>
          <cell r="J2999" t="str">
            <v>Não Atribuído</v>
          </cell>
          <cell r="K2999" t="str">
            <v>ITAMBÉ</v>
          </cell>
          <cell r="L2999" t="str">
            <v>Não Atribuído</v>
          </cell>
          <cell r="M2999" t="str">
            <v>Não Atribuído</v>
          </cell>
        </row>
        <row r="3000">
          <cell r="B3000" t="str">
            <v>5195605</v>
          </cell>
          <cell r="C3000" t="str">
            <v>Não Atribuído</v>
          </cell>
          <cell r="D3000" t="str">
            <v>3001</v>
          </cell>
          <cell r="E3000" t="str">
            <v>6125</v>
          </cell>
          <cell r="F3000" t="str">
            <v>C1</v>
          </cell>
          <cell r="G3000" t="str">
            <v>NA</v>
          </cell>
          <cell r="H3000" t="str">
            <v>Não Atribuído</v>
          </cell>
          <cell r="I3000" t="str">
            <v>Não Atribuído</v>
          </cell>
          <cell r="J3000" t="str">
            <v>Não Atribuído</v>
          </cell>
          <cell r="K3000" t="str">
            <v>ITAMBÉ</v>
          </cell>
          <cell r="L3000" t="str">
            <v>Não Atribuído</v>
          </cell>
          <cell r="M3000" t="str">
            <v>Não Atribuído</v>
          </cell>
        </row>
        <row r="3001">
          <cell r="B3001" t="str">
            <v>5196675</v>
          </cell>
          <cell r="C3001" t="str">
            <v>Não Atribuído</v>
          </cell>
          <cell r="D3001" t="str">
            <v>6001</v>
          </cell>
          <cell r="E3001" t="str">
            <v>0123</v>
          </cell>
          <cell r="F3001" t="str">
            <v>C1</v>
          </cell>
          <cell r="G3001" t="str">
            <v>NA</v>
          </cell>
          <cell r="H3001" t="str">
            <v>Não Atribuído</v>
          </cell>
          <cell r="I3001" t="str">
            <v>Não Atribuído</v>
          </cell>
          <cell r="J3001" t="str">
            <v>Não Atribuído</v>
          </cell>
          <cell r="K3001" t="str">
            <v>ITAMBÉ</v>
          </cell>
          <cell r="L3001" t="str">
            <v>Não Atribuído</v>
          </cell>
          <cell r="M3001" t="str">
            <v>Não Atribuído</v>
          </cell>
        </row>
        <row r="3002">
          <cell r="B3002" t="str">
            <v>5196867</v>
          </cell>
          <cell r="C3002" t="str">
            <v>Não Atribuído</v>
          </cell>
          <cell r="D3002" t="str">
            <v>3001</v>
          </cell>
          <cell r="E3002" t="str">
            <v>6125</v>
          </cell>
          <cell r="F3002" t="str">
            <v>C1</v>
          </cell>
          <cell r="G3002" t="str">
            <v>NA</v>
          </cell>
          <cell r="H3002" t="str">
            <v>Não Atribuído</v>
          </cell>
          <cell r="I3002" t="str">
            <v>Não Atribuído</v>
          </cell>
          <cell r="J3002" t="str">
            <v>Não Atribuído</v>
          </cell>
          <cell r="K3002" t="str">
            <v>ITAMBÉ</v>
          </cell>
          <cell r="L3002" t="str">
            <v>Não Atribuído</v>
          </cell>
          <cell r="M3002" t="str">
            <v>Não Atribuído</v>
          </cell>
        </row>
        <row r="3003">
          <cell r="B3003" t="str">
            <v>5198408</v>
          </cell>
          <cell r="C3003" t="str">
            <v>Não Atribuído</v>
          </cell>
          <cell r="D3003" t="str">
            <v>6001</v>
          </cell>
          <cell r="E3003" t="str">
            <v>0028</v>
          </cell>
          <cell r="F3003" t="str">
            <v>C1</v>
          </cell>
          <cell r="G3003" t="str">
            <v>NA</v>
          </cell>
          <cell r="H3003" t="str">
            <v>Não Atribuído</v>
          </cell>
          <cell r="I3003" t="str">
            <v>Não Atribuído</v>
          </cell>
          <cell r="J3003" t="str">
            <v>Não Atribuído</v>
          </cell>
          <cell r="K3003" t="str">
            <v>ITAMBÉ</v>
          </cell>
          <cell r="L3003" t="str">
            <v>Não Atribuído</v>
          </cell>
          <cell r="M3003" t="str">
            <v>Não Atribuído</v>
          </cell>
        </row>
        <row r="3004">
          <cell r="B3004" t="str">
            <v>5198698</v>
          </cell>
          <cell r="C3004" t="str">
            <v>Não Atribuído</v>
          </cell>
          <cell r="D3004" t="str">
            <v>3001</v>
          </cell>
          <cell r="E3004" t="str">
            <v>6125</v>
          </cell>
          <cell r="F3004" t="str">
            <v>C1</v>
          </cell>
          <cell r="G3004" t="str">
            <v>NA</v>
          </cell>
          <cell r="H3004" t="str">
            <v>Não Atribuído</v>
          </cell>
          <cell r="I3004" t="str">
            <v>Não Atribuído</v>
          </cell>
          <cell r="J3004" t="str">
            <v>Não Atribuído</v>
          </cell>
          <cell r="K3004" t="str">
            <v>ITAMBÉ</v>
          </cell>
          <cell r="L3004" t="str">
            <v>Não Atribuído</v>
          </cell>
          <cell r="M3004" t="str">
            <v>Não Atribuído</v>
          </cell>
        </row>
        <row r="3005">
          <cell r="B3005" t="str">
            <v>5198979</v>
          </cell>
          <cell r="C3005" t="str">
            <v>Não Atribuído</v>
          </cell>
          <cell r="D3005" t="str">
            <v>6001</v>
          </cell>
          <cell r="E3005" t="str">
            <v>0126</v>
          </cell>
          <cell r="F3005" t="str">
            <v>C1</v>
          </cell>
          <cell r="G3005" t="str">
            <v>NA</v>
          </cell>
          <cell r="H3005" t="str">
            <v>Não Atribuído</v>
          </cell>
          <cell r="I3005" t="str">
            <v>Não Atribuído</v>
          </cell>
          <cell r="J3005" t="str">
            <v>Não Atribuído</v>
          </cell>
          <cell r="K3005" t="str">
            <v>ITAMBÉ</v>
          </cell>
          <cell r="L3005" t="str">
            <v>Não Atribuído</v>
          </cell>
          <cell r="M3005" t="str">
            <v>Não Atribuído</v>
          </cell>
        </row>
        <row r="3006">
          <cell r="B3006" t="str">
            <v>5199005</v>
          </cell>
          <cell r="C3006" t="str">
            <v>Não Atribuído</v>
          </cell>
          <cell r="D3006" t="str">
            <v>3001</v>
          </cell>
          <cell r="E3006" t="str">
            <v>0127</v>
          </cell>
          <cell r="F3006" t="str">
            <v>C1</v>
          </cell>
          <cell r="G3006" t="str">
            <v>NA</v>
          </cell>
          <cell r="H3006" t="str">
            <v>Não Atribuído</v>
          </cell>
          <cell r="I3006" t="str">
            <v>Não Atribuído</v>
          </cell>
          <cell r="J3006" t="str">
            <v>Não Atribuído</v>
          </cell>
          <cell r="K3006" t="str">
            <v>ITAMBÉ</v>
          </cell>
          <cell r="L3006" t="str">
            <v>Não Atribuído</v>
          </cell>
          <cell r="M3006" t="str">
            <v>Não Atribuído</v>
          </cell>
        </row>
        <row r="3007">
          <cell r="B3007" t="str">
            <v>5199893</v>
          </cell>
          <cell r="C3007" t="str">
            <v>Não Atribuído</v>
          </cell>
          <cell r="D3007" t="str">
            <v>6001</v>
          </cell>
          <cell r="E3007" t="str">
            <v>0126</v>
          </cell>
          <cell r="F3007" t="str">
            <v>C1</v>
          </cell>
          <cell r="G3007" t="str">
            <v>NA</v>
          </cell>
          <cell r="H3007" t="str">
            <v>Não Atribuído</v>
          </cell>
          <cell r="I3007" t="str">
            <v>Não Atribuído</v>
          </cell>
          <cell r="J3007" t="str">
            <v>Não Atribuído</v>
          </cell>
          <cell r="K3007" t="str">
            <v>ITAMBÉ</v>
          </cell>
          <cell r="L3007" t="str">
            <v>Não Atribuído</v>
          </cell>
          <cell r="M3007" t="str">
            <v>Não Atribuído</v>
          </cell>
        </row>
        <row r="3008">
          <cell r="B3008" t="str">
            <v>5200125</v>
          </cell>
          <cell r="C3008" t="str">
            <v>Não Atribuído</v>
          </cell>
          <cell r="D3008" t="str">
            <v>3001</v>
          </cell>
          <cell r="E3008" t="str">
            <v>6127</v>
          </cell>
          <cell r="F3008" t="str">
            <v>C1</v>
          </cell>
          <cell r="G3008" t="str">
            <v>NA</v>
          </cell>
          <cell r="H3008" t="str">
            <v>Não Atribuído</v>
          </cell>
          <cell r="I3008" t="str">
            <v>Não Atribuído</v>
          </cell>
          <cell r="J3008" t="str">
            <v>Não Atribuído</v>
          </cell>
          <cell r="K3008" t="str">
            <v>ITAMBÉ</v>
          </cell>
          <cell r="L3008" t="str">
            <v>Não Atribuído</v>
          </cell>
          <cell r="M3008" t="str">
            <v>Não Atribuído</v>
          </cell>
        </row>
        <row r="3009">
          <cell r="B3009" t="str">
            <v>5204939</v>
          </cell>
          <cell r="C3009" t="str">
            <v>Não Atribuído</v>
          </cell>
          <cell r="D3009" t="str">
            <v>3001</v>
          </cell>
          <cell r="E3009" t="str">
            <v>0125</v>
          </cell>
          <cell r="F3009" t="str">
            <v>C1</v>
          </cell>
          <cell r="G3009" t="str">
            <v>NA</v>
          </cell>
          <cell r="H3009" t="str">
            <v>Não Atribuído</v>
          </cell>
          <cell r="I3009" t="str">
            <v>Não Atribuído</v>
          </cell>
          <cell r="J3009" t="str">
            <v>Não Atribuído</v>
          </cell>
          <cell r="K3009" t="str">
            <v>ITAMBÉ</v>
          </cell>
          <cell r="L3009" t="str">
            <v>Não Atribuído</v>
          </cell>
          <cell r="M3009" t="str">
            <v>Não Atribuído</v>
          </cell>
        </row>
        <row r="3010">
          <cell r="B3010" t="str">
            <v>5206830</v>
          </cell>
          <cell r="C3010" t="str">
            <v>Não Atribuído</v>
          </cell>
          <cell r="D3010" t="str">
            <v>6001</v>
          </cell>
          <cell r="E3010" t="str">
            <v>0028</v>
          </cell>
          <cell r="F3010" t="str">
            <v>C1</v>
          </cell>
          <cell r="G3010" t="str">
            <v>NA</v>
          </cell>
          <cell r="H3010" t="str">
            <v>Não Atribuído</v>
          </cell>
          <cell r="I3010" t="str">
            <v>Não Atribuído</v>
          </cell>
          <cell r="J3010" t="str">
            <v>Não Atribuído</v>
          </cell>
          <cell r="K3010" t="str">
            <v>ITAMBÉ</v>
          </cell>
          <cell r="L3010" t="str">
            <v>Não Atribuído</v>
          </cell>
          <cell r="M3010" t="str">
            <v>Não Atribuído</v>
          </cell>
        </row>
        <row r="3011">
          <cell r="B3011" t="str">
            <v>5207394</v>
          </cell>
          <cell r="C3011" t="str">
            <v>Não Atribuído</v>
          </cell>
          <cell r="D3011" t="str">
            <v>3001</v>
          </cell>
          <cell r="E3011" t="str">
            <v>6169</v>
          </cell>
          <cell r="F3011" t="str">
            <v>C1</v>
          </cell>
          <cell r="G3011" t="str">
            <v>NA</v>
          </cell>
          <cell r="H3011" t="str">
            <v>Não Atribuído</v>
          </cell>
          <cell r="I3011" t="str">
            <v>Não Atribuído</v>
          </cell>
          <cell r="J3011" t="str">
            <v>Não Atribuído</v>
          </cell>
          <cell r="K3011" t="str">
            <v>ITAMBÉ</v>
          </cell>
          <cell r="L3011" t="str">
            <v>Não Atribuído</v>
          </cell>
          <cell r="M3011" t="str">
            <v>Não Atribuído</v>
          </cell>
        </row>
        <row r="3012">
          <cell r="B3012" t="str">
            <v>5207685</v>
          </cell>
          <cell r="C3012" t="str">
            <v>Não Atribuído</v>
          </cell>
          <cell r="D3012" t="str">
            <v>6001</v>
          </cell>
          <cell r="E3012" t="str">
            <v>0028</v>
          </cell>
          <cell r="F3012" t="str">
            <v>C1</v>
          </cell>
          <cell r="G3012" t="str">
            <v>NA</v>
          </cell>
          <cell r="H3012" t="str">
            <v>Não Atribuído</v>
          </cell>
          <cell r="I3012" t="str">
            <v>Não Atribuído</v>
          </cell>
          <cell r="J3012" t="str">
            <v>Não Atribuído</v>
          </cell>
          <cell r="K3012" t="str">
            <v>ITAMBÉ</v>
          </cell>
          <cell r="L3012" t="str">
            <v>Não Atribuído</v>
          </cell>
          <cell r="M3012" t="str">
            <v>Não Atribuído</v>
          </cell>
        </row>
        <row r="3013">
          <cell r="B3013" t="str">
            <v>5208028</v>
          </cell>
          <cell r="C3013" t="str">
            <v>Não Atribuído</v>
          </cell>
          <cell r="D3013" t="str">
            <v>3001</v>
          </cell>
          <cell r="E3013" t="str">
            <v>6028</v>
          </cell>
          <cell r="F3013" t="str">
            <v>C1</v>
          </cell>
          <cell r="G3013" t="str">
            <v>NA</v>
          </cell>
          <cell r="H3013" t="str">
            <v>Não Atribuído</v>
          </cell>
          <cell r="I3013" t="str">
            <v>Não Atribuído</v>
          </cell>
          <cell r="J3013" t="str">
            <v>Não Atribuído</v>
          </cell>
          <cell r="K3013" t="str">
            <v>ITAMBÉ</v>
          </cell>
          <cell r="L3013" t="str">
            <v>Não Atribuído</v>
          </cell>
          <cell r="M3013" t="str">
            <v>Não Atribuído</v>
          </cell>
        </row>
        <row r="3014">
          <cell r="B3014" t="str">
            <v>5212486</v>
          </cell>
          <cell r="C3014" t="str">
            <v>Não Atribuído</v>
          </cell>
          <cell r="D3014" t="str">
            <v>6001</v>
          </cell>
          <cell r="E3014" t="str">
            <v>0028</v>
          </cell>
          <cell r="F3014" t="str">
            <v>C1</v>
          </cell>
          <cell r="G3014" t="str">
            <v>NA</v>
          </cell>
          <cell r="H3014" t="str">
            <v>Não Atribuído</v>
          </cell>
          <cell r="I3014" t="str">
            <v>Não Atribuído</v>
          </cell>
          <cell r="J3014" t="str">
            <v>Não Atribuído</v>
          </cell>
          <cell r="K3014" t="str">
            <v>ITAMBÉ</v>
          </cell>
          <cell r="L3014" t="str">
            <v>Não Atribuído</v>
          </cell>
          <cell r="M3014" t="str">
            <v>Não Atribuído</v>
          </cell>
        </row>
        <row r="3015">
          <cell r="B3015" t="str">
            <v>5213484</v>
          </cell>
          <cell r="C3015" t="str">
            <v>Não Atribuído</v>
          </cell>
          <cell r="D3015" t="str">
            <v>3001</v>
          </cell>
          <cell r="E3015" t="str">
            <v>6125</v>
          </cell>
          <cell r="F3015" t="str">
            <v>C1</v>
          </cell>
          <cell r="G3015" t="str">
            <v>NA</v>
          </cell>
          <cell r="H3015" t="str">
            <v>Não Atribuído</v>
          </cell>
          <cell r="I3015" t="str">
            <v>Não Atribuído</v>
          </cell>
          <cell r="J3015" t="str">
            <v>Não Atribuído</v>
          </cell>
          <cell r="K3015" t="str">
            <v>ITAMBÉ</v>
          </cell>
          <cell r="L3015" t="str">
            <v>Não Atribuído</v>
          </cell>
          <cell r="M3015" t="str">
            <v>Não Atribuído</v>
          </cell>
        </row>
        <row r="3016">
          <cell r="B3016" t="str">
            <v>5214453</v>
          </cell>
          <cell r="C3016" t="str">
            <v>Não Atribuído</v>
          </cell>
          <cell r="D3016" t="str">
            <v>6001</v>
          </cell>
          <cell r="E3016" t="str">
            <v>0127</v>
          </cell>
          <cell r="F3016" t="str">
            <v>C1</v>
          </cell>
          <cell r="G3016" t="str">
            <v>NA</v>
          </cell>
          <cell r="H3016" t="str">
            <v>Não Atribuído</v>
          </cell>
          <cell r="I3016" t="str">
            <v>Não Atribuído</v>
          </cell>
          <cell r="J3016" t="str">
            <v>Não Atribuído</v>
          </cell>
          <cell r="K3016" t="str">
            <v>ITAMBÉ</v>
          </cell>
          <cell r="L3016" t="str">
            <v>Não Atribuído</v>
          </cell>
          <cell r="M3016" t="str">
            <v>Não Atribuído</v>
          </cell>
        </row>
        <row r="3017">
          <cell r="B3017" t="str">
            <v>5214670</v>
          </cell>
          <cell r="C3017" t="str">
            <v>Não Atribuído</v>
          </cell>
          <cell r="D3017" t="str">
            <v>3001</v>
          </cell>
          <cell r="E3017" t="str">
            <v>6123</v>
          </cell>
          <cell r="F3017" t="str">
            <v>C1</v>
          </cell>
          <cell r="G3017" t="str">
            <v>NA</v>
          </cell>
          <cell r="H3017" t="str">
            <v>Não Atribuído</v>
          </cell>
          <cell r="I3017" t="str">
            <v>Não Atribuído</v>
          </cell>
          <cell r="J3017" t="str">
            <v>Não Atribuído</v>
          </cell>
          <cell r="K3017" t="str">
            <v>ITAMBÉ</v>
          </cell>
          <cell r="L3017" t="str">
            <v>Não Atribuído</v>
          </cell>
          <cell r="M3017" t="str">
            <v>Não Atribuído</v>
          </cell>
        </row>
        <row r="3018">
          <cell r="B3018" t="str">
            <v>5216004</v>
          </cell>
          <cell r="C3018" t="str">
            <v>Não Atribuído</v>
          </cell>
          <cell r="D3018" t="str">
            <v>6001</v>
          </cell>
          <cell r="E3018" t="str">
            <v>0127</v>
          </cell>
          <cell r="F3018" t="str">
            <v>C1</v>
          </cell>
          <cell r="G3018" t="str">
            <v>NA</v>
          </cell>
          <cell r="H3018" t="str">
            <v>Não Atribuído</v>
          </cell>
          <cell r="I3018" t="str">
            <v>Não Atribuído</v>
          </cell>
          <cell r="J3018" t="str">
            <v>Não Atribuído</v>
          </cell>
          <cell r="K3018" t="str">
            <v>ITAMBÉ</v>
          </cell>
          <cell r="L3018" t="str">
            <v>Não Atribuído</v>
          </cell>
          <cell r="M3018" t="str">
            <v>Não Atribuído</v>
          </cell>
        </row>
        <row r="3019">
          <cell r="B3019" t="str">
            <v>5216557</v>
          </cell>
          <cell r="C3019" t="str">
            <v>Não Atribuído</v>
          </cell>
          <cell r="D3019" t="str">
            <v>3001</v>
          </cell>
          <cell r="E3019" t="str">
            <v>6125</v>
          </cell>
          <cell r="F3019" t="str">
            <v>C1</v>
          </cell>
          <cell r="G3019" t="str">
            <v>NA</v>
          </cell>
          <cell r="H3019" t="str">
            <v>Não Atribuído</v>
          </cell>
          <cell r="I3019" t="str">
            <v>Não Atribuído</v>
          </cell>
          <cell r="J3019" t="str">
            <v>Não Atribuído</v>
          </cell>
          <cell r="K3019" t="str">
            <v>ITAMBÉ</v>
          </cell>
          <cell r="L3019" t="str">
            <v>Não Atribuído</v>
          </cell>
          <cell r="M3019" t="str">
            <v>Não Atribuído</v>
          </cell>
        </row>
        <row r="3020">
          <cell r="B3020" t="str">
            <v>5219839</v>
          </cell>
          <cell r="C3020" t="str">
            <v>Não Atribuído</v>
          </cell>
          <cell r="D3020" t="str">
            <v>6001</v>
          </cell>
          <cell r="E3020" t="str">
            <v>0126</v>
          </cell>
          <cell r="F3020" t="str">
            <v>C1</v>
          </cell>
          <cell r="G3020" t="str">
            <v>NA</v>
          </cell>
          <cell r="H3020" t="str">
            <v>Não Atribuído</v>
          </cell>
          <cell r="I3020" t="str">
            <v>Não Atribuído</v>
          </cell>
          <cell r="J3020" t="str">
            <v>Não Atribuído</v>
          </cell>
          <cell r="K3020" t="str">
            <v>ITAMBÉ</v>
          </cell>
          <cell r="L3020" t="str">
            <v>Não Atribuído</v>
          </cell>
          <cell r="M3020" t="str">
            <v>Não Atribuído</v>
          </cell>
        </row>
        <row r="3021">
          <cell r="B3021" t="str">
            <v>5220998</v>
          </cell>
          <cell r="C3021" t="str">
            <v>Não Atribuído</v>
          </cell>
          <cell r="D3021" t="str">
            <v>3001</v>
          </cell>
          <cell r="E3021" t="str">
            <v>6127</v>
          </cell>
          <cell r="F3021" t="str">
            <v>C1</v>
          </cell>
          <cell r="G3021" t="str">
            <v>NA</v>
          </cell>
          <cell r="H3021" t="str">
            <v>Não Atribuído</v>
          </cell>
          <cell r="I3021" t="str">
            <v>Não Atribuído</v>
          </cell>
          <cell r="J3021" t="str">
            <v>Não Atribuído</v>
          </cell>
          <cell r="K3021" t="str">
            <v>ITAMBÉ</v>
          </cell>
          <cell r="L3021" t="str">
            <v>Não Atribuído</v>
          </cell>
          <cell r="M3021" t="str">
            <v>Não Atribuído</v>
          </cell>
        </row>
        <row r="3022">
          <cell r="B3022" t="str">
            <v>5224043</v>
          </cell>
          <cell r="C3022" t="str">
            <v>Não Atribuído</v>
          </cell>
          <cell r="D3022" t="str">
            <v>6001</v>
          </cell>
          <cell r="E3022" t="str">
            <v>0122</v>
          </cell>
          <cell r="F3022" t="str">
            <v>C1</v>
          </cell>
          <cell r="G3022" t="str">
            <v>NA</v>
          </cell>
          <cell r="H3022" t="str">
            <v>Não Atribuído</v>
          </cell>
          <cell r="I3022" t="str">
            <v>Não Atribuído</v>
          </cell>
          <cell r="J3022" t="str">
            <v>Não Atribuído</v>
          </cell>
          <cell r="K3022" t="str">
            <v>ITAMBÉ</v>
          </cell>
          <cell r="L3022" t="str">
            <v>Não Atribuído</v>
          </cell>
          <cell r="M3022" t="str">
            <v>Não Atribuído</v>
          </cell>
        </row>
        <row r="3023">
          <cell r="B3023" t="str">
            <v>5224055</v>
          </cell>
          <cell r="C3023" t="str">
            <v>Não Atribuído</v>
          </cell>
          <cell r="D3023" t="str">
            <v>3001</v>
          </cell>
          <cell r="E3023" t="str">
            <v>6028</v>
          </cell>
          <cell r="F3023" t="str">
            <v>C1</v>
          </cell>
          <cell r="G3023" t="str">
            <v>NA</v>
          </cell>
          <cell r="H3023" t="str">
            <v>Não Atribuído</v>
          </cell>
          <cell r="I3023" t="str">
            <v>Não Atribuído</v>
          </cell>
          <cell r="J3023" t="str">
            <v>Não Atribuído</v>
          </cell>
          <cell r="K3023" t="str">
            <v>ITAMBÉ</v>
          </cell>
          <cell r="L3023" t="str">
            <v>Não Atribuído</v>
          </cell>
          <cell r="M3023" t="str">
            <v>Não Atribuído</v>
          </cell>
        </row>
        <row r="3024">
          <cell r="B3024" t="str">
            <v>5224404</v>
          </cell>
          <cell r="C3024" t="str">
            <v>Não Atribuído</v>
          </cell>
          <cell r="D3024" t="str">
            <v>6001</v>
          </cell>
          <cell r="E3024" t="str">
            <v>0122</v>
          </cell>
          <cell r="F3024" t="str">
            <v>C1</v>
          </cell>
          <cell r="G3024" t="str">
            <v>NA</v>
          </cell>
          <cell r="H3024" t="str">
            <v>Não Atribuído</v>
          </cell>
          <cell r="I3024" t="str">
            <v>Não Atribuído</v>
          </cell>
          <cell r="J3024" t="str">
            <v>Não Atribuído</v>
          </cell>
          <cell r="K3024" t="str">
            <v>ITAMBÉ</v>
          </cell>
          <cell r="L3024" t="str">
            <v>Não Atribuído</v>
          </cell>
          <cell r="M3024" t="str">
            <v>Não Atribuído</v>
          </cell>
        </row>
        <row r="3025">
          <cell r="B3025" t="str">
            <v>5226360</v>
          </cell>
          <cell r="C3025" t="str">
            <v>Não Atribuído</v>
          </cell>
          <cell r="D3025" t="str">
            <v>3001</v>
          </cell>
          <cell r="E3025" t="str">
            <v>6127</v>
          </cell>
          <cell r="F3025" t="str">
            <v>C1</v>
          </cell>
          <cell r="G3025" t="str">
            <v>NA</v>
          </cell>
          <cell r="H3025" t="str">
            <v>Não Atribuído</v>
          </cell>
          <cell r="I3025" t="str">
            <v>Não Atribuído</v>
          </cell>
          <cell r="J3025" t="str">
            <v>Não Atribuído</v>
          </cell>
          <cell r="K3025" t="str">
            <v>ITAMBÉ</v>
          </cell>
          <cell r="L3025" t="str">
            <v>Não Atribuído</v>
          </cell>
          <cell r="M3025" t="str">
            <v>Não Atribuído</v>
          </cell>
        </row>
        <row r="3026">
          <cell r="B3026" t="str">
            <v>5226805</v>
          </cell>
          <cell r="C3026" t="str">
            <v>Não Atribuído</v>
          </cell>
          <cell r="D3026" t="str">
            <v>6001</v>
          </cell>
          <cell r="E3026" t="str">
            <v>0122</v>
          </cell>
          <cell r="F3026" t="str">
            <v>C1</v>
          </cell>
          <cell r="G3026" t="str">
            <v>NA</v>
          </cell>
          <cell r="H3026" t="str">
            <v>Não Atribuído</v>
          </cell>
          <cell r="I3026" t="str">
            <v>Não Atribuído</v>
          </cell>
          <cell r="J3026" t="str">
            <v>Não Atribuído</v>
          </cell>
          <cell r="K3026" t="str">
            <v>ITAMBÉ</v>
          </cell>
          <cell r="L3026" t="str">
            <v>Não Atribuído</v>
          </cell>
          <cell r="M3026" t="str">
            <v>Não Atribuído</v>
          </cell>
        </row>
        <row r="3027">
          <cell r="B3027" t="str">
            <v>5226985</v>
          </cell>
          <cell r="C3027" t="str">
            <v>Não Atribuído</v>
          </cell>
          <cell r="D3027" t="str">
            <v>3001</v>
          </cell>
          <cell r="E3027" t="str">
            <v>6125</v>
          </cell>
          <cell r="F3027" t="str">
            <v>C1</v>
          </cell>
          <cell r="G3027" t="str">
            <v>NA</v>
          </cell>
          <cell r="H3027" t="str">
            <v>Não Atribuído</v>
          </cell>
          <cell r="I3027" t="str">
            <v>Não Atribuído</v>
          </cell>
          <cell r="J3027" t="str">
            <v>Não Atribuído</v>
          </cell>
          <cell r="K3027" t="str">
            <v>ITAMBÉ</v>
          </cell>
          <cell r="L3027" t="str">
            <v>Não Atribuído</v>
          </cell>
          <cell r="M3027" t="str">
            <v>Não Atribuído</v>
          </cell>
        </row>
        <row r="3028">
          <cell r="B3028" t="str">
            <v>5227283</v>
          </cell>
          <cell r="C3028" t="str">
            <v>Não Atribuído</v>
          </cell>
          <cell r="D3028" t="str">
            <v>6001</v>
          </cell>
          <cell r="E3028" t="str">
            <v>0028</v>
          </cell>
          <cell r="F3028" t="str">
            <v>C1</v>
          </cell>
          <cell r="G3028" t="str">
            <v>NA</v>
          </cell>
          <cell r="H3028" t="str">
            <v>Não Atribuído</v>
          </cell>
          <cell r="I3028" t="str">
            <v>Não Atribuído</v>
          </cell>
          <cell r="J3028" t="str">
            <v>Não Atribuído</v>
          </cell>
          <cell r="K3028" t="str">
            <v>ITAMBÉ</v>
          </cell>
          <cell r="L3028" t="str">
            <v>Não Atribuído</v>
          </cell>
          <cell r="M3028" t="str">
            <v>Não Atribuído</v>
          </cell>
        </row>
        <row r="3029">
          <cell r="B3029" t="str">
            <v>5227605</v>
          </cell>
          <cell r="C3029" t="str">
            <v>Não Atribuído</v>
          </cell>
          <cell r="D3029" t="str">
            <v>3001</v>
          </cell>
          <cell r="E3029" t="str">
            <v>6127</v>
          </cell>
          <cell r="F3029" t="str">
            <v>C1</v>
          </cell>
          <cell r="G3029" t="str">
            <v>NA</v>
          </cell>
          <cell r="H3029" t="str">
            <v>Não Atribuído</v>
          </cell>
          <cell r="I3029" t="str">
            <v>Não Atribuído</v>
          </cell>
          <cell r="J3029" t="str">
            <v>Não Atribuído</v>
          </cell>
          <cell r="K3029" t="str">
            <v>ITAMBÉ</v>
          </cell>
          <cell r="L3029" t="str">
            <v>Não Atribuído</v>
          </cell>
          <cell r="M3029" t="str">
            <v>Não Atribuído</v>
          </cell>
        </row>
        <row r="3030">
          <cell r="B3030" t="str">
            <v>5228735</v>
          </cell>
          <cell r="C3030" t="str">
            <v>Não Atribuído</v>
          </cell>
          <cell r="D3030" t="str">
            <v>6001</v>
          </cell>
          <cell r="E3030" t="str">
            <v>0028</v>
          </cell>
          <cell r="F3030" t="str">
            <v>C1</v>
          </cell>
          <cell r="G3030" t="str">
            <v>NA</v>
          </cell>
          <cell r="H3030" t="str">
            <v>Não Atribuído</v>
          </cell>
          <cell r="I3030" t="str">
            <v>Não Atribuído</v>
          </cell>
          <cell r="J3030" t="str">
            <v>Não Atribuído</v>
          </cell>
          <cell r="K3030" t="str">
            <v>ITAMBÉ</v>
          </cell>
          <cell r="L3030" t="str">
            <v>Não Atribuído</v>
          </cell>
          <cell r="M3030" t="str">
            <v>Não Atribuído</v>
          </cell>
        </row>
        <row r="3031">
          <cell r="B3031" t="str">
            <v>5229017</v>
          </cell>
          <cell r="C3031" t="str">
            <v>Não Atribuído</v>
          </cell>
          <cell r="D3031" t="str">
            <v>6001</v>
          </cell>
          <cell r="E3031" t="str">
            <v>0127</v>
          </cell>
          <cell r="F3031" t="str">
            <v>C1</v>
          </cell>
          <cell r="G3031" t="str">
            <v>NA</v>
          </cell>
          <cell r="H3031" t="str">
            <v>Não Atribuído</v>
          </cell>
          <cell r="I3031" t="str">
            <v>Não Atribuído</v>
          </cell>
          <cell r="J3031" t="str">
            <v>Não Atribuído</v>
          </cell>
          <cell r="K3031" t="str">
            <v>ITAMBÉ</v>
          </cell>
          <cell r="L3031" t="str">
            <v>Não Atribuído</v>
          </cell>
          <cell r="M3031" t="str">
            <v>Não Atribuído</v>
          </cell>
        </row>
        <row r="3032">
          <cell r="B3032" t="str">
            <v>5229130</v>
          </cell>
          <cell r="C3032" t="str">
            <v>Não Atribuído</v>
          </cell>
          <cell r="D3032" t="str">
            <v>3001</v>
          </cell>
          <cell r="E3032" t="str">
            <v>6125</v>
          </cell>
          <cell r="F3032" t="str">
            <v>C1</v>
          </cell>
          <cell r="G3032" t="str">
            <v>NA</v>
          </cell>
          <cell r="H3032" t="str">
            <v>Não Atribuído</v>
          </cell>
          <cell r="I3032" t="str">
            <v>Não Atribuído</v>
          </cell>
          <cell r="J3032" t="str">
            <v>Não Atribuído</v>
          </cell>
          <cell r="K3032" t="str">
            <v>ITAMBÉ</v>
          </cell>
          <cell r="L3032" t="str">
            <v>Não Atribuído</v>
          </cell>
          <cell r="M3032" t="str">
            <v>Não Atribuído</v>
          </cell>
        </row>
        <row r="3033">
          <cell r="B3033" t="str">
            <v>5229525</v>
          </cell>
          <cell r="C3033" t="str">
            <v>Não Atribuído</v>
          </cell>
          <cell r="D3033" t="str">
            <v>6001</v>
          </cell>
          <cell r="E3033" t="str">
            <v>0126</v>
          </cell>
          <cell r="F3033" t="str">
            <v>C1</v>
          </cell>
          <cell r="G3033" t="str">
            <v>NA</v>
          </cell>
          <cell r="H3033" t="str">
            <v>Não Atribuído</v>
          </cell>
          <cell r="I3033" t="str">
            <v>Não Atribuído</v>
          </cell>
          <cell r="J3033" t="str">
            <v>Não Atribuído</v>
          </cell>
          <cell r="K3033" t="str">
            <v>ITAMBÉ</v>
          </cell>
          <cell r="L3033" t="str">
            <v>Não Atribuído</v>
          </cell>
          <cell r="M3033" t="str">
            <v>Não Atribuído</v>
          </cell>
        </row>
        <row r="3034">
          <cell r="B3034" t="str">
            <v>5229831</v>
          </cell>
          <cell r="C3034" t="str">
            <v>Não Atribuído</v>
          </cell>
          <cell r="D3034" t="str">
            <v>3001</v>
          </cell>
          <cell r="E3034" t="str">
            <v>0169</v>
          </cell>
          <cell r="F3034" t="str">
            <v>C1</v>
          </cell>
          <cell r="G3034" t="str">
            <v>NA</v>
          </cell>
          <cell r="H3034" t="str">
            <v>Não Atribuído</v>
          </cell>
          <cell r="I3034" t="str">
            <v>Não Atribuído</v>
          </cell>
          <cell r="J3034" t="str">
            <v>Não Atribuído</v>
          </cell>
          <cell r="K3034" t="str">
            <v>ITAMBÉ</v>
          </cell>
          <cell r="L3034" t="str">
            <v>Não Atribuído</v>
          </cell>
          <cell r="M3034" t="str">
            <v>Não Atribuído</v>
          </cell>
        </row>
        <row r="3035">
          <cell r="B3035" t="str">
            <v>5230104</v>
          </cell>
          <cell r="C3035" t="str">
            <v>Não Atribuído</v>
          </cell>
          <cell r="D3035" t="str">
            <v>6001</v>
          </cell>
          <cell r="E3035" t="str">
            <v>0126</v>
          </cell>
          <cell r="F3035" t="str">
            <v>C1</v>
          </cell>
          <cell r="G3035" t="str">
            <v>NA</v>
          </cell>
          <cell r="H3035" t="str">
            <v>Não Atribuído</v>
          </cell>
          <cell r="I3035" t="str">
            <v>Não Atribuído</v>
          </cell>
          <cell r="J3035" t="str">
            <v>Não Atribuído</v>
          </cell>
          <cell r="K3035" t="str">
            <v>ITAMBÉ</v>
          </cell>
          <cell r="L3035" t="str">
            <v>Não Atribuído</v>
          </cell>
          <cell r="M3035" t="str">
            <v>Não Atribuído</v>
          </cell>
        </row>
        <row r="3036">
          <cell r="B3036" t="str">
            <v>5230141</v>
          </cell>
          <cell r="C3036" t="str">
            <v>Não Atribuído</v>
          </cell>
          <cell r="D3036" t="str">
            <v>3001</v>
          </cell>
          <cell r="E3036" t="str">
            <v>6169</v>
          </cell>
          <cell r="F3036" t="str">
            <v>C1</v>
          </cell>
          <cell r="G3036" t="str">
            <v>NA</v>
          </cell>
          <cell r="H3036" t="str">
            <v>Não Atribuído</v>
          </cell>
          <cell r="I3036" t="str">
            <v>Não Atribuído</v>
          </cell>
          <cell r="J3036" t="str">
            <v>Não Atribuído</v>
          </cell>
          <cell r="K3036" t="str">
            <v>ITAMBÉ</v>
          </cell>
          <cell r="L3036" t="str">
            <v>Não Atribuído</v>
          </cell>
          <cell r="M3036" t="str">
            <v>Não Atribuído</v>
          </cell>
        </row>
        <row r="3037">
          <cell r="B3037" t="str">
            <v>5230884</v>
          </cell>
          <cell r="C3037" t="str">
            <v>Não Atribuído</v>
          </cell>
          <cell r="D3037" t="str">
            <v>6001</v>
          </cell>
          <cell r="E3037" t="str">
            <v>0028</v>
          </cell>
          <cell r="F3037" t="str">
            <v>C1</v>
          </cell>
          <cell r="G3037" t="str">
            <v>NA</v>
          </cell>
          <cell r="H3037" t="str">
            <v>Não Atribuído</v>
          </cell>
          <cell r="I3037" t="str">
            <v>Não Atribuído</v>
          </cell>
          <cell r="J3037" t="str">
            <v>Não Atribuído</v>
          </cell>
          <cell r="K3037" t="str">
            <v>ITAMBÉ</v>
          </cell>
          <cell r="L3037" t="str">
            <v>Não Atribuído</v>
          </cell>
          <cell r="M3037" t="str">
            <v>Não Atribuído</v>
          </cell>
        </row>
        <row r="3038">
          <cell r="B3038" t="str">
            <v>5232460</v>
          </cell>
          <cell r="C3038" t="str">
            <v>Não Atribuído</v>
          </cell>
          <cell r="D3038" t="str">
            <v>3001</v>
          </cell>
          <cell r="E3038" t="str">
            <v>6127</v>
          </cell>
          <cell r="F3038" t="str">
            <v>C1</v>
          </cell>
          <cell r="G3038" t="str">
            <v>NA</v>
          </cell>
          <cell r="H3038" t="str">
            <v>Não Atribuído</v>
          </cell>
          <cell r="I3038" t="str">
            <v>Não Atribuído</v>
          </cell>
          <cell r="J3038" t="str">
            <v>Não Atribuído</v>
          </cell>
          <cell r="K3038" t="str">
            <v>ITAMBÉ</v>
          </cell>
          <cell r="L3038" t="str">
            <v>Não Atribuído</v>
          </cell>
          <cell r="M3038" t="str">
            <v>Não Atribuído</v>
          </cell>
        </row>
        <row r="3039">
          <cell r="B3039" t="str">
            <v>5260909</v>
          </cell>
          <cell r="C3039" t="str">
            <v>Não Atribuído</v>
          </cell>
          <cell r="D3039" t="str">
            <v>6001</v>
          </cell>
          <cell r="E3039" t="str">
            <v>0028</v>
          </cell>
          <cell r="F3039" t="str">
            <v>C1</v>
          </cell>
          <cell r="G3039" t="str">
            <v>NA</v>
          </cell>
          <cell r="H3039" t="str">
            <v>Não Atribuído</v>
          </cell>
          <cell r="I3039" t="str">
            <v>Não Atribuído</v>
          </cell>
          <cell r="J3039" t="str">
            <v>Não Atribuído</v>
          </cell>
          <cell r="K3039" t="str">
            <v>ITAMBÉ</v>
          </cell>
          <cell r="L3039" t="str">
            <v>Não Atribuído</v>
          </cell>
          <cell r="M3039" t="str">
            <v>Não Atribuído</v>
          </cell>
        </row>
        <row r="3040">
          <cell r="B3040" t="str">
            <v>5261089</v>
          </cell>
          <cell r="C3040" t="str">
            <v>Não Atribuído</v>
          </cell>
          <cell r="D3040" t="str">
            <v>3001</v>
          </cell>
          <cell r="E3040" t="str">
            <v>6125</v>
          </cell>
          <cell r="F3040" t="str">
            <v>C1</v>
          </cell>
          <cell r="G3040" t="str">
            <v>NA</v>
          </cell>
          <cell r="H3040" t="str">
            <v>Não Atribuído</v>
          </cell>
          <cell r="I3040" t="str">
            <v>Não Atribuído</v>
          </cell>
          <cell r="J3040" t="str">
            <v>Não Atribuído</v>
          </cell>
          <cell r="K3040" t="str">
            <v>ITAMBÉ</v>
          </cell>
          <cell r="L3040" t="str">
            <v>Não Atribuído</v>
          </cell>
          <cell r="M3040" t="str">
            <v>Não Atribuído</v>
          </cell>
        </row>
        <row r="3041">
          <cell r="B3041" t="str">
            <v>5262254</v>
          </cell>
          <cell r="C3041" t="str">
            <v>Não Atribuído</v>
          </cell>
          <cell r="D3041" t="str">
            <v>7001</v>
          </cell>
          <cell r="E3041" t="str">
            <v>0749</v>
          </cell>
          <cell r="F3041" t="str">
            <v>C5</v>
          </cell>
          <cell r="G3041" t="str">
            <v>NA</v>
          </cell>
          <cell r="H3041" t="str">
            <v>Não Atribuído</v>
          </cell>
          <cell r="I3041" t="str">
            <v>Não Atribuído</v>
          </cell>
          <cell r="J3041" t="str">
            <v>Não Atribuído</v>
          </cell>
          <cell r="K3041" t="str">
            <v>LACTALIS</v>
          </cell>
          <cell r="L3041" t="str">
            <v>Não Atribuído</v>
          </cell>
          <cell r="M3041" t="str">
            <v>Não Atribuído</v>
          </cell>
        </row>
        <row r="3042">
          <cell r="B3042" t="str">
            <v>5279458</v>
          </cell>
          <cell r="C3042" t="str">
            <v>Não Atribuído</v>
          </cell>
          <cell r="D3042" t="str">
            <v>6001</v>
          </cell>
          <cell r="E3042" t="str">
            <v>0028</v>
          </cell>
          <cell r="F3042" t="str">
            <v>C1</v>
          </cell>
          <cell r="G3042" t="str">
            <v>NA</v>
          </cell>
          <cell r="H3042" t="str">
            <v>Não Atribuído</v>
          </cell>
          <cell r="I3042" t="str">
            <v>Não Atribuído</v>
          </cell>
          <cell r="J3042" t="str">
            <v>Não Atribuído</v>
          </cell>
          <cell r="K3042" t="str">
            <v>ITAMBÉ</v>
          </cell>
          <cell r="L3042" t="str">
            <v>Não Atribuído</v>
          </cell>
          <cell r="M3042" t="str">
            <v>Não Atribuído</v>
          </cell>
        </row>
        <row r="3043">
          <cell r="B3043" t="str">
            <v>5296689</v>
          </cell>
          <cell r="C3043" t="str">
            <v>Não Atribuído</v>
          </cell>
          <cell r="D3043" t="str">
            <v>7001</v>
          </cell>
          <cell r="E3043" t="str">
            <v>0749</v>
          </cell>
          <cell r="F3043" t="str">
            <v>C5</v>
          </cell>
          <cell r="G3043" t="str">
            <v>NA</v>
          </cell>
          <cell r="H3043" t="str">
            <v>Não Atribuído</v>
          </cell>
          <cell r="I3043" t="str">
            <v>Não Atribuído</v>
          </cell>
          <cell r="J3043" t="str">
            <v>Não Atribuído</v>
          </cell>
          <cell r="K3043" t="str">
            <v>LACTALIS</v>
          </cell>
          <cell r="L3043" t="str">
            <v>Não Atribuído</v>
          </cell>
          <cell r="M3043" t="str">
            <v>Não Atribuído</v>
          </cell>
        </row>
        <row r="3044">
          <cell r="B3044" t="str">
            <v>5302744</v>
          </cell>
          <cell r="C3044" t="str">
            <v>Não Atribuído</v>
          </cell>
          <cell r="D3044" t="str">
            <v>3001</v>
          </cell>
          <cell r="E3044" t="str">
            <v>6125</v>
          </cell>
          <cell r="F3044" t="str">
            <v>C1</v>
          </cell>
          <cell r="G3044" t="str">
            <v>NA</v>
          </cell>
          <cell r="H3044" t="str">
            <v>Não Atribuído</v>
          </cell>
          <cell r="I3044" t="str">
            <v>Não Atribuído</v>
          </cell>
          <cell r="J3044" t="str">
            <v>Não Atribuído</v>
          </cell>
          <cell r="K3044" t="str">
            <v>ITAMBÉ</v>
          </cell>
          <cell r="L3044" t="str">
            <v>Não Atribuído</v>
          </cell>
          <cell r="M3044" t="str">
            <v>Não Atribuído</v>
          </cell>
        </row>
        <row r="3045">
          <cell r="B3045" t="str">
            <v>5308411</v>
          </cell>
          <cell r="C3045" t="str">
            <v>Não Atribuído</v>
          </cell>
          <cell r="D3045" t="str">
            <v>6001</v>
          </cell>
          <cell r="E3045" t="str">
            <v>0122</v>
          </cell>
          <cell r="F3045" t="str">
            <v>C1</v>
          </cell>
          <cell r="G3045" t="str">
            <v>NA</v>
          </cell>
          <cell r="H3045" t="str">
            <v>Não Atribuído</v>
          </cell>
          <cell r="I3045" t="str">
            <v>Não Atribuído</v>
          </cell>
          <cell r="J3045" t="str">
            <v>Não Atribuído</v>
          </cell>
          <cell r="K3045" t="str">
            <v>ITAMBÉ</v>
          </cell>
          <cell r="L3045" t="str">
            <v>Não Atribuído</v>
          </cell>
          <cell r="M3045" t="str">
            <v>Não Atribuído</v>
          </cell>
        </row>
        <row r="3046">
          <cell r="B3046" t="str">
            <v>5310560</v>
          </cell>
          <cell r="C3046" t="str">
            <v>Não Atribuído</v>
          </cell>
          <cell r="D3046" t="str">
            <v>3001</v>
          </cell>
          <cell r="E3046" t="str">
            <v>6123</v>
          </cell>
          <cell r="F3046" t="str">
            <v>C1</v>
          </cell>
          <cell r="G3046" t="str">
            <v>NA</v>
          </cell>
          <cell r="H3046" t="str">
            <v>Não Atribuído</v>
          </cell>
          <cell r="I3046" t="str">
            <v>Não Atribuído</v>
          </cell>
          <cell r="J3046" t="str">
            <v>Não Atribuído</v>
          </cell>
          <cell r="K3046" t="str">
            <v>ITAMBÉ</v>
          </cell>
          <cell r="L3046" t="str">
            <v>Não Atribuído</v>
          </cell>
          <cell r="M3046" t="str">
            <v>Não Atribuído</v>
          </cell>
        </row>
        <row r="3047">
          <cell r="B3047" t="str">
            <v>5313336</v>
          </cell>
          <cell r="C3047" t="str">
            <v>Não Atribuído</v>
          </cell>
          <cell r="D3047" t="str">
            <v>6001</v>
          </cell>
          <cell r="E3047" t="str">
            <v>0028</v>
          </cell>
          <cell r="F3047" t="str">
            <v>C1</v>
          </cell>
          <cell r="G3047" t="str">
            <v>NA</v>
          </cell>
          <cell r="H3047" t="str">
            <v>Não Atribuído</v>
          </cell>
          <cell r="I3047" t="str">
            <v>Não Atribuído</v>
          </cell>
          <cell r="J3047" t="str">
            <v>Não Atribuído</v>
          </cell>
          <cell r="K3047" t="str">
            <v>ITAMBÉ</v>
          </cell>
          <cell r="L3047" t="str">
            <v>Não Atribuído</v>
          </cell>
          <cell r="M3047" t="str">
            <v>Não Atribuído</v>
          </cell>
        </row>
        <row r="3048">
          <cell r="B3048" t="str">
            <v>5313456</v>
          </cell>
          <cell r="C3048" t="str">
            <v>Não Atribuído</v>
          </cell>
          <cell r="D3048" t="str">
            <v>3001</v>
          </cell>
          <cell r="E3048" t="str">
            <v>6169</v>
          </cell>
          <cell r="F3048" t="str">
            <v>C1</v>
          </cell>
          <cell r="G3048" t="str">
            <v>NA</v>
          </cell>
          <cell r="H3048" t="str">
            <v>Não Atribuído</v>
          </cell>
          <cell r="I3048" t="str">
            <v>Não Atribuído</v>
          </cell>
          <cell r="J3048" t="str">
            <v>Não Atribuído</v>
          </cell>
          <cell r="K3048" t="str">
            <v>ITAMBÉ</v>
          </cell>
          <cell r="L3048" t="str">
            <v>Não Atribuído</v>
          </cell>
          <cell r="M3048" t="str">
            <v>Não Atribuído</v>
          </cell>
        </row>
        <row r="3049">
          <cell r="B3049" t="str">
            <v>5314195</v>
          </cell>
          <cell r="C3049" t="str">
            <v>Não Atribuído</v>
          </cell>
          <cell r="D3049" t="str">
            <v>6001</v>
          </cell>
          <cell r="E3049" t="str">
            <v>0126</v>
          </cell>
          <cell r="F3049" t="str">
            <v>C1</v>
          </cell>
          <cell r="G3049" t="str">
            <v>NA</v>
          </cell>
          <cell r="H3049" t="str">
            <v>Não Atribuído</v>
          </cell>
          <cell r="I3049" t="str">
            <v>Não Atribuído</v>
          </cell>
          <cell r="J3049" t="str">
            <v>Não Atribuído</v>
          </cell>
          <cell r="K3049" t="str">
            <v>ITAMBÉ</v>
          </cell>
          <cell r="L3049" t="str">
            <v>Não Atribuído</v>
          </cell>
          <cell r="M3049" t="str">
            <v>Não Atribuído</v>
          </cell>
        </row>
        <row r="3050">
          <cell r="B3050" t="str">
            <v>5316223</v>
          </cell>
          <cell r="C3050" t="str">
            <v>Não Atribuído</v>
          </cell>
          <cell r="D3050" t="str">
            <v>3001</v>
          </cell>
          <cell r="E3050" t="str">
            <v>6125</v>
          </cell>
          <cell r="F3050" t="str">
            <v>C1</v>
          </cell>
          <cell r="G3050" t="str">
            <v>NA</v>
          </cell>
          <cell r="H3050" t="str">
            <v>Não Atribuído</v>
          </cell>
          <cell r="I3050" t="str">
            <v>Não Atribuído</v>
          </cell>
          <cell r="J3050" t="str">
            <v>Não Atribuído</v>
          </cell>
          <cell r="K3050" t="str">
            <v>ITAMBÉ</v>
          </cell>
          <cell r="L3050" t="str">
            <v>Não Atribuído</v>
          </cell>
          <cell r="M3050" t="str">
            <v>Não Atribuído</v>
          </cell>
        </row>
        <row r="3051">
          <cell r="B3051" t="str">
            <v>5318875</v>
          </cell>
          <cell r="C3051" t="str">
            <v>Não Atribuído</v>
          </cell>
          <cell r="D3051" t="str">
            <v>6001</v>
          </cell>
          <cell r="E3051" t="str">
            <v>0122</v>
          </cell>
          <cell r="F3051" t="str">
            <v>C1</v>
          </cell>
          <cell r="G3051" t="str">
            <v>NA</v>
          </cell>
          <cell r="H3051" t="str">
            <v>Não Atribuído</v>
          </cell>
          <cell r="I3051" t="str">
            <v>Não Atribuído</v>
          </cell>
          <cell r="J3051" t="str">
            <v>Não Atribuído</v>
          </cell>
          <cell r="K3051" t="str">
            <v>ITAMBÉ</v>
          </cell>
          <cell r="L3051" t="str">
            <v>Não Atribuído</v>
          </cell>
          <cell r="M3051" t="str">
            <v>Não Atribuído</v>
          </cell>
        </row>
        <row r="3052">
          <cell r="B3052" t="str">
            <v>5321782</v>
          </cell>
          <cell r="C3052" t="str">
            <v>Não Atribuído</v>
          </cell>
          <cell r="D3052" t="str">
            <v>6001</v>
          </cell>
          <cell r="E3052" t="str">
            <v>0126</v>
          </cell>
          <cell r="F3052" t="str">
            <v>C1</v>
          </cell>
          <cell r="G3052" t="str">
            <v>NA</v>
          </cell>
          <cell r="H3052" t="str">
            <v>Não Atribuído</v>
          </cell>
          <cell r="I3052" t="str">
            <v>Não Atribuído</v>
          </cell>
          <cell r="J3052" t="str">
            <v>Não Atribuído</v>
          </cell>
          <cell r="K3052" t="str">
            <v>ITAMBÉ</v>
          </cell>
          <cell r="L3052" t="str">
            <v>Não Atribuído</v>
          </cell>
          <cell r="M3052" t="str">
            <v>Não Atribuído</v>
          </cell>
        </row>
        <row r="3053">
          <cell r="B3053" t="str">
            <v>5324461</v>
          </cell>
          <cell r="C3053" t="str">
            <v>Não Atribuído</v>
          </cell>
          <cell r="D3053" t="str">
            <v>3001</v>
          </cell>
          <cell r="E3053" t="str">
            <v>6125</v>
          </cell>
          <cell r="F3053" t="str">
            <v>C1</v>
          </cell>
          <cell r="G3053" t="str">
            <v>NA</v>
          </cell>
          <cell r="H3053" t="str">
            <v>Não Atribuído</v>
          </cell>
          <cell r="I3053" t="str">
            <v>Não Atribuído</v>
          </cell>
          <cell r="J3053" t="str">
            <v>Não Atribuído</v>
          </cell>
          <cell r="K3053" t="str">
            <v>ITAMBÉ</v>
          </cell>
          <cell r="L3053" t="str">
            <v>Não Atribuído</v>
          </cell>
          <cell r="M3053" t="str">
            <v>Não Atribuído</v>
          </cell>
        </row>
        <row r="3054">
          <cell r="B3054" t="str">
            <v>5335146</v>
          </cell>
          <cell r="C3054" t="str">
            <v>Não Atribuído</v>
          </cell>
          <cell r="D3054" t="str">
            <v>6001</v>
          </cell>
          <cell r="E3054" t="str">
            <v>0028</v>
          </cell>
          <cell r="F3054" t="str">
            <v>C1</v>
          </cell>
          <cell r="G3054" t="str">
            <v>NA</v>
          </cell>
          <cell r="H3054" t="str">
            <v>Não Atribuído</v>
          </cell>
          <cell r="I3054" t="str">
            <v>Não Atribuído</v>
          </cell>
          <cell r="J3054" t="str">
            <v>Não Atribuído</v>
          </cell>
          <cell r="K3054" t="str">
            <v>ITAMBÉ</v>
          </cell>
          <cell r="L3054" t="str">
            <v>Não Atribuído</v>
          </cell>
          <cell r="M3054" t="str">
            <v>Não Atribuído</v>
          </cell>
        </row>
        <row r="3055">
          <cell r="B3055" t="str">
            <v>5335635</v>
          </cell>
          <cell r="C3055" t="str">
            <v>Não Atribuído</v>
          </cell>
          <cell r="D3055" t="str">
            <v>3001</v>
          </cell>
          <cell r="E3055" t="str">
            <v>6028</v>
          </cell>
          <cell r="F3055" t="str">
            <v>C1</v>
          </cell>
          <cell r="G3055" t="str">
            <v>NA</v>
          </cell>
          <cell r="H3055" t="str">
            <v>Não Atribuído</v>
          </cell>
          <cell r="I3055" t="str">
            <v>Não Atribuído</v>
          </cell>
          <cell r="J3055" t="str">
            <v>Não Atribuído</v>
          </cell>
          <cell r="K3055" t="str">
            <v>ITAMBÉ</v>
          </cell>
          <cell r="L3055" t="str">
            <v>Não Atribuído</v>
          </cell>
          <cell r="M3055" t="str">
            <v>Não Atribuído</v>
          </cell>
        </row>
        <row r="3056">
          <cell r="B3056" t="str">
            <v>5338420</v>
          </cell>
          <cell r="C3056" t="str">
            <v>Não Atribuído</v>
          </cell>
          <cell r="D3056" t="str">
            <v>6001</v>
          </cell>
          <cell r="E3056" t="str">
            <v>0028</v>
          </cell>
          <cell r="F3056" t="str">
            <v>C1</v>
          </cell>
          <cell r="G3056" t="str">
            <v>NA</v>
          </cell>
          <cell r="H3056" t="str">
            <v>Não Atribuído</v>
          </cell>
          <cell r="I3056" t="str">
            <v>Não Atribuído</v>
          </cell>
          <cell r="J3056" t="str">
            <v>Não Atribuído</v>
          </cell>
          <cell r="K3056" t="str">
            <v>ITAMBÉ</v>
          </cell>
          <cell r="L3056" t="str">
            <v>Não Atribuído</v>
          </cell>
          <cell r="M3056" t="str">
            <v>Não Atribuído</v>
          </cell>
        </row>
        <row r="3057">
          <cell r="B3057" t="str">
            <v>5340677</v>
          </cell>
          <cell r="C3057" t="str">
            <v>Não Atribuído</v>
          </cell>
          <cell r="D3057" t="str">
            <v>6001</v>
          </cell>
          <cell r="E3057" t="str">
            <v>0028</v>
          </cell>
          <cell r="F3057" t="str">
            <v>C1</v>
          </cell>
          <cell r="G3057" t="str">
            <v>NA</v>
          </cell>
          <cell r="H3057" t="str">
            <v>Não Atribuído</v>
          </cell>
          <cell r="I3057" t="str">
            <v>Não Atribuído</v>
          </cell>
          <cell r="J3057" t="str">
            <v>Não Atribuído</v>
          </cell>
          <cell r="K3057" t="str">
            <v>ITAMBÉ</v>
          </cell>
          <cell r="L3057" t="str">
            <v>Não Atribuído</v>
          </cell>
          <cell r="M3057" t="str">
            <v>Não Atribuído</v>
          </cell>
        </row>
        <row r="3058">
          <cell r="B3058" t="str">
            <v>5341225</v>
          </cell>
          <cell r="C3058" t="str">
            <v>Não Atribuído</v>
          </cell>
          <cell r="D3058" t="str">
            <v>3001</v>
          </cell>
          <cell r="E3058" t="str">
            <v>6028</v>
          </cell>
          <cell r="F3058" t="str">
            <v>C1</v>
          </cell>
          <cell r="G3058" t="str">
            <v>NA</v>
          </cell>
          <cell r="H3058" t="str">
            <v>Não Atribuído</v>
          </cell>
          <cell r="I3058" t="str">
            <v>Não Atribuído</v>
          </cell>
          <cell r="J3058" t="str">
            <v>Não Atribuído</v>
          </cell>
          <cell r="K3058" t="str">
            <v>ITAMBÉ</v>
          </cell>
          <cell r="L3058" t="str">
            <v>Não Atribuído</v>
          </cell>
          <cell r="M3058" t="str">
            <v>Não Atribuído</v>
          </cell>
        </row>
        <row r="3059">
          <cell r="B3059" t="str">
            <v>5346808</v>
          </cell>
          <cell r="C3059" t="str">
            <v>Não Atribuído</v>
          </cell>
          <cell r="D3059" t="str">
            <v>6001</v>
          </cell>
          <cell r="E3059" t="str">
            <v>0126</v>
          </cell>
          <cell r="F3059" t="str">
            <v>C1</v>
          </cell>
          <cell r="G3059" t="str">
            <v>NA</v>
          </cell>
          <cell r="H3059" t="str">
            <v>Não Atribuído</v>
          </cell>
          <cell r="I3059" t="str">
            <v>Não Atribuído</v>
          </cell>
          <cell r="J3059" t="str">
            <v>Não Atribuído</v>
          </cell>
          <cell r="K3059" t="str">
            <v>ITAMBÉ</v>
          </cell>
          <cell r="L3059" t="str">
            <v>Não Atribuído</v>
          </cell>
          <cell r="M3059" t="str">
            <v>Não Atribuído</v>
          </cell>
        </row>
        <row r="3060">
          <cell r="B3060" t="str">
            <v>5347144</v>
          </cell>
          <cell r="C3060" t="str">
            <v>Não Atribuído</v>
          </cell>
          <cell r="D3060" t="str">
            <v>3001</v>
          </cell>
          <cell r="E3060" t="str">
            <v>6028</v>
          </cell>
          <cell r="F3060" t="str">
            <v>C1</v>
          </cell>
          <cell r="G3060" t="str">
            <v>NA</v>
          </cell>
          <cell r="H3060" t="str">
            <v>Não Atribuído</v>
          </cell>
          <cell r="I3060" t="str">
            <v>Não Atribuído</v>
          </cell>
          <cell r="J3060" t="str">
            <v>Não Atribuído</v>
          </cell>
          <cell r="K3060" t="str">
            <v>ITAMBÉ</v>
          </cell>
          <cell r="L3060" t="str">
            <v>Não Atribuído</v>
          </cell>
          <cell r="M3060" t="str">
            <v>Não Atribuído</v>
          </cell>
        </row>
        <row r="3061">
          <cell r="B3061" t="str">
            <v>5348271</v>
          </cell>
          <cell r="C3061" t="str">
            <v>Não Atribuído</v>
          </cell>
          <cell r="D3061" t="str">
            <v>6001</v>
          </cell>
          <cell r="E3061" t="str">
            <v>0122</v>
          </cell>
          <cell r="F3061" t="str">
            <v>C1</v>
          </cell>
          <cell r="G3061" t="str">
            <v>NA</v>
          </cell>
          <cell r="H3061" t="str">
            <v>Não Atribuído</v>
          </cell>
          <cell r="I3061" t="str">
            <v>Não Atribuído</v>
          </cell>
          <cell r="J3061" t="str">
            <v>Não Atribuído</v>
          </cell>
          <cell r="K3061" t="str">
            <v>ITAMBÉ</v>
          </cell>
          <cell r="L3061" t="str">
            <v>Não Atribuído</v>
          </cell>
          <cell r="M3061" t="str">
            <v>Não Atribuído</v>
          </cell>
        </row>
        <row r="3062">
          <cell r="B3062" t="str">
            <v>5348916</v>
          </cell>
          <cell r="C3062" t="str">
            <v>Não Atribuído</v>
          </cell>
          <cell r="D3062" t="str">
            <v>3001</v>
          </cell>
          <cell r="E3062" t="str">
            <v>6028</v>
          </cell>
          <cell r="F3062" t="str">
            <v>C1</v>
          </cell>
          <cell r="G3062" t="str">
            <v>NA</v>
          </cell>
          <cell r="H3062" t="str">
            <v>Não Atribuído</v>
          </cell>
          <cell r="I3062" t="str">
            <v>Não Atribuído</v>
          </cell>
          <cell r="J3062" t="str">
            <v>Não Atribuído</v>
          </cell>
          <cell r="K3062" t="str">
            <v>ITAMBÉ</v>
          </cell>
          <cell r="L3062" t="str">
            <v>Não Atribuído</v>
          </cell>
          <cell r="M3062" t="str">
            <v>Não Atribuído</v>
          </cell>
        </row>
        <row r="3063">
          <cell r="B3063" t="str">
            <v>5349287</v>
          </cell>
          <cell r="C3063" t="str">
            <v>Não Atribuído</v>
          </cell>
          <cell r="D3063" t="str">
            <v>6001</v>
          </cell>
          <cell r="E3063" t="str">
            <v>0122</v>
          </cell>
          <cell r="F3063" t="str">
            <v>C1</v>
          </cell>
          <cell r="G3063" t="str">
            <v>NA</v>
          </cell>
          <cell r="H3063" t="str">
            <v>Não Atribuído</v>
          </cell>
          <cell r="I3063" t="str">
            <v>Não Atribuído</v>
          </cell>
          <cell r="J3063" t="str">
            <v>Não Atribuído</v>
          </cell>
          <cell r="K3063" t="str">
            <v>ITAMBÉ</v>
          </cell>
          <cell r="L3063" t="str">
            <v>Não Atribuído</v>
          </cell>
          <cell r="M3063" t="str">
            <v>Não Atribuído</v>
          </cell>
        </row>
        <row r="3064">
          <cell r="B3064" t="str">
            <v>5349403</v>
          </cell>
          <cell r="C3064" t="str">
            <v>Não Atribuído</v>
          </cell>
          <cell r="D3064" t="str">
            <v>3001</v>
          </cell>
          <cell r="E3064" t="str">
            <v>6169</v>
          </cell>
          <cell r="F3064" t="str">
            <v>C1</v>
          </cell>
          <cell r="G3064" t="str">
            <v>NA</v>
          </cell>
          <cell r="H3064" t="str">
            <v>Não Atribuído</v>
          </cell>
          <cell r="I3064" t="str">
            <v>Não Atribuído</v>
          </cell>
          <cell r="J3064" t="str">
            <v>Não Atribuído</v>
          </cell>
          <cell r="K3064" t="str">
            <v>ITAMBÉ</v>
          </cell>
          <cell r="L3064" t="str">
            <v>Não Atribuído</v>
          </cell>
          <cell r="M3064" t="str">
            <v>Não Atribuído</v>
          </cell>
        </row>
        <row r="3065">
          <cell r="B3065" t="str">
            <v>5349486</v>
          </cell>
          <cell r="C3065" t="str">
            <v>Não Atribuído</v>
          </cell>
          <cell r="D3065" t="str">
            <v>6001</v>
          </cell>
          <cell r="E3065" t="str">
            <v>0122</v>
          </cell>
          <cell r="F3065" t="str">
            <v>C1</v>
          </cell>
          <cell r="G3065" t="str">
            <v>NA</v>
          </cell>
          <cell r="H3065" t="str">
            <v>Não Atribuído</v>
          </cell>
          <cell r="I3065" t="str">
            <v>Não Atribuído</v>
          </cell>
          <cell r="J3065" t="str">
            <v>Não Atribuído</v>
          </cell>
          <cell r="K3065" t="str">
            <v>ITAMBÉ</v>
          </cell>
          <cell r="L3065" t="str">
            <v>Não Atribuído</v>
          </cell>
          <cell r="M3065" t="str">
            <v>Não Atribuído</v>
          </cell>
        </row>
        <row r="3066">
          <cell r="B3066" t="str">
            <v>5350810</v>
          </cell>
          <cell r="C3066" t="str">
            <v>Não Atribuído</v>
          </cell>
          <cell r="D3066" t="str">
            <v>3001</v>
          </cell>
          <cell r="E3066" t="str">
            <v>6169</v>
          </cell>
          <cell r="F3066" t="str">
            <v>C1</v>
          </cell>
          <cell r="G3066" t="str">
            <v>NA</v>
          </cell>
          <cell r="H3066" t="str">
            <v>Não Atribuído</v>
          </cell>
          <cell r="I3066" t="str">
            <v>Não Atribuído</v>
          </cell>
          <cell r="J3066" t="str">
            <v>Não Atribuído</v>
          </cell>
          <cell r="K3066" t="str">
            <v>ITAMBÉ</v>
          </cell>
          <cell r="L3066" t="str">
            <v>Não Atribuído</v>
          </cell>
          <cell r="M3066" t="str">
            <v>Não Atribuído</v>
          </cell>
        </row>
        <row r="3067">
          <cell r="B3067" t="str">
            <v>5351400</v>
          </cell>
          <cell r="C3067" t="str">
            <v>Não Atribuído</v>
          </cell>
          <cell r="D3067" t="str">
            <v>6001</v>
          </cell>
          <cell r="E3067" t="str">
            <v>0028</v>
          </cell>
          <cell r="F3067" t="str">
            <v>C1</v>
          </cell>
          <cell r="G3067" t="str">
            <v>NA</v>
          </cell>
          <cell r="H3067" t="str">
            <v>Não Atribuído</v>
          </cell>
          <cell r="I3067" t="str">
            <v>Não Atribuído</v>
          </cell>
          <cell r="J3067" t="str">
            <v>Não Atribuído</v>
          </cell>
          <cell r="K3067" t="str">
            <v>ITAMBÉ</v>
          </cell>
          <cell r="L3067" t="str">
            <v>Não Atribuído</v>
          </cell>
          <cell r="M3067" t="str">
            <v>Não Atribuído</v>
          </cell>
        </row>
        <row r="3068">
          <cell r="B3068" t="str">
            <v>5351706</v>
          </cell>
          <cell r="C3068" t="str">
            <v>Não Atribuído</v>
          </cell>
          <cell r="D3068" t="str">
            <v>3001</v>
          </cell>
          <cell r="E3068" t="str">
            <v>6125</v>
          </cell>
          <cell r="F3068" t="str">
            <v>C1</v>
          </cell>
          <cell r="G3068" t="str">
            <v>NA</v>
          </cell>
          <cell r="H3068" t="str">
            <v>Não Atribuído</v>
          </cell>
          <cell r="I3068" t="str">
            <v>Não Atribuído</v>
          </cell>
          <cell r="J3068" t="str">
            <v>Não Atribuído</v>
          </cell>
          <cell r="K3068" t="str">
            <v>ITAMBÉ</v>
          </cell>
          <cell r="L3068" t="str">
            <v>Não Atribuído</v>
          </cell>
          <cell r="M3068" t="str">
            <v>Não Atribuído</v>
          </cell>
        </row>
        <row r="3069">
          <cell r="B3069" t="str">
            <v>5352967</v>
          </cell>
          <cell r="C3069" t="str">
            <v>Não Atribuído</v>
          </cell>
          <cell r="D3069" t="str">
            <v>7001</v>
          </cell>
          <cell r="E3069" t="str">
            <v>0749</v>
          </cell>
          <cell r="F3069" t="str">
            <v>C5</v>
          </cell>
          <cell r="G3069" t="str">
            <v>NA</v>
          </cell>
          <cell r="H3069" t="str">
            <v>Não Atribuído</v>
          </cell>
          <cell r="I3069" t="str">
            <v>Não Atribuído</v>
          </cell>
          <cell r="J3069" t="str">
            <v>Não Atribuído</v>
          </cell>
          <cell r="K3069" t="str">
            <v>LACTALIS</v>
          </cell>
          <cell r="L3069" t="str">
            <v>Não Atribuído</v>
          </cell>
          <cell r="M3069" t="str">
            <v>Não Atribuído</v>
          </cell>
        </row>
        <row r="3070">
          <cell r="B3070" t="str">
            <v>5353215</v>
          </cell>
          <cell r="C3070" t="str">
            <v>Não Atribuído</v>
          </cell>
          <cell r="D3070" t="str">
            <v>6001</v>
          </cell>
          <cell r="E3070" t="str">
            <v>0028</v>
          </cell>
          <cell r="F3070" t="str">
            <v>C1</v>
          </cell>
          <cell r="G3070" t="str">
            <v>NA</v>
          </cell>
          <cell r="H3070" t="str">
            <v>Não Atribuído</v>
          </cell>
          <cell r="I3070" t="str">
            <v>Não Atribuído</v>
          </cell>
          <cell r="J3070" t="str">
            <v>Não Atribuído</v>
          </cell>
          <cell r="K3070" t="str">
            <v>ITAMBÉ</v>
          </cell>
          <cell r="L3070" t="str">
            <v>Não Atribuído</v>
          </cell>
          <cell r="M3070" t="str">
            <v>Não Atribuído</v>
          </cell>
        </row>
        <row r="3071">
          <cell r="B3071" t="str">
            <v>5353685</v>
          </cell>
          <cell r="C3071" t="str">
            <v>Não Atribuído</v>
          </cell>
          <cell r="D3071" t="str">
            <v>3001</v>
          </cell>
          <cell r="E3071" t="str">
            <v>6028</v>
          </cell>
          <cell r="F3071" t="str">
            <v>C1</v>
          </cell>
          <cell r="G3071" t="str">
            <v>NA</v>
          </cell>
          <cell r="H3071" t="str">
            <v>Não Atribuído</v>
          </cell>
          <cell r="I3071" t="str">
            <v>Não Atribuído</v>
          </cell>
          <cell r="J3071" t="str">
            <v>Não Atribuído</v>
          </cell>
          <cell r="K3071" t="str">
            <v>ITAMBÉ</v>
          </cell>
          <cell r="L3071" t="str">
            <v>Não Atribuído</v>
          </cell>
          <cell r="M3071" t="str">
            <v>Não Atribuído</v>
          </cell>
        </row>
        <row r="3072">
          <cell r="B3072" t="str">
            <v>5353844</v>
          </cell>
          <cell r="C3072" t="str">
            <v>Não Atribuído</v>
          </cell>
          <cell r="D3072" t="str">
            <v>6001</v>
          </cell>
          <cell r="E3072" t="str">
            <v>0126</v>
          </cell>
          <cell r="F3072" t="str">
            <v>C1</v>
          </cell>
          <cell r="G3072" t="str">
            <v>NA</v>
          </cell>
          <cell r="H3072" t="str">
            <v>Não Atribuído</v>
          </cell>
          <cell r="I3072" t="str">
            <v>Não Atribuído</v>
          </cell>
          <cell r="J3072" t="str">
            <v>Não Atribuído</v>
          </cell>
          <cell r="K3072" t="str">
            <v>ITAMBÉ</v>
          </cell>
          <cell r="L3072" t="str">
            <v>Não Atribuído</v>
          </cell>
          <cell r="M3072" t="str">
            <v>Não Atribuído</v>
          </cell>
        </row>
        <row r="3073">
          <cell r="B3073" t="str">
            <v>5355986</v>
          </cell>
          <cell r="C3073" t="str">
            <v>Não Atribuído</v>
          </cell>
          <cell r="D3073" t="str">
            <v>3001</v>
          </cell>
          <cell r="E3073" t="str">
            <v>6125</v>
          </cell>
          <cell r="F3073" t="str">
            <v>C1</v>
          </cell>
          <cell r="G3073" t="str">
            <v>NA</v>
          </cell>
          <cell r="H3073" t="str">
            <v>Não Atribuído</v>
          </cell>
          <cell r="I3073" t="str">
            <v>Não Atribuído</v>
          </cell>
          <cell r="J3073" t="str">
            <v>Não Atribuído</v>
          </cell>
          <cell r="K3073" t="str">
            <v>ITAMBÉ</v>
          </cell>
          <cell r="L3073" t="str">
            <v>Não Atribuído</v>
          </cell>
          <cell r="M3073" t="str">
            <v>Não Atribuído</v>
          </cell>
        </row>
        <row r="3074">
          <cell r="B3074" t="str">
            <v>5363625</v>
          </cell>
          <cell r="C3074" t="str">
            <v>Não Atribuído</v>
          </cell>
          <cell r="D3074" t="str">
            <v>7001</v>
          </cell>
          <cell r="E3074" t="str">
            <v>0722</v>
          </cell>
          <cell r="F3074" t="str">
            <v>C1</v>
          </cell>
          <cell r="G3074" t="str">
            <v>NA</v>
          </cell>
          <cell r="H3074" t="str">
            <v>Não Atribuído</v>
          </cell>
          <cell r="I3074" t="str">
            <v>Não Atribuído</v>
          </cell>
          <cell r="J3074" t="str">
            <v>Não Atribuído</v>
          </cell>
          <cell r="K3074" t="str">
            <v>LACTALIS</v>
          </cell>
          <cell r="L3074" t="str">
            <v>Não Atribuído</v>
          </cell>
          <cell r="M3074" t="str">
            <v>Não Atribuído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8CFD-65A7-4CF6-8394-02883A47B68C}">
  <sheetPr>
    <tabColor theme="6"/>
  </sheetPr>
  <dimension ref="A1:V4105"/>
  <sheetViews>
    <sheetView showGridLines="0" tabSelected="1" topLeftCell="I1" zoomScaleNormal="100" workbookViewId="0">
      <selection activeCell="U2" sqref="U2:U4105"/>
    </sheetView>
  </sheetViews>
  <sheetFormatPr defaultRowHeight="14.4" x14ac:dyDescent="0.3"/>
  <cols>
    <col min="1" max="1" width="25.6640625" bestFit="1" customWidth="1"/>
    <col min="2" max="2" width="25.6640625" customWidth="1"/>
    <col min="3" max="3" width="12.88671875" bestFit="1" customWidth="1"/>
    <col min="4" max="4" width="21.109375" bestFit="1" customWidth="1"/>
    <col min="5" max="5" width="28.6640625" bestFit="1" customWidth="1"/>
    <col min="6" max="6" width="11.33203125" bestFit="1" customWidth="1"/>
    <col min="7" max="7" width="41.33203125" bestFit="1" customWidth="1"/>
    <col min="9" max="9" width="12.88671875" bestFit="1" customWidth="1"/>
    <col min="10" max="10" width="17.88671875" bestFit="1" customWidth="1"/>
    <col min="11" max="11" width="13.6640625" style="4" bestFit="1" customWidth="1"/>
    <col min="12" max="12" width="18.6640625" style="3" bestFit="1" customWidth="1"/>
    <col min="13" max="14" width="13.33203125" style="1" bestFit="1" customWidth="1"/>
    <col min="15" max="15" width="19" style="1" bestFit="1" customWidth="1"/>
    <col min="16" max="16" width="20.33203125" style="1" bestFit="1" customWidth="1"/>
    <col min="17" max="17" width="11.6640625" style="1" bestFit="1" customWidth="1"/>
    <col min="18" max="18" width="13.5546875" style="1" bestFit="1" customWidth="1"/>
    <col min="19" max="19" width="16.109375" style="1" bestFit="1" customWidth="1"/>
    <col min="20" max="20" width="16.109375" bestFit="1" customWidth="1"/>
    <col min="21" max="21" width="16.109375" customWidth="1"/>
    <col min="22" max="22" width="12.109375" bestFit="1" customWidth="1"/>
  </cols>
  <sheetData>
    <row r="1" spans="1:22" x14ac:dyDescent="0.3">
      <c r="A1" t="s">
        <v>0</v>
      </c>
      <c r="B1" t="s">
        <v>1721</v>
      </c>
      <c r="C1" s="2" t="s">
        <v>1</v>
      </c>
      <c r="D1" s="2" t="s">
        <v>2</v>
      </c>
      <c r="E1" s="2" t="s">
        <v>3</v>
      </c>
      <c r="F1" s="2" t="s">
        <v>1717</v>
      </c>
      <c r="G1" s="2" t="s">
        <v>4</v>
      </c>
      <c r="H1" s="2" t="s">
        <v>5</v>
      </c>
      <c r="I1" s="2" t="s">
        <v>7</v>
      </c>
      <c r="J1" s="2" t="s">
        <v>6</v>
      </c>
      <c r="K1" s="10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9" t="s">
        <v>15</v>
      </c>
      <c r="S1" s="9" t="s">
        <v>1723</v>
      </c>
      <c r="T1" s="9" t="s">
        <v>1724</v>
      </c>
      <c r="U1" s="9" t="s">
        <v>1725</v>
      </c>
      <c r="V1" s="11" t="s">
        <v>1718</v>
      </c>
    </row>
    <row r="2" spans="1:22" x14ac:dyDescent="0.3">
      <c r="A2" t="str">
        <f t="shared" ref="A2:A65" si="0">J2&amp;I2</f>
        <v>LPI 25KGLACTALIS</v>
      </c>
      <c r="B2" t="str">
        <f>F2&amp;J2&amp;I2</f>
        <v>5115621LPI 25KGLACTALIS</v>
      </c>
      <c r="C2" s="5" t="s">
        <v>16</v>
      </c>
      <c r="D2" s="5" t="s">
        <v>17</v>
      </c>
      <c r="E2" s="5" t="s">
        <v>18</v>
      </c>
      <c r="F2" s="5">
        <v>5115621</v>
      </c>
      <c r="G2" s="5" t="s">
        <v>19</v>
      </c>
      <c r="H2" s="5" t="s">
        <v>20</v>
      </c>
      <c r="I2" s="5" t="s">
        <v>22</v>
      </c>
      <c r="J2" s="5" t="s">
        <v>21</v>
      </c>
      <c r="K2" s="6">
        <v>0</v>
      </c>
      <c r="L2" s="7">
        <v>0</v>
      </c>
      <c r="M2" s="8">
        <v>-333.33333333333331</v>
      </c>
      <c r="N2" s="8">
        <v>0</v>
      </c>
      <c r="O2" s="8">
        <v>10327.384509630396</v>
      </c>
      <c r="P2" s="8">
        <v>0</v>
      </c>
      <c r="Q2" s="8">
        <v>0</v>
      </c>
      <c r="R2" s="8">
        <v>0</v>
      </c>
      <c r="S2" s="8">
        <v>0</v>
      </c>
      <c r="T2" s="5">
        <v>0</v>
      </c>
      <c r="U2" s="5">
        <v>0</v>
      </c>
      <c r="V2" s="5">
        <f>VLOOKUP(A2,Planilha1!B:E,4,0)</f>
        <v>-4.3046759024811481</v>
      </c>
    </row>
    <row r="3" spans="1:22" x14ac:dyDescent="0.3">
      <c r="A3" t="str">
        <f t="shared" si="0"/>
        <v>COMPOSTOITAMBÉ</v>
      </c>
      <c r="B3" t="str">
        <f t="shared" ref="B3:B66" si="1">F3&amp;J3&amp;I3</f>
        <v>5173427COMPOSTOITAMBÉ</v>
      </c>
      <c r="C3" s="5" t="s">
        <v>16</v>
      </c>
      <c r="D3" s="5" t="s">
        <v>17</v>
      </c>
      <c r="E3" s="5" t="s">
        <v>23</v>
      </c>
      <c r="F3" s="5">
        <v>5173427</v>
      </c>
      <c r="G3" s="5" t="s">
        <v>24</v>
      </c>
      <c r="H3" s="5" t="s">
        <v>25</v>
      </c>
      <c r="I3" s="5" t="s">
        <v>27</v>
      </c>
      <c r="J3" s="5" t="s">
        <v>26</v>
      </c>
      <c r="K3" s="6">
        <v>0</v>
      </c>
      <c r="L3" s="7">
        <v>0</v>
      </c>
      <c r="M3" s="8">
        <v>3637.5</v>
      </c>
      <c r="N3" s="8">
        <v>4000</v>
      </c>
      <c r="O3" s="8">
        <v>4825.3003644993942</v>
      </c>
      <c r="P3" s="8">
        <v>0</v>
      </c>
      <c r="Q3" s="8">
        <v>12000</v>
      </c>
      <c r="R3" s="8">
        <v>0</v>
      </c>
      <c r="S3" s="8">
        <v>0</v>
      </c>
      <c r="T3" s="5">
        <v>12000</v>
      </c>
      <c r="U3" s="5">
        <v>0</v>
      </c>
      <c r="V3" s="5">
        <f>VLOOKUP(A3,Planilha1!B:E,4,0)</f>
        <v>0.15618217875936719</v>
      </c>
    </row>
    <row r="4" spans="1:22" x14ac:dyDescent="0.3">
      <c r="A4" t="str">
        <f t="shared" si="0"/>
        <v>LPI 25KGITAMBÉ</v>
      </c>
      <c r="B4" t="str">
        <f t="shared" si="1"/>
        <v>5012038LPI 25KGITAMBÉ</v>
      </c>
      <c r="C4" s="5" t="s">
        <v>16</v>
      </c>
      <c r="D4" s="5" t="s">
        <v>28</v>
      </c>
      <c r="E4" s="5" t="s">
        <v>28</v>
      </c>
      <c r="F4" s="5">
        <v>5012038</v>
      </c>
      <c r="G4" s="5" t="s">
        <v>29</v>
      </c>
      <c r="H4" s="5" t="s">
        <v>30</v>
      </c>
      <c r="I4" s="5" t="s">
        <v>27</v>
      </c>
      <c r="J4" s="5" t="s">
        <v>21</v>
      </c>
      <c r="K4" s="6">
        <v>0</v>
      </c>
      <c r="L4" s="7">
        <v>0</v>
      </c>
      <c r="M4" s="8">
        <v>4000</v>
      </c>
      <c r="N4" s="8">
        <v>8000</v>
      </c>
      <c r="O4" s="8">
        <v>0</v>
      </c>
      <c r="P4" s="8">
        <v>0</v>
      </c>
      <c r="Q4" s="8">
        <v>48000</v>
      </c>
      <c r="R4" s="8">
        <v>0</v>
      </c>
      <c r="S4" s="8">
        <v>0</v>
      </c>
      <c r="T4" s="5">
        <v>48000</v>
      </c>
      <c r="U4" s="5">
        <v>0</v>
      </c>
      <c r="V4" s="5">
        <f>VLOOKUP(A4,Planilha1!B:E,4,0)</f>
        <v>-1.218192805504376</v>
      </c>
    </row>
    <row r="5" spans="1:22" x14ac:dyDescent="0.3">
      <c r="A5" t="str">
        <f t="shared" si="0"/>
        <v>LEITE CONDENSADOITAMBÉ</v>
      </c>
      <c r="B5" t="str">
        <f t="shared" si="1"/>
        <v>5223996LEITE CONDENSADOITAMBÉ</v>
      </c>
      <c r="C5" s="5" t="s">
        <v>16</v>
      </c>
      <c r="D5" s="5" t="s">
        <v>17</v>
      </c>
      <c r="E5" s="5" t="s">
        <v>23</v>
      </c>
      <c r="F5" s="5">
        <v>5223996</v>
      </c>
      <c r="G5" s="5" t="s">
        <v>31</v>
      </c>
      <c r="H5" s="5" t="s">
        <v>32</v>
      </c>
      <c r="I5" s="5" t="s">
        <v>27</v>
      </c>
      <c r="J5" s="5" t="s">
        <v>33</v>
      </c>
      <c r="K5" s="6">
        <v>0</v>
      </c>
      <c r="L5" s="7">
        <v>0</v>
      </c>
      <c r="M5" s="8">
        <v>31.995000000000001</v>
      </c>
      <c r="N5" s="8">
        <v>0</v>
      </c>
      <c r="O5" s="8">
        <v>126.99771404114726</v>
      </c>
      <c r="P5" s="8">
        <v>0</v>
      </c>
      <c r="Q5" s="8">
        <v>129.01999999999998</v>
      </c>
      <c r="R5" s="8">
        <v>0</v>
      </c>
      <c r="S5" s="8">
        <v>0</v>
      </c>
      <c r="T5" s="5">
        <v>0</v>
      </c>
      <c r="U5" s="5">
        <v>0</v>
      </c>
      <c r="V5" s="5">
        <f>VLOOKUP(A5,Planilha1!B:E,4,0)</f>
        <v>1.4766792698630664</v>
      </c>
    </row>
    <row r="6" spans="1:22" x14ac:dyDescent="0.3">
      <c r="A6" t="str">
        <f t="shared" si="0"/>
        <v>CREME UHTITAMBÉ</v>
      </c>
      <c r="B6" t="str">
        <f t="shared" si="1"/>
        <v>5223996CREME UHTITAMBÉ</v>
      </c>
      <c r="C6" s="5" t="s">
        <v>16</v>
      </c>
      <c r="D6" s="5" t="s">
        <v>17</v>
      </c>
      <c r="E6" s="5" t="s">
        <v>23</v>
      </c>
      <c r="F6" s="5">
        <v>5223996</v>
      </c>
      <c r="G6" s="5" t="s">
        <v>31</v>
      </c>
      <c r="H6" s="5" t="s">
        <v>32</v>
      </c>
      <c r="I6" s="5" t="s">
        <v>27</v>
      </c>
      <c r="J6" s="5" t="s">
        <v>34</v>
      </c>
      <c r="K6" s="6">
        <v>0</v>
      </c>
      <c r="L6" s="7">
        <v>0</v>
      </c>
      <c r="M6" s="8">
        <v>0.16833333333333333</v>
      </c>
      <c r="N6" s="8">
        <v>0</v>
      </c>
      <c r="O6" s="8">
        <v>18.999261139844563</v>
      </c>
      <c r="P6" s="8">
        <v>0</v>
      </c>
      <c r="Q6" s="8">
        <v>32.4</v>
      </c>
      <c r="R6" s="8">
        <v>0</v>
      </c>
      <c r="S6" s="8">
        <v>0</v>
      </c>
      <c r="T6" s="5">
        <v>0</v>
      </c>
      <c r="U6" s="5">
        <v>0</v>
      </c>
      <c r="V6" s="5">
        <f>VLOOKUP(A6,Planilha1!B:E,4,0)</f>
        <v>1.2362540170747773</v>
      </c>
    </row>
    <row r="7" spans="1:22" x14ac:dyDescent="0.3">
      <c r="A7" t="str">
        <f t="shared" si="0"/>
        <v>COMPOSTOITAMBÉ</v>
      </c>
      <c r="B7" t="str">
        <f t="shared" si="1"/>
        <v>5224563COMPOSTOITAMBÉ</v>
      </c>
      <c r="C7" s="5" t="s">
        <v>16</v>
      </c>
      <c r="D7" s="5" t="s">
        <v>17</v>
      </c>
      <c r="E7" s="5" t="s">
        <v>23</v>
      </c>
      <c r="F7" s="5">
        <v>5224563</v>
      </c>
      <c r="G7" s="5" t="s">
        <v>35</v>
      </c>
      <c r="H7" s="5" t="s">
        <v>36</v>
      </c>
      <c r="I7" s="5" t="s">
        <v>27</v>
      </c>
      <c r="J7" s="5" t="s">
        <v>26</v>
      </c>
      <c r="K7" s="6">
        <v>0</v>
      </c>
      <c r="L7" s="7">
        <v>0</v>
      </c>
      <c r="M7" s="8">
        <v>416.66666666666669</v>
      </c>
      <c r="N7" s="8">
        <v>833.33333333333337</v>
      </c>
      <c r="O7" s="8">
        <v>521.57706243555174</v>
      </c>
      <c r="P7" s="8">
        <v>0</v>
      </c>
      <c r="Q7" s="8">
        <v>0</v>
      </c>
      <c r="R7" s="8">
        <v>0</v>
      </c>
      <c r="S7" s="8">
        <v>0</v>
      </c>
      <c r="T7" s="5">
        <v>0</v>
      </c>
      <c r="U7" s="5">
        <v>0</v>
      </c>
      <c r="V7" s="5">
        <f>VLOOKUP(A7,Planilha1!B:E,4,0)</f>
        <v>0.15618217875936719</v>
      </c>
    </row>
    <row r="8" spans="1:22" x14ac:dyDescent="0.3">
      <c r="A8" t="str">
        <f t="shared" si="0"/>
        <v>COMPOSTOITAMBÉ</v>
      </c>
      <c r="B8" t="str">
        <f t="shared" si="1"/>
        <v>5313336COMPOSTOITAMBÉ</v>
      </c>
      <c r="C8" s="5" t="s">
        <v>16</v>
      </c>
      <c r="D8" s="5" t="s">
        <v>17</v>
      </c>
      <c r="E8" s="5" t="s">
        <v>23</v>
      </c>
      <c r="F8" s="5">
        <v>5313336</v>
      </c>
      <c r="G8" s="5" t="s">
        <v>37</v>
      </c>
      <c r="H8" s="5" t="s">
        <v>36</v>
      </c>
      <c r="I8" s="5" t="s">
        <v>27</v>
      </c>
      <c r="J8" s="5" t="s">
        <v>26</v>
      </c>
      <c r="K8" s="6">
        <v>0</v>
      </c>
      <c r="L8" s="7">
        <v>0</v>
      </c>
      <c r="M8" s="8">
        <v>333.33333333333331</v>
      </c>
      <c r="N8" s="8">
        <v>0</v>
      </c>
      <c r="O8" s="8">
        <v>463.14903085124132</v>
      </c>
      <c r="P8" s="8">
        <v>0</v>
      </c>
      <c r="Q8" s="8">
        <v>0</v>
      </c>
      <c r="R8" s="8">
        <v>0</v>
      </c>
      <c r="S8" s="8">
        <v>0</v>
      </c>
      <c r="T8" s="5">
        <v>0</v>
      </c>
      <c r="U8" s="5">
        <v>0</v>
      </c>
      <c r="V8" s="5">
        <f>VLOOKUP(A8,Planilha1!B:E,4,0)</f>
        <v>0.15618217875936719</v>
      </c>
    </row>
    <row r="9" spans="1:22" x14ac:dyDescent="0.3">
      <c r="A9" t="str">
        <f t="shared" si="0"/>
        <v>COMPOSTOITAMBÉ</v>
      </c>
      <c r="B9" t="str">
        <f t="shared" si="1"/>
        <v>5319281COMPOSTOITAMBÉ</v>
      </c>
      <c r="C9" s="5" t="s">
        <v>16</v>
      </c>
      <c r="D9" s="5" t="s">
        <v>17</v>
      </c>
      <c r="E9" s="5" t="s">
        <v>23</v>
      </c>
      <c r="F9" s="5">
        <v>5319281</v>
      </c>
      <c r="G9" s="5" t="s">
        <v>38</v>
      </c>
      <c r="H9" s="5" t="s">
        <v>36</v>
      </c>
      <c r="I9" s="5" t="s">
        <v>27</v>
      </c>
      <c r="J9" s="5" t="s">
        <v>26</v>
      </c>
      <c r="K9" s="6">
        <v>0</v>
      </c>
      <c r="L9" s="7">
        <v>10000</v>
      </c>
      <c r="M9" s="8">
        <v>1037.5</v>
      </c>
      <c r="N9" s="8">
        <v>0</v>
      </c>
      <c r="O9" s="8">
        <v>8114.3710205137477</v>
      </c>
      <c r="P9" s="8">
        <v>0</v>
      </c>
      <c r="Q9" s="8">
        <v>0</v>
      </c>
      <c r="R9" s="8">
        <v>0</v>
      </c>
      <c r="S9" s="8">
        <v>0</v>
      </c>
      <c r="T9" s="5">
        <v>0</v>
      </c>
      <c r="U9" s="5">
        <v>0</v>
      </c>
      <c r="V9" s="5">
        <f>VLOOKUP(A9,Planilha1!B:E,4,0)</f>
        <v>0.15618217875936719</v>
      </c>
    </row>
    <row r="10" spans="1:22" x14ac:dyDescent="0.3">
      <c r="A10" t="str">
        <f t="shared" si="0"/>
        <v>COMPOSTOITAMBÉ</v>
      </c>
      <c r="B10" t="str">
        <f t="shared" si="1"/>
        <v>5335635COMPOSTOITAMBÉ</v>
      </c>
      <c r="C10" s="5" t="s">
        <v>16</v>
      </c>
      <c r="D10" s="5" t="s">
        <v>17</v>
      </c>
      <c r="E10" s="5" t="s">
        <v>23</v>
      </c>
      <c r="F10" s="5">
        <v>5335635</v>
      </c>
      <c r="G10" s="5" t="s">
        <v>39</v>
      </c>
      <c r="H10" s="5" t="s">
        <v>40</v>
      </c>
      <c r="I10" s="5" t="s">
        <v>27</v>
      </c>
      <c r="J10" s="5" t="s">
        <v>26</v>
      </c>
      <c r="K10" s="6">
        <v>0</v>
      </c>
      <c r="L10" s="7">
        <v>0</v>
      </c>
      <c r="M10" s="8">
        <v>141.66666666666666</v>
      </c>
      <c r="N10" s="8">
        <v>0</v>
      </c>
      <c r="O10" s="8">
        <v>393.32040773828493</v>
      </c>
      <c r="P10" s="8">
        <v>0</v>
      </c>
      <c r="Q10" s="8">
        <v>0</v>
      </c>
      <c r="R10" s="8">
        <v>0</v>
      </c>
      <c r="S10" s="8">
        <v>0</v>
      </c>
      <c r="T10" s="5">
        <v>0</v>
      </c>
      <c r="U10" s="5">
        <v>0</v>
      </c>
      <c r="V10" s="5">
        <f>VLOOKUP(A10,Planilha1!B:E,4,0)</f>
        <v>0.15618217875936719</v>
      </c>
    </row>
    <row r="11" spans="1:22" x14ac:dyDescent="0.3">
      <c r="A11" t="str">
        <f t="shared" si="0"/>
        <v>LPD 25KGLACTALIS</v>
      </c>
      <c r="B11" t="str">
        <f t="shared" si="1"/>
        <v>5219478LPD 25KGLACTALIS</v>
      </c>
      <c r="C11" s="5" t="s">
        <v>16</v>
      </c>
      <c r="D11" s="5" t="s">
        <v>17</v>
      </c>
      <c r="E11" s="5" t="s">
        <v>41</v>
      </c>
      <c r="F11" s="5">
        <v>5219478</v>
      </c>
      <c r="G11" s="5" t="s">
        <v>42</v>
      </c>
      <c r="H11" s="5" t="s">
        <v>30</v>
      </c>
      <c r="I11" s="5" t="s">
        <v>22</v>
      </c>
      <c r="J11" s="5" t="s">
        <v>43</v>
      </c>
      <c r="K11" s="6">
        <v>0</v>
      </c>
      <c r="L11" s="7">
        <v>648000</v>
      </c>
      <c r="M11" s="8">
        <v>74970.833333333328</v>
      </c>
      <c r="N11" s="8">
        <v>100000</v>
      </c>
      <c r="O11" s="8">
        <v>29872.138871451043</v>
      </c>
      <c r="P11" s="8">
        <v>0</v>
      </c>
      <c r="Q11" s="8">
        <v>0</v>
      </c>
      <c r="R11" s="8">
        <v>0</v>
      </c>
      <c r="S11" s="8">
        <v>0</v>
      </c>
      <c r="T11" s="5">
        <v>0</v>
      </c>
      <c r="U11" s="5">
        <v>0</v>
      </c>
      <c r="V11" s="5">
        <f>VLOOKUP(A11,Planilha1!B:E,4,0)</f>
        <v>5.893629113453061</v>
      </c>
    </row>
    <row r="12" spans="1:22" x14ac:dyDescent="0.3">
      <c r="A12" t="str">
        <f t="shared" si="0"/>
        <v>LEITE CONDENSADOITAMBÉ</v>
      </c>
      <c r="B12" t="str">
        <f t="shared" si="1"/>
        <v>5019640LEITE CONDENSADOITAMBÉ</v>
      </c>
      <c r="C12" s="5" t="s">
        <v>16</v>
      </c>
      <c r="D12" s="5" t="s">
        <v>17</v>
      </c>
      <c r="E12" s="5" t="s">
        <v>44</v>
      </c>
      <c r="F12" s="5">
        <v>5019640</v>
      </c>
      <c r="G12" s="5" t="s">
        <v>45</v>
      </c>
      <c r="H12" s="5" t="s">
        <v>30</v>
      </c>
      <c r="I12" s="5" t="s">
        <v>27</v>
      </c>
      <c r="J12" s="5" t="s">
        <v>33</v>
      </c>
      <c r="K12" s="6">
        <v>0</v>
      </c>
      <c r="L12" s="7">
        <v>0</v>
      </c>
      <c r="M12" s="8">
        <v>8.3333333333333339</v>
      </c>
      <c r="N12" s="8">
        <v>0</v>
      </c>
      <c r="O12" s="8">
        <v>263.99524808553446</v>
      </c>
      <c r="P12" s="8">
        <v>0</v>
      </c>
      <c r="Q12" s="8">
        <v>0</v>
      </c>
      <c r="R12" s="8">
        <v>0</v>
      </c>
      <c r="S12" s="8">
        <v>0</v>
      </c>
      <c r="T12" s="5">
        <v>0</v>
      </c>
      <c r="U12" s="5">
        <v>0</v>
      </c>
      <c r="V12" s="5">
        <f>VLOOKUP(A12,Planilha1!B:E,4,0)</f>
        <v>1.4766792698630664</v>
      </c>
    </row>
    <row r="13" spans="1:22" x14ac:dyDescent="0.3">
      <c r="A13" t="str">
        <f t="shared" si="0"/>
        <v>DOCE DE LEITEITAMBÉ</v>
      </c>
      <c r="B13" t="str">
        <f t="shared" si="1"/>
        <v>5019640DOCE DE LEITEITAMBÉ</v>
      </c>
      <c r="C13" s="5" t="s">
        <v>16</v>
      </c>
      <c r="D13" s="5" t="s">
        <v>17</v>
      </c>
      <c r="E13" s="5" t="s">
        <v>44</v>
      </c>
      <c r="F13" s="5">
        <v>5019640</v>
      </c>
      <c r="G13" s="5" t="s">
        <v>45</v>
      </c>
      <c r="H13" s="5" t="s">
        <v>30</v>
      </c>
      <c r="I13" s="5" t="s">
        <v>27</v>
      </c>
      <c r="J13" s="5" t="s">
        <v>46</v>
      </c>
      <c r="K13" s="6">
        <v>0</v>
      </c>
      <c r="L13" s="7">
        <v>1590</v>
      </c>
      <c r="M13" s="8">
        <v>483.33333333333337</v>
      </c>
      <c r="N13" s="8">
        <v>460</v>
      </c>
      <c r="O13" s="8">
        <v>394.02251557231847</v>
      </c>
      <c r="P13" s="8">
        <v>0</v>
      </c>
      <c r="Q13" s="8">
        <v>240</v>
      </c>
      <c r="R13" s="8">
        <v>0</v>
      </c>
      <c r="S13" s="8">
        <v>0</v>
      </c>
      <c r="T13" s="5">
        <v>240</v>
      </c>
      <c r="U13" s="5">
        <v>0</v>
      </c>
      <c r="V13" s="5">
        <f>VLOOKUP(A13,Planilha1!B:E,4,0)</f>
        <v>5.8210743907543439</v>
      </c>
    </row>
    <row r="14" spans="1:22" x14ac:dyDescent="0.3">
      <c r="A14" t="str">
        <f t="shared" si="0"/>
        <v>LPD 25KGITAMBÉ</v>
      </c>
      <c r="B14" t="str">
        <f t="shared" si="1"/>
        <v>5026855LPD 25KGITAMBÉ</v>
      </c>
      <c r="C14" s="5" t="s">
        <v>16</v>
      </c>
      <c r="D14" s="5" t="s">
        <v>17</v>
      </c>
      <c r="E14" s="5" t="s">
        <v>44</v>
      </c>
      <c r="F14" s="5">
        <v>5026855</v>
      </c>
      <c r="G14" s="5" t="s">
        <v>47</v>
      </c>
      <c r="H14" s="5" t="s">
        <v>25</v>
      </c>
      <c r="I14" s="5" t="s">
        <v>27</v>
      </c>
      <c r="J14" s="5" t="s">
        <v>43</v>
      </c>
      <c r="K14" s="6">
        <v>0</v>
      </c>
      <c r="L14" s="7">
        <v>0</v>
      </c>
      <c r="M14" s="8">
        <v>0</v>
      </c>
      <c r="N14" s="8">
        <v>0</v>
      </c>
      <c r="O14" s="8">
        <v>2350.2556683711223</v>
      </c>
      <c r="P14" s="8">
        <v>0</v>
      </c>
      <c r="Q14" s="8">
        <v>0</v>
      </c>
      <c r="R14" s="8">
        <v>0</v>
      </c>
      <c r="S14" s="8">
        <v>0</v>
      </c>
      <c r="T14" s="5">
        <v>0</v>
      </c>
      <c r="U14" s="5">
        <v>0</v>
      </c>
      <c r="V14" s="5">
        <f>VLOOKUP(A14,Planilha1!B:E,4,0)</f>
        <v>3.3372177319587628</v>
      </c>
    </row>
    <row r="15" spans="1:22" x14ac:dyDescent="0.3">
      <c r="A15" t="str">
        <f t="shared" si="0"/>
        <v>LPI 25KGITAMBÉ</v>
      </c>
      <c r="B15" t="str">
        <f t="shared" si="1"/>
        <v>5026855LPI 25KGITAMBÉ</v>
      </c>
      <c r="C15" s="5" t="s">
        <v>16</v>
      </c>
      <c r="D15" s="5" t="s">
        <v>17</v>
      </c>
      <c r="E15" s="5" t="s">
        <v>44</v>
      </c>
      <c r="F15" s="5">
        <v>5026855</v>
      </c>
      <c r="G15" s="5" t="s">
        <v>47</v>
      </c>
      <c r="H15" s="5" t="s">
        <v>25</v>
      </c>
      <c r="I15" s="5" t="s">
        <v>27</v>
      </c>
      <c r="J15" s="5" t="s">
        <v>21</v>
      </c>
      <c r="K15" s="6">
        <v>0</v>
      </c>
      <c r="L15" s="7">
        <v>0</v>
      </c>
      <c r="M15" s="8">
        <v>37.5</v>
      </c>
      <c r="N15" s="8">
        <v>0</v>
      </c>
      <c r="O15" s="8">
        <v>86</v>
      </c>
      <c r="P15" s="8">
        <v>0</v>
      </c>
      <c r="Q15" s="8">
        <v>0</v>
      </c>
      <c r="R15" s="8">
        <v>0</v>
      </c>
      <c r="S15" s="8">
        <v>0</v>
      </c>
      <c r="T15" s="5">
        <v>0</v>
      </c>
      <c r="U15" s="5">
        <v>0</v>
      </c>
      <c r="V15" s="5">
        <f>VLOOKUP(A15,Planilha1!B:E,4,0)</f>
        <v>-1.218192805504376</v>
      </c>
    </row>
    <row r="16" spans="1:22" x14ac:dyDescent="0.3">
      <c r="A16" t="str">
        <f t="shared" si="0"/>
        <v>LPI 25KGLACTALIS</v>
      </c>
      <c r="B16" t="str">
        <f t="shared" si="1"/>
        <v>5026855LPI 25KGLACTALIS</v>
      </c>
      <c r="C16" s="5" t="s">
        <v>16</v>
      </c>
      <c r="D16" s="5" t="s">
        <v>17</v>
      </c>
      <c r="E16" s="5" t="s">
        <v>44</v>
      </c>
      <c r="F16" s="5">
        <v>5026855</v>
      </c>
      <c r="G16" s="5" t="s">
        <v>47</v>
      </c>
      <c r="H16" s="5" t="s">
        <v>25</v>
      </c>
      <c r="I16" s="5" t="s">
        <v>22</v>
      </c>
      <c r="J16" s="5" t="s">
        <v>21</v>
      </c>
      <c r="K16" s="6">
        <v>0</v>
      </c>
      <c r="L16" s="7">
        <v>0</v>
      </c>
      <c r="M16" s="8">
        <v>0</v>
      </c>
      <c r="N16" s="8">
        <v>0</v>
      </c>
      <c r="O16" s="8">
        <v>19297.653695099933</v>
      </c>
      <c r="P16" s="8">
        <v>0</v>
      </c>
      <c r="Q16" s="8">
        <v>0</v>
      </c>
      <c r="R16" s="8">
        <v>0</v>
      </c>
      <c r="S16" s="8">
        <v>0</v>
      </c>
      <c r="T16" s="5">
        <v>0</v>
      </c>
      <c r="U16" s="5">
        <v>0</v>
      </c>
      <c r="V16" s="5">
        <f>VLOOKUP(A16,Planilha1!B:E,4,0)</f>
        <v>-4.3046759024811481</v>
      </c>
    </row>
    <row r="17" spans="1:22" x14ac:dyDescent="0.3">
      <c r="A17" t="str">
        <f t="shared" si="0"/>
        <v>CREME UHTITAMBÉ</v>
      </c>
      <c r="B17" t="str">
        <f t="shared" si="1"/>
        <v>5041698CREME UHTITAMBÉ</v>
      </c>
      <c r="C17" s="5" t="s">
        <v>16</v>
      </c>
      <c r="D17" s="5" t="s">
        <v>17</v>
      </c>
      <c r="E17" s="5" t="s">
        <v>44</v>
      </c>
      <c r="F17" s="5">
        <v>5041698</v>
      </c>
      <c r="G17" s="5" t="s">
        <v>48</v>
      </c>
      <c r="H17" s="5" t="s">
        <v>30</v>
      </c>
      <c r="I17" s="5" t="s">
        <v>27</v>
      </c>
      <c r="J17" s="5" t="s">
        <v>34</v>
      </c>
      <c r="K17" s="6">
        <v>0</v>
      </c>
      <c r="L17" s="7">
        <v>0</v>
      </c>
      <c r="M17" s="8">
        <v>0</v>
      </c>
      <c r="N17" s="8">
        <v>0</v>
      </c>
      <c r="O17" s="8">
        <v>10.999572238857379</v>
      </c>
      <c r="P17" s="8">
        <v>0</v>
      </c>
      <c r="Q17" s="8">
        <v>0</v>
      </c>
      <c r="R17" s="8">
        <v>0</v>
      </c>
      <c r="S17" s="8">
        <v>0</v>
      </c>
      <c r="T17" s="5">
        <v>0</v>
      </c>
      <c r="U17" s="5">
        <v>0</v>
      </c>
      <c r="V17" s="5">
        <f>VLOOKUP(A17,Planilha1!B:E,4,0)</f>
        <v>1.2362540170747773</v>
      </c>
    </row>
    <row r="18" spans="1:22" x14ac:dyDescent="0.3">
      <c r="A18" t="str">
        <f t="shared" si="0"/>
        <v>LPD 25KGITAMBÉ</v>
      </c>
      <c r="B18" t="str">
        <f t="shared" si="1"/>
        <v>5044511LPD 25KGITAMBÉ</v>
      </c>
      <c r="C18" s="5" t="s">
        <v>16</v>
      </c>
      <c r="D18" s="5" t="s">
        <v>17</v>
      </c>
      <c r="E18" s="5" t="s">
        <v>44</v>
      </c>
      <c r="F18" s="5">
        <v>5044511</v>
      </c>
      <c r="G18" s="5" t="s">
        <v>49</v>
      </c>
      <c r="H18" s="5" t="s">
        <v>25</v>
      </c>
      <c r="I18" s="5" t="s">
        <v>27</v>
      </c>
      <c r="J18" s="5" t="s">
        <v>43</v>
      </c>
      <c r="K18" s="6">
        <v>0</v>
      </c>
      <c r="L18" s="7">
        <v>600</v>
      </c>
      <c r="M18" s="8">
        <v>295.83333333333331</v>
      </c>
      <c r="N18" s="8">
        <v>-8.3333333333333339</v>
      </c>
      <c r="O18" s="8">
        <v>1752.3316822112147</v>
      </c>
      <c r="P18" s="8">
        <v>0</v>
      </c>
      <c r="Q18" s="8">
        <v>0</v>
      </c>
      <c r="R18" s="8">
        <v>0</v>
      </c>
      <c r="S18" s="8">
        <v>0</v>
      </c>
      <c r="T18" s="5">
        <v>0</v>
      </c>
      <c r="U18" s="5">
        <v>0</v>
      </c>
      <c r="V18" s="5">
        <f>VLOOKUP(A18,Planilha1!B:E,4,0)</f>
        <v>3.3372177319587628</v>
      </c>
    </row>
    <row r="19" spans="1:22" x14ac:dyDescent="0.3">
      <c r="A19" t="str">
        <f t="shared" si="0"/>
        <v>DOCE DE LEITEITAMBÉ</v>
      </c>
      <c r="B19" t="str">
        <f t="shared" si="1"/>
        <v>5114387DOCE DE LEITEITAMBÉ</v>
      </c>
      <c r="C19" s="5" t="s">
        <v>16</v>
      </c>
      <c r="D19" s="5" t="s">
        <v>17</v>
      </c>
      <c r="E19" s="5" t="s">
        <v>44</v>
      </c>
      <c r="F19" s="5">
        <v>5114387</v>
      </c>
      <c r="G19" s="5" t="s">
        <v>50</v>
      </c>
      <c r="H19" s="5" t="s">
        <v>30</v>
      </c>
      <c r="I19" s="5" t="s">
        <v>27</v>
      </c>
      <c r="J19" s="5" t="s">
        <v>46</v>
      </c>
      <c r="K19" s="6">
        <v>0</v>
      </c>
      <c r="L19" s="7">
        <v>0</v>
      </c>
      <c r="M19" s="8">
        <v>56.666666666666671</v>
      </c>
      <c r="N19" s="8">
        <v>60</v>
      </c>
      <c r="O19" s="8">
        <v>41.002342991028065</v>
      </c>
      <c r="P19" s="8">
        <v>0</v>
      </c>
      <c r="Q19" s="8">
        <v>500</v>
      </c>
      <c r="R19" s="8">
        <v>0</v>
      </c>
      <c r="S19" s="8">
        <v>0</v>
      </c>
      <c r="T19" s="5">
        <v>500</v>
      </c>
      <c r="U19" s="5">
        <v>0</v>
      </c>
      <c r="V19" s="5">
        <f>VLOOKUP(A19,Planilha1!B:E,4,0)</f>
        <v>5.8210743907543439</v>
      </c>
    </row>
    <row r="20" spans="1:22" x14ac:dyDescent="0.3">
      <c r="A20" t="str">
        <f t="shared" si="0"/>
        <v>LEITE CONDENSADOITAMBÉ</v>
      </c>
      <c r="B20" t="str">
        <f t="shared" si="1"/>
        <v>5127549LEITE CONDENSADOITAMBÉ</v>
      </c>
      <c r="C20" s="5" t="s">
        <v>16</v>
      </c>
      <c r="D20" s="5" t="s">
        <v>17</v>
      </c>
      <c r="E20" s="5" t="s">
        <v>44</v>
      </c>
      <c r="F20" s="5">
        <v>5127549</v>
      </c>
      <c r="G20" s="5" t="s">
        <v>51</v>
      </c>
      <c r="H20" s="5" t="s">
        <v>32</v>
      </c>
      <c r="I20" s="5" t="s">
        <v>27</v>
      </c>
      <c r="J20" s="5" t="s">
        <v>33</v>
      </c>
      <c r="K20" s="6">
        <v>0</v>
      </c>
      <c r="L20" s="7">
        <v>0</v>
      </c>
      <c r="M20" s="8">
        <v>111.66666666666669</v>
      </c>
      <c r="N20" s="8">
        <v>66.666666666666671</v>
      </c>
      <c r="O20" s="8">
        <v>45.999172014903735</v>
      </c>
      <c r="P20" s="8">
        <v>0</v>
      </c>
      <c r="Q20" s="8">
        <v>150</v>
      </c>
      <c r="R20" s="8">
        <v>0</v>
      </c>
      <c r="S20" s="8">
        <v>0</v>
      </c>
      <c r="T20" s="5">
        <v>150</v>
      </c>
      <c r="U20" s="5">
        <v>0</v>
      </c>
      <c r="V20" s="5">
        <f>VLOOKUP(A20,Planilha1!B:E,4,0)</f>
        <v>1.4766792698630664</v>
      </c>
    </row>
    <row r="21" spans="1:22" x14ac:dyDescent="0.3">
      <c r="A21" t="str">
        <f t="shared" si="0"/>
        <v>DOCE DE LEITEITAMBÉ</v>
      </c>
      <c r="B21" t="str">
        <f t="shared" si="1"/>
        <v>5127549DOCE DE LEITEITAMBÉ</v>
      </c>
      <c r="C21" s="5" t="s">
        <v>16</v>
      </c>
      <c r="D21" s="5" t="s">
        <v>17</v>
      </c>
      <c r="E21" s="5" t="s">
        <v>44</v>
      </c>
      <c r="F21" s="5">
        <v>5127549</v>
      </c>
      <c r="G21" s="5" t="s">
        <v>51</v>
      </c>
      <c r="H21" s="5" t="s">
        <v>32</v>
      </c>
      <c r="I21" s="5" t="s">
        <v>27</v>
      </c>
      <c r="J21" s="5" t="s">
        <v>46</v>
      </c>
      <c r="K21" s="6">
        <v>0</v>
      </c>
      <c r="L21" s="7">
        <v>0</v>
      </c>
      <c r="M21" s="8">
        <v>100</v>
      </c>
      <c r="N21" s="8">
        <v>66.666666666666671</v>
      </c>
      <c r="O21" s="8">
        <v>103.00588605063149</v>
      </c>
      <c r="P21" s="8">
        <v>0</v>
      </c>
      <c r="Q21" s="8">
        <v>100</v>
      </c>
      <c r="R21" s="8">
        <v>0</v>
      </c>
      <c r="S21" s="8">
        <v>0</v>
      </c>
      <c r="T21" s="5">
        <v>100</v>
      </c>
      <c r="U21" s="5">
        <v>0</v>
      </c>
      <c r="V21" s="5">
        <f>VLOOKUP(A21,Planilha1!B:E,4,0)</f>
        <v>5.8210743907543439</v>
      </c>
    </row>
    <row r="22" spans="1:22" x14ac:dyDescent="0.3">
      <c r="A22" t="str">
        <f t="shared" si="0"/>
        <v>CREME UHTITAMBÉ</v>
      </c>
      <c r="B22" t="str">
        <f t="shared" si="1"/>
        <v>5133455CREME UHTITAMBÉ</v>
      </c>
      <c r="C22" s="5" t="s">
        <v>16</v>
      </c>
      <c r="D22" s="5" t="s">
        <v>17</v>
      </c>
      <c r="E22" s="5" t="s">
        <v>44</v>
      </c>
      <c r="F22" s="5">
        <v>5133455</v>
      </c>
      <c r="G22" s="5" t="s">
        <v>52</v>
      </c>
      <c r="H22" s="5" t="s">
        <v>25</v>
      </c>
      <c r="I22" s="5" t="s">
        <v>27</v>
      </c>
      <c r="J22" s="5" t="s">
        <v>34</v>
      </c>
      <c r="K22" s="6">
        <v>0</v>
      </c>
      <c r="L22" s="7">
        <v>121.2</v>
      </c>
      <c r="M22" s="8">
        <v>145.44</v>
      </c>
      <c r="N22" s="8">
        <v>121</v>
      </c>
      <c r="O22" s="8">
        <v>42.99832784280612</v>
      </c>
      <c r="P22" s="8">
        <v>0</v>
      </c>
      <c r="Q22" s="8">
        <v>145.44</v>
      </c>
      <c r="R22" s="8">
        <v>0</v>
      </c>
      <c r="S22" s="8">
        <v>0</v>
      </c>
      <c r="T22" s="5">
        <v>0</v>
      </c>
      <c r="U22" s="5">
        <v>0</v>
      </c>
      <c r="V22" s="5">
        <f>VLOOKUP(A22,Planilha1!B:E,4,0)</f>
        <v>1.2362540170747773</v>
      </c>
    </row>
    <row r="23" spans="1:22" x14ac:dyDescent="0.3">
      <c r="A23" t="str">
        <f t="shared" si="0"/>
        <v>LPI 25KGLACTALIS</v>
      </c>
      <c r="B23" t="str">
        <f t="shared" si="1"/>
        <v>5025237LPI 25KGLACTALIS</v>
      </c>
      <c r="C23" s="5" t="s">
        <v>16</v>
      </c>
      <c r="D23" s="5" t="s">
        <v>53</v>
      </c>
      <c r="E23" s="5" t="s">
        <v>54</v>
      </c>
      <c r="F23" s="5">
        <v>5025237</v>
      </c>
      <c r="G23" s="5" t="s">
        <v>55</v>
      </c>
      <c r="H23" s="5" t="s">
        <v>30</v>
      </c>
      <c r="I23" s="5" t="s">
        <v>22</v>
      </c>
      <c r="J23" s="5" t="s">
        <v>21</v>
      </c>
      <c r="K23" s="6">
        <v>0</v>
      </c>
      <c r="L23" s="7">
        <v>0</v>
      </c>
      <c r="M23" s="8">
        <v>26000</v>
      </c>
      <c r="N23" s="8">
        <v>52000</v>
      </c>
      <c r="O23" s="8">
        <v>0</v>
      </c>
      <c r="P23" s="8">
        <v>0</v>
      </c>
      <c r="Q23" s="8">
        <v>48000</v>
      </c>
      <c r="R23" s="8">
        <v>0</v>
      </c>
      <c r="S23" s="8">
        <v>0</v>
      </c>
      <c r="T23" s="5">
        <v>48000</v>
      </c>
      <c r="U23" s="5">
        <v>0</v>
      </c>
      <c r="V23" s="5">
        <f>VLOOKUP(A23,Planilha1!B:E,4,0)</f>
        <v>-4.3046759024811481</v>
      </c>
    </row>
    <row r="24" spans="1:22" x14ac:dyDescent="0.3">
      <c r="A24" t="str">
        <f t="shared" si="0"/>
        <v>DOCE DE LEITEITAMBÉ</v>
      </c>
      <c r="B24" t="str">
        <f t="shared" si="1"/>
        <v>5138561DOCE DE LEITEITAMBÉ</v>
      </c>
      <c r="C24" s="5" t="s">
        <v>16</v>
      </c>
      <c r="D24" s="5" t="s">
        <v>17</v>
      </c>
      <c r="E24" s="5" t="s">
        <v>44</v>
      </c>
      <c r="F24" s="5">
        <v>5138561</v>
      </c>
      <c r="G24" s="5" t="s">
        <v>56</v>
      </c>
      <c r="H24" s="5" t="s">
        <v>30</v>
      </c>
      <c r="I24" s="5" t="s">
        <v>27</v>
      </c>
      <c r="J24" s="5" t="s">
        <v>46</v>
      </c>
      <c r="K24" s="6">
        <v>0</v>
      </c>
      <c r="L24" s="7">
        <v>0</v>
      </c>
      <c r="M24" s="8">
        <v>76.666666666666671</v>
      </c>
      <c r="N24" s="8">
        <v>0</v>
      </c>
      <c r="O24" s="8">
        <v>119.00680038859366</v>
      </c>
      <c r="P24" s="8">
        <v>0</v>
      </c>
      <c r="Q24" s="8">
        <v>0</v>
      </c>
      <c r="R24" s="8">
        <v>0</v>
      </c>
      <c r="S24" s="8">
        <v>0</v>
      </c>
      <c r="T24" s="5">
        <v>0</v>
      </c>
      <c r="U24" s="5">
        <v>0</v>
      </c>
      <c r="V24" s="5">
        <f>VLOOKUP(A24,Planilha1!B:E,4,0)</f>
        <v>5.8210743907543439</v>
      </c>
    </row>
    <row r="25" spans="1:22" x14ac:dyDescent="0.3">
      <c r="A25" t="str">
        <f t="shared" si="0"/>
        <v>CREME UHTITAMBÉ</v>
      </c>
      <c r="B25" t="str">
        <f t="shared" si="1"/>
        <v>5139714CREME UHTITAMBÉ</v>
      </c>
      <c r="C25" s="5" t="s">
        <v>16</v>
      </c>
      <c r="D25" s="5" t="s">
        <v>17</v>
      </c>
      <c r="E25" s="5" t="s">
        <v>44</v>
      </c>
      <c r="F25" s="5">
        <v>5139714</v>
      </c>
      <c r="G25" s="5" t="s">
        <v>57</v>
      </c>
      <c r="H25" s="5" t="s">
        <v>25</v>
      </c>
      <c r="I25" s="5" t="s">
        <v>27</v>
      </c>
      <c r="J25" s="5" t="s">
        <v>34</v>
      </c>
      <c r="K25" s="6">
        <v>0</v>
      </c>
      <c r="L25" s="7">
        <v>0</v>
      </c>
      <c r="M25" s="8">
        <v>18</v>
      </c>
      <c r="N25" s="8">
        <v>0</v>
      </c>
      <c r="O25" s="8">
        <v>120.99529462743118</v>
      </c>
      <c r="P25" s="8">
        <v>0</v>
      </c>
      <c r="Q25" s="8">
        <v>0</v>
      </c>
      <c r="R25" s="8">
        <v>0</v>
      </c>
      <c r="S25" s="8">
        <v>0</v>
      </c>
      <c r="T25" s="5">
        <v>0</v>
      </c>
      <c r="U25" s="5">
        <v>0</v>
      </c>
      <c r="V25" s="5">
        <f>VLOOKUP(A25,Planilha1!B:E,4,0)</f>
        <v>1.2362540170747773</v>
      </c>
    </row>
    <row r="26" spans="1:22" x14ac:dyDescent="0.3">
      <c r="A26" t="str">
        <f t="shared" si="0"/>
        <v>LPD 25KGITAMBÉ</v>
      </c>
      <c r="B26" t="str">
        <f t="shared" si="1"/>
        <v>5146429LPD 25KGITAMBÉ</v>
      </c>
      <c r="C26" s="5" t="s">
        <v>16</v>
      </c>
      <c r="D26" s="5" t="s">
        <v>17</v>
      </c>
      <c r="E26" s="5" t="s">
        <v>44</v>
      </c>
      <c r="F26" s="5">
        <v>5146429</v>
      </c>
      <c r="G26" s="5" t="s">
        <v>58</v>
      </c>
      <c r="H26" s="5" t="s">
        <v>25</v>
      </c>
      <c r="I26" s="5" t="s">
        <v>27</v>
      </c>
      <c r="J26" s="5" t="s">
        <v>43</v>
      </c>
      <c r="K26" s="6">
        <v>0</v>
      </c>
      <c r="L26" s="7">
        <v>2500</v>
      </c>
      <c r="M26" s="8">
        <v>1416.6666666666667</v>
      </c>
      <c r="N26" s="8">
        <v>0</v>
      </c>
      <c r="O26" s="8">
        <v>7913.6127574183829</v>
      </c>
      <c r="P26" s="8">
        <v>0</v>
      </c>
      <c r="Q26" s="8">
        <v>0</v>
      </c>
      <c r="R26" s="8">
        <v>0</v>
      </c>
      <c r="S26" s="8">
        <v>0</v>
      </c>
      <c r="T26" s="5">
        <v>0</v>
      </c>
      <c r="U26" s="5">
        <v>0</v>
      </c>
      <c r="V26" s="5">
        <f>VLOOKUP(A26,Planilha1!B:E,4,0)</f>
        <v>3.3372177319587628</v>
      </c>
    </row>
    <row r="27" spans="1:22" x14ac:dyDescent="0.3">
      <c r="A27" t="str">
        <f t="shared" si="0"/>
        <v>MANTEIGA 5KGITAMBÉ</v>
      </c>
      <c r="B27" t="str">
        <f t="shared" si="1"/>
        <v>5161583MANTEIGA 5KGITAMBÉ</v>
      </c>
      <c r="C27" s="5" t="s">
        <v>16</v>
      </c>
      <c r="D27" s="5" t="s">
        <v>17</v>
      </c>
      <c r="E27" s="5" t="s">
        <v>44</v>
      </c>
      <c r="F27" s="5">
        <v>5161583</v>
      </c>
      <c r="G27" s="5" t="s">
        <v>59</v>
      </c>
      <c r="H27" s="5" t="s">
        <v>30</v>
      </c>
      <c r="I27" s="5" t="s">
        <v>27</v>
      </c>
      <c r="J27" s="5" t="s">
        <v>60</v>
      </c>
      <c r="K27" s="6">
        <v>0</v>
      </c>
      <c r="L27" s="7">
        <v>0</v>
      </c>
      <c r="M27" s="8">
        <v>304.16666666666663</v>
      </c>
      <c r="N27" s="8">
        <v>383.33333333333331</v>
      </c>
      <c r="O27" s="8">
        <v>143.99520015999468</v>
      </c>
      <c r="P27" s="8">
        <v>0</v>
      </c>
      <c r="Q27" s="8">
        <v>0</v>
      </c>
      <c r="R27" s="8">
        <v>0</v>
      </c>
      <c r="S27" s="8">
        <v>0</v>
      </c>
      <c r="T27" s="5">
        <v>0</v>
      </c>
      <c r="U27" s="5">
        <v>0</v>
      </c>
      <c r="V27" s="5">
        <f>VLOOKUP(A27,Planilha1!B:E,4,0)</f>
        <v>5.819800475298738</v>
      </c>
    </row>
    <row r="28" spans="1:22" x14ac:dyDescent="0.3">
      <c r="A28" t="str">
        <f t="shared" si="0"/>
        <v>LPD 25KGITAMBÉ</v>
      </c>
      <c r="B28" t="str">
        <f t="shared" si="1"/>
        <v>5166253LPD 25KGITAMBÉ</v>
      </c>
      <c r="C28" s="5" t="s">
        <v>16</v>
      </c>
      <c r="D28" s="5" t="s">
        <v>17</v>
      </c>
      <c r="E28" s="5" t="s">
        <v>44</v>
      </c>
      <c r="F28" s="5">
        <v>5166253</v>
      </c>
      <c r="G28" s="5" t="s">
        <v>61</v>
      </c>
      <c r="H28" s="5" t="s">
        <v>30</v>
      </c>
      <c r="I28" s="5" t="s">
        <v>27</v>
      </c>
      <c r="J28" s="5" t="s">
        <v>43</v>
      </c>
      <c r="K28" s="6">
        <v>0</v>
      </c>
      <c r="L28" s="7">
        <v>0</v>
      </c>
      <c r="M28" s="8">
        <v>0</v>
      </c>
      <c r="N28" s="8">
        <v>0</v>
      </c>
      <c r="O28" s="8">
        <v>205.72137147580983</v>
      </c>
      <c r="P28" s="8">
        <v>0</v>
      </c>
      <c r="Q28" s="8">
        <v>0</v>
      </c>
      <c r="R28" s="8">
        <v>0</v>
      </c>
      <c r="S28" s="8">
        <v>0</v>
      </c>
      <c r="T28" s="5">
        <v>0</v>
      </c>
      <c r="U28" s="5">
        <v>0</v>
      </c>
      <c r="V28" s="5">
        <f>VLOOKUP(A28,Planilha1!B:E,4,0)</f>
        <v>3.3372177319587628</v>
      </c>
    </row>
    <row r="29" spans="1:22" x14ac:dyDescent="0.3">
      <c r="A29" t="str">
        <f t="shared" si="0"/>
        <v>MANTEIGA 5KGITAMBÉ</v>
      </c>
      <c r="B29" t="str">
        <f t="shared" si="1"/>
        <v>5171400MANTEIGA 5KGITAMBÉ</v>
      </c>
      <c r="C29" s="5" t="s">
        <v>16</v>
      </c>
      <c r="D29" s="5" t="s">
        <v>17</v>
      </c>
      <c r="E29" s="5" t="s">
        <v>44</v>
      </c>
      <c r="F29" s="5">
        <v>5171400</v>
      </c>
      <c r="G29" s="5" t="s">
        <v>62</v>
      </c>
      <c r="H29" s="5" t="s">
        <v>30</v>
      </c>
      <c r="I29" s="5" t="s">
        <v>27</v>
      </c>
      <c r="J29" s="5" t="s">
        <v>60</v>
      </c>
      <c r="K29" s="6">
        <v>0</v>
      </c>
      <c r="L29" s="7">
        <v>0</v>
      </c>
      <c r="M29" s="8">
        <v>399.16666666666669</v>
      </c>
      <c r="N29" s="8">
        <v>0</v>
      </c>
      <c r="O29" s="8">
        <v>1470.9509683010567</v>
      </c>
      <c r="P29" s="8">
        <v>0</v>
      </c>
      <c r="Q29" s="8">
        <v>0</v>
      </c>
      <c r="R29" s="8">
        <v>0</v>
      </c>
      <c r="S29" s="8">
        <v>0</v>
      </c>
      <c r="T29" s="5">
        <v>0</v>
      </c>
      <c r="U29" s="5">
        <v>0</v>
      </c>
      <c r="V29" s="5">
        <f>VLOOKUP(A29,Planilha1!B:E,4,0)</f>
        <v>5.819800475298738</v>
      </c>
    </row>
    <row r="30" spans="1:22" x14ac:dyDescent="0.3">
      <c r="A30" t="str">
        <f t="shared" si="0"/>
        <v>QUEIJOSLACTALIS</v>
      </c>
      <c r="B30" t="str">
        <f t="shared" si="1"/>
        <v>5026855QUEIJOSLACTALIS</v>
      </c>
      <c r="C30" s="5" t="s">
        <v>16</v>
      </c>
      <c r="D30" s="5" t="s">
        <v>17</v>
      </c>
      <c r="E30" s="5" t="s">
        <v>44</v>
      </c>
      <c r="F30" s="5">
        <v>5026855</v>
      </c>
      <c r="G30" s="5" t="s">
        <v>47</v>
      </c>
      <c r="H30" s="5" t="s">
        <v>25</v>
      </c>
      <c r="I30" s="5" t="s">
        <v>22</v>
      </c>
      <c r="J30" s="5" t="s">
        <v>63</v>
      </c>
      <c r="K30" s="6">
        <v>0</v>
      </c>
      <c r="L30" s="7">
        <v>1393.63</v>
      </c>
      <c r="M30" s="8">
        <v>12564.441499999997</v>
      </c>
      <c r="N30" s="8">
        <v>11216.696333333333</v>
      </c>
      <c r="O30" s="8">
        <v>7825.7828699175243</v>
      </c>
      <c r="P30" s="8">
        <v>0</v>
      </c>
      <c r="Q30" s="8">
        <v>15605</v>
      </c>
      <c r="R30" s="8">
        <v>0</v>
      </c>
      <c r="S30" s="8">
        <v>0</v>
      </c>
      <c r="T30" s="5">
        <v>15600</v>
      </c>
      <c r="U30" s="5">
        <v>0</v>
      </c>
      <c r="V30" s="5">
        <f>VLOOKUP(A30,Planilha1!B:E,4,0)</f>
        <v>-1.9171310037550682</v>
      </c>
    </row>
    <row r="31" spans="1:22" x14ac:dyDescent="0.3">
      <c r="A31" t="str">
        <f t="shared" si="0"/>
        <v>LEITE CONDENSADOITAMBÉ</v>
      </c>
      <c r="B31" t="str">
        <f t="shared" si="1"/>
        <v>5183495LEITE CONDENSADOITAMBÉ</v>
      </c>
      <c r="C31" s="5" t="s">
        <v>16</v>
      </c>
      <c r="D31" s="5" t="s">
        <v>17</v>
      </c>
      <c r="E31" s="5" t="s">
        <v>44</v>
      </c>
      <c r="F31" s="5">
        <v>5183495</v>
      </c>
      <c r="G31" s="5" t="s">
        <v>64</v>
      </c>
      <c r="H31" s="5" t="s">
        <v>25</v>
      </c>
      <c r="I31" s="5" t="s">
        <v>27</v>
      </c>
      <c r="J31" s="5" t="s">
        <v>33</v>
      </c>
      <c r="K31" s="6">
        <v>0</v>
      </c>
      <c r="L31" s="7">
        <v>0</v>
      </c>
      <c r="M31" s="8">
        <v>0</v>
      </c>
      <c r="N31" s="8">
        <v>0</v>
      </c>
      <c r="O31" s="8">
        <v>98.998218032075428</v>
      </c>
      <c r="P31" s="8">
        <v>0</v>
      </c>
      <c r="Q31" s="8">
        <v>0</v>
      </c>
      <c r="R31" s="8">
        <v>0</v>
      </c>
      <c r="S31" s="8">
        <v>0</v>
      </c>
      <c r="T31" s="5">
        <v>0</v>
      </c>
      <c r="U31" s="5">
        <v>0</v>
      </c>
      <c r="V31" s="5">
        <f>VLOOKUP(A31,Planilha1!B:E,4,0)</f>
        <v>1.4766792698630664</v>
      </c>
    </row>
    <row r="32" spans="1:22" x14ac:dyDescent="0.3">
      <c r="A32" t="str">
        <f t="shared" si="0"/>
        <v>LEITE CONDENSADOITAMBÉ</v>
      </c>
      <c r="B32" t="str">
        <f t="shared" si="1"/>
        <v>5193349LEITE CONDENSADOITAMBÉ</v>
      </c>
      <c r="C32" s="5" t="s">
        <v>16</v>
      </c>
      <c r="D32" s="5" t="s">
        <v>17</v>
      </c>
      <c r="E32" s="5" t="s">
        <v>44</v>
      </c>
      <c r="F32" s="5">
        <v>5193349</v>
      </c>
      <c r="G32" s="5" t="s">
        <v>65</v>
      </c>
      <c r="H32" s="5" t="s">
        <v>25</v>
      </c>
      <c r="I32" s="5" t="s">
        <v>27</v>
      </c>
      <c r="J32" s="5" t="s">
        <v>33</v>
      </c>
      <c r="K32" s="6">
        <v>0</v>
      </c>
      <c r="L32" s="7">
        <v>100</v>
      </c>
      <c r="M32" s="8">
        <v>106.66666666666669</v>
      </c>
      <c r="N32" s="8">
        <v>120</v>
      </c>
      <c r="O32" s="8">
        <v>236.99573407678662</v>
      </c>
      <c r="P32" s="8">
        <v>0</v>
      </c>
      <c r="Q32" s="8">
        <v>0</v>
      </c>
      <c r="R32" s="8">
        <v>0</v>
      </c>
      <c r="S32" s="8">
        <v>0</v>
      </c>
      <c r="T32" s="5">
        <v>0</v>
      </c>
      <c r="U32" s="5">
        <v>0</v>
      </c>
      <c r="V32" s="5">
        <f>VLOOKUP(A32,Planilha1!B:E,4,0)</f>
        <v>1.4766792698630664</v>
      </c>
    </row>
    <row r="33" spans="1:22" x14ac:dyDescent="0.3">
      <c r="A33" t="str">
        <f t="shared" si="0"/>
        <v>LPI 25KGITAMBÉ</v>
      </c>
      <c r="B33" t="str">
        <f t="shared" si="1"/>
        <v>5043935LPI 25KGITAMBÉ</v>
      </c>
      <c r="C33" s="5" t="s">
        <v>16</v>
      </c>
      <c r="D33" s="5" t="s">
        <v>17</v>
      </c>
      <c r="E33" s="5" t="s">
        <v>66</v>
      </c>
      <c r="F33" s="5">
        <v>5043935</v>
      </c>
      <c r="G33" s="5" t="s">
        <v>67</v>
      </c>
      <c r="H33" s="5" t="s">
        <v>25</v>
      </c>
      <c r="I33" s="5" t="s">
        <v>27</v>
      </c>
      <c r="J33" s="5" t="s">
        <v>21</v>
      </c>
      <c r="K33" s="6">
        <v>0</v>
      </c>
      <c r="L33" s="7">
        <v>0</v>
      </c>
      <c r="M33" s="8">
        <v>20166.666666666668</v>
      </c>
      <c r="N33" s="8">
        <v>40333.333333333336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5">
        <v>125000</v>
      </c>
      <c r="U33" s="5">
        <v>0</v>
      </c>
      <c r="V33" s="5">
        <f>VLOOKUP(A33,Planilha1!B:E,4,0)</f>
        <v>-1.218192805504376</v>
      </c>
    </row>
    <row r="34" spans="1:22" x14ac:dyDescent="0.3">
      <c r="A34" t="str">
        <f t="shared" si="0"/>
        <v>LEITE CONDENSADOITAMBÉ</v>
      </c>
      <c r="B34" t="str">
        <f t="shared" si="1"/>
        <v>5194641LEITE CONDENSADOITAMBÉ</v>
      </c>
      <c r="C34" s="5" t="s">
        <v>16</v>
      </c>
      <c r="D34" s="5" t="s">
        <v>17</v>
      </c>
      <c r="E34" s="5" t="s">
        <v>44</v>
      </c>
      <c r="F34" s="5">
        <v>5194641</v>
      </c>
      <c r="G34" s="5" t="s">
        <v>68</v>
      </c>
      <c r="H34" s="5" t="s">
        <v>25</v>
      </c>
      <c r="I34" s="5" t="s">
        <v>27</v>
      </c>
      <c r="J34" s="5" t="s">
        <v>33</v>
      </c>
      <c r="K34" s="6">
        <v>0</v>
      </c>
      <c r="L34" s="7">
        <v>0</v>
      </c>
      <c r="M34" s="8">
        <v>79.987499999999997</v>
      </c>
      <c r="N34" s="8">
        <v>53.333333333333336</v>
      </c>
      <c r="O34" s="8">
        <v>104.99811003401939</v>
      </c>
      <c r="P34" s="8">
        <v>0</v>
      </c>
      <c r="Q34" s="8">
        <v>0</v>
      </c>
      <c r="R34" s="8">
        <v>0</v>
      </c>
      <c r="S34" s="8">
        <v>0</v>
      </c>
      <c r="T34" s="5">
        <v>0</v>
      </c>
      <c r="U34" s="5">
        <v>0</v>
      </c>
      <c r="V34" s="5">
        <f>VLOOKUP(A34,Planilha1!B:E,4,0)</f>
        <v>1.4766792698630664</v>
      </c>
    </row>
    <row r="35" spans="1:22" x14ac:dyDescent="0.3">
      <c r="A35" t="str">
        <f t="shared" si="0"/>
        <v>DOCE DE LEITEITAMBÉ</v>
      </c>
      <c r="B35" t="str">
        <f t="shared" si="1"/>
        <v>5196998DOCE DE LEITEITAMBÉ</v>
      </c>
      <c r="C35" s="5" t="s">
        <v>16</v>
      </c>
      <c r="D35" s="5" t="s">
        <v>17</v>
      </c>
      <c r="E35" s="5" t="s">
        <v>44</v>
      </c>
      <c r="F35" s="5">
        <v>5196998</v>
      </c>
      <c r="G35" s="5" t="s">
        <v>69</v>
      </c>
      <c r="H35" s="5" t="s">
        <v>30</v>
      </c>
      <c r="I35" s="5" t="s">
        <v>27</v>
      </c>
      <c r="J35" s="5" t="s">
        <v>46</v>
      </c>
      <c r="K35" s="6">
        <v>0</v>
      </c>
      <c r="L35" s="7">
        <v>0</v>
      </c>
      <c r="M35" s="8">
        <v>416.66666666666663</v>
      </c>
      <c r="N35" s="8">
        <v>500</v>
      </c>
      <c r="O35" s="8">
        <v>259.01480084576264</v>
      </c>
      <c r="P35" s="8">
        <v>0</v>
      </c>
      <c r="Q35" s="8">
        <v>0</v>
      </c>
      <c r="R35" s="8">
        <v>0</v>
      </c>
      <c r="S35" s="8">
        <v>0</v>
      </c>
      <c r="T35" s="5">
        <v>0</v>
      </c>
      <c r="U35" s="5">
        <v>0</v>
      </c>
      <c r="V35" s="5">
        <f>VLOOKUP(A35,Planilha1!B:E,4,0)</f>
        <v>5.8210743907543439</v>
      </c>
    </row>
    <row r="36" spans="1:22" x14ac:dyDescent="0.3">
      <c r="A36" t="str">
        <f t="shared" si="0"/>
        <v>CREME UHTITAMBÉ</v>
      </c>
      <c r="B36" t="str">
        <f t="shared" si="1"/>
        <v>5206830CREME UHTITAMBÉ</v>
      </c>
      <c r="C36" s="5" t="s">
        <v>16</v>
      </c>
      <c r="D36" s="5" t="s">
        <v>17</v>
      </c>
      <c r="E36" s="5" t="s">
        <v>44</v>
      </c>
      <c r="F36" s="5">
        <v>5206830</v>
      </c>
      <c r="G36" s="5" t="s">
        <v>70</v>
      </c>
      <c r="H36" s="5" t="s">
        <v>25</v>
      </c>
      <c r="I36" s="5" t="s">
        <v>27</v>
      </c>
      <c r="J36" s="5" t="s">
        <v>34</v>
      </c>
      <c r="K36" s="6">
        <v>0</v>
      </c>
      <c r="L36" s="7">
        <v>0</v>
      </c>
      <c r="M36" s="8">
        <v>85.56</v>
      </c>
      <c r="N36" s="8">
        <v>105.66666666666667</v>
      </c>
      <c r="O36" s="8">
        <v>93.996344586599434</v>
      </c>
      <c r="P36" s="8">
        <v>0</v>
      </c>
      <c r="Q36" s="8">
        <v>0</v>
      </c>
      <c r="R36" s="8">
        <v>0</v>
      </c>
      <c r="S36" s="8">
        <v>0</v>
      </c>
      <c r="T36" s="5">
        <v>0</v>
      </c>
      <c r="U36" s="5">
        <v>0</v>
      </c>
      <c r="V36" s="5">
        <f>VLOOKUP(A36,Planilha1!B:E,4,0)</f>
        <v>1.2362540170747773</v>
      </c>
    </row>
    <row r="37" spans="1:22" x14ac:dyDescent="0.3">
      <c r="A37" t="str">
        <f t="shared" si="0"/>
        <v>LPD 25KGITAMBÉ</v>
      </c>
      <c r="B37" t="str">
        <f t="shared" si="1"/>
        <v>5206830LPD 25KGITAMBÉ</v>
      </c>
      <c r="C37" s="5" t="s">
        <v>16</v>
      </c>
      <c r="D37" s="5" t="s">
        <v>17</v>
      </c>
      <c r="E37" s="5" t="s">
        <v>44</v>
      </c>
      <c r="F37" s="5">
        <v>5206830</v>
      </c>
      <c r="G37" s="5" t="s">
        <v>70</v>
      </c>
      <c r="H37" s="5" t="s">
        <v>25</v>
      </c>
      <c r="I37" s="5" t="s">
        <v>27</v>
      </c>
      <c r="J37" s="5" t="s">
        <v>43</v>
      </c>
      <c r="K37" s="6">
        <v>0</v>
      </c>
      <c r="L37" s="7">
        <v>0</v>
      </c>
      <c r="M37" s="8">
        <v>83.333333333333329</v>
      </c>
      <c r="N37" s="8">
        <v>0</v>
      </c>
      <c r="O37" s="8">
        <v>926.48617657451052</v>
      </c>
      <c r="P37" s="8">
        <v>0</v>
      </c>
      <c r="Q37" s="8">
        <v>0</v>
      </c>
      <c r="R37" s="8">
        <v>0</v>
      </c>
      <c r="S37" s="8">
        <v>0</v>
      </c>
      <c r="T37" s="5">
        <v>0</v>
      </c>
      <c r="U37" s="5">
        <v>0</v>
      </c>
      <c r="V37" s="5">
        <f>VLOOKUP(A37,Planilha1!B:E,4,0)</f>
        <v>3.3372177319587628</v>
      </c>
    </row>
    <row r="38" spans="1:22" x14ac:dyDescent="0.3">
      <c r="A38" t="str">
        <f t="shared" si="0"/>
        <v>LPI 25KGITAMBÉ</v>
      </c>
      <c r="B38" t="str">
        <f t="shared" si="1"/>
        <v>5207685LPI 25KGITAMBÉ</v>
      </c>
      <c r="C38" s="5" t="s">
        <v>16</v>
      </c>
      <c r="D38" s="5" t="s">
        <v>17</v>
      </c>
      <c r="E38" s="5" t="s">
        <v>44</v>
      </c>
      <c r="F38" s="5">
        <v>5207685</v>
      </c>
      <c r="G38" s="5" t="s">
        <v>71</v>
      </c>
      <c r="H38" s="5" t="s">
        <v>25</v>
      </c>
      <c r="I38" s="5" t="s">
        <v>27</v>
      </c>
      <c r="J38" s="5" t="s">
        <v>21</v>
      </c>
      <c r="K38" s="6">
        <v>0</v>
      </c>
      <c r="L38" s="7">
        <v>0</v>
      </c>
      <c r="M38" s="8">
        <v>20833.333333333336</v>
      </c>
      <c r="N38" s="8">
        <v>50000</v>
      </c>
      <c r="O38" s="8">
        <v>24063</v>
      </c>
      <c r="P38" s="8">
        <v>0</v>
      </c>
      <c r="Q38" s="8">
        <v>17750</v>
      </c>
      <c r="R38" s="8">
        <v>0</v>
      </c>
      <c r="S38" s="8">
        <v>0</v>
      </c>
      <c r="T38" s="5">
        <v>17750</v>
      </c>
      <c r="U38" s="5">
        <v>0</v>
      </c>
      <c r="V38" s="5">
        <f>VLOOKUP(A38,Planilha1!B:E,4,0)</f>
        <v>-1.218192805504376</v>
      </c>
    </row>
    <row r="39" spans="1:22" x14ac:dyDescent="0.3">
      <c r="A39" t="str">
        <f t="shared" si="0"/>
        <v>QUEIJOSLACTALIS</v>
      </c>
      <c r="B39" t="str">
        <f t="shared" si="1"/>
        <v>5043935QUEIJOSLACTALIS</v>
      </c>
      <c r="C39" s="5" t="s">
        <v>16</v>
      </c>
      <c r="D39" s="5" t="s">
        <v>17</v>
      </c>
      <c r="E39" s="5" t="s">
        <v>66</v>
      </c>
      <c r="F39" s="5">
        <v>5043935</v>
      </c>
      <c r="G39" s="5" t="s">
        <v>67</v>
      </c>
      <c r="H39" s="5" t="s">
        <v>25</v>
      </c>
      <c r="I39" s="5" t="s">
        <v>22</v>
      </c>
      <c r="J39" s="5" t="s">
        <v>63</v>
      </c>
      <c r="K39" s="6">
        <v>0</v>
      </c>
      <c r="L39" s="7">
        <v>5607.5300000000007</v>
      </c>
      <c r="M39" s="8">
        <v>10624.733</v>
      </c>
      <c r="N39" s="8">
        <v>10726.8</v>
      </c>
      <c r="O39" s="8">
        <v>10925.282066572128</v>
      </c>
      <c r="P39" s="8">
        <v>0</v>
      </c>
      <c r="Q39" s="8">
        <v>-17444</v>
      </c>
      <c r="R39" s="8">
        <v>0</v>
      </c>
      <c r="S39" s="8">
        <v>0</v>
      </c>
      <c r="T39" s="5">
        <v>0</v>
      </c>
      <c r="U39" s="5">
        <v>0</v>
      </c>
      <c r="V39" s="5">
        <f>VLOOKUP(A39,Planilha1!B:E,4,0)</f>
        <v>-1.9171310037550682</v>
      </c>
    </row>
    <row r="40" spans="1:22" x14ac:dyDescent="0.3">
      <c r="A40" t="str">
        <f t="shared" si="0"/>
        <v>LPI 25KGITAMBÉ</v>
      </c>
      <c r="B40" t="str">
        <f t="shared" si="1"/>
        <v>5210640LPI 25KGITAMBÉ</v>
      </c>
      <c r="C40" s="5" t="s">
        <v>16</v>
      </c>
      <c r="D40" s="5" t="s">
        <v>17</v>
      </c>
      <c r="E40" s="5" t="s">
        <v>44</v>
      </c>
      <c r="F40" s="5">
        <v>5210640</v>
      </c>
      <c r="G40" s="5" t="s">
        <v>72</v>
      </c>
      <c r="H40" s="5" t="s">
        <v>30</v>
      </c>
      <c r="I40" s="5" t="s">
        <v>27</v>
      </c>
      <c r="J40" s="5" t="s">
        <v>21</v>
      </c>
      <c r="K40" s="6">
        <v>0</v>
      </c>
      <c r="L40" s="7">
        <v>0</v>
      </c>
      <c r="M40" s="8">
        <v>250</v>
      </c>
      <c r="N40" s="8">
        <v>241.66666666666666</v>
      </c>
      <c r="O40" s="8">
        <v>86.352267837680543</v>
      </c>
      <c r="P40" s="8">
        <v>0</v>
      </c>
      <c r="Q40" s="8">
        <v>0</v>
      </c>
      <c r="R40" s="8">
        <v>0</v>
      </c>
      <c r="S40" s="8">
        <v>0</v>
      </c>
      <c r="T40" s="5">
        <v>0</v>
      </c>
      <c r="U40" s="5">
        <v>0</v>
      </c>
      <c r="V40" s="5">
        <f>VLOOKUP(A40,Planilha1!B:E,4,0)</f>
        <v>-1.218192805504376</v>
      </c>
    </row>
    <row r="41" spans="1:22" x14ac:dyDescent="0.3">
      <c r="A41" t="str">
        <f t="shared" si="0"/>
        <v>LPD 25KGITAMBÉ</v>
      </c>
      <c r="B41" t="str">
        <f t="shared" si="1"/>
        <v>5212486LPD 25KGITAMBÉ</v>
      </c>
      <c r="C41" s="5" t="s">
        <v>16</v>
      </c>
      <c r="D41" s="5" t="s">
        <v>17</v>
      </c>
      <c r="E41" s="5" t="s">
        <v>44</v>
      </c>
      <c r="F41" s="5">
        <v>5212486</v>
      </c>
      <c r="G41" s="5" t="s">
        <v>73</v>
      </c>
      <c r="H41" s="5" t="s">
        <v>25</v>
      </c>
      <c r="I41" s="5" t="s">
        <v>27</v>
      </c>
      <c r="J41" s="5" t="s">
        <v>43</v>
      </c>
      <c r="K41" s="6">
        <v>0</v>
      </c>
      <c r="L41" s="7">
        <v>0</v>
      </c>
      <c r="M41" s="8">
        <v>4000</v>
      </c>
      <c r="N41" s="8">
        <v>0</v>
      </c>
      <c r="O41" s="8">
        <v>11542.596950646337</v>
      </c>
      <c r="P41" s="8">
        <v>0</v>
      </c>
      <c r="Q41" s="8">
        <v>0</v>
      </c>
      <c r="R41" s="8">
        <v>0</v>
      </c>
      <c r="S41" s="8">
        <v>0</v>
      </c>
      <c r="T41" s="5">
        <v>0</v>
      </c>
      <c r="U41" s="5">
        <v>0</v>
      </c>
      <c r="V41" s="5">
        <f>VLOOKUP(A41,Planilha1!B:E,4,0)</f>
        <v>3.3372177319587628</v>
      </c>
    </row>
    <row r="42" spans="1:22" x14ac:dyDescent="0.3">
      <c r="A42" t="str">
        <f t="shared" si="0"/>
        <v>LPI 25KGITAMBÉ</v>
      </c>
      <c r="B42" t="str">
        <f t="shared" si="1"/>
        <v>5212486LPI 25KGITAMBÉ</v>
      </c>
      <c r="C42" s="5" t="s">
        <v>16</v>
      </c>
      <c r="D42" s="5" t="s">
        <v>17</v>
      </c>
      <c r="E42" s="5" t="s">
        <v>44</v>
      </c>
      <c r="F42" s="5">
        <v>5212486</v>
      </c>
      <c r="G42" s="5" t="s">
        <v>73</v>
      </c>
      <c r="H42" s="5" t="s">
        <v>25</v>
      </c>
      <c r="I42" s="5" t="s">
        <v>27</v>
      </c>
      <c r="J42" s="5" t="s">
        <v>21</v>
      </c>
      <c r="K42" s="6">
        <v>0</v>
      </c>
      <c r="L42" s="7">
        <v>14000</v>
      </c>
      <c r="M42" s="8">
        <v>11600</v>
      </c>
      <c r="N42" s="8">
        <v>9325</v>
      </c>
      <c r="O42" s="8">
        <v>35810.607289084095</v>
      </c>
      <c r="P42" s="8">
        <v>0</v>
      </c>
      <c r="Q42" s="8">
        <v>0</v>
      </c>
      <c r="R42" s="8">
        <v>0</v>
      </c>
      <c r="S42" s="8">
        <v>0</v>
      </c>
      <c r="T42" s="5">
        <v>0</v>
      </c>
      <c r="U42" s="5">
        <v>0</v>
      </c>
      <c r="V42" s="5">
        <f>VLOOKUP(A42,Planilha1!B:E,4,0)</f>
        <v>-1.218192805504376</v>
      </c>
    </row>
    <row r="43" spans="1:22" x14ac:dyDescent="0.3">
      <c r="A43" t="str">
        <f t="shared" si="0"/>
        <v>CREME UHTITAMBÉ</v>
      </c>
      <c r="B43" t="str">
        <f t="shared" si="1"/>
        <v>5224055CREME UHTITAMBÉ</v>
      </c>
      <c r="C43" s="5" t="s">
        <v>16</v>
      </c>
      <c r="D43" s="5" t="s">
        <v>17</v>
      </c>
      <c r="E43" s="5" t="s">
        <v>44</v>
      </c>
      <c r="F43" s="5">
        <v>5224055</v>
      </c>
      <c r="G43" s="5" t="s">
        <v>74</v>
      </c>
      <c r="H43" s="5" t="s">
        <v>30</v>
      </c>
      <c r="I43" s="5" t="s">
        <v>27</v>
      </c>
      <c r="J43" s="5" t="s">
        <v>34</v>
      </c>
      <c r="K43" s="6">
        <v>0</v>
      </c>
      <c r="L43" s="7">
        <v>0</v>
      </c>
      <c r="M43" s="8">
        <v>600</v>
      </c>
      <c r="N43" s="8">
        <v>480</v>
      </c>
      <c r="O43" s="8">
        <v>530.97935080302443</v>
      </c>
      <c r="P43" s="8">
        <v>0</v>
      </c>
      <c r="Q43" s="8">
        <v>0</v>
      </c>
      <c r="R43" s="8">
        <v>0</v>
      </c>
      <c r="S43" s="8">
        <v>0</v>
      </c>
      <c r="T43" s="5">
        <v>0</v>
      </c>
      <c r="U43" s="5">
        <v>0</v>
      </c>
      <c r="V43" s="5">
        <f>VLOOKUP(A43,Planilha1!B:E,4,0)</f>
        <v>1.2362540170747773</v>
      </c>
    </row>
    <row r="44" spans="1:22" x14ac:dyDescent="0.3">
      <c r="A44" t="str">
        <f t="shared" si="0"/>
        <v>MANTEIGA 5KGITAMBÉ</v>
      </c>
      <c r="B44" t="str">
        <f t="shared" si="1"/>
        <v>5224055MANTEIGA 5KGITAMBÉ</v>
      </c>
      <c r="C44" s="5" t="s">
        <v>16</v>
      </c>
      <c r="D44" s="5" t="s">
        <v>17</v>
      </c>
      <c r="E44" s="5" t="s">
        <v>44</v>
      </c>
      <c r="F44" s="5">
        <v>5224055</v>
      </c>
      <c r="G44" s="5" t="s">
        <v>74</v>
      </c>
      <c r="H44" s="5" t="s">
        <v>30</v>
      </c>
      <c r="I44" s="5" t="s">
        <v>27</v>
      </c>
      <c r="J44" s="5" t="s">
        <v>60</v>
      </c>
      <c r="K44" s="6">
        <v>0</v>
      </c>
      <c r="L44" s="7">
        <v>0</v>
      </c>
      <c r="M44" s="8">
        <v>5.833333333333333</v>
      </c>
      <c r="N44" s="8">
        <v>0</v>
      </c>
      <c r="O44" s="8">
        <v>10.999633345555148</v>
      </c>
      <c r="P44" s="8">
        <v>0</v>
      </c>
      <c r="Q44" s="8">
        <v>0</v>
      </c>
      <c r="R44" s="8">
        <v>0</v>
      </c>
      <c r="S44" s="8">
        <v>0</v>
      </c>
      <c r="T44" s="5">
        <v>0</v>
      </c>
      <c r="U44" s="5">
        <v>0</v>
      </c>
      <c r="V44" s="5">
        <f>VLOOKUP(A44,Planilha1!B:E,4,0)</f>
        <v>5.819800475298738</v>
      </c>
    </row>
    <row r="45" spans="1:22" x14ac:dyDescent="0.3">
      <c r="A45" t="str">
        <f t="shared" si="0"/>
        <v>COMPOSTOITAMBÉ</v>
      </c>
      <c r="B45" t="str">
        <f t="shared" si="1"/>
        <v>5227283COMPOSTOITAMBÉ</v>
      </c>
      <c r="C45" s="5" t="s">
        <v>16</v>
      </c>
      <c r="D45" s="5" t="s">
        <v>17</v>
      </c>
      <c r="E45" s="5" t="s">
        <v>44</v>
      </c>
      <c r="F45" s="5">
        <v>5227283</v>
      </c>
      <c r="G45" s="5" t="s">
        <v>75</v>
      </c>
      <c r="H45" s="5" t="s">
        <v>25</v>
      </c>
      <c r="I45" s="5" t="s">
        <v>27</v>
      </c>
      <c r="J45" s="5" t="s">
        <v>26</v>
      </c>
      <c r="K45" s="6">
        <v>0</v>
      </c>
      <c r="L45" s="7">
        <v>0</v>
      </c>
      <c r="M45" s="8">
        <v>93.500000000000014</v>
      </c>
      <c r="N45" s="8">
        <v>116.66666666666667</v>
      </c>
      <c r="O45" s="8">
        <v>98.330101934571218</v>
      </c>
      <c r="P45" s="8">
        <v>0</v>
      </c>
      <c r="Q45" s="8">
        <v>0</v>
      </c>
      <c r="R45" s="8">
        <v>0</v>
      </c>
      <c r="S45" s="8">
        <v>0</v>
      </c>
      <c r="T45" s="5">
        <v>0</v>
      </c>
      <c r="U45" s="5">
        <v>0</v>
      </c>
      <c r="V45" s="5">
        <f>VLOOKUP(A45,Planilha1!B:E,4,0)</f>
        <v>0.15618217875936719</v>
      </c>
    </row>
    <row r="46" spans="1:22" x14ac:dyDescent="0.3">
      <c r="A46" t="str">
        <f t="shared" si="0"/>
        <v>COMPOSTOITAMBÉ</v>
      </c>
      <c r="B46" t="str">
        <f t="shared" si="1"/>
        <v>5228827COMPOSTOITAMBÉ</v>
      </c>
      <c r="C46" s="5" t="s">
        <v>16</v>
      </c>
      <c r="D46" s="5" t="s">
        <v>17</v>
      </c>
      <c r="E46" s="5" t="s">
        <v>44</v>
      </c>
      <c r="F46" s="5">
        <v>5228827</v>
      </c>
      <c r="G46" s="5" t="s">
        <v>76</v>
      </c>
      <c r="H46" s="5" t="s">
        <v>30</v>
      </c>
      <c r="I46" s="5" t="s">
        <v>27</v>
      </c>
      <c r="J46" s="5" t="s">
        <v>26</v>
      </c>
      <c r="K46" s="6">
        <v>0</v>
      </c>
      <c r="L46" s="7">
        <v>0</v>
      </c>
      <c r="M46" s="8">
        <v>2666.6666666666665</v>
      </c>
      <c r="N46" s="8">
        <v>2666.6666666666665</v>
      </c>
      <c r="O46" s="8">
        <v>4077.1365454320044</v>
      </c>
      <c r="P46" s="8">
        <v>0</v>
      </c>
      <c r="Q46" s="8">
        <v>0</v>
      </c>
      <c r="R46" s="8">
        <v>0</v>
      </c>
      <c r="S46" s="8">
        <v>0</v>
      </c>
      <c r="T46" s="5">
        <v>0</v>
      </c>
      <c r="U46" s="5">
        <v>0</v>
      </c>
      <c r="V46" s="5">
        <f>VLOOKUP(A46,Planilha1!B:E,4,0)</f>
        <v>0.15618217875936719</v>
      </c>
    </row>
    <row r="47" spans="1:22" x14ac:dyDescent="0.3">
      <c r="A47" t="str">
        <f t="shared" si="0"/>
        <v>LPD 25KGITAMBÉ</v>
      </c>
      <c r="B47" t="str">
        <f t="shared" si="1"/>
        <v>5260909LPD 25KGITAMBÉ</v>
      </c>
      <c r="C47" s="5" t="s">
        <v>16</v>
      </c>
      <c r="D47" s="5" t="s">
        <v>17</v>
      </c>
      <c r="E47" s="5" t="s">
        <v>44</v>
      </c>
      <c r="F47" s="5">
        <v>5260909</v>
      </c>
      <c r="G47" s="5" t="s">
        <v>77</v>
      </c>
      <c r="H47" s="5" t="s">
        <v>25</v>
      </c>
      <c r="I47" s="5" t="s">
        <v>27</v>
      </c>
      <c r="J47" s="5" t="s">
        <v>43</v>
      </c>
      <c r="K47" s="6">
        <v>0</v>
      </c>
      <c r="L47" s="7">
        <v>0</v>
      </c>
      <c r="M47" s="8">
        <v>16.666666666666668</v>
      </c>
      <c r="N47" s="8">
        <v>0</v>
      </c>
      <c r="O47" s="8">
        <v>62.16041440276269</v>
      </c>
      <c r="P47" s="8">
        <v>0</v>
      </c>
      <c r="Q47" s="8">
        <v>0</v>
      </c>
      <c r="R47" s="8">
        <v>0</v>
      </c>
      <c r="S47" s="8">
        <v>0</v>
      </c>
      <c r="T47" s="5">
        <v>0</v>
      </c>
      <c r="U47" s="5">
        <v>0</v>
      </c>
      <c r="V47" s="5">
        <f>VLOOKUP(A47,Planilha1!B:E,4,0)</f>
        <v>3.3372177319587628</v>
      </c>
    </row>
    <row r="48" spans="1:22" x14ac:dyDescent="0.3">
      <c r="A48" t="str">
        <f t="shared" si="0"/>
        <v>LEITE CONDENSADOITAMBÉ</v>
      </c>
      <c r="B48" t="str">
        <f t="shared" si="1"/>
        <v>5335146LEITE CONDENSADOITAMBÉ</v>
      </c>
      <c r="C48" s="5" t="s">
        <v>16</v>
      </c>
      <c r="D48" s="5" t="s">
        <v>17</v>
      </c>
      <c r="E48" s="5" t="s">
        <v>44</v>
      </c>
      <c r="F48" s="5">
        <v>5335146</v>
      </c>
      <c r="G48" s="5" t="s">
        <v>78</v>
      </c>
      <c r="H48" s="5" t="s">
        <v>25</v>
      </c>
      <c r="I48" s="5" t="s">
        <v>27</v>
      </c>
      <c r="J48" s="5" t="s">
        <v>33</v>
      </c>
      <c r="K48" s="6">
        <v>0</v>
      </c>
      <c r="L48" s="7">
        <v>0</v>
      </c>
      <c r="M48" s="8">
        <v>150.83333333333334</v>
      </c>
      <c r="N48" s="8">
        <v>66.666666666666671</v>
      </c>
      <c r="O48" s="8">
        <v>111.99798403628735</v>
      </c>
      <c r="P48" s="8">
        <v>0</v>
      </c>
      <c r="Q48" s="8">
        <v>120</v>
      </c>
      <c r="R48" s="8">
        <v>0</v>
      </c>
      <c r="S48" s="8">
        <v>0</v>
      </c>
      <c r="T48" s="5">
        <v>0</v>
      </c>
      <c r="U48" s="5">
        <v>0</v>
      </c>
      <c r="V48" s="5">
        <f>VLOOKUP(A48,Planilha1!B:E,4,0)</f>
        <v>1.4766792698630664</v>
      </c>
    </row>
    <row r="49" spans="1:22" x14ac:dyDescent="0.3">
      <c r="A49" t="str">
        <f t="shared" si="0"/>
        <v>DOCE DE LEITEITAMBÉ</v>
      </c>
      <c r="B49" t="str">
        <f t="shared" si="1"/>
        <v>5335146DOCE DE LEITEITAMBÉ</v>
      </c>
      <c r="C49" s="5" t="s">
        <v>16</v>
      </c>
      <c r="D49" s="5" t="s">
        <v>17</v>
      </c>
      <c r="E49" s="5" t="s">
        <v>44</v>
      </c>
      <c r="F49" s="5">
        <v>5335146</v>
      </c>
      <c r="G49" s="5" t="s">
        <v>78</v>
      </c>
      <c r="H49" s="5" t="s">
        <v>25</v>
      </c>
      <c r="I49" s="5" t="s">
        <v>27</v>
      </c>
      <c r="J49" s="5" t="s">
        <v>46</v>
      </c>
      <c r="K49" s="6">
        <v>0</v>
      </c>
      <c r="L49" s="7">
        <v>200</v>
      </c>
      <c r="M49" s="8">
        <v>441.25000000000006</v>
      </c>
      <c r="N49" s="8">
        <v>430</v>
      </c>
      <c r="O49" s="8">
        <v>352.02011543516778</v>
      </c>
      <c r="P49" s="8">
        <v>0</v>
      </c>
      <c r="Q49" s="8">
        <v>0</v>
      </c>
      <c r="R49" s="8">
        <v>0</v>
      </c>
      <c r="S49" s="8">
        <v>0</v>
      </c>
      <c r="T49" s="5">
        <v>0</v>
      </c>
      <c r="U49" s="5">
        <v>0</v>
      </c>
      <c r="V49" s="5">
        <f>VLOOKUP(A49,Planilha1!B:E,4,0)</f>
        <v>5.8210743907543439</v>
      </c>
    </row>
    <row r="50" spans="1:22" x14ac:dyDescent="0.3">
      <c r="A50" t="str">
        <f t="shared" si="0"/>
        <v>DOCE DE LEITEITAMBÉ</v>
      </c>
      <c r="B50" t="str">
        <f t="shared" si="1"/>
        <v>5335459DOCE DE LEITEITAMBÉ</v>
      </c>
      <c r="C50" s="5" t="s">
        <v>16</v>
      </c>
      <c r="D50" s="5" t="s">
        <v>17</v>
      </c>
      <c r="E50" s="5" t="s">
        <v>44</v>
      </c>
      <c r="F50" s="5">
        <v>5335459</v>
      </c>
      <c r="G50" s="5" t="s">
        <v>79</v>
      </c>
      <c r="H50" s="5" t="s">
        <v>25</v>
      </c>
      <c r="I50" s="5" t="s">
        <v>27</v>
      </c>
      <c r="J50" s="5" t="s">
        <v>46</v>
      </c>
      <c r="K50" s="6">
        <v>0</v>
      </c>
      <c r="L50" s="7">
        <v>0</v>
      </c>
      <c r="M50" s="8">
        <v>6.666666666666667</v>
      </c>
      <c r="N50" s="8">
        <v>6.666666666666667</v>
      </c>
      <c r="O50" s="8">
        <v>5.0002857306131787</v>
      </c>
      <c r="P50" s="8">
        <v>0</v>
      </c>
      <c r="Q50" s="8">
        <v>0</v>
      </c>
      <c r="R50" s="8">
        <v>0</v>
      </c>
      <c r="S50" s="8">
        <v>0</v>
      </c>
      <c r="T50" s="5">
        <v>0</v>
      </c>
      <c r="U50" s="5">
        <v>0</v>
      </c>
      <c r="V50" s="5">
        <f>VLOOKUP(A50,Planilha1!B:E,4,0)</f>
        <v>5.8210743907543439</v>
      </c>
    </row>
    <row r="51" spans="1:22" x14ac:dyDescent="0.3">
      <c r="A51" t="str">
        <f t="shared" si="0"/>
        <v>LPD 25KGITAMBÉ</v>
      </c>
      <c r="B51" t="str">
        <f t="shared" si="1"/>
        <v>5338420LPD 25KGITAMBÉ</v>
      </c>
      <c r="C51" s="5" t="s">
        <v>16</v>
      </c>
      <c r="D51" s="5" t="s">
        <v>17</v>
      </c>
      <c r="E51" s="5" t="s">
        <v>44</v>
      </c>
      <c r="F51" s="5">
        <v>5338420</v>
      </c>
      <c r="G51" s="5" t="s">
        <v>80</v>
      </c>
      <c r="H51" s="5" t="s">
        <v>25</v>
      </c>
      <c r="I51" s="5" t="s">
        <v>27</v>
      </c>
      <c r="J51" s="5" t="s">
        <v>43</v>
      </c>
      <c r="K51" s="6">
        <v>0</v>
      </c>
      <c r="L51" s="7">
        <v>0</v>
      </c>
      <c r="M51" s="8">
        <v>0</v>
      </c>
      <c r="N51" s="8">
        <v>0</v>
      </c>
      <c r="O51" s="8">
        <v>494.32329548863657</v>
      </c>
      <c r="P51" s="8">
        <v>0</v>
      </c>
      <c r="Q51" s="8">
        <v>0</v>
      </c>
      <c r="R51" s="8">
        <v>0</v>
      </c>
      <c r="S51" s="8">
        <v>0</v>
      </c>
      <c r="T51" s="5">
        <v>0</v>
      </c>
      <c r="U51" s="5">
        <v>0</v>
      </c>
      <c r="V51" s="5">
        <f>VLOOKUP(A51,Planilha1!B:E,4,0)</f>
        <v>3.3372177319587628</v>
      </c>
    </row>
    <row r="52" spans="1:22" x14ac:dyDescent="0.3">
      <c r="A52" t="str">
        <f t="shared" si="0"/>
        <v>LPI 25KGITAMBÉ</v>
      </c>
      <c r="B52" t="str">
        <f t="shared" si="1"/>
        <v>5338420LPI 25KGITAMBÉ</v>
      </c>
      <c r="C52" s="5" t="s">
        <v>16</v>
      </c>
      <c r="D52" s="5" t="s">
        <v>17</v>
      </c>
      <c r="E52" s="5" t="s">
        <v>44</v>
      </c>
      <c r="F52" s="5">
        <v>5338420</v>
      </c>
      <c r="G52" s="5" t="s">
        <v>80</v>
      </c>
      <c r="H52" s="5" t="s">
        <v>25</v>
      </c>
      <c r="I52" s="5" t="s">
        <v>27</v>
      </c>
      <c r="J52" s="5" t="s">
        <v>21</v>
      </c>
      <c r="K52" s="6">
        <v>0</v>
      </c>
      <c r="L52" s="7">
        <v>0</v>
      </c>
      <c r="M52" s="8">
        <v>0</v>
      </c>
      <c r="N52" s="8">
        <v>0</v>
      </c>
      <c r="O52" s="8">
        <v>153.74915980855317</v>
      </c>
      <c r="P52" s="8">
        <v>0</v>
      </c>
      <c r="Q52" s="8">
        <v>0</v>
      </c>
      <c r="R52" s="8">
        <v>0</v>
      </c>
      <c r="S52" s="8">
        <v>0</v>
      </c>
      <c r="T52" s="5">
        <v>0</v>
      </c>
      <c r="U52" s="5">
        <v>0</v>
      </c>
      <c r="V52" s="5">
        <f>VLOOKUP(A52,Planilha1!B:E,4,0)</f>
        <v>-1.218192805504376</v>
      </c>
    </row>
    <row r="53" spans="1:22" x14ac:dyDescent="0.3">
      <c r="A53" t="str">
        <f t="shared" si="0"/>
        <v>LEITE CONDENSADOITAMBÉ</v>
      </c>
      <c r="B53" t="str">
        <f t="shared" si="1"/>
        <v>5353215LEITE CONDENSADOITAMBÉ</v>
      </c>
      <c r="C53" s="5" t="s">
        <v>16</v>
      </c>
      <c r="D53" s="5" t="s">
        <v>17</v>
      </c>
      <c r="E53" s="5" t="s">
        <v>44</v>
      </c>
      <c r="F53" s="5">
        <v>5353215</v>
      </c>
      <c r="G53" s="5" t="s">
        <v>81</v>
      </c>
      <c r="H53" s="5" t="s">
        <v>25</v>
      </c>
      <c r="I53" s="5" t="s">
        <v>27</v>
      </c>
      <c r="J53" s="5" t="s">
        <v>33</v>
      </c>
      <c r="K53" s="6">
        <v>0</v>
      </c>
      <c r="L53" s="7">
        <v>0</v>
      </c>
      <c r="M53" s="8">
        <v>31.534166666666671</v>
      </c>
      <c r="N53" s="8">
        <v>31.666666666666668</v>
      </c>
      <c r="O53" s="8">
        <v>55.998992018143674</v>
      </c>
      <c r="P53" s="8">
        <v>0</v>
      </c>
      <c r="Q53" s="8">
        <v>0</v>
      </c>
      <c r="R53" s="8">
        <v>0</v>
      </c>
      <c r="S53" s="8">
        <v>0</v>
      </c>
      <c r="T53" s="5">
        <v>0</v>
      </c>
      <c r="U53" s="5">
        <v>0</v>
      </c>
      <c r="V53" s="5">
        <f>VLOOKUP(A53,Planilha1!B:E,4,0)</f>
        <v>1.4766792698630664</v>
      </c>
    </row>
    <row r="54" spans="1:22" x14ac:dyDescent="0.3">
      <c r="A54" t="str">
        <f t="shared" si="0"/>
        <v>CREME UHTITAMBÉ</v>
      </c>
      <c r="B54" t="str">
        <f t="shared" si="1"/>
        <v>5353685CREME UHTITAMBÉ</v>
      </c>
      <c r="C54" s="5" t="s">
        <v>16</v>
      </c>
      <c r="D54" s="5" t="s">
        <v>17</v>
      </c>
      <c r="E54" s="5" t="s">
        <v>44</v>
      </c>
      <c r="F54" s="5">
        <v>5353685</v>
      </c>
      <c r="G54" s="5" t="s">
        <v>82</v>
      </c>
      <c r="H54" s="5" t="s">
        <v>30</v>
      </c>
      <c r="I54" s="5" t="s">
        <v>27</v>
      </c>
      <c r="J54" s="5" t="s">
        <v>34</v>
      </c>
      <c r="K54" s="6">
        <v>0</v>
      </c>
      <c r="L54" s="7">
        <v>0</v>
      </c>
      <c r="M54" s="8">
        <v>1953.6</v>
      </c>
      <c r="N54" s="8">
        <v>1915.3333333333333</v>
      </c>
      <c r="O54" s="8">
        <v>2107.9180254101234</v>
      </c>
      <c r="P54" s="8">
        <v>0</v>
      </c>
      <c r="Q54" s="8">
        <v>2880</v>
      </c>
      <c r="R54" s="8">
        <v>0</v>
      </c>
      <c r="S54" s="8">
        <v>0</v>
      </c>
      <c r="T54" s="5">
        <v>2880</v>
      </c>
      <c r="U54" s="5">
        <v>0</v>
      </c>
      <c r="V54" s="5">
        <f>VLOOKUP(A54,Planilha1!B:E,4,0)</f>
        <v>1.2362540170747773</v>
      </c>
    </row>
    <row r="55" spans="1:22" x14ac:dyDescent="0.3">
      <c r="A55" t="str">
        <f t="shared" si="0"/>
        <v>MANTEIGA 5KGITAMBÉ</v>
      </c>
      <c r="B55" t="str">
        <f t="shared" si="1"/>
        <v>5353685MANTEIGA 5KGITAMBÉ</v>
      </c>
      <c r="C55" s="5" t="s">
        <v>16</v>
      </c>
      <c r="D55" s="5" t="s">
        <v>17</v>
      </c>
      <c r="E55" s="5" t="s">
        <v>44</v>
      </c>
      <c r="F55" s="5">
        <v>5353685</v>
      </c>
      <c r="G55" s="5" t="s">
        <v>82</v>
      </c>
      <c r="H55" s="5" t="s">
        <v>30</v>
      </c>
      <c r="I55" s="5" t="s">
        <v>27</v>
      </c>
      <c r="J55" s="5" t="s">
        <v>60</v>
      </c>
      <c r="K55" s="6">
        <v>0</v>
      </c>
      <c r="L55" s="7">
        <v>0</v>
      </c>
      <c r="M55" s="8">
        <v>18.333333333333332</v>
      </c>
      <c r="N55" s="8">
        <v>13.333333333333334</v>
      </c>
      <c r="O55" s="8">
        <v>10.999633345555148</v>
      </c>
      <c r="P55" s="8">
        <v>0</v>
      </c>
      <c r="Q55" s="8">
        <v>0</v>
      </c>
      <c r="R55" s="8">
        <v>0</v>
      </c>
      <c r="S55" s="8">
        <v>0</v>
      </c>
      <c r="T55" s="5">
        <v>0</v>
      </c>
      <c r="U55" s="5">
        <v>0</v>
      </c>
      <c r="V55" s="5">
        <f>VLOOKUP(A55,Planilha1!B:E,4,0)</f>
        <v>5.819800475298738</v>
      </c>
    </row>
    <row r="56" spans="1:22" x14ac:dyDescent="0.3">
      <c r="A56" t="str">
        <f t="shared" si="0"/>
        <v>DOCE DE LEITEITAMBÉ</v>
      </c>
      <c r="B56" t="str">
        <f t="shared" si="1"/>
        <v>5354761DOCE DE LEITEITAMBÉ</v>
      </c>
      <c r="C56" s="5" t="s">
        <v>16</v>
      </c>
      <c r="D56" s="5" t="s">
        <v>17</v>
      </c>
      <c r="E56" s="5" t="s">
        <v>44</v>
      </c>
      <c r="F56" s="5">
        <v>5354761</v>
      </c>
      <c r="G56" s="5" t="s">
        <v>83</v>
      </c>
      <c r="H56" s="5" t="s">
        <v>25</v>
      </c>
      <c r="I56" s="5" t="s">
        <v>27</v>
      </c>
      <c r="J56" s="5" t="s">
        <v>46</v>
      </c>
      <c r="K56" s="6">
        <v>0</v>
      </c>
      <c r="L56" s="7">
        <v>0</v>
      </c>
      <c r="M56" s="8">
        <v>104.58333333333333</v>
      </c>
      <c r="N56" s="8">
        <v>18</v>
      </c>
      <c r="O56" s="8">
        <v>149.00851477227272</v>
      </c>
      <c r="P56" s="8">
        <v>0</v>
      </c>
      <c r="Q56" s="8">
        <v>0</v>
      </c>
      <c r="R56" s="8">
        <v>0</v>
      </c>
      <c r="S56" s="8">
        <v>0</v>
      </c>
      <c r="T56" s="5">
        <v>0</v>
      </c>
      <c r="U56" s="5">
        <v>0</v>
      </c>
      <c r="V56" s="5">
        <f>VLOOKUP(A56,Planilha1!B:E,4,0)</f>
        <v>5.8210743907543439</v>
      </c>
    </row>
    <row r="57" spans="1:22" x14ac:dyDescent="0.3">
      <c r="A57" t="str">
        <f t="shared" si="0"/>
        <v>LEITE EM PÓITAMBÉ</v>
      </c>
      <c r="B57" t="str">
        <f t="shared" si="1"/>
        <v>5044511LEITE EM PÓITAMBÉ</v>
      </c>
      <c r="C57" s="5" t="s">
        <v>16</v>
      </c>
      <c r="D57" s="5" t="s">
        <v>17</v>
      </c>
      <c r="E57" s="5" t="s">
        <v>44</v>
      </c>
      <c r="F57" s="5">
        <v>5044511</v>
      </c>
      <c r="G57" s="5" t="s">
        <v>49</v>
      </c>
      <c r="H57" s="5" t="s">
        <v>25</v>
      </c>
      <c r="I57" s="5" t="s">
        <v>27</v>
      </c>
      <c r="J57" s="5" t="s">
        <v>84</v>
      </c>
      <c r="K57" s="6">
        <v>0</v>
      </c>
      <c r="L57" s="7">
        <v>-400</v>
      </c>
      <c r="M57" s="7">
        <v>0</v>
      </c>
      <c r="N57" s="8">
        <v>1166.6666666666667</v>
      </c>
      <c r="O57" s="8">
        <v>5304.9326663895217</v>
      </c>
      <c r="P57" s="8">
        <v>0</v>
      </c>
      <c r="Q57" s="8">
        <v>0</v>
      </c>
      <c r="R57" s="8">
        <v>0</v>
      </c>
      <c r="S57" s="8">
        <v>0</v>
      </c>
      <c r="T57" s="5">
        <v>0</v>
      </c>
      <c r="U57" s="5">
        <v>0</v>
      </c>
      <c r="V57" s="5">
        <f>VLOOKUP(A57,Planilha1!B:E,4,0)</f>
        <v>4.5971522734997743</v>
      </c>
    </row>
    <row r="58" spans="1:22" x14ac:dyDescent="0.3">
      <c r="A58" t="str">
        <f t="shared" si="0"/>
        <v>LPI 25KGITAMBÉ</v>
      </c>
      <c r="B58" t="str">
        <f t="shared" si="1"/>
        <v>5043271LPI 25KGITAMBÉ</v>
      </c>
      <c r="C58" s="5" t="s">
        <v>16</v>
      </c>
      <c r="D58" s="5" t="s">
        <v>17</v>
      </c>
      <c r="E58" s="5" t="s">
        <v>66</v>
      </c>
      <c r="F58" s="5">
        <v>5043271</v>
      </c>
      <c r="G58" s="5" t="s">
        <v>85</v>
      </c>
      <c r="H58" s="5" t="s">
        <v>25</v>
      </c>
      <c r="I58" s="5" t="s">
        <v>27</v>
      </c>
      <c r="J58" s="5" t="s">
        <v>21</v>
      </c>
      <c r="K58" s="6">
        <v>0</v>
      </c>
      <c r="L58" s="7">
        <v>1250</v>
      </c>
      <c r="M58" s="8">
        <v>0</v>
      </c>
      <c r="N58" s="8">
        <v>0</v>
      </c>
      <c r="O58" s="8">
        <v>357003.2430480296</v>
      </c>
      <c r="P58" s="8">
        <v>0</v>
      </c>
      <c r="Q58" s="8">
        <v>0</v>
      </c>
      <c r="R58" s="8">
        <v>0</v>
      </c>
      <c r="S58" s="8">
        <v>0</v>
      </c>
      <c r="T58" s="5">
        <v>0</v>
      </c>
      <c r="U58" s="5">
        <v>0</v>
      </c>
      <c r="V58" s="5">
        <f>VLOOKUP(A58,Planilha1!B:E,4,0)</f>
        <v>-1.218192805504376</v>
      </c>
    </row>
    <row r="59" spans="1:22" x14ac:dyDescent="0.3">
      <c r="A59" t="str">
        <f t="shared" si="0"/>
        <v>LPD 25KGLACTALIS</v>
      </c>
      <c r="B59" t="str">
        <f t="shared" si="1"/>
        <v>5090159LPD 25KGLACTALIS</v>
      </c>
      <c r="C59" s="5" t="s">
        <v>16</v>
      </c>
      <c r="D59" s="5" t="s">
        <v>17</v>
      </c>
      <c r="E59" s="5" t="s">
        <v>66</v>
      </c>
      <c r="F59" s="5">
        <v>5090159</v>
      </c>
      <c r="G59" s="5" t="s">
        <v>86</v>
      </c>
      <c r="H59" s="5" t="s">
        <v>25</v>
      </c>
      <c r="I59" s="5" t="s">
        <v>22</v>
      </c>
      <c r="J59" s="5" t="s">
        <v>43</v>
      </c>
      <c r="K59" s="6">
        <v>0</v>
      </c>
      <c r="L59" s="7">
        <v>12000</v>
      </c>
      <c r="M59" s="8">
        <v>8000</v>
      </c>
      <c r="N59" s="8">
        <v>8000</v>
      </c>
      <c r="O59" s="8">
        <v>1388.056034618171</v>
      </c>
      <c r="P59" s="8">
        <v>0</v>
      </c>
      <c r="Q59" s="8">
        <v>0</v>
      </c>
      <c r="R59" s="8">
        <v>0</v>
      </c>
      <c r="S59" s="8">
        <v>0</v>
      </c>
      <c r="T59" s="5">
        <v>0</v>
      </c>
      <c r="U59" s="5">
        <v>0</v>
      </c>
      <c r="V59" s="5">
        <f>VLOOKUP(A59,Planilha1!B:E,4,0)</f>
        <v>5.893629113453061</v>
      </c>
    </row>
    <row r="60" spans="1:22" x14ac:dyDescent="0.3">
      <c r="A60" t="str">
        <f t="shared" si="0"/>
        <v>CREME 35%LACTALIS</v>
      </c>
      <c r="B60" t="str">
        <f t="shared" si="1"/>
        <v>5130053CREME 35%LACTALIS</v>
      </c>
      <c r="C60" s="5" t="s">
        <v>16</v>
      </c>
      <c r="D60" s="5" t="s">
        <v>17</v>
      </c>
      <c r="E60" s="5" t="s">
        <v>66</v>
      </c>
      <c r="F60" s="5">
        <v>5130053</v>
      </c>
      <c r="G60" s="5" t="s">
        <v>87</v>
      </c>
      <c r="H60" s="5" t="s">
        <v>88</v>
      </c>
      <c r="I60" s="5" t="s">
        <v>22</v>
      </c>
      <c r="J60" s="5" t="s">
        <v>89</v>
      </c>
      <c r="K60" s="6">
        <v>0</v>
      </c>
      <c r="L60" s="7">
        <v>100800</v>
      </c>
      <c r="M60" s="8">
        <v>84656.666666666672</v>
      </c>
      <c r="N60" s="8">
        <v>87180</v>
      </c>
      <c r="O60" s="8">
        <v>109494.70515445547</v>
      </c>
      <c r="P60" s="8">
        <v>0</v>
      </c>
      <c r="Q60" s="8">
        <v>89600</v>
      </c>
      <c r="R60" s="8">
        <v>0</v>
      </c>
      <c r="S60" s="8">
        <v>0</v>
      </c>
      <c r="T60" s="5">
        <v>89600</v>
      </c>
      <c r="U60" s="5">
        <v>0</v>
      </c>
      <c r="V60" s="5">
        <f>VLOOKUP(A60,Planilha1!B:E,4,0)</f>
        <v>6.4420264254159507</v>
      </c>
    </row>
    <row r="61" spans="1:22" x14ac:dyDescent="0.3">
      <c r="A61" t="str">
        <f t="shared" si="0"/>
        <v>MANTEIGA 25KGLACTALIS</v>
      </c>
      <c r="B61" t="str">
        <f t="shared" si="1"/>
        <v>5140560MANTEIGA 25KGLACTALIS</v>
      </c>
      <c r="C61" s="5" t="s">
        <v>16</v>
      </c>
      <c r="D61" s="5" t="s">
        <v>17</v>
      </c>
      <c r="E61" s="5" t="s">
        <v>66</v>
      </c>
      <c r="F61" s="5">
        <v>5140560</v>
      </c>
      <c r="G61" s="5" t="s">
        <v>90</v>
      </c>
      <c r="H61" s="5" t="s">
        <v>91</v>
      </c>
      <c r="I61" s="5" t="s">
        <v>22</v>
      </c>
      <c r="J61" s="5" t="s">
        <v>92</v>
      </c>
      <c r="K61" s="6">
        <v>0</v>
      </c>
      <c r="L61" s="7">
        <v>0</v>
      </c>
      <c r="M61" s="8">
        <v>0</v>
      </c>
      <c r="N61" s="8">
        <v>0</v>
      </c>
      <c r="O61" s="8">
        <v>15000</v>
      </c>
      <c r="P61" s="8">
        <v>0</v>
      </c>
      <c r="Q61" s="8">
        <v>0</v>
      </c>
      <c r="R61" s="8">
        <v>0</v>
      </c>
      <c r="S61" s="8">
        <v>0</v>
      </c>
      <c r="T61" s="5">
        <v>0</v>
      </c>
      <c r="U61" s="5">
        <v>0</v>
      </c>
      <c r="V61" s="5">
        <f>VLOOKUP(A61,Planilha1!B:E,4,0)</f>
        <v>-1.2278576950723545</v>
      </c>
    </row>
    <row r="62" spans="1:22" x14ac:dyDescent="0.3">
      <c r="A62" t="str">
        <f t="shared" si="0"/>
        <v>LPD 25KGITAMBÉ</v>
      </c>
      <c r="B62" t="str">
        <f t="shared" si="1"/>
        <v>5143288LPD 25KGITAMBÉ</v>
      </c>
      <c r="C62" s="5" t="s">
        <v>16</v>
      </c>
      <c r="D62" s="5" t="s">
        <v>17</v>
      </c>
      <c r="E62" s="5" t="s">
        <v>66</v>
      </c>
      <c r="F62" s="5">
        <v>5143288</v>
      </c>
      <c r="G62" s="5" t="s">
        <v>93</v>
      </c>
      <c r="H62" s="5" t="s">
        <v>25</v>
      </c>
      <c r="I62" s="5" t="s">
        <v>27</v>
      </c>
      <c r="J62" s="5" t="s">
        <v>43</v>
      </c>
      <c r="K62" s="6">
        <v>0</v>
      </c>
      <c r="L62" s="7">
        <v>0</v>
      </c>
      <c r="M62" s="8">
        <v>0</v>
      </c>
      <c r="N62" s="8">
        <v>0</v>
      </c>
      <c r="O62" s="8">
        <v>20609.137394249294</v>
      </c>
      <c r="P62" s="8">
        <v>0</v>
      </c>
      <c r="Q62" s="8">
        <v>0</v>
      </c>
      <c r="R62" s="8">
        <v>0</v>
      </c>
      <c r="S62" s="8">
        <v>0</v>
      </c>
      <c r="T62" s="5">
        <v>0</v>
      </c>
      <c r="U62" s="5">
        <v>0</v>
      </c>
      <c r="V62" s="5">
        <f>VLOOKUP(A62,Planilha1!B:E,4,0)</f>
        <v>3.3372177319587628</v>
      </c>
    </row>
    <row r="63" spans="1:22" x14ac:dyDescent="0.3">
      <c r="A63" t="str">
        <f t="shared" si="0"/>
        <v>LPD 25KGLACTALIS</v>
      </c>
      <c r="B63" t="str">
        <f t="shared" si="1"/>
        <v>5145924LPD 25KGLACTALIS</v>
      </c>
      <c r="C63" s="5" t="s">
        <v>16</v>
      </c>
      <c r="D63" s="5" t="s">
        <v>17</v>
      </c>
      <c r="E63" s="5" t="s">
        <v>66</v>
      </c>
      <c r="F63" s="5">
        <v>5145924</v>
      </c>
      <c r="G63" s="5" t="s">
        <v>94</v>
      </c>
      <c r="H63" s="5" t="s">
        <v>25</v>
      </c>
      <c r="I63" s="5" t="s">
        <v>22</v>
      </c>
      <c r="J63" s="5" t="s">
        <v>43</v>
      </c>
      <c r="K63" s="6">
        <v>0</v>
      </c>
      <c r="L63" s="7">
        <v>0</v>
      </c>
      <c r="M63" s="8">
        <v>8000</v>
      </c>
      <c r="N63" s="8">
        <v>0</v>
      </c>
      <c r="O63" s="8">
        <v>3740.0389265266422</v>
      </c>
      <c r="P63" s="8">
        <v>0</v>
      </c>
      <c r="Q63" s="8">
        <v>0</v>
      </c>
      <c r="R63" s="8">
        <v>0</v>
      </c>
      <c r="S63" s="8">
        <v>0</v>
      </c>
      <c r="T63" s="5">
        <v>0</v>
      </c>
      <c r="U63" s="5">
        <v>0</v>
      </c>
      <c r="V63" s="5">
        <f>VLOOKUP(A63,Planilha1!B:E,4,0)</f>
        <v>5.893629113453061</v>
      </c>
    </row>
    <row r="64" spans="1:22" x14ac:dyDescent="0.3">
      <c r="A64" t="str">
        <f t="shared" si="0"/>
        <v>LPD 25KGLACTALIS</v>
      </c>
      <c r="B64" t="str">
        <f t="shared" si="1"/>
        <v>5160241LPD 25KGLACTALIS</v>
      </c>
      <c r="C64" s="5" t="s">
        <v>16</v>
      </c>
      <c r="D64" s="5" t="s">
        <v>17</v>
      </c>
      <c r="E64" s="5" t="s">
        <v>66</v>
      </c>
      <c r="F64" s="5">
        <v>5160241</v>
      </c>
      <c r="G64" s="5" t="s">
        <v>95</v>
      </c>
      <c r="H64" s="5" t="s">
        <v>96</v>
      </c>
      <c r="I64" s="5" t="s">
        <v>22</v>
      </c>
      <c r="J64" s="5" t="s">
        <v>43</v>
      </c>
      <c r="K64" s="6">
        <v>0</v>
      </c>
      <c r="L64" s="7">
        <v>0</v>
      </c>
      <c r="M64" s="8">
        <v>4000</v>
      </c>
      <c r="N64" s="8">
        <v>0</v>
      </c>
      <c r="O64" s="8">
        <v>3740.0389265266422</v>
      </c>
      <c r="P64" s="8">
        <v>0</v>
      </c>
      <c r="Q64" s="8">
        <v>0</v>
      </c>
      <c r="R64" s="8">
        <v>0</v>
      </c>
      <c r="S64" s="8">
        <v>0</v>
      </c>
      <c r="T64" s="5">
        <v>0</v>
      </c>
      <c r="U64" s="5">
        <v>0</v>
      </c>
      <c r="V64" s="5">
        <f>VLOOKUP(A64,Planilha1!B:E,4,0)</f>
        <v>5.893629113453061</v>
      </c>
    </row>
    <row r="65" spans="1:22" x14ac:dyDescent="0.3">
      <c r="A65" t="str">
        <f t="shared" si="0"/>
        <v>LPD 25KGLACTALIS</v>
      </c>
      <c r="B65" t="str">
        <f t="shared" si="1"/>
        <v>5162170LPD 25KGLACTALIS</v>
      </c>
      <c r="C65" s="5" t="s">
        <v>16</v>
      </c>
      <c r="D65" s="5" t="s">
        <v>17</v>
      </c>
      <c r="E65" s="5" t="s">
        <v>66</v>
      </c>
      <c r="F65" s="5">
        <v>5162170</v>
      </c>
      <c r="G65" s="5" t="s">
        <v>97</v>
      </c>
      <c r="H65" s="5" t="s">
        <v>30</v>
      </c>
      <c r="I65" s="5" t="s">
        <v>22</v>
      </c>
      <c r="J65" s="5" t="s">
        <v>43</v>
      </c>
      <c r="K65" s="6">
        <v>0</v>
      </c>
      <c r="L65" s="7">
        <v>125000</v>
      </c>
      <c r="M65" s="8">
        <v>33000</v>
      </c>
      <c r="N65" s="8">
        <v>0</v>
      </c>
      <c r="O65" s="8">
        <v>12950.787077083227</v>
      </c>
      <c r="P65" s="8">
        <v>0</v>
      </c>
      <c r="Q65" s="8">
        <v>0</v>
      </c>
      <c r="R65" s="8">
        <v>0</v>
      </c>
      <c r="S65" s="8">
        <v>0</v>
      </c>
      <c r="T65" s="5">
        <v>0</v>
      </c>
      <c r="U65" s="5">
        <v>0</v>
      </c>
      <c r="V65" s="5">
        <f>VLOOKUP(A65,Planilha1!B:E,4,0)</f>
        <v>5.893629113453061</v>
      </c>
    </row>
    <row r="66" spans="1:22" x14ac:dyDescent="0.3">
      <c r="A66" t="str">
        <f t="shared" ref="A66:A129" si="2">J66&amp;I66</f>
        <v>LPI 25KGLACTALIS</v>
      </c>
      <c r="B66" t="str">
        <f t="shared" si="1"/>
        <v>5188352LPI 25KGLACTALIS</v>
      </c>
      <c r="C66" s="5" t="s">
        <v>16</v>
      </c>
      <c r="D66" s="5" t="s">
        <v>17</v>
      </c>
      <c r="E66" s="5" t="s">
        <v>66</v>
      </c>
      <c r="F66" s="5">
        <v>5188352</v>
      </c>
      <c r="G66" s="5" t="s">
        <v>98</v>
      </c>
      <c r="H66" s="5" t="s">
        <v>91</v>
      </c>
      <c r="I66" s="5" t="s">
        <v>22</v>
      </c>
      <c r="J66" s="5" t="s">
        <v>21</v>
      </c>
      <c r="K66" s="6">
        <v>0</v>
      </c>
      <c r="L66" s="7">
        <v>0</v>
      </c>
      <c r="M66" s="8">
        <v>0</v>
      </c>
      <c r="N66" s="8">
        <v>0</v>
      </c>
      <c r="O66" s="8">
        <v>10327.384509630396</v>
      </c>
      <c r="P66" s="8">
        <v>0</v>
      </c>
      <c r="Q66" s="8">
        <v>0</v>
      </c>
      <c r="R66" s="8">
        <v>0</v>
      </c>
      <c r="S66" s="8">
        <v>0</v>
      </c>
      <c r="T66" s="5">
        <v>0</v>
      </c>
      <c r="U66" s="5">
        <v>0</v>
      </c>
      <c r="V66" s="5">
        <f>VLOOKUP(A66,Planilha1!B:E,4,0)</f>
        <v>-4.3046759024811481</v>
      </c>
    </row>
    <row r="67" spans="1:22" x14ac:dyDescent="0.3">
      <c r="A67" t="str">
        <f t="shared" si="2"/>
        <v>MANTEIGA 25KGLACTALIS</v>
      </c>
      <c r="B67" t="str">
        <f t="shared" ref="B67:B130" si="3">F67&amp;J67&amp;I67</f>
        <v>5198698MANTEIGA 25KGLACTALIS</v>
      </c>
      <c r="C67" s="5" t="s">
        <v>16</v>
      </c>
      <c r="D67" s="5" t="s">
        <v>17</v>
      </c>
      <c r="E67" s="5" t="s">
        <v>66</v>
      </c>
      <c r="F67" s="5">
        <v>5198698</v>
      </c>
      <c r="G67" s="5" t="s">
        <v>58</v>
      </c>
      <c r="H67" s="5" t="s">
        <v>30</v>
      </c>
      <c r="I67" s="5" t="s">
        <v>22</v>
      </c>
      <c r="J67" s="5" t="s">
        <v>92</v>
      </c>
      <c r="K67" s="6">
        <v>0</v>
      </c>
      <c r="L67" s="7">
        <v>0</v>
      </c>
      <c r="M67" s="8">
        <v>33333.333333333336</v>
      </c>
      <c r="N67" s="8">
        <v>16666.666666666668</v>
      </c>
      <c r="O67" s="8">
        <v>35134.931387674893</v>
      </c>
      <c r="P67" s="8">
        <v>0</v>
      </c>
      <c r="Q67" s="8">
        <v>0</v>
      </c>
      <c r="R67" s="8">
        <v>0</v>
      </c>
      <c r="S67" s="8">
        <v>0</v>
      </c>
      <c r="T67" s="5">
        <v>0</v>
      </c>
      <c r="U67" s="5">
        <v>0</v>
      </c>
      <c r="V67" s="5">
        <f>VLOOKUP(A67,Planilha1!B:E,4,0)</f>
        <v>-1.2278576950723545</v>
      </c>
    </row>
    <row r="68" spans="1:22" x14ac:dyDescent="0.3">
      <c r="A68" t="str">
        <f t="shared" si="2"/>
        <v>LPD 25KGLACTALIS</v>
      </c>
      <c r="B68" t="str">
        <f t="shared" si="3"/>
        <v>5217383LPD 25KGLACTALIS</v>
      </c>
      <c r="C68" s="5" t="s">
        <v>16</v>
      </c>
      <c r="D68" s="5" t="s">
        <v>17</v>
      </c>
      <c r="E68" s="5" t="s">
        <v>66</v>
      </c>
      <c r="F68" s="5">
        <v>5217383</v>
      </c>
      <c r="G68" s="5" t="s">
        <v>99</v>
      </c>
      <c r="H68" s="5" t="s">
        <v>36</v>
      </c>
      <c r="I68" s="5" t="s">
        <v>22</v>
      </c>
      <c r="J68" s="5" t="s">
        <v>43</v>
      </c>
      <c r="K68" s="6">
        <v>0</v>
      </c>
      <c r="L68" s="7">
        <v>0</v>
      </c>
      <c r="M68" s="8">
        <v>0</v>
      </c>
      <c r="N68" s="8">
        <v>0</v>
      </c>
      <c r="O68" s="8">
        <v>771.13954280347093</v>
      </c>
      <c r="P68" s="8">
        <v>0</v>
      </c>
      <c r="Q68" s="8">
        <v>0</v>
      </c>
      <c r="R68" s="8">
        <v>0</v>
      </c>
      <c r="S68" s="8">
        <v>0</v>
      </c>
      <c r="T68" s="5">
        <v>0</v>
      </c>
      <c r="U68" s="5">
        <v>0</v>
      </c>
      <c r="V68" s="5">
        <f>VLOOKUP(A68,Planilha1!B:E,4,0)</f>
        <v>5.893629113453061</v>
      </c>
    </row>
    <row r="69" spans="1:22" x14ac:dyDescent="0.3">
      <c r="A69" t="str">
        <f t="shared" si="2"/>
        <v>LPI 25KGLACTALIS</v>
      </c>
      <c r="B69" t="str">
        <f t="shared" si="3"/>
        <v>5217383LPI 25KGLACTALIS</v>
      </c>
      <c r="C69" s="5" t="s">
        <v>16</v>
      </c>
      <c r="D69" s="5" t="s">
        <v>17</v>
      </c>
      <c r="E69" s="5" t="s">
        <v>66</v>
      </c>
      <c r="F69" s="5">
        <v>5217383</v>
      </c>
      <c r="G69" s="5" t="s">
        <v>99</v>
      </c>
      <c r="H69" s="5" t="s">
        <v>36</v>
      </c>
      <c r="I69" s="5" t="s">
        <v>22</v>
      </c>
      <c r="J69" s="5" t="s">
        <v>21</v>
      </c>
      <c r="K69" s="6">
        <v>0</v>
      </c>
      <c r="L69" s="7">
        <v>0</v>
      </c>
      <c r="M69" s="8">
        <v>8216.6666666666679</v>
      </c>
      <c r="N69" s="8">
        <v>-233.33333333333334</v>
      </c>
      <c r="O69" s="8">
        <v>20654.790080726714</v>
      </c>
      <c r="P69" s="8">
        <v>0</v>
      </c>
      <c r="Q69" s="8">
        <v>0</v>
      </c>
      <c r="R69" s="8">
        <v>0</v>
      </c>
      <c r="S69" s="8">
        <v>0</v>
      </c>
      <c r="T69" s="5">
        <v>0</v>
      </c>
      <c r="U69" s="5">
        <v>0</v>
      </c>
      <c r="V69" s="5">
        <f>VLOOKUP(A69,Planilha1!B:E,4,0)</f>
        <v>-4.3046759024811481</v>
      </c>
    </row>
    <row r="70" spans="1:22" x14ac:dyDescent="0.3">
      <c r="A70" t="str">
        <f t="shared" si="2"/>
        <v>LPD 25KGLACTALIS</v>
      </c>
      <c r="B70" t="str">
        <f t="shared" si="3"/>
        <v>5256477LPD 25KGLACTALIS</v>
      </c>
      <c r="C70" s="5" t="s">
        <v>16</v>
      </c>
      <c r="D70" s="5" t="s">
        <v>17</v>
      </c>
      <c r="E70" s="5" t="s">
        <v>66</v>
      </c>
      <c r="F70" s="5">
        <v>5256477</v>
      </c>
      <c r="G70" s="5" t="s">
        <v>100</v>
      </c>
      <c r="H70" s="5" t="s">
        <v>101</v>
      </c>
      <c r="I70" s="5" t="s">
        <v>22</v>
      </c>
      <c r="J70" s="5" t="s">
        <v>43</v>
      </c>
      <c r="K70" s="6">
        <v>0</v>
      </c>
      <c r="L70" s="7">
        <v>0</v>
      </c>
      <c r="M70" s="8">
        <v>8166.666666666667</v>
      </c>
      <c r="N70" s="8">
        <v>16333.333333333334</v>
      </c>
      <c r="O70" s="8">
        <v>1850.7397603002535</v>
      </c>
      <c r="P70" s="8">
        <v>0</v>
      </c>
      <c r="Q70" s="8">
        <v>0</v>
      </c>
      <c r="R70" s="8">
        <v>0</v>
      </c>
      <c r="S70" s="8">
        <v>0</v>
      </c>
      <c r="T70" s="5">
        <v>0</v>
      </c>
      <c r="U70" s="5">
        <v>0</v>
      </c>
      <c r="V70" s="5">
        <f>VLOOKUP(A70,Planilha1!B:E,4,0)</f>
        <v>5.893629113453061</v>
      </c>
    </row>
    <row r="71" spans="1:22" x14ac:dyDescent="0.3">
      <c r="A71" t="str">
        <f t="shared" si="2"/>
        <v>LPD 25KGLACTALIS</v>
      </c>
      <c r="B71" t="str">
        <f t="shared" si="3"/>
        <v>5260663LPD 25KGLACTALIS</v>
      </c>
      <c r="C71" s="5" t="s">
        <v>16</v>
      </c>
      <c r="D71" s="5" t="s">
        <v>17</v>
      </c>
      <c r="E71" s="5" t="s">
        <v>66</v>
      </c>
      <c r="F71" s="5">
        <v>5260663</v>
      </c>
      <c r="G71" s="5" t="s">
        <v>102</v>
      </c>
      <c r="H71" s="5" t="s">
        <v>103</v>
      </c>
      <c r="I71" s="5" t="s">
        <v>22</v>
      </c>
      <c r="J71" s="5" t="s">
        <v>43</v>
      </c>
      <c r="K71" s="6">
        <v>0</v>
      </c>
      <c r="L71" s="7">
        <v>0</v>
      </c>
      <c r="M71" s="8">
        <v>0</v>
      </c>
      <c r="N71" s="8">
        <v>0</v>
      </c>
      <c r="O71" s="8">
        <v>462.68372568208264</v>
      </c>
      <c r="P71" s="8">
        <v>0</v>
      </c>
      <c r="Q71" s="8">
        <v>0</v>
      </c>
      <c r="R71" s="8">
        <v>0</v>
      </c>
      <c r="S71" s="8">
        <v>0</v>
      </c>
      <c r="T71" s="5">
        <v>0</v>
      </c>
      <c r="U71" s="5">
        <v>0</v>
      </c>
      <c r="V71" s="5">
        <f>VLOOKUP(A71,Planilha1!B:E,4,0)</f>
        <v>5.893629113453061</v>
      </c>
    </row>
    <row r="72" spans="1:22" x14ac:dyDescent="0.3">
      <c r="A72" t="str">
        <f t="shared" si="2"/>
        <v>LPI 25KGLACTALIS</v>
      </c>
      <c r="B72" t="str">
        <f t="shared" si="3"/>
        <v>5313531LPI 25KGLACTALIS</v>
      </c>
      <c r="C72" s="5" t="s">
        <v>16</v>
      </c>
      <c r="D72" s="5" t="s">
        <v>17</v>
      </c>
      <c r="E72" s="5" t="s">
        <v>66</v>
      </c>
      <c r="F72" s="5">
        <v>5313531</v>
      </c>
      <c r="G72" s="5" t="s">
        <v>104</v>
      </c>
      <c r="H72" s="5" t="s">
        <v>30</v>
      </c>
      <c r="I72" s="5" t="s">
        <v>22</v>
      </c>
      <c r="J72" s="5" t="s">
        <v>21</v>
      </c>
      <c r="K72" s="6">
        <v>0</v>
      </c>
      <c r="L72" s="7">
        <v>0</v>
      </c>
      <c r="M72" s="8">
        <v>39412.5</v>
      </c>
      <c r="N72" s="8">
        <v>-375</v>
      </c>
      <c r="O72" s="8">
        <v>61964.370242180143</v>
      </c>
      <c r="P72" s="8">
        <v>0</v>
      </c>
      <c r="Q72" s="8">
        <v>0</v>
      </c>
      <c r="R72" s="8">
        <v>0</v>
      </c>
      <c r="S72" s="8">
        <v>0</v>
      </c>
      <c r="T72" s="5">
        <v>0</v>
      </c>
      <c r="U72" s="5">
        <v>0</v>
      </c>
      <c r="V72" s="5">
        <f>VLOOKUP(A72,Planilha1!B:E,4,0)</f>
        <v>-4.3046759024811481</v>
      </c>
    </row>
    <row r="73" spans="1:22" x14ac:dyDescent="0.3">
      <c r="A73" t="str">
        <f t="shared" si="2"/>
        <v>LPI 25KGLACTALIS</v>
      </c>
      <c r="B73" t="str">
        <f t="shared" si="3"/>
        <v>5323712LPI 25KGLACTALIS</v>
      </c>
      <c r="C73" s="5" t="s">
        <v>16</v>
      </c>
      <c r="D73" s="5" t="s">
        <v>17</v>
      </c>
      <c r="E73" s="5" t="s">
        <v>66</v>
      </c>
      <c r="F73" s="5">
        <v>5323712</v>
      </c>
      <c r="G73" s="5" t="s">
        <v>105</v>
      </c>
      <c r="H73" s="5" t="s">
        <v>106</v>
      </c>
      <c r="I73" s="5" t="s">
        <v>22</v>
      </c>
      <c r="J73" s="5" t="s">
        <v>21</v>
      </c>
      <c r="K73" s="6">
        <v>0</v>
      </c>
      <c r="L73" s="7">
        <v>0</v>
      </c>
      <c r="M73" s="8">
        <v>20500.000000000004</v>
      </c>
      <c r="N73" s="8">
        <v>0</v>
      </c>
      <c r="O73" s="8">
        <v>30155.975405000307</v>
      </c>
      <c r="P73" s="8">
        <v>0</v>
      </c>
      <c r="Q73" s="8">
        <v>0</v>
      </c>
      <c r="R73" s="8">
        <v>0</v>
      </c>
      <c r="S73" s="8">
        <v>0</v>
      </c>
      <c r="T73" s="5">
        <v>0</v>
      </c>
      <c r="U73" s="5">
        <v>0</v>
      </c>
      <c r="V73" s="5">
        <f>VLOOKUP(A73,Planilha1!B:E,4,0)</f>
        <v>-4.3046759024811481</v>
      </c>
    </row>
    <row r="74" spans="1:22" x14ac:dyDescent="0.3">
      <c r="A74" t="str">
        <f t="shared" si="2"/>
        <v>LPI 25KGLACTALIS</v>
      </c>
      <c r="B74" t="str">
        <f t="shared" si="3"/>
        <v>5341743LPI 25KGLACTALIS</v>
      </c>
      <c r="C74" s="5" t="s">
        <v>16</v>
      </c>
      <c r="D74" s="5" t="s">
        <v>17</v>
      </c>
      <c r="E74" s="5" t="s">
        <v>66</v>
      </c>
      <c r="F74" s="5">
        <v>5341743</v>
      </c>
      <c r="G74" s="5" t="s">
        <v>107</v>
      </c>
      <c r="H74" s="5" t="s">
        <v>30</v>
      </c>
      <c r="I74" s="5" t="s">
        <v>22</v>
      </c>
      <c r="J74" s="5" t="s">
        <v>21</v>
      </c>
      <c r="K74" s="6">
        <v>0</v>
      </c>
      <c r="L74" s="7">
        <v>0</v>
      </c>
      <c r="M74" s="8">
        <v>32666.666666666672</v>
      </c>
      <c r="N74" s="8">
        <v>33000</v>
      </c>
      <c r="O74" s="8">
        <v>19828.590895369911</v>
      </c>
      <c r="P74" s="8">
        <v>0</v>
      </c>
      <c r="Q74" s="8">
        <v>0</v>
      </c>
      <c r="R74" s="8">
        <v>0</v>
      </c>
      <c r="S74" s="8">
        <v>0</v>
      </c>
      <c r="T74" s="5">
        <v>0</v>
      </c>
      <c r="U74" s="5">
        <v>0</v>
      </c>
      <c r="V74" s="5">
        <f>VLOOKUP(A74,Planilha1!B:E,4,0)</f>
        <v>-4.3046759024811481</v>
      </c>
    </row>
    <row r="75" spans="1:22" x14ac:dyDescent="0.3">
      <c r="A75" t="str">
        <f t="shared" si="2"/>
        <v>LPI 25KGLACTALIS</v>
      </c>
      <c r="B75" t="str">
        <f t="shared" si="3"/>
        <v>5343417LPI 25KGLACTALIS</v>
      </c>
      <c r="C75" s="5" t="s">
        <v>16</v>
      </c>
      <c r="D75" s="5" t="s">
        <v>17</v>
      </c>
      <c r="E75" s="5" t="s">
        <v>66</v>
      </c>
      <c r="F75" s="5">
        <v>5343417</v>
      </c>
      <c r="G75" s="5" t="s">
        <v>108</v>
      </c>
      <c r="H75" s="5" t="s">
        <v>101</v>
      </c>
      <c r="I75" s="5" t="s">
        <v>22</v>
      </c>
      <c r="J75" s="5" t="s">
        <v>21</v>
      </c>
      <c r="K75" s="6">
        <v>0</v>
      </c>
      <c r="L75" s="7">
        <v>0</v>
      </c>
      <c r="M75" s="8">
        <v>11391.666666666668</v>
      </c>
      <c r="N75" s="8">
        <v>-825</v>
      </c>
      <c r="O75" s="8">
        <v>9914.3059784179186</v>
      </c>
      <c r="P75" s="8">
        <v>0</v>
      </c>
      <c r="Q75" s="8">
        <v>0</v>
      </c>
      <c r="R75" s="8">
        <v>0</v>
      </c>
      <c r="S75" s="8">
        <v>0</v>
      </c>
      <c r="T75" s="5">
        <v>0</v>
      </c>
      <c r="U75" s="5">
        <v>0</v>
      </c>
      <c r="V75" s="5">
        <f>VLOOKUP(A75,Planilha1!B:E,4,0)</f>
        <v>-4.3046759024811481</v>
      </c>
    </row>
    <row r="76" spans="1:22" x14ac:dyDescent="0.3">
      <c r="A76" t="str">
        <f t="shared" si="2"/>
        <v>COMPOSTOITAMBÉ</v>
      </c>
      <c r="B76" t="str">
        <f t="shared" si="3"/>
        <v>5184715COMPOSTOITAMBÉ</v>
      </c>
      <c r="C76" s="5" t="s">
        <v>16</v>
      </c>
      <c r="D76" s="5" t="s">
        <v>53</v>
      </c>
      <c r="E76" s="5" t="s">
        <v>23</v>
      </c>
      <c r="F76" s="5">
        <v>5184715</v>
      </c>
      <c r="G76" s="5" t="s">
        <v>109</v>
      </c>
      <c r="H76" s="5" t="s">
        <v>110</v>
      </c>
      <c r="I76" s="5" t="s">
        <v>27</v>
      </c>
      <c r="J76" s="5" t="s">
        <v>26</v>
      </c>
      <c r="K76" s="6">
        <v>0</v>
      </c>
      <c r="L76" s="7">
        <v>1250</v>
      </c>
      <c r="M76" s="8">
        <v>1645.8333333333335</v>
      </c>
      <c r="N76" s="8">
        <v>2083.3333333333335</v>
      </c>
      <c r="O76" s="8">
        <v>1033.1786072835384</v>
      </c>
      <c r="P76" s="8">
        <v>0</v>
      </c>
      <c r="Q76" s="8">
        <v>0</v>
      </c>
      <c r="R76" s="8">
        <v>0</v>
      </c>
      <c r="S76" s="8">
        <v>0</v>
      </c>
      <c r="T76" s="5">
        <v>0</v>
      </c>
      <c r="U76" s="5">
        <v>0</v>
      </c>
      <c r="V76" s="5">
        <f>VLOOKUP(A76,Planilha1!B:E,4,0)</f>
        <v>0.15618217875936719</v>
      </c>
    </row>
    <row r="77" spans="1:22" x14ac:dyDescent="0.3">
      <c r="A77" t="str">
        <f t="shared" si="2"/>
        <v>COMPOSTOITAMBÉ</v>
      </c>
      <c r="B77" t="str">
        <f t="shared" si="3"/>
        <v>5186251COMPOSTOITAMBÉ</v>
      </c>
      <c r="C77" s="5" t="s">
        <v>16</v>
      </c>
      <c r="D77" s="5" t="s">
        <v>53</v>
      </c>
      <c r="E77" s="5" t="s">
        <v>23</v>
      </c>
      <c r="F77" s="5">
        <v>5186251</v>
      </c>
      <c r="G77" s="5" t="s">
        <v>111</v>
      </c>
      <c r="H77" s="5" t="s">
        <v>110</v>
      </c>
      <c r="I77" s="5" t="s">
        <v>27</v>
      </c>
      <c r="J77" s="5" t="s">
        <v>26</v>
      </c>
      <c r="K77" s="6">
        <v>0</v>
      </c>
      <c r="L77" s="7">
        <v>0</v>
      </c>
      <c r="M77" s="8">
        <v>1729.1666666666665</v>
      </c>
      <c r="N77" s="8">
        <v>2500</v>
      </c>
      <c r="O77" s="8">
        <v>3673.8406201061534</v>
      </c>
      <c r="P77" s="8">
        <v>0</v>
      </c>
      <c r="Q77" s="8">
        <v>0</v>
      </c>
      <c r="R77" s="8">
        <v>0</v>
      </c>
      <c r="S77" s="8">
        <v>0</v>
      </c>
      <c r="T77" s="5">
        <v>0</v>
      </c>
      <c r="U77" s="5">
        <v>0</v>
      </c>
      <c r="V77" s="5">
        <f>VLOOKUP(A77,Planilha1!B:E,4,0)</f>
        <v>0.15618217875936719</v>
      </c>
    </row>
    <row r="78" spans="1:22" x14ac:dyDescent="0.3">
      <c r="A78" t="str">
        <f t="shared" si="2"/>
        <v>COMPOSTOITAMBÉ</v>
      </c>
      <c r="B78" t="str">
        <f t="shared" si="3"/>
        <v>5186822COMPOSTOITAMBÉ</v>
      </c>
      <c r="C78" s="5" t="s">
        <v>16</v>
      </c>
      <c r="D78" s="5" t="s">
        <v>53</v>
      </c>
      <c r="E78" s="5" t="s">
        <v>23</v>
      </c>
      <c r="F78" s="5">
        <v>5186822</v>
      </c>
      <c r="G78" s="5" t="s">
        <v>112</v>
      </c>
      <c r="H78" s="5" t="s">
        <v>113</v>
      </c>
      <c r="I78" s="5" t="s">
        <v>27</v>
      </c>
      <c r="J78" s="5" t="s">
        <v>26</v>
      </c>
      <c r="K78" s="6">
        <v>0</v>
      </c>
      <c r="L78" s="7">
        <v>0</v>
      </c>
      <c r="M78" s="8">
        <v>62.5</v>
      </c>
      <c r="N78" s="8">
        <v>0</v>
      </c>
      <c r="O78" s="8">
        <v>919.17269199707891</v>
      </c>
      <c r="P78" s="8">
        <v>0</v>
      </c>
      <c r="Q78" s="8">
        <v>0</v>
      </c>
      <c r="R78" s="8">
        <v>0</v>
      </c>
      <c r="S78" s="8">
        <v>0</v>
      </c>
      <c r="T78" s="5">
        <v>0</v>
      </c>
      <c r="U78" s="5">
        <v>0</v>
      </c>
      <c r="V78" s="5">
        <f>VLOOKUP(A78,Planilha1!B:E,4,0)</f>
        <v>0.15618217875936719</v>
      </c>
    </row>
    <row r="79" spans="1:22" x14ac:dyDescent="0.3">
      <c r="A79" t="str">
        <f t="shared" si="2"/>
        <v>COMPOSTOITAMBÉ</v>
      </c>
      <c r="B79" t="str">
        <f t="shared" si="3"/>
        <v>5187116COMPOSTOITAMBÉ</v>
      </c>
      <c r="C79" s="5" t="s">
        <v>16</v>
      </c>
      <c r="D79" s="5" t="s">
        <v>53</v>
      </c>
      <c r="E79" s="5" t="s">
        <v>23</v>
      </c>
      <c r="F79" s="5">
        <v>5187116</v>
      </c>
      <c r="G79" s="5" t="s">
        <v>114</v>
      </c>
      <c r="H79" s="5" t="s">
        <v>113</v>
      </c>
      <c r="I79" s="5" t="s">
        <v>27</v>
      </c>
      <c r="J79" s="5" t="s">
        <v>26</v>
      </c>
      <c r="K79" s="6">
        <v>0</v>
      </c>
      <c r="L79" s="7">
        <v>0</v>
      </c>
      <c r="M79" s="8">
        <v>0</v>
      </c>
      <c r="N79" s="8">
        <v>0</v>
      </c>
      <c r="O79" s="8">
        <v>919.17269199707891</v>
      </c>
      <c r="P79" s="8">
        <v>0</v>
      </c>
      <c r="Q79" s="8">
        <v>0</v>
      </c>
      <c r="R79" s="8">
        <v>0</v>
      </c>
      <c r="S79" s="8">
        <v>0</v>
      </c>
      <c r="T79" s="5">
        <v>0</v>
      </c>
      <c r="U79" s="5">
        <v>0</v>
      </c>
      <c r="V79" s="5">
        <f>VLOOKUP(A79,Planilha1!B:E,4,0)</f>
        <v>0.15618217875936719</v>
      </c>
    </row>
    <row r="80" spans="1:22" x14ac:dyDescent="0.3">
      <c r="A80" t="str">
        <f t="shared" si="2"/>
        <v>COMPOSTOITAMBÉ</v>
      </c>
      <c r="B80" t="str">
        <f t="shared" si="3"/>
        <v>5204488COMPOSTOITAMBÉ</v>
      </c>
      <c r="C80" s="5" t="s">
        <v>16</v>
      </c>
      <c r="D80" s="5" t="s">
        <v>53</v>
      </c>
      <c r="E80" s="5" t="s">
        <v>23</v>
      </c>
      <c r="F80" s="5">
        <v>5204488</v>
      </c>
      <c r="G80" s="5" t="s">
        <v>115</v>
      </c>
      <c r="H80" s="5" t="s">
        <v>113</v>
      </c>
      <c r="I80" s="5" t="s">
        <v>27</v>
      </c>
      <c r="J80" s="5" t="s">
        <v>26</v>
      </c>
      <c r="K80" s="6">
        <v>0</v>
      </c>
      <c r="L80" s="7">
        <v>0</v>
      </c>
      <c r="M80" s="8">
        <v>333.33333333333331</v>
      </c>
      <c r="N80" s="8">
        <v>333.33333333333331</v>
      </c>
      <c r="O80" s="8">
        <v>919.17269199707891</v>
      </c>
      <c r="P80" s="8">
        <v>0</v>
      </c>
      <c r="Q80" s="8">
        <v>0</v>
      </c>
      <c r="R80" s="8">
        <v>0</v>
      </c>
      <c r="S80" s="8">
        <v>0</v>
      </c>
      <c r="T80" s="5">
        <v>0</v>
      </c>
      <c r="U80" s="5">
        <v>0</v>
      </c>
      <c r="V80" s="5">
        <f>VLOOKUP(A80,Planilha1!B:E,4,0)</f>
        <v>0.15618217875936719</v>
      </c>
    </row>
    <row r="81" spans="1:22" x14ac:dyDescent="0.3">
      <c r="A81" t="str">
        <f t="shared" si="2"/>
        <v>COMPOSTOITAMBÉ</v>
      </c>
      <c r="B81" t="str">
        <f t="shared" si="3"/>
        <v>5228735COMPOSTOITAMBÉ</v>
      </c>
      <c r="C81" s="5" t="s">
        <v>16</v>
      </c>
      <c r="D81" s="5" t="s">
        <v>53</v>
      </c>
      <c r="E81" s="5" t="s">
        <v>23</v>
      </c>
      <c r="F81" s="5">
        <v>5228735</v>
      </c>
      <c r="G81" s="5" t="s">
        <v>116</v>
      </c>
      <c r="H81" s="5" t="s">
        <v>113</v>
      </c>
      <c r="I81" s="5" t="s">
        <v>27</v>
      </c>
      <c r="J81" s="5" t="s">
        <v>26</v>
      </c>
      <c r="K81" s="6">
        <v>0</v>
      </c>
      <c r="L81" s="7">
        <v>0</v>
      </c>
      <c r="M81" s="8">
        <v>1250</v>
      </c>
      <c r="N81" s="8">
        <v>1666.6666666666667</v>
      </c>
      <c r="O81" s="8">
        <v>1148.6095965110785</v>
      </c>
      <c r="P81" s="8">
        <v>0</v>
      </c>
      <c r="Q81" s="8">
        <v>0</v>
      </c>
      <c r="R81" s="8">
        <v>0</v>
      </c>
      <c r="S81" s="8">
        <v>0</v>
      </c>
      <c r="T81" s="5">
        <v>0</v>
      </c>
      <c r="U81" s="5">
        <v>0</v>
      </c>
      <c r="V81" s="5">
        <f>VLOOKUP(A81,Planilha1!B:E,4,0)</f>
        <v>0.15618217875936719</v>
      </c>
    </row>
    <row r="82" spans="1:22" x14ac:dyDescent="0.3">
      <c r="A82" t="str">
        <f t="shared" si="2"/>
        <v>COMPOSTOITAMBÉ</v>
      </c>
      <c r="B82" t="str">
        <f t="shared" si="3"/>
        <v>5229526COMPOSTOITAMBÉ</v>
      </c>
      <c r="C82" s="5" t="s">
        <v>16</v>
      </c>
      <c r="D82" s="5" t="s">
        <v>53</v>
      </c>
      <c r="E82" s="5" t="s">
        <v>23</v>
      </c>
      <c r="F82" s="5">
        <v>5229526</v>
      </c>
      <c r="G82" s="5" t="s">
        <v>117</v>
      </c>
      <c r="H82" s="5" t="s">
        <v>103</v>
      </c>
      <c r="I82" s="5" t="s">
        <v>27</v>
      </c>
      <c r="J82" s="5" t="s">
        <v>26</v>
      </c>
      <c r="K82" s="6">
        <v>0</v>
      </c>
      <c r="L82" s="7">
        <v>2500</v>
      </c>
      <c r="M82" s="8">
        <v>1479.1666666666667</v>
      </c>
      <c r="N82" s="8">
        <v>1425</v>
      </c>
      <c r="O82" s="8">
        <v>2710.4906359355723</v>
      </c>
      <c r="P82" s="8">
        <v>0</v>
      </c>
      <c r="Q82" s="8">
        <v>0</v>
      </c>
      <c r="R82" s="8">
        <v>0</v>
      </c>
      <c r="S82" s="8">
        <v>0</v>
      </c>
      <c r="T82" s="5">
        <v>0</v>
      </c>
      <c r="U82" s="5">
        <v>0</v>
      </c>
      <c r="V82" s="5">
        <f>VLOOKUP(A82,Planilha1!B:E,4,0)</f>
        <v>0.15618217875936719</v>
      </c>
    </row>
    <row r="83" spans="1:22" x14ac:dyDescent="0.3">
      <c r="A83" t="str">
        <f t="shared" si="2"/>
        <v>COMPOSTOITAMBÉ</v>
      </c>
      <c r="B83" t="str">
        <f t="shared" si="3"/>
        <v>5321120COMPOSTOITAMBÉ</v>
      </c>
      <c r="C83" s="5" t="s">
        <v>16</v>
      </c>
      <c r="D83" s="5" t="s">
        <v>53</v>
      </c>
      <c r="E83" s="5" t="s">
        <v>23</v>
      </c>
      <c r="F83" s="5">
        <v>5321120</v>
      </c>
      <c r="G83" s="5" t="s">
        <v>118</v>
      </c>
      <c r="H83" s="5" t="s">
        <v>110</v>
      </c>
      <c r="I83" s="5" t="s">
        <v>27</v>
      </c>
      <c r="J83" s="5" t="s">
        <v>26</v>
      </c>
      <c r="K83" s="6">
        <v>0</v>
      </c>
      <c r="L83" s="7">
        <v>0</v>
      </c>
      <c r="M83" s="8">
        <v>208.33333333333334</v>
      </c>
      <c r="N83" s="8">
        <v>416.66666666666669</v>
      </c>
      <c r="O83" s="8">
        <v>2295.7941190810761</v>
      </c>
      <c r="P83" s="8">
        <v>0</v>
      </c>
      <c r="Q83" s="8">
        <v>1250</v>
      </c>
      <c r="R83" s="8">
        <v>0</v>
      </c>
      <c r="S83" s="8">
        <v>0</v>
      </c>
      <c r="T83" s="5">
        <v>1250</v>
      </c>
      <c r="U83" s="5">
        <v>0</v>
      </c>
      <c r="V83" s="5">
        <f>VLOOKUP(A83,Planilha1!B:E,4,0)</f>
        <v>0.15618217875936719</v>
      </c>
    </row>
    <row r="84" spans="1:22" x14ac:dyDescent="0.3">
      <c r="A84" t="str">
        <f t="shared" si="2"/>
        <v>COMPOSTOITAMBÉ</v>
      </c>
      <c r="B84" t="str">
        <f t="shared" si="3"/>
        <v>5339140COMPOSTOITAMBÉ</v>
      </c>
      <c r="C84" s="5" t="s">
        <v>16</v>
      </c>
      <c r="D84" s="5" t="s">
        <v>53</v>
      </c>
      <c r="E84" s="5" t="s">
        <v>23</v>
      </c>
      <c r="F84" s="5">
        <v>5339140</v>
      </c>
      <c r="G84" s="5" t="s">
        <v>119</v>
      </c>
      <c r="H84" s="5" t="s">
        <v>110</v>
      </c>
      <c r="I84" s="5" t="s">
        <v>27</v>
      </c>
      <c r="J84" s="5" t="s">
        <v>26</v>
      </c>
      <c r="K84" s="6">
        <v>0</v>
      </c>
      <c r="L84" s="7">
        <v>0</v>
      </c>
      <c r="M84" s="8">
        <v>416.66666666666669</v>
      </c>
      <c r="N84" s="8">
        <v>416.66666666666669</v>
      </c>
      <c r="O84" s="8">
        <v>919.17269199707891</v>
      </c>
      <c r="P84" s="8">
        <v>0</v>
      </c>
      <c r="Q84" s="8">
        <v>0</v>
      </c>
      <c r="R84" s="8">
        <v>0</v>
      </c>
      <c r="S84" s="8">
        <v>0</v>
      </c>
      <c r="T84" s="5">
        <v>0</v>
      </c>
      <c r="U84" s="5">
        <v>0</v>
      </c>
      <c r="V84" s="5">
        <f>VLOOKUP(A84,Planilha1!B:E,4,0)</f>
        <v>0.15618217875936719</v>
      </c>
    </row>
    <row r="85" spans="1:22" x14ac:dyDescent="0.3">
      <c r="A85" t="str">
        <f t="shared" si="2"/>
        <v>COMPOSTOITAMBÉ</v>
      </c>
      <c r="B85" t="str">
        <f t="shared" si="3"/>
        <v>5342745COMPOSTOITAMBÉ</v>
      </c>
      <c r="C85" s="5" t="s">
        <v>16</v>
      </c>
      <c r="D85" s="5" t="s">
        <v>53</v>
      </c>
      <c r="E85" s="5" t="s">
        <v>23</v>
      </c>
      <c r="F85" s="5">
        <v>5342745</v>
      </c>
      <c r="G85" s="5" t="s">
        <v>120</v>
      </c>
      <c r="H85" s="5" t="s">
        <v>110</v>
      </c>
      <c r="I85" s="5" t="s">
        <v>27</v>
      </c>
      <c r="J85" s="5" t="s">
        <v>26</v>
      </c>
      <c r="K85" s="6">
        <v>0</v>
      </c>
      <c r="L85" s="7">
        <v>0</v>
      </c>
      <c r="M85" s="8">
        <v>0</v>
      </c>
      <c r="N85" s="8">
        <v>0</v>
      </c>
      <c r="O85" s="8">
        <v>3558.4096308786138</v>
      </c>
      <c r="P85" s="8">
        <v>0</v>
      </c>
      <c r="Q85" s="8">
        <v>0</v>
      </c>
      <c r="R85" s="8">
        <v>0</v>
      </c>
      <c r="S85" s="8">
        <v>0</v>
      </c>
      <c r="T85" s="5">
        <v>0</v>
      </c>
      <c r="U85" s="5">
        <v>0</v>
      </c>
      <c r="V85" s="5">
        <f>VLOOKUP(A85,Planilha1!B:E,4,0)</f>
        <v>0.15618217875936719</v>
      </c>
    </row>
    <row r="86" spans="1:22" x14ac:dyDescent="0.3">
      <c r="A86" t="str">
        <f t="shared" si="2"/>
        <v>LPI 25KGLACTALIS</v>
      </c>
      <c r="B86" t="str">
        <f t="shared" si="3"/>
        <v>5010967LPI 25KGLACTALIS</v>
      </c>
      <c r="C86" s="5" t="s">
        <v>16</v>
      </c>
      <c r="D86" s="5" t="s">
        <v>53</v>
      </c>
      <c r="E86" s="5" t="s">
        <v>54</v>
      </c>
      <c r="F86" s="5">
        <v>5010967</v>
      </c>
      <c r="G86" s="5" t="s">
        <v>121</v>
      </c>
      <c r="H86" s="5" t="s">
        <v>113</v>
      </c>
      <c r="I86" s="5" t="s">
        <v>22</v>
      </c>
      <c r="J86" s="5" t="s">
        <v>21</v>
      </c>
      <c r="K86" s="6">
        <v>0</v>
      </c>
      <c r="L86" s="7">
        <v>0</v>
      </c>
      <c r="M86" s="8">
        <v>433.33333333333337</v>
      </c>
      <c r="N86" s="8">
        <v>533.33333333333337</v>
      </c>
      <c r="O86" s="8">
        <v>255.39133582228465</v>
      </c>
      <c r="P86" s="8">
        <v>0</v>
      </c>
      <c r="Q86" s="8">
        <v>0</v>
      </c>
      <c r="R86" s="8">
        <v>0</v>
      </c>
      <c r="S86" s="8">
        <v>0</v>
      </c>
      <c r="T86" s="5">
        <v>0</v>
      </c>
      <c r="U86" s="5">
        <v>0</v>
      </c>
      <c r="V86" s="5">
        <f>VLOOKUP(A86,Planilha1!B:E,4,0)</f>
        <v>-4.3046759024811481</v>
      </c>
    </row>
    <row r="87" spans="1:22" x14ac:dyDescent="0.3">
      <c r="A87" t="str">
        <f t="shared" si="2"/>
        <v>LPI 25KGLACTALIS</v>
      </c>
      <c r="B87" t="str">
        <f t="shared" si="3"/>
        <v>5011056LPI 25KGLACTALIS</v>
      </c>
      <c r="C87" s="5" t="s">
        <v>16</v>
      </c>
      <c r="D87" s="5" t="s">
        <v>53</v>
      </c>
      <c r="E87" s="5" t="s">
        <v>54</v>
      </c>
      <c r="F87" s="5">
        <v>5011056</v>
      </c>
      <c r="G87" s="5" t="s">
        <v>122</v>
      </c>
      <c r="H87" s="5" t="s">
        <v>113</v>
      </c>
      <c r="I87" s="5" t="s">
        <v>22</v>
      </c>
      <c r="J87" s="5" t="s">
        <v>21</v>
      </c>
      <c r="K87" s="6">
        <v>0</v>
      </c>
      <c r="L87" s="7">
        <v>0</v>
      </c>
      <c r="M87" s="8">
        <v>624.99999999999989</v>
      </c>
      <c r="N87" s="8">
        <v>666.66666666666663</v>
      </c>
      <c r="O87" s="8">
        <v>255.39133582228465</v>
      </c>
      <c r="P87" s="8">
        <v>0</v>
      </c>
      <c r="Q87" s="8">
        <v>0</v>
      </c>
      <c r="R87" s="8">
        <v>0</v>
      </c>
      <c r="S87" s="8">
        <v>0</v>
      </c>
      <c r="T87" s="5">
        <v>0</v>
      </c>
      <c r="U87" s="5">
        <v>0</v>
      </c>
      <c r="V87" s="5">
        <f>VLOOKUP(A87,Planilha1!B:E,4,0)</f>
        <v>-4.3046759024811481</v>
      </c>
    </row>
    <row r="88" spans="1:22" x14ac:dyDescent="0.3">
      <c r="A88" t="str">
        <f t="shared" si="2"/>
        <v>COMPOSTOITAMBÉ</v>
      </c>
      <c r="B88" t="str">
        <f t="shared" si="3"/>
        <v>5024950COMPOSTOITAMBÉ</v>
      </c>
      <c r="C88" s="5" t="s">
        <v>16</v>
      </c>
      <c r="D88" s="5" t="s">
        <v>53</v>
      </c>
      <c r="E88" s="5" t="s">
        <v>54</v>
      </c>
      <c r="F88" s="5">
        <v>5024950</v>
      </c>
      <c r="G88" s="5" t="s">
        <v>123</v>
      </c>
      <c r="H88" s="5" t="s">
        <v>88</v>
      </c>
      <c r="I88" s="5" t="s">
        <v>27</v>
      </c>
      <c r="J88" s="5" t="s">
        <v>26</v>
      </c>
      <c r="K88" s="6">
        <v>0</v>
      </c>
      <c r="L88" s="7">
        <v>0</v>
      </c>
      <c r="M88" s="8">
        <v>0</v>
      </c>
      <c r="N88" s="8">
        <v>0</v>
      </c>
      <c r="O88" s="8">
        <v>45.602366114583759</v>
      </c>
      <c r="P88" s="8">
        <v>0</v>
      </c>
      <c r="Q88" s="8">
        <v>0</v>
      </c>
      <c r="R88" s="8">
        <v>0</v>
      </c>
      <c r="S88" s="8">
        <v>0</v>
      </c>
      <c r="T88" s="5">
        <v>0</v>
      </c>
      <c r="U88" s="5">
        <v>0</v>
      </c>
      <c r="V88" s="5">
        <f>VLOOKUP(A88,Planilha1!B:E,4,0)</f>
        <v>0.15618217875936719</v>
      </c>
    </row>
    <row r="89" spans="1:22" x14ac:dyDescent="0.3">
      <c r="A89" t="str">
        <f t="shared" si="2"/>
        <v>LEITE CONDENSADOITAMBÉ</v>
      </c>
      <c r="B89" t="str">
        <f t="shared" si="3"/>
        <v>5068894LEITE CONDENSADOITAMBÉ</v>
      </c>
      <c r="C89" s="5" t="s">
        <v>16</v>
      </c>
      <c r="D89" s="5" t="s">
        <v>53</v>
      </c>
      <c r="E89" s="5" t="s">
        <v>54</v>
      </c>
      <c r="F89" s="5">
        <v>5068894</v>
      </c>
      <c r="G89" s="5" t="s">
        <v>124</v>
      </c>
      <c r="H89" s="5" t="s">
        <v>113</v>
      </c>
      <c r="I89" s="5" t="s">
        <v>27</v>
      </c>
      <c r="J89" s="5" t="s">
        <v>33</v>
      </c>
      <c r="K89" s="6">
        <v>0</v>
      </c>
      <c r="L89" s="7">
        <v>0</v>
      </c>
      <c r="M89" s="8">
        <v>500</v>
      </c>
      <c r="N89" s="8">
        <v>333.33333333333331</v>
      </c>
      <c r="O89" s="8">
        <v>870.98432228219895</v>
      </c>
      <c r="P89" s="8">
        <v>0</v>
      </c>
      <c r="Q89" s="8">
        <v>0</v>
      </c>
      <c r="R89" s="8">
        <v>0</v>
      </c>
      <c r="S89" s="8">
        <v>0</v>
      </c>
      <c r="T89" s="5">
        <v>0</v>
      </c>
      <c r="U89" s="5">
        <v>0</v>
      </c>
      <c r="V89" s="5">
        <f>VLOOKUP(A89,Planilha1!B:E,4,0)</f>
        <v>1.4766792698630664</v>
      </c>
    </row>
    <row r="90" spans="1:22" x14ac:dyDescent="0.3">
      <c r="A90" t="str">
        <f t="shared" si="2"/>
        <v>LPD 25KGLACTALIS</v>
      </c>
      <c r="B90" t="str">
        <f t="shared" si="3"/>
        <v>5098929LPD 25KGLACTALIS</v>
      </c>
      <c r="C90" s="5" t="s">
        <v>16</v>
      </c>
      <c r="D90" s="5" t="s">
        <v>53</v>
      </c>
      <c r="E90" s="5" t="s">
        <v>54</v>
      </c>
      <c r="F90" s="5">
        <v>5098929</v>
      </c>
      <c r="G90" s="5" t="s">
        <v>125</v>
      </c>
      <c r="H90" s="5" t="s">
        <v>113</v>
      </c>
      <c r="I90" s="5" t="s">
        <v>22</v>
      </c>
      <c r="J90" s="5" t="s">
        <v>43</v>
      </c>
      <c r="K90" s="6">
        <v>0</v>
      </c>
      <c r="L90" s="7">
        <v>50</v>
      </c>
      <c r="M90" s="8">
        <v>0</v>
      </c>
      <c r="N90" s="8">
        <v>0</v>
      </c>
      <c r="O90" s="8">
        <v>4.0172119804628057</v>
      </c>
      <c r="P90" s="8">
        <v>0</v>
      </c>
      <c r="Q90" s="8">
        <v>0</v>
      </c>
      <c r="R90" s="8">
        <v>0</v>
      </c>
      <c r="S90" s="8">
        <v>0</v>
      </c>
      <c r="T90" s="5">
        <v>0</v>
      </c>
      <c r="U90" s="5">
        <v>0</v>
      </c>
      <c r="V90" s="5">
        <f>VLOOKUP(A90,Planilha1!B:E,4,0)</f>
        <v>5.893629113453061</v>
      </c>
    </row>
    <row r="91" spans="1:22" x14ac:dyDescent="0.3">
      <c r="A91" t="str">
        <f t="shared" si="2"/>
        <v>LPD 25KGLACTALIS</v>
      </c>
      <c r="B91" t="str">
        <f t="shared" si="3"/>
        <v>5098932LPD 25KGLACTALIS</v>
      </c>
      <c r="C91" s="5" t="s">
        <v>16</v>
      </c>
      <c r="D91" s="5" t="s">
        <v>53</v>
      </c>
      <c r="E91" s="5" t="s">
        <v>54</v>
      </c>
      <c r="F91" s="5">
        <v>5098932</v>
      </c>
      <c r="G91" s="5" t="s">
        <v>126</v>
      </c>
      <c r="H91" s="5" t="s">
        <v>113</v>
      </c>
      <c r="I91" s="5" t="s">
        <v>22</v>
      </c>
      <c r="J91" s="5" t="s">
        <v>43</v>
      </c>
      <c r="K91" s="6">
        <v>0</v>
      </c>
      <c r="L91" s="7">
        <v>0</v>
      </c>
      <c r="M91" s="8">
        <v>6000</v>
      </c>
      <c r="N91" s="8">
        <v>4000</v>
      </c>
      <c r="O91" s="8">
        <v>1927.9168630156016</v>
      </c>
      <c r="P91" s="8">
        <v>0</v>
      </c>
      <c r="Q91" s="8">
        <v>0</v>
      </c>
      <c r="R91" s="8">
        <v>0</v>
      </c>
      <c r="S91" s="8">
        <v>0</v>
      </c>
      <c r="T91" s="5">
        <v>0</v>
      </c>
      <c r="U91" s="5">
        <v>0</v>
      </c>
      <c r="V91" s="5">
        <f>VLOOKUP(A91,Planilha1!B:E,4,0)</f>
        <v>5.893629113453061</v>
      </c>
    </row>
    <row r="92" spans="1:22" x14ac:dyDescent="0.3">
      <c r="A92" t="str">
        <f t="shared" si="2"/>
        <v>LPI 25KGLACTALIS</v>
      </c>
      <c r="B92" t="str">
        <f t="shared" si="3"/>
        <v>5098965LPI 25KGLACTALIS</v>
      </c>
      <c r="C92" s="5" t="s">
        <v>16</v>
      </c>
      <c r="D92" s="5" t="s">
        <v>53</v>
      </c>
      <c r="E92" s="5" t="s">
        <v>54</v>
      </c>
      <c r="F92" s="5">
        <v>5098965</v>
      </c>
      <c r="G92" s="5" t="s">
        <v>127</v>
      </c>
      <c r="H92" s="5" t="s">
        <v>113</v>
      </c>
      <c r="I92" s="5" t="s">
        <v>22</v>
      </c>
      <c r="J92" s="5" t="s">
        <v>21</v>
      </c>
      <c r="K92" s="6">
        <v>0</v>
      </c>
      <c r="L92" s="7">
        <v>0</v>
      </c>
      <c r="M92" s="8">
        <v>333.33333333333331</v>
      </c>
      <c r="N92" s="8">
        <v>0</v>
      </c>
      <c r="O92" s="8">
        <v>510.76161017864285</v>
      </c>
      <c r="P92" s="8">
        <v>0</v>
      </c>
      <c r="Q92" s="8">
        <v>0</v>
      </c>
      <c r="R92" s="8">
        <v>0</v>
      </c>
      <c r="S92" s="8">
        <v>0</v>
      </c>
      <c r="T92" s="5">
        <v>0</v>
      </c>
      <c r="U92" s="5">
        <v>0</v>
      </c>
      <c r="V92" s="5">
        <f>VLOOKUP(A92,Planilha1!B:E,4,0)</f>
        <v>-4.3046759024811481</v>
      </c>
    </row>
    <row r="93" spans="1:22" x14ac:dyDescent="0.3">
      <c r="A93" t="str">
        <f t="shared" si="2"/>
        <v>LPI 25KGLACTALIS</v>
      </c>
      <c r="B93" t="str">
        <f t="shared" si="3"/>
        <v>5099100LPI 25KGLACTALIS</v>
      </c>
      <c r="C93" s="5" t="s">
        <v>16</v>
      </c>
      <c r="D93" s="5" t="s">
        <v>53</v>
      </c>
      <c r="E93" s="5" t="s">
        <v>54</v>
      </c>
      <c r="F93" s="5">
        <v>5099100</v>
      </c>
      <c r="G93" s="5" t="s">
        <v>128</v>
      </c>
      <c r="H93" s="5" t="s">
        <v>113</v>
      </c>
      <c r="I93" s="5" t="s">
        <v>22</v>
      </c>
      <c r="J93" s="5" t="s">
        <v>21</v>
      </c>
      <c r="K93" s="6">
        <v>0</v>
      </c>
      <c r="L93" s="7">
        <v>125</v>
      </c>
      <c r="M93" s="8">
        <v>0</v>
      </c>
      <c r="N93" s="8">
        <v>0</v>
      </c>
      <c r="O93" s="8">
        <v>25.547558168598982</v>
      </c>
      <c r="P93" s="8">
        <v>0</v>
      </c>
      <c r="Q93" s="8">
        <v>0</v>
      </c>
      <c r="R93" s="8">
        <v>0</v>
      </c>
      <c r="S93" s="8">
        <v>0</v>
      </c>
      <c r="T93" s="5">
        <v>0</v>
      </c>
      <c r="U93" s="5">
        <v>0</v>
      </c>
      <c r="V93" s="5">
        <f>VLOOKUP(A93,Planilha1!B:E,4,0)</f>
        <v>-4.3046759024811481</v>
      </c>
    </row>
    <row r="94" spans="1:22" x14ac:dyDescent="0.3">
      <c r="A94" t="str">
        <f t="shared" si="2"/>
        <v>DOCE DE LEITEITAMBÉ</v>
      </c>
      <c r="B94" t="str">
        <f t="shared" si="3"/>
        <v>5045012DOCE DE LEITEITAMBÉ</v>
      </c>
      <c r="C94" s="5" t="s">
        <v>16</v>
      </c>
      <c r="D94" s="5" t="s">
        <v>28</v>
      </c>
      <c r="E94" s="5" t="s">
        <v>28</v>
      </c>
      <c r="F94" s="5">
        <v>5045012</v>
      </c>
      <c r="G94" s="5" t="s">
        <v>129</v>
      </c>
      <c r="H94" s="5" t="s">
        <v>30</v>
      </c>
      <c r="I94" s="5" t="s">
        <v>27</v>
      </c>
      <c r="J94" s="5" t="s">
        <v>46</v>
      </c>
      <c r="K94" s="6">
        <v>0</v>
      </c>
      <c r="L94" s="7">
        <v>0</v>
      </c>
      <c r="M94" s="8">
        <v>7800</v>
      </c>
      <c r="N94" s="8">
        <v>15600</v>
      </c>
      <c r="O94" s="8">
        <v>0</v>
      </c>
      <c r="P94" s="8">
        <v>0</v>
      </c>
      <c r="Q94" s="8">
        <v>46800</v>
      </c>
      <c r="R94" s="8">
        <v>0</v>
      </c>
      <c r="S94" s="8">
        <v>0</v>
      </c>
      <c r="T94" s="5">
        <v>46800</v>
      </c>
      <c r="U94" s="5">
        <v>0</v>
      </c>
      <c r="V94" s="5">
        <f>VLOOKUP(A94,Planilha1!B:E,4,0)</f>
        <v>5.8210743907543439</v>
      </c>
    </row>
    <row r="95" spans="1:22" x14ac:dyDescent="0.3">
      <c r="A95" t="str">
        <f t="shared" si="2"/>
        <v>LEITE CONDENSADOITAMBÉ</v>
      </c>
      <c r="B95" t="str">
        <f t="shared" si="3"/>
        <v>5162498LEITE CONDENSADOITAMBÉ</v>
      </c>
      <c r="C95" s="5" t="s">
        <v>16</v>
      </c>
      <c r="D95" s="5" t="s">
        <v>53</v>
      </c>
      <c r="E95" s="5" t="s">
        <v>54</v>
      </c>
      <c r="F95" s="5">
        <v>5162498</v>
      </c>
      <c r="G95" s="5" t="s">
        <v>130</v>
      </c>
      <c r="H95" s="5" t="s">
        <v>113</v>
      </c>
      <c r="I95" s="5" t="s">
        <v>27</v>
      </c>
      <c r="J95" s="5" t="s">
        <v>33</v>
      </c>
      <c r="K95" s="6">
        <v>0</v>
      </c>
      <c r="L95" s="7">
        <v>0</v>
      </c>
      <c r="M95" s="8">
        <v>242.39999999999998</v>
      </c>
      <c r="N95" s="8">
        <v>161.66666666666666</v>
      </c>
      <c r="O95" s="8">
        <v>166.99699405410703</v>
      </c>
      <c r="P95" s="8">
        <v>0</v>
      </c>
      <c r="Q95" s="8">
        <v>0</v>
      </c>
      <c r="R95" s="8">
        <v>0</v>
      </c>
      <c r="S95" s="8">
        <v>0</v>
      </c>
      <c r="T95" s="5">
        <v>0</v>
      </c>
      <c r="U95" s="5">
        <v>0</v>
      </c>
      <c r="V95" s="5">
        <f>VLOOKUP(A95,Planilha1!B:E,4,0)</f>
        <v>1.4766792698630664</v>
      </c>
    </row>
    <row r="96" spans="1:22" x14ac:dyDescent="0.3">
      <c r="A96" t="str">
        <f t="shared" si="2"/>
        <v>LPD 25KGLACTALIS</v>
      </c>
      <c r="B96" t="str">
        <f t="shared" si="3"/>
        <v>5168007LPD 25KGLACTALIS</v>
      </c>
      <c r="C96" s="5" t="s">
        <v>16</v>
      </c>
      <c r="D96" s="5" t="s">
        <v>53</v>
      </c>
      <c r="E96" s="5" t="s">
        <v>54</v>
      </c>
      <c r="F96" s="5">
        <v>5168007</v>
      </c>
      <c r="G96" s="5" t="s">
        <v>131</v>
      </c>
      <c r="H96" s="5" t="s">
        <v>25</v>
      </c>
      <c r="I96" s="5" t="s">
        <v>22</v>
      </c>
      <c r="J96" s="5" t="s">
        <v>43</v>
      </c>
      <c r="K96" s="6">
        <v>0</v>
      </c>
      <c r="L96" s="7">
        <v>0</v>
      </c>
      <c r="M96" s="8">
        <v>1358.3333333333335</v>
      </c>
      <c r="N96" s="8">
        <v>0</v>
      </c>
      <c r="O96" s="8">
        <v>1927.9168630156016</v>
      </c>
      <c r="P96" s="8">
        <v>0</v>
      </c>
      <c r="Q96" s="8">
        <v>0</v>
      </c>
      <c r="R96" s="8">
        <v>0</v>
      </c>
      <c r="S96" s="8">
        <v>0</v>
      </c>
      <c r="T96" s="5">
        <v>0</v>
      </c>
      <c r="U96" s="5">
        <v>0</v>
      </c>
      <c r="V96" s="5">
        <f>VLOOKUP(A96,Planilha1!B:E,4,0)</f>
        <v>5.893629113453061</v>
      </c>
    </row>
    <row r="97" spans="1:22" x14ac:dyDescent="0.3">
      <c r="A97" t="str">
        <f t="shared" si="2"/>
        <v>LPD 25KGLACTALIS</v>
      </c>
      <c r="B97" t="str">
        <f t="shared" si="3"/>
        <v>5059695LPD 25KGLACTALIS</v>
      </c>
      <c r="C97" s="5" t="s">
        <v>16</v>
      </c>
      <c r="D97" s="5" t="s">
        <v>16</v>
      </c>
      <c r="E97" s="5" t="s">
        <v>132</v>
      </c>
      <c r="F97" s="5">
        <v>5059695</v>
      </c>
      <c r="G97" s="5" t="s">
        <v>133</v>
      </c>
      <c r="H97" s="5" t="s">
        <v>30</v>
      </c>
      <c r="I97" s="5" t="s">
        <v>22</v>
      </c>
      <c r="J97" s="5" t="s">
        <v>43</v>
      </c>
      <c r="K97" s="6">
        <v>0</v>
      </c>
      <c r="L97" s="7">
        <v>0</v>
      </c>
      <c r="M97" s="8">
        <v>54000</v>
      </c>
      <c r="N97" s="8">
        <v>58000</v>
      </c>
      <c r="O97" s="8">
        <v>54000</v>
      </c>
      <c r="P97" s="8">
        <v>0</v>
      </c>
      <c r="Q97" s="8">
        <v>125000</v>
      </c>
      <c r="R97" s="8">
        <v>0</v>
      </c>
      <c r="S97" s="8">
        <v>0</v>
      </c>
      <c r="T97" s="5">
        <v>125000</v>
      </c>
      <c r="U97" s="5">
        <v>0</v>
      </c>
      <c r="V97" s="5">
        <f>VLOOKUP(A97,Planilha1!B:E,4,0)</f>
        <v>5.893629113453061</v>
      </c>
    </row>
    <row r="98" spans="1:22" x14ac:dyDescent="0.3">
      <c r="A98" t="str">
        <f t="shared" si="2"/>
        <v>LEITE CONDENSADOITAMBÉ</v>
      </c>
      <c r="B98" t="str">
        <f t="shared" si="3"/>
        <v>5180088LEITE CONDENSADOITAMBÉ</v>
      </c>
      <c r="C98" s="5" t="s">
        <v>16</v>
      </c>
      <c r="D98" s="5" t="s">
        <v>53</v>
      </c>
      <c r="E98" s="5" t="s">
        <v>54</v>
      </c>
      <c r="F98" s="5">
        <v>5180088</v>
      </c>
      <c r="G98" s="5" t="s">
        <v>134</v>
      </c>
      <c r="H98" s="5" t="s">
        <v>113</v>
      </c>
      <c r="I98" s="5" t="s">
        <v>27</v>
      </c>
      <c r="J98" s="5" t="s">
        <v>33</v>
      </c>
      <c r="K98" s="6">
        <v>0</v>
      </c>
      <c r="L98" s="7">
        <v>496.92</v>
      </c>
      <c r="M98" s="8">
        <v>537.32000000000005</v>
      </c>
      <c r="N98" s="8">
        <v>767.66666666666663</v>
      </c>
      <c r="O98" s="8">
        <v>139.9974800453592</v>
      </c>
      <c r="P98" s="8">
        <v>0</v>
      </c>
      <c r="Q98" s="8">
        <v>509.04</v>
      </c>
      <c r="R98" s="8">
        <v>0</v>
      </c>
      <c r="S98" s="8">
        <v>0</v>
      </c>
      <c r="T98" s="5">
        <v>509.04</v>
      </c>
      <c r="U98" s="5">
        <v>0</v>
      </c>
      <c r="V98" s="5">
        <f>VLOOKUP(A98,Planilha1!B:E,4,0)</f>
        <v>1.4766792698630664</v>
      </c>
    </row>
    <row r="99" spans="1:22" x14ac:dyDescent="0.3">
      <c r="A99" t="str">
        <f t="shared" si="2"/>
        <v>LPI 25KGLACTALIS</v>
      </c>
      <c r="B99" t="str">
        <f t="shared" si="3"/>
        <v>5223459LPI 25KGLACTALIS</v>
      </c>
      <c r="C99" s="5" t="s">
        <v>16</v>
      </c>
      <c r="D99" s="5" t="s">
        <v>53</v>
      </c>
      <c r="E99" s="5" t="s">
        <v>54</v>
      </c>
      <c r="F99" s="5">
        <v>5223459</v>
      </c>
      <c r="G99" s="5" t="s">
        <v>135</v>
      </c>
      <c r="H99" s="5" t="s">
        <v>30</v>
      </c>
      <c r="I99" s="5" t="s">
        <v>22</v>
      </c>
      <c r="J99" s="5" t="s">
        <v>21</v>
      </c>
      <c r="K99" s="6">
        <v>0</v>
      </c>
      <c r="L99" s="7">
        <v>24000</v>
      </c>
      <c r="M99" s="8">
        <v>8000</v>
      </c>
      <c r="N99" s="8">
        <v>16000</v>
      </c>
      <c r="O99" s="8">
        <v>12258.131214025947</v>
      </c>
      <c r="P99" s="8">
        <v>0</v>
      </c>
      <c r="Q99" s="8">
        <v>0</v>
      </c>
      <c r="R99" s="8">
        <v>0</v>
      </c>
      <c r="S99" s="8">
        <v>0</v>
      </c>
      <c r="T99" s="5">
        <v>0</v>
      </c>
      <c r="U99" s="5">
        <v>0</v>
      </c>
      <c r="V99" s="5">
        <f>VLOOKUP(A99,Planilha1!B:E,4,0)</f>
        <v>-4.3046759024811481</v>
      </c>
    </row>
    <row r="100" spans="1:22" x14ac:dyDescent="0.3">
      <c r="A100" t="str">
        <f t="shared" si="2"/>
        <v>COMPOSTOITAMBÉ</v>
      </c>
      <c r="B100" t="str">
        <f t="shared" si="3"/>
        <v>5224995COMPOSTOITAMBÉ</v>
      </c>
      <c r="C100" s="5" t="s">
        <v>16</v>
      </c>
      <c r="D100" s="5" t="s">
        <v>53</v>
      </c>
      <c r="E100" s="5" t="s">
        <v>54</v>
      </c>
      <c r="F100" s="5">
        <v>5224995</v>
      </c>
      <c r="G100" s="5" t="s">
        <v>136</v>
      </c>
      <c r="H100" s="5" t="s">
        <v>113</v>
      </c>
      <c r="I100" s="5" t="s">
        <v>27</v>
      </c>
      <c r="J100" s="5" t="s">
        <v>26</v>
      </c>
      <c r="K100" s="6">
        <v>0</v>
      </c>
      <c r="L100" s="7">
        <v>0</v>
      </c>
      <c r="M100" s="8">
        <v>750</v>
      </c>
      <c r="N100" s="8">
        <v>666.66666666666663</v>
      </c>
      <c r="O100" s="8">
        <v>2295.7941190810761</v>
      </c>
      <c r="P100" s="8">
        <v>0</v>
      </c>
      <c r="Q100" s="8">
        <v>0</v>
      </c>
      <c r="R100" s="8">
        <v>0</v>
      </c>
      <c r="S100" s="8">
        <v>0</v>
      </c>
      <c r="T100" s="5">
        <v>0</v>
      </c>
      <c r="U100" s="5">
        <v>0</v>
      </c>
      <c r="V100" s="5">
        <f>VLOOKUP(A100,Planilha1!B:E,4,0)</f>
        <v>0.15618217875936719</v>
      </c>
    </row>
    <row r="101" spans="1:22" x14ac:dyDescent="0.3">
      <c r="A101" t="str">
        <f t="shared" si="2"/>
        <v>LPD 25KGLACTALIS</v>
      </c>
      <c r="B101" t="str">
        <f t="shared" si="3"/>
        <v>5225690LPD 25KGLACTALIS</v>
      </c>
      <c r="C101" s="5" t="s">
        <v>16</v>
      </c>
      <c r="D101" s="5" t="s">
        <v>53</v>
      </c>
      <c r="E101" s="5" t="s">
        <v>54</v>
      </c>
      <c r="F101" s="5">
        <v>5225690</v>
      </c>
      <c r="G101" s="5" t="s">
        <v>137</v>
      </c>
      <c r="H101" s="5" t="s">
        <v>103</v>
      </c>
      <c r="I101" s="5" t="s">
        <v>22</v>
      </c>
      <c r="J101" s="5" t="s">
        <v>43</v>
      </c>
      <c r="K101" s="6">
        <v>0</v>
      </c>
      <c r="L101" s="7">
        <v>0</v>
      </c>
      <c r="M101" s="8">
        <v>16000</v>
      </c>
      <c r="N101" s="8">
        <v>16000</v>
      </c>
      <c r="O101" s="8">
        <v>3855.8434411750504</v>
      </c>
      <c r="P101" s="8">
        <v>0</v>
      </c>
      <c r="Q101" s="8">
        <v>0</v>
      </c>
      <c r="R101" s="8">
        <v>0</v>
      </c>
      <c r="S101" s="8">
        <v>0</v>
      </c>
      <c r="T101" s="5">
        <v>0</v>
      </c>
      <c r="U101" s="5">
        <v>0</v>
      </c>
      <c r="V101" s="5">
        <f>VLOOKUP(A101,Planilha1!B:E,4,0)</f>
        <v>5.893629113453061</v>
      </c>
    </row>
    <row r="102" spans="1:22" x14ac:dyDescent="0.3">
      <c r="A102" t="str">
        <f t="shared" si="2"/>
        <v>MANTEIGA 25KGLACTALIS</v>
      </c>
      <c r="B102" t="str">
        <f t="shared" si="3"/>
        <v>5225690MANTEIGA 25KGLACTALIS</v>
      </c>
      <c r="C102" s="5" t="s">
        <v>16</v>
      </c>
      <c r="D102" s="5" t="s">
        <v>53</v>
      </c>
      <c r="E102" s="5" t="s">
        <v>54</v>
      </c>
      <c r="F102" s="5">
        <v>5225690</v>
      </c>
      <c r="G102" s="5" t="s">
        <v>137</v>
      </c>
      <c r="H102" s="5" t="s">
        <v>103</v>
      </c>
      <c r="I102" s="5" t="s">
        <v>22</v>
      </c>
      <c r="J102" s="5" t="s">
        <v>92</v>
      </c>
      <c r="K102" s="6">
        <v>0</v>
      </c>
      <c r="L102" s="7">
        <v>0</v>
      </c>
      <c r="M102" s="8">
        <v>0</v>
      </c>
      <c r="N102" s="8">
        <v>0</v>
      </c>
      <c r="O102" s="8">
        <v>40000</v>
      </c>
      <c r="P102" s="8">
        <v>0</v>
      </c>
      <c r="Q102" s="8">
        <v>0</v>
      </c>
      <c r="R102" s="8">
        <v>0</v>
      </c>
      <c r="S102" s="8">
        <v>0</v>
      </c>
      <c r="T102" s="5">
        <v>0</v>
      </c>
      <c r="U102" s="5">
        <v>0</v>
      </c>
      <c r="V102" s="5">
        <f>VLOOKUP(A102,Planilha1!B:E,4,0)</f>
        <v>-1.2278576950723545</v>
      </c>
    </row>
    <row r="103" spans="1:22" x14ac:dyDescent="0.3">
      <c r="A103" t="str">
        <f t="shared" si="2"/>
        <v>LPD 25KGLACTALIS</v>
      </c>
      <c r="B103" t="str">
        <f t="shared" si="3"/>
        <v>5227311LPD 25KGLACTALIS</v>
      </c>
      <c r="C103" s="5" t="s">
        <v>16</v>
      </c>
      <c r="D103" s="5" t="s">
        <v>53</v>
      </c>
      <c r="E103" s="5" t="s">
        <v>54</v>
      </c>
      <c r="F103" s="5">
        <v>5227311</v>
      </c>
      <c r="G103" s="5" t="s">
        <v>138</v>
      </c>
      <c r="H103" s="5" t="s">
        <v>113</v>
      </c>
      <c r="I103" s="5" t="s">
        <v>22</v>
      </c>
      <c r="J103" s="5" t="s">
        <v>43</v>
      </c>
      <c r="K103" s="6">
        <v>0</v>
      </c>
      <c r="L103" s="7">
        <v>0</v>
      </c>
      <c r="M103" s="8">
        <v>0</v>
      </c>
      <c r="N103" s="8">
        <v>0</v>
      </c>
      <c r="O103" s="8">
        <v>24.09841431085367</v>
      </c>
      <c r="P103" s="8">
        <v>0</v>
      </c>
      <c r="Q103" s="8">
        <v>0</v>
      </c>
      <c r="R103" s="8">
        <v>0</v>
      </c>
      <c r="S103" s="8">
        <v>0</v>
      </c>
      <c r="T103" s="5">
        <v>0</v>
      </c>
      <c r="U103" s="5">
        <v>0</v>
      </c>
      <c r="V103" s="5">
        <f>VLOOKUP(A103,Planilha1!B:E,4,0)</f>
        <v>5.893629113453061</v>
      </c>
    </row>
    <row r="104" spans="1:22" x14ac:dyDescent="0.3">
      <c r="A104" t="str">
        <f t="shared" si="2"/>
        <v>LPI 25KGLACTALIS</v>
      </c>
      <c r="B104" t="str">
        <f t="shared" si="3"/>
        <v>5227311LPI 25KGLACTALIS</v>
      </c>
      <c r="C104" s="5" t="s">
        <v>16</v>
      </c>
      <c r="D104" s="5" t="s">
        <v>53</v>
      </c>
      <c r="E104" s="5" t="s">
        <v>54</v>
      </c>
      <c r="F104" s="5">
        <v>5227311</v>
      </c>
      <c r="G104" s="5" t="s">
        <v>138</v>
      </c>
      <c r="H104" s="5" t="s">
        <v>113</v>
      </c>
      <c r="I104" s="5" t="s">
        <v>22</v>
      </c>
      <c r="J104" s="5" t="s">
        <v>21</v>
      </c>
      <c r="K104" s="6">
        <v>0</v>
      </c>
      <c r="L104" s="7">
        <v>0</v>
      </c>
      <c r="M104" s="8">
        <v>583.33333333333326</v>
      </c>
      <c r="N104" s="8">
        <v>666.66666666666663</v>
      </c>
      <c r="O104" s="8">
        <v>766.1318845350014</v>
      </c>
      <c r="P104" s="8">
        <v>0</v>
      </c>
      <c r="Q104" s="8">
        <v>0</v>
      </c>
      <c r="R104" s="8">
        <v>0</v>
      </c>
      <c r="S104" s="8">
        <v>0</v>
      </c>
      <c r="T104" s="5">
        <v>0</v>
      </c>
      <c r="U104" s="5">
        <v>0</v>
      </c>
      <c r="V104" s="5">
        <f>VLOOKUP(A104,Planilha1!B:E,4,0)</f>
        <v>-4.3046759024811481</v>
      </c>
    </row>
    <row r="105" spans="1:22" x14ac:dyDescent="0.3">
      <c r="A105" t="str">
        <f t="shared" si="2"/>
        <v>LPI 25KGLACTALIS</v>
      </c>
      <c r="B105" t="str">
        <f t="shared" si="3"/>
        <v>5229467LPI 25KGLACTALIS</v>
      </c>
      <c r="C105" s="5" t="s">
        <v>16</v>
      </c>
      <c r="D105" s="5" t="s">
        <v>53</v>
      </c>
      <c r="E105" s="5" t="s">
        <v>54</v>
      </c>
      <c r="F105" s="5">
        <v>5229467</v>
      </c>
      <c r="G105" s="5" t="s">
        <v>139</v>
      </c>
      <c r="H105" s="5" t="s">
        <v>113</v>
      </c>
      <c r="I105" s="5" t="s">
        <v>22</v>
      </c>
      <c r="J105" s="5" t="s">
        <v>21</v>
      </c>
      <c r="K105" s="6">
        <v>0</v>
      </c>
      <c r="L105" s="7">
        <v>0</v>
      </c>
      <c r="M105" s="8">
        <v>333.33333333333331</v>
      </c>
      <c r="N105" s="8">
        <v>0</v>
      </c>
      <c r="O105" s="8">
        <v>510.76161017864285</v>
      </c>
      <c r="P105" s="8">
        <v>0</v>
      </c>
      <c r="Q105" s="8">
        <v>0</v>
      </c>
      <c r="R105" s="8">
        <v>0</v>
      </c>
      <c r="S105" s="8">
        <v>0</v>
      </c>
      <c r="T105" s="5">
        <v>0</v>
      </c>
      <c r="U105" s="5">
        <v>0</v>
      </c>
      <c r="V105" s="5">
        <f>VLOOKUP(A105,Planilha1!B:E,4,0)</f>
        <v>-4.3046759024811481</v>
      </c>
    </row>
    <row r="106" spans="1:22" x14ac:dyDescent="0.3">
      <c r="A106" t="str">
        <f t="shared" si="2"/>
        <v>LPI 25KGLACTALIS</v>
      </c>
      <c r="B106" t="str">
        <f t="shared" si="3"/>
        <v>5235618LPI 25KGLACTALIS</v>
      </c>
      <c r="C106" s="5" t="s">
        <v>16</v>
      </c>
      <c r="D106" s="5" t="s">
        <v>53</v>
      </c>
      <c r="E106" s="5" t="s">
        <v>54</v>
      </c>
      <c r="F106" s="5">
        <v>5235618</v>
      </c>
      <c r="G106" s="5" t="s">
        <v>140</v>
      </c>
      <c r="H106" s="5" t="s">
        <v>30</v>
      </c>
      <c r="I106" s="5" t="s">
        <v>22</v>
      </c>
      <c r="J106" s="5" t="s">
        <v>21</v>
      </c>
      <c r="K106" s="6">
        <v>0</v>
      </c>
      <c r="L106" s="7">
        <v>0</v>
      </c>
      <c r="M106" s="8">
        <v>0</v>
      </c>
      <c r="N106" s="8">
        <v>-8000</v>
      </c>
      <c r="O106" s="8">
        <v>5107.5529173886516</v>
      </c>
      <c r="P106" s="8">
        <v>0</v>
      </c>
      <c r="Q106" s="8">
        <v>0</v>
      </c>
      <c r="R106" s="8">
        <v>0</v>
      </c>
      <c r="S106" s="8">
        <v>0</v>
      </c>
      <c r="T106" s="5">
        <v>0</v>
      </c>
      <c r="U106" s="5">
        <v>0</v>
      </c>
      <c r="V106" s="5">
        <f>VLOOKUP(A106,Planilha1!B:E,4,0)</f>
        <v>-4.3046759024811481</v>
      </c>
    </row>
    <row r="107" spans="1:22" x14ac:dyDescent="0.3">
      <c r="A107" t="str">
        <f t="shared" si="2"/>
        <v>CREME 35%LACTALIS</v>
      </c>
      <c r="B107" t="str">
        <f t="shared" si="3"/>
        <v>5250288CREME 35%LACTALIS</v>
      </c>
      <c r="C107" s="5" t="s">
        <v>16</v>
      </c>
      <c r="D107" s="5" t="s">
        <v>53</v>
      </c>
      <c r="E107" s="5" t="s">
        <v>54</v>
      </c>
      <c r="F107" s="5">
        <v>5250288</v>
      </c>
      <c r="G107" s="5" t="s">
        <v>131</v>
      </c>
      <c r="H107" s="5" t="s">
        <v>113</v>
      </c>
      <c r="I107" s="5" t="s">
        <v>22</v>
      </c>
      <c r="J107" s="5" t="s">
        <v>89</v>
      </c>
      <c r="K107" s="6">
        <v>0</v>
      </c>
      <c r="L107" s="7">
        <v>72000</v>
      </c>
      <c r="M107" s="8">
        <v>100383.33333333334</v>
      </c>
      <c r="N107" s="8">
        <v>77000</v>
      </c>
      <c r="O107" s="8">
        <v>100790.54821619228</v>
      </c>
      <c r="P107" s="8">
        <v>0</v>
      </c>
      <c r="Q107" s="8">
        <v>61000</v>
      </c>
      <c r="R107" s="8">
        <v>0</v>
      </c>
      <c r="S107" s="8">
        <v>0</v>
      </c>
      <c r="T107" s="5">
        <v>90000</v>
      </c>
      <c r="U107" s="5">
        <v>0</v>
      </c>
      <c r="V107" s="5">
        <f>VLOOKUP(A107,Planilha1!B:E,4,0)</f>
        <v>6.4420264254159507</v>
      </c>
    </row>
    <row r="108" spans="1:22" x14ac:dyDescent="0.3">
      <c r="A108" t="str">
        <f t="shared" si="2"/>
        <v>CREME 35%LACTALIS</v>
      </c>
      <c r="B108" t="str">
        <f t="shared" si="3"/>
        <v>5253978CREME 35%LACTALIS</v>
      </c>
      <c r="C108" s="5" t="s">
        <v>16</v>
      </c>
      <c r="D108" s="5" t="s">
        <v>53</v>
      </c>
      <c r="E108" s="5" t="s">
        <v>54</v>
      </c>
      <c r="F108" s="5">
        <v>5253978</v>
      </c>
      <c r="G108" s="5" t="s">
        <v>131</v>
      </c>
      <c r="H108" s="5" t="s">
        <v>30</v>
      </c>
      <c r="I108" s="5" t="s">
        <v>22</v>
      </c>
      <c r="J108" s="5" t="s">
        <v>89</v>
      </c>
      <c r="K108" s="6">
        <v>0</v>
      </c>
      <c r="L108" s="7">
        <v>0</v>
      </c>
      <c r="M108" s="8">
        <v>32866.666666666664</v>
      </c>
      <c r="N108" s="8">
        <v>37733.333333333336</v>
      </c>
      <c r="O108" s="8">
        <v>9714.7466293522575</v>
      </c>
      <c r="P108" s="8">
        <v>0</v>
      </c>
      <c r="Q108" s="8">
        <v>48000</v>
      </c>
      <c r="R108" s="8">
        <v>0</v>
      </c>
      <c r="S108" s="8">
        <v>0</v>
      </c>
      <c r="T108" s="5">
        <v>48000</v>
      </c>
      <c r="U108" s="5">
        <v>0</v>
      </c>
      <c r="V108" s="5">
        <f>VLOOKUP(A108,Planilha1!B:E,4,0)</f>
        <v>6.4420264254159507</v>
      </c>
    </row>
    <row r="109" spans="1:22" x14ac:dyDescent="0.3">
      <c r="A109" t="str">
        <f t="shared" si="2"/>
        <v>LPD 25KGLACTALIS</v>
      </c>
      <c r="B109" t="str">
        <f t="shared" si="3"/>
        <v>5279458LPD 25KGLACTALIS</v>
      </c>
      <c r="C109" s="5" t="s">
        <v>16</v>
      </c>
      <c r="D109" s="5" t="s">
        <v>53</v>
      </c>
      <c r="E109" s="5" t="s">
        <v>54</v>
      </c>
      <c r="F109" s="5">
        <v>5279458</v>
      </c>
      <c r="G109" s="5" t="s">
        <v>141</v>
      </c>
      <c r="H109" s="5" t="s">
        <v>113</v>
      </c>
      <c r="I109" s="5" t="s">
        <v>22</v>
      </c>
      <c r="J109" s="5" t="s">
        <v>43</v>
      </c>
      <c r="K109" s="6">
        <v>0</v>
      </c>
      <c r="L109" s="7">
        <v>0</v>
      </c>
      <c r="M109" s="8">
        <v>833.33333333333337</v>
      </c>
      <c r="N109" s="8">
        <v>0</v>
      </c>
      <c r="O109" s="8">
        <v>803.29666893486626</v>
      </c>
      <c r="P109" s="8">
        <v>0</v>
      </c>
      <c r="Q109" s="8">
        <v>0</v>
      </c>
      <c r="R109" s="8">
        <v>0</v>
      </c>
      <c r="S109" s="8">
        <v>0</v>
      </c>
      <c r="T109" s="5">
        <v>0</v>
      </c>
      <c r="U109" s="5">
        <v>0</v>
      </c>
      <c r="V109" s="5">
        <f>VLOOKUP(A109,Planilha1!B:E,4,0)</f>
        <v>5.893629113453061</v>
      </c>
    </row>
    <row r="110" spans="1:22" x14ac:dyDescent="0.3">
      <c r="A110" t="str">
        <f t="shared" si="2"/>
        <v>DOCE DE LEITEITAMBÉ</v>
      </c>
      <c r="B110" t="str">
        <f t="shared" si="3"/>
        <v>5299341DOCE DE LEITEITAMBÉ</v>
      </c>
      <c r="C110" s="5" t="s">
        <v>16</v>
      </c>
      <c r="D110" s="5" t="s">
        <v>53</v>
      </c>
      <c r="E110" s="5" t="s">
        <v>54</v>
      </c>
      <c r="F110" s="5">
        <v>5299341</v>
      </c>
      <c r="G110" s="5" t="s">
        <v>142</v>
      </c>
      <c r="H110" s="5" t="s">
        <v>88</v>
      </c>
      <c r="I110" s="5" t="s">
        <v>27</v>
      </c>
      <c r="J110" s="5" t="s">
        <v>46</v>
      </c>
      <c r="K110" s="6">
        <v>0</v>
      </c>
      <c r="L110" s="7">
        <v>0</v>
      </c>
      <c r="M110" s="8">
        <v>142.5</v>
      </c>
      <c r="N110" s="8">
        <v>205</v>
      </c>
      <c r="O110" s="8">
        <v>11393.65106577519</v>
      </c>
      <c r="P110" s="8">
        <v>0</v>
      </c>
      <c r="Q110" s="8">
        <v>-36</v>
      </c>
      <c r="R110" s="8">
        <v>0</v>
      </c>
      <c r="S110" s="8">
        <v>0</v>
      </c>
      <c r="T110" s="5">
        <v>0</v>
      </c>
      <c r="U110" s="5">
        <v>0</v>
      </c>
      <c r="V110" s="5">
        <f>VLOOKUP(A110,Planilha1!B:E,4,0)</f>
        <v>5.8210743907543439</v>
      </c>
    </row>
    <row r="111" spans="1:22" x14ac:dyDescent="0.3">
      <c r="A111" t="str">
        <f t="shared" si="2"/>
        <v>LPI 25KGITAMBÉ</v>
      </c>
      <c r="B111" t="str">
        <f t="shared" si="3"/>
        <v>5299341LPI 25KGITAMBÉ</v>
      </c>
      <c r="C111" s="5" t="s">
        <v>16</v>
      </c>
      <c r="D111" s="5" t="s">
        <v>53</v>
      </c>
      <c r="E111" s="5" t="s">
        <v>54</v>
      </c>
      <c r="F111" s="5">
        <v>5299341</v>
      </c>
      <c r="G111" s="5" t="s">
        <v>142</v>
      </c>
      <c r="H111" s="5" t="s">
        <v>88</v>
      </c>
      <c r="I111" s="5" t="s">
        <v>27</v>
      </c>
      <c r="J111" s="5" t="s">
        <v>21</v>
      </c>
      <c r="K111" s="6">
        <v>0</v>
      </c>
      <c r="L111" s="7">
        <v>0</v>
      </c>
      <c r="M111" s="8">
        <v>0</v>
      </c>
      <c r="N111" s="8">
        <v>0</v>
      </c>
      <c r="O111" s="8">
        <v>105137.64308749473</v>
      </c>
      <c r="P111" s="8">
        <v>0</v>
      </c>
      <c r="Q111" s="8">
        <v>0</v>
      </c>
      <c r="R111" s="8">
        <v>0</v>
      </c>
      <c r="S111" s="8">
        <v>0</v>
      </c>
      <c r="T111" s="5">
        <v>0</v>
      </c>
      <c r="U111" s="5">
        <v>0</v>
      </c>
      <c r="V111" s="5">
        <f>VLOOKUP(A111,Planilha1!B:E,4,0)</f>
        <v>-1.218192805504376</v>
      </c>
    </row>
    <row r="112" spans="1:22" x14ac:dyDescent="0.3">
      <c r="A112" t="str">
        <f t="shared" si="2"/>
        <v>LPI 25KGLACTALIS</v>
      </c>
      <c r="B112" t="str">
        <f t="shared" si="3"/>
        <v>5314037LPI 25KGLACTALIS</v>
      </c>
      <c r="C112" s="5" t="s">
        <v>16</v>
      </c>
      <c r="D112" s="5" t="s">
        <v>53</v>
      </c>
      <c r="E112" s="5" t="s">
        <v>54</v>
      </c>
      <c r="F112" s="5">
        <v>5314037</v>
      </c>
      <c r="G112" s="5" t="s">
        <v>143</v>
      </c>
      <c r="H112" s="5" t="s">
        <v>30</v>
      </c>
      <c r="I112" s="5" t="s">
        <v>22</v>
      </c>
      <c r="J112" s="5" t="s">
        <v>21</v>
      </c>
      <c r="K112" s="6">
        <v>0</v>
      </c>
      <c r="L112" s="7">
        <v>0</v>
      </c>
      <c r="M112" s="8">
        <v>4550</v>
      </c>
      <c r="N112" s="8">
        <v>3116.6666666666665</v>
      </c>
      <c r="O112" s="8">
        <v>5618.2934661013678</v>
      </c>
      <c r="P112" s="8">
        <v>0</v>
      </c>
      <c r="Q112" s="8">
        <v>0</v>
      </c>
      <c r="R112" s="8">
        <v>0</v>
      </c>
      <c r="S112" s="8">
        <v>0</v>
      </c>
      <c r="T112" s="5">
        <v>0</v>
      </c>
      <c r="U112" s="5">
        <v>0</v>
      </c>
      <c r="V112" s="5">
        <f>VLOOKUP(A112,Planilha1!B:E,4,0)</f>
        <v>-4.3046759024811481</v>
      </c>
    </row>
    <row r="113" spans="1:22" x14ac:dyDescent="0.3">
      <c r="A113" t="str">
        <f t="shared" si="2"/>
        <v>COMPOSTOITAMBÉ</v>
      </c>
      <c r="B113" t="str">
        <f t="shared" si="3"/>
        <v>5331354COMPOSTOITAMBÉ</v>
      </c>
      <c r="C113" s="5" t="s">
        <v>16</v>
      </c>
      <c r="D113" s="5" t="s">
        <v>53</v>
      </c>
      <c r="E113" s="5" t="s">
        <v>54</v>
      </c>
      <c r="F113" s="5">
        <v>5331354</v>
      </c>
      <c r="G113" s="5" t="s">
        <v>144</v>
      </c>
      <c r="H113" s="5" t="s">
        <v>30</v>
      </c>
      <c r="I113" s="5" t="s">
        <v>27</v>
      </c>
      <c r="J113" s="5" t="s">
        <v>26</v>
      </c>
      <c r="K113" s="6">
        <v>0</v>
      </c>
      <c r="L113" s="7">
        <v>0</v>
      </c>
      <c r="M113" s="8">
        <v>10162.5</v>
      </c>
      <c r="N113" s="8">
        <v>8000</v>
      </c>
      <c r="O113" s="8">
        <v>22937.990155635627</v>
      </c>
      <c r="P113" s="8">
        <v>0</v>
      </c>
      <c r="Q113" s="8">
        <v>0</v>
      </c>
      <c r="R113" s="8">
        <v>0</v>
      </c>
      <c r="S113" s="8">
        <v>0</v>
      </c>
      <c r="T113" s="5">
        <v>0</v>
      </c>
      <c r="U113" s="5">
        <v>0</v>
      </c>
      <c r="V113" s="5">
        <f>VLOOKUP(A113,Planilha1!B:E,4,0)</f>
        <v>0.15618217875936719</v>
      </c>
    </row>
    <row r="114" spans="1:22" x14ac:dyDescent="0.3">
      <c r="A114" t="str">
        <f t="shared" si="2"/>
        <v>COMPOSTOITAMBÉ</v>
      </c>
      <c r="B114" t="str">
        <f t="shared" si="3"/>
        <v>5354300COMPOSTOITAMBÉ</v>
      </c>
      <c r="C114" s="5" t="s">
        <v>16</v>
      </c>
      <c r="D114" s="5" t="s">
        <v>53</v>
      </c>
      <c r="E114" s="5" t="s">
        <v>54</v>
      </c>
      <c r="F114" s="5">
        <v>5354300</v>
      </c>
      <c r="G114" s="5" t="s">
        <v>145</v>
      </c>
      <c r="H114" s="5" t="s">
        <v>113</v>
      </c>
      <c r="I114" s="5" t="s">
        <v>27</v>
      </c>
      <c r="J114" s="5" t="s">
        <v>26</v>
      </c>
      <c r="K114" s="6">
        <v>0</v>
      </c>
      <c r="L114" s="7">
        <v>0</v>
      </c>
      <c r="M114" s="8">
        <v>-8.3333333333333339</v>
      </c>
      <c r="N114" s="8">
        <v>0</v>
      </c>
      <c r="O114" s="8">
        <v>413.27144291341534</v>
      </c>
      <c r="P114" s="8">
        <v>0</v>
      </c>
      <c r="Q114" s="8">
        <v>0</v>
      </c>
      <c r="R114" s="8">
        <v>0</v>
      </c>
      <c r="S114" s="8">
        <v>0</v>
      </c>
      <c r="T114" s="5">
        <v>0</v>
      </c>
      <c r="U114" s="5">
        <v>0</v>
      </c>
      <c r="V114" s="5">
        <f>VLOOKUP(A114,Planilha1!B:E,4,0)</f>
        <v>0.15618217875936719</v>
      </c>
    </row>
    <row r="115" spans="1:22" x14ac:dyDescent="0.3">
      <c r="A115" t="str">
        <f t="shared" si="2"/>
        <v>LPI 25KGLACTALIS</v>
      </c>
      <c r="B115" t="str">
        <f t="shared" si="3"/>
        <v>5354424LPI 25KGLACTALIS</v>
      </c>
      <c r="C115" s="5" t="s">
        <v>16</v>
      </c>
      <c r="D115" s="5" t="s">
        <v>53</v>
      </c>
      <c r="E115" s="5" t="s">
        <v>54</v>
      </c>
      <c r="F115" s="5">
        <v>5354424</v>
      </c>
      <c r="G115" s="5" t="s">
        <v>146</v>
      </c>
      <c r="H115" s="5" t="s">
        <v>30</v>
      </c>
      <c r="I115" s="5" t="s">
        <v>22</v>
      </c>
      <c r="J115" s="5" t="s">
        <v>21</v>
      </c>
      <c r="K115" s="6">
        <v>0</v>
      </c>
      <c r="L115" s="7">
        <v>0</v>
      </c>
      <c r="M115" s="8">
        <v>0</v>
      </c>
      <c r="N115" s="8">
        <v>0</v>
      </c>
      <c r="O115" s="8">
        <v>6129.0761377459366</v>
      </c>
      <c r="P115" s="8">
        <v>0</v>
      </c>
      <c r="Q115" s="8">
        <v>0</v>
      </c>
      <c r="R115" s="8">
        <v>0</v>
      </c>
      <c r="S115" s="8">
        <v>0</v>
      </c>
      <c r="T115" s="5">
        <v>0</v>
      </c>
      <c r="U115" s="5">
        <v>0</v>
      </c>
      <c r="V115" s="5">
        <f>VLOOKUP(A115,Planilha1!B:E,4,0)</f>
        <v>-4.3046759024811481</v>
      </c>
    </row>
    <row r="116" spans="1:22" x14ac:dyDescent="0.3">
      <c r="A116" t="str">
        <f t="shared" si="2"/>
        <v>LPI 25KGLACTALIS</v>
      </c>
      <c r="B116" t="str">
        <f t="shared" si="3"/>
        <v>5354989LPI 25KGLACTALIS</v>
      </c>
      <c r="C116" s="5" t="s">
        <v>16</v>
      </c>
      <c r="D116" s="5" t="s">
        <v>53</v>
      </c>
      <c r="E116" s="5" t="s">
        <v>54</v>
      </c>
      <c r="F116" s="5">
        <v>5354989</v>
      </c>
      <c r="G116" s="5" t="s">
        <v>147</v>
      </c>
      <c r="H116" s="5" t="s">
        <v>30</v>
      </c>
      <c r="I116" s="5" t="s">
        <v>22</v>
      </c>
      <c r="J116" s="5" t="s">
        <v>21</v>
      </c>
      <c r="K116" s="6">
        <v>0</v>
      </c>
      <c r="L116" s="7">
        <v>0</v>
      </c>
      <c r="M116" s="8">
        <v>8000</v>
      </c>
      <c r="N116" s="8">
        <v>0</v>
      </c>
      <c r="O116" s="8">
        <v>12258.152275491873</v>
      </c>
      <c r="P116" s="8">
        <v>0</v>
      </c>
      <c r="Q116" s="8">
        <v>24000</v>
      </c>
      <c r="R116" s="8">
        <v>0</v>
      </c>
      <c r="S116" s="8">
        <v>0</v>
      </c>
      <c r="T116" s="5">
        <v>24000</v>
      </c>
      <c r="U116" s="5">
        <v>0</v>
      </c>
      <c r="V116" s="5">
        <f>VLOOKUP(A116,Planilha1!B:E,4,0)</f>
        <v>-4.3046759024811481</v>
      </c>
    </row>
    <row r="117" spans="1:22" x14ac:dyDescent="0.3">
      <c r="A117" t="str">
        <f t="shared" si="2"/>
        <v>LPI 25KGLACTALIS</v>
      </c>
      <c r="B117" t="str">
        <f t="shared" si="3"/>
        <v>5355051LPI 25KGLACTALIS</v>
      </c>
      <c r="C117" s="5" t="s">
        <v>16</v>
      </c>
      <c r="D117" s="5" t="s">
        <v>53</v>
      </c>
      <c r="E117" s="5" t="s">
        <v>54</v>
      </c>
      <c r="F117" s="5">
        <v>5355051</v>
      </c>
      <c r="G117" s="5" t="s">
        <v>148</v>
      </c>
      <c r="H117" s="5" t="s">
        <v>30</v>
      </c>
      <c r="I117" s="5" t="s">
        <v>22</v>
      </c>
      <c r="J117" s="5" t="s">
        <v>21</v>
      </c>
      <c r="K117" s="6">
        <v>0</v>
      </c>
      <c r="L117" s="7">
        <v>0</v>
      </c>
      <c r="M117" s="8">
        <v>19816.666666666664</v>
      </c>
      <c r="N117" s="8">
        <v>8300</v>
      </c>
      <c r="O117" s="8">
        <v>17876.466803059164</v>
      </c>
      <c r="P117" s="8">
        <v>0</v>
      </c>
      <c r="Q117" s="8">
        <v>0</v>
      </c>
      <c r="R117" s="8">
        <v>0</v>
      </c>
      <c r="S117" s="8">
        <v>0</v>
      </c>
      <c r="T117" s="5">
        <v>0</v>
      </c>
      <c r="U117" s="5">
        <v>0</v>
      </c>
      <c r="V117" s="5">
        <f>VLOOKUP(A117,Planilha1!B:E,4,0)</f>
        <v>-4.3046759024811481</v>
      </c>
    </row>
    <row r="118" spans="1:22" x14ac:dyDescent="0.3">
      <c r="A118" t="str">
        <f t="shared" si="2"/>
        <v>IOGURTESITAMBÉ</v>
      </c>
      <c r="B118" t="str">
        <f t="shared" si="3"/>
        <v>5002086IOGURTESITAMBÉ</v>
      </c>
      <c r="C118" s="5" t="s">
        <v>149</v>
      </c>
      <c r="D118" s="5" t="s">
        <v>150</v>
      </c>
      <c r="E118" s="5" t="s">
        <v>151</v>
      </c>
      <c r="F118" s="5">
        <v>5002086</v>
      </c>
      <c r="G118" s="5" t="s">
        <v>152</v>
      </c>
      <c r="H118" s="5" t="s">
        <v>25</v>
      </c>
      <c r="I118" s="5" t="s">
        <v>27</v>
      </c>
      <c r="J118" s="5" t="s">
        <v>153</v>
      </c>
      <c r="K118" s="6">
        <v>0</v>
      </c>
      <c r="L118" s="7">
        <v>0</v>
      </c>
      <c r="M118" s="8">
        <v>994.32000000000016</v>
      </c>
      <c r="N118" s="8">
        <v>874.66666666666663</v>
      </c>
      <c r="O118" s="8">
        <v>2456.5057597661239</v>
      </c>
      <c r="P118" s="8">
        <v>0</v>
      </c>
      <c r="Q118" s="8">
        <v>0</v>
      </c>
      <c r="R118" s="8">
        <v>0</v>
      </c>
      <c r="S118" s="8">
        <v>0</v>
      </c>
      <c r="T118" s="5">
        <v>0</v>
      </c>
      <c r="U118" s="5">
        <v>0</v>
      </c>
      <c r="V118" s="5">
        <f>VLOOKUP(A118,Planilha1!B:E,4,0)</f>
        <v>3.2554443184120534</v>
      </c>
    </row>
    <row r="119" spans="1:22" x14ac:dyDescent="0.3">
      <c r="A119" t="str">
        <f t="shared" si="2"/>
        <v>QUEIJOSLACTALIS</v>
      </c>
      <c r="B119" t="str">
        <f t="shared" si="3"/>
        <v>5160324QUEIJOSLACTALIS</v>
      </c>
      <c r="C119" s="5" t="s">
        <v>16</v>
      </c>
      <c r="D119" s="5" t="s">
        <v>16</v>
      </c>
      <c r="E119" s="5" t="s">
        <v>132</v>
      </c>
      <c r="F119" s="5">
        <v>5160324</v>
      </c>
      <c r="G119" s="5" t="s">
        <v>97</v>
      </c>
      <c r="H119" s="5" t="s">
        <v>154</v>
      </c>
      <c r="I119" s="5" t="s">
        <v>22</v>
      </c>
      <c r="J119" s="5" t="s">
        <v>63</v>
      </c>
      <c r="K119" s="6">
        <v>0</v>
      </c>
      <c r="L119" s="7">
        <v>0</v>
      </c>
      <c r="M119" s="8">
        <v>5913</v>
      </c>
      <c r="N119" s="8">
        <v>0</v>
      </c>
      <c r="O119" s="8">
        <v>66666.67</v>
      </c>
      <c r="P119" s="8">
        <v>0</v>
      </c>
      <c r="Q119" s="8">
        <v>0</v>
      </c>
      <c r="R119" s="8">
        <v>0</v>
      </c>
      <c r="S119" s="8">
        <v>0</v>
      </c>
      <c r="T119" s="5">
        <v>0</v>
      </c>
      <c r="U119" s="5">
        <v>0</v>
      </c>
      <c r="V119" s="5">
        <f>VLOOKUP(A119,Planilha1!B:E,4,0)</f>
        <v>-1.9171310037550682</v>
      </c>
    </row>
    <row r="120" spans="1:22" x14ac:dyDescent="0.3">
      <c r="A120" t="str">
        <f t="shared" si="2"/>
        <v>MANTEIGA 25KGLACTALIS</v>
      </c>
      <c r="B120" t="str">
        <f t="shared" si="3"/>
        <v>5059695MANTEIGA 25KGLACTALIS</v>
      </c>
      <c r="C120" s="5" t="s">
        <v>16</v>
      </c>
      <c r="D120" s="5" t="s">
        <v>28</v>
      </c>
      <c r="E120" s="5" t="s">
        <v>28</v>
      </c>
      <c r="F120" s="5">
        <v>5059695</v>
      </c>
      <c r="G120" s="5" t="s">
        <v>133</v>
      </c>
      <c r="H120" s="5" t="s">
        <v>30</v>
      </c>
      <c r="I120" s="5" t="s">
        <v>22</v>
      </c>
      <c r="J120" s="5" t="s">
        <v>92</v>
      </c>
      <c r="K120" s="6">
        <v>0</v>
      </c>
      <c r="L120" s="7">
        <v>99875</v>
      </c>
      <c r="M120" s="8">
        <v>117224.49999999999</v>
      </c>
      <c r="N120" s="8">
        <v>118129</v>
      </c>
      <c r="O120" s="8">
        <v>115000</v>
      </c>
      <c r="P120" s="8">
        <v>0</v>
      </c>
      <c r="Q120" s="8">
        <v>150000</v>
      </c>
      <c r="R120" s="8">
        <v>0</v>
      </c>
      <c r="S120" s="8">
        <v>0</v>
      </c>
      <c r="T120" s="5">
        <v>200000</v>
      </c>
      <c r="U120" s="5">
        <v>0</v>
      </c>
      <c r="V120" s="5">
        <f>VLOOKUP(A120,Planilha1!B:E,4,0)</f>
        <v>-1.2278576950723545</v>
      </c>
    </row>
    <row r="121" spans="1:22" x14ac:dyDescent="0.3">
      <c r="A121" t="str">
        <f t="shared" si="2"/>
        <v>LEITE UHTLACTALIS</v>
      </c>
      <c r="B121" t="str">
        <f t="shared" si="3"/>
        <v>5171625LEITE UHTLACTALIS</v>
      </c>
      <c r="C121" s="5" t="s">
        <v>16</v>
      </c>
      <c r="D121" s="5" t="s">
        <v>16</v>
      </c>
      <c r="E121" s="5" t="s">
        <v>132</v>
      </c>
      <c r="F121" s="5">
        <v>5171625</v>
      </c>
      <c r="G121" s="5" t="s">
        <v>155</v>
      </c>
      <c r="H121" s="5" t="s">
        <v>30</v>
      </c>
      <c r="I121" s="5" t="s">
        <v>22</v>
      </c>
      <c r="J121" s="5" t="s">
        <v>156</v>
      </c>
      <c r="K121" s="6">
        <v>0</v>
      </c>
      <c r="L121" s="7">
        <v>53244</v>
      </c>
      <c r="M121" s="8">
        <v>48280</v>
      </c>
      <c r="N121" s="8">
        <v>40800</v>
      </c>
      <c r="O121" s="8">
        <v>59160.000000000022</v>
      </c>
      <c r="P121" s="8">
        <v>0</v>
      </c>
      <c r="Q121" s="8">
        <v>48960</v>
      </c>
      <c r="R121" s="8">
        <v>0</v>
      </c>
      <c r="S121" s="8">
        <v>0</v>
      </c>
      <c r="T121" s="5">
        <v>50428.800000000003</v>
      </c>
      <c r="U121" s="5">
        <v>0</v>
      </c>
      <c r="V121" s="5">
        <f>VLOOKUP(A121,Planilha1!B:E,4,0)</f>
        <v>0.37177548115779385</v>
      </c>
    </row>
    <row r="122" spans="1:22" x14ac:dyDescent="0.3">
      <c r="A122" t="str">
        <f t="shared" si="2"/>
        <v>COMPOSTOITAMBÉ</v>
      </c>
      <c r="B122" t="str">
        <f t="shared" si="3"/>
        <v>5169592COMPOSTOITAMBÉ</v>
      </c>
      <c r="C122" s="5" t="s">
        <v>16</v>
      </c>
      <c r="D122" s="5" t="s">
        <v>28</v>
      </c>
      <c r="E122" s="5" t="s">
        <v>23</v>
      </c>
      <c r="F122" s="5">
        <v>5169592</v>
      </c>
      <c r="G122" s="5" t="s">
        <v>157</v>
      </c>
      <c r="H122" s="5" t="s">
        <v>30</v>
      </c>
      <c r="I122" s="5" t="s">
        <v>27</v>
      </c>
      <c r="J122" s="5" t="s">
        <v>26</v>
      </c>
      <c r="K122" s="6">
        <v>0</v>
      </c>
      <c r="L122" s="7">
        <v>0</v>
      </c>
      <c r="M122" s="8">
        <v>1250</v>
      </c>
      <c r="N122" s="8">
        <v>1666.6666666666667</v>
      </c>
      <c r="O122" s="8">
        <v>5110.3151527155424</v>
      </c>
      <c r="P122" s="8">
        <v>0</v>
      </c>
      <c r="Q122" s="8">
        <v>5000</v>
      </c>
      <c r="R122" s="8">
        <v>0</v>
      </c>
      <c r="S122" s="8">
        <v>0</v>
      </c>
      <c r="T122" s="5">
        <v>5000</v>
      </c>
      <c r="U122" s="5">
        <v>0</v>
      </c>
      <c r="V122" s="5">
        <f>VLOOKUP(A122,Planilha1!B:E,4,0)</f>
        <v>0.15618217875936719</v>
      </c>
    </row>
    <row r="123" spans="1:22" x14ac:dyDescent="0.3">
      <c r="A123" t="str">
        <f t="shared" si="2"/>
        <v>COMPOSTOITAMBÉ</v>
      </c>
      <c r="B123" t="str">
        <f t="shared" si="3"/>
        <v>5181837COMPOSTOITAMBÉ</v>
      </c>
      <c r="C123" s="5" t="s">
        <v>16</v>
      </c>
      <c r="D123" s="5" t="s">
        <v>28</v>
      </c>
      <c r="E123" s="5" t="s">
        <v>23</v>
      </c>
      <c r="F123" s="5">
        <v>5181837</v>
      </c>
      <c r="G123" s="5" t="s">
        <v>158</v>
      </c>
      <c r="H123" s="5" t="s">
        <v>88</v>
      </c>
      <c r="I123" s="5" t="s">
        <v>27</v>
      </c>
      <c r="J123" s="5" t="s">
        <v>26</v>
      </c>
      <c r="K123" s="6">
        <v>0</v>
      </c>
      <c r="L123" s="7">
        <v>0</v>
      </c>
      <c r="M123" s="8">
        <v>166.66666666666666</v>
      </c>
      <c r="N123" s="8">
        <v>-333.33333333333331</v>
      </c>
      <c r="O123" s="8">
        <v>1021.7780157548923</v>
      </c>
      <c r="P123" s="8">
        <v>0</v>
      </c>
      <c r="Q123" s="8">
        <v>0</v>
      </c>
      <c r="R123" s="8">
        <v>0</v>
      </c>
      <c r="S123" s="8">
        <v>0</v>
      </c>
      <c r="T123" s="5">
        <v>0</v>
      </c>
      <c r="U123" s="5">
        <v>0</v>
      </c>
      <c r="V123" s="5">
        <f>VLOOKUP(A123,Planilha1!B:E,4,0)</f>
        <v>0.15618217875936719</v>
      </c>
    </row>
    <row r="124" spans="1:22" x14ac:dyDescent="0.3">
      <c r="A124" t="str">
        <f t="shared" si="2"/>
        <v>COMPOSTOITAMBÉ</v>
      </c>
      <c r="B124" t="str">
        <f t="shared" si="3"/>
        <v>5213747COMPOSTOITAMBÉ</v>
      </c>
      <c r="C124" s="5" t="s">
        <v>16</v>
      </c>
      <c r="D124" s="5" t="s">
        <v>28</v>
      </c>
      <c r="E124" s="5" t="s">
        <v>23</v>
      </c>
      <c r="F124" s="5">
        <v>5213747</v>
      </c>
      <c r="G124" s="5" t="s">
        <v>159</v>
      </c>
      <c r="H124" s="5" t="s">
        <v>30</v>
      </c>
      <c r="I124" s="5" t="s">
        <v>27</v>
      </c>
      <c r="J124" s="5" t="s">
        <v>26</v>
      </c>
      <c r="K124" s="6">
        <v>0</v>
      </c>
      <c r="L124" s="7">
        <v>0</v>
      </c>
      <c r="M124" s="8">
        <v>1775</v>
      </c>
      <c r="N124" s="8">
        <v>1250</v>
      </c>
      <c r="O124" s="8">
        <v>1276.8662512083451</v>
      </c>
      <c r="P124" s="8">
        <v>0</v>
      </c>
      <c r="Q124" s="8">
        <v>1250</v>
      </c>
      <c r="R124" s="8">
        <v>0</v>
      </c>
      <c r="S124" s="8">
        <v>0</v>
      </c>
      <c r="T124" s="5">
        <v>1250</v>
      </c>
      <c r="U124" s="5">
        <v>0</v>
      </c>
      <c r="V124" s="5">
        <f>VLOOKUP(A124,Planilha1!B:E,4,0)</f>
        <v>0.15618217875936719</v>
      </c>
    </row>
    <row r="125" spans="1:22" x14ac:dyDescent="0.3">
      <c r="A125" t="str">
        <f t="shared" si="2"/>
        <v>COMPOSTOITAMBÉ</v>
      </c>
      <c r="B125" t="str">
        <f t="shared" si="3"/>
        <v>5317846COMPOSTOITAMBÉ</v>
      </c>
      <c r="C125" s="5" t="s">
        <v>16</v>
      </c>
      <c r="D125" s="5" t="s">
        <v>28</v>
      </c>
      <c r="E125" s="5" t="s">
        <v>23</v>
      </c>
      <c r="F125" s="5">
        <v>5317846</v>
      </c>
      <c r="G125" s="5" t="s">
        <v>160</v>
      </c>
      <c r="H125" s="5" t="s">
        <v>154</v>
      </c>
      <c r="I125" s="5" t="s">
        <v>27</v>
      </c>
      <c r="J125" s="5" t="s">
        <v>26</v>
      </c>
      <c r="K125" s="6">
        <v>0</v>
      </c>
      <c r="L125" s="7">
        <v>3750</v>
      </c>
      <c r="M125" s="8">
        <v>2537.5</v>
      </c>
      <c r="N125" s="8">
        <v>4583.333333333333</v>
      </c>
      <c r="O125" s="8">
        <v>3833.4489015071972</v>
      </c>
      <c r="P125" s="8">
        <v>0</v>
      </c>
      <c r="Q125" s="8">
        <v>5000</v>
      </c>
      <c r="R125" s="8">
        <v>0</v>
      </c>
      <c r="S125" s="8">
        <v>0</v>
      </c>
      <c r="T125" s="5">
        <v>5000</v>
      </c>
      <c r="U125" s="5">
        <v>0</v>
      </c>
      <c r="V125" s="5">
        <f>VLOOKUP(A125,Planilha1!B:E,4,0)</f>
        <v>0.15618217875936719</v>
      </c>
    </row>
    <row r="126" spans="1:22" x14ac:dyDescent="0.3">
      <c r="A126" t="str">
        <f t="shared" si="2"/>
        <v>COMPOSTOITAMBÉ</v>
      </c>
      <c r="B126" t="str">
        <f t="shared" si="3"/>
        <v>5347237COMPOSTOITAMBÉ</v>
      </c>
      <c r="C126" s="5" t="s">
        <v>16</v>
      </c>
      <c r="D126" s="5" t="s">
        <v>28</v>
      </c>
      <c r="E126" s="5" t="s">
        <v>23</v>
      </c>
      <c r="F126" s="5">
        <v>5347237</v>
      </c>
      <c r="G126" s="5" t="s">
        <v>161</v>
      </c>
      <c r="H126" s="5" t="s">
        <v>30</v>
      </c>
      <c r="I126" s="5" t="s">
        <v>27</v>
      </c>
      <c r="J126" s="5" t="s">
        <v>26</v>
      </c>
      <c r="K126" s="6">
        <v>0</v>
      </c>
      <c r="L126" s="7">
        <v>250</v>
      </c>
      <c r="M126" s="8">
        <v>991.66666666666674</v>
      </c>
      <c r="N126" s="8">
        <v>1166.6666666666667</v>
      </c>
      <c r="O126" s="8">
        <v>766.68978030143944</v>
      </c>
      <c r="P126" s="8">
        <v>0</v>
      </c>
      <c r="Q126" s="8">
        <v>0</v>
      </c>
      <c r="R126" s="8">
        <v>0</v>
      </c>
      <c r="S126" s="8">
        <v>0</v>
      </c>
      <c r="T126" s="5">
        <v>750</v>
      </c>
      <c r="U126" s="5">
        <v>0</v>
      </c>
      <c r="V126" s="5">
        <f>VLOOKUP(A126,Planilha1!B:E,4,0)</f>
        <v>0.15618217875936719</v>
      </c>
    </row>
    <row r="127" spans="1:22" x14ac:dyDescent="0.3">
      <c r="A127" t="str">
        <f t="shared" si="2"/>
        <v>COMPOSTOITAMBÉ</v>
      </c>
      <c r="B127" t="str">
        <f t="shared" si="3"/>
        <v>5348916COMPOSTOITAMBÉ</v>
      </c>
      <c r="C127" s="5" t="s">
        <v>16</v>
      </c>
      <c r="D127" s="5" t="s">
        <v>28</v>
      </c>
      <c r="E127" s="5" t="s">
        <v>23</v>
      </c>
      <c r="F127" s="5">
        <v>5348916</v>
      </c>
      <c r="G127" s="5" t="s">
        <v>162</v>
      </c>
      <c r="H127" s="5" t="s">
        <v>30</v>
      </c>
      <c r="I127" s="5" t="s">
        <v>27</v>
      </c>
      <c r="J127" s="5" t="s">
        <v>26</v>
      </c>
      <c r="K127" s="6">
        <v>0</v>
      </c>
      <c r="L127" s="7">
        <v>0</v>
      </c>
      <c r="M127" s="8">
        <v>166.66666666666666</v>
      </c>
      <c r="N127" s="8">
        <v>0</v>
      </c>
      <c r="O127" s="8">
        <v>970.47535387598577</v>
      </c>
      <c r="P127" s="8">
        <v>0</v>
      </c>
      <c r="Q127" s="8">
        <v>0</v>
      </c>
      <c r="R127" s="8">
        <v>0</v>
      </c>
      <c r="S127" s="8">
        <v>0</v>
      </c>
      <c r="T127" s="5">
        <v>0</v>
      </c>
      <c r="U127" s="5">
        <v>0</v>
      </c>
      <c r="V127" s="5">
        <f>VLOOKUP(A127,Planilha1!B:E,4,0)</f>
        <v>0.15618217875936719</v>
      </c>
    </row>
    <row r="128" spans="1:22" x14ac:dyDescent="0.3">
      <c r="A128" t="str">
        <f t="shared" si="2"/>
        <v>COMPOSTOITAMBÉ</v>
      </c>
      <c r="B128" t="str">
        <f t="shared" si="3"/>
        <v>5355742COMPOSTOITAMBÉ</v>
      </c>
      <c r="C128" s="5" t="s">
        <v>16</v>
      </c>
      <c r="D128" s="5" t="s">
        <v>28</v>
      </c>
      <c r="E128" s="5" t="s">
        <v>23</v>
      </c>
      <c r="F128" s="5">
        <v>5355742</v>
      </c>
      <c r="G128" s="5" t="s">
        <v>163</v>
      </c>
      <c r="H128" s="5" t="s">
        <v>25</v>
      </c>
      <c r="I128" s="5" t="s">
        <v>27</v>
      </c>
      <c r="J128" s="5" t="s">
        <v>26</v>
      </c>
      <c r="K128" s="6">
        <v>0</v>
      </c>
      <c r="L128" s="7">
        <v>0</v>
      </c>
      <c r="M128" s="8">
        <v>95.833333333333329</v>
      </c>
      <c r="N128" s="8">
        <v>0</v>
      </c>
      <c r="O128" s="8">
        <v>76.953992818360078</v>
      </c>
      <c r="P128" s="8">
        <v>0</v>
      </c>
      <c r="Q128" s="8">
        <v>0</v>
      </c>
      <c r="R128" s="8">
        <v>0</v>
      </c>
      <c r="S128" s="8">
        <v>0</v>
      </c>
      <c r="T128" s="5">
        <v>0</v>
      </c>
      <c r="U128" s="5">
        <v>0</v>
      </c>
      <c r="V128" s="5">
        <f>VLOOKUP(A128,Planilha1!B:E,4,0)</f>
        <v>0.15618217875936719</v>
      </c>
    </row>
    <row r="129" spans="1:22" x14ac:dyDescent="0.3">
      <c r="A129" t="str">
        <f t="shared" si="2"/>
        <v>LEITE CONDENSADOITAMBÉ</v>
      </c>
      <c r="B129" t="str">
        <f t="shared" si="3"/>
        <v>5077482LEITE CONDENSADOITAMBÉ</v>
      </c>
      <c r="C129" s="5" t="s">
        <v>16</v>
      </c>
      <c r="D129" s="5" t="s">
        <v>28</v>
      </c>
      <c r="E129" s="5" t="s">
        <v>28</v>
      </c>
      <c r="F129" s="5">
        <v>5077482</v>
      </c>
      <c r="G129" s="5" t="s">
        <v>164</v>
      </c>
      <c r="H129" s="5" t="s">
        <v>30</v>
      </c>
      <c r="I129" s="5" t="s">
        <v>27</v>
      </c>
      <c r="J129" s="5" t="s">
        <v>33</v>
      </c>
      <c r="K129" s="6">
        <v>0</v>
      </c>
      <c r="L129" s="7">
        <v>5000</v>
      </c>
      <c r="M129" s="8">
        <v>3833.333333333333</v>
      </c>
      <c r="N129" s="8">
        <v>6333.333333333333</v>
      </c>
      <c r="O129" s="8">
        <v>3154.9432110222019</v>
      </c>
      <c r="P129" s="8">
        <v>0</v>
      </c>
      <c r="Q129" s="8">
        <v>0</v>
      </c>
      <c r="R129" s="8">
        <v>0</v>
      </c>
      <c r="S129" s="8">
        <v>0</v>
      </c>
      <c r="T129" s="5">
        <v>0</v>
      </c>
      <c r="U129" s="5">
        <v>0</v>
      </c>
      <c r="V129" s="5">
        <f>VLOOKUP(A129,Planilha1!B:E,4,0)</f>
        <v>1.4766792698630664</v>
      </c>
    </row>
    <row r="130" spans="1:22" x14ac:dyDescent="0.3">
      <c r="A130" t="str">
        <f t="shared" ref="A130:A193" si="4">J130&amp;I130</f>
        <v>MANTEIGA 5KGLACTALIS</v>
      </c>
      <c r="B130" t="str">
        <f t="shared" si="3"/>
        <v>5077482MANTEIGA 5KGLACTALIS</v>
      </c>
      <c r="C130" s="5" t="s">
        <v>16</v>
      </c>
      <c r="D130" s="5" t="s">
        <v>28</v>
      </c>
      <c r="E130" s="5" t="s">
        <v>28</v>
      </c>
      <c r="F130" s="5">
        <v>5077482</v>
      </c>
      <c r="G130" s="5" t="s">
        <v>164</v>
      </c>
      <c r="H130" s="5" t="s">
        <v>30</v>
      </c>
      <c r="I130" s="5" t="s">
        <v>22</v>
      </c>
      <c r="J130" s="5" t="s">
        <v>60</v>
      </c>
      <c r="K130" s="6">
        <v>0</v>
      </c>
      <c r="L130" s="7">
        <v>50</v>
      </c>
      <c r="M130" s="8">
        <v>84.166666666666671</v>
      </c>
      <c r="N130" s="8">
        <v>75</v>
      </c>
      <c r="O130" s="8">
        <v>191.55066140169245</v>
      </c>
      <c r="P130" s="8">
        <v>0</v>
      </c>
      <c r="Q130" s="8">
        <v>0</v>
      </c>
      <c r="R130" s="8">
        <v>0</v>
      </c>
      <c r="S130" s="8">
        <v>0</v>
      </c>
      <c r="T130" s="5">
        <v>0</v>
      </c>
      <c r="U130" s="5">
        <v>0</v>
      </c>
      <c r="V130" s="5">
        <f>VLOOKUP(A130,Planilha1!B:E,4,0)</f>
        <v>11.476197020267191</v>
      </c>
    </row>
    <row r="131" spans="1:22" x14ac:dyDescent="0.3">
      <c r="A131" t="str">
        <f t="shared" si="4"/>
        <v>COMPOSTOITAMBÉ</v>
      </c>
      <c r="B131" t="str">
        <f t="shared" ref="B131:B194" si="5">F131&amp;J131&amp;I131</f>
        <v>5114515COMPOSTOITAMBÉ</v>
      </c>
      <c r="C131" s="5" t="s">
        <v>16</v>
      </c>
      <c r="D131" s="5" t="s">
        <v>28</v>
      </c>
      <c r="E131" s="5" t="s">
        <v>28</v>
      </c>
      <c r="F131" s="5">
        <v>5114515</v>
      </c>
      <c r="G131" s="5" t="s">
        <v>165</v>
      </c>
      <c r="H131" s="5" t="s">
        <v>154</v>
      </c>
      <c r="I131" s="5" t="s">
        <v>27</v>
      </c>
      <c r="J131" s="5" t="s">
        <v>26</v>
      </c>
      <c r="K131" s="6">
        <v>0</v>
      </c>
      <c r="L131" s="7">
        <v>0</v>
      </c>
      <c r="M131" s="8">
        <v>5</v>
      </c>
      <c r="N131" s="8">
        <v>0</v>
      </c>
      <c r="O131" s="8">
        <v>24.226256998372623</v>
      </c>
      <c r="P131" s="8">
        <v>0</v>
      </c>
      <c r="Q131" s="8">
        <v>0</v>
      </c>
      <c r="R131" s="8">
        <v>0</v>
      </c>
      <c r="S131" s="8">
        <v>0</v>
      </c>
      <c r="T131" s="5">
        <v>0</v>
      </c>
      <c r="U131" s="5">
        <v>0</v>
      </c>
      <c r="V131" s="5">
        <f>VLOOKUP(A131,Planilha1!B:E,4,0)</f>
        <v>0.15618217875936719</v>
      </c>
    </row>
    <row r="132" spans="1:22" x14ac:dyDescent="0.3">
      <c r="A132" t="str">
        <f t="shared" si="4"/>
        <v>CREME UHTITAMBÉ</v>
      </c>
      <c r="B132" t="str">
        <f t="shared" si="5"/>
        <v>5114515CREME UHTITAMBÉ</v>
      </c>
      <c r="C132" s="5" t="s">
        <v>16</v>
      </c>
      <c r="D132" s="5" t="s">
        <v>28</v>
      </c>
      <c r="E132" s="5" t="s">
        <v>28</v>
      </c>
      <c r="F132" s="5">
        <v>5114515</v>
      </c>
      <c r="G132" s="5" t="s">
        <v>165</v>
      </c>
      <c r="H132" s="5" t="s">
        <v>154</v>
      </c>
      <c r="I132" s="5" t="s">
        <v>27</v>
      </c>
      <c r="J132" s="5" t="s">
        <v>34</v>
      </c>
      <c r="K132" s="6">
        <v>0</v>
      </c>
      <c r="L132" s="7">
        <v>0</v>
      </c>
      <c r="M132" s="8">
        <v>101</v>
      </c>
      <c r="N132" s="8">
        <v>0</v>
      </c>
      <c r="O132" s="8">
        <v>494.98075074858207</v>
      </c>
      <c r="P132" s="8">
        <v>0</v>
      </c>
      <c r="Q132" s="8">
        <v>0</v>
      </c>
      <c r="R132" s="8">
        <v>0</v>
      </c>
      <c r="S132" s="8">
        <v>0</v>
      </c>
      <c r="T132" s="5">
        <v>0</v>
      </c>
      <c r="U132" s="5">
        <v>0</v>
      </c>
      <c r="V132" s="5">
        <f>VLOOKUP(A132,Planilha1!B:E,4,0)</f>
        <v>1.2362540170747773</v>
      </c>
    </row>
    <row r="133" spans="1:22" x14ac:dyDescent="0.3">
      <c r="A133" t="str">
        <f t="shared" si="4"/>
        <v>CREME UHTITAMBÉ</v>
      </c>
      <c r="B133" t="str">
        <f t="shared" si="5"/>
        <v>5114516CREME UHTITAMBÉ</v>
      </c>
      <c r="C133" s="5" t="s">
        <v>16</v>
      </c>
      <c r="D133" s="5" t="s">
        <v>28</v>
      </c>
      <c r="E133" s="5" t="s">
        <v>28</v>
      </c>
      <c r="F133" s="5">
        <v>5114516</v>
      </c>
      <c r="G133" s="5" t="s">
        <v>166</v>
      </c>
      <c r="H133" s="5" t="s">
        <v>154</v>
      </c>
      <c r="I133" s="5" t="s">
        <v>27</v>
      </c>
      <c r="J133" s="5" t="s">
        <v>34</v>
      </c>
      <c r="K133" s="6">
        <v>0</v>
      </c>
      <c r="L133" s="7">
        <v>0</v>
      </c>
      <c r="M133" s="8">
        <v>0</v>
      </c>
      <c r="N133" s="8">
        <v>0</v>
      </c>
      <c r="O133" s="8">
        <v>386.98495058525509</v>
      </c>
      <c r="P133" s="8">
        <v>0</v>
      </c>
      <c r="Q133" s="8">
        <v>0</v>
      </c>
      <c r="R133" s="8">
        <v>0</v>
      </c>
      <c r="S133" s="8">
        <v>0</v>
      </c>
      <c r="T133" s="5">
        <v>0</v>
      </c>
      <c r="U133" s="5">
        <v>0</v>
      </c>
      <c r="V133" s="5">
        <f>VLOOKUP(A133,Planilha1!B:E,4,0)</f>
        <v>1.2362540170747773</v>
      </c>
    </row>
    <row r="134" spans="1:22" x14ac:dyDescent="0.3">
      <c r="A134" t="str">
        <f t="shared" si="4"/>
        <v>LPD 25KGLACTALIS</v>
      </c>
      <c r="B134" t="str">
        <f t="shared" si="5"/>
        <v>5116312LPD 25KGLACTALIS</v>
      </c>
      <c r="C134" s="5" t="s">
        <v>16</v>
      </c>
      <c r="D134" s="5" t="s">
        <v>28</v>
      </c>
      <c r="E134" s="5" t="s">
        <v>28</v>
      </c>
      <c r="F134" s="5">
        <v>5116312</v>
      </c>
      <c r="G134" s="5" t="s">
        <v>167</v>
      </c>
      <c r="H134" s="5" t="s">
        <v>30</v>
      </c>
      <c r="I134" s="5" t="s">
        <v>22</v>
      </c>
      <c r="J134" s="5" t="s">
        <v>43</v>
      </c>
      <c r="K134" s="6">
        <v>0</v>
      </c>
      <c r="L134" s="7">
        <v>0</v>
      </c>
      <c r="M134" s="8">
        <v>0</v>
      </c>
      <c r="N134" s="8">
        <v>0</v>
      </c>
      <c r="O134" s="8">
        <v>6018.8716428440748</v>
      </c>
      <c r="P134" s="8">
        <v>0</v>
      </c>
      <c r="Q134" s="8">
        <v>0</v>
      </c>
      <c r="R134" s="8">
        <v>0</v>
      </c>
      <c r="S134" s="8">
        <v>0</v>
      </c>
      <c r="T134" s="5">
        <v>0</v>
      </c>
      <c r="U134" s="5">
        <v>0</v>
      </c>
      <c r="V134" s="5">
        <f>VLOOKUP(A134,Planilha1!B:E,4,0)</f>
        <v>5.893629113453061</v>
      </c>
    </row>
    <row r="135" spans="1:22" x14ac:dyDescent="0.3">
      <c r="A135" t="str">
        <f t="shared" si="4"/>
        <v>LPI 25KGLACTALIS</v>
      </c>
      <c r="B135" t="str">
        <f t="shared" si="5"/>
        <v>5116312LPI 25KGLACTALIS</v>
      </c>
      <c r="C135" s="5" t="s">
        <v>16</v>
      </c>
      <c r="D135" s="5" t="s">
        <v>28</v>
      </c>
      <c r="E135" s="5" t="s">
        <v>28</v>
      </c>
      <c r="F135" s="5">
        <v>5116312</v>
      </c>
      <c r="G135" s="5" t="s">
        <v>167</v>
      </c>
      <c r="H135" s="5" t="s">
        <v>30</v>
      </c>
      <c r="I135" s="5" t="s">
        <v>22</v>
      </c>
      <c r="J135" s="5" t="s">
        <v>21</v>
      </c>
      <c r="K135" s="6">
        <v>0</v>
      </c>
      <c r="L135" s="7">
        <v>0</v>
      </c>
      <c r="M135" s="8">
        <v>6000</v>
      </c>
      <c r="N135" s="8">
        <v>12000</v>
      </c>
      <c r="O135" s="8">
        <v>12863.637821745651</v>
      </c>
      <c r="P135" s="8">
        <v>0</v>
      </c>
      <c r="Q135" s="8">
        <v>0</v>
      </c>
      <c r="R135" s="8">
        <v>0</v>
      </c>
      <c r="S135" s="8">
        <v>0</v>
      </c>
      <c r="T135" s="5">
        <v>0</v>
      </c>
      <c r="U135" s="5">
        <v>0</v>
      </c>
      <c r="V135" s="5">
        <f>VLOOKUP(A135,Planilha1!B:E,4,0)</f>
        <v>-4.3046759024811481</v>
      </c>
    </row>
    <row r="136" spans="1:22" x14ac:dyDescent="0.3">
      <c r="A136" t="str">
        <f t="shared" si="4"/>
        <v>LPD 25KGLACTALIS</v>
      </c>
      <c r="B136" t="str">
        <f t="shared" si="5"/>
        <v>5116313LPD 25KGLACTALIS</v>
      </c>
      <c r="C136" s="5" t="s">
        <v>16</v>
      </c>
      <c r="D136" s="5" t="s">
        <v>28</v>
      </c>
      <c r="E136" s="5" t="s">
        <v>28</v>
      </c>
      <c r="F136" s="5">
        <v>5116313</v>
      </c>
      <c r="G136" s="5" t="s">
        <v>168</v>
      </c>
      <c r="H136" s="5" t="s">
        <v>30</v>
      </c>
      <c r="I136" s="5" t="s">
        <v>22</v>
      </c>
      <c r="J136" s="5" t="s">
        <v>43</v>
      </c>
      <c r="K136" s="6">
        <v>0</v>
      </c>
      <c r="L136" s="7">
        <v>-12000</v>
      </c>
      <c r="M136" s="8">
        <v>2000</v>
      </c>
      <c r="N136" s="8">
        <v>0</v>
      </c>
      <c r="O136" s="8">
        <v>9028.3123218380351</v>
      </c>
      <c r="P136" s="8">
        <v>0</v>
      </c>
      <c r="Q136" s="8">
        <v>0</v>
      </c>
      <c r="R136" s="8">
        <v>0</v>
      </c>
      <c r="S136" s="8">
        <v>0</v>
      </c>
      <c r="T136" s="5">
        <v>0</v>
      </c>
      <c r="U136" s="5">
        <v>0</v>
      </c>
      <c r="V136" s="5">
        <f>VLOOKUP(A136,Planilha1!B:E,4,0)</f>
        <v>5.893629113453061</v>
      </c>
    </row>
    <row r="137" spans="1:22" x14ac:dyDescent="0.3">
      <c r="A137" t="str">
        <f t="shared" si="4"/>
        <v>DOCE DE LEITEITAMBÉ</v>
      </c>
      <c r="B137" t="str">
        <f t="shared" si="5"/>
        <v>5131228DOCE DE LEITEITAMBÉ</v>
      </c>
      <c r="C137" s="5" t="s">
        <v>16</v>
      </c>
      <c r="D137" s="5" t="s">
        <v>28</v>
      </c>
      <c r="E137" s="5" t="s">
        <v>28</v>
      </c>
      <c r="F137" s="5">
        <v>5131228</v>
      </c>
      <c r="G137" s="5" t="s">
        <v>133</v>
      </c>
      <c r="H137" s="5" t="s">
        <v>20</v>
      </c>
      <c r="I137" s="5" t="s">
        <v>27</v>
      </c>
      <c r="J137" s="5" t="s">
        <v>46</v>
      </c>
      <c r="K137" s="6">
        <v>0</v>
      </c>
      <c r="L137" s="7">
        <v>0</v>
      </c>
      <c r="M137" s="8">
        <v>0</v>
      </c>
      <c r="N137" s="8">
        <v>0</v>
      </c>
      <c r="O137" s="8">
        <v>352.02011543516778</v>
      </c>
      <c r="P137" s="8">
        <v>0</v>
      </c>
      <c r="Q137" s="8">
        <v>0</v>
      </c>
      <c r="R137" s="8">
        <v>0</v>
      </c>
      <c r="S137" s="8">
        <v>0</v>
      </c>
      <c r="T137" s="5">
        <v>0</v>
      </c>
      <c r="U137" s="5">
        <v>0</v>
      </c>
      <c r="V137" s="5">
        <f>VLOOKUP(A137,Planilha1!B:E,4,0)</f>
        <v>5.8210743907543439</v>
      </c>
    </row>
    <row r="138" spans="1:22" x14ac:dyDescent="0.3">
      <c r="A138" t="str">
        <f t="shared" si="4"/>
        <v>LPD 25KGITAMBÉ</v>
      </c>
      <c r="B138" t="str">
        <f t="shared" si="5"/>
        <v>5145238LPD 25KGITAMBÉ</v>
      </c>
      <c r="C138" s="5" t="s">
        <v>16</v>
      </c>
      <c r="D138" s="5" t="s">
        <v>28</v>
      </c>
      <c r="E138" s="5" t="s">
        <v>28</v>
      </c>
      <c r="F138" s="5">
        <v>5145238</v>
      </c>
      <c r="G138" s="5" t="s">
        <v>169</v>
      </c>
      <c r="H138" s="5" t="s">
        <v>30</v>
      </c>
      <c r="I138" s="5" t="s">
        <v>27</v>
      </c>
      <c r="J138" s="5" t="s">
        <v>43</v>
      </c>
      <c r="K138" s="6">
        <v>0</v>
      </c>
      <c r="L138" s="7">
        <v>0</v>
      </c>
      <c r="M138" s="8">
        <v>0</v>
      </c>
      <c r="N138" s="8">
        <v>0</v>
      </c>
      <c r="O138" s="8">
        <v>312.28208188054589</v>
      </c>
      <c r="P138" s="8">
        <v>0</v>
      </c>
      <c r="Q138" s="8">
        <v>0</v>
      </c>
      <c r="R138" s="8">
        <v>0</v>
      </c>
      <c r="S138" s="8">
        <v>0</v>
      </c>
      <c r="T138" s="5">
        <v>0</v>
      </c>
      <c r="U138" s="5">
        <v>0</v>
      </c>
      <c r="V138" s="5">
        <f>VLOOKUP(A138,Planilha1!B:E,4,0)</f>
        <v>3.3372177319587628</v>
      </c>
    </row>
    <row r="139" spans="1:22" x14ac:dyDescent="0.3">
      <c r="A139" t="str">
        <f t="shared" si="4"/>
        <v>LPD 25KGITAMBÉ</v>
      </c>
      <c r="B139" t="str">
        <f t="shared" si="5"/>
        <v>5146491LPD 25KGITAMBÉ</v>
      </c>
      <c r="C139" s="5" t="s">
        <v>16</v>
      </c>
      <c r="D139" s="5" t="s">
        <v>28</v>
      </c>
      <c r="E139" s="5" t="s">
        <v>28</v>
      </c>
      <c r="F139" s="5">
        <v>5146491</v>
      </c>
      <c r="G139" s="5" t="s">
        <v>170</v>
      </c>
      <c r="H139" s="5" t="s">
        <v>30</v>
      </c>
      <c r="I139" s="5" t="s">
        <v>27</v>
      </c>
      <c r="J139" s="5" t="s">
        <v>43</v>
      </c>
      <c r="K139" s="6">
        <v>0</v>
      </c>
      <c r="L139" s="7">
        <v>0</v>
      </c>
      <c r="M139" s="8">
        <v>32000</v>
      </c>
      <c r="N139" s="8">
        <v>0</v>
      </c>
      <c r="O139" s="8">
        <v>74696.0979739865</v>
      </c>
      <c r="P139" s="8">
        <v>0</v>
      </c>
      <c r="Q139" s="8">
        <v>0</v>
      </c>
      <c r="R139" s="8">
        <v>0</v>
      </c>
      <c r="S139" s="8">
        <v>0</v>
      </c>
      <c r="T139" s="5">
        <v>0</v>
      </c>
      <c r="U139" s="5">
        <v>0</v>
      </c>
      <c r="V139" s="5">
        <f>VLOOKUP(A139,Planilha1!B:E,4,0)</f>
        <v>3.3372177319587628</v>
      </c>
    </row>
    <row r="140" spans="1:22" x14ac:dyDescent="0.3">
      <c r="A140" t="str">
        <f t="shared" si="4"/>
        <v>LPD 25KGLACTALIS</v>
      </c>
      <c r="B140" t="str">
        <f t="shared" si="5"/>
        <v>5150155LPD 25KGLACTALIS</v>
      </c>
      <c r="C140" s="5" t="s">
        <v>16</v>
      </c>
      <c r="D140" s="5" t="s">
        <v>28</v>
      </c>
      <c r="E140" s="5" t="s">
        <v>28</v>
      </c>
      <c r="F140" s="5">
        <v>5150155</v>
      </c>
      <c r="G140" s="5" t="s">
        <v>171</v>
      </c>
      <c r="H140" s="5" t="s">
        <v>30</v>
      </c>
      <c r="I140" s="5" t="s">
        <v>22</v>
      </c>
      <c r="J140" s="5" t="s">
        <v>43</v>
      </c>
      <c r="K140" s="6">
        <v>0</v>
      </c>
      <c r="L140" s="7">
        <v>0</v>
      </c>
      <c r="M140" s="8">
        <v>0</v>
      </c>
      <c r="N140" s="8">
        <v>0</v>
      </c>
      <c r="O140" s="8">
        <v>175.54779173149379</v>
      </c>
      <c r="P140" s="8">
        <v>0</v>
      </c>
      <c r="Q140" s="8">
        <v>0</v>
      </c>
      <c r="R140" s="8">
        <v>0</v>
      </c>
      <c r="S140" s="8">
        <v>0</v>
      </c>
      <c r="T140" s="5">
        <v>0</v>
      </c>
      <c r="U140" s="5">
        <v>0</v>
      </c>
      <c r="V140" s="5">
        <f>VLOOKUP(A140,Planilha1!B:E,4,0)</f>
        <v>5.893629113453061</v>
      </c>
    </row>
    <row r="141" spans="1:22" x14ac:dyDescent="0.3">
      <c r="A141" t="str">
        <f t="shared" si="4"/>
        <v>LPD 25KGLACTALIS</v>
      </c>
      <c r="B141" t="str">
        <f t="shared" si="5"/>
        <v>5173305LPD 25KGLACTALIS</v>
      </c>
      <c r="C141" s="5" t="s">
        <v>16</v>
      </c>
      <c r="D141" s="5" t="s">
        <v>28</v>
      </c>
      <c r="E141" s="5" t="s">
        <v>28</v>
      </c>
      <c r="F141" s="5">
        <v>5173305</v>
      </c>
      <c r="G141" s="5" t="s">
        <v>172</v>
      </c>
      <c r="H141" s="5" t="s">
        <v>30</v>
      </c>
      <c r="I141" s="5" t="s">
        <v>22</v>
      </c>
      <c r="J141" s="5" t="s">
        <v>43</v>
      </c>
      <c r="K141" s="6">
        <v>0</v>
      </c>
      <c r="L141" s="7">
        <v>0</v>
      </c>
      <c r="M141" s="8">
        <v>2000</v>
      </c>
      <c r="N141" s="8">
        <v>0</v>
      </c>
      <c r="O141" s="8">
        <v>9028.3123218380351</v>
      </c>
      <c r="P141" s="8">
        <v>0</v>
      </c>
      <c r="Q141" s="8">
        <v>0</v>
      </c>
      <c r="R141" s="8">
        <v>0</v>
      </c>
      <c r="S141" s="8">
        <v>0</v>
      </c>
      <c r="T141" s="5">
        <v>0</v>
      </c>
      <c r="U141" s="5">
        <v>0</v>
      </c>
      <c r="V141" s="5">
        <f>VLOOKUP(A141,Planilha1!B:E,4,0)</f>
        <v>5.893629113453061</v>
      </c>
    </row>
    <row r="142" spans="1:22" x14ac:dyDescent="0.3">
      <c r="A142" t="str">
        <f t="shared" si="4"/>
        <v>LPD 25KGLACTALIS</v>
      </c>
      <c r="B142" t="str">
        <f t="shared" si="5"/>
        <v>5060394LPD 25KGLACTALIS</v>
      </c>
      <c r="C142" s="5" t="s">
        <v>16</v>
      </c>
      <c r="D142" s="5" t="s">
        <v>16</v>
      </c>
      <c r="E142" s="5" t="s">
        <v>132</v>
      </c>
      <c r="F142" s="5">
        <v>5060394</v>
      </c>
      <c r="G142" s="5" t="s">
        <v>173</v>
      </c>
      <c r="H142" s="5" t="s">
        <v>113</v>
      </c>
      <c r="I142" s="5" t="s">
        <v>22</v>
      </c>
      <c r="J142" s="5" t="s">
        <v>43</v>
      </c>
      <c r="K142" s="6">
        <v>0</v>
      </c>
      <c r="L142" s="7">
        <v>50000</v>
      </c>
      <c r="M142" s="8">
        <v>28000</v>
      </c>
      <c r="N142" s="8">
        <v>40000</v>
      </c>
      <c r="O142" s="8">
        <v>20000</v>
      </c>
      <c r="P142" s="8">
        <v>0</v>
      </c>
      <c r="Q142" s="8">
        <v>72000</v>
      </c>
      <c r="R142" s="8">
        <v>0</v>
      </c>
      <c r="S142" s="8">
        <v>0</v>
      </c>
      <c r="T142" s="5">
        <v>72000</v>
      </c>
      <c r="U142" s="5">
        <v>0</v>
      </c>
      <c r="V142" s="5">
        <f>VLOOKUP(A142,Planilha1!B:E,4,0)</f>
        <v>5.893629113453061</v>
      </c>
    </row>
    <row r="143" spans="1:22" x14ac:dyDescent="0.3">
      <c r="A143" t="str">
        <f t="shared" si="4"/>
        <v>COMPOSTOITAMBÉ</v>
      </c>
      <c r="B143" t="str">
        <f t="shared" si="5"/>
        <v>5186259COMPOSTOITAMBÉ</v>
      </c>
      <c r="C143" s="5" t="s">
        <v>16</v>
      </c>
      <c r="D143" s="5" t="s">
        <v>28</v>
      </c>
      <c r="E143" s="5" t="s">
        <v>28</v>
      </c>
      <c r="F143" s="5">
        <v>5186259</v>
      </c>
      <c r="G143" s="5" t="s">
        <v>174</v>
      </c>
      <c r="H143" s="5" t="s">
        <v>154</v>
      </c>
      <c r="I143" s="5" t="s">
        <v>27</v>
      </c>
      <c r="J143" s="5" t="s">
        <v>26</v>
      </c>
      <c r="K143" s="6">
        <v>0</v>
      </c>
      <c r="L143" s="7">
        <v>0</v>
      </c>
      <c r="M143" s="8">
        <v>0</v>
      </c>
      <c r="N143" s="8">
        <v>0</v>
      </c>
      <c r="O143" s="8">
        <v>71.253697054037133</v>
      </c>
      <c r="P143" s="8">
        <v>0</v>
      </c>
      <c r="Q143" s="8">
        <v>0</v>
      </c>
      <c r="R143" s="8">
        <v>0</v>
      </c>
      <c r="S143" s="8">
        <v>0</v>
      </c>
      <c r="T143" s="5">
        <v>0</v>
      </c>
      <c r="U143" s="5">
        <v>0</v>
      </c>
      <c r="V143" s="5">
        <f>VLOOKUP(A143,Planilha1!B:E,4,0)</f>
        <v>0.15618217875936719</v>
      </c>
    </row>
    <row r="144" spans="1:22" x14ac:dyDescent="0.3">
      <c r="A144" t="str">
        <f t="shared" si="4"/>
        <v>CREME UHTITAMBÉ</v>
      </c>
      <c r="B144" t="str">
        <f t="shared" si="5"/>
        <v>5186259CREME UHTITAMBÉ</v>
      </c>
      <c r="C144" s="5" t="s">
        <v>16</v>
      </c>
      <c r="D144" s="5" t="s">
        <v>28</v>
      </c>
      <c r="E144" s="5" t="s">
        <v>28</v>
      </c>
      <c r="F144" s="5">
        <v>5186259</v>
      </c>
      <c r="G144" s="5" t="s">
        <v>174</v>
      </c>
      <c r="H144" s="5" t="s">
        <v>154</v>
      </c>
      <c r="I144" s="5" t="s">
        <v>27</v>
      </c>
      <c r="J144" s="5" t="s">
        <v>34</v>
      </c>
      <c r="K144" s="6">
        <v>0</v>
      </c>
      <c r="L144" s="7">
        <v>0</v>
      </c>
      <c r="M144" s="8">
        <v>0</v>
      </c>
      <c r="N144" s="8">
        <v>0</v>
      </c>
      <c r="O144" s="8">
        <v>645.97487875471518</v>
      </c>
      <c r="P144" s="8">
        <v>0</v>
      </c>
      <c r="Q144" s="8">
        <v>0</v>
      </c>
      <c r="R144" s="8">
        <v>0</v>
      </c>
      <c r="S144" s="8">
        <v>0</v>
      </c>
      <c r="T144" s="5">
        <v>0</v>
      </c>
      <c r="U144" s="5">
        <v>0</v>
      </c>
      <c r="V144" s="5">
        <f>VLOOKUP(A144,Planilha1!B:E,4,0)</f>
        <v>1.2362540170747773</v>
      </c>
    </row>
    <row r="145" spans="1:22" x14ac:dyDescent="0.3">
      <c r="A145" t="str">
        <f t="shared" si="4"/>
        <v>LPI 25KGLACTALIS</v>
      </c>
      <c r="B145" t="str">
        <f t="shared" si="5"/>
        <v>5202413LPI 25KGLACTALIS</v>
      </c>
      <c r="C145" s="5" t="s">
        <v>16</v>
      </c>
      <c r="D145" s="5" t="s">
        <v>28</v>
      </c>
      <c r="E145" s="5" t="s">
        <v>28</v>
      </c>
      <c r="F145" s="5">
        <v>5202413</v>
      </c>
      <c r="G145" s="5" t="s">
        <v>175</v>
      </c>
      <c r="H145" s="5" t="s">
        <v>154</v>
      </c>
      <c r="I145" s="5" t="s">
        <v>22</v>
      </c>
      <c r="J145" s="5" t="s">
        <v>21</v>
      </c>
      <c r="K145" s="6">
        <v>0</v>
      </c>
      <c r="L145" s="7">
        <v>0</v>
      </c>
      <c r="M145" s="8">
        <v>6000</v>
      </c>
      <c r="N145" s="8">
        <v>12000</v>
      </c>
      <c r="O145" s="8">
        <v>14000</v>
      </c>
      <c r="P145" s="8">
        <v>0</v>
      </c>
      <c r="Q145" s="8">
        <v>0</v>
      </c>
      <c r="R145" s="8">
        <v>0</v>
      </c>
      <c r="S145" s="8">
        <v>0</v>
      </c>
      <c r="T145" s="5">
        <v>0</v>
      </c>
      <c r="U145" s="5">
        <v>0</v>
      </c>
      <c r="V145" s="5">
        <f>VLOOKUP(A145,Planilha1!B:E,4,0)</f>
        <v>-4.3046759024811481</v>
      </c>
    </row>
    <row r="146" spans="1:22" x14ac:dyDescent="0.3">
      <c r="A146" t="str">
        <f t="shared" si="4"/>
        <v>COMPOSTOITAMBÉ</v>
      </c>
      <c r="B146" t="str">
        <f t="shared" si="5"/>
        <v>5208028COMPOSTOITAMBÉ</v>
      </c>
      <c r="C146" s="5" t="s">
        <v>16</v>
      </c>
      <c r="D146" s="5" t="s">
        <v>28</v>
      </c>
      <c r="E146" s="5" t="s">
        <v>28</v>
      </c>
      <c r="F146" s="5">
        <v>5208028</v>
      </c>
      <c r="G146" s="5" t="s">
        <v>176</v>
      </c>
      <c r="H146" s="5" t="s">
        <v>32</v>
      </c>
      <c r="I146" s="5" t="s">
        <v>27</v>
      </c>
      <c r="J146" s="5" t="s">
        <v>26</v>
      </c>
      <c r="K146" s="6">
        <v>0</v>
      </c>
      <c r="L146" s="7">
        <v>2575</v>
      </c>
      <c r="M146" s="8">
        <v>300</v>
      </c>
      <c r="N146" s="8">
        <v>0</v>
      </c>
      <c r="O146" s="8">
        <v>5086.0888957171692</v>
      </c>
      <c r="P146" s="8">
        <v>0</v>
      </c>
      <c r="Q146" s="8">
        <v>0</v>
      </c>
      <c r="R146" s="8">
        <v>0</v>
      </c>
      <c r="S146" s="8">
        <v>0</v>
      </c>
      <c r="T146" s="5">
        <v>0</v>
      </c>
      <c r="U146" s="5">
        <v>0</v>
      </c>
      <c r="V146" s="5">
        <f>VLOOKUP(A146,Planilha1!B:E,4,0)</f>
        <v>0.15618217875936719</v>
      </c>
    </row>
    <row r="147" spans="1:22" x14ac:dyDescent="0.3">
      <c r="A147" t="str">
        <f t="shared" si="4"/>
        <v>CREME UHTITAMBÉ</v>
      </c>
      <c r="B147" t="str">
        <f t="shared" si="5"/>
        <v>5227772CREME UHTITAMBÉ</v>
      </c>
      <c r="C147" s="5" t="s">
        <v>16</v>
      </c>
      <c r="D147" s="5" t="s">
        <v>28</v>
      </c>
      <c r="E147" s="5" t="s">
        <v>28</v>
      </c>
      <c r="F147" s="5">
        <v>5227772</v>
      </c>
      <c r="G147" s="5" t="s">
        <v>177</v>
      </c>
      <c r="H147" s="5" t="s">
        <v>154</v>
      </c>
      <c r="I147" s="5" t="s">
        <v>27</v>
      </c>
      <c r="J147" s="5" t="s">
        <v>34</v>
      </c>
      <c r="K147" s="6">
        <v>0</v>
      </c>
      <c r="L147" s="7">
        <v>0</v>
      </c>
      <c r="M147" s="8">
        <v>1038.28</v>
      </c>
      <c r="N147" s="8">
        <v>848.33333333333337</v>
      </c>
      <c r="O147" s="8">
        <v>214.99163921403061</v>
      </c>
      <c r="P147" s="8">
        <v>0</v>
      </c>
      <c r="Q147" s="8">
        <v>533.28</v>
      </c>
      <c r="R147" s="8">
        <v>0</v>
      </c>
      <c r="S147" s="8">
        <v>0</v>
      </c>
      <c r="T147" s="5">
        <v>898</v>
      </c>
      <c r="U147" s="5">
        <v>0</v>
      </c>
      <c r="V147" s="5">
        <f>VLOOKUP(A147,Planilha1!B:E,4,0)</f>
        <v>1.2362540170747773</v>
      </c>
    </row>
    <row r="148" spans="1:22" x14ac:dyDescent="0.3">
      <c r="A148" t="str">
        <f t="shared" si="4"/>
        <v>CREME UHTITAMBÉ</v>
      </c>
      <c r="B148" t="str">
        <f t="shared" si="5"/>
        <v>5229831CREME UHTITAMBÉ</v>
      </c>
      <c r="C148" s="5" t="s">
        <v>16</v>
      </c>
      <c r="D148" s="5" t="s">
        <v>28</v>
      </c>
      <c r="E148" s="5" t="s">
        <v>28</v>
      </c>
      <c r="F148" s="5">
        <v>5229831</v>
      </c>
      <c r="G148" s="5" t="s">
        <v>178</v>
      </c>
      <c r="H148" s="5" t="s">
        <v>154</v>
      </c>
      <c r="I148" s="5" t="s">
        <v>27</v>
      </c>
      <c r="J148" s="5" t="s">
        <v>34</v>
      </c>
      <c r="K148" s="6">
        <v>0</v>
      </c>
      <c r="L148" s="7">
        <v>0</v>
      </c>
      <c r="M148" s="8">
        <v>759.52</v>
      </c>
      <c r="N148" s="8">
        <v>848.33333333333337</v>
      </c>
      <c r="O148" s="8">
        <v>197.99230029943283</v>
      </c>
      <c r="P148" s="8">
        <v>0</v>
      </c>
      <c r="Q148" s="8">
        <v>533.28</v>
      </c>
      <c r="R148" s="8">
        <v>0</v>
      </c>
      <c r="S148" s="8">
        <v>0</v>
      </c>
      <c r="T148" s="5">
        <v>1163.92</v>
      </c>
      <c r="U148" s="5">
        <v>0</v>
      </c>
      <c r="V148" s="5">
        <f>VLOOKUP(A148,Planilha1!B:E,4,0)</f>
        <v>1.2362540170747773</v>
      </c>
    </row>
    <row r="149" spans="1:22" x14ac:dyDescent="0.3">
      <c r="A149" t="str">
        <f t="shared" si="4"/>
        <v>DOCE DE LEITEITAMBÉ</v>
      </c>
      <c r="B149" t="str">
        <f t="shared" si="5"/>
        <v>5234290DOCE DE LEITEITAMBÉ</v>
      </c>
      <c r="C149" s="5" t="s">
        <v>16</v>
      </c>
      <c r="D149" s="5" t="s">
        <v>28</v>
      </c>
      <c r="E149" s="5" t="s">
        <v>28</v>
      </c>
      <c r="F149" s="5">
        <v>5234290</v>
      </c>
      <c r="G149" s="5" t="s">
        <v>179</v>
      </c>
      <c r="H149" s="5" t="s">
        <v>30</v>
      </c>
      <c r="I149" s="5" t="s">
        <v>27</v>
      </c>
      <c r="J149" s="5" t="s">
        <v>46</v>
      </c>
      <c r="K149" s="6">
        <v>0</v>
      </c>
      <c r="L149" s="7">
        <v>46800</v>
      </c>
      <c r="M149" s="8">
        <v>42900</v>
      </c>
      <c r="N149" s="8">
        <v>39000</v>
      </c>
      <c r="O149" s="8">
        <v>35371.021201211501</v>
      </c>
      <c r="P149" s="8">
        <v>0</v>
      </c>
      <c r="Q149" s="8">
        <v>0</v>
      </c>
      <c r="R149" s="8">
        <v>0</v>
      </c>
      <c r="S149" s="8">
        <v>0</v>
      </c>
      <c r="T149" s="5">
        <v>0</v>
      </c>
      <c r="U149" s="5">
        <v>0</v>
      </c>
      <c r="V149" s="5">
        <f>VLOOKUP(A149,Planilha1!B:E,4,0)</f>
        <v>5.8210743907543439</v>
      </c>
    </row>
    <row r="150" spans="1:22" x14ac:dyDescent="0.3">
      <c r="A150" t="str">
        <f t="shared" si="4"/>
        <v>MANTEIGA 5KGLACTALIS</v>
      </c>
      <c r="B150" t="str">
        <f t="shared" si="5"/>
        <v>5337375MANTEIGA 5KGLACTALIS</v>
      </c>
      <c r="C150" s="5" t="s">
        <v>16</v>
      </c>
      <c r="D150" s="5" t="s">
        <v>28</v>
      </c>
      <c r="E150" s="5" t="s">
        <v>28</v>
      </c>
      <c r="F150" s="5">
        <v>5337375</v>
      </c>
      <c r="G150" s="5" t="s">
        <v>180</v>
      </c>
      <c r="H150" s="5" t="s">
        <v>30</v>
      </c>
      <c r="I150" s="5" t="s">
        <v>22</v>
      </c>
      <c r="J150" s="5" t="s">
        <v>60</v>
      </c>
      <c r="K150" s="6">
        <v>0</v>
      </c>
      <c r="L150" s="7">
        <v>5</v>
      </c>
      <c r="M150" s="8">
        <v>5</v>
      </c>
      <c r="N150" s="8">
        <v>3.3333333333333335</v>
      </c>
      <c r="O150" s="8">
        <v>2.5236772981109969</v>
      </c>
      <c r="P150" s="8">
        <v>0</v>
      </c>
      <c r="Q150" s="8">
        <v>5</v>
      </c>
      <c r="R150" s="8">
        <v>0</v>
      </c>
      <c r="S150" s="8">
        <v>0</v>
      </c>
      <c r="T150" s="5">
        <v>5</v>
      </c>
      <c r="U150" s="5">
        <v>0</v>
      </c>
      <c r="V150" s="5">
        <f>VLOOKUP(A150,Planilha1!B:E,4,0)</f>
        <v>11.476197020267191</v>
      </c>
    </row>
    <row r="151" spans="1:22" x14ac:dyDescent="0.3">
      <c r="A151" t="str">
        <f t="shared" si="4"/>
        <v>MANTEIGA 25KGITAMBÉ</v>
      </c>
      <c r="B151" t="str">
        <f t="shared" si="5"/>
        <v>5338667MANTEIGA 25KGITAMBÉ</v>
      </c>
      <c r="C151" s="5" t="s">
        <v>16</v>
      </c>
      <c r="D151" s="5" t="s">
        <v>28</v>
      </c>
      <c r="E151" s="5" t="s">
        <v>28</v>
      </c>
      <c r="F151" s="5">
        <v>5338667</v>
      </c>
      <c r="G151" s="5" t="s">
        <v>181</v>
      </c>
      <c r="H151" s="5" t="s">
        <v>32</v>
      </c>
      <c r="I151" s="5" t="s">
        <v>27</v>
      </c>
      <c r="J151" s="5" t="s">
        <v>92</v>
      </c>
      <c r="K151" s="6">
        <v>0</v>
      </c>
      <c r="L151" s="7">
        <v>0</v>
      </c>
      <c r="M151" s="8">
        <v>17000</v>
      </c>
      <c r="N151" s="8">
        <v>16000</v>
      </c>
      <c r="O151" s="8">
        <v>13813</v>
      </c>
      <c r="P151" s="8">
        <v>0</v>
      </c>
      <c r="Q151" s="8">
        <v>0</v>
      </c>
      <c r="R151" s="8">
        <v>0</v>
      </c>
      <c r="S151" s="8">
        <v>0</v>
      </c>
      <c r="T151" s="5">
        <v>0</v>
      </c>
      <c r="U151" s="5">
        <v>0</v>
      </c>
      <c r="V151" s="5">
        <f>VLOOKUP(A151,Planilha1!B:E,4,0)</f>
        <v>-0.89302458333333634</v>
      </c>
    </row>
    <row r="152" spans="1:22" x14ac:dyDescent="0.3">
      <c r="A152" t="str">
        <f t="shared" si="4"/>
        <v>MANTEIGA 25KGLACTALIS</v>
      </c>
      <c r="B152" t="str">
        <f t="shared" si="5"/>
        <v>5338667MANTEIGA 25KGLACTALIS</v>
      </c>
      <c r="C152" s="5" t="s">
        <v>16</v>
      </c>
      <c r="D152" s="5" t="s">
        <v>28</v>
      </c>
      <c r="E152" s="5" t="s">
        <v>28</v>
      </c>
      <c r="F152" s="5">
        <v>5338667</v>
      </c>
      <c r="G152" s="5" t="s">
        <v>181</v>
      </c>
      <c r="H152" s="5" t="s">
        <v>32</v>
      </c>
      <c r="I152" s="5" t="s">
        <v>22</v>
      </c>
      <c r="J152" s="5" t="s">
        <v>92</v>
      </c>
      <c r="K152" s="6">
        <v>0</v>
      </c>
      <c r="L152" s="7">
        <v>0</v>
      </c>
      <c r="M152" s="8">
        <v>0</v>
      </c>
      <c r="N152" s="8">
        <v>0</v>
      </c>
      <c r="O152" s="8">
        <v>28000</v>
      </c>
      <c r="P152" s="8">
        <v>0</v>
      </c>
      <c r="Q152" s="8">
        <v>0</v>
      </c>
      <c r="R152" s="8">
        <v>0</v>
      </c>
      <c r="S152" s="8">
        <v>0</v>
      </c>
      <c r="T152" s="5">
        <v>0</v>
      </c>
      <c r="U152" s="5">
        <v>0</v>
      </c>
      <c r="V152" s="5">
        <f>VLOOKUP(A152,Planilha1!B:E,4,0)</f>
        <v>-1.2278576950723545</v>
      </c>
    </row>
    <row r="153" spans="1:22" x14ac:dyDescent="0.3">
      <c r="A153" t="str">
        <f t="shared" si="4"/>
        <v>COMPOSTOITAMBÉ</v>
      </c>
      <c r="B153" t="str">
        <f t="shared" si="5"/>
        <v>5340677COMPOSTOITAMBÉ</v>
      </c>
      <c r="C153" s="5" t="s">
        <v>16</v>
      </c>
      <c r="D153" s="5" t="s">
        <v>28</v>
      </c>
      <c r="E153" s="5" t="s">
        <v>28</v>
      </c>
      <c r="F153" s="5">
        <v>5340677</v>
      </c>
      <c r="G153" s="5" t="s">
        <v>182</v>
      </c>
      <c r="H153" s="5" t="s">
        <v>113</v>
      </c>
      <c r="I153" s="5" t="s">
        <v>27</v>
      </c>
      <c r="J153" s="5" t="s">
        <v>26</v>
      </c>
      <c r="K153" s="6">
        <v>0</v>
      </c>
      <c r="L153" s="7">
        <v>0</v>
      </c>
      <c r="M153" s="8">
        <v>0</v>
      </c>
      <c r="N153" s="8">
        <v>0</v>
      </c>
      <c r="O153" s="8">
        <v>396.17055562044641</v>
      </c>
      <c r="P153" s="8">
        <v>0</v>
      </c>
      <c r="Q153" s="8">
        <v>0</v>
      </c>
      <c r="R153" s="8">
        <v>0</v>
      </c>
      <c r="S153" s="8">
        <v>0</v>
      </c>
      <c r="T153" s="5">
        <v>0</v>
      </c>
      <c r="U153" s="5">
        <v>0</v>
      </c>
      <c r="V153" s="5">
        <f>VLOOKUP(A153,Planilha1!B:E,4,0)</f>
        <v>0.15618217875936719</v>
      </c>
    </row>
    <row r="154" spans="1:22" x14ac:dyDescent="0.3">
      <c r="A154" t="str">
        <f t="shared" si="4"/>
        <v>LPI 25KGITAMBÉ</v>
      </c>
      <c r="B154" t="str">
        <f t="shared" si="5"/>
        <v>5341225LPI 25KGITAMBÉ</v>
      </c>
      <c r="C154" s="5" t="s">
        <v>16</v>
      </c>
      <c r="D154" s="5" t="s">
        <v>28</v>
      </c>
      <c r="E154" s="5" t="s">
        <v>28</v>
      </c>
      <c r="F154" s="5">
        <v>5341225</v>
      </c>
      <c r="G154" s="5" t="s">
        <v>183</v>
      </c>
      <c r="H154" s="5" t="s">
        <v>30</v>
      </c>
      <c r="I154" s="5" t="s">
        <v>27</v>
      </c>
      <c r="J154" s="5" t="s">
        <v>21</v>
      </c>
      <c r="K154" s="6">
        <v>0</v>
      </c>
      <c r="L154" s="7">
        <v>0</v>
      </c>
      <c r="M154" s="8">
        <v>0</v>
      </c>
      <c r="N154" s="8">
        <v>0</v>
      </c>
      <c r="O154" s="8">
        <v>355.93983572117099</v>
      </c>
      <c r="P154" s="8">
        <v>0</v>
      </c>
      <c r="Q154" s="8">
        <v>0</v>
      </c>
      <c r="R154" s="8">
        <v>0</v>
      </c>
      <c r="S154" s="8">
        <v>0</v>
      </c>
      <c r="T154" s="5">
        <v>0</v>
      </c>
      <c r="U154" s="5">
        <v>0</v>
      </c>
      <c r="V154" s="5">
        <f>VLOOKUP(A154,Planilha1!B:E,4,0)</f>
        <v>-1.218192805504376</v>
      </c>
    </row>
    <row r="155" spans="1:22" x14ac:dyDescent="0.3">
      <c r="A155" t="str">
        <f t="shared" si="4"/>
        <v>LPD 25KGITAMBÉ</v>
      </c>
      <c r="B155" t="str">
        <f t="shared" si="5"/>
        <v>5351400LPD 25KGITAMBÉ</v>
      </c>
      <c r="C155" s="5" t="s">
        <v>16</v>
      </c>
      <c r="D155" s="5" t="s">
        <v>28</v>
      </c>
      <c r="E155" s="5" t="s">
        <v>28</v>
      </c>
      <c r="F155" s="5">
        <v>5351400</v>
      </c>
      <c r="G155" s="5" t="s">
        <v>184</v>
      </c>
      <c r="H155" s="5" t="s">
        <v>30</v>
      </c>
      <c r="I155" s="5" t="s">
        <v>27</v>
      </c>
      <c r="J155" s="5" t="s">
        <v>43</v>
      </c>
      <c r="K155" s="6">
        <v>0</v>
      </c>
      <c r="L155" s="7">
        <v>0</v>
      </c>
      <c r="M155" s="8">
        <v>13333.333333333334</v>
      </c>
      <c r="N155" s="8">
        <v>0</v>
      </c>
      <c r="O155" s="8">
        <v>19926.852845685633</v>
      </c>
      <c r="P155" s="8">
        <v>0</v>
      </c>
      <c r="Q155" s="8">
        <v>0</v>
      </c>
      <c r="R155" s="8">
        <v>0</v>
      </c>
      <c r="S155" s="8">
        <v>0</v>
      </c>
      <c r="T155" s="5">
        <v>0</v>
      </c>
      <c r="U155" s="5">
        <v>0</v>
      </c>
      <c r="V155" s="5">
        <f>VLOOKUP(A155,Planilha1!B:E,4,0)</f>
        <v>3.3372177319587628</v>
      </c>
    </row>
    <row r="156" spans="1:22" x14ac:dyDescent="0.3">
      <c r="A156" t="str">
        <f t="shared" si="4"/>
        <v>LPI 25KGITAMBÉ</v>
      </c>
      <c r="B156" t="str">
        <f t="shared" si="5"/>
        <v>5351400LPI 25KGITAMBÉ</v>
      </c>
      <c r="C156" s="5" t="s">
        <v>16</v>
      </c>
      <c r="D156" s="5" t="s">
        <v>28</v>
      </c>
      <c r="E156" s="5" t="s">
        <v>28</v>
      </c>
      <c r="F156" s="5">
        <v>5351400</v>
      </c>
      <c r="G156" s="5" t="s">
        <v>184</v>
      </c>
      <c r="H156" s="5" t="s">
        <v>30</v>
      </c>
      <c r="I156" s="5" t="s">
        <v>27</v>
      </c>
      <c r="J156" s="5" t="s">
        <v>21</v>
      </c>
      <c r="K156" s="6">
        <v>0</v>
      </c>
      <c r="L156" s="7">
        <v>0</v>
      </c>
      <c r="M156" s="8">
        <v>15962.5</v>
      </c>
      <c r="N156" s="8">
        <v>0</v>
      </c>
      <c r="O156" s="8">
        <v>254918.11943534759</v>
      </c>
      <c r="P156" s="8">
        <v>0</v>
      </c>
      <c r="Q156" s="8">
        <v>0</v>
      </c>
      <c r="R156" s="8">
        <v>0</v>
      </c>
      <c r="S156" s="8">
        <v>0</v>
      </c>
      <c r="T156" s="5">
        <v>0</v>
      </c>
      <c r="U156" s="5">
        <v>0</v>
      </c>
      <c r="V156" s="5">
        <f>VLOOKUP(A156,Planilha1!B:E,4,0)</f>
        <v>-1.218192805504376</v>
      </c>
    </row>
    <row r="157" spans="1:22" x14ac:dyDescent="0.3">
      <c r="A157" t="str">
        <f t="shared" si="4"/>
        <v>MANTEIGA 5KGITAMBÉ</v>
      </c>
      <c r="B157" t="str">
        <f t="shared" si="5"/>
        <v>5351400MANTEIGA 5KGITAMBÉ</v>
      </c>
      <c r="C157" s="5" t="s">
        <v>16</v>
      </c>
      <c r="D157" s="5" t="s">
        <v>28</v>
      </c>
      <c r="E157" s="5" t="s">
        <v>28</v>
      </c>
      <c r="F157" s="5">
        <v>5351400</v>
      </c>
      <c r="G157" s="5" t="s">
        <v>184</v>
      </c>
      <c r="H157" s="5" t="s">
        <v>30</v>
      </c>
      <c r="I157" s="5" t="s">
        <v>27</v>
      </c>
      <c r="J157" s="5" t="s">
        <v>60</v>
      </c>
      <c r="K157" s="6">
        <v>0</v>
      </c>
      <c r="L157" s="7">
        <v>0</v>
      </c>
      <c r="M157" s="8">
        <v>0</v>
      </c>
      <c r="N157" s="8">
        <v>0</v>
      </c>
      <c r="O157" s="8">
        <v>1284.9571680943968</v>
      </c>
      <c r="P157" s="8">
        <v>0</v>
      </c>
      <c r="Q157" s="8">
        <v>0</v>
      </c>
      <c r="R157" s="8">
        <v>0</v>
      </c>
      <c r="S157" s="8">
        <v>0</v>
      </c>
      <c r="T157" s="5">
        <v>0</v>
      </c>
      <c r="U157" s="5">
        <v>0</v>
      </c>
      <c r="V157" s="5">
        <f>VLOOKUP(A157,Planilha1!B:E,4,0)</f>
        <v>5.819800475298738</v>
      </c>
    </row>
    <row r="158" spans="1:22" x14ac:dyDescent="0.3">
      <c r="A158" t="str">
        <f t="shared" si="4"/>
        <v>COMPOSTOITAMBÉ</v>
      </c>
      <c r="B158" t="str">
        <f t="shared" si="5"/>
        <v>5356025COMPOSTOITAMBÉ</v>
      </c>
      <c r="C158" s="5" t="s">
        <v>16</v>
      </c>
      <c r="D158" s="5" t="s">
        <v>28</v>
      </c>
      <c r="E158" s="5" t="s">
        <v>28</v>
      </c>
      <c r="F158" s="5">
        <v>5356025</v>
      </c>
      <c r="G158" s="5" t="s">
        <v>185</v>
      </c>
      <c r="H158" s="5" t="s">
        <v>30</v>
      </c>
      <c r="I158" s="5" t="s">
        <v>27</v>
      </c>
      <c r="J158" s="5" t="s">
        <v>26</v>
      </c>
      <c r="K158" s="6">
        <v>0</v>
      </c>
      <c r="L158" s="7">
        <v>0</v>
      </c>
      <c r="M158" s="8">
        <v>104.16666666666666</v>
      </c>
      <c r="N158" s="8">
        <v>166.66666666666666</v>
      </c>
      <c r="O158" s="8">
        <v>99.755175875651972</v>
      </c>
      <c r="P158" s="8">
        <v>0</v>
      </c>
      <c r="Q158" s="8">
        <v>0</v>
      </c>
      <c r="R158" s="8">
        <v>0</v>
      </c>
      <c r="S158" s="8">
        <v>0</v>
      </c>
      <c r="T158" s="5">
        <v>0</v>
      </c>
      <c r="U158" s="5">
        <v>0</v>
      </c>
      <c r="V158" s="5">
        <f>VLOOKUP(A158,Planilha1!B:E,4,0)</f>
        <v>0.15618217875936719</v>
      </c>
    </row>
    <row r="159" spans="1:22" x14ac:dyDescent="0.3">
      <c r="A159" t="str">
        <f t="shared" si="4"/>
        <v>LEITE CONDENSADOITAMBÉ</v>
      </c>
      <c r="B159" t="str">
        <f t="shared" si="5"/>
        <v>5043898LEITE CONDENSADOITAMBÉ</v>
      </c>
      <c r="C159" s="5" t="s">
        <v>149</v>
      </c>
      <c r="D159" s="5" t="s">
        <v>150</v>
      </c>
      <c r="E159" s="5" t="s">
        <v>186</v>
      </c>
      <c r="F159" s="5">
        <v>5043898</v>
      </c>
      <c r="G159" s="5" t="s">
        <v>187</v>
      </c>
      <c r="H159" s="5" t="s">
        <v>113</v>
      </c>
      <c r="I159" s="5" t="s">
        <v>27</v>
      </c>
      <c r="J159" s="5" t="s">
        <v>33</v>
      </c>
      <c r="K159" s="6">
        <v>0</v>
      </c>
      <c r="L159" s="7">
        <v>0</v>
      </c>
      <c r="M159" s="8">
        <v>379.20000000000005</v>
      </c>
      <c r="N159" s="8">
        <v>189.66666666666666</v>
      </c>
      <c r="O159" s="8">
        <v>1091.9803443538017</v>
      </c>
      <c r="P159" s="8">
        <v>0</v>
      </c>
      <c r="Q159" s="8">
        <v>0</v>
      </c>
      <c r="R159" s="8">
        <v>0</v>
      </c>
      <c r="S159" s="8">
        <v>300</v>
      </c>
      <c r="T159" s="5">
        <v>300</v>
      </c>
      <c r="U159" s="5">
        <v>0</v>
      </c>
      <c r="V159" s="5">
        <f>VLOOKUP(A159,Planilha1!B:E,4,0)</f>
        <v>1.4766792698630664</v>
      </c>
    </row>
    <row r="160" spans="1:22" x14ac:dyDescent="0.3">
      <c r="A160" t="str">
        <f t="shared" si="4"/>
        <v>CREME UHTITAMBÉ</v>
      </c>
      <c r="B160" t="str">
        <f t="shared" si="5"/>
        <v>5043898CREME UHTITAMBÉ</v>
      </c>
      <c r="C160" s="5" t="s">
        <v>149</v>
      </c>
      <c r="D160" s="5" t="s">
        <v>150</v>
      </c>
      <c r="E160" s="5" t="s">
        <v>186</v>
      </c>
      <c r="F160" s="5">
        <v>5043898</v>
      </c>
      <c r="G160" s="5" t="s">
        <v>187</v>
      </c>
      <c r="H160" s="5" t="s">
        <v>113</v>
      </c>
      <c r="I160" s="5" t="s">
        <v>27</v>
      </c>
      <c r="J160" s="5" t="s">
        <v>34</v>
      </c>
      <c r="K160" s="6">
        <v>0</v>
      </c>
      <c r="L160" s="7">
        <v>0</v>
      </c>
      <c r="M160" s="8">
        <v>108</v>
      </c>
      <c r="N160" s="8">
        <v>0</v>
      </c>
      <c r="O160" s="8">
        <v>192.99249473631585</v>
      </c>
      <c r="P160" s="8">
        <v>0</v>
      </c>
      <c r="Q160" s="8">
        <v>0</v>
      </c>
      <c r="R160" s="8">
        <v>0</v>
      </c>
      <c r="S160" s="8">
        <v>200</v>
      </c>
      <c r="T160" s="5">
        <v>200</v>
      </c>
      <c r="U160" s="5">
        <v>0</v>
      </c>
      <c r="V160" s="5">
        <f>VLOOKUP(A160,Planilha1!B:E,4,0)</f>
        <v>1.2362540170747773</v>
      </c>
    </row>
    <row r="161" spans="1:22" x14ac:dyDescent="0.3">
      <c r="A161" t="str">
        <f t="shared" si="4"/>
        <v>LEITE UHTITAMBÉ</v>
      </c>
      <c r="B161" t="str">
        <f t="shared" si="5"/>
        <v>5043898LEITE UHTITAMBÉ</v>
      </c>
      <c r="C161" s="5" t="s">
        <v>149</v>
      </c>
      <c r="D161" s="5" t="s">
        <v>150</v>
      </c>
      <c r="E161" s="5" t="s">
        <v>186</v>
      </c>
      <c r="F161" s="5">
        <v>5043898</v>
      </c>
      <c r="G161" s="5" t="s">
        <v>187</v>
      </c>
      <c r="H161" s="5" t="s">
        <v>113</v>
      </c>
      <c r="I161" s="5" t="s">
        <v>27</v>
      </c>
      <c r="J161" s="5" t="s">
        <v>156</v>
      </c>
      <c r="K161" s="6">
        <v>0</v>
      </c>
      <c r="L161" s="7">
        <v>0</v>
      </c>
      <c r="M161" s="8">
        <v>1390</v>
      </c>
      <c r="N161" s="8">
        <v>0</v>
      </c>
      <c r="O161" s="8">
        <v>1325.9852668303686</v>
      </c>
      <c r="P161" s="8">
        <v>0</v>
      </c>
      <c r="Q161" s="8">
        <v>0</v>
      </c>
      <c r="R161" s="8">
        <v>0</v>
      </c>
      <c r="S161" s="8">
        <v>0</v>
      </c>
      <c r="T161" s="5">
        <v>0</v>
      </c>
      <c r="U161" s="5">
        <v>0</v>
      </c>
      <c r="V161" s="5">
        <f>VLOOKUP(A161,Planilha1!B:E,4,0)</f>
        <v>-0.14425288609148015</v>
      </c>
    </row>
    <row r="162" spans="1:22" x14ac:dyDescent="0.3">
      <c r="A162" t="str">
        <f t="shared" si="4"/>
        <v>LEITE CONDENSADOITAMBÉ</v>
      </c>
      <c r="B162" t="str">
        <f t="shared" si="5"/>
        <v>5119520LEITE CONDENSADOITAMBÉ</v>
      </c>
      <c r="C162" s="5" t="s">
        <v>149</v>
      </c>
      <c r="D162" s="5" t="s">
        <v>150</v>
      </c>
      <c r="E162" s="5" t="s">
        <v>186</v>
      </c>
      <c r="F162" s="5">
        <v>5119520</v>
      </c>
      <c r="G162" s="5" t="s">
        <v>188</v>
      </c>
      <c r="H162" s="5" t="s">
        <v>113</v>
      </c>
      <c r="I162" s="5" t="s">
        <v>27</v>
      </c>
      <c r="J162" s="5" t="s">
        <v>33</v>
      </c>
      <c r="K162" s="6">
        <v>0</v>
      </c>
      <c r="L162" s="7">
        <v>0</v>
      </c>
      <c r="M162" s="8">
        <v>2563.3333333333335</v>
      </c>
      <c r="N162" s="8">
        <v>3413.3333333333335</v>
      </c>
      <c r="O162" s="8">
        <v>2506.9548748122534</v>
      </c>
      <c r="P162" s="8">
        <v>0</v>
      </c>
      <c r="Q162" s="8">
        <v>1820</v>
      </c>
      <c r="R162" s="8">
        <v>0</v>
      </c>
      <c r="S162" s="8">
        <v>5500</v>
      </c>
      <c r="T162" s="5">
        <v>5500</v>
      </c>
      <c r="U162" s="5">
        <v>5640</v>
      </c>
      <c r="V162" s="5">
        <f>VLOOKUP(A162,Planilha1!B:E,4,0)</f>
        <v>1.4766792698630664</v>
      </c>
    </row>
    <row r="163" spans="1:22" x14ac:dyDescent="0.3">
      <c r="A163" t="str">
        <f t="shared" si="4"/>
        <v>LEITE CONDENSADOITAMBÉ</v>
      </c>
      <c r="B163" t="str">
        <f t="shared" si="5"/>
        <v>5138371LEITE CONDENSADOITAMBÉ</v>
      </c>
      <c r="C163" s="5" t="s">
        <v>149</v>
      </c>
      <c r="D163" s="5" t="s">
        <v>150</v>
      </c>
      <c r="E163" s="5" t="s">
        <v>186</v>
      </c>
      <c r="F163" s="5">
        <v>5138371</v>
      </c>
      <c r="G163" s="5" t="s">
        <v>189</v>
      </c>
      <c r="H163" s="5" t="s">
        <v>113</v>
      </c>
      <c r="I163" s="5" t="s">
        <v>27</v>
      </c>
      <c r="J163" s="5" t="s">
        <v>33</v>
      </c>
      <c r="K163" s="6">
        <v>0</v>
      </c>
      <c r="L163" s="7">
        <v>0</v>
      </c>
      <c r="M163" s="8">
        <v>585.80000000000007</v>
      </c>
      <c r="N163" s="8">
        <v>323.33333333333331</v>
      </c>
      <c r="O163" s="8">
        <v>684.98767022193601</v>
      </c>
      <c r="P163" s="8">
        <v>0</v>
      </c>
      <c r="Q163" s="8">
        <v>0</v>
      </c>
      <c r="R163" s="8">
        <v>0</v>
      </c>
      <c r="S163" s="8">
        <v>2085</v>
      </c>
      <c r="T163" s="5">
        <v>2085</v>
      </c>
      <c r="U163" s="5">
        <v>1430</v>
      </c>
      <c r="V163" s="5">
        <f>VLOOKUP(A163,Planilha1!B:E,4,0)</f>
        <v>1.4766792698630664</v>
      </c>
    </row>
    <row r="164" spans="1:22" x14ac:dyDescent="0.3">
      <c r="A164" t="str">
        <f t="shared" si="4"/>
        <v>CREME UHTITAMBÉ</v>
      </c>
      <c r="B164" t="str">
        <f t="shared" si="5"/>
        <v>5138371CREME UHTITAMBÉ</v>
      </c>
      <c r="C164" s="5" t="s">
        <v>149</v>
      </c>
      <c r="D164" s="5" t="s">
        <v>150</v>
      </c>
      <c r="E164" s="5" t="s">
        <v>186</v>
      </c>
      <c r="F164" s="5">
        <v>5138371</v>
      </c>
      <c r="G164" s="5" t="s">
        <v>189</v>
      </c>
      <c r="H164" s="5" t="s">
        <v>113</v>
      </c>
      <c r="I164" s="5" t="s">
        <v>27</v>
      </c>
      <c r="J164" s="5" t="s">
        <v>34</v>
      </c>
      <c r="K164" s="6">
        <v>0</v>
      </c>
      <c r="L164" s="7">
        <v>0</v>
      </c>
      <c r="M164" s="8">
        <v>76.8</v>
      </c>
      <c r="N164" s="8">
        <v>76.666666666666671</v>
      </c>
      <c r="O164" s="8">
        <v>568.97787308271359</v>
      </c>
      <c r="P164" s="8">
        <v>0</v>
      </c>
      <c r="Q164" s="8">
        <v>0</v>
      </c>
      <c r="R164" s="8">
        <v>0</v>
      </c>
      <c r="S164" s="8">
        <v>300</v>
      </c>
      <c r="T164" s="5">
        <v>300</v>
      </c>
      <c r="U164" s="5">
        <v>238</v>
      </c>
      <c r="V164" s="5">
        <f>VLOOKUP(A164,Planilha1!B:E,4,0)</f>
        <v>1.2362540170747773</v>
      </c>
    </row>
    <row r="165" spans="1:22" x14ac:dyDescent="0.3">
      <c r="A165" t="str">
        <f t="shared" si="4"/>
        <v>MANTEIGA 5KGITAMBÉ</v>
      </c>
      <c r="B165" t="str">
        <f t="shared" si="5"/>
        <v>5138371MANTEIGA 5KGITAMBÉ</v>
      </c>
      <c r="C165" s="5" t="s">
        <v>149</v>
      </c>
      <c r="D165" s="5" t="s">
        <v>150</v>
      </c>
      <c r="E165" s="5" t="s">
        <v>186</v>
      </c>
      <c r="F165" s="5">
        <v>5138371</v>
      </c>
      <c r="G165" s="5" t="s">
        <v>189</v>
      </c>
      <c r="H165" s="5" t="s">
        <v>113</v>
      </c>
      <c r="I165" s="5" t="s">
        <v>27</v>
      </c>
      <c r="J165" s="5" t="s">
        <v>60</v>
      </c>
      <c r="K165" s="6">
        <v>0</v>
      </c>
      <c r="L165" s="7">
        <v>0</v>
      </c>
      <c r="M165" s="8">
        <v>0</v>
      </c>
      <c r="N165" s="8">
        <v>0</v>
      </c>
      <c r="O165" s="8">
        <v>1977</v>
      </c>
      <c r="P165" s="8">
        <v>0</v>
      </c>
      <c r="Q165" s="8">
        <v>0</v>
      </c>
      <c r="R165" s="8">
        <v>0</v>
      </c>
      <c r="S165" s="8">
        <v>0</v>
      </c>
      <c r="T165" s="5">
        <v>0</v>
      </c>
      <c r="U165" s="5">
        <v>0</v>
      </c>
      <c r="V165" s="5">
        <f>VLOOKUP(A165,Planilha1!B:E,4,0)</f>
        <v>5.819800475298738</v>
      </c>
    </row>
    <row r="166" spans="1:22" x14ac:dyDescent="0.3">
      <c r="A166" t="str">
        <f t="shared" si="4"/>
        <v>LEITE CONDENSADOITAMBÉ</v>
      </c>
      <c r="B166" t="str">
        <f t="shared" si="5"/>
        <v>5171550LEITE CONDENSADOITAMBÉ</v>
      </c>
      <c r="C166" s="5" t="s">
        <v>149</v>
      </c>
      <c r="D166" s="5" t="s">
        <v>150</v>
      </c>
      <c r="E166" s="5" t="s">
        <v>186</v>
      </c>
      <c r="F166" s="5">
        <v>5171550</v>
      </c>
      <c r="G166" s="5" t="s">
        <v>190</v>
      </c>
      <c r="H166" s="5" t="s">
        <v>113</v>
      </c>
      <c r="I166" s="5" t="s">
        <v>27</v>
      </c>
      <c r="J166" s="5" t="s">
        <v>33</v>
      </c>
      <c r="K166" s="6">
        <v>0</v>
      </c>
      <c r="L166" s="7">
        <v>0</v>
      </c>
      <c r="M166" s="8">
        <v>418.24666666666673</v>
      </c>
      <c r="N166" s="8">
        <v>483.33333333333331</v>
      </c>
      <c r="O166" s="8">
        <v>143.99740804665518</v>
      </c>
      <c r="P166" s="8">
        <v>0</v>
      </c>
      <c r="Q166" s="8">
        <v>350</v>
      </c>
      <c r="R166" s="8">
        <v>0</v>
      </c>
      <c r="S166" s="8">
        <v>500</v>
      </c>
      <c r="T166" s="5">
        <v>500</v>
      </c>
      <c r="U166" s="5">
        <v>300</v>
      </c>
      <c r="V166" s="5">
        <f>VLOOKUP(A166,Planilha1!B:E,4,0)</f>
        <v>1.4766792698630664</v>
      </c>
    </row>
    <row r="167" spans="1:22" x14ac:dyDescent="0.3">
      <c r="A167" t="str">
        <f t="shared" si="4"/>
        <v>CREME UHTITAMBÉ</v>
      </c>
      <c r="B167" t="str">
        <f t="shared" si="5"/>
        <v>5171550CREME UHTITAMBÉ</v>
      </c>
      <c r="C167" s="5" t="s">
        <v>149</v>
      </c>
      <c r="D167" s="5" t="s">
        <v>150</v>
      </c>
      <c r="E167" s="5" t="s">
        <v>186</v>
      </c>
      <c r="F167" s="5">
        <v>5171550</v>
      </c>
      <c r="G167" s="5" t="s">
        <v>190</v>
      </c>
      <c r="H167" s="5" t="s">
        <v>113</v>
      </c>
      <c r="I167" s="5" t="s">
        <v>27</v>
      </c>
      <c r="J167" s="5" t="s">
        <v>34</v>
      </c>
      <c r="K167" s="6">
        <v>0</v>
      </c>
      <c r="L167" s="7">
        <v>0</v>
      </c>
      <c r="M167" s="8">
        <v>216.14000000000004</v>
      </c>
      <c r="N167" s="8">
        <v>210</v>
      </c>
      <c r="O167" s="8">
        <v>191.99253362369245</v>
      </c>
      <c r="P167" s="8">
        <v>0</v>
      </c>
      <c r="Q167" s="8">
        <v>181.8</v>
      </c>
      <c r="R167" s="8">
        <v>0</v>
      </c>
      <c r="S167" s="8">
        <v>200</v>
      </c>
      <c r="T167" s="5">
        <v>200</v>
      </c>
      <c r="U167" s="5">
        <v>0</v>
      </c>
      <c r="V167" s="5">
        <f>VLOOKUP(A167,Planilha1!B:E,4,0)</f>
        <v>1.2362540170747773</v>
      </c>
    </row>
    <row r="168" spans="1:22" x14ac:dyDescent="0.3">
      <c r="A168" t="str">
        <f t="shared" si="4"/>
        <v>DOCE DE LEITEITAMBÉ</v>
      </c>
      <c r="B168" t="str">
        <f t="shared" si="5"/>
        <v>5171550DOCE DE LEITEITAMBÉ</v>
      </c>
      <c r="C168" s="5" t="s">
        <v>149</v>
      </c>
      <c r="D168" s="5" t="s">
        <v>150</v>
      </c>
      <c r="E168" s="5" t="s">
        <v>186</v>
      </c>
      <c r="F168" s="5">
        <v>5171550</v>
      </c>
      <c r="G168" s="5" t="s">
        <v>190</v>
      </c>
      <c r="H168" s="5" t="s">
        <v>113</v>
      </c>
      <c r="I168" s="5" t="s">
        <v>27</v>
      </c>
      <c r="J168" s="5" t="s">
        <v>46</v>
      </c>
      <c r="K168" s="6">
        <v>0</v>
      </c>
      <c r="L168" s="7">
        <v>0</v>
      </c>
      <c r="M168" s="8">
        <v>1.58</v>
      </c>
      <c r="N168" s="8">
        <v>0</v>
      </c>
      <c r="O168" s="8">
        <v>5.0002857306131787</v>
      </c>
      <c r="P168" s="8">
        <v>0</v>
      </c>
      <c r="Q168" s="8">
        <v>0</v>
      </c>
      <c r="R168" s="8">
        <v>0</v>
      </c>
      <c r="S168" s="8">
        <v>0</v>
      </c>
      <c r="T168" s="5">
        <v>0</v>
      </c>
      <c r="U168" s="5">
        <v>0</v>
      </c>
      <c r="V168" s="5">
        <f>VLOOKUP(A168,Planilha1!B:E,4,0)</f>
        <v>5.8210743907543439</v>
      </c>
    </row>
    <row r="169" spans="1:22" x14ac:dyDescent="0.3">
      <c r="A169" t="str">
        <f t="shared" si="4"/>
        <v>LEITE CONDENSADOITAMBÉ</v>
      </c>
      <c r="B169" t="str">
        <f t="shared" si="5"/>
        <v>5194319LEITE CONDENSADOITAMBÉ</v>
      </c>
      <c r="C169" s="5" t="s">
        <v>149</v>
      </c>
      <c r="D169" s="5" t="s">
        <v>150</v>
      </c>
      <c r="E169" s="5" t="s">
        <v>186</v>
      </c>
      <c r="F169" s="5">
        <v>5194319</v>
      </c>
      <c r="G169" s="5" t="s">
        <v>191</v>
      </c>
      <c r="H169" s="5" t="s">
        <v>30</v>
      </c>
      <c r="I169" s="5" t="s">
        <v>27</v>
      </c>
      <c r="J169" s="5" t="s">
        <v>33</v>
      </c>
      <c r="K169" s="6">
        <v>0</v>
      </c>
      <c r="L169" s="7">
        <v>815.28</v>
      </c>
      <c r="M169" s="8">
        <v>707.84</v>
      </c>
      <c r="N169" s="8">
        <v>894.33333333333337</v>
      </c>
      <c r="O169" s="8">
        <v>344.99379011177803</v>
      </c>
      <c r="P169" s="8">
        <v>0</v>
      </c>
      <c r="Q169" s="8">
        <v>0</v>
      </c>
      <c r="R169" s="8">
        <v>0</v>
      </c>
      <c r="S169" s="8">
        <v>900</v>
      </c>
      <c r="T169" s="5">
        <v>900</v>
      </c>
      <c r="U169" s="5">
        <v>0</v>
      </c>
      <c r="V169" s="5">
        <f>VLOOKUP(A169,Planilha1!B:E,4,0)</f>
        <v>1.4766792698630664</v>
      </c>
    </row>
    <row r="170" spans="1:22" x14ac:dyDescent="0.3">
      <c r="A170" t="str">
        <f t="shared" si="4"/>
        <v>DOCE DE LEITEITAMBÉ</v>
      </c>
      <c r="B170" t="str">
        <f t="shared" si="5"/>
        <v>5194319DOCE DE LEITEITAMBÉ</v>
      </c>
      <c r="C170" s="5" t="s">
        <v>149</v>
      </c>
      <c r="D170" s="5" t="s">
        <v>150</v>
      </c>
      <c r="E170" s="5" t="s">
        <v>186</v>
      </c>
      <c r="F170" s="5">
        <v>5194319</v>
      </c>
      <c r="G170" s="5" t="s">
        <v>191</v>
      </c>
      <c r="H170" s="5" t="s">
        <v>30</v>
      </c>
      <c r="I170" s="5" t="s">
        <v>27</v>
      </c>
      <c r="J170" s="5" t="s">
        <v>46</v>
      </c>
      <c r="K170" s="6">
        <v>0</v>
      </c>
      <c r="L170" s="7">
        <v>0</v>
      </c>
      <c r="M170" s="8">
        <v>412</v>
      </c>
      <c r="N170" s="8">
        <v>614</v>
      </c>
      <c r="O170" s="8">
        <v>586.03348762786459</v>
      </c>
      <c r="P170" s="8">
        <v>0</v>
      </c>
      <c r="Q170" s="8">
        <v>0</v>
      </c>
      <c r="R170" s="8">
        <v>0</v>
      </c>
      <c r="S170" s="8">
        <v>800</v>
      </c>
      <c r="T170" s="5">
        <v>800</v>
      </c>
      <c r="U170" s="5">
        <v>546</v>
      </c>
      <c r="V170" s="5">
        <f>VLOOKUP(A170,Planilha1!B:E,4,0)</f>
        <v>5.8210743907543439</v>
      </c>
    </row>
    <row r="171" spans="1:22" x14ac:dyDescent="0.3">
      <c r="A171" t="str">
        <f t="shared" si="4"/>
        <v>LEITE CONDENSADOITAMBÉ</v>
      </c>
      <c r="B171" t="str">
        <f t="shared" si="5"/>
        <v>5204939LEITE CONDENSADOITAMBÉ</v>
      </c>
      <c r="C171" s="5" t="s">
        <v>149</v>
      </c>
      <c r="D171" s="5" t="s">
        <v>150</v>
      </c>
      <c r="E171" s="5" t="s">
        <v>186</v>
      </c>
      <c r="F171" s="5">
        <v>5204939</v>
      </c>
      <c r="G171" s="5" t="s">
        <v>192</v>
      </c>
      <c r="H171" s="5" t="s">
        <v>30</v>
      </c>
      <c r="I171" s="5" t="s">
        <v>27</v>
      </c>
      <c r="J171" s="5" t="s">
        <v>33</v>
      </c>
      <c r="K171" s="6">
        <v>0</v>
      </c>
      <c r="L171" s="7">
        <v>0</v>
      </c>
      <c r="M171" s="8">
        <v>0</v>
      </c>
      <c r="N171" s="8">
        <v>0</v>
      </c>
      <c r="O171" s="8">
        <v>861.98448427928304</v>
      </c>
      <c r="P171" s="8">
        <v>0</v>
      </c>
      <c r="Q171" s="8">
        <v>0</v>
      </c>
      <c r="R171" s="8">
        <v>0</v>
      </c>
      <c r="S171" s="8">
        <v>1000</v>
      </c>
      <c r="T171" s="5">
        <v>1000</v>
      </c>
      <c r="U171" s="5">
        <v>0</v>
      </c>
      <c r="V171" s="5">
        <f>VLOOKUP(A171,Planilha1!B:E,4,0)</f>
        <v>1.4766792698630664</v>
      </c>
    </row>
    <row r="172" spans="1:22" x14ac:dyDescent="0.3">
      <c r="A172" t="str">
        <f t="shared" si="4"/>
        <v>CREME UHTITAMBÉ</v>
      </c>
      <c r="B172" t="str">
        <f t="shared" si="5"/>
        <v>5204939CREME UHTITAMBÉ</v>
      </c>
      <c r="C172" s="5" t="s">
        <v>149</v>
      </c>
      <c r="D172" s="5" t="s">
        <v>150</v>
      </c>
      <c r="E172" s="5" t="s">
        <v>186</v>
      </c>
      <c r="F172" s="5">
        <v>5204939</v>
      </c>
      <c r="G172" s="5" t="s">
        <v>192</v>
      </c>
      <c r="H172" s="5" t="s">
        <v>30</v>
      </c>
      <c r="I172" s="5" t="s">
        <v>27</v>
      </c>
      <c r="J172" s="5" t="s">
        <v>34</v>
      </c>
      <c r="K172" s="6">
        <v>0</v>
      </c>
      <c r="L172" s="7">
        <v>0</v>
      </c>
      <c r="M172" s="8">
        <v>0</v>
      </c>
      <c r="N172" s="8">
        <v>0</v>
      </c>
      <c r="O172" s="8">
        <v>912.96449582516254</v>
      </c>
      <c r="P172" s="8">
        <v>0</v>
      </c>
      <c r="Q172" s="8">
        <v>0</v>
      </c>
      <c r="R172" s="8">
        <v>0</v>
      </c>
      <c r="S172" s="8">
        <v>400</v>
      </c>
      <c r="T172" s="5">
        <v>450</v>
      </c>
      <c r="U172" s="5">
        <v>0</v>
      </c>
      <c r="V172" s="5">
        <f>VLOOKUP(A172,Planilha1!B:E,4,0)</f>
        <v>1.2362540170747773</v>
      </c>
    </row>
    <row r="173" spans="1:22" x14ac:dyDescent="0.3">
      <c r="A173" t="str">
        <f t="shared" si="4"/>
        <v>DOCE DE LEITEITAMBÉ</v>
      </c>
      <c r="B173" t="str">
        <f t="shared" si="5"/>
        <v>5204939DOCE DE LEITEITAMBÉ</v>
      </c>
      <c r="C173" s="5" t="s">
        <v>149</v>
      </c>
      <c r="D173" s="5" t="s">
        <v>150</v>
      </c>
      <c r="E173" s="5" t="s">
        <v>186</v>
      </c>
      <c r="F173" s="5">
        <v>5204939</v>
      </c>
      <c r="G173" s="5" t="s">
        <v>192</v>
      </c>
      <c r="H173" s="5" t="s">
        <v>30</v>
      </c>
      <c r="I173" s="5" t="s">
        <v>27</v>
      </c>
      <c r="J173" s="5" t="s">
        <v>46</v>
      </c>
      <c r="K173" s="6">
        <v>0</v>
      </c>
      <c r="L173" s="7">
        <v>0</v>
      </c>
      <c r="M173" s="8">
        <v>0</v>
      </c>
      <c r="N173" s="8">
        <v>0</v>
      </c>
      <c r="O173" s="8">
        <v>474.02708726212933</v>
      </c>
      <c r="P173" s="8">
        <v>0</v>
      </c>
      <c r="Q173" s="8">
        <v>0</v>
      </c>
      <c r="R173" s="8">
        <v>0</v>
      </c>
      <c r="S173" s="8">
        <v>500</v>
      </c>
      <c r="T173" s="5">
        <v>500</v>
      </c>
      <c r="U173" s="5">
        <v>0</v>
      </c>
      <c r="V173" s="5">
        <f>VLOOKUP(A173,Planilha1!B:E,4,0)</f>
        <v>5.8210743907543439</v>
      </c>
    </row>
    <row r="174" spans="1:22" x14ac:dyDescent="0.3">
      <c r="A174" t="str">
        <f t="shared" si="4"/>
        <v>LEITE UHTITAMBÉ</v>
      </c>
      <c r="B174" t="str">
        <f t="shared" si="5"/>
        <v>5204939LEITE UHTITAMBÉ</v>
      </c>
      <c r="C174" s="5" t="s">
        <v>149</v>
      </c>
      <c r="D174" s="5" t="s">
        <v>150</v>
      </c>
      <c r="E174" s="5" t="s">
        <v>186</v>
      </c>
      <c r="F174" s="5">
        <v>5204939</v>
      </c>
      <c r="G174" s="5" t="s">
        <v>192</v>
      </c>
      <c r="H174" s="5" t="s">
        <v>30</v>
      </c>
      <c r="I174" s="5" t="s">
        <v>27</v>
      </c>
      <c r="J174" s="5" t="s">
        <v>156</v>
      </c>
      <c r="K174" s="6">
        <v>0</v>
      </c>
      <c r="L174" s="7">
        <v>0</v>
      </c>
      <c r="M174" s="8">
        <v>0</v>
      </c>
      <c r="N174" s="8">
        <v>0</v>
      </c>
      <c r="O174" s="8">
        <v>847.99057788246796</v>
      </c>
      <c r="P174" s="8">
        <v>0</v>
      </c>
      <c r="Q174" s="8">
        <v>0</v>
      </c>
      <c r="R174" s="8">
        <v>0</v>
      </c>
      <c r="S174" s="8">
        <v>0</v>
      </c>
      <c r="T174" s="5">
        <v>0</v>
      </c>
      <c r="U174" s="5">
        <v>0</v>
      </c>
      <c r="V174" s="5">
        <f>VLOOKUP(A174,Planilha1!B:E,4,0)</f>
        <v>-0.14425288609148015</v>
      </c>
    </row>
    <row r="175" spans="1:22" x14ac:dyDescent="0.3">
      <c r="A175" t="str">
        <f t="shared" si="4"/>
        <v>LEITE CONDENSADOITAMBÉ</v>
      </c>
      <c r="B175" t="str">
        <f t="shared" si="5"/>
        <v>5256539LEITE CONDENSADOITAMBÉ</v>
      </c>
      <c r="C175" s="5" t="s">
        <v>149</v>
      </c>
      <c r="D175" s="5" t="s">
        <v>150</v>
      </c>
      <c r="E175" s="5" t="s">
        <v>186</v>
      </c>
      <c r="F175" s="5">
        <v>5256539</v>
      </c>
      <c r="G175" s="5" t="s">
        <v>193</v>
      </c>
      <c r="H175" s="5" t="s">
        <v>154</v>
      </c>
      <c r="I175" s="5" t="s">
        <v>27</v>
      </c>
      <c r="J175" s="5" t="s">
        <v>33</v>
      </c>
      <c r="K175" s="6">
        <v>0</v>
      </c>
      <c r="L175" s="7">
        <v>300</v>
      </c>
      <c r="M175" s="8">
        <v>84.166666666666671</v>
      </c>
      <c r="N175" s="8">
        <v>176.66666666666666</v>
      </c>
      <c r="O175" s="8">
        <v>79.998560025919531</v>
      </c>
      <c r="P175" s="8">
        <v>0</v>
      </c>
      <c r="Q175" s="8">
        <v>300</v>
      </c>
      <c r="R175" s="8">
        <v>0</v>
      </c>
      <c r="S175" s="8">
        <v>250</v>
      </c>
      <c r="T175" s="5">
        <v>250</v>
      </c>
      <c r="U175" s="5">
        <v>300</v>
      </c>
      <c r="V175" s="5">
        <f>VLOOKUP(A175,Planilha1!B:E,4,0)</f>
        <v>1.4766792698630664</v>
      </c>
    </row>
    <row r="176" spans="1:22" x14ac:dyDescent="0.3">
      <c r="A176" t="str">
        <f t="shared" si="4"/>
        <v>MANTEIGA 5KGLACTALIS</v>
      </c>
      <c r="B176" t="str">
        <f t="shared" si="5"/>
        <v>5335135MANTEIGA 5KGLACTALIS</v>
      </c>
      <c r="C176" s="5" t="s">
        <v>149</v>
      </c>
      <c r="D176" s="5" t="s">
        <v>150</v>
      </c>
      <c r="E176" s="5" t="s">
        <v>186</v>
      </c>
      <c r="F176" s="5">
        <v>5335135</v>
      </c>
      <c r="G176" s="5" t="s">
        <v>194</v>
      </c>
      <c r="H176" s="5" t="s">
        <v>30</v>
      </c>
      <c r="I176" s="5" t="s">
        <v>22</v>
      </c>
      <c r="J176" s="5" t="s">
        <v>60</v>
      </c>
      <c r="K176" s="6">
        <v>0</v>
      </c>
      <c r="L176" s="7">
        <v>0</v>
      </c>
      <c r="M176" s="8">
        <v>2205.8333333333335</v>
      </c>
      <c r="N176" s="8">
        <v>2545</v>
      </c>
      <c r="O176" s="8">
        <v>5250</v>
      </c>
      <c r="P176" s="8">
        <v>0</v>
      </c>
      <c r="Q176" s="8">
        <v>450</v>
      </c>
      <c r="R176" s="8">
        <v>0</v>
      </c>
      <c r="S176" s="8">
        <v>7000</v>
      </c>
      <c r="T176" s="5">
        <v>2500</v>
      </c>
      <c r="U176" s="5">
        <v>3000</v>
      </c>
      <c r="V176" s="5">
        <f>VLOOKUP(A176,Planilha1!B:E,4,0)</f>
        <v>11.476197020267191</v>
      </c>
    </row>
    <row r="177" spans="1:22" x14ac:dyDescent="0.3">
      <c r="A177" t="str">
        <f t="shared" si="4"/>
        <v>PARMESÃOLACTALIS</v>
      </c>
      <c r="B177" t="str">
        <f t="shared" si="5"/>
        <v>5335135PARMESÃOLACTALIS</v>
      </c>
      <c r="C177" s="5" t="s">
        <v>149</v>
      </c>
      <c r="D177" s="5" t="s">
        <v>150</v>
      </c>
      <c r="E177" s="5" t="s">
        <v>186</v>
      </c>
      <c r="F177" s="5">
        <v>5335135</v>
      </c>
      <c r="G177" s="5" t="s">
        <v>194</v>
      </c>
      <c r="H177" s="5" t="s">
        <v>30</v>
      </c>
      <c r="I177" s="5" t="s">
        <v>22</v>
      </c>
      <c r="J177" s="5" t="s">
        <v>195</v>
      </c>
      <c r="K177" s="6">
        <v>0</v>
      </c>
      <c r="L177" s="7">
        <v>1615.7840000000001</v>
      </c>
      <c r="M177" s="8">
        <v>3423.4193333333333</v>
      </c>
      <c r="N177" s="8">
        <v>4112.7830000000004</v>
      </c>
      <c r="O177" s="8">
        <v>3970.469474344779</v>
      </c>
      <c r="P177" s="8">
        <v>0</v>
      </c>
      <c r="Q177" s="8">
        <v>835.33800000000008</v>
      </c>
      <c r="R177" s="8">
        <v>0</v>
      </c>
      <c r="S177" s="8">
        <v>3500</v>
      </c>
      <c r="T177" s="5">
        <v>3500</v>
      </c>
      <c r="U177" s="5">
        <v>800</v>
      </c>
      <c r="V177" s="5">
        <f>VLOOKUP(A177,Planilha1!B:E,4,0)</f>
        <v>6.310326960724681</v>
      </c>
    </row>
    <row r="178" spans="1:22" x14ac:dyDescent="0.3">
      <c r="A178" t="str">
        <f t="shared" si="4"/>
        <v>LEITE UHTLACTALIS</v>
      </c>
      <c r="B178" t="str">
        <f t="shared" si="5"/>
        <v>5337773LEITE UHTLACTALIS</v>
      </c>
      <c r="C178" s="5" t="s">
        <v>149</v>
      </c>
      <c r="D178" s="5" t="s">
        <v>150</v>
      </c>
      <c r="E178" s="5" t="s">
        <v>186</v>
      </c>
      <c r="F178" s="5">
        <v>5337773</v>
      </c>
      <c r="G178" s="5" t="s">
        <v>196</v>
      </c>
      <c r="H178" s="5" t="s">
        <v>30</v>
      </c>
      <c r="I178" s="5" t="s">
        <v>22</v>
      </c>
      <c r="J178" s="5" t="s">
        <v>156</v>
      </c>
      <c r="K178" s="6">
        <v>0</v>
      </c>
      <c r="L178" s="7">
        <v>0</v>
      </c>
      <c r="M178" s="8">
        <v>105250</v>
      </c>
      <c r="N178" s="8">
        <v>46620</v>
      </c>
      <c r="O178" s="8">
        <v>96610.389767565925</v>
      </c>
      <c r="P178" s="8">
        <v>0</v>
      </c>
      <c r="Q178" s="8">
        <v>0</v>
      </c>
      <c r="R178" s="8">
        <v>0</v>
      </c>
      <c r="S178" s="8">
        <v>0</v>
      </c>
      <c r="T178" s="5">
        <v>0</v>
      </c>
      <c r="U178" s="5">
        <v>0</v>
      </c>
      <c r="V178" s="5">
        <f>VLOOKUP(A178,Planilha1!B:E,4,0)</f>
        <v>0.37177548115779385</v>
      </c>
    </row>
    <row r="179" spans="1:22" x14ac:dyDescent="0.3">
      <c r="A179" t="str">
        <f t="shared" si="4"/>
        <v>CREME UHTITAMBÉ</v>
      </c>
      <c r="B179" t="str">
        <f t="shared" si="5"/>
        <v>5354378CREME UHTITAMBÉ</v>
      </c>
      <c r="C179" s="5" t="s">
        <v>149</v>
      </c>
      <c r="D179" s="5" t="s">
        <v>150</v>
      </c>
      <c r="E179" s="5" t="s">
        <v>186</v>
      </c>
      <c r="F179" s="5">
        <v>5354378</v>
      </c>
      <c r="G179" s="5" t="s">
        <v>197</v>
      </c>
      <c r="H179" s="5" t="s">
        <v>113</v>
      </c>
      <c r="I179" s="5" t="s">
        <v>27</v>
      </c>
      <c r="J179" s="5" t="s">
        <v>34</v>
      </c>
      <c r="K179" s="6">
        <v>0</v>
      </c>
      <c r="L179" s="7">
        <v>0</v>
      </c>
      <c r="M179" s="8">
        <v>60.6</v>
      </c>
      <c r="N179" s="8">
        <v>0</v>
      </c>
      <c r="O179" s="8">
        <v>191.99253362369245</v>
      </c>
      <c r="P179" s="8">
        <v>0</v>
      </c>
      <c r="Q179" s="8">
        <v>0</v>
      </c>
      <c r="R179" s="8">
        <v>0</v>
      </c>
      <c r="S179" s="8">
        <v>0</v>
      </c>
      <c r="T179" s="5">
        <v>0</v>
      </c>
      <c r="U179" s="5">
        <v>0</v>
      </c>
      <c r="V179" s="5">
        <f>VLOOKUP(A179,Planilha1!B:E,4,0)</f>
        <v>1.2362540170747773</v>
      </c>
    </row>
    <row r="180" spans="1:22" x14ac:dyDescent="0.3">
      <c r="A180" t="str">
        <f t="shared" si="4"/>
        <v>LEITE UHTITAMBÉ</v>
      </c>
      <c r="B180" t="str">
        <f t="shared" si="5"/>
        <v>5001788LEITE UHTITAMBÉ</v>
      </c>
      <c r="C180" s="5" t="s">
        <v>149</v>
      </c>
      <c r="D180" s="5" t="s">
        <v>150</v>
      </c>
      <c r="E180" s="5" t="s">
        <v>151</v>
      </c>
      <c r="F180" s="5">
        <v>5001788</v>
      </c>
      <c r="G180" s="5" t="s">
        <v>198</v>
      </c>
      <c r="H180" s="5" t="s">
        <v>25</v>
      </c>
      <c r="I180" s="5" t="s">
        <v>27</v>
      </c>
      <c r="J180" s="5" t="s">
        <v>156</v>
      </c>
      <c r="K180" s="6">
        <v>0</v>
      </c>
      <c r="L180" s="7">
        <v>0</v>
      </c>
      <c r="M180" s="8">
        <v>0</v>
      </c>
      <c r="N180" s="8">
        <v>0</v>
      </c>
      <c r="O180" s="8">
        <v>318.9964555949378</v>
      </c>
      <c r="P180" s="8">
        <v>0</v>
      </c>
      <c r="Q180" s="8">
        <v>0</v>
      </c>
      <c r="R180" s="8">
        <v>0</v>
      </c>
      <c r="S180" s="8">
        <v>0</v>
      </c>
      <c r="T180" s="5">
        <v>0</v>
      </c>
      <c r="U180" s="5">
        <v>0</v>
      </c>
      <c r="V180" s="5">
        <f>VLOOKUP(A180,Planilha1!B:E,4,0)</f>
        <v>-0.14425288609148015</v>
      </c>
    </row>
    <row r="181" spans="1:22" x14ac:dyDescent="0.3">
      <c r="A181" t="str">
        <f t="shared" si="4"/>
        <v>BLISTERITAMBÉ</v>
      </c>
      <c r="B181" t="str">
        <f t="shared" si="5"/>
        <v>5002086BLISTERITAMBÉ</v>
      </c>
      <c r="C181" s="5" t="s">
        <v>149</v>
      </c>
      <c r="D181" s="5" t="s">
        <v>150</v>
      </c>
      <c r="E181" s="5" t="s">
        <v>151</v>
      </c>
      <c r="F181" s="5">
        <v>5002086</v>
      </c>
      <c r="G181" s="5" t="s">
        <v>152</v>
      </c>
      <c r="H181" s="5" t="s">
        <v>25</v>
      </c>
      <c r="I181" s="5" t="s">
        <v>27</v>
      </c>
      <c r="J181" s="5" t="s">
        <v>199</v>
      </c>
      <c r="K181" s="6">
        <v>0</v>
      </c>
      <c r="L181" s="7">
        <v>0</v>
      </c>
      <c r="M181" s="8">
        <v>984.6</v>
      </c>
      <c r="N181" s="8">
        <v>1172.6666666666667</v>
      </c>
      <c r="O181" s="8">
        <v>719.10273072262976</v>
      </c>
      <c r="P181" s="8">
        <v>0</v>
      </c>
      <c r="Q181" s="8">
        <v>0</v>
      </c>
      <c r="R181" s="8">
        <v>0</v>
      </c>
      <c r="S181" s="8">
        <v>4500</v>
      </c>
      <c r="T181" s="5">
        <v>4500</v>
      </c>
      <c r="U181" s="5">
        <v>576</v>
      </c>
      <c r="V181" s="5">
        <f>VLOOKUP(A181,Planilha1!B:E,4,0)</f>
        <v>10.339882680976428</v>
      </c>
    </row>
    <row r="182" spans="1:22" x14ac:dyDescent="0.3">
      <c r="A182" t="str">
        <f t="shared" si="4"/>
        <v>LEITE UHTITAMBÉ</v>
      </c>
      <c r="B182" t="str">
        <f t="shared" si="5"/>
        <v>5002086LEITE UHTITAMBÉ</v>
      </c>
      <c r="C182" s="5" t="s">
        <v>149</v>
      </c>
      <c r="D182" s="5" t="s">
        <v>150</v>
      </c>
      <c r="E182" s="5" t="s">
        <v>151</v>
      </c>
      <c r="F182" s="5">
        <v>5002086</v>
      </c>
      <c r="G182" s="5" t="s">
        <v>152</v>
      </c>
      <c r="H182" s="5" t="s">
        <v>25</v>
      </c>
      <c r="I182" s="5" t="s">
        <v>27</v>
      </c>
      <c r="J182" s="5" t="s">
        <v>156</v>
      </c>
      <c r="K182" s="6">
        <v>0</v>
      </c>
      <c r="L182" s="7">
        <v>13200</v>
      </c>
      <c r="M182" s="8">
        <v>13384</v>
      </c>
      <c r="N182" s="8">
        <v>10000</v>
      </c>
      <c r="O182" s="8">
        <v>292.99674448061688</v>
      </c>
      <c r="P182" s="8">
        <v>0</v>
      </c>
      <c r="Q182" s="8">
        <v>6240</v>
      </c>
      <c r="R182" s="8">
        <v>0</v>
      </c>
      <c r="S182" s="8">
        <v>0</v>
      </c>
      <c r="T182" s="5">
        <v>0</v>
      </c>
      <c r="U182" s="5">
        <v>0</v>
      </c>
      <c r="V182" s="5">
        <f>VLOOKUP(A182,Planilha1!B:E,4,0)</f>
        <v>-0.14425288609148015</v>
      </c>
    </row>
    <row r="183" spans="1:22" x14ac:dyDescent="0.3">
      <c r="A183" t="str">
        <f t="shared" si="4"/>
        <v>BLISTERLACTALIS</v>
      </c>
      <c r="B183" t="str">
        <f t="shared" si="5"/>
        <v>5008636BLISTERLACTALIS</v>
      </c>
      <c r="C183" s="5" t="s">
        <v>149</v>
      </c>
      <c r="D183" s="5" t="s">
        <v>150</v>
      </c>
      <c r="E183" s="5" t="s">
        <v>151</v>
      </c>
      <c r="F183" s="5">
        <v>5008636</v>
      </c>
      <c r="G183" s="5" t="s">
        <v>200</v>
      </c>
      <c r="H183" s="5" t="s">
        <v>154</v>
      </c>
      <c r="I183" s="5" t="s">
        <v>22</v>
      </c>
      <c r="J183" s="5" t="s">
        <v>199</v>
      </c>
      <c r="K183" s="6">
        <v>0</v>
      </c>
      <c r="L183" s="7">
        <v>0</v>
      </c>
      <c r="M183" s="8">
        <v>853.12</v>
      </c>
      <c r="N183" s="8">
        <v>368.64000000000004</v>
      </c>
      <c r="O183" s="8">
        <v>342.81932008668576</v>
      </c>
      <c r="P183" s="8">
        <v>0</v>
      </c>
      <c r="Q183" s="8">
        <v>0</v>
      </c>
      <c r="R183" s="8">
        <v>0</v>
      </c>
      <c r="S183" s="8">
        <v>369</v>
      </c>
      <c r="T183" s="5">
        <v>369</v>
      </c>
      <c r="U183" s="5">
        <v>0</v>
      </c>
      <c r="V183" s="5">
        <f>VLOOKUP(A183,Planilha1!B:E,4,0)</f>
        <v>13.783871706210666</v>
      </c>
    </row>
    <row r="184" spans="1:22" x14ac:dyDescent="0.3">
      <c r="A184" t="str">
        <f t="shared" si="4"/>
        <v>LEITE CONDENSADOITAMBÉ</v>
      </c>
      <c r="B184" t="str">
        <f t="shared" si="5"/>
        <v>5021079LEITE CONDENSADOITAMBÉ</v>
      </c>
      <c r="C184" s="5" t="s">
        <v>149</v>
      </c>
      <c r="D184" s="5" t="s">
        <v>150</v>
      </c>
      <c r="E184" s="5" t="s">
        <v>151</v>
      </c>
      <c r="F184" s="5">
        <v>5021079</v>
      </c>
      <c r="G184" s="5" t="s">
        <v>201</v>
      </c>
      <c r="H184" s="5" t="s">
        <v>25</v>
      </c>
      <c r="I184" s="5" t="s">
        <v>27</v>
      </c>
      <c r="J184" s="5" t="s">
        <v>33</v>
      </c>
      <c r="K184" s="6">
        <v>0</v>
      </c>
      <c r="L184" s="7">
        <v>0</v>
      </c>
      <c r="M184" s="8">
        <v>83.333333333333343</v>
      </c>
      <c r="N184" s="8">
        <v>0</v>
      </c>
      <c r="O184" s="8">
        <v>40.999262013283762</v>
      </c>
      <c r="P184" s="8">
        <v>0</v>
      </c>
      <c r="Q184" s="8">
        <v>0</v>
      </c>
      <c r="R184" s="8">
        <v>0</v>
      </c>
      <c r="S184" s="8">
        <v>0</v>
      </c>
      <c r="T184" s="5">
        <v>0</v>
      </c>
      <c r="U184" s="5">
        <v>0</v>
      </c>
      <c r="V184" s="5">
        <f>VLOOKUP(A184,Planilha1!B:E,4,0)</f>
        <v>1.4766792698630664</v>
      </c>
    </row>
    <row r="185" spans="1:22" x14ac:dyDescent="0.3">
      <c r="A185" t="str">
        <f t="shared" si="4"/>
        <v>CREME UHTITAMBÉ</v>
      </c>
      <c r="B185" t="str">
        <f t="shared" si="5"/>
        <v>5021079CREME UHTITAMBÉ</v>
      </c>
      <c r="C185" s="5" t="s">
        <v>149</v>
      </c>
      <c r="D185" s="5" t="s">
        <v>150</v>
      </c>
      <c r="E185" s="5" t="s">
        <v>151</v>
      </c>
      <c r="F185" s="5">
        <v>5021079</v>
      </c>
      <c r="G185" s="5" t="s">
        <v>201</v>
      </c>
      <c r="H185" s="5" t="s">
        <v>25</v>
      </c>
      <c r="I185" s="5" t="s">
        <v>27</v>
      </c>
      <c r="J185" s="5" t="s">
        <v>34</v>
      </c>
      <c r="K185" s="6">
        <v>0</v>
      </c>
      <c r="L185" s="7">
        <v>0</v>
      </c>
      <c r="M185" s="8">
        <v>52.080000000000005</v>
      </c>
      <c r="N185" s="8">
        <v>0</v>
      </c>
      <c r="O185" s="8">
        <v>50.998016743793308</v>
      </c>
      <c r="P185" s="8">
        <v>0</v>
      </c>
      <c r="Q185" s="8">
        <v>0</v>
      </c>
      <c r="R185" s="8">
        <v>0</v>
      </c>
      <c r="S185" s="8">
        <v>0</v>
      </c>
      <c r="T185" s="5">
        <v>0</v>
      </c>
      <c r="U185" s="5">
        <v>0</v>
      </c>
      <c r="V185" s="5">
        <f>VLOOKUP(A185,Planilha1!B:E,4,0)</f>
        <v>1.2362540170747773</v>
      </c>
    </row>
    <row r="186" spans="1:22" x14ac:dyDescent="0.3">
      <c r="A186" t="str">
        <f t="shared" si="4"/>
        <v>BLISTERLACTALIS</v>
      </c>
      <c r="B186" t="str">
        <f t="shared" si="5"/>
        <v>5058881BLISTERLACTALIS</v>
      </c>
      <c r="C186" s="5" t="s">
        <v>149</v>
      </c>
      <c r="D186" s="5" t="s">
        <v>150</v>
      </c>
      <c r="E186" s="5" t="s">
        <v>151</v>
      </c>
      <c r="F186" s="5">
        <v>5058881</v>
      </c>
      <c r="G186" s="5" t="s">
        <v>200</v>
      </c>
      <c r="H186" s="5" t="s">
        <v>30</v>
      </c>
      <c r="I186" s="5" t="s">
        <v>22</v>
      </c>
      <c r="J186" s="5" t="s">
        <v>199</v>
      </c>
      <c r="K186" s="6">
        <v>0</v>
      </c>
      <c r="L186" s="7">
        <v>0</v>
      </c>
      <c r="M186" s="8">
        <v>171.12</v>
      </c>
      <c r="N186" s="8">
        <v>1.43999999999998</v>
      </c>
      <c r="O186" s="8">
        <v>86.795919342972411</v>
      </c>
      <c r="P186" s="8">
        <v>0</v>
      </c>
      <c r="Q186" s="8">
        <v>0</v>
      </c>
      <c r="R186" s="8">
        <v>0</v>
      </c>
      <c r="S186" s="8">
        <v>0</v>
      </c>
      <c r="T186" s="5">
        <v>0</v>
      </c>
      <c r="U186" s="5">
        <v>0</v>
      </c>
      <c r="V186" s="5">
        <f>VLOOKUP(A186,Planilha1!B:E,4,0)</f>
        <v>13.783871706210666</v>
      </c>
    </row>
    <row r="187" spans="1:22" x14ac:dyDescent="0.3">
      <c r="A187" t="str">
        <f t="shared" si="4"/>
        <v>BLISTERITAMBÉ</v>
      </c>
      <c r="B187" t="str">
        <f t="shared" si="5"/>
        <v>5063519BLISTERITAMBÉ</v>
      </c>
      <c r="C187" s="5" t="s">
        <v>149</v>
      </c>
      <c r="D187" s="5" t="s">
        <v>150</v>
      </c>
      <c r="E187" s="5" t="s">
        <v>151</v>
      </c>
      <c r="F187" s="5">
        <v>5063519</v>
      </c>
      <c r="G187" s="5" t="s">
        <v>198</v>
      </c>
      <c r="H187" s="5" t="s">
        <v>30</v>
      </c>
      <c r="I187" s="5" t="s">
        <v>27</v>
      </c>
      <c r="J187" s="5" t="s">
        <v>199</v>
      </c>
      <c r="K187" s="6">
        <v>0</v>
      </c>
      <c r="L187" s="7">
        <v>0</v>
      </c>
      <c r="M187" s="8">
        <v>362.23999999999995</v>
      </c>
      <c r="N187" s="8">
        <v>332</v>
      </c>
      <c r="O187" s="8">
        <v>686.09801568250919</v>
      </c>
      <c r="P187" s="8">
        <v>0</v>
      </c>
      <c r="Q187" s="8">
        <v>0</v>
      </c>
      <c r="R187" s="8">
        <v>0</v>
      </c>
      <c r="S187" s="8">
        <v>332</v>
      </c>
      <c r="T187" s="5">
        <v>332</v>
      </c>
      <c r="U187" s="5">
        <v>0</v>
      </c>
      <c r="V187" s="5">
        <f>VLOOKUP(A187,Planilha1!B:E,4,0)</f>
        <v>10.339882680976428</v>
      </c>
    </row>
    <row r="188" spans="1:22" x14ac:dyDescent="0.3">
      <c r="A188" t="str">
        <f t="shared" si="4"/>
        <v>BLISTERLACTALIS</v>
      </c>
      <c r="B188" t="str">
        <f t="shared" si="5"/>
        <v>5063519BLISTERLACTALIS</v>
      </c>
      <c r="C188" s="5" t="s">
        <v>149</v>
      </c>
      <c r="D188" s="5" t="s">
        <v>150</v>
      </c>
      <c r="E188" s="5" t="s">
        <v>151</v>
      </c>
      <c r="F188" s="5">
        <v>5063519</v>
      </c>
      <c r="G188" s="5" t="s">
        <v>198</v>
      </c>
      <c r="H188" s="5" t="s">
        <v>30</v>
      </c>
      <c r="I188" s="5" t="s">
        <v>22</v>
      </c>
      <c r="J188" s="5" t="s">
        <v>199</v>
      </c>
      <c r="K188" s="6">
        <v>0</v>
      </c>
      <c r="L188" s="7">
        <v>2707.2000000000003</v>
      </c>
      <c r="M188" s="8">
        <v>189.2</v>
      </c>
      <c r="N188" s="8">
        <v>86.160000000000011</v>
      </c>
      <c r="O188" s="8">
        <v>356.55476487605034</v>
      </c>
      <c r="P188" s="8">
        <v>0</v>
      </c>
      <c r="Q188" s="8">
        <v>0</v>
      </c>
      <c r="R188" s="8">
        <v>0</v>
      </c>
      <c r="S188" s="8">
        <v>100</v>
      </c>
      <c r="T188" s="5">
        <v>100</v>
      </c>
      <c r="U188" s="5">
        <v>0</v>
      </c>
      <c r="V188" s="5">
        <f>VLOOKUP(A188,Planilha1!B:E,4,0)</f>
        <v>13.783871706210666</v>
      </c>
    </row>
    <row r="189" spans="1:22" x14ac:dyDescent="0.3">
      <c r="A189" t="str">
        <f t="shared" si="4"/>
        <v>LEITE CONDENSADOITAMBÉ</v>
      </c>
      <c r="B189" t="str">
        <f t="shared" si="5"/>
        <v>5063519LEITE CONDENSADOITAMBÉ</v>
      </c>
      <c r="C189" s="5" t="s">
        <v>149</v>
      </c>
      <c r="D189" s="5" t="s">
        <v>150</v>
      </c>
      <c r="E189" s="5" t="s">
        <v>151</v>
      </c>
      <c r="F189" s="5">
        <v>5063519</v>
      </c>
      <c r="G189" s="5" t="s">
        <v>198</v>
      </c>
      <c r="H189" s="5" t="s">
        <v>30</v>
      </c>
      <c r="I189" s="5" t="s">
        <v>27</v>
      </c>
      <c r="J189" s="5" t="s">
        <v>33</v>
      </c>
      <c r="K189" s="6">
        <v>0</v>
      </c>
      <c r="L189" s="7">
        <v>1250</v>
      </c>
      <c r="M189" s="8">
        <v>876.66666666666674</v>
      </c>
      <c r="N189" s="8">
        <v>336.66666666666669</v>
      </c>
      <c r="O189" s="8">
        <v>1036.981334335982</v>
      </c>
      <c r="P189" s="8">
        <v>0</v>
      </c>
      <c r="Q189" s="8">
        <v>0</v>
      </c>
      <c r="R189" s="8">
        <v>0</v>
      </c>
      <c r="S189" s="8">
        <v>1000</v>
      </c>
      <c r="T189" s="5">
        <v>1000</v>
      </c>
      <c r="U189" s="5">
        <v>0</v>
      </c>
      <c r="V189" s="5">
        <f>VLOOKUP(A189,Planilha1!B:E,4,0)</f>
        <v>1.4766792698630664</v>
      </c>
    </row>
    <row r="190" spans="1:22" x14ac:dyDescent="0.3">
      <c r="A190" t="str">
        <f t="shared" si="4"/>
        <v>LEITE UHTITAMBÉ</v>
      </c>
      <c r="B190" t="str">
        <f t="shared" si="5"/>
        <v>5063519LEITE UHTITAMBÉ</v>
      </c>
      <c r="C190" s="5" t="s">
        <v>149</v>
      </c>
      <c r="D190" s="5" t="s">
        <v>150</v>
      </c>
      <c r="E190" s="5" t="s">
        <v>151</v>
      </c>
      <c r="F190" s="5">
        <v>5063519</v>
      </c>
      <c r="G190" s="5" t="s">
        <v>198</v>
      </c>
      <c r="H190" s="5" t="s">
        <v>30</v>
      </c>
      <c r="I190" s="5" t="s">
        <v>27</v>
      </c>
      <c r="J190" s="5" t="s">
        <v>156</v>
      </c>
      <c r="K190" s="6">
        <v>0</v>
      </c>
      <c r="L190" s="7">
        <v>0</v>
      </c>
      <c r="M190" s="8">
        <v>2620</v>
      </c>
      <c r="N190" s="8">
        <v>0</v>
      </c>
      <c r="O190" s="8">
        <v>1089.9878890234554</v>
      </c>
      <c r="P190" s="8">
        <v>0</v>
      </c>
      <c r="Q190" s="8">
        <v>0</v>
      </c>
      <c r="R190" s="8">
        <v>0</v>
      </c>
      <c r="S190" s="8">
        <v>0</v>
      </c>
      <c r="T190" s="5">
        <v>0</v>
      </c>
      <c r="U190" s="5">
        <v>0</v>
      </c>
      <c r="V190" s="5">
        <f>VLOOKUP(A190,Planilha1!B:E,4,0)</f>
        <v>-0.14425288609148015</v>
      </c>
    </row>
    <row r="191" spans="1:22" x14ac:dyDescent="0.3">
      <c r="A191" t="str">
        <f t="shared" si="4"/>
        <v>LEITE UHTLACTALIS</v>
      </c>
      <c r="B191" t="str">
        <f t="shared" si="5"/>
        <v>5063519LEITE UHTLACTALIS</v>
      </c>
      <c r="C191" s="5" t="s">
        <v>149</v>
      </c>
      <c r="D191" s="5" t="s">
        <v>150</v>
      </c>
      <c r="E191" s="5" t="s">
        <v>151</v>
      </c>
      <c r="F191" s="5">
        <v>5063519</v>
      </c>
      <c r="G191" s="5" t="s">
        <v>198</v>
      </c>
      <c r="H191" s="5" t="s">
        <v>30</v>
      </c>
      <c r="I191" s="5" t="s">
        <v>22</v>
      </c>
      <c r="J191" s="5" t="s">
        <v>156</v>
      </c>
      <c r="K191" s="6">
        <v>0</v>
      </c>
      <c r="L191" s="7">
        <v>0</v>
      </c>
      <c r="M191" s="8">
        <v>8160</v>
      </c>
      <c r="N191" s="8">
        <v>0</v>
      </c>
      <c r="O191" s="8">
        <v>17678.04728059268</v>
      </c>
      <c r="P191" s="8">
        <v>0</v>
      </c>
      <c r="Q191" s="8">
        <v>73440</v>
      </c>
      <c r="R191" s="8">
        <v>0</v>
      </c>
      <c r="S191" s="8">
        <v>0</v>
      </c>
      <c r="T191" s="5">
        <v>0</v>
      </c>
      <c r="U191" s="5">
        <v>0</v>
      </c>
      <c r="V191" s="5">
        <f>VLOOKUP(A191,Planilha1!B:E,4,0)</f>
        <v>0.37177548115779385</v>
      </c>
    </row>
    <row r="192" spans="1:22" x14ac:dyDescent="0.3">
      <c r="A192" t="str">
        <f t="shared" si="4"/>
        <v>COMPOSTOITAMBÉ</v>
      </c>
      <c r="B192" t="str">
        <f t="shared" si="5"/>
        <v>5107358COMPOSTOITAMBÉ</v>
      </c>
      <c r="C192" s="5" t="s">
        <v>149</v>
      </c>
      <c r="D192" s="5" t="s">
        <v>150</v>
      </c>
      <c r="E192" s="5" t="s">
        <v>151</v>
      </c>
      <c r="F192" s="5">
        <v>5107358</v>
      </c>
      <c r="G192" s="5" t="s">
        <v>202</v>
      </c>
      <c r="H192" s="5" t="s">
        <v>30</v>
      </c>
      <c r="I192" s="5" t="s">
        <v>27</v>
      </c>
      <c r="J192" s="5" t="s">
        <v>26</v>
      </c>
      <c r="K192" s="6">
        <v>0</v>
      </c>
      <c r="L192" s="7">
        <v>490</v>
      </c>
      <c r="M192" s="8">
        <v>468.33333333333337</v>
      </c>
      <c r="N192" s="8">
        <v>350</v>
      </c>
      <c r="O192" s="8">
        <v>1473.384965831435</v>
      </c>
      <c r="P192" s="8">
        <v>0</v>
      </c>
      <c r="Q192" s="8">
        <v>0</v>
      </c>
      <c r="R192" s="8">
        <v>0</v>
      </c>
      <c r="S192" s="8">
        <v>550</v>
      </c>
      <c r="T192" s="5">
        <v>550</v>
      </c>
      <c r="U192" s="5">
        <v>490</v>
      </c>
      <c r="V192" s="5">
        <f>VLOOKUP(A192,Planilha1!B:E,4,0)</f>
        <v>0.15618217875936719</v>
      </c>
    </row>
    <row r="193" spans="1:22" x14ac:dyDescent="0.3">
      <c r="A193" t="str">
        <f t="shared" si="4"/>
        <v>MANTEIGA 5KGLACTALIS</v>
      </c>
      <c r="B193" t="str">
        <f t="shared" si="5"/>
        <v>5137008MANTEIGA 5KGLACTALIS</v>
      </c>
      <c r="C193" s="5" t="s">
        <v>149</v>
      </c>
      <c r="D193" s="5" t="s">
        <v>150</v>
      </c>
      <c r="E193" s="5" t="s">
        <v>151</v>
      </c>
      <c r="F193" s="5">
        <v>5137008</v>
      </c>
      <c r="G193" s="5" t="s">
        <v>203</v>
      </c>
      <c r="H193" s="5" t="s">
        <v>30</v>
      </c>
      <c r="I193" s="5" t="s">
        <v>22</v>
      </c>
      <c r="J193" s="5" t="s">
        <v>60</v>
      </c>
      <c r="K193" s="6">
        <v>0</v>
      </c>
      <c r="L193" s="7">
        <v>100</v>
      </c>
      <c r="M193" s="8">
        <v>15</v>
      </c>
      <c r="N193" s="8">
        <v>0</v>
      </c>
      <c r="O193" s="8">
        <v>442</v>
      </c>
      <c r="P193" s="8">
        <v>0</v>
      </c>
      <c r="Q193" s="8">
        <v>0</v>
      </c>
      <c r="R193" s="8">
        <v>0</v>
      </c>
      <c r="S193" s="8">
        <v>60</v>
      </c>
      <c r="T193" s="5">
        <v>0</v>
      </c>
      <c r="U193" s="5">
        <v>60</v>
      </c>
      <c r="V193" s="5">
        <f>VLOOKUP(A193,Planilha1!B:E,4,0)</f>
        <v>11.476197020267191</v>
      </c>
    </row>
    <row r="194" spans="1:22" x14ac:dyDescent="0.3">
      <c r="A194" t="str">
        <f t="shared" ref="A194:A257" si="6">J194&amp;I194</f>
        <v>BLISTERITAMBÉ</v>
      </c>
      <c r="B194" t="str">
        <f t="shared" si="5"/>
        <v>5147526BLISTERITAMBÉ</v>
      </c>
      <c r="C194" s="5" t="s">
        <v>149</v>
      </c>
      <c r="D194" s="5" t="s">
        <v>150</v>
      </c>
      <c r="E194" s="5" t="s">
        <v>151</v>
      </c>
      <c r="F194" s="5">
        <v>5147526</v>
      </c>
      <c r="G194" s="5" t="s">
        <v>198</v>
      </c>
      <c r="H194" s="5" t="s">
        <v>154</v>
      </c>
      <c r="I194" s="5" t="s">
        <v>27</v>
      </c>
      <c r="J194" s="5" t="s">
        <v>199</v>
      </c>
      <c r="K194" s="6">
        <v>0</v>
      </c>
      <c r="L194" s="7">
        <v>0</v>
      </c>
      <c r="M194" s="8">
        <v>1109.1199999999999</v>
      </c>
      <c r="N194" s="8">
        <v>0</v>
      </c>
      <c r="O194" s="8">
        <v>2495.3564856091257</v>
      </c>
      <c r="P194" s="8">
        <v>0</v>
      </c>
      <c r="Q194" s="8">
        <v>192</v>
      </c>
      <c r="R194" s="8">
        <v>0</v>
      </c>
      <c r="S194" s="8">
        <v>0</v>
      </c>
      <c r="T194" s="5">
        <v>0</v>
      </c>
      <c r="U194" s="5">
        <v>0</v>
      </c>
      <c r="V194" s="5">
        <f>VLOOKUP(A194,Planilha1!B:E,4,0)</f>
        <v>10.339882680976428</v>
      </c>
    </row>
    <row r="195" spans="1:22" x14ac:dyDescent="0.3">
      <c r="A195" t="str">
        <f t="shared" si="6"/>
        <v>BLISTERLACTALIS</v>
      </c>
      <c r="B195" t="str">
        <f t="shared" ref="B195:B258" si="7">F195&amp;J195&amp;I195</f>
        <v>5147526BLISTERLACTALIS</v>
      </c>
      <c r="C195" s="5" t="s">
        <v>149</v>
      </c>
      <c r="D195" s="5" t="s">
        <v>150</v>
      </c>
      <c r="E195" s="5" t="s">
        <v>151</v>
      </c>
      <c r="F195" s="5">
        <v>5147526</v>
      </c>
      <c r="G195" s="5" t="s">
        <v>198</v>
      </c>
      <c r="H195" s="5" t="s">
        <v>154</v>
      </c>
      <c r="I195" s="5" t="s">
        <v>22</v>
      </c>
      <c r="J195" s="5" t="s">
        <v>199</v>
      </c>
      <c r="K195" s="6">
        <v>0</v>
      </c>
      <c r="L195" s="7">
        <v>416.64</v>
      </c>
      <c r="M195" s="8">
        <v>167.96</v>
      </c>
      <c r="N195" s="8">
        <v>10.799999999999999</v>
      </c>
      <c r="O195" s="8">
        <v>674.03814072265652</v>
      </c>
      <c r="P195" s="8">
        <v>0</v>
      </c>
      <c r="Q195" s="8">
        <v>0</v>
      </c>
      <c r="R195" s="8">
        <v>0</v>
      </c>
      <c r="S195" s="8">
        <v>0</v>
      </c>
      <c r="T195" s="5">
        <v>0</v>
      </c>
      <c r="U195" s="5">
        <v>0</v>
      </c>
      <c r="V195" s="5">
        <f>VLOOKUP(A195,Planilha1!B:E,4,0)</f>
        <v>13.783871706210666</v>
      </c>
    </row>
    <row r="196" spans="1:22" x14ac:dyDescent="0.3">
      <c r="A196" t="str">
        <f t="shared" si="6"/>
        <v>COMPOSTOITAMBÉ</v>
      </c>
      <c r="B196" t="str">
        <f t="shared" si="7"/>
        <v>5147526COMPOSTOITAMBÉ</v>
      </c>
      <c r="C196" s="5" t="s">
        <v>149</v>
      </c>
      <c r="D196" s="5" t="s">
        <v>150</v>
      </c>
      <c r="E196" s="5" t="s">
        <v>151</v>
      </c>
      <c r="F196" s="5">
        <v>5147526</v>
      </c>
      <c r="G196" s="5" t="s">
        <v>198</v>
      </c>
      <c r="H196" s="5" t="s">
        <v>154</v>
      </c>
      <c r="I196" s="5" t="s">
        <v>27</v>
      </c>
      <c r="J196" s="5" t="s">
        <v>26</v>
      </c>
      <c r="K196" s="6">
        <v>0</v>
      </c>
      <c r="L196" s="7">
        <v>0</v>
      </c>
      <c r="M196" s="8">
        <v>2416.6666666666665</v>
      </c>
      <c r="N196" s="8">
        <v>0</v>
      </c>
      <c r="O196" s="8">
        <v>2439.0159453302963</v>
      </c>
      <c r="P196" s="8">
        <v>0</v>
      </c>
      <c r="Q196" s="8">
        <v>0</v>
      </c>
      <c r="R196" s="8">
        <v>0</v>
      </c>
      <c r="S196" s="8">
        <v>1500</v>
      </c>
      <c r="T196" s="5">
        <v>1500</v>
      </c>
      <c r="U196" s="5">
        <v>0</v>
      </c>
      <c r="V196" s="5">
        <f>VLOOKUP(A196,Planilha1!B:E,4,0)</f>
        <v>0.15618217875936719</v>
      </c>
    </row>
    <row r="197" spans="1:22" x14ac:dyDescent="0.3">
      <c r="A197" t="str">
        <f t="shared" si="6"/>
        <v>DOCE DE LEITEITAMBÉ</v>
      </c>
      <c r="B197" t="str">
        <f t="shared" si="7"/>
        <v>5147526DOCE DE LEITEITAMBÉ</v>
      </c>
      <c r="C197" s="5" t="s">
        <v>149</v>
      </c>
      <c r="D197" s="5" t="s">
        <v>150</v>
      </c>
      <c r="E197" s="5" t="s">
        <v>151</v>
      </c>
      <c r="F197" s="5">
        <v>5147526</v>
      </c>
      <c r="G197" s="5" t="s">
        <v>198</v>
      </c>
      <c r="H197" s="5" t="s">
        <v>154</v>
      </c>
      <c r="I197" s="5" t="s">
        <v>27</v>
      </c>
      <c r="J197" s="5" t="s">
        <v>46</v>
      </c>
      <c r="K197" s="6">
        <v>0</v>
      </c>
      <c r="L197" s="7">
        <v>0</v>
      </c>
      <c r="M197" s="8">
        <v>106.66666666666667</v>
      </c>
      <c r="N197" s="8">
        <v>200</v>
      </c>
      <c r="O197" s="8">
        <v>100.00571461226357</v>
      </c>
      <c r="P197" s="8">
        <v>0</v>
      </c>
      <c r="Q197" s="8">
        <v>0</v>
      </c>
      <c r="R197" s="8">
        <v>0</v>
      </c>
      <c r="S197" s="8">
        <v>200</v>
      </c>
      <c r="T197" s="5">
        <v>200</v>
      </c>
      <c r="U197" s="5">
        <v>500</v>
      </c>
      <c r="V197" s="5">
        <f>VLOOKUP(A197,Planilha1!B:E,4,0)</f>
        <v>5.8210743907543439</v>
      </c>
    </row>
    <row r="198" spans="1:22" x14ac:dyDescent="0.3">
      <c r="A198" t="str">
        <f t="shared" si="6"/>
        <v>BLISTERLACTALIS</v>
      </c>
      <c r="B198" t="str">
        <f t="shared" si="7"/>
        <v>5161553BLISTERLACTALIS</v>
      </c>
      <c r="C198" s="5" t="s">
        <v>149</v>
      </c>
      <c r="D198" s="5" t="s">
        <v>150</v>
      </c>
      <c r="E198" s="5" t="s">
        <v>151</v>
      </c>
      <c r="F198" s="5">
        <v>5161553</v>
      </c>
      <c r="G198" s="5" t="s">
        <v>198</v>
      </c>
      <c r="H198" s="5" t="s">
        <v>113</v>
      </c>
      <c r="I198" s="5" t="s">
        <v>22</v>
      </c>
      <c r="J198" s="5" t="s">
        <v>199</v>
      </c>
      <c r="K198" s="6">
        <v>0</v>
      </c>
      <c r="L198" s="7">
        <v>288</v>
      </c>
      <c r="M198" s="8">
        <v>183.04</v>
      </c>
      <c r="N198" s="8">
        <v>176</v>
      </c>
      <c r="O198" s="8">
        <v>113.52052271925332</v>
      </c>
      <c r="P198" s="8">
        <v>0</v>
      </c>
      <c r="Q198" s="8">
        <v>7.68</v>
      </c>
      <c r="R198" s="8">
        <v>0</v>
      </c>
      <c r="S198" s="8">
        <v>176</v>
      </c>
      <c r="T198" s="5">
        <v>176</v>
      </c>
      <c r="U198" s="5">
        <v>58</v>
      </c>
      <c r="V198" s="5">
        <f>VLOOKUP(A198,Planilha1!B:E,4,0)</f>
        <v>13.783871706210666</v>
      </c>
    </row>
    <row r="199" spans="1:22" x14ac:dyDescent="0.3">
      <c r="A199" t="str">
        <f t="shared" si="6"/>
        <v>LEITE UHTLACTALIS</v>
      </c>
      <c r="B199" t="str">
        <f t="shared" si="7"/>
        <v>5161553LEITE UHTLACTALIS</v>
      </c>
      <c r="C199" s="5" t="s">
        <v>149</v>
      </c>
      <c r="D199" s="5" t="s">
        <v>150</v>
      </c>
      <c r="E199" s="5" t="s">
        <v>151</v>
      </c>
      <c r="F199" s="5">
        <v>5161553</v>
      </c>
      <c r="G199" s="5" t="s">
        <v>198</v>
      </c>
      <c r="H199" s="5" t="s">
        <v>113</v>
      </c>
      <c r="I199" s="5" t="s">
        <v>22</v>
      </c>
      <c r="J199" s="5" t="s">
        <v>156</v>
      </c>
      <c r="K199" s="6">
        <v>0</v>
      </c>
      <c r="L199" s="7">
        <v>0</v>
      </c>
      <c r="M199" s="8">
        <v>0</v>
      </c>
      <c r="N199" s="8">
        <v>0</v>
      </c>
      <c r="O199" s="8">
        <v>4419.5130128935925</v>
      </c>
      <c r="P199" s="8">
        <v>0</v>
      </c>
      <c r="Q199" s="8">
        <v>0</v>
      </c>
      <c r="R199" s="8">
        <v>0</v>
      </c>
      <c r="S199" s="8">
        <v>0</v>
      </c>
      <c r="T199" s="5">
        <v>0</v>
      </c>
      <c r="U199" s="5">
        <v>0</v>
      </c>
      <c r="V199" s="5">
        <f>VLOOKUP(A199,Planilha1!B:E,4,0)</f>
        <v>0.37177548115779385</v>
      </c>
    </row>
    <row r="200" spans="1:22" x14ac:dyDescent="0.3">
      <c r="A200" t="str">
        <f t="shared" si="6"/>
        <v>BLISTERLACTALIS</v>
      </c>
      <c r="B200" t="str">
        <f t="shared" si="7"/>
        <v>5171786BLISTERLACTALIS</v>
      </c>
      <c r="C200" s="5" t="s">
        <v>149</v>
      </c>
      <c r="D200" s="5" t="s">
        <v>150</v>
      </c>
      <c r="E200" s="5" t="s">
        <v>151</v>
      </c>
      <c r="F200" s="5">
        <v>5171786</v>
      </c>
      <c r="G200" s="5" t="s">
        <v>200</v>
      </c>
      <c r="H200" s="5" t="s">
        <v>113</v>
      </c>
      <c r="I200" s="5" t="s">
        <v>22</v>
      </c>
      <c r="J200" s="5" t="s">
        <v>199</v>
      </c>
      <c r="K200" s="6">
        <v>0</v>
      </c>
      <c r="L200" s="7">
        <v>0</v>
      </c>
      <c r="M200" s="8">
        <v>131.47999999999999</v>
      </c>
      <c r="N200" s="8">
        <v>60.8</v>
      </c>
      <c r="O200" s="8">
        <v>138.62030043957088</v>
      </c>
      <c r="P200" s="8">
        <v>0</v>
      </c>
      <c r="Q200" s="8">
        <v>0</v>
      </c>
      <c r="R200" s="8">
        <v>0</v>
      </c>
      <c r="S200" s="8">
        <v>61</v>
      </c>
      <c r="T200" s="5">
        <v>61</v>
      </c>
      <c r="U200" s="5">
        <v>0</v>
      </c>
      <c r="V200" s="5">
        <f>VLOOKUP(A200,Planilha1!B:E,4,0)</f>
        <v>13.783871706210666</v>
      </c>
    </row>
    <row r="201" spans="1:22" x14ac:dyDescent="0.3">
      <c r="A201" t="str">
        <f t="shared" si="6"/>
        <v>BLISTERLACTALIS</v>
      </c>
      <c r="B201" t="str">
        <f t="shared" si="7"/>
        <v>5175227BLISTERLACTALIS</v>
      </c>
      <c r="C201" s="5" t="s">
        <v>149</v>
      </c>
      <c r="D201" s="5" t="s">
        <v>150</v>
      </c>
      <c r="E201" s="5" t="s">
        <v>151</v>
      </c>
      <c r="F201" s="5">
        <v>5175227</v>
      </c>
      <c r="G201" s="5" t="s">
        <v>204</v>
      </c>
      <c r="H201" s="5" t="s">
        <v>30</v>
      </c>
      <c r="I201" s="5" t="s">
        <v>22</v>
      </c>
      <c r="J201" s="5" t="s">
        <v>199</v>
      </c>
      <c r="K201" s="6">
        <v>0</v>
      </c>
      <c r="L201" s="7">
        <v>537.6</v>
      </c>
      <c r="M201" s="8">
        <v>0</v>
      </c>
      <c r="N201" s="8">
        <v>0</v>
      </c>
      <c r="O201" s="8">
        <v>175.84959061487064</v>
      </c>
      <c r="P201" s="8">
        <v>0</v>
      </c>
      <c r="Q201" s="8">
        <v>0</v>
      </c>
      <c r="R201" s="8">
        <v>0</v>
      </c>
      <c r="S201" s="8">
        <v>0</v>
      </c>
      <c r="T201" s="5">
        <v>0</v>
      </c>
      <c r="U201" s="5">
        <v>0</v>
      </c>
      <c r="V201" s="5">
        <f>VLOOKUP(A201,Planilha1!B:E,4,0)</f>
        <v>13.783871706210666</v>
      </c>
    </row>
    <row r="202" spans="1:22" x14ac:dyDescent="0.3">
      <c r="A202" t="str">
        <f t="shared" si="6"/>
        <v>COMPOSTOITAMBÉ</v>
      </c>
      <c r="B202" t="str">
        <f t="shared" si="7"/>
        <v>5175227COMPOSTOITAMBÉ</v>
      </c>
      <c r="C202" s="5" t="s">
        <v>149</v>
      </c>
      <c r="D202" s="5" t="s">
        <v>150</v>
      </c>
      <c r="E202" s="5" t="s">
        <v>151</v>
      </c>
      <c r="F202" s="5">
        <v>5175227</v>
      </c>
      <c r="G202" s="5" t="s">
        <v>204</v>
      </c>
      <c r="H202" s="5" t="s">
        <v>30</v>
      </c>
      <c r="I202" s="5" t="s">
        <v>27</v>
      </c>
      <c r="J202" s="5" t="s">
        <v>26</v>
      </c>
      <c r="K202" s="6">
        <v>0</v>
      </c>
      <c r="L202" s="7">
        <v>0</v>
      </c>
      <c r="M202" s="8">
        <v>825</v>
      </c>
      <c r="N202" s="8">
        <v>1050</v>
      </c>
      <c r="O202" s="8">
        <v>575.59908883826881</v>
      </c>
      <c r="P202" s="8">
        <v>0</v>
      </c>
      <c r="Q202" s="8">
        <v>0</v>
      </c>
      <c r="R202" s="8">
        <v>0</v>
      </c>
      <c r="S202" s="8">
        <v>1500</v>
      </c>
      <c r="T202" s="5">
        <v>1500</v>
      </c>
      <c r="U202" s="5">
        <v>1000</v>
      </c>
      <c r="V202" s="5">
        <f>VLOOKUP(A202,Planilha1!B:E,4,0)</f>
        <v>0.15618217875936719</v>
      </c>
    </row>
    <row r="203" spans="1:22" x14ac:dyDescent="0.3">
      <c r="A203" t="str">
        <f t="shared" si="6"/>
        <v>BLISTERLACTALIS</v>
      </c>
      <c r="B203" t="str">
        <f t="shared" si="7"/>
        <v>5208306BLISTERLACTALIS</v>
      </c>
      <c r="C203" s="5" t="s">
        <v>149</v>
      </c>
      <c r="D203" s="5" t="s">
        <v>150</v>
      </c>
      <c r="E203" s="5" t="s">
        <v>151</v>
      </c>
      <c r="F203" s="5">
        <v>5208306</v>
      </c>
      <c r="G203" s="5" t="s">
        <v>205</v>
      </c>
      <c r="H203" s="5" t="s">
        <v>103</v>
      </c>
      <c r="I203" s="5" t="s">
        <v>22</v>
      </c>
      <c r="J203" s="5" t="s">
        <v>199</v>
      </c>
      <c r="K203" s="6">
        <v>0</v>
      </c>
      <c r="L203" s="7">
        <v>105.6</v>
      </c>
      <c r="M203" s="8">
        <v>56</v>
      </c>
      <c r="N203" s="8">
        <v>44.800000000000004</v>
      </c>
      <c r="O203" s="8">
        <v>35.169918122974124</v>
      </c>
      <c r="P203" s="8">
        <v>0</v>
      </c>
      <c r="Q203" s="8">
        <v>0</v>
      </c>
      <c r="R203" s="8">
        <v>0</v>
      </c>
      <c r="S203" s="8">
        <v>45</v>
      </c>
      <c r="T203" s="5">
        <v>45</v>
      </c>
      <c r="U203" s="5">
        <v>0</v>
      </c>
      <c r="V203" s="5">
        <f>VLOOKUP(A203,Planilha1!B:E,4,0)</f>
        <v>13.783871706210666</v>
      </c>
    </row>
    <row r="204" spans="1:22" x14ac:dyDescent="0.3">
      <c r="A204" t="str">
        <f t="shared" si="6"/>
        <v>LEITE UHTLACTALIS</v>
      </c>
      <c r="B204" t="str">
        <f t="shared" si="7"/>
        <v>5261116LEITE UHTLACTALIS</v>
      </c>
      <c r="C204" s="5" t="s">
        <v>149</v>
      </c>
      <c r="D204" s="5" t="s">
        <v>150</v>
      </c>
      <c r="E204" s="5" t="s">
        <v>151</v>
      </c>
      <c r="F204" s="5">
        <v>5261116</v>
      </c>
      <c r="G204" s="5" t="s">
        <v>206</v>
      </c>
      <c r="H204" s="5" t="s">
        <v>30</v>
      </c>
      <c r="I204" s="5" t="s">
        <v>22</v>
      </c>
      <c r="J204" s="5" t="s">
        <v>156</v>
      </c>
      <c r="K204" s="6">
        <v>0</v>
      </c>
      <c r="L204" s="7">
        <v>0</v>
      </c>
      <c r="M204" s="8">
        <v>0</v>
      </c>
      <c r="N204" s="8">
        <v>0</v>
      </c>
      <c r="O204" s="8">
        <v>1.88453776841669</v>
      </c>
      <c r="P204" s="8">
        <v>0</v>
      </c>
      <c r="Q204" s="8">
        <v>0</v>
      </c>
      <c r="R204" s="8">
        <v>0</v>
      </c>
      <c r="S204" s="8">
        <v>0</v>
      </c>
      <c r="T204" s="5">
        <v>0</v>
      </c>
      <c r="U204" s="5">
        <v>0</v>
      </c>
      <c r="V204" s="5">
        <f>VLOOKUP(A204,Planilha1!B:E,4,0)</f>
        <v>0.37177548115779385</v>
      </c>
    </row>
    <row r="205" spans="1:22" x14ac:dyDescent="0.3">
      <c r="A205" t="str">
        <f t="shared" si="6"/>
        <v>LEITE UHTLACTALIS</v>
      </c>
      <c r="B205" t="str">
        <f t="shared" si="7"/>
        <v>5261291LEITE UHTLACTALIS</v>
      </c>
      <c r="C205" s="5" t="s">
        <v>149</v>
      </c>
      <c r="D205" s="5" t="s">
        <v>150</v>
      </c>
      <c r="E205" s="5" t="s">
        <v>151</v>
      </c>
      <c r="F205" s="5">
        <v>5261291</v>
      </c>
      <c r="G205" s="5" t="s">
        <v>207</v>
      </c>
      <c r="H205" s="5" t="s">
        <v>30</v>
      </c>
      <c r="I205" s="5" t="s">
        <v>22</v>
      </c>
      <c r="J205" s="5" t="s">
        <v>156</v>
      </c>
      <c r="K205" s="6">
        <v>0</v>
      </c>
      <c r="L205" s="7">
        <v>120</v>
      </c>
      <c r="M205" s="8">
        <v>160</v>
      </c>
      <c r="N205" s="8">
        <v>160</v>
      </c>
      <c r="O205" s="8">
        <v>75.54849509589441</v>
      </c>
      <c r="P205" s="8">
        <v>0</v>
      </c>
      <c r="Q205" s="8">
        <v>0</v>
      </c>
      <c r="R205" s="8">
        <v>0</v>
      </c>
      <c r="S205" s="8">
        <v>0</v>
      </c>
      <c r="T205" s="5">
        <v>0</v>
      </c>
      <c r="U205" s="5">
        <v>0</v>
      </c>
      <c r="V205" s="5">
        <f>VLOOKUP(A205,Planilha1!B:E,4,0)</f>
        <v>0.37177548115779385</v>
      </c>
    </row>
    <row r="206" spans="1:22" x14ac:dyDescent="0.3">
      <c r="A206" t="str">
        <f t="shared" si="6"/>
        <v>MANTEIGA 5KGLACTALIS</v>
      </c>
      <c r="B206" t="str">
        <f t="shared" si="7"/>
        <v>5265314MANTEIGA 5KGLACTALIS</v>
      </c>
      <c r="C206" s="5" t="s">
        <v>149</v>
      </c>
      <c r="D206" s="5" t="s">
        <v>150</v>
      </c>
      <c r="E206" s="5" t="s">
        <v>151</v>
      </c>
      <c r="F206" s="5">
        <v>5265314</v>
      </c>
      <c r="G206" s="5" t="s">
        <v>208</v>
      </c>
      <c r="H206" s="5" t="s">
        <v>30</v>
      </c>
      <c r="I206" s="5" t="s">
        <v>22</v>
      </c>
      <c r="J206" s="5" t="s">
        <v>60</v>
      </c>
      <c r="K206" s="6">
        <v>0</v>
      </c>
      <c r="L206" s="7">
        <v>60</v>
      </c>
      <c r="M206" s="8">
        <v>70.833333333333343</v>
      </c>
      <c r="N206" s="8">
        <v>75</v>
      </c>
      <c r="O206" s="8">
        <v>331</v>
      </c>
      <c r="P206" s="8">
        <v>0</v>
      </c>
      <c r="Q206" s="8">
        <v>50</v>
      </c>
      <c r="R206" s="8">
        <v>0</v>
      </c>
      <c r="S206" s="8">
        <v>100</v>
      </c>
      <c r="T206" s="5">
        <v>100</v>
      </c>
      <c r="U206" s="5">
        <v>75</v>
      </c>
      <c r="V206" s="5">
        <f>VLOOKUP(A206,Planilha1!B:E,4,0)</f>
        <v>11.476197020267191</v>
      </c>
    </row>
    <row r="207" spans="1:22" x14ac:dyDescent="0.3">
      <c r="A207" t="str">
        <f t="shared" si="6"/>
        <v>LEITE UHTLACTALIS</v>
      </c>
      <c r="B207" t="str">
        <f t="shared" si="7"/>
        <v>5317592LEITE UHTLACTALIS</v>
      </c>
      <c r="C207" s="5" t="s">
        <v>149</v>
      </c>
      <c r="D207" s="5" t="s">
        <v>150</v>
      </c>
      <c r="E207" s="5" t="s">
        <v>151</v>
      </c>
      <c r="F207" s="5">
        <v>5317592</v>
      </c>
      <c r="G207" s="5" t="s">
        <v>209</v>
      </c>
      <c r="H207" s="5" t="s">
        <v>30</v>
      </c>
      <c r="I207" s="5" t="s">
        <v>22</v>
      </c>
      <c r="J207" s="5" t="s">
        <v>156</v>
      </c>
      <c r="K207" s="6">
        <v>0</v>
      </c>
      <c r="L207" s="7">
        <v>0</v>
      </c>
      <c r="M207" s="8">
        <v>1050</v>
      </c>
      <c r="N207" s="8">
        <v>2100</v>
      </c>
      <c r="O207" s="8">
        <v>400.39986753570201</v>
      </c>
      <c r="P207" s="8">
        <v>0</v>
      </c>
      <c r="Q207" s="8">
        <v>0</v>
      </c>
      <c r="R207" s="8">
        <v>0</v>
      </c>
      <c r="S207" s="8">
        <v>0</v>
      </c>
      <c r="T207" s="5">
        <v>0</v>
      </c>
      <c r="U207" s="5">
        <v>0</v>
      </c>
      <c r="V207" s="5">
        <f>VLOOKUP(A207,Planilha1!B:E,4,0)</f>
        <v>0.37177548115779385</v>
      </c>
    </row>
    <row r="208" spans="1:22" x14ac:dyDescent="0.3">
      <c r="A208" t="str">
        <f t="shared" si="6"/>
        <v>BLISTERLACTALIS</v>
      </c>
      <c r="B208" t="str">
        <f t="shared" si="7"/>
        <v>5001794BLISTERLACTALIS</v>
      </c>
      <c r="C208" s="5" t="s">
        <v>149</v>
      </c>
      <c r="D208" s="5" t="s">
        <v>210</v>
      </c>
      <c r="E208" s="5" t="s">
        <v>210</v>
      </c>
      <c r="F208" s="5">
        <v>5001794</v>
      </c>
      <c r="G208" s="5" t="s">
        <v>211</v>
      </c>
      <c r="H208" s="5" t="s">
        <v>154</v>
      </c>
      <c r="I208" s="5" t="s">
        <v>22</v>
      </c>
      <c r="J208" s="5" t="s">
        <v>199</v>
      </c>
      <c r="K208" s="6">
        <v>0</v>
      </c>
      <c r="L208" s="7">
        <v>312.95999999999998</v>
      </c>
      <c r="M208" s="8">
        <v>353.59999999999997</v>
      </c>
      <c r="N208" s="8">
        <v>321.28000000000003</v>
      </c>
      <c r="O208" s="8">
        <v>416.96616063119927</v>
      </c>
      <c r="P208" s="8">
        <v>0</v>
      </c>
      <c r="Q208" s="8">
        <v>0</v>
      </c>
      <c r="R208" s="8">
        <v>0</v>
      </c>
      <c r="S208" s="8">
        <v>300</v>
      </c>
      <c r="T208" s="5">
        <v>300</v>
      </c>
      <c r="U208" s="5">
        <v>0</v>
      </c>
      <c r="V208" s="5">
        <f>VLOOKUP(A208,Planilha1!B:E,4,0)</f>
        <v>13.783871706210666</v>
      </c>
    </row>
    <row r="209" spans="1:22" x14ac:dyDescent="0.3">
      <c r="A209" t="str">
        <f t="shared" si="6"/>
        <v>BLISTERLACTALIS</v>
      </c>
      <c r="B209" t="str">
        <f t="shared" si="7"/>
        <v>5002549BLISTERLACTALIS</v>
      </c>
      <c r="C209" s="5" t="s">
        <v>149</v>
      </c>
      <c r="D209" s="5" t="s">
        <v>210</v>
      </c>
      <c r="E209" s="5" t="s">
        <v>210</v>
      </c>
      <c r="F209" s="5">
        <v>5002549</v>
      </c>
      <c r="G209" s="5" t="s">
        <v>212</v>
      </c>
      <c r="H209" s="5" t="s">
        <v>30</v>
      </c>
      <c r="I209" s="5" t="s">
        <v>22</v>
      </c>
      <c r="J209" s="5" t="s">
        <v>199</v>
      </c>
      <c r="K209" s="6">
        <v>0</v>
      </c>
      <c r="L209" s="7">
        <v>1512.96</v>
      </c>
      <c r="M209" s="8">
        <v>1527.04</v>
      </c>
      <c r="N209" s="8">
        <v>1461.12</v>
      </c>
      <c r="O209" s="8">
        <v>1480.0272393668015</v>
      </c>
      <c r="P209" s="8">
        <v>0</v>
      </c>
      <c r="Q209" s="8">
        <v>203.52</v>
      </c>
      <c r="R209" s="8">
        <v>0</v>
      </c>
      <c r="S209" s="8">
        <v>1000</v>
      </c>
      <c r="T209" s="5">
        <v>1000</v>
      </c>
      <c r="U209" s="5">
        <v>700</v>
      </c>
      <c r="V209" s="5">
        <f>VLOOKUP(A209,Planilha1!B:E,4,0)</f>
        <v>13.783871706210666</v>
      </c>
    </row>
    <row r="210" spans="1:22" x14ac:dyDescent="0.3">
      <c r="A210" t="str">
        <f t="shared" si="6"/>
        <v>LEITE CONDENSADOITAMBÉ</v>
      </c>
      <c r="B210" t="str">
        <f t="shared" si="7"/>
        <v>5002549LEITE CONDENSADOITAMBÉ</v>
      </c>
      <c r="C210" s="5" t="s">
        <v>149</v>
      </c>
      <c r="D210" s="5" t="s">
        <v>210</v>
      </c>
      <c r="E210" s="5" t="s">
        <v>210</v>
      </c>
      <c r="F210" s="5">
        <v>5002549</v>
      </c>
      <c r="G210" s="5" t="s">
        <v>212</v>
      </c>
      <c r="H210" s="5" t="s">
        <v>30</v>
      </c>
      <c r="I210" s="5" t="s">
        <v>27</v>
      </c>
      <c r="J210" s="5" t="s">
        <v>33</v>
      </c>
      <c r="K210" s="6">
        <v>0</v>
      </c>
      <c r="L210" s="7">
        <v>0</v>
      </c>
      <c r="M210" s="8">
        <v>1875</v>
      </c>
      <c r="N210" s="8">
        <v>2030</v>
      </c>
      <c r="O210" s="8">
        <v>1087.9804163525057</v>
      </c>
      <c r="P210" s="8">
        <v>0</v>
      </c>
      <c r="Q210" s="8">
        <v>150</v>
      </c>
      <c r="R210" s="8">
        <v>0</v>
      </c>
      <c r="S210" s="8">
        <v>2030</v>
      </c>
      <c r="T210" s="5">
        <v>2040</v>
      </c>
      <c r="U210" s="5">
        <v>400</v>
      </c>
      <c r="V210" s="5">
        <f>VLOOKUP(A210,Planilha1!B:E,4,0)</f>
        <v>1.4766792698630664</v>
      </c>
    </row>
    <row r="211" spans="1:22" x14ac:dyDescent="0.3">
      <c r="A211" t="str">
        <f t="shared" si="6"/>
        <v>BLISTERLACTALIS</v>
      </c>
      <c r="B211" t="str">
        <f t="shared" si="7"/>
        <v>5059971BLISTERLACTALIS</v>
      </c>
      <c r="C211" s="5" t="s">
        <v>149</v>
      </c>
      <c r="D211" s="5" t="s">
        <v>210</v>
      </c>
      <c r="E211" s="5" t="s">
        <v>210</v>
      </c>
      <c r="F211" s="5">
        <v>5059971</v>
      </c>
      <c r="G211" s="5" t="s">
        <v>213</v>
      </c>
      <c r="H211" s="5" t="s">
        <v>30</v>
      </c>
      <c r="I211" s="5" t="s">
        <v>22</v>
      </c>
      <c r="J211" s="5" t="s">
        <v>199</v>
      </c>
      <c r="K211" s="6">
        <v>0</v>
      </c>
      <c r="L211" s="7">
        <v>2833.92</v>
      </c>
      <c r="M211" s="8">
        <v>1913.7599999999998</v>
      </c>
      <c r="N211" s="8">
        <v>1795.2</v>
      </c>
      <c r="O211" s="8">
        <v>2497.5459664314776</v>
      </c>
      <c r="P211" s="8">
        <v>0</v>
      </c>
      <c r="Q211" s="8">
        <v>291.83999999999997</v>
      </c>
      <c r="R211" s="8">
        <v>0</v>
      </c>
      <c r="S211" s="8">
        <v>400</v>
      </c>
      <c r="T211" s="5">
        <v>400</v>
      </c>
      <c r="U211" s="5">
        <v>0</v>
      </c>
      <c r="V211" s="5">
        <f>VLOOKUP(A211,Planilha1!B:E,4,0)</f>
        <v>13.783871706210666</v>
      </c>
    </row>
    <row r="212" spans="1:22" x14ac:dyDescent="0.3">
      <c r="A212" t="str">
        <f t="shared" si="6"/>
        <v>LEITE CONDENSADOITAMBÉ</v>
      </c>
      <c r="B212" t="str">
        <f t="shared" si="7"/>
        <v>5059971LEITE CONDENSADOITAMBÉ</v>
      </c>
      <c r="C212" s="5" t="s">
        <v>149</v>
      </c>
      <c r="D212" s="5" t="s">
        <v>210</v>
      </c>
      <c r="E212" s="5" t="s">
        <v>210</v>
      </c>
      <c r="F212" s="5">
        <v>5059971</v>
      </c>
      <c r="G212" s="5" t="s">
        <v>213</v>
      </c>
      <c r="H212" s="5" t="s">
        <v>30</v>
      </c>
      <c r="I212" s="5" t="s">
        <v>27</v>
      </c>
      <c r="J212" s="5" t="s">
        <v>33</v>
      </c>
      <c r="K212" s="6">
        <v>0</v>
      </c>
      <c r="L212" s="7">
        <v>1750</v>
      </c>
      <c r="M212" s="8">
        <v>3238.333333333333</v>
      </c>
      <c r="N212" s="8">
        <v>3166.6666666666665</v>
      </c>
      <c r="O212" s="8">
        <v>6368.8853600635193</v>
      </c>
      <c r="P212" s="8">
        <v>0</v>
      </c>
      <c r="Q212" s="8">
        <v>500</v>
      </c>
      <c r="R212" s="8">
        <v>0</v>
      </c>
      <c r="S212" s="8">
        <v>3200</v>
      </c>
      <c r="T212" s="5">
        <v>3200</v>
      </c>
      <c r="U212" s="5">
        <v>4750</v>
      </c>
      <c r="V212" s="5">
        <f>VLOOKUP(A212,Planilha1!B:E,4,0)</f>
        <v>1.4766792698630664</v>
      </c>
    </row>
    <row r="213" spans="1:22" x14ac:dyDescent="0.3">
      <c r="A213" t="str">
        <f t="shared" si="6"/>
        <v>DOCE DE LEITEITAMBÉ</v>
      </c>
      <c r="B213" t="str">
        <f t="shared" si="7"/>
        <v>5059971DOCE DE LEITEITAMBÉ</v>
      </c>
      <c r="C213" s="5" t="s">
        <v>149</v>
      </c>
      <c r="D213" s="5" t="s">
        <v>210</v>
      </c>
      <c r="E213" s="5" t="s">
        <v>210</v>
      </c>
      <c r="F213" s="5">
        <v>5059971</v>
      </c>
      <c r="G213" s="5" t="s">
        <v>213</v>
      </c>
      <c r="H213" s="5" t="s">
        <v>30</v>
      </c>
      <c r="I213" s="5" t="s">
        <v>27</v>
      </c>
      <c r="J213" s="5" t="s">
        <v>46</v>
      </c>
      <c r="K213" s="6">
        <v>0</v>
      </c>
      <c r="L213" s="7">
        <v>1240</v>
      </c>
      <c r="M213" s="8">
        <v>1041.6666666666665</v>
      </c>
      <c r="N213" s="8">
        <v>1033.3333333333333</v>
      </c>
      <c r="O213" s="8">
        <v>1155.0660037716443</v>
      </c>
      <c r="P213" s="8">
        <v>0</v>
      </c>
      <c r="Q213" s="8">
        <v>400</v>
      </c>
      <c r="R213" s="8">
        <v>0</v>
      </c>
      <c r="S213" s="8">
        <v>2000</v>
      </c>
      <c r="T213" s="5">
        <v>1500</v>
      </c>
      <c r="U213" s="5">
        <v>1700</v>
      </c>
      <c r="V213" s="5">
        <f>VLOOKUP(A213,Planilha1!B:E,4,0)</f>
        <v>5.8210743907543439</v>
      </c>
    </row>
    <row r="214" spans="1:22" x14ac:dyDescent="0.3">
      <c r="A214" t="str">
        <f t="shared" si="6"/>
        <v>CREME UHTITAMBÉ</v>
      </c>
      <c r="B214" t="str">
        <f t="shared" si="7"/>
        <v>5174977CREME UHTITAMBÉ</v>
      </c>
      <c r="C214" s="5" t="s">
        <v>149</v>
      </c>
      <c r="D214" s="5" t="s">
        <v>210</v>
      </c>
      <c r="E214" s="5" t="s">
        <v>210</v>
      </c>
      <c r="F214" s="5">
        <v>5174977</v>
      </c>
      <c r="G214" s="5" t="s">
        <v>214</v>
      </c>
      <c r="H214" s="5" t="s">
        <v>30</v>
      </c>
      <c r="I214" s="5" t="s">
        <v>27</v>
      </c>
      <c r="J214" s="5" t="s">
        <v>34</v>
      </c>
      <c r="K214" s="6">
        <v>0</v>
      </c>
      <c r="L214" s="7">
        <v>1054.44</v>
      </c>
      <c r="M214" s="8">
        <v>2110.9</v>
      </c>
      <c r="N214" s="8">
        <v>1717</v>
      </c>
      <c r="O214" s="8">
        <v>1723.9329581627385</v>
      </c>
      <c r="P214" s="8">
        <v>0</v>
      </c>
      <c r="Q214" s="8">
        <v>0</v>
      </c>
      <c r="R214" s="8">
        <v>0</v>
      </c>
      <c r="S214" s="8">
        <v>2000</v>
      </c>
      <c r="T214" s="5">
        <v>2000</v>
      </c>
      <c r="U214" s="5">
        <v>2000</v>
      </c>
      <c r="V214" s="5">
        <f>VLOOKUP(A214,Planilha1!B:E,4,0)</f>
        <v>1.2362540170747773</v>
      </c>
    </row>
    <row r="215" spans="1:22" x14ac:dyDescent="0.3">
      <c r="A215" t="str">
        <f t="shared" si="6"/>
        <v>MANTEIGA 5KGLACTALIS</v>
      </c>
      <c r="B215" t="str">
        <f t="shared" si="7"/>
        <v>5174977MANTEIGA 5KGLACTALIS</v>
      </c>
      <c r="C215" s="5" t="s">
        <v>149</v>
      </c>
      <c r="D215" s="5" t="s">
        <v>210</v>
      </c>
      <c r="E215" s="5" t="s">
        <v>210</v>
      </c>
      <c r="F215" s="5">
        <v>5174977</v>
      </c>
      <c r="G215" s="5" t="s">
        <v>214</v>
      </c>
      <c r="H215" s="5" t="s">
        <v>30</v>
      </c>
      <c r="I215" s="5" t="s">
        <v>22</v>
      </c>
      <c r="J215" s="5" t="s">
        <v>60</v>
      </c>
      <c r="K215" s="6">
        <v>0</v>
      </c>
      <c r="L215" s="7">
        <v>2000</v>
      </c>
      <c r="M215" s="8">
        <v>1666.6666666666665</v>
      </c>
      <c r="N215" s="8">
        <v>1000</v>
      </c>
      <c r="O215" s="8">
        <v>175.07922393768351</v>
      </c>
      <c r="P215" s="8">
        <v>0</v>
      </c>
      <c r="Q215" s="8">
        <v>980</v>
      </c>
      <c r="R215" s="8">
        <v>0</v>
      </c>
      <c r="S215" s="8">
        <v>2500</v>
      </c>
      <c r="T215" s="5">
        <v>2000</v>
      </c>
      <c r="U215" s="5">
        <v>2000</v>
      </c>
      <c r="V215" s="5">
        <f>VLOOKUP(A215,Planilha1!B:E,4,0)</f>
        <v>11.476197020267191</v>
      </c>
    </row>
    <row r="216" spans="1:22" x14ac:dyDescent="0.3">
      <c r="A216" t="str">
        <f t="shared" si="6"/>
        <v>LEITE UHTITAMBÉ</v>
      </c>
      <c r="B216" t="str">
        <f t="shared" si="7"/>
        <v>5174977LEITE UHTITAMBÉ</v>
      </c>
      <c r="C216" s="5" t="s">
        <v>149</v>
      </c>
      <c r="D216" s="5" t="s">
        <v>210</v>
      </c>
      <c r="E216" s="5" t="s">
        <v>210</v>
      </c>
      <c r="F216" s="5">
        <v>5174977</v>
      </c>
      <c r="G216" s="5" t="s">
        <v>214</v>
      </c>
      <c r="H216" s="5" t="s">
        <v>30</v>
      </c>
      <c r="I216" s="5" t="s">
        <v>27</v>
      </c>
      <c r="J216" s="5" t="s">
        <v>156</v>
      </c>
      <c r="K216" s="6">
        <v>0</v>
      </c>
      <c r="L216" s="7">
        <v>6000</v>
      </c>
      <c r="M216" s="8">
        <v>12942</v>
      </c>
      <c r="N216" s="8">
        <v>12284</v>
      </c>
      <c r="O216" s="8">
        <v>14145.842823968622</v>
      </c>
      <c r="P216" s="8">
        <v>0</v>
      </c>
      <c r="Q216" s="8">
        <v>12240</v>
      </c>
      <c r="R216" s="8">
        <v>0</v>
      </c>
      <c r="S216" s="8">
        <v>0</v>
      </c>
      <c r="T216" s="5">
        <v>0</v>
      </c>
      <c r="U216" s="5">
        <v>0</v>
      </c>
      <c r="V216" s="5">
        <f>VLOOKUP(A216,Planilha1!B:E,4,0)</f>
        <v>-0.14425288609148015</v>
      </c>
    </row>
    <row r="217" spans="1:22" x14ac:dyDescent="0.3">
      <c r="A217" t="str">
        <f t="shared" si="6"/>
        <v>BLISTERLACTALIS</v>
      </c>
      <c r="B217" t="str">
        <f t="shared" si="7"/>
        <v>5207394BLISTERLACTALIS</v>
      </c>
      <c r="C217" s="5" t="s">
        <v>149</v>
      </c>
      <c r="D217" s="5" t="s">
        <v>210</v>
      </c>
      <c r="E217" s="5" t="s">
        <v>210</v>
      </c>
      <c r="F217" s="5">
        <v>5207394</v>
      </c>
      <c r="G217" s="5" t="s">
        <v>215</v>
      </c>
      <c r="H217" s="5" t="s">
        <v>154</v>
      </c>
      <c r="I217" s="5" t="s">
        <v>22</v>
      </c>
      <c r="J217" s="5" t="s">
        <v>199</v>
      </c>
      <c r="K217" s="6">
        <v>0</v>
      </c>
      <c r="L217" s="7">
        <v>569.52</v>
      </c>
      <c r="M217" s="8">
        <v>415.47999999999996</v>
      </c>
      <c r="N217" s="8">
        <v>425.2</v>
      </c>
      <c r="O217" s="8">
        <v>315.83965686906174</v>
      </c>
      <c r="P217" s="8">
        <v>0</v>
      </c>
      <c r="Q217" s="8">
        <v>248.39999999999998</v>
      </c>
      <c r="R217" s="8">
        <v>0</v>
      </c>
      <c r="S217" s="8">
        <v>904</v>
      </c>
      <c r="T217" s="5">
        <v>904</v>
      </c>
      <c r="U217" s="5">
        <v>576</v>
      </c>
      <c r="V217" s="5">
        <f>VLOOKUP(A217,Planilha1!B:E,4,0)</f>
        <v>13.783871706210666</v>
      </c>
    </row>
    <row r="218" spans="1:22" x14ac:dyDescent="0.3">
      <c r="A218" t="str">
        <f t="shared" si="6"/>
        <v>LEITE UHTITAMBÉ</v>
      </c>
      <c r="B218" t="str">
        <f t="shared" si="7"/>
        <v>5207394LEITE UHTITAMBÉ</v>
      </c>
      <c r="C218" s="5" t="s">
        <v>149</v>
      </c>
      <c r="D218" s="5" t="s">
        <v>210</v>
      </c>
      <c r="E218" s="5" t="s">
        <v>210</v>
      </c>
      <c r="F218" s="5">
        <v>5207394</v>
      </c>
      <c r="G218" s="5" t="s">
        <v>215</v>
      </c>
      <c r="H218" s="5" t="s">
        <v>154</v>
      </c>
      <c r="I218" s="5" t="s">
        <v>27</v>
      </c>
      <c r="J218" s="5" t="s">
        <v>156</v>
      </c>
      <c r="K218" s="6">
        <v>0</v>
      </c>
      <c r="L218" s="7">
        <v>0</v>
      </c>
      <c r="M218" s="8">
        <v>0</v>
      </c>
      <c r="N218" s="8">
        <v>0</v>
      </c>
      <c r="O218" s="8">
        <v>129.99855557160475</v>
      </c>
      <c r="P218" s="8">
        <v>0</v>
      </c>
      <c r="Q218" s="8">
        <v>0</v>
      </c>
      <c r="R218" s="8">
        <v>0</v>
      </c>
      <c r="S218" s="8">
        <v>0</v>
      </c>
      <c r="T218" s="5">
        <v>0</v>
      </c>
      <c r="U218" s="5">
        <v>0</v>
      </c>
      <c r="V218" s="5">
        <f>VLOOKUP(A218,Planilha1!B:E,4,0)</f>
        <v>-0.14425288609148015</v>
      </c>
    </row>
    <row r="219" spans="1:22" x14ac:dyDescent="0.3">
      <c r="A219" t="str">
        <f t="shared" si="6"/>
        <v>LEITE UHTLACTALIS</v>
      </c>
      <c r="B219" t="str">
        <f t="shared" si="7"/>
        <v>5207394LEITE UHTLACTALIS</v>
      </c>
      <c r="C219" s="5" t="s">
        <v>149</v>
      </c>
      <c r="D219" s="5" t="s">
        <v>210</v>
      </c>
      <c r="E219" s="5" t="s">
        <v>210</v>
      </c>
      <c r="F219" s="5">
        <v>5207394</v>
      </c>
      <c r="G219" s="5" t="s">
        <v>215</v>
      </c>
      <c r="H219" s="5" t="s">
        <v>154</v>
      </c>
      <c r="I219" s="5" t="s">
        <v>22</v>
      </c>
      <c r="J219" s="5" t="s">
        <v>156</v>
      </c>
      <c r="K219" s="6">
        <v>0</v>
      </c>
      <c r="L219" s="7">
        <v>0</v>
      </c>
      <c r="M219" s="8">
        <v>0</v>
      </c>
      <c r="N219" s="8">
        <v>0</v>
      </c>
      <c r="O219" s="8">
        <v>94.732612480207081</v>
      </c>
      <c r="P219" s="8">
        <v>0</v>
      </c>
      <c r="Q219" s="8">
        <v>0</v>
      </c>
      <c r="R219" s="8">
        <v>0</v>
      </c>
      <c r="S219" s="8">
        <v>0</v>
      </c>
      <c r="T219" s="5">
        <v>0</v>
      </c>
      <c r="U219" s="5">
        <v>0</v>
      </c>
      <c r="V219" s="5">
        <f>VLOOKUP(A219,Planilha1!B:E,4,0)</f>
        <v>0.37177548115779385</v>
      </c>
    </row>
    <row r="220" spans="1:22" x14ac:dyDescent="0.3">
      <c r="A220" t="str">
        <f t="shared" si="6"/>
        <v>LEITE UHTITAMBÉ</v>
      </c>
      <c r="B220" t="str">
        <f t="shared" si="7"/>
        <v>5224043LEITE UHTITAMBÉ</v>
      </c>
      <c r="C220" s="5" t="s">
        <v>149</v>
      </c>
      <c r="D220" s="5" t="s">
        <v>210</v>
      </c>
      <c r="E220" s="5" t="s">
        <v>210</v>
      </c>
      <c r="F220" s="5">
        <v>5224043</v>
      </c>
      <c r="G220" s="5" t="s">
        <v>216</v>
      </c>
      <c r="H220" s="5" t="s">
        <v>25</v>
      </c>
      <c r="I220" s="5" t="s">
        <v>27</v>
      </c>
      <c r="J220" s="5" t="s">
        <v>156</v>
      </c>
      <c r="K220" s="6">
        <v>0</v>
      </c>
      <c r="L220" s="7">
        <v>24480</v>
      </c>
      <c r="M220" s="8">
        <v>17182.5</v>
      </c>
      <c r="N220" s="8">
        <v>20400</v>
      </c>
      <c r="O220" s="8">
        <v>18155.798268908122</v>
      </c>
      <c r="P220" s="8">
        <v>0</v>
      </c>
      <c r="Q220" s="8">
        <v>24480</v>
      </c>
      <c r="R220" s="8">
        <v>0</v>
      </c>
      <c r="S220" s="8">
        <v>0</v>
      </c>
      <c r="T220" s="5">
        <v>0</v>
      </c>
      <c r="U220" s="5">
        <v>0</v>
      </c>
      <c r="V220" s="5">
        <f>VLOOKUP(A220,Planilha1!B:E,4,0)</f>
        <v>-0.14425288609148015</v>
      </c>
    </row>
    <row r="221" spans="1:22" x14ac:dyDescent="0.3">
      <c r="A221" t="str">
        <f t="shared" si="6"/>
        <v>BLISTERLACTALIS</v>
      </c>
      <c r="B221" t="str">
        <f t="shared" si="7"/>
        <v>5226499BLISTERLACTALIS</v>
      </c>
      <c r="C221" s="5" t="s">
        <v>149</v>
      </c>
      <c r="D221" s="5" t="s">
        <v>210</v>
      </c>
      <c r="E221" s="5" t="s">
        <v>210</v>
      </c>
      <c r="F221" s="5">
        <v>5226499</v>
      </c>
      <c r="G221" s="5" t="s">
        <v>217</v>
      </c>
      <c r="H221" s="5" t="s">
        <v>30</v>
      </c>
      <c r="I221" s="5" t="s">
        <v>22</v>
      </c>
      <c r="J221" s="5" t="s">
        <v>199</v>
      </c>
      <c r="K221" s="6">
        <v>0</v>
      </c>
      <c r="L221" s="7">
        <v>0</v>
      </c>
      <c r="M221" s="8">
        <v>658.8</v>
      </c>
      <c r="N221" s="8">
        <v>745.28</v>
      </c>
      <c r="O221" s="8">
        <v>574.6970558499205</v>
      </c>
      <c r="P221" s="8">
        <v>0</v>
      </c>
      <c r="Q221" s="8">
        <v>0</v>
      </c>
      <c r="R221" s="8">
        <v>0</v>
      </c>
      <c r="S221" s="8">
        <v>826</v>
      </c>
      <c r="T221" s="5">
        <v>826</v>
      </c>
      <c r="U221" s="5">
        <v>557</v>
      </c>
      <c r="V221" s="5">
        <f>VLOOKUP(A221,Planilha1!B:E,4,0)</f>
        <v>13.783871706210666</v>
      </c>
    </row>
    <row r="222" spans="1:22" x14ac:dyDescent="0.3">
      <c r="A222" t="str">
        <f t="shared" si="6"/>
        <v>DOCE DE LEITELACTALIS</v>
      </c>
      <c r="B222" t="str">
        <f t="shared" si="7"/>
        <v>5227253DOCE DE LEITELACTALIS</v>
      </c>
      <c r="C222" s="5" t="s">
        <v>149</v>
      </c>
      <c r="D222" s="5" t="s">
        <v>210</v>
      </c>
      <c r="E222" s="5" t="s">
        <v>210</v>
      </c>
      <c r="F222" s="5">
        <v>5227253</v>
      </c>
      <c r="G222" s="5" t="s">
        <v>218</v>
      </c>
      <c r="H222" s="5" t="s">
        <v>30</v>
      </c>
      <c r="I222" s="5" t="s">
        <v>22</v>
      </c>
      <c r="J222" s="5" t="s">
        <v>46</v>
      </c>
      <c r="K222" s="6">
        <v>0</v>
      </c>
      <c r="L222" s="7">
        <v>4320</v>
      </c>
      <c r="M222" s="8">
        <v>10865</v>
      </c>
      <c r="N222" s="8">
        <v>10944</v>
      </c>
      <c r="O222" s="8">
        <v>10332.155908027093</v>
      </c>
      <c r="P222" s="8">
        <v>0</v>
      </c>
      <c r="Q222" s="8">
        <v>12528</v>
      </c>
      <c r="R222" s="8">
        <v>0</v>
      </c>
      <c r="S222" s="8">
        <v>11664</v>
      </c>
      <c r="T222" s="5">
        <v>11664</v>
      </c>
      <c r="U222" s="5">
        <v>8208</v>
      </c>
      <c r="V222" s="5">
        <f>VLOOKUP(A222,Planilha1!B:E,4,0)</f>
        <v>5.6473514327668077</v>
      </c>
    </row>
    <row r="223" spans="1:22" x14ac:dyDescent="0.3">
      <c r="A223" t="str">
        <f t="shared" si="6"/>
        <v>MANTEIGA 5KGLACTALIS</v>
      </c>
      <c r="B223" t="str">
        <f t="shared" si="7"/>
        <v>5227253MANTEIGA 5KGLACTALIS</v>
      </c>
      <c r="C223" s="5" t="s">
        <v>149</v>
      </c>
      <c r="D223" s="5" t="s">
        <v>210</v>
      </c>
      <c r="E223" s="5" t="s">
        <v>210</v>
      </c>
      <c r="F223" s="5">
        <v>5227253</v>
      </c>
      <c r="G223" s="5" t="s">
        <v>218</v>
      </c>
      <c r="H223" s="5" t="s">
        <v>30</v>
      </c>
      <c r="I223" s="5" t="s">
        <v>22</v>
      </c>
      <c r="J223" s="5" t="s">
        <v>60</v>
      </c>
      <c r="K223" s="6">
        <v>0</v>
      </c>
      <c r="L223" s="7">
        <v>3000</v>
      </c>
      <c r="M223" s="8">
        <v>2450.8333333333335</v>
      </c>
      <c r="N223" s="8">
        <v>2288.3333333333335</v>
      </c>
      <c r="O223" s="8">
        <v>6000</v>
      </c>
      <c r="P223" s="8">
        <v>0</v>
      </c>
      <c r="Q223" s="8">
        <v>4860</v>
      </c>
      <c r="R223" s="8">
        <v>0</v>
      </c>
      <c r="S223" s="8">
        <v>6000</v>
      </c>
      <c r="T223" s="5">
        <v>4860</v>
      </c>
      <c r="U223" s="5">
        <v>0</v>
      </c>
      <c r="V223" s="5">
        <f>VLOOKUP(A223,Planilha1!B:E,4,0)</f>
        <v>11.476197020267191</v>
      </c>
    </row>
    <row r="224" spans="1:22" x14ac:dyDescent="0.3">
      <c r="A224" t="str">
        <f t="shared" si="6"/>
        <v>LEITE UHTITAMBÉ</v>
      </c>
      <c r="B224" t="str">
        <f t="shared" si="7"/>
        <v>5227253LEITE UHTITAMBÉ</v>
      </c>
      <c r="C224" s="5" t="s">
        <v>149</v>
      </c>
      <c r="D224" s="5" t="s">
        <v>210</v>
      </c>
      <c r="E224" s="5" t="s">
        <v>210</v>
      </c>
      <c r="F224" s="5">
        <v>5227253</v>
      </c>
      <c r="G224" s="5" t="s">
        <v>218</v>
      </c>
      <c r="H224" s="5" t="s">
        <v>30</v>
      </c>
      <c r="I224" s="5" t="s">
        <v>27</v>
      </c>
      <c r="J224" s="5" t="s">
        <v>156</v>
      </c>
      <c r="K224" s="6">
        <v>0</v>
      </c>
      <c r="L224" s="7">
        <v>5844</v>
      </c>
      <c r="M224" s="8">
        <v>4748</v>
      </c>
      <c r="N224" s="8">
        <v>3076</v>
      </c>
      <c r="O224" s="8">
        <v>6656.9260341551762</v>
      </c>
      <c r="P224" s="8">
        <v>0</v>
      </c>
      <c r="Q224" s="8">
        <v>4079.9999999999995</v>
      </c>
      <c r="R224" s="8">
        <v>0</v>
      </c>
      <c r="S224" s="8">
        <v>0</v>
      </c>
      <c r="T224" s="5">
        <v>0</v>
      </c>
      <c r="U224" s="5">
        <v>0</v>
      </c>
      <c r="V224" s="5">
        <f>VLOOKUP(A224,Planilha1!B:E,4,0)</f>
        <v>-0.14425288609148015</v>
      </c>
    </row>
    <row r="225" spans="1:22" x14ac:dyDescent="0.3">
      <c r="A225" t="str">
        <f t="shared" si="6"/>
        <v>LEITE UHTLACTALIS</v>
      </c>
      <c r="B225" t="str">
        <f t="shared" si="7"/>
        <v>5227253LEITE UHTLACTALIS</v>
      </c>
      <c r="C225" s="5" t="s">
        <v>149</v>
      </c>
      <c r="D225" s="5" t="s">
        <v>210</v>
      </c>
      <c r="E225" s="5" t="s">
        <v>210</v>
      </c>
      <c r="F225" s="5">
        <v>5227253</v>
      </c>
      <c r="G225" s="5" t="s">
        <v>218</v>
      </c>
      <c r="H225" s="5" t="s">
        <v>30</v>
      </c>
      <c r="I225" s="5" t="s">
        <v>22</v>
      </c>
      <c r="J225" s="5" t="s">
        <v>156</v>
      </c>
      <c r="K225" s="6">
        <v>0</v>
      </c>
      <c r="L225" s="7">
        <v>0</v>
      </c>
      <c r="M225" s="8">
        <v>8160</v>
      </c>
      <c r="N225" s="8">
        <v>8160</v>
      </c>
      <c r="O225" s="8">
        <v>4638.1480199200823</v>
      </c>
      <c r="P225" s="8">
        <v>0</v>
      </c>
      <c r="Q225" s="8">
        <v>0</v>
      </c>
      <c r="R225" s="8">
        <v>0</v>
      </c>
      <c r="S225" s="8">
        <v>0</v>
      </c>
      <c r="T225" s="5">
        <v>0</v>
      </c>
      <c r="U225" s="5">
        <v>0</v>
      </c>
      <c r="V225" s="5">
        <f>VLOOKUP(A225,Planilha1!B:E,4,0)</f>
        <v>0.37177548115779385</v>
      </c>
    </row>
    <row r="226" spans="1:22" x14ac:dyDescent="0.3">
      <c r="A226" t="str">
        <f t="shared" si="6"/>
        <v>DOCE DE LEITELACTALIS</v>
      </c>
      <c r="B226" t="str">
        <f t="shared" si="7"/>
        <v>5229130DOCE DE LEITELACTALIS</v>
      </c>
      <c r="C226" s="5" t="s">
        <v>149</v>
      </c>
      <c r="D226" s="5" t="s">
        <v>210</v>
      </c>
      <c r="E226" s="5" t="s">
        <v>210</v>
      </c>
      <c r="F226" s="5">
        <v>5229130</v>
      </c>
      <c r="G226" s="5" t="s">
        <v>219</v>
      </c>
      <c r="H226" s="5" t="s">
        <v>30</v>
      </c>
      <c r="I226" s="5" t="s">
        <v>22</v>
      </c>
      <c r="J226" s="5" t="s">
        <v>46</v>
      </c>
      <c r="K226" s="6">
        <v>0</v>
      </c>
      <c r="L226" s="7">
        <v>864</v>
      </c>
      <c r="M226" s="8">
        <v>4137</v>
      </c>
      <c r="N226" s="8">
        <v>4304</v>
      </c>
      <c r="O226" s="8">
        <v>4143.1041014299535</v>
      </c>
      <c r="P226" s="8">
        <v>0</v>
      </c>
      <c r="Q226" s="8">
        <v>5616</v>
      </c>
      <c r="R226" s="8">
        <v>0</v>
      </c>
      <c r="S226" s="8">
        <v>11000</v>
      </c>
      <c r="T226" s="5">
        <v>11000</v>
      </c>
      <c r="U226" s="5">
        <v>3282</v>
      </c>
      <c r="V226" s="5">
        <f>VLOOKUP(A226,Planilha1!B:E,4,0)</f>
        <v>5.6473514327668077</v>
      </c>
    </row>
    <row r="227" spans="1:22" x14ac:dyDescent="0.3">
      <c r="A227" t="str">
        <f t="shared" si="6"/>
        <v>MANTEIGA 5KGLACTALIS</v>
      </c>
      <c r="B227" t="str">
        <f t="shared" si="7"/>
        <v>5229130MANTEIGA 5KGLACTALIS</v>
      </c>
      <c r="C227" s="5" t="s">
        <v>149</v>
      </c>
      <c r="D227" s="5" t="s">
        <v>210</v>
      </c>
      <c r="E227" s="5" t="s">
        <v>210</v>
      </c>
      <c r="F227" s="5">
        <v>5229130</v>
      </c>
      <c r="G227" s="5" t="s">
        <v>219</v>
      </c>
      <c r="H227" s="5" t="s">
        <v>30</v>
      </c>
      <c r="I227" s="5" t="s">
        <v>22</v>
      </c>
      <c r="J227" s="5" t="s">
        <v>60</v>
      </c>
      <c r="K227" s="6">
        <v>0</v>
      </c>
      <c r="L227" s="7">
        <v>1500</v>
      </c>
      <c r="M227" s="8">
        <v>3555.8333333333339</v>
      </c>
      <c r="N227" s="8">
        <v>2288.3333333333335</v>
      </c>
      <c r="O227" s="8">
        <v>6000</v>
      </c>
      <c r="P227" s="8">
        <v>0</v>
      </c>
      <c r="Q227" s="8">
        <v>9720</v>
      </c>
      <c r="R227" s="8">
        <v>0</v>
      </c>
      <c r="S227" s="8">
        <v>8580</v>
      </c>
      <c r="T227" s="5">
        <v>9720</v>
      </c>
      <c r="U227" s="5">
        <v>12000</v>
      </c>
      <c r="V227" s="5">
        <f>VLOOKUP(A227,Planilha1!B:E,4,0)</f>
        <v>11.476197020267191</v>
      </c>
    </row>
    <row r="228" spans="1:22" x14ac:dyDescent="0.3">
      <c r="A228" t="str">
        <f t="shared" si="6"/>
        <v>PARMESÃOLACTALIS</v>
      </c>
      <c r="B228" t="str">
        <f t="shared" si="7"/>
        <v>5229130PARMESÃOLACTALIS</v>
      </c>
      <c r="C228" s="5" t="s">
        <v>149</v>
      </c>
      <c r="D228" s="5" t="s">
        <v>210</v>
      </c>
      <c r="E228" s="5" t="s">
        <v>210</v>
      </c>
      <c r="F228" s="5">
        <v>5229130</v>
      </c>
      <c r="G228" s="5" t="s">
        <v>219</v>
      </c>
      <c r="H228" s="5" t="s">
        <v>30</v>
      </c>
      <c r="I228" s="5" t="s">
        <v>22</v>
      </c>
      <c r="J228" s="5" t="s">
        <v>195</v>
      </c>
      <c r="K228" s="6">
        <v>0</v>
      </c>
      <c r="L228" s="7">
        <v>0</v>
      </c>
      <c r="M228" s="8">
        <v>0</v>
      </c>
      <c r="N228" s="8">
        <v>0</v>
      </c>
      <c r="O228" s="8">
        <v>496.30683405885173</v>
      </c>
      <c r="P228" s="8">
        <v>0</v>
      </c>
      <c r="Q228" s="8">
        <v>0</v>
      </c>
      <c r="R228" s="8">
        <v>0</v>
      </c>
      <c r="S228" s="8">
        <v>0</v>
      </c>
      <c r="T228" s="5">
        <v>0</v>
      </c>
      <c r="U228" s="5">
        <v>0</v>
      </c>
      <c r="V228" s="5">
        <f>VLOOKUP(A228,Planilha1!B:E,4,0)</f>
        <v>6.310326960724681</v>
      </c>
    </row>
    <row r="229" spans="1:22" x14ac:dyDescent="0.3">
      <c r="A229" t="str">
        <f t="shared" si="6"/>
        <v>LEITE UHTITAMBÉ</v>
      </c>
      <c r="B229" t="str">
        <f t="shared" si="7"/>
        <v>5229130LEITE UHTITAMBÉ</v>
      </c>
      <c r="C229" s="5" t="s">
        <v>149</v>
      </c>
      <c r="D229" s="5" t="s">
        <v>210</v>
      </c>
      <c r="E229" s="5" t="s">
        <v>210</v>
      </c>
      <c r="F229" s="5">
        <v>5229130</v>
      </c>
      <c r="G229" s="5" t="s">
        <v>219</v>
      </c>
      <c r="H229" s="5" t="s">
        <v>30</v>
      </c>
      <c r="I229" s="5" t="s">
        <v>27</v>
      </c>
      <c r="J229" s="5" t="s">
        <v>156</v>
      </c>
      <c r="K229" s="6">
        <v>0</v>
      </c>
      <c r="L229" s="7">
        <v>4980</v>
      </c>
      <c r="M229" s="8">
        <v>9242</v>
      </c>
      <c r="N229" s="8">
        <v>8220</v>
      </c>
      <c r="O229" s="8">
        <v>8580.9046566149264</v>
      </c>
      <c r="P229" s="8">
        <v>0</v>
      </c>
      <c r="Q229" s="8">
        <v>8159.9999999999991</v>
      </c>
      <c r="R229" s="8">
        <v>0</v>
      </c>
      <c r="S229" s="8">
        <v>0</v>
      </c>
      <c r="T229" s="5">
        <v>0</v>
      </c>
      <c r="U229" s="5">
        <v>0</v>
      </c>
      <c r="V229" s="5">
        <f>VLOOKUP(A229,Planilha1!B:E,4,0)</f>
        <v>-0.14425288609148015</v>
      </c>
    </row>
    <row r="230" spans="1:22" x14ac:dyDescent="0.3">
      <c r="A230" t="str">
        <f t="shared" si="6"/>
        <v>LEITE UHTLACTALIS</v>
      </c>
      <c r="B230" t="str">
        <f t="shared" si="7"/>
        <v>5229130LEITE UHTLACTALIS</v>
      </c>
      <c r="C230" s="5" t="s">
        <v>149</v>
      </c>
      <c r="D230" s="5" t="s">
        <v>210</v>
      </c>
      <c r="E230" s="5" t="s">
        <v>210</v>
      </c>
      <c r="F230" s="5">
        <v>5229130</v>
      </c>
      <c r="G230" s="5" t="s">
        <v>219</v>
      </c>
      <c r="H230" s="5" t="s">
        <v>30</v>
      </c>
      <c r="I230" s="5" t="s">
        <v>22</v>
      </c>
      <c r="J230" s="5" t="s">
        <v>156</v>
      </c>
      <c r="K230" s="6">
        <v>0</v>
      </c>
      <c r="L230" s="7">
        <v>0</v>
      </c>
      <c r="M230" s="8">
        <v>8160</v>
      </c>
      <c r="N230" s="8">
        <v>8160</v>
      </c>
      <c r="O230" s="8">
        <v>6184.2037212023661</v>
      </c>
      <c r="P230" s="8">
        <v>0</v>
      </c>
      <c r="Q230" s="8">
        <v>0</v>
      </c>
      <c r="R230" s="8">
        <v>0</v>
      </c>
      <c r="S230" s="8">
        <v>0</v>
      </c>
      <c r="T230" s="5">
        <v>0</v>
      </c>
      <c r="U230" s="5">
        <v>0</v>
      </c>
      <c r="V230" s="5">
        <f>VLOOKUP(A230,Planilha1!B:E,4,0)</f>
        <v>0.37177548115779385</v>
      </c>
    </row>
    <row r="231" spans="1:22" x14ac:dyDescent="0.3">
      <c r="A231" t="str">
        <f t="shared" si="6"/>
        <v>DOCE DE LEITELACTALIS</v>
      </c>
      <c r="B231" t="str">
        <f t="shared" si="7"/>
        <v>5263174DOCE DE LEITELACTALIS</v>
      </c>
      <c r="C231" s="5" t="s">
        <v>149</v>
      </c>
      <c r="D231" s="5" t="s">
        <v>210</v>
      </c>
      <c r="E231" s="5" t="s">
        <v>210</v>
      </c>
      <c r="F231" s="5">
        <v>5263174</v>
      </c>
      <c r="G231" s="5" t="s">
        <v>220</v>
      </c>
      <c r="H231" s="5" t="s">
        <v>30</v>
      </c>
      <c r="I231" s="5" t="s">
        <v>22</v>
      </c>
      <c r="J231" s="5" t="s">
        <v>46</v>
      </c>
      <c r="K231" s="6">
        <v>0</v>
      </c>
      <c r="L231" s="7">
        <v>3888</v>
      </c>
      <c r="M231" s="8">
        <v>9723</v>
      </c>
      <c r="N231" s="8">
        <v>9356</v>
      </c>
      <c r="O231" s="8">
        <v>8807.5848763677823</v>
      </c>
      <c r="P231" s="8">
        <v>0</v>
      </c>
      <c r="Q231" s="8">
        <v>13824</v>
      </c>
      <c r="R231" s="8">
        <v>0</v>
      </c>
      <c r="S231" s="8">
        <v>9672</v>
      </c>
      <c r="T231" s="5">
        <v>9672</v>
      </c>
      <c r="U231" s="5">
        <v>9072</v>
      </c>
      <c r="V231" s="5">
        <f>VLOOKUP(A231,Planilha1!B:E,4,0)</f>
        <v>5.6473514327668077</v>
      </c>
    </row>
    <row r="232" spans="1:22" x14ac:dyDescent="0.3">
      <c r="A232" t="str">
        <f t="shared" si="6"/>
        <v>DOCE DE LEITELACTALIS</v>
      </c>
      <c r="B232" t="str">
        <f t="shared" si="7"/>
        <v>5270630DOCE DE LEITELACTALIS</v>
      </c>
      <c r="C232" s="5" t="s">
        <v>149</v>
      </c>
      <c r="D232" s="5" t="s">
        <v>210</v>
      </c>
      <c r="E232" s="5" t="s">
        <v>210</v>
      </c>
      <c r="F232" s="5">
        <v>5270630</v>
      </c>
      <c r="G232" s="5" t="s">
        <v>221</v>
      </c>
      <c r="H232" s="5" t="s">
        <v>30</v>
      </c>
      <c r="I232" s="5" t="s">
        <v>22</v>
      </c>
      <c r="J232" s="5" t="s">
        <v>46</v>
      </c>
      <c r="K232" s="6">
        <v>0</v>
      </c>
      <c r="L232" s="7">
        <v>660</v>
      </c>
      <c r="M232" s="8">
        <v>59</v>
      </c>
      <c r="N232" s="8">
        <v>0</v>
      </c>
      <c r="O232" s="8">
        <v>400.34976697982876</v>
      </c>
      <c r="P232" s="8">
        <v>0</v>
      </c>
      <c r="Q232" s="8">
        <v>0</v>
      </c>
      <c r="R232" s="8">
        <v>0</v>
      </c>
      <c r="S232" s="8">
        <v>0</v>
      </c>
      <c r="T232" s="5">
        <v>0</v>
      </c>
      <c r="U232" s="5">
        <v>0</v>
      </c>
      <c r="V232" s="5">
        <f>VLOOKUP(A232,Planilha1!B:E,4,0)</f>
        <v>5.6473514327668077</v>
      </c>
    </row>
    <row r="233" spans="1:22" x14ac:dyDescent="0.3">
      <c r="A233" t="str">
        <f t="shared" si="6"/>
        <v>DOCE DE LEITELACTALIS</v>
      </c>
      <c r="B233" t="str">
        <f t="shared" si="7"/>
        <v>5285840DOCE DE LEITELACTALIS</v>
      </c>
      <c r="C233" s="5" t="s">
        <v>149</v>
      </c>
      <c r="D233" s="5" t="s">
        <v>210</v>
      </c>
      <c r="E233" s="5" t="s">
        <v>210</v>
      </c>
      <c r="F233" s="5">
        <v>5285840</v>
      </c>
      <c r="G233" s="5" t="s">
        <v>222</v>
      </c>
      <c r="H233" s="5" t="s">
        <v>30</v>
      </c>
      <c r="I233" s="5" t="s">
        <v>22</v>
      </c>
      <c r="J233" s="5" t="s">
        <v>46</v>
      </c>
      <c r="K233" s="6">
        <v>0</v>
      </c>
      <c r="L233" s="7">
        <v>8994</v>
      </c>
      <c r="M233" s="8">
        <v>14567</v>
      </c>
      <c r="N233" s="8">
        <v>12384</v>
      </c>
      <c r="O233" s="8">
        <v>12603.877842359771</v>
      </c>
      <c r="P233" s="8">
        <v>0</v>
      </c>
      <c r="Q233" s="8">
        <v>16416</v>
      </c>
      <c r="R233" s="8">
        <v>0</v>
      </c>
      <c r="S233" s="8">
        <v>15726</v>
      </c>
      <c r="T233" s="5">
        <v>15726</v>
      </c>
      <c r="U233" s="5">
        <v>15728</v>
      </c>
      <c r="V233" s="5">
        <f>VLOOKUP(A233,Planilha1!B:E,4,0)</f>
        <v>5.6473514327668077</v>
      </c>
    </row>
    <row r="234" spans="1:22" x14ac:dyDescent="0.3">
      <c r="A234" t="str">
        <f t="shared" si="6"/>
        <v>MANTEIGA 5KGITAMBÉ</v>
      </c>
      <c r="B234" t="str">
        <f t="shared" si="7"/>
        <v>5324461MANTEIGA 5KGITAMBÉ</v>
      </c>
      <c r="C234" s="5" t="s">
        <v>149</v>
      </c>
      <c r="D234" s="5" t="s">
        <v>210</v>
      </c>
      <c r="E234" s="5" t="s">
        <v>210</v>
      </c>
      <c r="F234" s="5">
        <v>5324461</v>
      </c>
      <c r="G234" s="5" t="s">
        <v>223</v>
      </c>
      <c r="H234" s="5" t="s">
        <v>30</v>
      </c>
      <c r="I234" s="5" t="s">
        <v>27</v>
      </c>
      <c r="J234" s="5" t="s">
        <v>60</v>
      </c>
      <c r="K234" s="6">
        <v>0</v>
      </c>
      <c r="L234" s="7">
        <v>365</v>
      </c>
      <c r="M234" s="8">
        <v>286.66666666666669</v>
      </c>
      <c r="N234" s="8">
        <v>331.66666666666669</v>
      </c>
      <c r="O234" s="8">
        <v>522.98256724775842</v>
      </c>
      <c r="P234" s="8">
        <v>0</v>
      </c>
      <c r="Q234" s="8">
        <v>0</v>
      </c>
      <c r="R234" s="8">
        <v>0</v>
      </c>
      <c r="S234" s="8">
        <v>330</v>
      </c>
      <c r="T234" s="5">
        <v>330</v>
      </c>
      <c r="U234" s="5">
        <v>245</v>
      </c>
      <c r="V234" s="5">
        <f>VLOOKUP(A234,Planilha1!B:E,4,0)</f>
        <v>5.819800475298738</v>
      </c>
    </row>
    <row r="235" spans="1:22" x14ac:dyDescent="0.3">
      <c r="A235" t="str">
        <f t="shared" si="6"/>
        <v>MANTEIGA 5KGLACTALIS</v>
      </c>
      <c r="B235" t="str">
        <f t="shared" si="7"/>
        <v>5324461MANTEIGA 5KGLACTALIS</v>
      </c>
      <c r="C235" s="5" t="s">
        <v>149</v>
      </c>
      <c r="D235" s="5" t="s">
        <v>210</v>
      </c>
      <c r="E235" s="5" t="s">
        <v>210</v>
      </c>
      <c r="F235" s="5">
        <v>5324461</v>
      </c>
      <c r="G235" s="5" t="s">
        <v>224</v>
      </c>
      <c r="H235" s="5" t="s">
        <v>30</v>
      </c>
      <c r="I235" s="5" t="s">
        <v>22</v>
      </c>
      <c r="J235" s="5" t="s">
        <v>60</v>
      </c>
      <c r="K235" s="6">
        <v>0</v>
      </c>
      <c r="L235" s="7">
        <v>0</v>
      </c>
      <c r="M235" s="8">
        <v>0</v>
      </c>
      <c r="N235" s="8">
        <v>0</v>
      </c>
      <c r="O235" s="8">
        <v>8.7511176168299656</v>
      </c>
      <c r="P235" s="8">
        <v>0</v>
      </c>
      <c r="Q235" s="8">
        <v>0</v>
      </c>
      <c r="R235" s="8">
        <v>0</v>
      </c>
      <c r="S235" s="8">
        <v>0</v>
      </c>
      <c r="T235" s="5">
        <v>0</v>
      </c>
      <c r="U235" s="5">
        <v>0</v>
      </c>
      <c r="V235" s="5">
        <f>VLOOKUP(A235,Planilha1!B:E,4,0)</f>
        <v>11.476197020267191</v>
      </c>
    </row>
    <row r="236" spans="1:22" x14ac:dyDescent="0.3">
      <c r="A236" t="str">
        <f t="shared" si="6"/>
        <v>LEITE UHTITAMBÉ</v>
      </c>
      <c r="B236" t="str">
        <f t="shared" si="7"/>
        <v>5336828LEITE UHTITAMBÉ</v>
      </c>
      <c r="C236" s="5" t="s">
        <v>149</v>
      </c>
      <c r="D236" s="5" t="s">
        <v>210</v>
      </c>
      <c r="E236" s="5" t="s">
        <v>210</v>
      </c>
      <c r="F236" s="5">
        <v>5336828</v>
      </c>
      <c r="G236" s="5" t="s">
        <v>225</v>
      </c>
      <c r="H236" s="5" t="s">
        <v>30</v>
      </c>
      <c r="I236" s="5" t="s">
        <v>27</v>
      </c>
      <c r="J236" s="5" t="s">
        <v>156</v>
      </c>
      <c r="K236" s="6">
        <v>0</v>
      </c>
      <c r="L236" s="7">
        <v>26520</v>
      </c>
      <c r="M236" s="8">
        <v>22050</v>
      </c>
      <c r="N236" s="8">
        <v>26520</v>
      </c>
      <c r="O236" s="8">
        <v>22985.744602837745</v>
      </c>
      <c r="P236" s="8">
        <v>0</v>
      </c>
      <c r="Q236" s="8">
        <v>0</v>
      </c>
      <c r="R236" s="8">
        <v>0</v>
      </c>
      <c r="S236" s="8">
        <v>0</v>
      </c>
      <c r="T236" s="5">
        <v>0</v>
      </c>
      <c r="U236" s="5">
        <v>0</v>
      </c>
      <c r="V236" s="5">
        <f>VLOOKUP(A236,Planilha1!B:E,4,0)</f>
        <v>-0.14425288609148015</v>
      </c>
    </row>
    <row r="237" spans="1:22" x14ac:dyDescent="0.3">
      <c r="A237" t="str">
        <f t="shared" si="6"/>
        <v>LEITE CONDENSADOITAMBÉ</v>
      </c>
      <c r="B237" t="str">
        <f t="shared" si="7"/>
        <v>5004685LEITE CONDENSADOITAMBÉ</v>
      </c>
      <c r="C237" s="5" t="s">
        <v>226</v>
      </c>
      <c r="D237" s="5" t="s">
        <v>227</v>
      </c>
      <c r="E237" s="5" t="s">
        <v>228</v>
      </c>
      <c r="F237" s="5">
        <v>5004685</v>
      </c>
      <c r="G237" s="5" t="s">
        <v>229</v>
      </c>
      <c r="H237" s="5" t="s">
        <v>30</v>
      </c>
      <c r="I237" s="5" t="s">
        <v>27</v>
      </c>
      <c r="J237" s="5" t="s">
        <v>33</v>
      </c>
      <c r="K237" s="6">
        <v>0</v>
      </c>
      <c r="L237" s="7">
        <v>29054.080000000002</v>
      </c>
      <c r="M237" s="8">
        <v>27011.093333333334</v>
      </c>
      <c r="N237" s="8">
        <v>22986.666666666664</v>
      </c>
      <c r="O237" s="8">
        <v>19628.736178748779</v>
      </c>
      <c r="P237" s="8">
        <v>8282.4500000000007</v>
      </c>
      <c r="Q237" s="8">
        <v>0</v>
      </c>
      <c r="R237" s="8">
        <v>13370</v>
      </c>
      <c r="S237" s="8">
        <v>30000</v>
      </c>
      <c r="T237" s="5">
        <v>30000</v>
      </c>
      <c r="U237" s="5">
        <v>24271</v>
      </c>
      <c r="V237" s="5">
        <f>VLOOKUP(A237,Planilha1!B:E,4,0)</f>
        <v>1.4766792698630664</v>
      </c>
    </row>
    <row r="238" spans="1:22" x14ac:dyDescent="0.3">
      <c r="A238" t="str">
        <f t="shared" si="6"/>
        <v>CREME UHTITAMBÉ</v>
      </c>
      <c r="B238" t="str">
        <f t="shared" si="7"/>
        <v>5004685CREME UHTITAMBÉ</v>
      </c>
      <c r="C238" s="5" t="s">
        <v>226</v>
      </c>
      <c r="D238" s="5" t="s">
        <v>227</v>
      </c>
      <c r="E238" s="5" t="s">
        <v>228</v>
      </c>
      <c r="F238" s="5">
        <v>5004685</v>
      </c>
      <c r="G238" s="5" t="s">
        <v>229</v>
      </c>
      <c r="H238" s="5" t="s">
        <v>30</v>
      </c>
      <c r="I238" s="5" t="s">
        <v>27</v>
      </c>
      <c r="J238" s="5" t="s">
        <v>34</v>
      </c>
      <c r="K238" s="6">
        <v>0</v>
      </c>
      <c r="L238" s="7">
        <v>6101.4000000000005</v>
      </c>
      <c r="M238" s="8">
        <v>7929.3400000000011</v>
      </c>
      <c r="N238" s="8">
        <v>6250.6666666666661</v>
      </c>
      <c r="O238" s="8">
        <v>6161.8425061247626</v>
      </c>
      <c r="P238" s="8">
        <v>3008.9639999999995</v>
      </c>
      <c r="Q238" s="8">
        <v>0</v>
      </c>
      <c r="R238" s="8">
        <v>599.44999999999993</v>
      </c>
      <c r="S238" s="8">
        <v>7177</v>
      </c>
      <c r="T238" s="5">
        <v>7177</v>
      </c>
      <c r="U238" s="5">
        <v>7176</v>
      </c>
      <c r="V238" s="5">
        <f>VLOOKUP(A238,Planilha1!B:E,4,0)</f>
        <v>1.2362540170747773</v>
      </c>
    </row>
    <row r="239" spans="1:22" x14ac:dyDescent="0.3">
      <c r="A239" t="str">
        <f t="shared" si="6"/>
        <v>DOCE DE LEITEITAMBÉ</v>
      </c>
      <c r="B239" t="str">
        <f t="shared" si="7"/>
        <v>5004685DOCE DE LEITEITAMBÉ</v>
      </c>
      <c r="C239" s="5" t="s">
        <v>226</v>
      </c>
      <c r="D239" s="5" t="s">
        <v>227</v>
      </c>
      <c r="E239" s="5" t="s">
        <v>228</v>
      </c>
      <c r="F239" s="5">
        <v>5004685</v>
      </c>
      <c r="G239" s="5" t="s">
        <v>229</v>
      </c>
      <c r="H239" s="5" t="s">
        <v>30</v>
      </c>
      <c r="I239" s="5" t="s">
        <v>27</v>
      </c>
      <c r="J239" s="5" t="s">
        <v>46</v>
      </c>
      <c r="K239" s="6">
        <v>0</v>
      </c>
      <c r="L239" s="7">
        <v>20114.400000000001</v>
      </c>
      <c r="M239" s="8">
        <v>10507.466666666665</v>
      </c>
      <c r="N239" s="8">
        <v>9103.3333333333339</v>
      </c>
      <c r="O239" s="8">
        <v>8800.0080576032924</v>
      </c>
      <c r="P239" s="8">
        <v>3729.4</v>
      </c>
      <c r="Q239" s="8">
        <v>57.6</v>
      </c>
      <c r="R239" s="8">
        <v>548.20000000000005</v>
      </c>
      <c r="S239" s="8">
        <v>9958</v>
      </c>
      <c r="T239" s="5">
        <v>9958</v>
      </c>
      <c r="U239" s="5">
        <v>9958</v>
      </c>
      <c r="V239" s="5">
        <f>VLOOKUP(A239,Planilha1!B:E,4,0)</f>
        <v>5.8210743907543439</v>
      </c>
    </row>
    <row r="240" spans="1:22" x14ac:dyDescent="0.3">
      <c r="A240" t="str">
        <f t="shared" si="6"/>
        <v>MANTEIGA 5KGITAMBÉ</v>
      </c>
      <c r="B240" t="str">
        <f t="shared" si="7"/>
        <v>5004685MANTEIGA 5KGITAMBÉ</v>
      </c>
      <c r="C240" s="5" t="s">
        <v>226</v>
      </c>
      <c r="D240" s="5" t="s">
        <v>227</v>
      </c>
      <c r="E240" s="5" t="s">
        <v>228</v>
      </c>
      <c r="F240" s="5">
        <v>5004685</v>
      </c>
      <c r="G240" s="5" t="s">
        <v>229</v>
      </c>
      <c r="H240" s="5" t="s">
        <v>30</v>
      </c>
      <c r="I240" s="5" t="s">
        <v>27</v>
      </c>
      <c r="J240" s="5" t="s">
        <v>60</v>
      </c>
      <c r="K240" s="6">
        <v>0</v>
      </c>
      <c r="L240" s="7">
        <v>1960</v>
      </c>
      <c r="M240" s="8">
        <v>1972.5</v>
      </c>
      <c r="N240" s="8">
        <v>1600</v>
      </c>
      <c r="O240" s="8">
        <v>1785.940468651045</v>
      </c>
      <c r="P240" s="8">
        <v>380</v>
      </c>
      <c r="Q240" s="8">
        <v>0</v>
      </c>
      <c r="R240" s="8">
        <v>5</v>
      </c>
      <c r="S240" s="8">
        <v>2660</v>
      </c>
      <c r="T240" s="5">
        <v>2000</v>
      </c>
      <c r="U240" s="5">
        <v>2660</v>
      </c>
      <c r="V240" s="5">
        <f>VLOOKUP(A240,Planilha1!B:E,4,0)</f>
        <v>5.819800475298738</v>
      </c>
    </row>
    <row r="241" spans="1:22" x14ac:dyDescent="0.3">
      <c r="A241" t="str">
        <f t="shared" si="6"/>
        <v>MERC + AROMITAMBÉ</v>
      </c>
      <c r="B241" t="str">
        <f t="shared" si="7"/>
        <v>5002086MERC + AROMITAMBÉ</v>
      </c>
      <c r="C241" s="5" t="s">
        <v>149</v>
      </c>
      <c r="D241" s="5" t="s">
        <v>150</v>
      </c>
      <c r="E241" s="5" t="s">
        <v>151</v>
      </c>
      <c r="F241" s="5">
        <v>5002086</v>
      </c>
      <c r="G241" s="5" t="s">
        <v>152</v>
      </c>
      <c r="H241" s="5" t="s">
        <v>25</v>
      </c>
      <c r="I241" s="5" t="s">
        <v>27</v>
      </c>
      <c r="J241" s="5" t="s">
        <v>230</v>
      </c>
      <c r="K241" s="6">
        <v>0</v>
      </c>
      <c r="L241" s="7">
        <v>0</v>
      </c>
      <c r="M241" s="8">
        <v>670.49999999999989</v>
      </c>
      <c r="N241" s="8">
        <v>1136</v>
      </c>
      <c r="O241" s="8">
        <v>0</v>
      </c>
      <c r="P241" s="8">
        <v>0</v>
      </c>
      <c r="Q241" s="8">
        <v>1836</v>
      </c>
      <c r="R241" s="8">
        <v>0</v>
      </c>
      <c r="S241" s="8">
        <v>0</v>
      </c>
      <c r="T241" s="5">
        <v>0</v>
      </c>
      <c r="U241" s="5">
        <v>0</v>
      </c>
      <c r="V241" s="5">
        <f>VLOOKUP(A241,Planilha1!B:E,4,0)</f>
        <v>1.0384020099151063</v>
      </c>
    </row>
    <row r="242" spans="1:22" x14ac:dyDescent="0.3">
      <c r="A242" t="str">
        <f t="shared" si="6"/>
        <v>DOCE DE LEITEITAMBÉ</v>
      </c>
      <c r="B242" t="str">
        <f t="shared" si="7"/>
        <v>5022847DOCE DE LEITEITAMBÉ</v>
      </c>
      <c r="C242" s="5" t="s">
        <v>226</v>
      </c>
      <c r="D242" s="5" t="s">
        <v>227</v>
      </c>
      <c r="E242" s="5" t="s">
        <v>231</v>
      </c>
      <c r="F242" s="5">
        <v>5022847</v>
      </c>
      <c r="G242" s="5" t="s">
        <v>232</v>
      </c>
      <c r="H242" s="5" t="s">
        <v>30</v>
      </c>
      <c r="I242" s="5" t="s">
        <v>27</v>
      </c>
      <c r="J242" s="5" t="s">
        <v>46</v>
      </c>
      <c r="K242" s="6">
        <v>0</v>
      </c>
      <c r="L242" s="7">
        <v>197.24</v>
      </c>
      <c r="M242" s="8">
        <v>47.013333333333335</v>
      </c>
      <c r="N242" s="8">
        <v>0</v>
      </c>
      <c r="O242" s="8">
        <v>387</v>
      </c>
      <c r="P242" s="8">
        <v>0</v>
      </c>
      <c r="Q242" s="8">
        <v>0</v>
      </c>
      <c r="R242" s="8">
        <v>0</v>
      </c>
      <c r="S242" s="8">
        <v>0</v>
      </c>
      <c r="T242" s="5">
        <v>0</v>
      </c>
      <c r="U242" s="5">
        <v>0</v>
      </c>
      <c r="V242" s="5">
        <f>VLOOKUP(A242,Planilha1!B:E,4,0)</f>
        <v>5.8210743907543439</v>
      </c>
    </row>
    <row r="243" spans="1:22" x14ac:dyDescent="0.3">
      <c r="A243" t="str">
        <f t="shared" si="6"/>
        <v>LEITE CONDENSADOITAMBÉ</v>
      </c>
      <c r="B243" t="str">
        <f t="shared" si="7"/>
        <v>5176952LEITE CONDENSADOITAMBÉ</v>
      </c>
      <c r="C243" s="5" t="s">
        <v>226</v>
      </c>
      <c r="D243" s="5" t="s">
        <v>227</v>
      </c>
      <c r="E243" s="5" t="s">
        <v>231</v>
      </c>
      <c r="F243" s="5">
        <v>5176952</v>
      </c>
      <c r="G243" s="5" t="s">
        <v>233</v>
      </c>
      <c r="H243" s="5" t="s">
        <v>30</v>
      </c>
      <c r="I243" s="5" t="s">
        <v>27</v>
      </c>
      <c r="J243" s="5" t="s">
        <v>33</v>
      </c>
      <c r="K243" s="6">
        <v>0</v>
      </c>
      <c r="L243" s="7">
        <v>452</v>
      </c>
      <c r="M243" s="8">
        <v>2898.01</v>
      </c>
      <c r="N243" s="8">
        <v>1498.6666666666667</v>
      </c>
      <c r="O243" s="8">
        <v>1203.9808303450536</v>
      </c>
      <c r="P243" s="8">
        <v>0</v>
      </c>
      <c r="Q243" s="8">
        <v>0</v>
      </c>
      <c r="R243" s="8">
        <v>0</v>
      </c>
      <c r="S243" s="8">
        <v>0</v>
      </c>
      <c r="T243" s="5">
        <v>0</v>
      </c>
      <c r="U243" s="5">
        <v>0</v>
      </c>
      <c r="V243" s="5">
        <f>VLOOKUP(A243,Planilha1!B:E,4,0)</f>
        <v>1.4766792698630664</v>
      </c>
    </row>
    <row r="244" spans="1:22" x14ac:dyDescent="0.3">
      <c r="A244" t="str">
        <f t="shared" si="6"/>
        <v>CREME UHTITAMBÉ</v>
      </c>
      <c r="B244" t="str">
        <f t="shared" si="7"/>
        <v>5176952CREME UHTITAMBÉ</v>
      </c>
      <c r="C244" s="5" t="s">
        <v>226</v>
      </c>
      <c r="D244" s="5" t="s">
        <v>227</v>
      </c>
      <c r="E244" s="5" t="s">
        <v>231</v>
      </c>
      <c r="F244" s="5">
        <v>5176952</v>
      </c>
      <c r="G244" s="5" t="s">
        <v>233</v>
      </c>
      <c r="H244" s="5" t="s">
        <v>30</v>
      </c>
      <c r="I244" s="5" t="s">
        <v>27</v>
      </c>
      <c r="J244" s="5" t="s">
        <v>34</v>
      </c>
      <c r="K244" s="6">
        <v>0</v>
      </c>
      <c r="L244" s="7">
        <v>0</v>
      </c>
      <c r="M244" s="8">
        <v>210</v>
      </c>
      <c r="N244" s="8">
        <v>120</v>
      </c>
      <c r="O244" s="8">
        <v>770</v>
      </c>
      <c r="P244" s="8">
        <v>0</v>
      </c>
      <c r="Q244" s="8">
        <v>0</v>
      </c>
      <c r="R244" s="8">
        <v>0</v>
      </c>
      <c r="S244" s="8">
        <v>0</v>
      </c>
      <c r="T244" s="5">
        <v>0</v>
      </c>
      <c r="U244" s="5">
        <v>0</v>
      </c>
      <c r="V244" s="5">
        <f>VLOOKUP(A244,Planilha1!B:E,4,0)</f>
        <v>1.2362540170747773</v>
      </c>
    </row>
    <row r="245" spans="1:22" x14ac:dyDescent="0.3">
      <c r="A245" t="str">
        <f t="shared" si="6"/>
        <v>DOCE DE LEITEITAMBÉ</v>
      </c>
      <c r="B245" t="str">
        <f t="shared" si="7"/>
        <v>5176952DOCE DE LEITEITAMBÉ</v>
      </c>
      <c r="C245" s="5" t="s">
        <v>226</v>
      </c>
      <c r="D245" s="5" t="s">
        <v>227</v>
      </c>
      <c r="E245" s="5" t="s">
        <v>231</v>
      </c>
      <c r="F245" s="5">
        <v>5176952</v>
      </c>
      <c r="G245" s="5" t="s">
        <v>233</v>
      </c>
      <c r="H245" s="5" t="s">
        <v>30</v>
      </c>
      <c r="I245" s="5" t="s">
        <v>27</v>
      </c>
      <c r="J245" s="5" t="s">
        <v>46</v>
      </c>
      <c r="K245" s="6">
        <v>0</v>
      </c>
      <c r="L245" s="7">
        <v>147.24</v>
      </c>
      <c r="M245" s="8">
        <v>165.57333333333335</v>
      </c>
      <c r="N245" s="8">
        <v>190.66666666666669</v>
      </c>
      <c r="O245" s="8">
        <v>328.37697335370132</v>
      </c>
      <c r="P245" s="8">
        <v>0</v>
      </c>
      <c r="Q245" s="8">
        <v>0</v>
      </c>
      <c r="R245" s="8">
        <v>0</v>
      </c>
      <c r="S245" s="8">
        <v>57</v>
      </c>
      <c r="T245" s="5">
        <v>57</v>
      </c>
      <c r="U245" s="5">
        <v>0</v>
      </c>
      <c r="V245" s="5">
        <f>VLOOKUP(A245,Planilha1!B:E,4,0)</f>
        <v>5.8210743907543439</v>
      </c>
    </row>
    <row r="246" spans="1:22" x14ac:dyDescent="0.3">
      <c r="A246" t="str">
        <f t="shared" si="6"/>
        <v>LEITE CONDENSADOITAMBÉ</v>
      </c>
      <c r="B246" t="str">
        <f t="shared" si="7"/>
        <v>5189644LEITE CONDENSADOITAMBÉ</v>
      </c>
      <c r="C246" s="5" t="s">
        <v>226</v>
      </c>
      <c r="D246" s="5" t="s">
        <v>227</v>
      </c>
      <c r="E246" s="5" t="s">
        <v>231</v>
      </c>
      <c r="F246" s="5">
        <v>5189644</v>
      </c>
      <c r="G246" s="5" t="s">
        <v>234</v>
      </c>
      <c r="H246" s="5" t="s">
        <v>30</v>
      </c>
      <c r="I246" s="5" t="s">
        <v>27</v>
      </c>
      <c r="J246" s="5" t="s">
        <v>33</v>
      </c>
      <c r="K246" s="6">
        <v>0</v>
      </c>
      <c r="L246" s="7">
        <v>0</v>
      </c>
      <c r="M246" s="8">
        <v>57.43416666666667</v>
      </c>
      <c r="N246" s="8">
        <v>114.66666666666666</v>
      </c>
      <c r="O246" s="8">
        <v>104.99811003401939</v>
      </c>
      <c r="P246" s="8">
        <v>0</v>
      </c>
      <c r="Q246" s="8">
        <v>0</v>
      </c>
      <c r="R246" s="8">
        <v>0</v>
      </c>
      <c r="S246" s="8">
        <v>111</v>
      </c>
      <c r="T246" s="5">
        <v>111</v>
      </c>
      <c r="U246" s="5">
        <v>111</v>
      </c>
      <c r="V246" s="5">
        <f>VLOOKUP(A246,Planilha1!B:E,4,0)</f>
        <v>1.4766792698630664</v>
      </c>
    </row>
    <row r="247" spans="1:22" x14ac:dyDescent="0.3">
      <c r="A247" t="str">
        <f t="shared" si="6"/>
        <v>CREME UHTITAMBÉ</v>
      </c>
      <c r="B247" t="str">
        <f t="shared" si="7"/>
        <v>5189644CREME UHTITAMBÉ</v>
      </c>
      <c r="C247" s="5" t="s">
        <v>226</v>
      </c>
      <c r="D247" s="5" t="s">
        <v>227</v>
      </c>
      <c r="E247" s="5" t="s">
        <v>231</v>
      </c>
      <c r="F247" s="5">
        <v>5189644</v>
      </c>
      <c r="G247" s="5" t="s">
        <v>234</v>
      </c>
      <c r="H247" s="5" t="s">
        <v>30</v>
      </c>
      <c r="I247" s="5" t="s">
        <v>27</v>
      </c>
      <c r="J247" s="5" t="s">
        <v>34</v>
      </c>
      <c r="K247" s="6">
        <v>0</v>
      </c>
      <c r="L247" s="7">
        <v>0</v>
      </c>
      <c r="M247" s="8">
        <v>5.62</v>
      </c>
      <c r="N247" s="8">
        <v>11.333333333333332</v>
      </c>
      <c r="O247" s="8">
        <v>450</v>
      </c>
      <c r="P247" s="8">
        <v>0</v>
      </c>
      <c r="Q247" s="8">
        <v>0</v>
      </c>
      <c r="R247" s="8">
        <v>0</v>
      </c>
      <c r="S247" s="8">
        <v>23</v>
      </c>
      <c r="T247" s="5">
        <v>23</v>
      </c>
      <c r="U247" s="5">
        <v>23</v>
      </c>
      <c r="V247" s="5">
        <f>VLOOKUP(A247,Planilha1!B:E,4,0)</f>
        <v>1.2362540170747773</v>
      </c>
    </row>
    <row r="248" spans="1:22" x14ac:dyDescent="0.3">
      <c r="A248" t="str">
        <f t="shared" si="6"/>
        <v>DOCE DE LEITEITAMBÉ</v>
      </c>
      <c r="B248" t="str">
        <f t="shared" si="7"/>
        <v>5189644DOCE DE LEITEITAMBÉ</v>
      </c>
      <c r="C248" s="5" t="s">
        <v>226</v>
      </c>
      <c r="D248" s="5" t="s">
        <v>227</v>
      </c>
      <c r="E248" s="5" t="s">
        <v>231</v>
      </c>
      <c r="F248" s="5">
        <v>5189644</v>
      </c>
      <c r="G248" s="5" t="s">
        <v>234</v>
      </c>
      <c r="H248" s="5" t="s">
        <v>30</v>
      </c>
      <c r="I248" s="5" t="s">
        <v>27</v>
      </c>
      <c r="J248" s="5" t="s">
        <v>46</v>
      </c>
      <c r="K248" s="6">
        <v>0</v>
      </c>
      <c r="L248" s="7">
        <v>0</v>
      </c>
      <c r="M248" s="8">
        <v>27.026666666666667</v>
      </c>
      <c r="N248" s="8">
        <v>53.666666666666664</v>
      </c>
      <c r="O248" s="8">
        <v>115.67825197687205</v>
      </c>
      <c r="P248" s="8">
        <v>0</v>
      </c>
      <c r="Q248" s="8">
        <v>0</v>
      </c>
      <c r="R248" s="8">
        <v>0</v>
      </c>
      <c r="S248" s="8">
        <v>0</v>
      </c>
      <c r="T248" s="5">
        <v>0</v>
      </c>
      <c r="U248" s="5">
        <v>0</v>
      </c>
      <c r="V248" s="5">
        <f>VLOOKUP(A248,Planilha1!B:E,4,0)</f>
        <v>5.8210743907543439</v>
      </c>
    </row>
    <row r="249" spans="1:22" x14ac:dyDescent="0.3">
      <c r="A249" t="str">
        <f t="shared" si="6"/>
        <v>COMPOSTOITAMBÉ</v>
      </c>
      <c r="B249" t="str">
        <f t="shared" si="7"/>
        <v>5195605COMPOSTOITAMBÉ</v>
      </c>
      <c r="C249" s="5" t="s">
        <v>226</v>
      </c>
      <c r="D249" s="5" t="s">
        <v>227</v>
      </c>
      <c r="E249" s="5" t="s">
        <v>231</v>
      </c>
      <c r="F249" s="5">
        <v>5195605</v>
      </c>
      <c r="G249" s="5" t="s">
        <v>235</v>
      </c>
      <c r="H249" s="5" t="s">
        <v>30</v>
      </c>
      <c r="I249" s="5" t="s">
        <v>27</v>
      </c>
      <c r="J249" s="5" t="s">
        <v>26</v>
      </c>
      <c r="K249" s="6">
        <v>0</v>
      </c>
      <c r="L249" s="7">
        <v>100</v>
      </c>
      <c r="M249" s="8">
        <v>216.66666666666663</v>
      </c>
      <c r="N249" s="8">
        <v>333.33333333333331</v>
      </c>
      <c r="O249" s="8">
        <v>1000</v>
      </c>
      <c r="P249" s="8">
        <v>0</v>
      </c>
      <c r="Q249" s="8">
        <v>500</v>
      </c>
      <c r="R249" s="8">
        <v>0</v>
      </c>
      <c r="S249" s="8">
        <v>500</v>
      </c>
      <c r="T249" s="5">
        <v>500</v>
      </c>
      <c r="U249" s="5">
        <v>0</v>
      </c>
      <c r="V249" s="5">
        <f>VLOOKUP(A249,Planilha1!B:E,4,0)</f>
        <v>0.15618217875936719</v>
      </c>
    </row>
    <row r="250" spans="1:22" x14ac:dyDescent="0.3">
      <c r="A250" t="str">
        <f t="shared" si="6"/>
        <v>LEITE CONDENSADOITAMBÉ</v>
      </c>
      <c r="B250" t="str">
        <f t="shared" si="7"/>
        <v>5195605LEITE CONDENSADOITAMBÉ</v>
      </c>
      <c r="C250" s="5" t="s">
        <v>226</v>
      </c>
      <c r="D250" s="5" t="s">
        <v>227</v>
      </c>
      <c r="E250" s="5" t="s">
        <v>231</v>
      </c>
      <c r="F250" s="5">
        <v>5195605</v>
      </c>
      <c r="G250" s="5" t="s">
        <v>235</v>
      </c>
      <c r="H250" s="5" t="s">
        <v>30</v>
      </c>
      <c r="I250" s="5" t="s">
        <v>27</v>
      </c>
      <c r="J250" s="5" t="s">
        <v>33</v>
      </c>
      <c r="K250" s="6">
        <v>0</v>
      </c>
      <c r="L250" s="7">
        <v>484.8</v>
      </c>
      <c r="M250" s="8">
        <v>80.8</v>
      </c>
      <c r="N250" s="8">
        <v>0</v>
      </c>
      <c r="O250" s="8">
        <v>132.99760604309122</v>
      </c>
      <c r="P250" s="8">
        <v>0</v>
      </c>
      <c r="Q250" s="8">
        <v>0</v>
      </c>
      <c r="R250" s="8">
        <v>0</v>
      </c>
      <c r="S250" s="8">
        <v>0</v>
      </c>
      <c r="T250" s="5">
        <v>0</v>
      </c>
      <c r="U250" s="5">
        <v>0</v>
      </c>
      <c r="V250" s="5">
        <f>VLOOKUP(A250,Planilha1!B:E,4,0)</f>
        <v>1.4766792698630664</v>
      </c>
    </row>
    <row r="251" spans="1:22" x14ac:dyDescent="0.3">
      <c r="A251" t="str">
        <f t="shared" si="6"/>
        <v>DOCE DE LEITEITAMBÉ</v>
      </c>
      <c r="B251" t="str">
        <f t="shared" si="7"/>
        <v>5213484DOCE DE LEITEITAMBÉ</v>
      </c>
      <c r="C251" s="5" t="s">
        <v>226</v>
      </c>
      <c r="D251" s="5" t="s">
        <v>227</v>
      </c>
      <c r="E251" s="5" t="s">
        <v>231</v>
      </c>
      <c r="F251" s="5">
        <v>5213484</v>
      </c>
      <c r="G251" s="5" t="s">
        <v>236</v>
      </c>
      <c r="H251" s="5" t="s">
        <v>30</v>
      </c>
      <c r="I251" s="5" t="s">
        <v>27</v>
      </c>
      <c r="J251" s="5" t="s">
        <v>46</v>
      </c>
      <c r="K251" s="6">
        <v>0</v>
      </c>
      <c r="L251" s="7">
        <v>0</v>
      </c>
      <c r="M251" s="8">
        <v>66.666666666666671</v>
      </c>
      <c r="N251" s="8">
        <v>66.666666666666671</v>
      </c>
      <c r="O251" s="8">
        <v>201.50405183068034</v>
      </c>
      <c r="P251" s="8">
        <v>0</v>
      </c>
      <c r="Q251" s="8">
        <v>0</v>
      </c>
      <c r="R251" s="8">
        <v>0</v>
      </c>
      <c r="S251" s="8">
        <v>60</v>
      </c>
      <c r="T251" s="5">
        <v>60</v>
      </c>
      <c r="U251" s="5">
        <v>60</v>
      </c>
      <c r="V251" s="5">
        <f>VLOOKUP(A251,Planilha1!B:E,4,0)</f>
        <v>5.8210743907543439</v>
      </c>
    </row>
    <row r="252" spans="1:22" x14ac:dyDescent="0.3">
      <c r="A252" t="str">
        <f t="shared" si="6"/>
        <v>BLISTERITAMBÉ</v>
      </c>
      <c r="B252" t="str">
        <f t="shared" si="7"/>
        <v>5316223BLISTERITAMBÉ</v>
      </c>
      <c r="C252" s="5" t="s">
        <v>226</v>
      </c>
      <c r="D252" s="5" t="s">
        <v>227</v>
      </c>
      <c r="E252" s="5" t="s">
        <v>231</v>
      </c>
      <c r="F252" s="5">
        <v>5316223</v>
      </c>
      <c r="G252" s="5" t="s">
        <v>237</v>
      </c>
      <c r="H252" s="5" t="s">
        <v>30</v>
      </c>
      <c r="I252" s="5" t="s">
        <v>27</v>
      </c>
      <c r="J252" s="5" t="s">
        <v>199</v>
      </c>
      <c r="K252" s="6">
        <v>0</v>
      </c>
      <c r="L252" s="7">
        <v>0</v>
      </c>
      <c r="M252" s="8">
        <v>0</v>
      </c>
      <c r="N252" s="8">
        <v>0</v>
      </c>
      <c r="O252" s="8">
        <v>500.07144000182882</v>
      </c>
      <c r="P252" s="8">
        <v>0</v>
      </c>
      <c r="Q252" s="8">
        <v>0</v>
      </c>
      <c r="R252" s="8">
        <v>0</v>
      </c>
      <c r="S252" s="8">
        <v>0</v>
      </c>
      <c r="T252" s="5">
        <v>0</v>
      </c>
      <c r="U252" s="5">
        <v>0</v>
      </c>
      <c r="V252" s="5">
        <f>VLOOKUP(A252,Planilha1!B:E,4,0)</f>
        <v>10.339882680976428</v>
      </c>
    </row>
    <row r="253" spans="1:22" x14ac:dyDescent="0.3">
      <c r="A253" t="str">
        <f t="shared" si="6"/>
        <v>LEITE CONDENSADOITAMBÉ</v>
      </c>
      <c r="B253" t="str">
        <f t="shared" si="7"/>
        <v>5316223LEITE CONDENSADOITAMBÉ</v>
      </c>
      <c r="C253" s="5" t="s">
        <v>226</v>
      </c>
      <c r="D253" s="5" t="s">
        <v>227</v>
      </c>
      <c r="E253" s="5" t="s">
        <v>231</v>
      </c>
      <c r="F253" s="5">
        <v>5316223</v>
      </c>
      <c r="G253" s="5" t="s">
        <v>237</v>
      </c>
      <c r="H253" s="5" t="s">
        <v>30</v>
      </c>
      <c r="I253" s="5" t="s">
        <v>27</v>
      </c>
      <c r="J253" s="5" t="s">
        <v>33</v>
      </c>
      <c r="K253" s="6">
        <v>0</v>
      </c>
      <c r="L253" s="7">
        <v>18.96</v>
      </c>
      <c r="M253" s="8">
        <v>153.34</v>
      </c>
      <c r="N253" s="8">
        <v>24</v>
      </c>
      <c r="O253" s="8">
        <v>57.99895601879166</v>
      </c>
      <c r="P253" s="8">
        <v>0</v>
      </c>
      <c r="Q253" s="8">
        <v>0</v>
      </c>
      <c r="R253" s="8">
        <v>0</v>
      </c>
      <c r="S253" s="8">
        <v>0</v>
      </c>
      <c r="T253" s="5">
        <v>0</v>
      </c>
      <c r="U253" s="5">
        <v>0</v>
      </c>
      <c r="V253" s="5">
        <f>VLOOKUP(A253,Planilha1!B:E,4,0)</f>
        <v>1.4766792698630664</v>
      </c>
    </row>
    <row r="254" spans="1:22" x14ac:dyDescent="0.3">
      <c r="A254" t="str">
        <f t="shared" si="6"/>
        <v>CREME UHTITAMBÉ</v>
      </c>
      <c r="B254" t="str">
        <f t="shared" si="7"/>
        <v>5316223CREME UHTITAMBÉ</v>
      </c>
      <c r="C254" s="5" t="s">
        <v>226</v>
      </c>
      <c r="D254" s="5" t="s">
        <v>227</v>
      </c>
      <c r="E254" s="5" t="s">
        <v>231</v>
      </c>
      <c r="F254" s="5">
        <v>5316223</v>
      </c>
      <c r="G254" s="5" t="s">
        <v>237</v>
      </c>
      <c r="H254" s="5" t="s">
        <v>30</v>
      </c>
      <c r="I254" s="5" t="s">
        <v>27</v>
      </c>
      <c r="J254" s="5" t="s">
        <v>34</v>
      </c>
      <c r="K254" s="6">
        <v>0</v>
      </c>
      <c r="L254" s="7">
        <v>133.91999999999999</v>
      </c>
      <c r="M254" s="8">
        <v>111.64</v>
      </c>
      <c r="N254" s="8">
        <v>102.33333333333333</v>
      </c>
      <c r="O254" s="8">
        <v>90.999338914597772</v>
      </c>
      <c r="P254" s="8">
        <v>0</v>
      </c>
      <c r="Q254" s="8">
        <v>0</v>
      </c>
      <c r="R254" s="8">
        <v>0</v>
      </c>
      <c r="S254" s="8">
        <v>0</v>
      </c>
      <c r="T254" s="5">
        <v>0</v>
      </c>
      <c r="U254" s="5">
        <v>0</v>
      </c>
      <c r="V254" s="5">
        <f>VLOOKUP(A254,Planilha1!B:E,4,0)</f>
        <v>1.2362540170747773</v>
      </c>
    </row>
    <row r="255" spans="1:22" x14ac:dyDescent="0.3">
      <c r="A255" t="str">
        <f t="shared" si="6"/>
        <v>DOCE DE LEITEITAMBÉ</v>
      </c>
      <c r="B255" t="str">
        <f t="shared" si="7"/>
        <v>5316223DOCE DE LEITEITAMBÉ</v>
      </c>
      <c r="C255" s="5" t="s">
        <v>226</v>
      </c>
      <c r="D255" s="5" t="s">
        <v>227</v>
      </c>
      <c r="E255" s="5" t="s">
        <v>231</v>
      </c>
      <c r="F255" s="5">
        <v>5316223</v>
      </c>
      <c r="G255" s="5" t="s">
        <v>237</v>
      </c>
      <c r="H255" s="5" t="s">
        <v>30</v>
      </c>
      <c r="I255" s="5" t="s">
        <v>27</v>
      </c>
      <c r="J255" s="5" t="s">
        <v>46</v>
      </c>
      <c r="K255" s="6">
        <v>0</v>
      </c>
      <c r="L255" s="7">
        <v>328.8</v>
      </c>
      <c r="M255" s="8">
        <v>163.69333333333333</v>
      </c>
      <c r="N255" s="8">
        <v>182</v>
      </c>
      <c r="O255" s="8">
        <v>235.08806046912707</v>
      </c>
      <c r="P255" s="8">
        <v>0</v>
      </c>
      <c r="Q255" s="8">
        <v>0</v>
      </c>
      <c r="R255" s="8">
        <v>0</v>
      </c>
      <c r="S255" s="8">
        <v>0</v>
      </c>
      <c r="T255" s="5">
        <v>0</v>
      </c>
      <c r="U255" s="5">
        <v>0</v>
      </c>
      <c r="V255" s="5">
        <f>VLOOKUP(A255,Planilha1!B:E,4,0)</f>
        <v>5.8210743907543439</v>
      </c>
    </row>
    <row r="256" spans="1:22" x14ac:dyDescent="0.3">
      <c r="A256" t="str">
        <f t="shared" si="6"/>
        <v>BLISTERLACTALIS</v>
      </c>
      <c r="B256" t="str">
        <f t="shared" si="7"/>
        <v>5012643BLISTERLACTALIS</v>
      </c>
      <c r="C256" s="5" t="s">
        <v>226</v>
      </c>
      <c r="D256" s="5" t="s">
        <v>227</v>
      </c>
      <c r="E256" s="5" t="s">
        <v>1722</v>
      </c>
      <c r="F256" s="5">
        <v>5012643</v>
      </c>
      <c r="G256" s="5" t="s">
        <v>238</v>
      </c>
      <c r="H256" s="5" t="s">
        <v>30</v>
      </c>
      <c r="I256" s="5" t="s">
        <v>22</v>
      </c>
      <c r="J256" s="5" t="s">
        <v>199</v>
      </c>
      <c r="K256" s="6">
        <v>0</v>
      </c>
      <c r="L256" s="7">
        <v>57.6</v>
      </c>
      <c r="M256" s="8">
        <v>26.240000000000002</v>
      </c>
      <c r="N256" s="8">
        <v>26.88</v>
      </c>
      <c r="O256" s="8">
        <v>8.8893078038460001</v>
      </c>
      <c r="P256" s="8">
        <v>0</v>
      </c>
      <c r="Q256" s="8">
        <v>46.08</v>
      </c>
      <c r="R256" s="8">
        <v>0</v>
      </c>
      <c r="S256" s="8">
        <v>31</v>
      </c>
      <c r="T256" s="5">
        <v>31</v>
      </c>
      <c r="U256" s="5">
        <v>31</v>
      </c>
      <c r="V256" s="5">
        <f>VLOOKUP(A256,Planilha1!B:E,4,0)</f>
        <v>13.783871706210666</v>
      </c>
    </row>
    <row r="257" spans="1:22" x14ac:dyDescent="0.3">
      <c r="A257" t="str">
        <f t="shared" si="6"/>
        <v>LEITE UHTLACTALIS</v>
      </c>
      <c r="B257" t="str">
        <f t="shared" si="7"/>
        <v>5012643LEITE UHTLACTALIS</v>
      </c>
      <c r="C257" s="5" t="s">
        <v>226</v>
      </c>
      <c r="D257" s="5" t="s">
        <v>227</v>
      </c>
      <c r="E257" s="5" t="s">
        <v>1722</v>
      </c>
      <c r="F257" s="5">
        <v>5012643</v>
      </c>
      <c r="G257" s="5" t="s">
        <v>238</v>
      </c>
      <c r="H257" s="5" t="s">
        <v>30</v>
      </c>
      <c r="I257" s="5" t="s">
        <v>22</v>
      </c>
      <c r="J257" s="5" t="s">
        <v>156</v>
      </c>
      <c r="K257" s="6">
        <v>0</v>
      </c>
      <c r="L257" s="7">
        <v>0</v>
      </c>
      <c r="M257" s="8">
        <v>652</v>
      </c>
      <c r="N257" s="8">
        <v>104</v>
      </c>
      <c r="O257" s="8">
        <v>305.29034750181154</v>
      </c>
      <c r="P257" s="8">
        <v>0</v>
      </c>
      <c r="Q257" s="8">
        <v>0</v>
      </c>
      <c r="R257" s="8">
        <v>0</v>
      </c>
      <c r="S257" s="8">
        <v>0</v>
      </c>
      <c r="T257" s="5">
        <v>0</v>
      </c>
      <c r="U257" s="5">
        <v>305</v>
      </c>
      <c r="V257" s="5">
        <f>VLOOKUP(A257,Planilha1!B:E,4,0)</f>
        <v>0.37177548115779385</v>
      </c>
    </row>
    <row r="258" spans="1:22" x14ac:dyDescent="0.3">
      <c r="A258" t="str">
        <f t="shared" ref="A258:A321" si="8">J258&amp;I258</f>
        <v>BLISTERLACTALIS</v>
      </c>
      <c r="B258" t="str">
        <f t="shared" si="7"/>
        <v>5027929BLISTERLACTALIS</v>
      </c>
      <c r="C258" s="5" t="s">
        <v>226</v>
      </c>
      <c r="D258" s="5" t="s">
        <v>227</v>
      </c>
      <c r="E258" s="5" t="s">
        <v>1722</v>
      </c>
      <c r="F258" s="5">
        <v>5027929</v>
      </c>
      <c r="G258" s="5" t="s">
        <v>239</v>
      </c>
      <c r="H258" s="5" t="s">
        <v>30</v>
      </c>
      <c r="I258" s="5" t="s">
        <v>22</v>
      </c>
      <c r="J258" s="5" t="s">
        <v>199</v>
      </c>
      <c r="K258" s="6">
        <v>0</v>
      </c>
      <c r="L258" s="7">
        <v>61.2</v>
      </c>
      <c r="M258" s="8">
        <v>343.8</v>
      </c>
      <c r="N258" s="8">
        <v>311.91999999999996</v>
      </c>
      <c r="O258" s="8">
        <v>299.44970039757101</v>
      </c>
      <c r="P258" s="8">
        <v>0</v>
      </c>
      <c r="Q258" s="8">
        <v>441.6</v>
      </c>
      <c r="R258" s="8">
        <v>0</v>
      </c>
      <c r="S258" s="8">
        <v>199</v>
      </c>
      <c r="T258" s="5">
        <v>199</v>
      </c>
      <c r="U258" s="5">
        <v>299</v>
      </c>
      <c r="V258" s="5">
        <f>VLOOKUP(A258,Planilha1!B:E,4,0)</f>
        <v>13.783871706210666</v>
      </c>
    </row>
    <row r="259" spans="1:22" x14ac:dyDescent="0.3">
      <c r="A259" t="str">
        <f t="shared" si="8"/>
        <v>PARMESÃOLACTALIS</v>
      </c>
      <c r="B259" t="str">
        <f t="shared" ref="B259:B322" si="9">F259&amp;J259&amp;I259</f>
        <v>5027929PARMESÃOLACTALIS</v>
      </c>
      <c r="C259" s="5" t="s">
        <v>226</v>
      </c>
      <c r="D259" s="5" t="s">
        <v>227</v>
      </c>
      <c r="E259" s="5" t="s">
        <v>1722</v>
      </c>
      <c r="F259" s="5">
        <v>5027929</v>
      </c>
      <c r="G259" s="5" t="s">
        <v>239</v>
      </c>
      <c r="H259" s="5" t="s">
        <v>30</v>
      </c>
      <c r="I259" s="5" t="s">
        <v>22</v>
      </c>
      <c r="J259" s="5" t="s">
        <v>195</v>
      </c>
      <c r="K259" s="6">
        <v>0</v>
      </c>
      <c r="L259" s="7">
        <v>0</v>
      </c>
      <c r="M259" s="8">
        <v>61.830833333333331</v>
      </c>
      <c r="N259" s="8">
        <v>69.00333333333333</v>
      </c>
      <c r="O259" s="8">
        <v>53.079520039816352</v>
      </c>
      <c r="P259" s="8">
        <v>0</v>
      </c>
      <c r="Q259" s="8">
        <v>0</v>
      </c>
      <c r="R259" s="8">
        <v>0</v>
      </c>
      <c r="S259" s="8">
        <v>0</v>
      </c>
      <c r="T259" s="5">
        <v>53</v>
      </c>
      <c r="U259" s="5">
        <v>53</v>
      </c>
      <c r="V259" s="5">
        <f>VLOOKUP(A259,Planilha1!B:E,4,0)</f>
        <v>6.310326960724681</v>
      </c>
    </row>
    <row r="260" spans="1:22" x14ac:dyDescent="0.3">
      <c r="A260" t="str">
        <f t="shared" si="8"/>
        <v>BLISTERLACTALIS</v>
      </c>
      <c r="B260" t="str">
        <f t="shared" si="9"/>
        <v>5052329BLISTERLACTALIS</v>
      </c>
      <c r="C260" s="5" t="s">
        <v>226</v>
      </c>
      <c r="D260" s="5" t="s">
        <v>227</v>
      </c>
      <c r="E260" s="5" t="s">
        <v>1722</v>
      </c>
      <c r="F260" s="5">
        <v>5052329</v>
      </c>
      <c r="G260" s="5" t="s">
        <v>240</v>
      </c>
      <c r="H260" s="5" t="s">
        <v>30</v>
      </c>
      <c r="I260" s="5" t="s">
        <v>22</v>
      </c>
      <c r="J260" s="5" t="s">
        <v>199</v>
      </c>
      <c r="K260" s="6">
        <v>0</v>
      </c>
      <c r="L260" s="7">
        <v>0</v>
      </c>
      <c r="M260" s="8">
        <v>56.519999999999996</v>
      </c>
      <c r="N260" s="8">
        <v>51.199999999999996</v>
      </c>
      <c r="O260" s="8">
        <v>35.831184378308052</v>
      </c>
      <c r="P260" s="8">
        <v>0</v>
      </c>
      <c r="Q260" s="8">
        <v>0</v>
      </c>
      <c r="R260" s="8">
        <v>0</v>
      </c>
      <c r="S260" s="8">
        <v>48</v>
      </c>
      <c r="T260" s="5">
        <v>48</v>
      </c>
      <c r="U260" s="5">
        <v>48</v>
      </c>
      <c r="V260" s="5">
        <f>VLOOKUP(A260,Planilha1!B:E,4,0)</f>
        <v>13.783871706210666</v>
      </c>
    </row>
    <row r="261" spans="1:22" x14ac:dyDescent="0.3">
      <c r="A261" t="str">
        <f t="shared" si="8"/>
        <v>BLISTERLACTALIS</v>
      </c>
      <c r="B261" t="str">
        <f t="shared" si="9"/>
        <v>5060465BLISTERLACTALIS</v>
      </c>
      <c r="C261" s="5" t="s">
        <v>226</v>
      </c>
      <c r="D261" s="5" t="s">
        <v>227</v>
      </c>
      <c r="E261" s="5" t="s">
        <v>1722</v>
      </c>
      <c r="F261" s="5">
        <v>5060465</v>
      </c>
      <c r="G261" s="5" t="s">
        <v>241</v>
      </c>
      <c r="H261" s="5" t="s">
        <v>30</v>
      </c>
      <c r="I261" s="5" t="s">
        <v>22</v>
      </c>
      <c r="J261" s="5" t="s">
        <v>199</v>
      </c>
      <c r="K261" s="6">
        <v>0</v>
      </c>
      <c r="L261" s="7">
        <v>9.6</v>
      </c>
      <c r="M261" s="8">
        <v>20.48</v>
      </c>
      <c r="N261" s="8">
        <v>18.559999999999999</v>
      </c>
      <c r="O261" s="8">
        <v>14.462837670231908</v>
      </c>
      <c r="P261" s="8">
        <v>0</v>
      </c>
      <c r="Q261" s="8">
        <v>19.2</v>
      </c>
      <c r="R261" s="8">
        <v>0</v>
      </c>
      <c r="S261" s="8">
        <v>23</v>
      </c>
      <c r="T261" s="5">
        <v>23</v>
      </c>
      <c r="U261" s="5">
        <v>23</v>
      </c>
      <c r="V261" s="5">
        <f>VLOOKUP(A261,Planilha1!B:E,4,0)</f>
        <v>13.783871706210666</v>
      </c>
    </row>
    <row r="262" spans="1:22" x14ac:dyDescent="0.3">
      <c r="A262" t="str">
        <f t="shared" si="8"/>
        <v>PARMESÃOLACTALIS</v>
      </c>
      <c r="B262" t="str">
        <f t="shared" si="9"/>
        <v>5060465PARMESÃOLACTALIS</v>
      </c>
      <c r="C262" s="5" t="s">
        <v>226</v>
      </c>
      <c r="D262" s="5" t="s">
        <v>227</v>
      </c>
      <c r="E262" s="5" t="s">
        <v>1722</v>
      </c>
      <c r="F262" s="5">
        <v>5060465</v>
      </c>
      <c r="G262" s="5" t="s">
        <v>241</v>
      </c>
      <c r="H262" s="5" t="s">
        <v>30</v>
      </c>
      <c r="I262" s="5" t="s">
        <v>22</v>
      </c>
      <c r="J262" s="5" t="s">
        <v>195</v>
      </c>
      <c r="K262" s="6">
        <v>0</v>
      </c>
      <c r="L262" s="7">
        <v>0</v>
      </c>
      <c r="M262" s="8">
        <v>49.131666666666668</v>
      </c>
      <c r="N262" s="8">
        <v>28.683333333333334</v>
      </c>
      <c r="O262" s="8">
        <v>52.457841333270814</v>
      </c>
      <c r="P262" s="8">
        <v>0</v>
      </c>
      <c r="Q262" s="8">
        <v>0</v>
      </c>
      <c r="R262" s="8">
        <v>0</v>
      </c>
      <c r="S262" s="8">
        <v>0</v>
      </c>
      <c r="T262" s="5">
        <v>52</v>
      </c>
      <c r="U262" s="5">
        <v>52</v>
      </c>
      <c r="V262" s="5">
        <f>VLOOKUP(A262,Planilha1!B:E,4,0)</f>
        <v>6.310326960724681</v>
      </c>
    </row>
    <row r="263" spans="1:22" x14ac:dyDescent="0.3">
      <c r="A263" t="str">
        <f t="shared" si="8"/>
        <v>LEITE UHTLACTALIS</v>
      </c>
      <c r="B263" t="str">
        <f t="shared" si="9"/>
        <v>5060465LEITE UHTLACTALIS</v>
      </c>
      <c r="C263" s="5" t="s">
        <v>226</v>
      </c>
      <c r="D263" s="5" t="s">
        <v>227</v>
      </c>
      <c r="E263" s="5" t="s">
        <v>1722</v>
      </c>
      <c r="F263" s="5">
        <v>5060465</v>
      </c>
      <c r="G263" s="5" t="s">
        <v>241</v>
      </c>
      <c r="H263" s="5" t="s">
        <v>30</v>
      </c>
      <c r="I263" s="5" t="s">
        <v>22</v>
      </c>
      <c r="J263" s="5" t="s">
        <v>156</v>
      </c>
      <c r="K263" s="6">
        <v>0</v>
      </c>
      <c r="L263" s="7">
        <v>180</v>
      </c>
      <c r="M263" s="8">
        <v>134</v>
      </c>
      <c r="N263" s="8">
        <v>60</v>
      </c>
      <c r="O263" s="8">
        <v>152.64278826005969</v>
      </c>
      <c r="P263" s="8">
        <v>0</v>
      </c>
      <c r="Q263" s="8">
        <v>0</v>
      </c>
      <c r="R263" s="8">
        <v>0</v>
      </c>
      <c r="S263" s="8">
        <v>0</v>
      </c>
      <c r="T263" s="5">
        <v>0</v>
      </c>
      <c r="U263" s="5">
        <v>900</v>
      </c>
      <c r="V263" s="5">
        <f>VLOOKUP(A263,Planilha1!B:E,4,0)</f>
        <v>0.37177548115779385</v>
      </c>
    </row>
    <row r="264" spans="1:22" x14ac:dyDescent="0.3">
      <c r="A264" t="str">
        <f t="shared" si="8"/>
        <v>BLISTERLACTALIS</v>
      </c>
      <c r="B264" t="str">
        <f t="shared" si="9"/>
        <v>5117795BLISTERLACTALIS</v>
      </c>
      <c r="C264" s="5" t="s">
        <v>226</v>
      </c>
      <c r="D264" s="5" t="s">
        <v>227</v>
      </c>
      <c r="E264" s="5" t="s">
        <v>1722</v>
      </c>
      <c r="F264" s="5">
        <v>5117795</v>
      </c>
      <c r="G264" s="5" t="s">
        <v>242</v>
      </c>
      <c r="H264" s="5" t="s">
        <v>30</v>
      </c>
      <c r="I264" s="5" t="s">
        <v>22</v>
      </c>
      <c r="J264" s="5" t="s">
        <v>199</v>
      </c>
      <c r="K264" s="6">
        <v>0</v>
      </c>
      <c r="L264" s="7">
        <v>0</v>
      </c>
      <c r="M264" s="8">
        <v>0</v>
      </c>
      <c r="N264" s="8">
        <v>0</v>
      </c>
      <c r="O264" s="8">
        <v>19.01612817124548</v>
      </c>
      <c r="P264" s="8">
        <v>0</v>
      </c>
      <c r="Q264" s="8">
        <v>0</v>
      </c>
      <c r="R264" s="8">
        <v>0</v>
      </c>
      <c r="S264" s="8">
        <v>0</v>
      </c>
      <c r="T264" s="5">
        <v>19</v>
      </c>
      <c r="U264" s="5">
        <v>19</v>
      </c>
      <c r="V264" s="5">
        <f>VLOOKUP(A264,Planilha1!B:E,4,0)</f>
        <v>13.783871706210666</v>
      </c>
    </row>
    <row r="265" spans="1:22" x14ac:dyDescent="0.3">
      <c r="A265" t="str">
        <f t="shared" si="8"/>
        <v>LEITE UHTLACTALIS</v>
      </c>
      <c r="B265" t="str">
        <f t="shared" si="9"/>
        <v>5117795LEITE UHTLACTALIS</v>
      </c>
      <c r="C265" s="5" t="s">
        <v>226</v>
      </c>
      <c r="D265" s="5" t="s">
        <v>227</v>
      </c>
      <c r="E265" s="5" t="s">
        <v>1722</v>
      </c>
      <c r="F265" s="5">
        <v>5117795</v>
      </c>
      <c r="G265" s="5" t="s">
        <v>242</v>
      </c>
      <c r="H265" s="5" t="s">
        <v>30</v>
      </c>
      <c r="I265" s="5" t="s">
        <v>22</v>
      </c>
      <c r="J265" s="5" t="s">
        <v>156</v>
      </c>
      <c r="K265" s="6">
        <v>0</v>
      </c>
      <c r="L265" s="7">
        <v>0</v>
      </c>
      <c r="M265" s="8">
        <v>40</v>
      </c>
      <c r="N265" s="8">
        <v>0</v>
      </c>
      <c r="O265" s="8">
        <v>87.223087296693478</v>
      </c>
      <c r="P265" s="8">
        <v>0</v>
      </c>
      <c r="Q265" s="8">
        <v>480</v>
      </c>
      <c r="R265" s="8">
        <v>0</v>
      </c>
      <c r="S265" s="8">
        <v>0</v>
      </c>
      <c r="T265" s="5">
        <v>0</v>
      </c>
      <c r="U265" s="5">
        <v>0</v>
      </c>
      <c r="V265" s="5">
        <f>VLOOKUP(A265,Planilha1!B:E,4,0)</f>
        <v>0.37177548115779385</v>
      </c>
    </row>
    <row r="266" spans="1:22" x14ac:dyDescent="0.3">
      <c r="A266" t="str">
        <f t="shared" si="8"/>
        <v>BLISTERLACTALIS</v>
      </c>
      <c r="B266" t="str">
        <f t="shared" si="9"/>
        <v>5159092BLISTERLACTALIS</v>
      </c>
      <c r="C266" s="5" t="s">
        <v>226</v>
      </c>
      <c r="D266" s="5" t="s">
        <v>227</v>
      </c>
      <c r="E266" s="5" t="s">
        <v>1722</v>
      </c>
      <c r="F266" s="5">
        <v>5159092</v>
      </c>
      <c r="G266" s="5" t="s">
        <v>243</v>
      </c>
      <c r="H266" s="5" t="s">
        <v>30</v>
      </c>
      <c r="I266" s="5" t="s">
        <v>22</v>
      </c>
      <c r="J266" s="5" t="s">
        <v>199</v>
      </c>
      <c r="K266" s="6">
        <v>0</v>
      </c>
      <c r="L266" s="7">
        <v>172.8</v>
      </c>
      <c r="M266" s="8">
        <v>121.6</v>
      </c>
      <c r="N266" s="8">
        <v>57.6</v>
      </c>
      <c r="O266" s="8">
        <v>61.186021939968683</v>
      </c>
      <c r="P266" s="8">
        <v>0</v>
      </c>
      <c r="Q266" s="8">
        <v>0</v>
      </c>
      <c r="R266" s="8">
        <v>0</v>
      </c>
      <c r="S266" s="8">
        <v>10</v>
      </c>
      <c r="T266" s="5">
        <v>61</v>
      </c>
      <c r="U266" s="5">
        <v>77</v>
      </c>
      <c r="V266" s="5">
        <f>VLOOKUP(A266,Planilha1!B:E,4,0)</f>
        <v>13.783871706210666</v>
      </c>
    </row>
    <row r="267" spans="1:22" x14ac:dyDescent="0.3">
      <c r="A267" t="str">
        <f t="shared" si="8"/>
        <v>PARMESÃOLACTALIS</v>
      </c>
      <c r="B267" t="str">
        <f t="shared" si="9"/>
        <v>5159092PARMESÃOLACTALIS</v>
      </c>
      <c r="C267" s="5" t="s">
        <v>226</v>
      </c>
      <c r="D267" s="5" t="s">
        <v>227</v>
      </c>
      <c r="E267" s="5" t="s">
        <v>1722</v>
      </c>
      <c r="F267" s="5">
        <v>5159092</v>
      </c>
      <c r="G267" s="5" t="s">
        <v>243</v>
      </c>
      <c r="H267" s="5" t="s">
        <v>30</v>
      </c>
      <c r="I267" s="5" t="s">
        <v>22</v>
      </c>
      <c r="J267" s="5" t="s">
        <v>195</v>
      </c>
      <c r="K267" s="6">
        <v>0</v>
      </c>
      <c r="L267" s="7">
        <v>0</v>
      </c>
      <c r="M267" s="8">
        <v>150.1825</v>
      </c>
      <c r="N267" s="8">
        <v>133.69666666666666</v>
      </c>
      <c r="O267" s="8">
        <v>53.323750960244951</v>
      </c>
      <c r="P267" s="8">
        <v>0</v>
      </c>
      <c r="Q267" s="8">
        <v>0</v>
      </c>
      <c r="R267" s="8">
        <v>0</v>
      </c>
      <c r="S267" s="8">
        <v>99</v>
      </c>
      <c r="T267" s="5">
        <v>99</v>
      </c>
      <c r="U267" s="5">
        <v>199</v>
      </c>
      <c r="V267" s="5">
        <f>VLOOKUP(A267,Planilha1!B:E,4,0)</f>
        <v>6.310326960724681</v>
      </c>
    </row>
    <row r="268" spans="1:22" x14ac:dyDescent="0.3">
      <c r="A268" t="str">
        <f t="shared" si="8"/>
        <v>BLISTERLACTALIS</v>
      </c>
      <c r="B268" t="str">
        <f t="shared" si="9"/>
        <v>5221399BLISTERLACTALIS</v>
      </c>
      <c r="C268" s="5" t="s">
        <v>226</v>
      </c>
      <c r="D268" s="5" t="s">
        <v>227</v>
      </c>
      <c r="E268" s="5" t="s">
        <v>1722</v>
      </c>
      <c r="F268" s="5">
        <v>5221399</v>
      </c>
      <c r="G268" s="5" t="s">
        <v>244</v>
      </c>
      <c r="H268" s="5" t="s">
        <v>30</v>
      </c>
      <c r="I268" s="5" t="s">
        <v>22</v>
      </c>
      <c r="J268" s="5" t="s">
        <v>199</v>
      </c>
      <c r="K268" s="6">
        <v>0</v>
      </c>
      <c r="L268" s="7">
        <v>853.43999999999994</v>
      </c>
      <c r="M268" s="8">
        <v>667.84</v>
      </c>
      <c r="N268" s="8">
        <v>497.28000000000003</v>
      </c>
      <c r="O268" s="8">
        <v>412.74350325785269</v>
      </c>
      <c r="P268" s="8">
        <v>0</v>
      </c>
      <c r="Q268" s="8">
        <v>288</v>
      </c>
      <c r="R268" s="8">
        <v>0</v>
      </c>
      <c r="S268" s="8">
        <v>288</v>
      </c>
      <c r="T268" s="5">
        <v>413</v>
      </c>
      <c r="U268" s="5">
        <v>288</v>
      </c>
      <c r="V268" s="5">
        <f>VLOOKUP(A268,Planilha1!B:E,4,0)</f>
        <v>13.783871706210666</v>
      </c>
    </row>
    <row r="269" spans="1:22" x14ac:dyDescent="0.3">
      <c r="A269" t="str">
        <f t="shared" si="8"/>
        <v>MANTEIGA 5KGLACTALIS</v>
      </c>
      <c r="B269" t="str">
        <f t="shared" si="9"/>
        <v>5221399MANTEIGA 5KGLACTALIS</v>
      </c>
      <c r="C269" s="5" t="s">
        <v>226</v>
      </c>
      <c r="D269" s="5" t="s">
        <v>227</v>
      </c>
      <c r="E269" s="5" t="s">
        <v>1722</v>
      </c>
      <c r="F269" s="5">
        <v>5221399</v>
      </c>
      <c r="G269" s="5" t="s">
        <v>244</v>
      </c>
      <c r="H269" s="5" t="s">
        <v>30</v>
      </c>
      <c r="I269" s="5" t="s">
        <v>22</v>
      </c>
      <c r="J269" s="5" t="s">
        <v>60</v>
      </c>
      <c r="K269" s="6">
        <v>0</v>
      </c>
      <c r="L269" s="7">
        <v>400</v>
      </c>
      <c r="M269" s="8">
        <v>350.00000000000006</v>
      </c>
      <c r="N269" s="8">
        <v>266.66666666666669</v>
      </c>
      <c r="O269" s="8">
        <v>403.22676063705313</v>
      </c>
      <c r="P269" s="8">
        <v>0</v>
      </c>
      <c r="Q269" s="8">
        <v>0</v>
      </c>
      <c r="R269" s="8">
        <v>0</v>
      </c>
      <c r="S269" s="8">
        <v>400</v>
      </c>
      <c r="T269" s="5">
        <v>400</v>
      </c>
      <c r="U269" s="5">
        <v>400</v>
      </c>
      <c r="V269" s="5">
        <f>VLOOKUP(A269,Planilha1!B:E,4,0)</f>
        <v>11.476197020267191</v>
      </c>
    </row>
    <row r="270" spans="1:22" x14ac:dyDescent="0.3">
      <c r="A270" t="str">
        <f t="shared" si="8"/>
        <v>BLISTERLACTALIS</v>
      </c>
      <c r="B270" t="str">
        <f t="shared" si="9"/>
        <v>5259851BLISTERLACTALIS</v>
      </c>
      <c r="C270" s="5" t="s">
        <v>226</v>
      </c>
      <c r="D270" s="5" t="s">
        <v>227</v>
      </c>
      <c r="E270" s="5" t="s">
        <v>1722</v>
      </c>
      <c r="F270" s="5">
        <v>5259851</v>
      </c>
      <c r="G270" s="5" t="s">
        <v>245</v>
      </c>
      <c r="H270" s="5" t="s">
        <v>30</v>
      </c>
      <c r="I270" s="5" t="s">
        <v>22</v>
      </c>
      <c r="J270" s="5" t="s">
        <v>199</v>
      </c>
      <c r="K270" s="6">
        <v>0</v>
      </c>
      <c r="L270" s="7">
        <v>953.76</v>
      </c>
      <c r="M270" s="8">
        <v>903.56000000000006</v>
      </c>
      <c r="N270" s="8">
        <v>1059.04</v>
      </c>
      <c r="O270" s="8">
        <v>501.13590827441698</v>
      </c>
      <c r="P270" s="8">
        <v>0</v>
      </c>
      <c r="Q270" s="8">
        <v>446.4</v>
      </c>
      <c r="R270" s="8">
        <v>0</v>
      </c>
      <c r="S270" s="8">
        <v>662</v>
      </c>
      <c r="T270" s="5">
        <v>446</v>
      </c>
      <c r="U270" s="5">
        <v>230</v>
      </c>
      <c r="V270" s="5">
        <f>VLOOKUP(A270,Planilha1!B:E,4,0)</f>
        <v>13.783871706210666</v>
      </c>
    </row>
    <row r="271" spans="1:22" x14ac:dyDescent="0.3">
      <c r="A271" t="str">
        <f t="shared" si="8"/>
        <v>MANTEIGA 5KGLACTALIS</v>
      </c>
      <c r="B271" t="str">
        <f t="shared" si="9"/>
        <v>5259851MANTEIGA 5KGLACTALIS</v>
      </c>
      <c r="C271" s="5" t="s">
        <v>226</v>
      </c>
      <c r="D271" s="5" t="s">
        <v>227</v>
      </c>
      <c r="E271" s="5" t="s">
        <v>1722</v>
      </c>
      <c r="F271" s="5">
        <v>5259851</v>
      </c>
      <c r="G271" s="5" t="s">
        <v>245</v>
      </c>
      <c r="H271" s="5" t="s">
        <v>30</v>
      </c>
      <c r="I271" s="5" t="s">
        <v>22</v>
      </c>
      <c r="J271" s="5" t="s">
        <v>60</v>
      </c>
      <c r="K271" s="6">
        <v>0</v>
      </c>
      <c r="L271" s="7">
        <v>495</v>
      </c>
      <c r="M271" s="8">
        <v>416.66666666666663</v>
      </c>
      <c r="N271" s="8">
        <v>333.33333333333331</v>
      </c>
      <c r="O271" s="8">
        <v>1577.8457004798086</v>
      </c>
      <c r="P271" s="8">
        <v>0</v>
      </c>
      <c r="Q271" s="8">
        <v>400</v>
      </c>
      <c r="R271" s="8">
        <v>0</v>
      </c>
      <c r="S271" s="8">
        <v>700</v>
      </c>
      <c r="T271" s="5">
        <v>1600</v>
      </c>
      <c r="U271" s="5">
        <v>700</v>
      </c>
      <c r="V271" s="5">
        <f>VLOOKUP(A271,Planilha1!B:E,4,0)</f>
        <v>11.476197020267191</v>
      </c>
    </row>
    <row r="272" spans="1:22" x14ac:dyDescent="0.3">
      <c r="A272" t="str">
        <f t="shared" si="8"/>
        <v>MANTEIGA 5KGLACTALIS</v>
      </c>
      <c r="B272" t="str">
        <f t="shared" si="9"/>
        <v>5311373MANTEIGA 5KGLACTALIS</v>
      </c>
      <c r="C272" s="5" t="s">
        <v>226</v>
      </c>
      <c r="D272" s="5" t="s">
        <v>227</v>
      </c>
      <c r="E272" s="5" t="s">
        <v>1722</v>
      </c>
      <c r="F272" s="5">
        <v>5311373</v>
      </c>
      <c r="G272" s="5" t="s">
        <v>246</v>
      </c>
      <c r="H272" s="5" t="s">
        <v>30</v>
      </c>
      <c r="I272" s="5" t="s">
        <v>22</v>
      </c>
      <c r="J272" s="5" t="s">
        <v>60</v>
      </c>
      <c r="K272" s="6">
        <v>0</v>
      </c>
      <c r="L272" s="7">
        <v>0</v>
      </c>
      <c r="M272" s="8">
        <v>0</v>
      </c>
      <c r="N272" s="8">
        <v>0</v>
      </c>
      <c r="O272" s="8">
        <v>52.599122052741599</v>
      </c>
      <c r="P272" s="8">
        <v>0</v>
      </c>
      <c r="Q272" s="8">
        <v>0</v>
      </c>
      <c r="R272" s="8">
        <v>0</v>
      </c>
      <c r="S272" s="8">
        <v>0</v>
      </c>
      <c r="T272" s="5">
        <v>53</v>
      </c>
      <c r="U272" s="5">
        <v>53</v>
      </c>
      <c r="V272" s="5">
        <f>VLOOKUP(A272,Planilha1!B:E,4,0)</f>
        <v>11.476197020267191</v>
      </c>
    </row>
    <row r="273" spans="1:22" x14ac:dyDescent="0.3">
      <c r="A273" t="str">
        <f t="shared" si="8"/>
        <v>BLISTERLACTALIS</v>
      </c>
      <c r="B273" t="str">
        <f t="shared" si="9"/>
        <v>5333911BLISTERLACTALIS</v>
      </c>
      <c r="C273" s="5" t="s">
        <v>226</v>
      </c>
      <c r="D273" s="5" t="s">
        <v>227</v>
      </c>
      <c r="E273" s="5" t="s">
        <v>1722</v>
      </c>
      <c r="F273" s="5">
        <v>5333911</v>
      </c>
      <c r="G273" s="5" t="s">
        <v>247</v>
      </c>
      <c r="H273" s="5" t="s">
        <v>30</v>
      </c>
      <c r="I273" s="5" t="s">
        <v>22</v>
      </c>
      <c r="J273" s="5" t="s">
        <v>199</v>
      </c>
      <c r="K273" s="6">
        <v>0</v>
      </c>
      <c r="L273" s="7">
        <v>17.28</v>
      </c>
      <c r="M273" s="8">
        <v>48</v>
      </c>
      <c r="N273" s="8">
        <v>44.800000000000004</v>
      </c>
      <c r="O273" s="8">
        <v>31.145640626227692</v>
      </c>
      <c r="P273" s="8">
        <v>0</v>
      </c>
      <c r="Q273" s="8">
        <v>0</v>
      </c>
      <c r="R273" s="8">
        <v>0</v>
      </c>
      <c r="S273" s="8">
        <v>38</v>
      </c>
      <c r="T273" s="5">
        <v>38</v>
      </c>
      <c r="U273" s="5">
        <v>38</v>
      </c>
      <c r="V273" s="5">
        <f>VLOOKUP(A273,Planilha1!B:E,4,0)</f>
        <v>13.783871706210666</v>
      </c>
    </row>
    <row r="274" spans="1:22" x14ac:dyDescent="0.3">
      <c r="A274" t="str">
        <f t="shared" si="8"/>
        <v>MANTEIGA 5KGLACTALIS</v>
      </c>
      <c r="B274" t="str">
        <f t="shared" si="9"/>
        <v>5214716MANTEIGA 5KGLACTALIS</v>
      </c>
      <c r="C274" s="5" t="s">
        <v>226</v>
      </c>
      <c r="D274" s="5" t="s">
        <v>227</v>
      </c>
      <c r="E274" s="5" t="s">
        <v>1722</v>
      </c>
      <c r="F274" s="5">
        <v>5214716</v>
      </c>
      <c r="G274" s="5" t="s">
        <v>248</v>
      </c>
      <c r="H274" s="5" t="s">
        <v>30</v>
      </c>
      <c r="I274" s="5" t="s">
        <v>22</v>
      </c>
      <c r="J274" s="5" t="s">
        <v>60</v>
      </c>
      <c r="K274" s="6">
        <v>0</v>
      </c>
      <c r="L274" s="7">
        <v>0</v>
      </c>
      <c r="M274" s="8">
        <v>6.6666666666666661</v>
      </c>
      <c r="N274" s="8">
        <v>3.3333333333333335</v>
      </c>
      <c r="O274" s="8">
        <v>3.5047124168133004</v>
      </c>
      <c r="P274" s="8">
        <v>0</v>
      </c>
      <c r="Q274" s="8">
        <v>0</v>
      </c>
      <c r="R274" s="8">
        <v>0</v>
      </c>
      <c r="S274" s="8">
        <v>10</v>
      </c>
      <c r="T274" s="5">
        <v>10</v>
      </c>
      <c r="U274" s="5">
        <v>5</v>
      </c>
      <c r="V274" s="5">
        <f>VLOOKUP(A274,Planilha1!B:E,4,0)</f>
        <v>11.476197020267191</v>
      </c>
    </row>
    <row r="275" spans="1:22" x14ac:dyDescent="0.3">
      <c r="A275" t="str">
        <f t="shared" si="8"/>
        <v>LEITE UHTLACTALIS</v>
      </c>
      <c r="B275" t="str">
        <f t="shared" si="9"/>
        <v>5353255LEITE UHTLACTALIS</v>
      </c>
      <c r="C275" s="5" t="s">
        <v>226</v>
      </c>
      <c r="D275" s="5" t="s">
        <v>227</v>
      </c>
      <c r="E275" s="5" t="s">
        <v>1722</v>
      </c>
      <c r="F275" s="5">
        <v>5353255</v>
      </c>
      <c r="G275" s="5" t="s">
        <v>249</v>
      </c>
      <c r="H275" s="5" t="s">
        <v>30</v>
      </c>
      <c r="I275" s="5" t="s">
        <v>22</v>
      </c>
      <c r="J275" s="5" t="s">
        <v>156</v>
      </c>
      <c r="K275" s="6">
        <v>0</v>
      </c>
      <c r="L275" s="7">
        <v>0</v>
      </c>
      <c r="M275" s="8">
        <v>172</v>
      </c>
      <c r="N275" s="8">
        <v>120</v>
      </c>
      <c r="O275" s="8">
        <v>56.688804466650915</v>
      </c>
      <c r="P275" s="8">
        <v>0</v>
      </c>
      <c r="Q275" s="8">
        <v>0</v>
      </c>
      <c r="R275" s="8">
        <v>0</v>
      </c>
      <c r="S275" s="8">
        <v>0</v>
      </c>
      <c r="T275" s="5">
        <v>0</v>
      </c>
      <c r="U275" s="5">
        <v>57</v>
      </c>
      <c r="V275" s="5">
        <f>VLOOKUP(A275,Planilha1!B:E,4,0)</f>
        <v>0.37177548115779385</v>
      </c>
    </row>
    <row r="276" spans="1:22" x14ac:dyDescent="0.3">
      <c r="A276" t="str">
        <f t="shared" si="8"/>
        <v>LEITE UHTLACTALIS</v>
      </c>
      <c r="B276" t="str">
        <f t="shared" si="9"/>
        <v>5354561LEITE UHTLACTALIS</v>
      </c>
      <c r="C276" s="5" t="s">
        <v>226</v>
      </c>
      <c r="D276" s="5" t="s">
        <v>227</v>
      </c>
      <c r="E276" s="5" t="s">
        <v>1722</v>
      </c>
      <c r="F276" s="5">
        <v>5354561</v>
      </c>
      <c r="G276" s="5" t="s">
        <v>250</v>
      </c>
      <c r="H276" s="5" t="s">
        <v>30</v>
      </c>
      <c r="I276" s="5" t="s">
        <v>22</v>
      </c>
      <c r="J276" s="5" t="s">
        <v>156</v>
      </c>
      <c r="K276" s="6">
        <v>0</v>
      </c>
      <c r="L276" s="7">
        <v>0</v>
      </c>
      <c r="M276" s="8">
        <v>130</v>
      </c>
      <c r="N276" s="8">
        <v>80</v>
      </c>
      <c r="O276" s="8">
        <v>32.709850481683105</v>
      </c>
      <c r="P276" s="8">
        <v>0</v>
      </c>
      <c r="Q276" s="8">
        <v>0</v>
      </c>
      <c r="R276" s="8">
        <v>0</v>
      </c>
      <c r="S276" s="8">
        <v>0</v>
      </c>
      <c r="T276" s="5">
        <v>0</v>
      </c>
      <c r="U276" s="5">
        <v>33</v>
      </c>
      <c r="V276" s="5">
        <f>VLOOKUP(A276,Planilha1!B:E,4,0)</f>
        <v>0.37177548115779385</v>
      </c>
    </row>
    <row r="277" spans="1:22" x14ac:dyDescent="0.3">
      <c r="A277" t="str">
        <f t="shared" si="8"/>
        <v>LEITE UHTLACTALIS</v>
      </c>
      <c r="B277" t="str">
        <f t="shared" si="9"/>
        <v>5355680LEITE UHTLACTALIS</v>
      </c>
      <c r="C277" s="5" t="s">
        <v>226</v>
      </c>
      <c r="D277" s="5" t="s">
        <v>227</v>
      </c>
      <c r="E277" s="5" t="s">
        <v>1722</v>
      </c>
      <c r="F277" s="5">
        <v>5355680</v>
      </c>
      <c r="G277" s="5" t="s">
        <v>251</v>
      </c>
      <c r="H277" s="5" t="s">
        <v>30</v>
      </c>
      <c r="I277" s="5" t="s">
        <v>22</v>
      </c>
      <c r="J277" s="5" t="s">
        <v>156</v>
      </c>
      <c r="K277" s="6">
        <v>0</v>
      </c>
      <c r="L277" s="7">
        <v>0</v>
      </c>
      <c r="M277" s="8">
        <v>8</v>
      </c>
      <c r="N277" s="8">
        <v>0</v>
      </c>
      <c r="O277" s="8">
        <v>8.7213545333309099</v>
      </c>
      <c r="P277" s="8">
        <v>0</v>
      </c>
      <c r="Q277" s="8">
        <v>0</v>
      </c>
      <c r="R277" s="8">
        <v>0</v>
      </c>
      <c r="S277" s="8">
        <v>0</v>
      </c>
      <c r="T277" s="5">
        <v>0</v>
      </c>
      <c r="U277" s="5">
        <v>0</v>
      </c>
      <c r="V277" s="5">
        <f>VLOOKUP(A277,Planilha1!B:E,4,0)</f>
        <v>0.37177548115779385</v>
      </c>
    </row>
    <row r="278" spans="1:22" x14ac:dyDescent="0.3">
      <c r="A278" t="str">
        <f t="shared" si="8"/>
        <v>MANTEIGA 5KGLACTALIS</v>
      </c>
      <c r="B278" t="str">
        <f t="shared" si="9"/>
        <v>5355693MANTEIGA 5KGLACTALIS</v>
      </c>
      <c r="C278" s="5" t="s">
        <v>226</v>
      </c>
      <c r="D278" s="5" t="s">
        <v>227</v>
      </c>
      <c r="E278" s="5" t="s">
        <v>1722</v>
      </c>
      <c r="F278" s="5">
        <v>5355693</v>
      </c>
      <c r="G278" s="5" t="s">
        <v>252</v>
      </c>
      <c r="H278" s="5" t="s">
        <v>30</v>
      </c>
      <c r="I278" s="5" t="s">
        <v>22</v>
      </c>
      <c r="J278" s="5" t="s">
        <v>60</v>
      </c>
      <c r="K278" s="6">
        <v>0</v>
      </c>
      <c r="L278" s="7">
        <v>0</v>
      </c>
      <c r="M278" s="8">
        <v>40.833333333333336</v>
      </c>
      <c r="N278" s="8">
        <v>50</v>
      </c>
      <c r="O278" s="8">
        <v>17.537779984337551</v>
      </c>
      <c r="P278" s="8">
        <v>0</v>
      </c>
      <c r="Q278" s="8">
        <v>50</v>
      </c>
      <c r="R278" s="8">
        <v>0</v>
      </c>
      <c r="S278" s="8">
        <v>50</v>
      </c>
      <c r="T278" s="5">
        <v>50</v>
      </c>
      <c r="U278" s="5">
        <v>50</v>
      </c>
      <c r="V278" s="5">
        <f>VLOOKUP(A278,Planilha1!B:E,4,0)</f>
        <v>11.476197020267191</v>
      </c>
    </row>
    <row r="279" spans="1:22" x14ac:dyDescent="0.3">
      <c r="A279" t="str">
        <f t="shared" si="8"/>
        <v>BLISTERLACTALIS</v>
      </c>
      <c r="B279" t="str">
        <f t="shared" si="9"/>
        <v>5058749BLISTERLACTALIS</v>
      </c>
      <c r="C279" s="5" t="s">
        <v>226</v>
      </c>
      <c r="D279" s="5" t="s">
        <v>227</v>
      </c>
      <c r="E279" s="5" t="s">
        <v>1722</v>
      </c>
      <c r="F279" s="5">
        <v>5058749</v>
      </c>
      <c r="G279" s="5" t="s">
        <v>253</v>
      </c>
      <c r="H279" s="5" t="s">
        <v>30</v>
      </c>
      <c r="I279" s="5" t="s">
        <v>22</v>
      </c>
      <c r="J279" s="5" t="s">
        <v>199</v>
      </c>
      <c r="K279" s="6">
        <v>0</v>
      </c>
      <c r="L279" s="7">
        <v>0</v>
      </c>
      <c r="M279" s="8">
        <v>66.960000000000008</v>
      </c>
      <c r="N279" s="8">
        <v>67.2</v>
      </c>
      <c r="O279" s="8">
        <v>35.698931127241266</v>
      </c>
      <c r="P279" s="8">
        <v>0</v>
      </c>
      <c r="Q279" s="8">
        <v>28.8</v>
      </c>
      <c r="R279" s="8">
        <v>0</v>
      </c>
      <c r="S279" s="8">
        <v>29</v>
      </c>
      <c r="T279" s="5">
        <v>29</v>
      </c>
      <c r="U279" s="5">
        <v>36</v>
      </c>
      <c r="V279" s="5">
        <f>VLOOKUP(A279,Planilha1!B:E,4,0)</f>
        <v>13.783871706210666</v>
      </c>
    </row>
    <row r="280" spans="1:22" x14ac:dyDescent="0.3">
      <c r="A280" t="str">
        <f t="shared" si="8"/>
        <v>MANTEIGA 5KGLACTALIS</v>
      </c>
      <c r="B280" t="str">
        <f t="shared" si="9"/>
        <v>5063510MANTEIGA 5KGLACTALIS</v>
      </c>
      <c r="C280" s="5" t="s">
        <v>226</v>
      </c>
      <c r="D280" s="5" t="s">
        <v>227</v>
      </c>
      <c r="E280" s="5" t="s">
        <v>1722</v>
      </c>
      <c r="F280" s="5">
        <v>5063510</v>
      </c>
      <c r="G280" s="5" t="s">
        <v>254</v>
      </c>
      <c r="H280" s="5" t="s">
        <v>30</v>
      </c>
      <c r="I280" s="5" t="s">
        <v>22</v>
      </c>
      <c r="J280" s="5" t="s">
        <v>60</v>
      </c>
      <c r="K280" s="6">
        <v>0</v>
      </c>
      <c r="L280" s="7">
        <v>0</v>
      </c>
      <c r="M280" s="8">
        <v>0</v>
      </c>
      <c r="N280" s="8">
        <v>0</v>
      </c>
      <c r="O280" s="8">
        <v>1.7488017333388881</v>
      </c>
      <c r="P280" s="8">
        <v>0</v>
      </c>
      <c r="Q280" s="8">
        <v>0</v>
      </c>
      <c r="R280" s="8">
        <v>0</v>
      </c>
      <c r="S280" s="8">
        <v>0</v>
      </c>
      <c r="T280" s="5">
        <v>2</v>
      </c>
      <c r="U280" s="5">
        <v>2</v>
      </c>
      <c r="V280" s="5">
        <f>VLOOKUP(A280,Planilha1!B:E,4,0)</f>
        <v>11.476197020267191</v>
      </c>
    </row>
    <row r="281" spans="1:22" x14ac:dyDescent="0.3">
      <c r="A281" t="str">
        <f t="shared" si="8"/>
        <v>LEITE UHTLACTALIS</v>
      </c>
      <c r="B281" t="str">
        <f t="shared" si="9"/>
        <v>5166529LEITE UHTLACTALIS</v>
      </c>
      <c r="C281" s="5" t="s">
        <v>226</v>
      </c>
      <c r="D281" s="5" t="s">
        <v>227</v>
      </c>
      <c r="E281" s="5" t="s">
        <v>1722</v>
      </c>
      <c r="F281" s="5">
        <v>5166529</v>
      </c>
      <c r="G281" s="5" t="s">
        <v>255</v>
      </c>
      <c r="H281" s="5" t="s">
        <v>30</v>
      </c>
      <c r="I281" s="5" t="s">
        <v>22</v>
      </c>
      <c r="J281" s="5" t="s">
        <v>156</v>
      </c>
      <c r="K281" s="6">
        <v>0</v>
      </c>
      <c r="L281" s="7">
        <v>12</v>
      </c>
      <c r="M281" s="8">
        <v>104</v>
      </c>
      <c r="N281" s="8">
        <v>112</v>
      </c>
      <c r="O281" s="8">
        <v>30.529511848350378</v>
      </c>
      <c r="P281" s="8">
        <v>0</v>
      </c>
      <c r="Q281" s="8">
        <v>0</v>
      </c>
      <c r="R281" s="8">
        <v>0</v>
      </c>
      <c r="S281" s="8">
        <v>0</v>
      </c>
      <c r="T281" s="5">
        <v>0</v>
      </c>
      <c r="U281" s="5">
        <v>0</v>
      </c>
      <c r="V281" s="5">
        <f>VLOOKUP(A281,Planilha1!B:E,4,0)</f>
        <v>0.37177548115779385</v>
      </c>
    </row>
    <row r="282" spans="1:22" x14ac:dyDescent="0.3">
      <c r="A282" t="str">
        <f t="shared" si="8"/>
        <v>BLISTERLACTALIS</v>
      </c>
      <c r="B282" t="str">
        <f t="shared" si="9"/>
        <v>5178073BLISTERLACTALIS</v>
      </c>
      <c r="C282" s="5" t="s">
        <v>226</v>
      </c>
      <c r="D282" s="5" t="s">
        <v>227</v>
      </c>
      <c r="E282" s="5" t="s">
        <v>1722</v>
      </c>
      <c r="F282" s="5">
        <v>5178073</v>
      </c>
      <c r="G282" s="5" t="s">
        <v>256</v>
      </c>
      <c r="H282" s="5" t="s">
        <v>30</v>
      </c>
      <c r="I282" s="5" t="s">
        <v>22</v>
      </c>
      <c r="J282" s="5" t="s">
        <v>199</v>
      </c>
      <c r="K282" s="6">
        <v>0</v>
      </c>
      <c r="L282" s="7">
        <v>19.2</v>
      </c>
      <c r="M282" s="8">
        <v>61.64</v>
      </c>
      <c r="N282" s="8">
        <v>42</v>
      </c>
      <c r="O282" s="8">
        <v>29.388561719197561</v>
      </c>
      <c r="P282" s="8">
        <v>0</v>
      </c>
      <c r="Q282" s="8">
        <v>0</v>
      </c>
      <c r="R282" s="8">
        <v>0</v>
      </c>
      <c r="S282" s="8">
        <v>0</v>
      </c>
      <c r="T282" s="5">
        <v>30</v>
      </c>
      <c r="U282" s="5">
        <v>29</v>
      </c>
      <c r="V282" s="5">
        <f>VLOOKUP(A282,Planilha1!B:E,4,0)</f>
        <v>13.783871706210666</v>
      </c>
    </row>
    <row r="283" spans="1:22" x14ac:dyDescent="0.3">
      <c r="A283" t="str">
        <f t="shared" si="8"/>
        <v>LEITE UHTLACTALIS</v>
      </c>
      <c r="B283" t="str">
        <f t="shared" si="9"/>
        <v>5178073LEITE UHTLACTALIS</v>
      </c>
      <c r="C283" s="5" t="s">
        <v>226</v>
      </c>
      <c r="D283" s="5" t="s">
        <v>227</v>
      </c>
      <c r="E283" s="5" t="s">
        <v>1722</v>
      </c>
      <c r="F283" s="5">
        <v>5178073</v>
      </c>
      <c r="G283" s="5" t="s">
        <v>256</v>
      </c>
      <c r="H283" s="5" t="s">
        <v>30</v>
      </c>
      <c r="I283" s="5" t="s">
        <v>22</v>
      </c>
      <c r="J283" s="5" t="s">
        <v>156</v>
      </c>
      <c r="K283" s="6">
        <v>0</v>
      </c>
      <c r="L283" s="7">
        <v>0</v>
      </c>
      <c r="M283" s="8">
        <v>0</v>
      </c>
      <c r="N283" s="8">
        <v>0</v>
      </c>
      <c r="O283" s="8">
        <v>10.90646414835583</v>
      </c>
      <c r="P283" s="8">
        <v>0</v>
      </c>
      <c r="Q283" s="8">
        <v>0</v>
      </c>
      <c r="R283" s="8">
        <v>0</v>
      </c>
      <c r="S283" s="8">
        <v>0</v>
      </c>
      <c r="T283" s="5">
        <v>0</v>
      </c>
      <c r="U283" s="5">
        <v>0</v>
      </c>
      <c r="V283" s="5">
        <f>VLOOKUP(A283,Planilha1!B:E,4,0)</f>
        <v>0.37177548115779385</v>
      </c>
    </row>
    <row r="284" spans="1:22" x14ac:dyDescent="0.3">
      <c r="A284" t="str">
        <f t="shared" si="8"/>
        <v>BLISTERLACTALIS</v>
      </c>
      <c r="B284" t="str">
        <f t="shared" si="9"/>
        <v>5180079BLISTERLACTALIS</v>
      </c>
      <c r="C284" s="5" t="s">
        <v>226</v>
      </c>
      <c r="D284" s="5" t="s">
        <v>227</v>
      </c>
      <c r="E284" s="5" t="s">
        <v>1722</v>
      </c>
      <c r="F284" s="5">
        <v>5180079</v>
      </c>
      <c r="G284" s="5" t="s">
        <v>257</v>
      </c>
      <c r="H284" s="5" t="s">
        <v>30</v>
      </c>
      <c r="I284" s="5" t="s">
        <v>22</v>
      </c>
      <c r="J284" s="5" t="s">
        <v>199</v>
      </c>
      <c r="K284" s="6">
        <v>0</v>
      </c>
      <c r="L284" s="7">
        <v>0</v>
      </c>
      <c r="M284" s="8">
        <v>14.76</v>
      </c>
      <c r="N284" s="8">
        <v>12.079999999999998</v>
      </c>
      <c r="O284" s="8">
        <v>9.5883607023418591</v>
      </c>
      <c r="P284" s="8">
        <v>0</v>
      </c>
      <c r="Q284" s="8">
        <v>0</v>
      </c>
      <c r="R284" s="8">
        <v>0</v>
      </c>
      <c r="S284" s="8">
        <v>16</v>
      </c>
      <c r="T284" s="5">
        <v>16</v>
      </c>
      <c r="U284" s="5">
        <v>16</v>
      </c>
      <c r="V284" s="5">
        <f>VLOOKUP(A284,Planilha1!B:E,4,0)</f>
        <v>13.783871706210666</v>
      </c>
    </row>
    <row r="285" spans="1:22" x14ac:dyDescent="0.3">
      <c r="A285" t="str">
        <f t="shared" si="8"/>
        <v>MANTEIGA 5KGLACTALIS</v>
      </c>
      <c r="B285" t="str">
        <f t="shared" si="9"/>
        <v>5180079MANTEIGA 5KGLACTALIS</v>
      </c>
      <c r="C285" s="5" t="s">
        <v>226</v>
      </c>
      <c r="D285" s="5" t="s">
        <v>227</v>
      </c>
      <c r="E285" s="5" t="s">
        <v>1722</v>
      </c>
      <c r="F285" s="5">
        <v>5180079</v>
      </c>
      <c r="G285" s="5" t="s">
        <v>257</v>
      </c>
      <c r="H285" s="5" t="s">
        <v>30</v>
      </c>
      <c r="I285" s="5" t="s">
        <v>22</v>
      </c>
      <c r="J285" s="5" t="s">
        <v>60</v>
      </c>
      <c r="K285" s="6">
        <v>0</v>
      </c>
      <c r="L285" s="7">
        <v>0</v>
      </c>
      <c r="M285" s="8">
        <v>0</v>
      </c>
      <c r="N285" s="8">
        <v>0</v>
      </c>
      <c r="O285" s="8">
        <v>1.7488017333388881</v>
      </c>
      <c r="P285" s="8">
        <v>0</v>
      </c>
      <c r="Q285" s="8">
        <v>0</v>
      </c>
      <c r="R285" s="8">
        <v>0</v>
      </c>
      <c r="S285" s="8">
        <v>0</v>
      </c>
      <c r="T285" s="5">
        <v>0</v>
      </c>
      <c r="U285" s="5">
        <v>2</v>
      </c>
      <c r="V285" s="5">
        <f>VLOOKUP(A285,Planilha1!B:E,4,0)</f>
        <v>11.476197020267191</v>
      </c>
    </row>
    <row r="286" spans="1:22" x14ac:dyDescent="0.3">
      <c r="A286" t="str">
        <f t="shared" si="8"/>
        <v>MANTEIGA 5KGLACTALIS</v>
      </c>
      <c r="B286" t="str">
        <f t="shared" si="9"/>
        <v>5215067MANTEIGA 5KGLACTALIS</v>
      </c>
      <c r="C286" s="5" t="s">
        <v>226</v>
      </c>
      <c r="D286" s="5" t="s">
        <v>227</v>
      </c>
      <c r="E286" s="5" t="s">
        <v>1722</v>
      </c>
      <c r="F286" s="5">
        <v>5215067</v>
      </c>
      <c r="G286" s="5" t="s">
        <v>258</v>
      </c>
      <c r="H286" s="5" t="s">
        <v>30</v>
      </c>
      <c r="I286" s="5" t="s">
        <v>22</v>
      </c>
      <c r="J286" s="5" t="s">
        <v>60</v>
      </c>
      <c r="K286" s="6">
        <v>0</v>
      </c>
      <c r="L286" s="7">
        <v>0</v>
      </c>
      <c r="M286" s="8">
        <v>0</v>
      </c>
      <c r="N286" s="8">
        <v>0</v>
      </c>
      <c r="O286" s="8">
        <v>12.270047933914315</v>
      </c>
      <c r="P286" s="8">
        <v>0</v>
      </c>
      <c r="Q286" s="8">
        <v>-35</v>
      </c>
      <c r="R286" s="8">
        <v>0</v>
      </c>
      <c r="S286" s="8">
        <v>35</v>
      </c>
      <c r="T286" s="5">
        <v>35</v>
      </c>
      <c r="U286" s="5">
        <v>12</v>
      </c>
      <c r="V286" s="5">
        <f>VLOOKUP(A286,Planilha1!B:E,4,0)</f>
        <v>11.476197020267191</v>
      </c>
    </row>
    <row r="287" spans="1:22" x14ac:dyDescent="0.3">
      <c r="A287" t="str">
        <f t="shared" si="8"/>
        <v>BLISTERLACTALIS</v>
      </c>
      <c r="B287" t="str">
        <f t="shared" si="9"/>
        <v>5228459BLISTERLACTALIS</v>
      </c>
      <c r="C287" s="5" t="s">
        <v>226</v>
      </c>
      <c r="D287" s="5" t="s">
        <v>227</v>
      </c>
      <c r="E287" s="5" t="s">
        <v>1722</v>
      </c>
      <c r="F287" s="5">
        <v>5228459</v>
      </c>
      <c r="G287" s="5" t="s">
        <v>259</v>
      </c>
      <c r="H287" s="5" t="s">
        <v>30</v>
      </c>
      <c r="I287" s="5" t="s">
        <v>22</v>
      </c>
      <c r="J287" s="5" t="s">
        <v>199</v>
      </c>
      <c r="K287" s="6">
        <v>0</v>
      </c>
      <c r="L287" s="7">
        <v>0</v>
      </c>
      <c r="M287" s="8">
        <v>24.600000000000005</v>
      </c>
      <c r="N287" s="8">
        <v>19.68</v>
      </c>
      <c r="O287" s="8">
        <v>13.801571414897985</v>
      </c>
      <c r="P287" s="8">
        <v>0</v>
      </c>
      <c r="Q287" s="8">
        <v>20.16</v>
      </c>
      <c r="R287" s="8">
        <v>0</v>
      </c>
      <c r="S287" s="8">
        <v>12</v>
      </c>
      <c r="T287" s="5">
        <v>12</v>
      </c>
      <c r="U287" s="5">
        <v>14</v>
      </c>
      <c r="V287" s="5">
        <f>VLOOKUP(A287,Planilha1!B:E,4,0)</f>
        <v>13.783871706210666</v>
      </c>
    </row>
    <row r="288" spans="1:22" x14ac:dyDescent="0.3">
      <c r="A288" t="str">
        <f t="shared" si="8"/>
        <v>LEITE UHTLACTALIS</v>
      </c>
      <c r="B288" t="str">
        <f t="shared" si="9"/>
        <v>5228459LEITE UHTLACTALIS</v>
      </c>
      <c r="C288" s="5" t="s">
        <v>226</v>
      </c>
      <c r="D288" s="5" t="s">
        <v>227</v>
      </c>
      <c r="E288" s="5" t="s">
        <v>1722</v>
      </c>
      <c r="F288" s="5">
        <v>5228459</v>
      </c>
      <c r="G288" s="5" t="s">
        <v>259</v>
      </c>
      <c r="H288" s="5" t="s">
        <v>30</v>
      </c>
      <c r="I288" s="5" t="s">
        <v>22</v>
      </c>
      <c r="J288" s="5" t="s">
        <v>156</v>
      </c>
      <c r="K288" s="6">
        <v>0</v>
      </c>
      <c r="L288" s="7">
        <v>0</v>
      </c>
      <c r="M288" s="8">
        <v>266</v>
      </c>
      <c r="N288" s="8">
        <v>216</v>
      </c>
      <c r="O288" s="8">
        <v>137.38518880842278</v>
      </c>
      <c r="P288" s="8">
        <v>0</v>
      </c>
      <c r="Q288" s="8">
        <v>24</v>
      </c>
      <c r="R288" s="8">
        <v>0</v>
      </c>
      <c r="S288" s="8">
        <v>0</v>
      </c>
      <c r="T288" s="5">
        <v>0</v>
      </c>
      <c r="U288" s="5">
        <v>108</v>
      </c>
      <c r="V288" s="5">
        <f>VLOOKUP(A288,Planilha1!B:E,4,0)</f>
        <v>0.37177548115779385</v>
      </c>
    </row>
    <row r="289" spans="1:22" x14ac:dyDescent="0.3">
      <c r="A289" t="str">
        <f t="shared" si="8"/>
        <v>MANTEIGA 5KGLACTALIS</v>
      </c>
      <c r="B289" t="str">
        <f t="shared" si="9"/>
        <v>5228856MANTEIGA 5KGLACTALIS</v>
      </c>
      <c r="C289" s="5" t="s">
        <v>226</v>
      </c>
      <c r="D289" s="5" t="s">
        <v>227</v>
      </c>
      <c r="E289" s="5" t="s">
        <v>1722</v>
      </c>
      <c r="F289" s="5">
        <v>5228856</v>
      </c>
      <c r="G289" s="5" t="s">
        <v>260</v>
      </c>
      <c r="H289" s="5" t="s">
        <v>30</v>
      </c>
      <c r="I289" s="5" t="s">
        <v>22</v>
      </c>
      <c r="J289" s="5" t="s">
        <v>60</v>
      </c>
      <c r="K289" s="6">
        <v>0</v>
      </c>
      <c r="L289" s="7">
        <v>0</v>
      </c>
      <c r="M289" s="8">
        <v>7.5</v>
      </c>
      <c r="N289" s="8">
        <v>6.666666666666667</v>
      </c>
      <c r="O289" s="8">
        <v>8.7582265669654902</v>
      </c>
      <c r="P289" s="8">
        <v>0</v>
      </c>
      <c r="Q289" s="8">
        <v>0</v>
      </c>
      <c r="R289" s="8">
        <v>0</v>
      </c>
      <c r="S289" s="8">
        <v>5</v>
      </c>
      <c r="T289" s="5">
        <v>5</v>
      </c>
      <c r="U289" s="5">
        <v>9</v>
      </c>
      <c r="V289" s="5">
        <f>VLOOKUP(A289,Planilha1!B:E,4,0)</f>
        <v>11.476197020267191</v>
      </c>
    </row>
    <row r="290" spans="1:22" x14ac:dyDescent="0.3">
      <c r="A290" t="str">
        <f t="shared" si="8"/>
        <v>LEITE UHTLACTALIS</v>
      </c>
      <c r="B290" t="str">
        <f t="shared" si="9"/>
        <v>5230076LEITE UHTLACTALIS</v>
      </c>
      <c r="C290" s="5" t="s">
        <v>226</v>
      </c>
      <c r="D290" s="5" t="s">
        <v>227</v>
      </c>
      <c r="E290" s="5" t="s">
        <v>1722</v>
      </c>
      <c r="F290" s="5">
        <v>5230076</v>
      </c>
      <c r="G290" s="5" t="s">
        <v>261</v>
      </c>
      <c r="H290" s="5" t="s">
        <v>30</v>
      </c>
      <c r="I290" s="5" t="s">
        <v>22</v>
      </c>
      <c r="J290" s="5" t="s">
        <v>156</v>
      </c>
      <c r="K290" s="6">
        <v>0</v>
      </c>
      <c r="L290" s="7">
        <v>36</v>
      </c>
      <c r="M290" s="8">
        <v>26</v>
      </c>
      <c r="N290" s="8">
        <v>32</v>
      </c>
      <c r="O290" s="8">
        <v>17.452251030046206</v>
      </c>
      <c r="P290" s="8">
        <v>0</v>
      </c>
      <c r="Q290" s="8">
        <v>0</v>
      </c>
      <c r="R290" s="8">
        <v>0</v>
      </c>
      <c r="S290" s="8">
        <v>0</v>
      </c>
      <c r="T290" s="5">
        <v>0</v>
      </c>
      <c r="U290" s="5">
        <v>48</v>
      </c>
      <c r="V290" s="5">
        <f>VLOOKUP(A290,Planilha1!B:E,4,0)</f>
        <v>0.37177548115779385</v>
      </c>
    </row>
    <row r="291" spans="1:22" x14ac:dyDescent="0.3">
      <c r="A291" t="str">
        <f t="shared" si="8"/>
        <v>LEITE UHTLACTALIS</v>
      </c>
      <c r="B291" t="str">
        <f t="shared" si="9"/>
        <v>5231882LEITE UHTLACTALIS</v>
      </c>
      <c r="C291" s="5" t="s">
        <v>226</v>
      </c>
      <c r="D291" s="5" t="s">
        <v>227</v>
      </c>
      <c r="E291" s="5" t="s">
        <v>1722</v>
      </c>
      <c r="F291" s="5">
        <v>5231882</v>
      </c>
      <c r="G291" s="5" t="s">
        <v>262</v>
      </c>
      <c r="H291" s="5" t="s">
        <v>30</v>
      </c>
      <c r="I291" s="5" t="s">
        <v>22</v>
      </c>
      <c r="J291" s="5" t="s">
        <v>156</v>
      </c>
      <c r="K291" s="6">
        <v>0</v>
      </c>
      <c r="L291" s="7">
        <v>0</v>
      </c>
      <c r="M291" s="8">
        <v>68</v>
      </c>
      <c r="N291" s="8">
        <v>0</v>
      </c>
      <c r="O291" s="8">
        <v>270.39538740510352</v>
      </c>
      <c r="P291" s="8">
        <v>0</v>
      </c>
      <c r="Q291" s="8">
        <v>0</v>
      </c>
      <c r="R291" s="8">
        <v>0</v>
      </c>
      <c r="S291" s="8">
        <v>0</v>
      </c>
      <c r="T291" s="5">
        <v>0</v>
      </c>
      <c r="U291" s="5">
        <v>0</v>
      </c>
      <c r="V291" s="5">
        <f>VLOOKUP(A291,Planilha1!B:E,4,0)</f>
        <v>0.37177548115779385</v>
      </c>
    </row>
    <row r="292" spans="1:22" x14ac:dyDescent="0.3">
      <c r="A292" t="str">
        <f t="shared" si="8"/>
        <v>BLISTERLACTALIS</v>
      </c>
      <c r="B292" t="str">
        <f t="shared" si="9"/>
        <v>5235392BLISTERLACTALIS</v>
      </c>
      <c r="C292" s="5" t="s">
        <v>226</v>
      </c>
      <c r="D292" s="5" t="s">
        <v>227</v>
      </c>
      <c r="E292" s="5" t="s">
        <v>1722</v>
      </c>
      <c r="F292" s="5">
        <v>5235392</v>
      </c>
      <c r="G292" s="5" t="s">
        <v>263</v>
      </c>
      <c r="H292" s="5" t="s">
        <v>30</v>
      </c>
      <c r="I292" s="5" t="s">
        <v>22</v>
      </c>
      <c r="J292" s="5" t="s">
        <v>199</v>
      </c>
      <c r="K292" s="6">
        <v>0</v>
      </c>
      <c r="L292" s="7">
        <v>9.6</v>
      </c>
      <c r="M292" s="8">
        <v>4.1599999999999993</v>
      </c>
      <c r="N292" s="8">
        <v>-0.64</v>
      </c>
      <c r="O292" s="8">
        <v>4.8177970031471409</v>
      </c>
      <c r="P292" s="8">
        <v>0</v>
      </c>
      <c r="Q292" s="8">
        <v>0</v>
      </c>
      <c r="R292" s="8">
        <v>0</v>
      </c>
      <c r="S292" s="8">
        <v>0</v>
      </c>
      <c r="T292" s="5">
        <v>5</v>
      </c>
      <c r="U292" s="5">
        <v>5</v>
      </c>
      <c r="V292" s="5">
        <f>VLOOKUP(A292,Planilha1!B:E,4,0)</f>
        <v>13.783871706210666</v>
      </c>
    </row>
    <row r="293" spans="1:22" x14ac:dyDescent="0.3">
      <c r="A293" t="str">
        <f t="shared" si="8"/>
        <v>MANTEIGA 5KGLACTALIS</v>
      </c>
      <c r="B293" t="str">
        <f t="shared" si="9"/>
        <v>5235392MANTEIGA 5KGLACTALIS</v>
      </c>
      <c r="C293" s="5" t="s">
        <v>226</v>
      </c>
      <c r="D293" s="5" t="s">
        <v>227</v>
      </c>
      <c r="E293" s="5" t="s">
        <v>1722</v>
      </c>
      <c r="F293" s="5">
        <v>5235392</v>
      </c>
      <c r="G293" s="5" t="s">
        <v>263</v>
      </c>
      <c r="H293" s="5" t="s">
        <v>30</v>
      </c>
      <c r="I293" s="5" t="s">
        <v>22</v>
      </c>
      <c r="J293" s="5" t="s">
        <v>60</v>
      </c>
      <c r="K293" s="6">
        <v>0</v>
      </c>
      <c r="L293" s="7">
        <v>10</v>
      </c>
      <c r="M293" s="8">
        <v>17.5</v>
      </c>
      <c r="N293" s="8">
        <v>-3.3333333333333335</v>
      </c>
      <c r="O293" s="8">
        <v>19.286581717676437</v>
      </c>
      <c r="P293" s="8">
        <v>0</v>
      </c>
      <c r="Q293" s="8">
        <v>0</v>
      </c>
      <c r="R293" s="8">
        <v>0</v>
      </c>
      <c r="S293" s="8">
        <v>0</v>
      </c>
      <c r="T293" s="5">
        <v>19</v>
      </c>
      <c r="U293" s="5">
        <v>19</v>
      </c>
      <c r="V293" s="5">
        <f>VLOOKUP(A293,Planilha1!B:E,4,0)</f>
        <v>11.476197020267191</v>
      </c>
    </row>
    <row r="294" spans="1:22" x14ac:dyDescent="0.3">
      <c r="A294" t="str">
        <f t="shared" si="8"/>
        <v>BLISTERLACTALIS</v>
      </c>
      <c r="B294" t="str">
        <f t="shared" si="9"/>
        <v>5235393BLISTERLACTALIS</v>
      </c>
      <c r="C294" s="5" t="s">
        <v>226</v>
      </c>
      <c r="D294" s="5" t="s">
        <v>227</v>
      </c>
      <c r="E294" s="5" t="s">
        <v>1722</v>
      </c>
      <c r="F294" s="5">
        <v>5235393</v>
      </c>
      <c r="G294" s="5" t="s">
        <v>264</v>
      </c>
      <c r="H294" s="5" t="s">
        <v>30</v>
      </c>
      <c r="I294" s="5" t="s">
        <v>22</v>
      </c>
      <c r="J294" s="5" t="s">
        <v>199</v>
      </c>
      <c r="K294" s="6">
        <v>0</v>
      </c>
      <c r="L294" s="7">
        <v>7.68</v>
      </c>
      <c r="M294" s="8">
        <v>4.4800000000000013</v>
      </c>
      <c r="N294" s="8">
        <v>-1.28</v>
      </c>
      <c r="O294" s="8">
        <v>2.219965285763879</v>
      </c>
      <c r="P294" s="8">
        <v>0</v>
      </c>
      <c r="Q294" s="8">
        <v>0</v>
      </c>
      <c r="R294" s="8">
        <v>0</v>
      </c>
      <c r="S294" s="8">
        <v>0</v>
      </c>
      <c r="T294" s="5">
        <v>2</v>
      </c>
      <c r="U294" s="5">
        <v>2</v>
      </c>
      <c r="V294" s="5">
        <f>VLOOKUP(A294,Planilha1!B:E,4,0)</f>
        <v>13.783871706210666</v>
      </c>
    </row>
    <row r="295" spans="1:22" x14ac:dyDescent="0.3">
      <c r="A295" t="str">
        <f t="shared" si="8"/>
        <v>MANTEIGA 5KGLACTALIS</v>
      </c>
      <c r="B295" t="str">
        <f t="shared" si="9"/>
        <v>5235393MANTEIGA 5KGLACTALIS</v>
      </c>
      <c r="C295" s="5" t="s">
        <v>226</v>
      </c>
      <c r="D295" s="5" t="s">
        <v>227</v>
      </c>
      <c r="E295" s="5" t="s">
        <v>1722</v>
      </c>
      <c r="F295" s="5">
        <v>5235393</v>
      </c>
      <c r="G295" s="5" t="s">
        <v>264</v>
      </c>
      <c r="H295" s="5" t="s">
        <v>30</v>
      </c>
      <c r="I295" s="5" t="s">
        <v>22</v>
      </c>
      <c r="J295" s="5" t="s">
        <v>60</v>
      </c>
      <c r="K295" s="6">
        <v>0</v>
      </c>
      <c r="L295" s="7">
        <v>10</v>
      </c>
      <c r="M295" s="8">
        <v>12.5</v>
      </c>
      <c r="N295" s="8">
        <v>-5</v>
      </c>
      <c r="O295" s="8">
        <v>10.521246200575426</v>
      </c>
      <c r="P295" s="8">
        <v>0</v>
      </c>
      <c r="Q295" s="8">
        <v>0</v>
      </c>
      <c r="R295" s="8">
        <v>0</v>
      </c>
      <c r="S295" s="8">
        <v>0</v>
      </c>
      <c r="T295" s="5">
        <v>11</v>
      </c>
      <c r="U295" s="5">
        <v>11</v>
      </c>
      <c r="V295" s="5">
        <f>VLOOKUP(A295,Planilha1!B:E,4,0)</f>
        <v>11.476197020267191</v>
      </c>
    </row>
    <row r="296" spans="1:22" x14ac:dyDescent="0.3">
      <c r="A296" t="str">
        <f t="shared" si="8"/>
        <v>BLISTERLACTALIS</v>
      </c>
      <c r="B296" t="str">
        <f t="shared" si="9"/>
        <v>5235395BLISTERLACTALIS</v>
      </c>
      <c r="C296" s="5" t="s">
        <v>226</v>
      </c>
      <c r="D296" s="5" t="s">
        <v>227</v>
      </c>
      <c r="E296" s="5" t="s">
        <v>1722</v>
      </c>
      <c r="F296" s="5">
        <v>5235395</v>
      </c>
      <c r="G296" s="5" t="s">
        <v>265</v>
      </c>
      <c r="H296" s="5" t="s">
        <v>30</v>
      </c>
      <c r="I296" s="5" t="s">
        <v>22</v>
      </c>
      <c r="J296" s="5" t="s">
        <v>199</v>
      </c>
      <c r="K296" s="6">
        <v>0</v>
      </c>
      <c r="L296" s="7">
        <v>7.68</v>
      </c>
      <c r="M296" s="8">
        <v>4.4799999999999995</v>
      </c>
      <c r="N296" s="8">
        <v>-0.64</v>
      </c>
      <c r="O296" s="8">
        <v>2.9756981490026457</v>
      </c>
      <c r="P296" s="8">
        <v>0</v>
      </c>
      <c r="Q296" s="8">
        <v>0</v>
      </c>
      <c r="R296" s="8">
        <v>0</v>
      </c>
      <c r="S296" s="8">
        <v>0</v>
      </c>
      <c r="T296" s="5">
        <v>3</v>
      </c>
      <c r="U296" s="5">
        <v>3</v>
      </c>
      <c r="V296" s="5">
        <f>VLOOKUP(A296,Planilha1!B:E,4,0)</f>
        <v>13.783871706210666</v>
      </c>
    </row>
    <row r="297" spans="1:22" x14ac:dyDescent="0.3">
      <c r="A297" t="str">
        <f t="shared" si="8"/>
        <v>MANTEIGA 5KGLACTALIS</v>
      </c>
      <c r="B297" t="str">
        <f t="shared" si="9"/>
        <v>5235395MANTEIGA 5KGLACTALIS</v>
      </c>
      <c r="C297" s="5" t="s">
        <v>226</v>
      </c>
      <c r="D297" s="5" t="s">
        <v>227</v>
      </c>
      <c r="E297" s="5" t="s">
        <v>1722</v>
      </c>
      <c r="F297" s="5">
        <v>5235395</v>
      </c>
      <c r="G297" s="5" t="s">
        <v>265</v>
      </c>
      <c r="H297" s="5" t="s">
        <v>30</v>
      </c>
      <c r="I297" s="5" t="s">
        <v>22</v>
      </c>
      <c r="J297" s="5" t="s">
        <v>60</v>
      </c>
      <c r="K297" s="6">
        <v>0</v>
      </c>
      <c r="L297" s="7">
        <v>10</v>
      </c>
      <c r="M297" s="8">
        <v>9.1666666666666679</v>
      </c>
      <c r="N297" s="8">
        <v>-3.3333333333333335</v>
      </c>
      <c r="O297" s="8">
        <v>10.521246200575426</v>
      </c>
      <c r="P297" s="8">
        <v>0</v>
      </c>
      <c r="Q297" s="8">
        <v>0</v>
      </c>
      <c r="R297" s="8">
        <v>0</v>
      </c>
      <c r="S297" s="8">
        <v>0</v>
      </c>
      <c r="T297" s="5">
        <v>11</v>
      </c>
      <c r="U297" s="5">
        <v>11</v>
      </c>
      <c r="V297" s="5">
        <f>VLOOKUP(A297,Planilha1!B:E,4,0)</f>
        <v>11.476197020267191</v>
      </c>
    </row>
    <row r="298" spans="1:22" x14ac:dyDescent="0.3">
      <c r="A298" t="str">
        <f t="shared" si="8"/>
        <v>BLISTERLACTALIS</v>
      </c>
      <c r="B298" t="str">
        <f t="shared" si="9"/>
        <v>5235438BLISTERLACTALIS</v>
      </c>
      <c r="C298" s="5" t="s">
        <v>226</v>
      </c>
      <c r="D298" s="5" t="s">
        <v>227</v>
      </c>
      <c r="E298" s="5" t="s">
        <v>1722</v>
      </c>
      <c r="F298" s="5">
        <v>5235438</v>
      </c>
      <c r="G298" s="5" t="s">
        <v>266</v>
      </c>
      <c r="H298" s="5" t="s">
        <v>30</v>
      </c>
      <c r="I298" s="5" t="s">
        <v>22</v>
      </c>
      <c r="J298" s="5" t="s">
        <v>199</v>
      </c>
      <c r="K298" s="6">
        <v>0</v>
      </c>
      <c r="L298" s="7">
        <v>9.6</v>
      </c>
      <c r="M298" s="8">
        <v>4.16</v>
      </c>
      <c r="N298" s="8">
        <v>-1.28</v>
      </c>
      <c r="O298" s="8">
        <v>2.9756981490026457</v>
      </c>
      <c r="P298" s="8">
        <v>0</v>
      </c>
      <c r="Q298" s="8">
        <v>0</v>
      </c>
      <c r="R298" s="8">
        <v>0</v>
      </c>
      <c r="S298" s="8">
        <v>0</v>
      </c>
      <c r="T298" s="5">
        <v>3</v>
      </c>
      <c r="U298" s="5">
        <v>3</v>
      </c>
      <c r="V298" s="5">
        <f>VLOOKUP(A298,Planilha1!B:E,4,0)</f>
        <v>13.783871706210666</v>
      </c>
    </row>
    <row r="299" spans="1:22" x14ac:dyDescent="0.3">
      <c r="A299" t="str">
        <f t="shared" si="8"/>
        <v>MANTEIGA 5KGLACTALIS</v>
      </c>
      <c r="B299" t="str">
        <f t="shared" si="9"/>
        <v>5235438MANTEIGA 5KGLACTALIS</v>
      </c>
      <c r="C299" s="5" t="s">
        <v>226</v>
      </c>
      <c r="D299" s="5" t="s">
        <v>227</v>
      </c>
      <c r="E299" s="5" t="s">
        <v>1722</v>
      </c>
      <c r="F299" s="5">
        <v>5235438</v>
      </c>
      <c r="G299" s="5" t="s">
        <v>266</v>
      </c>
      <c r="H299" s="5" t="s">
        <v>30</v>
      </c>
      <c r="I299" s="5" t="s">
        <v>22</v>
      </c>
      <c r="J299" s="5" t="s">
        <v>60</v>
      </c>
      <c r="K299" s="6">
        <v>0</v>
      </c>
      <c r="L299" s="7">
        <v>15</v>
      </c>
      <c r="M299" s="8">
        <v>9.1666666666666679</v>
      </c>
      <c r="N299" s="8">
        <v>-5</v>
      </c>
      <c r="O299" s="8">
        <v>14.025958617388726</v>
      </c>
      <c r="P299" s="8">
        <v>0</v>
      </c>
      <c r="Q299" s="8">
        <v>0</v>
      </c>
      <c r="R299" s="8">
        <v>0</v>
      </c>
      <c r="S299" s="8">
        <v>0</v>
      </c>
      <c r="T299" s="5">
        <v>14</v>
      </c>
      <c r="U299" s="5">
        <v>14</v>
      </c>
      <c r="V299" s="5">
        <f>VLOOKUP(A299,Planilha1!B:E,4,0)</f>
        <v>11.476197020267191</v>
      </c>
    </row>
    <row r="300" spans="1:22" x14ac:dyDescent="0.3">
      <c r="A300" t="str">
        <f t="shared" si="8"/>
        <v>BLISTERLACTALIS</v>
      </c>
      <c r="B300" t="str">
        <f t="shared" si="9"/>
        <v>5235439BLISTERLACTALIS</v>
      </c>
      <c r="C300" s="5" t="s">
        <v>226</v>
      </c>
      <c r="D300" s="5" t="s">
        <v>227</v>
      </c>
      <c r="E300" s="5" t="s">
        <v>1722</v>
      </c>
      <c r="F300" s="5">
        <v>5235439</v>
      </c>
      <c r="G300" s="5" t="s">
        <v>267</v>
      </c>
      <c r="H300" s="5" t="s">
        <v>30</v>
      </c>
      <c r="I300" s="5" t="s">
        <v>22</v>
      </c>
      <c r="J300" s="5" t="s">
        <v>199</v>
      </c>
      <c r="K300" s="6">
        <v>0</v>
      </c>
      <c r="L300" s="7">
        <v>19.2</v>
      </c>
      <c r="M300" s="8">
        <v>2.2399999999999998</v>
      </c>
      <c r="N300" s="8">
        <v>0</v>
      </c>
      <c r="O300" s="8">
        <v>5.5640832055954235</v>
      </c>
      <c r="P300" s="8">
        <v>0</v>
      </c>
      <c r="Q300" s="8">
        <v>0</v>
      </c>
      <c r="R300" s="8">
        <v>0</v>
      </c>
      <c r="S300" s="8">
        <v>0</v>
      </c>
      <c r="T300" s="5">
        <v>6</v>
      </c>
      <c r="U300" s="5">
        <v>6</v>
      </c>
      <c r="V300" s="5">
        <f>VLOOKUP(A300,Planilha1!B:E,4,0)</f>
        <v>13.783871706210666</v>
      </c>
    </row>
    <row r="301" spans="1:22" x14ac:dyDescent="0.3">
      <c r="A301" t="str">
        <f t="shared" si="8"/>
        <v>MANTEIGA 5KGLACTALIS</v>
      </c>
      <c r="B301" t="str">
        <f t="shared" si="9"/>
        <v>5235439MANTEIGA 5KGLACTALIS</v>
      </c>
      <c r="C301" s="5" t="s">
        <v>226</v>
      </c>
      <c r="D301" s="5" t="s">
        <v>227</v>
      </c>
      <c r="E301" s="5" t="s">
        <v>1722</v>
      </c>
      <c r="F301" s="5">
        <v>5235439</v>
      </c>
      <c r="G301" s="5" t="s">
        <v>267</v>
      </c>
      <c r="H301" s="5" t="s">
        <v>30</v>
      </c>
      <c r="I301" s="5" t="s">
        <v>22</v>
      </c>
      <c r="J301" s="5" t="s">
        <v>60</v>
      </c>
      <c r="K301" s="6">
        <v>0</v>
      </c>
      <c r="L301" s="7">
        <v>25</v>
      </c>
      <c r="M301" s="8">
        <v>0</v>
      </c>
      <c r="N301" s="8">
        <v>0</v>
      </c>
      <c r="O301" s="8">
        <v>7.0165337837621244</v>
      </c>
      <c r="P301" s="8">
        <v>0</v>
      </c>
      <c r="Q301" s="8">
        <v>0</v>
      </c>
      <c r="R301" s="8">
        <v>0</v>
      </c>
      <c r="S301" s="8">
        <v>0</v>
      </c>
      <c r="T301" s="5">
        <v>7</v>
      </c>
      <c r="U301" s="5">
        <v>7</v>
      </c>
      <c r="V301" s="5">
        <f>VLOOKUP(A301,Planilha1!B:E,4,0)</f>
        <v>11.476197020267191</v>
      </c>
    </row>
    <row r="302" spans="1:22" x14ac:dyDescent="0.3">
      <c r="A302" t="str">
        <f t="shared" si="8"/>
        <v>BLISTERLACTALIS</v>
      </c>
      <c r="B302" t="str">
        <f t="shared" si="9"/>
        <v>5235440BLISTERLACTALIS</v>
      </c>
      <c r="C302" s="5" t="s">
        <v>226</v>
      </c>
      <c r="D302" s="5" t="s">
        <v>227</v>
      </c>
      <c r="E302" s="5" t="s">
        <v>1722</v>
      </c>
      <c r="F302" s="5">
        <v>5235440</v>
      </c>
      <c r="G302" s="5" t="s">
        <v>268</v>
      </c>
      <c r="H302" s="5" t="s">
        <v>30</v>
      </c>
      <c r="I302" s="5" t="s">
        <v>22</v>
      </c>
      <c r="J302" s="5" t="s">
        <v>199</v>
      </c>
      <c r="K302" s="6">
        <v>0</v>
      </c>
      <c r="L302" s="7">
        <v>7.68</v>
      </c>
      <c r="M302" s="8">
        <v>4.4799999999999995</v>
      </c>
      <c r="N302" s="8">
        <v>-1.28</v>
      </c>
      <c r="O302" s="8">
        <v>3.7030910298699591</v>
      </c>
      <c r="P302" s="8">
        <v>0</v>
      </c>
      <c r="Q302" s="8">
        <v>0</v>
      </c>
      <c r="R302" s="8">
        <v>0</v>
      </c>
      <c r="S302" s="8">
        <v>0</v>
      </c>
      <c r="T302" s="5">
        <v>4</v>
      </c>
      <c r="U302" s="5">
        <v>4</v>
      </c>
      <c r="V302" s="5">
        <f>VLOOKUP(A302,Planilha1!B:E,4,0)</f>
        <v>13.783871706210666</v>
      </c>
    </row>
    <row r="303" spans="1:22" x14ac:dyDescent="0.3">
      <c r="A303" t="str">
        <f t="shared" si="8"/>
        <v>MANTEIGA 5KGLACTALIS</v>
      </c>
      <c r="B303" t="str">
        <f t="shared" si="9"/>
        <v>5235440MANTEIGA 5KGLACTALIS</v>
      </c>
      <c r="C303" s="5" t="s">
        <v>226</v>
      </c>
      <c r="D303" s="5" t="s">
        <v>227</v>
      </c>
      <c r="E303" s="5" t="s">
        <v>1722</v>
      </c>
      <c r="F303" s="5">
        <v>5235440</v>
      </c>
      <c r="G303" s="5" t="s">
        <v>268</v>
      </c>
      <c r="H303" s="5" t="s">
        <v>30</v>
      </c>
      <c r="I303" s="5" t="s">
        <v>22</v>
      </c>
      <c r="J303" s="5" t="s">
        <v>60</v>
      </c>
      <c r="K303" s="6">
        <v>0</v>
      </c>
      <c r="L303" s="7">
        <v>10</v>
      </c>
      <c r="M303" s="8">
        <v>7.5</v>
      </c>
      <c r="N303" s="8">
        <v>-5</v>
      </c>
      <c r="O303" s="8">
        <v>14.025958617388726</v>
      </c>
      <c r="P303" s="8">
        <v>0</v>
      </c>
      <c r="Q303" s="8">
        <v>0</v>
      </c>
      <c r="R303" s="8">
        <v>0</v>
      </c>
      <c r="S303" s="8">
        <v>0</v>
      </c>
      <c r="T303" s="5">
        <v>14</v>
      </c>
      <c r="U303" s="5">
        <v>14</v>
      </c>
      <c r="V303" s="5">
        <f>VLOOKUP(A303,Planilha1!B:E,4,0)</f>
        <v>11.476197020267191</v>
      </c>
    </row>
    <row r="304" spans="1:22" x14ac:dyDescent="0.3">
      <c r="A304" t="str">
        <f t="shared" si="8"/>
        <v>BLISTERLACTALIS</v>
      </c>
      <c r="B304" t="str">
        <f t="shared" si="9"/>
        <v>5235442BLISTERLACTALIS</v>
      </c>
      <c r="C304" s="5" t="s">
        <v>226</v>
      </c>
      <c r="D304" s="5" t="s">
        <v>227</v>
      </c>
      <c r="E304" s="5" t="s">
        <v>1722</v>
      </c>
      <c r="F304" s="5">
        <v>5235442</v>
      </c>
      <c r="G304" s="5" t="s">
        <v>269</v>
      </c>
      <c r="H304" s="5" t="s">
        <v>30</v>
      </c>
      <c r="I304" s="5" t="s">
        <v>22</v>
      </c>
      <c r="J304" s="5" t="s">
        <v>199</v>
      </c>
      <c r="K304" s="6">
        <v>0</v>
      </c>
      <c r="L304" s="7">
        <v>15.36</v>
      </c>
      <c r="M304" s="8">
        <v>6.080000000000001</v>
      </c>
      <c r="N304" s="8">
        <v>-1.28</v>
      </c>
      <c r="O304" s="8">
        <v>5.1862167739760405</v>
      </c>
      <c r="P304" s="8">
        <v>0</v>
      </c>
      <c r="Q304" s="8">
        <v>0</v>
      </c>
      <c r="R304" s="8">
        <v>0</v>
      </c>
      <c r="S304" s="8">
        <v>0</v>
      </c>
      <c r="T304" s="5">
        <v>5</v>
      </c>
      <c r="U304" s="5">
        <v>5</v>
      </c>
      <c r="V304" s="5">
        <f>VLOOKUP(A304,Planilha1!B:E,4,0)</f>
        <v>13.783871706210666</v>
      </c>
    </row>
    <row r="305" spans="1:22" x14ac:dyDescent="0.3">
      <c r="A305" t="str">
        <f t="shared" si="8"/>
        <v>MANTEIGA 5KGLACTALIS</v>
      </c>
      <c r="B305" t="str">
        <f t="shared" si="9"/>
        <v>5235442MANTEIGA 5KGLACTALIS</v>
      </c>
      <c r="C305" s="5" t="s">
        <v>226</v>
      </c>
      <c r="D305" s="5" t="s">
        <v>227</v>
      </c>
      <c r="E305" s="5" t="s">
        <v>1722</v>
      </c>
      <c r="F305" s="5">
        <v>5235442</v>
      </c>
      <c r="G305" s="5" t="s">
        <v>269</v>
      </c>
      <c r="H305" s="5" t="s">
        <v>30</v>
      </c>
      <c r="I305" s="5" t="s">
        <v>22</v>
      </c>
      <c r="J305" s="5" t="s">
        <v>60</v>
      </c>
      <c r="K305" s="6">
        <v>0</v>
      </c>
      <c r="L305" s="7">
        <v>20</v>
      </c>
      <c r="M305" s="8">
        <v>9.1666666666666679</v>
      </c>
      <c r="N305" s="8">
        <v>-3.3333333333333335</v>
      </c>
      <c r="O305" s="8">
        <v>12.270047933914315</v>
      </c>
      <c r="P305" s="8">
        <v>0</v>
      </c>
      <c r="Q305" s="8">
        <v>0</v>
      </c>
      <c r="R305" s="8">
        <v>0</v>
      </c>
      <c r="S305" s="8">
        <v>0</v>
      </c>
      <c r="T305" s="5">
        <v>12</v>
      </c>
      <c r="U305" s="5">
        <v>12</v>
      </c>
      <c r="V305" s="5">
        <f>VLOOKUP(A305,Planilha1!B:E,4,0)</f>
        <v>11.476197020267191</v>
      </c>
    </row>
    <row r="306" spans="1:22" x14ac:dyDescent="0.3">
      <c r="A306" t="str">
        <f t="shared" si="8"/>
        <v>LEITE UHTLACTALIS</v>
      </c>
      <c r="B306" t="str">
        <f t="shared" si="9"/>
        <v>5248099LEITE UHTLACTALIS</v>
      </c>
      <c r="C306" s="5" t="s">
        <v>226</v>
      </c>
      <c r="D306" s="5" t="s">
        <v>227</v>
      </c>
      <c r="E306" s="5" t="s">
        <v>1722</v>
      </c>
      <c r="F306" s="5">
        <v>5248099</v>
      </c>
      <c r="G306" s="5" t="s">
        <v>270</v>
      </c>
      <c r="H306" s="5" t="s">
        <v>30</v>
      </c>
      <c r="I306" s="5" t="s">
        <v>22</v>
      </c>
      <c r="J306" s="5" t="s">
        <v>156</v>
      </c>
      <c r="K306" s="6">
        <v>0</v>
      </c>
      <c r="L306" s="7">
        <v>144</v>
      </c>
      <c r="M306" s="8">
        <v>80</v>
      </c>
      <c r="N306" s="8">
        <v>48</v>
      </c>
      <c r="O306" s="8">
        <v>34.88541813332364</v>
      </c>
      <c r="P306" s="8">
        <v>0</v>
      </c>
      <c r="Q306" s="8">
        <v>0</v>
      </c>
      <c r="R306" s="8">
        <v>0</v>
      </c>
      <c r="S306" s="8">
        <v>0</v>
      </c>
      <c r="T306" s="5">
        <v>0</v>
      </c>
      <c r="U306" s="5">
        <v>72</v>
      </c>
      <c r="V306" s="5">
        <f>VLOOKUP(A306,Planilha1!B:E,4,0)</f>
        <v>0.37177548115779385</v>
      </c>
    </row>
    <row r="307" spans="1:22" x14ac:dyDescent="0.3">
      <c r="A307" t="str">
        <f t="shared" si="8"/>
        <v>LEITE UHTLACTALIS</v>
      </c>
      <c r="B307" t="str">
        <f t="shared" si="9"/>
        <v>5250969LEITE UHTLACTALIS</v>
      </c>
      <c r="C307" s="5" t="s">
        <v>226</v>
      </c>
      <c r="D307" s="5" t="s">
        <v>227</v>
      </c>
      <c r="E307" s="5" t="s">
        <v>1722</v>
      </c>
      <c r="F307" s="5">
        <v>5250969</v>
      </c>
      <c r="G307" s="5" t="s">
        <v>271</v>
      </c>
      <c r="H307" s="5" t="s">
        <v>30</v>
      </c>
      <c r="I307" s="5" t="s">
        <v>22</v>
      </c>
      <c r="J307" s="5" t="s">
        <v>156</v>
      </c>
      <c r="K307" s="6">
        <v>0</v>
      </c>
      <c r="L307" s="7">
        <v>540</v>
      </c>
      <c r="M307" s="8">
        <v>413</v>
      </c>
      <c r="N307" s="8">
        <v>468</v>
      </c>
      <c r="O307" s="8">
        <v>239.86587555675317</v>
      </c>
      <c r="P307" s="8">
        <v>0</v>
      </c>
      <c r="Q307" s="8">
        <v>0</v>
      </c>
      <c r="R307" s="8">
        <v>0</v>
      </c>
      <c r="S307" s="8">
        <v>0</v>
      </c>
      <c r="T307" s="5">
        <v>0</v>
      </c>
      <c r="U307" s="5">
        <v>360</v>
      </c>
      <c r="V307" s="5">
        <f>VLOOKUP(A307,Planilha1!B:E,4,0)</f>
        <v>0.37177548115779385</v>
      </c>
    </row>
    <row r="308" spans="1:22" x14ac:dyDescent="0.3">
      <c r="A308" t="str">
        <f t="shared" si="8"/>
        <v>LEITE UHTLACTALIS</v>
      </c>
      <c r="B308" t="str">
        <f t="shared" si="9"/>
        <v>5252388LEITE UHTLACTALIS</v>
      </c>
      <c r="C308" s="5" t="s">
        <v>226</v>
      </c>
      <c r="D308" s="5" t="s">
        <v>227</v>
      </c>
      <c r="E308" s="5" t="s">
        <v>1722</v>
      </c>
      <c r="F308" s="5">
        <v>5252388</v>
      </c>
      <c r="G308" s="5" t="s">
        <v>272</v>
      </c>
      <c r="H308" s="5" t="s">
        <v>30</v>
      </c>
      <c r="I308" s="5" t="s">
        <v>22</v>
      </c>
      <c r="J308" s="5" t="s">
        <v>156</v>
      </c>
      <c r="K308" s="6">
        <v>0</v>
      </c>
      <c r="L308" s="7">
        <v>0</v>
      </c>
      <c r="M308" s="8">
        <v>72</v>
      </c>
      <c r="N308" s="8">
        <v>0</v>
      </c>
      <c r="O308" s="8">
        <v>87.218316315001289</v>
      </c>
      <c r="P308" s="8">
        <v>0</v>
      </c>
      <c r="Q308" s="8">
        <v>0</v>
      </c>
      <c r="R308" s="8">
        <v>0</v>
      </c>
      <c r="S308" s="8">
        <v>0</v>
      </c>
      <c r="T308" s="5">
        <v>0</v>
      </c>
      <c r="U308" s="5">
        <v>0</v>
      </c>
      <c r="V308" s="5">
        <f>VLOOKUP(A308,Planilha1!B:E,4,0)</f>
        <v>0.37177548115779385</v>
      </c>
    </row>
    <row r="309" spans="1:22" x14ac:dyDescent="0.3">
      <c r="A309" t="str">
        <f t="shared" si="8"/>
        <v>MANTEIGA 5KGLACTALIS</v>
      </c>
      <c r="B309" t="str">
        <f t="shared" si="9"/>
        <v>5252873MANTEIGA 5KGLACTALIS</v>
      </c>
      <c r="C309" s="5" t="s">
        <v>226</v>
      </c>
      <c r="D309" s="5" t="s">
        <v>227</v>
      </c>
      <c r="E309" s="5" t="s">
        <v>1722</v>
      </c>
      <c r="F309" s="5">
        <v>5252873</v>
      </c>
      <c r="G309" s="5" t="s">
        <v>273</v>
      </c>
      <c r="H309" s="5" t="s">
        <v>30</v>
      </c>
      <c r="I309" s="5" t="s">
        <v>22</v>
      </c>
      <c r="J309" s="5" t="s">
        <v>60</v>
      </c>
      <c r="K309" s="6">
        <v>0</v>
      </c>
      <c r="L309" s="7">
        <v>0</v>
      </c>
      <c r="M309" s="8">
        <v>7.5</v>
      </c>
      <c r="N309" s="8">
        <v>8.3333333333333339</v>
      </c>
      <c r="O309" s="8">
        <v>7.0165337837621244</v>
      </c>
      <c r="P309" s="8">
        <v>0</v>
      </c>
      <c r="Q309" s="8">
        <v>0</v>
      </c>
      <c r="R309" s="8">
        <v>0</v>
      </c>
      <c r="S309" s="8">
        <v>5</v>
      </c>
      <c r="T309" s="5">
        <v>5</v>
      </c>
      <c r="U309" s="5">
        <v>5</v>
      </c>
      <c r="V309" s="5">
        <f>VLOOKUP(A309,Planilha1!B:E,4,0)</f>
        <v>11.476197020267191</v>
      </c>
    </row>
    <row r="310" spans="1:22" x14ac:dyDescent="0.3">
      <c r="A310" t="str">
        <f t="shared" si="8"/>
        <v>LEITE UHTLACTALIS</v>
      </c>
      <c r="B310" t="str">
        <f t="shared" si="9"/>
        <v>5252873LEITE UHTLACTALIS</v>
      </c>
      <c r="C310" s="5" t="s">
        <v>226</v>
      </c>
      <c r="D310" s="5" t="s">
        <v>227</v>
      </c>
      <c r="E310" s="5" t="s">
        <v>1722</v>
      </c>
      <c r="F310" s="5">
        <v>5252873</v>
      </c>
      <c r="G310" s="5" t="s">
        <v>273</v>
      </c>
      <c r="H310" s="5" t="s">
        <v>30</v>
      </c>
      <c r="I310" s="5" t="s">
        <v>22</v>
      </c>
      <c r="J310" s="5" t="s">
        <v>156</v>
      </c>
      <c r="K310" s="6">
        <v>0</v>
      </c>
      <c r="L310" s="7">
        <v>0</v>
      </c>
      <c r="M310" s="8">
        <v>50</v>
      </c>
      <c r="N310" s="8">
        <v>48</v>
      </c>
      <c r="O310" s="8">
        <v>28.353944196709843</v>
      </c>
      <c r="P310" s="8">
        <v>0</v>
      </c>
      <c r="Q310" s="8">
        <v>0</v>
      </c>
      <c r="R310" s="8">
        <v>0</v>
      </c>
      <c r="S310" s="8">
        <v>0</v>
      </c>
      <c r="T310" s="5">
        <v>0</v>
      </c>
      <c r="U310" s="5">
        <v>24</v>
      </c>
      <c r="V310" s="5">
        <f>VLOOKUP(A310,Planilha1!B:E,4,0)</f>
        <v>0.37177548115779385</v>
      </c>
    </row>
    <row r="311" spans="1:22" x14ac:dyDescent="0.3">
      <c r="A311" t="str">
        <f t="shared" si="8"/>
        <v>BLISTERLACTALIS</v>
      </c>
      <c r="B311" t="str">
        <f t="shared" si="9"/>
        <v>5252882BLISTERLACTALIS</v>
      </c>
      <c r="C311" s="5" t="s">
        <v>226</v>
      </c>
      <c r="D311" s="5" t="s">
        <v>227</v>
      </c>
      <c r="E311" s="5" t="s">
        <v>1722</v>
      </c>
      <c r="F311" s="5">
        <v>5252882</v>
      </c>
      <c r="G311" s="5" t="s">
        <v>274</v>
      </c>
      <c r="H311" s="5" t="s">
        <v>30</v>
      </c>
      <c r="I311" s="5" t="s">
        <v>22</v>
      </c>
      <c r="J311" s="5" t="s">
        <v>199</v>
      </c>
      <c r="K311" s="6">
        <v>0</v>
      </c>
      <c r="L311" s="7">
        <v>10.32</v>
      </c>
      <c r="M311" s="8">
        <v>5.08</v>
      </c>
      <c r="N311" s="8">
        <v>2.72</v>
      </c>
      <c r="O311" s="8">
        <v>5.1956634347665247</v>
      </c>
      <c r="P311" s="8">
        <v>0</v>
      </c>
      <c r="Q311" s="8">
        <v>0</v>
      </c>
      <c r="R311" s="8">
        <v>0</v>
      </c>
      <c r="S311" s="8">
        <v>0</v>
      </c>
      <c r="T311" s="5">
        <v>5</v>
      </c>
      <c r="U311" s="5">
        <v>5</v>
      </c>
      <c r="V311" s="5">
        <f>VLOOKUP(A311,Planilha1!B:E,4,0)</f>
        <v>13.783871706210666</v>
      </c>
    </row>
    <row r="312" spans="1:22" x14ac:dyDescent="0.3">
      <c r="A312" t="str">
        <f t="shared" si="8"/>
        <v>LEITE UHTLACTALIS</v>
      </c>
      <c r="B312" t="str">
        <f t="shared" si="9"/>
        <v>5252882LEITE UHTLACTALIS</v>
      </c>
      <c r="C312" s="5" t="s">
        <v>226</v>
      </c>
      <c r="D312" s="5" t="s">
        <v>227</v>
      </c>
      <c r="E312" s="5" t="s">
        <v>1722</v>
      </c>
      <c r="F312" s="5">
        <v>5252882</v>
      </c>
      <c r="G312" s="5" t="s">
        <v>274</v>
      </c>
      <c r="H312" s="5" t="s">
        <v>30</v>
      </c>
      <c r="I312" s="5" t="s">
        <v>22</v>
      </c>
      <c r="J312" s="5" t="s">
        <v>156</v>
      </c>
      <c r="K312" s="6">
        <v>0</v>
      </c>
      <c r="L312" s="7">
        <v>318</v>
      </c>
      <c r="M312" s="8">
        <v>195</v>
      </c>
      <c r="N312" s="8">
        <v>216</v>
      </c>
      <c r="O312" s="8">
        <v>151.55500443423944</v>
      </c>
      <c r="P312" s="8">
        <v>0</v>
      </c>
      <c r="Q312" s="8">
        <v>72</v>
      </c>
      <c r="R312" s="8">
        <v>0</v>
      </c>
      <c r="S312" s="8">
        <v>0</v>
      </c>
      <c r="T312" s="5">
        <v>0</v>
      </c>
      <c r="U312" s="5">
        <v>120</v>
      </c>
      <c r="V312" s="5">
        <f>VLOOKUP(A312,Planilha1!B:E,4,0)</f>
        <v>0.37177548115779385</v>
      </c>
    </row>
    <row r="313" spans="1:22" x14ac:dyDescent="0.3">
      <c r="A313" t="str">
        <f t="shared" si="8"/>
        <v>LEITE UHTLACTALIS</v>
      </c>
      <c r="B313" t="str">
        <f t="shared" si="9"/>
        <v>5253205LEITE UHTLACTALIS</v>
      </c>
      <c r="C313" s="5" t="s">
        <v>226</v>
      </c>
      <c r="D313" s="5" t="s">
        <v>227</v>
      </c>
      <c r="E313" s="5" t="s">
        <v>1722</v>
      </c>
      <c r="F313" s="5">
        <v>5253205</v>
      </c>
      <c r="G313" s="5" t="s">
        <v>275</v>
      </c>
      <c r="H313" s="5" t="s">
        <v>30</v>
      </c>
      <c r="I313" s="5" t="s">
        <v>22</v>
      </c>
      <c r="J313" s="5" t="s">
        <v>156</v>
      </c>
      <c r="K313" s="6">
        <v>0</v>
      </c>
      <c r="L313" s="7">
        <v>480</v>
      </c>
      <c r="M313" s="8">
        <v>160</v>
      </c>
      <c r="N313" s="8">
        <v>0</v>
      </c>
      <c r="O313" s="8">
        <v>261.66449090838825</v>
      </c>
      <c r="P313" s="8">
        <v>0</v>
      </c>
      <c r="Q313" s="8">
        <v>0</v>
      </c>
      <c r="R313" s="8">
        <v>0</v>
      </c>
      <c r="S313" s="8">
        <v>0</v>
      </c>
      <c r="T313" s="5">
        <v>0</v>
      </c>
      <c r="U313" s="5">
        <v>0</v>
      </c>
      <c r="V313" s="5">
        <f>VLOOKUP(A313,Planilha1!B:E,4,0)</f>
        <v>0.37177548115779385</v>
      </c>
    </row>
    <row r="314" spans="1:22" x14ac:dyDescent="0.3">
      <c r="A314" t="str">
        <f t="shared" si="8"/>
        <v>MANTEIGA 5KGLACTALIS</v>
      </c>
      <c r="B314" t="str">
        <f t="shared" si="9"/>
        <v>5255022MANTEIGA 5KGLACTALIS</v>
      </c>
      <c r="C314" s="5" t="s">
        <v>226</v>
      </c>
      <c r="D314" s="5" t="s">
        <v>227</v>
      </c>
      <c r="E314" s="5" t="s">
        <v>1722</v>
      </c>
      <c r="F314" s="5">
        <v>5255022</v>
      </c>
      <c r="G314" s="5" t="s">
        <v>276</v>
      </c>
      <c r="H314" s="5" t="s">
        <v>30</v>
      </c>
      <c r="I314" s="5" t="s">
        <v>22</v>
      </c>
      <c r="J314" s="5" t="s">
        <v>60</v>
      </c>
      <c r="K314" s="6">
        <v>0</v>
      </c>
      <c r="L314" s="7">
        <v>0</v>
      </c>
      <c r="M314" s="8">
        <v>131.66666666666666</v>
      </c>
      <c r="N314" s="8">
        <v>155</v>
      </c>
      <c r="O314" s="8">
        <v>78.895128604044643</v>
      </c>
      <c r="P314" s="8">
        <v>0</v>
      </c>
      <c r="Q314" s="8">
        <v>0</v>
      </c>
      <c r="R314" s="8">
        <v>0</v>
      </c>
      <c r="S314" s="8">
        <v>100</v>
      </c>
      <c r="T314" s="5">
        <v>100</v>
      </c>
      <c r="U314" s="5">
        <v>100</v>
      </c>
      <c r="V314" s="5">
        <f>VLOOKUP(A314,Planilha1!B:E,4,0)</f>
        <v>11.476197020267191</v>
      </c>
    </row>
    <row r="315" spans="1:22" x14ac:dyDescent="0.3">
      <c r="A315" t="str">
        <f t="shared" si="8"/>
        <v>MANTEIGA 5KGLACTALIS</v>
      </c>
      <c r="B315" t="str">
        <f t="shared" si="9"/>
        <v>5257568MANTEIGA 5KGLACTALIS</v>
      </c>
      <c r="C315" s="5" t="s">
        <v>226</v>
      </c>
      <c r="D315" s="5" t="s">
        <v>227</v>
      </c>
      <c r="E315" s="5" t="s">
        <v>1722</v>
      </c>
      <c r="F315" s="5">
        <v>5257568</v>
      </c>
      <c r="G315" s="5" t="s">
        <v>277</v>
      </c>
      <c r="H315" s="5" t="s">
        <v>30</v>
      </c>
      <c r="I315" s="5" t="s">
        <v>22</v>
      </c>
      <c r="J315" s="5" t="s">
        <v>60</v>
      </c>
      <c r="K315" s="6">
        <v>0</v>
      </c>
      <c r="L315" s="7">
        <v>0</v>
      </c>
      <c r="M315" s="8">
        <v>5</v>
      </c>
      <c r="N315" s="8">
        <v>3.3333333333333335</v>
      </c>
      <c r="O315" s="8">
        <v>5.2535141501521885</v>
      </c>
      <c r="P315" s="8">
        <v>0</v>
      </c>
      <c r="Q315" s="8">
        <v>0</v>
      </c>
      <c r="R315" s="8">
        <v>0</v>
      </c>
      <c r="S315" s="8">
        <v>0</v>
      </c>
      <c r="T315" s="5">
        <v>5</v>
      </c>
      <c r="U315" s="5">
        <v>5</v>
      </c>
      <c r="V315" s="5">
        <f>VLOOKUP(A315,Planilha1!B:E,4,0)</f>
        <v>11.476197020267191</v>
      </c>
    </row>
    <row r="316" spans="1:22" x14ac:dyDescent="0.3">
      <c r="A316" t="str">
        <f t="shared" si="8"/>
        <v>LEITE UHTLACTALIS</v>
      </c>
      <c r="B316" t="str">
        <f t="shared" si="9"/>
        <v>5257568LEITE UHTLACTALIS</v>
      </c>
      <c r="C316" s="5" t="s">
        <v>226</v>
      </c>
      <c r="D316" s="5" t="s">
        <v>227</v>
      </c>
      <c r="E316" s="5" t="s">
        <v>1722</v>
      </c>
      <c r="F316" s="5">
        <v>5257568</v>
      </c>
      <c r="G316" s="5" t="s">
        <v>277</v>
      </c>
      <c r="H316" s="5" t="s">
        <v>30</v>
      </c>
      <c r="I316" s="5" t="s">
        <v>22</v>
      </c>
      <c r="J316" s="5" t="s">
        <v>156</v>
      </c>
      <c r="K316" s="6">
        <v>0</v>
      </c>
      <c r="L316" s="7">
        <v>0</v>
      </c>
      <c r="M316" s="8">
        <v>8</v>
      </c>
      <c r="N316" s="8">
        <v>0</v>
      </c>
      <c r="O316" s="8">
        <v>23.988495948352195</v>
      </c>
      <c r="P316" s="8">
        <v>0</v>
      </c>
      <c r="Q316" s="8">
        <v>0</v>
      </c>
      <c r="R316" s="8">
        <v>0</v>
      </c>
      <c r="S316" s="8">
        <v>0</v>
      </c>
      <c r="T316" s="5">
        <v>0</v>
      </c>
      <c r="U316" s="5">
        <v>60</v>
      </c>
      <c r="V316" s="5">
        <f>VLOOKUP(A316,Planilha1!B:E,4,0)</f>
        <v>0.37177548115779385</v>
      </c>
    </row>
    <row r="317" spans="1:22" x14ac:dyDescent="0.3">
      <c r="A317" t="str">
        <f t="shared" si="8"/>
        <v>MANTEIGA 5KGLACTALIS</v>
      </c>
      <c r="B317" t="str">
        <f t="shared" si="9"/>
        <v>5257801MANTEIGA 5KGLACTALIS</v>
      </c>
      <c r="C317" s="5" t="s">
        <v>226</v>
      </c>
      <c r="D317" s="5" t="s">
        <v>227</v>
      </c>
      <c r="E317" s="5" t="s">
        <v>1722</v>
      </c>
      <c r="F317" s="5">
        <v>5257801</v>
      </c>
      <c r="G317" s="5" t="s">
        <v>278</v>
      </c>
      <c r="H317" s="5" t="s">
        <v>30</v>
      </c>
      <c r="I317" s="5" t="s">
        <v>22</v>
      </c>
      <c r="J317" s="5" t="s">
        <v>60</v>
      </c>
      <c r="K317" s="6">
        <v>0</v>
      </c>
      <c r="L317" s="7">
        <v>100</v>
      </c>
      <c r="M317" s="8">
        <v>157.50000000000003</v>
      </c>
      <c r="N317" s="8">
        <v>131.66666666666666</v>
      </c>
      <c r="O317" s="8">
        <v>184.07915480925681</v>
      </c>
      <c r="P317" s="8">
        <v>0</v>
      </c>
      <c r="Q317" s="8">
        <v>50</v>
      </c>
      <c r="R317" s="8">
        <v>0</v>
      </c>
      <c r="S317" s="8">
        <v>75</v>
      </c>
      <c r="T317" s="5">
        <v>75</v>
      </c>
      <c r="U317" s="5">
        <v>75</v>
      </c>
      <c r="V317" s="5">
        <f>VLOOKUP(A317,Planilha1!B:E,4,0)</f>
        <v>11.476197020267191</v>
      </c>
    </row>
    <row r="318" spans="1:22" x14ac:dyDescent="0.3">
      <c r="A318" t="str">
        <f t="shared" si="8"/>
        <v>MANTEIGA 5KGLACTALIS</v>
      </c>
      <c r="B318" t="str">
        <f t="shared" si="9"/>
        <v>5259536MANTEIGA 5KGLACTALIS</v>
      </c>
      <c r="C318" s="5" t="s">
        <v>226</v>
      </c>
      <c r="D318" s="5" t="s">
        <v>227</v>
      </c>
      <c r="E318" s="5" t="s">
        <v>1722</v>
      </c>
      <c r="F318" s="5">
        <v>5259536</v>
      </c>
      <c r="G318" s="5" t="s">
        <v>279</v>
      </c>
      <c r="H318" s="5" t="s">
        <v>30</v>
      </c>
      <c r="I318" s="5" t="s">
        <v>22</v>
      </c>
      <c r="J318" s="5" t="s">
        <v>60</v>
      </c>
      <c r="K318" s="6">
        <v>0</v>
      </c>
      <c r="L318" s="7">
        <v>60</v>
      </c>
      <c r="M318" s="8">
        <v>63.333333333333343</v>
      </c>
      <c r="N318" s="8">
        <v>68.333333333333329</v>
      </c>
      <c r="O318" s="8">
        <v>57.86685410316484</v>
      </c>
      <c r="P318" s="8">
        <v>0</v>
      </c>
      <c r="Q318" s="8">
        <v>50</v>
      </c>
      <c r="R318" s="8">
        <v>0</v>
      </c>
      <c r="S318" s="8">
        <v>60</v>
      </c>
      <c r="T318" s="5">
        <v>60</v>
      </c>
      <c r="U318" s="5">
        <v>30</v>
      </c>
      <c r="V318" s="5">
        <f>VLOOKUP(A318,Planilha1!B:E,4,0)</f>
        <v>11.476197020267191</v>
      </c>
    </row>
    <row r="319" spans="1:22" x14ac:dyDescent="0.3">
      <c r="A319" t="str">
        <f t="shared" si="8"/>
        <v>LEITE UHTLACTALIS</v>
      </c>
      <c r="B319" t="str">
        <f t="shared" si="9"/>
        <v>5259536LEITE UHTLACTALIS</v>
      </c>
      <c r="C319" s="5" t="s">
        <v>226</v>
      </c>
      <c r="D319" s="5" t="s">
        <v>227</v>
      </c>
      <c r="E319" s="5" t="s">
        <v>1722</v>
      </c>
      <c r="F319" s="5">
        <v>5259536</v>
      </c>
      <c r="G319" s="5" t="s">
        <v>279</v>
      </c>
      <c r="H319" s="5" t="s">
        <v>30</v>
      </c>
      <c r="I319" s="5" t="s">
        <v>22</v>
      </c>
      <c r="J319" s="5" t="s">
        <v>156</v>
      </c>
      <c r="K319" s="6">
        <v>0</v>
      </c>
      <c r="L319" s="7">
        <v>84</v>
      </c>
      <c r="M319" s="8">
        <v>98</v>
      </c>
      <c r="N319" s="8">
        <v>76</v>
      </c>
      <c r="O319" s="8">
        <v>47.976991896704391</v>
      </c>
      <c r="P319" s="8">
        <v>0</v>
      </c>
      <c r="Q319" s="8">
        <v>24</v>
      </c>
      <c r="R319" s="8">
        <v>0</v>
      </c>
      <c r="S319" s="8">
        <v>0</v>
      </c>
      <c r="T319" s="5">
        <v>0</v>
      </c>
      <c r="U319" s="5">
        <v>24</v>
      </c>
      <c r="V319" s="5">
        <f>VLOOKUP(A319,Planilha1!B:E,4,0)</f>
        <v>0.37177548115779385</v>
      </c>
    </row>
    <row r="320" spans="1:22" x14ac:dyDescent="0.3">
      <c r="A320" t="str">
        <f t="shared" si="8"/>
        <v>MANTEIGA 5KGLACTALIS</v>
      </c>
      <c r="B320" t="str">
        <f t="shared" si="9"/>
        <v>5259994MANTEIGA 5KGLACTALIS</v>
      </c>
      <c r="C320" s="5" t="s">
        <v>226</v>
      </c>
      <c r="D320" s="5" t="s">
        <v>227</v>
      </c>
      <c r="E320" s="5" t="s">
        <v>1722</v>
      </c>
      <c r="F320" s="5">
        <v>5259994</v>
      </c>
      <c r="G320" s="5" t="s">
        <v>280</v>
      </c>
      <c r="H320" s="5" t="s">
        <v>30</v>
      </c>
      <c r="I320" s="5" t="s">
        <v>22</v>
      </c>
      <c r="J320" s="5" t="s">
        <v>60</v>
      </c>
      <c r="K320" s="6">
        <v>0</v>
      </c>
      <c r="L320" s="7">
        <v>30</v>
      </c>
      <c r="M320" s="8">
        <v>1.6666666666666667</v>
      </c>
      <c r="N320" s="8">
        <v>0</v>
      </c>
      <c r="O320" s="8">
        <v>3.5047124168133004</v>
      </c>
      <c r="P320" s="8">
        <v>0</v>
      </c>
      <c r="Q320" s="8">
        <v>0</v>
      </c>
      <c r="R320" s="8">
        <v>0</v>
      </c>
      <c r="S320" s="8">
        <v>0</v>
      </c>
      <c r="T320" s="5">
        <v>0</v>
      </c>
      <c r="U320" s="5">
        <v>5</v>
      </c>
      <c r="V320" s="5">
        <f>VLOOKUP(A320,Planilha1!B:E,4,0)</f>
        <v>11.476197020267191</v>
      </c>
    </row>
    <row r="321" spans="1:22" x14ac:dyDescent="0.3">
      <c r="A321" t="str">
        <f t="shared" si="8"/>
        <v>LEITE UHTLACTALIS</v>
      </c>
      <c r="B321" t="str">
        <f t="shared" si="9"/>
        <v>5259994LEITE UHTLACTALIS</v>
      </c>
      <c r="C321" s="5" t="s">
        <v>226</v>
      </c>
      <c r="D321" s="5" t="s">
        <v>227</v>
      </c>
      <c r="E321" s="5" t="s">
        <v>1722</v>
      </c>
      <c r="F321" s="5">
        <v>5259994</v>
      </c>
      <c r="G321" s="5" t="s">
        <v>280</v>
      </c>
      <c r="H321" s="5" t="s">
        <v>30</v>
      </c>
      <c r="I321" s="5" t="s">
        <v>22</v>
      </c>
      <c r="J321" s="5" t="s">
        <v>156</v>
      </c>
      <c r="K321" s="6">
        <v>0</v>
      </c>
      <c r="L321" s="7">
        <v>48</v>
      </c>
      <c r="M321" s="8">
        <v>0</v>
      </c>
      <c r="N321" s="8">
        <v>0</v>
      </c>
      <c r="O321" s="8">
        <v>13.082031799996365</v>
      </c>
      <c r="P321" s="8">
        <v>0</v>
      </c>
      <c r="Q321" s="8">
        <v>0</v>
      </c>
      <c r="R321" s="8">
        <v>0</v>
      </c>
      <c r="S321" s="8">
        <v>0</v>
      </c>
      <c r="T321" s="5">
        <v>0</v>
      </c>
      <c r="U321" s="5">
        <v>0</v>
      </c>
      <c r="V321" s="5">
        <f>VLOOKUP(A321,Planilha1!B:E,4,0)</f>
        <v>0.37177548115779385</v>
      </c>
    </row>
    <row r="322" spans="1:22" x14ac:dyDescent="0.3">
      <c r="A322" t="str">
        <f t="shared" ref="A322:A385" si="10">J322&amp;I322</f>
        <v>MANTEIGA 5KGLACTALIS</v>
      </c>
      <c r="B322" t="str">
        <f t="shared" si="9"/>
        <v>5260049MANTEIGA 5KGLACTALIS</v>
      </c>
      <c r="C322" s="5" t="s">
        <v>226</v>
      </c>
      <c r="D322" s="5" t="s">
        <v>227</v>
      </c>
      <c r="E322" s="5" t="s">
        <v>1722</v>
      </c>
      <c r="F322" s="5">
        <v>5260049</v>
      </c>
      <c r="G322" s="5" t="s">
        <v>281</v>
      </c>
      <c r="H322" s="5" t="s">
        <v>30</v>
      </c>
      <c r="I322" s="5" t="s">
        <v>22</v>
      </c>
      <c r="J322" s="5" t="s">
        <v>60</v>
      </c>
      <c r="K322" s="6">
        <v>0</v>
      </c>
      <c r="L322" s="7">
        <v>10</v>
      </c>
      <c r="M322" s="8">
        <v>30</v>
      </c>
      <c r="N322" s="8">
        <v>25</v>
      </c>
      <c r="O322" s="8">
        <v>49.087300685792776</v>
      </c>
      <c r="P322" s="8">
        <v>0</v>
      </c>
      <c r="Q322" s="8">
        <v>10</v>
      </c>
      <c r="R322" s="8">
        <v>0</v>
      </c>
      <c r="S322" s="8">
        <v>10</v>
      </c>
      <c r="T322" s="5">
        <v>10</v>
      </c>
      <c r="U322" s="5">
        <v>10</v>
      </c>
      <c r="V322" s="5">
        <f>VLOOKUP(A322,Planilha1!B:E,4,0)</f>
        <v>11.476197020267191</v>
      </c>
    </row>
    <row r="323" spans="1:22" x14ac:dyDescent="0.3">
      <c r="A323" t="str">
        <f t="shared" si="10"/>
        <v>MANTEIGA 5KGLACTALIS</v>
      </c>
      <c r="B323" t="str">
        <f t="shared" ref="B323:B386" si="11">F323&amp;J323&amp;I323</f>
        <v>5261269MANTEIGA 5KGLACTALIS</v>
      </c>
      <c r="C323" s="5" t="s">
        <v>226</v>
      </c>
      <c r="D323" s="5" t="s">
        <v>227</v>
      </c>
      <c r="E323" s="5" t="s">
        <v>1722</v>
      </c>
      <c r="F323" s="5">
        <v>5261269</v>
      </c>
      <c r="G323" s="5" t="s">
        <v>282</v>
      </c>
      <c r="H323" s="5" t="s">
        <v>30</v>
      </c>
      <c r="I323" s="5" t="s">
        <v>22</v>
      </c>
      <c r="J323" s="5" t="s">
        <v>60</v>
      </c>
      <c r="K323" s="6">
        <v>0</v>
      </c>
      <c r="L323" s="7">
        <v>25</v>
      </c>
      <c r="M323" s="8">
        <v>8.3333333333333339</v>
      </c>
      <c r="N323" s="8">
        <v>0</v>
      </c>
      <c r="O323" s="8">
        <v>35.061342068404052</v>
      </c>
      <c r="P323" s="8">
        <v>0</v>
      </c>
      <c r="Q323" s="8">
        <v>0</v>
      </c>
      <c r="R323" s="8">
        <v>0</v>
      </c>
      <c r="S323" s="8">
        <v>0</v>
      </c>
      <c r="T323" s="5">
        <v>35</v>
      </c>
      <c r="U323" s="5">
        <v>35</v>
      </c>
      <c r="V323" s="5">
        <f>VLOOKUP(A323,Planilha1!B:E,4,0)</f>
        <v>11.476197020267191</v>
      </c>
    </row>
    <row r="324" spans="1:22" x14ac:dyDescent="0.3">
      <c r="A324" t="str">
        <f t="shared" si="10"/>
        <v>MANTEIGA 5KGLACTALIS</v>
      </c>
      <c r="B324" t="str">
        <f t="shared" si="11"/>
        <v>5261586MANTEIGA 5KGLACTALIS</v>
      </c>
      <c r="C324" s="5" t="s">
        <v>226</v>
      </c>
      <c r="D324" s="5" t="s">
        <v>227</v>
      </c>
      <c r="E324" s="5" t="s">
        <v>1722</v>
      </c>
      <c r="F324" s="5">
        <v>5261586</v>
      </c>
      <c r="G324" s="5" t="s">
        <v>283</v>
      </c>
      <c r="H324" s="5" t="s">
        <v>30</v>
      </c>
      <c r="I324" s="5" t="s">
        <v>22</v>
      </c>
      <c r="J324" s="5" t="s">
        <v>60</v>
      </c>
      <c r="K324" s="6">
        <v>0</v>
      </c>
      <c r="L324" s="7">
        <v>200</v>
      </c>
      <c r="M324" s="8">
        <v>162.5</v>
      </c>
      <c r="N324" s="8">
        <v>141.66666666666666</v>
      </c>
      <c r="O324" s="8">
        <v>157.78314825795374</v>
      </c>
      <c r="P324" s="8">
        <v>0</v>
      </c>
      <c r="Q324" s="8">
        <v>0</v>
      </c>
      <c r="R324" s="8">
        <v>0</v>
      </c>
      <c r="S324" s="8">
        <v>125</v>
      </c>
      <c r="T324" s="5">
        <v>125</v>
      </c>
      <c r="U324" s="5">
        <v>50</v>
      </c>
      <c r="V324" s="5">
        <f>VLOOKUP(A324,Planilha1!B:E,4,0)</f>
        <v>11.476197020267191</v>
      </c>
    </row>
    <row r="325" spans="1:22" x14ac:dyDescent="0.3">
      <c r="A325" t="str">
        <f t="shared" si="10"/>
        <v>LEITE UHTLACTALIS</v>
      </c>
      <c r="B325" t="str">
        <f t="shared" si="11"/>
        <v>5261915LEITE UHTLACTALIS</v>
      </c>
      <c r="C325" s="5" t="s">
        <v>226</v>
      </c>
      <c r="D325" s="5" t="s">
        <v>227</v>
      </c>
      <c r="E325" s="5" t="s">
        <v>1722</v>
      </c>
      <c r="F325" s="5">
        <v>5261915</v>
      </c>
      <c r="G325" s="5" t="s">
        <v>284</v>
      </c>
      <c r="H325" s="5" t="s">
        <v>30</v>
      </c>
      <c r="I325" s="5" t="s">
        <v>22</v>
      </c>
      <c r="J325" s="5" t="s">
        <v>156</v>
      </c>
      <c r="K325" s="6">
        <v>0</v>
      </c>
      <c r="L325" s="7">
        <v>1080</v>
      </c>
      <c r="M325" s="8">
        <v>1600</v>
      </c>
      <c r="N325" s="8">
        <v>1600</v>
      </c>
      <c r="O325" s="8">
        <v>1068.4995178204176</v>
      </c>
      <c r="P325" s="8">
        <v>0</v>
      </c>
      <c r="Q325" s="8">
        <v>0</v>
      </c>
      <c r="R325" s="8">
        <v>0</v>
      </c>
      <c r="S325" s="8">
        <v>0</v>
      </c>
      <c r="T325" s="5">
        <v>0</v>
      </c>
      <c r="U325" s="5">
        <v>1440</v>
      </c>
      <c r="V325" s="5">
        <f>VLOOKUP(A325,Planilha1!B:E,4,0)</f>
        <v>0.37177548115779385</v>
      </c>
    </row>
    <row r="326" spans="1:22" x14ac:dyDescent="0.3">
      <c r="A326" t="str">
        <f t="shared" si="10"/>
        <v>LEITE UHTLACTALIS</v>
      </c>
      <c r="B326" t="str">
        <f t="shared" si="11"/>
        <v>5262079LEITE UHTLACTALIS</v>
      </c>
      <c r="C326" s="5" t="s">
        <v>226</v>
      </c>
      <c r="D326" s="5" t="s">
        <v>227</v>
      </c>
      <c r="E326" s="5" t="s">
        <v>1722</v>
      </c>
      <c r="F326" s="5">
        <v>5262079</v>
      </c>
      <c r="G326" s="5" t="s">
        <v>285</v>
      </c>
      <c r="H326" s="5" t="s">
        <v>30</v>
      </c>
      <c r="I326" s="5" t="s">
        <v>22</v>
      </c>
      <c r="J326" s="5" t="s">
        <v>156</v>
      </c>
      <c r="K326" s="6">
        <v>0</v>
      </c>
      <c r="L326" s="7">
        <v>0</v>
      </c>
      <c r="M326" s="8">
        <v>30</v>
      </c>
      <c r="N326" s="8">
        <v>0</v>
      </c>
      <c r="O326" s="8">
        <v>10.90646414835583</v>
      </c>
      <c r="P326" s="8">
        <v>0</v>
      </c>
      <c r="Q326" s="8">
        <v>0</v>
      </c>
      <c r="R326" s="8">
        <v>0</v>
      </c>
      <c r="S326" s="8">
        <v>0</v>
      </c>
      <c r="T326" s="5">
        <v>0</v>
      </c>
      <c r="U326" s="5">
        <v>24</v>
      </c>
      <c r="V326" s="5">
        <f>VLOOKUP(A326,Planilha1!B:E,4,0)</f>
        <v>0.37177548115779385</v>
      </c>
    </row>
    <row r="327" spans="1:22" x14ac:dyDescent="0.3">
      <c r="A327" t="str">
        <f t="shared" si="10"/>
        <v>BLISTERLACTALIS</v>
      </c>
      <c r="B327" t="str">
        <f t="shared" si="11"/>
        <v>5262403BLISTERLACTALIS</v>
      </c>
      <c r="C327" s="5" t="s">
        <v>226</v>
      </c>
      <c r="D327" s="5" t="s">
        <v>227</v>
      </c>
      <c r="E327" s="5" t="s">
        <v>1722</v>
      </c>
      <c r="F327" s="5">
        <v>5262403</v>
      </c>
      <c r="G327" s="5" t="s">
        <v>286</v>
      </c>
      <c r="H327" s="5" t="s">
        <v>30</v>
      </c>
      <c r="I327" s="5" t="s">
        <v>22</v>
      </c>
      <c r="J327" s="5" t="s">
        <v>199</v>
      </c>
      <c r="K327" s="6">
        <v>0</v>
      </c>
      <c r="L327" s="7">
        <v>1.92</v>
      </c>
      <c r="M327" s="8">
        <v>2.56</v>
      </c>
      <c r="N327" s="8">
        <v>1.92</v>
      </c>
      <c r="O327" s="8">
        <v>1.8609921757254642</v>
      </c>
      <c r="P327" s="8">
        <v>0</v>
      </c>
      <c r="Q327" s="8">
        <v>0</v>
      </c>
      <c r="R327" s="8">
        <v>0</v>
      </c>
      <c r="S327" s="8">
        <v>2</v>
      </c>
      <c r="T327" s="5">
        <v>2</v>
      </c>
      <c r="U327" s="5">
        <v>2</v>
      </c>
      <c r="V327" s="5">
        <f>VLOOKUP(A327,Planilha1!B:E,4,0)</f>
        <v>13.783871706210666</v>
      </c>
    </row>
    <row r="328" spans="1:22" x14ac:dyDescent="0.3">
      <c r="A328" t="str">
        <f t="shared" si="10"/>
        <v>MANTEIGA 5KGLACTALIS</v>
      </c>
      <c r="B328" t="str">
        <f t="shared" si="11"/>
        <v>5262403MANTEIGA 5KGLACTALIS</v>
      </c>
      <c r="C328" s="5" t="s">
        <v>226</v>
      </c>
      <c r="D328" s="5" t="s">
        <v>227</v>
      </c>
      <c r="E328" s="5" t="s">
        <v>1722</v>
      </c>
      <c r="F328" s="5">
        <v>5262403</v>
      </c>
      <c r="G328" s="5" t="s">
        <v>286</v>
      </c>
      <c r="H328" s="5" t="s">
        <v>30</v>
      </c>
      <c r="I328" s="5" t="s">
        <v>22</v>
      </c>
      <c r="J328" s="5" t="s">
        <v>60</v>
      </c>
      <c r="K328" s="6">
        <v>0</v>
      </c>
      <c r="L328" s="7">
        <v>0</v>
      </c>
      <c r="M328" s="8">
        <v>62.5</v>
      </c>
      <c r="N328" s="8">
        <v>65</v>
      </c>
      <c r="O328" s="8">
        <v>1.7488017333388881</v>
      </c>
      <c r="P328" s="8">
        <v>0</v>
      </c>
      <c r="Q328" s="8">
        <v>0</v>
      </c>
      <c r="R328" s="8">
        <v>0</v>
      </c>
      <c r="S328" s="8">
        <v>0</v>
      </c>
      <c r="T328" s="5">
        <v>0</v>
      </c>
      <c r="U328" s="5">
        <v>2</v>
      </c>
      <c r="V328" s="5">
        <f>VLOOKUP(A328,Planilha1!B:E,4,0)</f>
        <v>11.476197020267191</v>
      </c>
    </row>
    <row r="329" spans="1:22" x14ac:dyDescent="0.3">
      <c r="A329" t="str">
        <f t="shared" si="10"/>
        <v>LEITE UHTLACTALIS</v>
      </c>
      <c r="B329" t="str">
        <f t="shared" si="11"/>
        <v>5262403LEITE UHTLACTALIS</v>
      </c>
      <c r="C329" s="5" t="s">
        <v>226</v>
      </c>
      <c r="D329" s="5" t="s">
        <v>227</v>
      </c>
      <c r="E329" s="5" t="s">
        <v>1722</v>
      </c>
      <c r="F329" s="5">
        <v>5262403</v>
      </c>
      <c r="G329" s="5" t="s">
        <v>286</v>
      </c>
      <c r="H329" s="5" t="s">
        <v>30</v>
      </c>
      <c r="I329" s="5" t="s">
        <v>22</v>
      </c>
      <c r="J329" s="5" t="s">
        <v>156</v>
      </c>
      <c r="K329" s="6">
        <v>0</v>
      </c>
      <c r="L329" s="7">
        <v>168</v>
      </c>
      <c r="M329" s="8">
        <v>207</v>
      </c>
      <c r="N329" s="8">
        <v>188</v>
      </c>
      <c r="O329" s="8">
        <v>97.041767619229034</v>
      </c>
      <c r="P329" s="8">
        <v>0</v>
      </c>
      <c r="Q329" s="8">
        <v>60</v>
      </c>
      <c r="R329" s="8">
        <v>0</v>
      </c>
      <c r="S329" s="8">
        <v>0</v>
      </c>
      <c r="T329" s="5">
        <v>0</v>
      </c>
      <c r="U329" s="5">
        <v>180</v>
      </c>
      <c r="V329" s="5">
        <f>VLOOKUP(A329,Planilha1!B:E,4,0)</f>
        <v>0.37177548115779385</v>
      </c>
    </row>
    <row r="330" spans="1:22" x14ac:dyDescent="0.3">
      <c r="A330" t="str">
        <f t="shared" si="10"/>
        <v>BLISTERLACTALIS</v>
      </c>
      <c r="B330" t="str">
        <f t="shared" si="11"/>
        <v>5263210BLISTERLACTALIS</v>
      </c>
      <c r="C330" s="5" t="s">
        <v>226</v>
      </c>
      <c r="D330" s="5" t="s">
        <v>227</v>
      </c>
      <c r="E330" s="5" t="s">
        <v>1722</v>
      </c>
      <c r="F330" s="5">
        <v>5263210</v>
      </c>
      <c r="G330" s="5" t="s">
        <v>287</v>
      </c>
      <c r="H330" s="5" t="s">
        <v>30</v>
      </c>
      <c r="I330" s="5" t="s">
        <v>22</v>
      </c>
      <c r="J330" s="5" t="s">
        <v>199</v>
      </c>
      <c r="K330" s="6">
        <v>0</v>
      </c>
      <c r="L330" s="7">
        <v>1.92</v>
      </c>
      <c r="M330" s="8">
        <v>1.28</v>
      </c>
      <c r="N330" s="8">
        <v>1.28</v>
      </c>
      <c r="O330" s="8">
        <v>0.73683954165779808</v>
      </c>
      <c r="P330" s="8">
        <v>0</v>
      </c>
      <c r="Q330" s="8">
        <v>1.92</v>
      </c>
      <c r="R330" s="8">
        <v>0</v>
      </c>
      <c r="S330" s="8">
        <v>2</v>
      </c>
      <c r="T330" s="5">
        <v>2</v>
      </c>
      <c r="U330" s="5">
        <v>2</v>
      </c>
      <c r="V330" s="5">
        <f>VLOOKUP(A330,Planilha1!B:E,4,0)</f>
        <v>13.783871706210666</v>
      </c>
    </row>
    <row r="331" spans="1:22" x14ac:dyDescent="0.3">
      <c r="A331" t="str">
        <f t="shared" si="10"/>
        <v>MANTEIGA 5KGLACTALIS</v>
      </c>
      <c r="B331" t="str">
        <f t="shared" si="11"/>
        <v>5263210MANTEIGA 5KGLACTALIS</v>
      </c>
      <c r="C331" s="5" t="s">
        <v>226</v>
      </c>
      <c r="D331" s="5" t="s">
        <v>227</v>
      </c>
      <c r="E331" s="5" t="s">
        <v>1722</v>
      </c>
      <c r="F331" s="5">
        <v>5263210</v>
      </c>
      <c r="G331" s="5" t="s">
        <v>287</v>
      </c>
      <c r="H331" s="5" t="s">
        <v>30</v>
      </c>
      <c r="I331" s="5" t="s">
        <v>22</v>
      </c>
      <c r="J331" s="5" t="s">
        <v>60</v>
      </c>
      <c r="K331" s="6">
        <v>0</v>
      </c>
      <c r="L331" s="7">
        <v>25</v>
      </c>
      <c r="M331" s="8">
        <v>25.833333333333332</v>
      </c>
      <c r="N331" s="8">
        <v>25</v>
      </c>
      <c r="O331" s="8">
        <v>24.554313768099675</v>
      </c>
      <c r="P331" s="8">
        <v>0</v>
      </c>
      <c r="Q331" s="8">
        <v>15</v>
      </c>
      <c r="R331" s="8">
        <v>0</v>
      </c>
      <c r="S331" s="8">
        <v>30</v>
      </c>
      <c r="T331" s="5">
        <v>30</v>
      </c>
      <c r="U331" s="5">
        <v>30</v>
      </c>
      <c r="V331" s="5">
        <f>VLOOKUP(A331,Planilha1!B:E,4,0)</f>
        <v>11.476197020267191</v>
      </c>
    </row>
    <row r="332" spans="1:22" x14ac:dyDescent="0.3">
      <c r="A332" t="str">
        <f t="shared" si="10"/>
        <v>LEITE UHTLACTALIS</v>
      </c>
      <c r="B332" t="str">
        <f t="shared" si="11"/>
        <v>5263210LEITE UHTLACTALIS</v>
      </c>
      <c r="C332" s="5" t="s">
        <v>226</v>
      </c>
      <c r="D332" s="5" t="s">
        <v>227</v>
      </c>
      <c r="E332" s="5" t="s">
        <v>1722</v>
      </c>
      <c r="F332" s="5">
        <v>5263210</v>
      </c>
      <c r="G332" s="5" t="s">
        <v>287</v>
      </c>
      <c r="H332" s="5" t="s">
        <v>30</v>
      </c>
      <c r="I332" s="5" t="s">
        <v>22</v>
      </c>
      <c r="J332" s="5" t="s">
        <v>156</v>
      </c>
      <c r="K332" s="6">
        <v>0</v>
      </c>
      <c r="L332" s="7">
        <v>60</v>
      </c>
      <c r="M332" s="8">
        <v>44</v>
      </c>
      <c r="N332" s="8">
        <v>48</v>
      </c>
      <c r="O332" s="8">
        <v>30.524740866658185</v>
      </c>
      <c r="P332" s="8">
        <v>0</v>
      </c>
      <c r="Q332" s="8">
        <v>36</v>
      </c>
      <c r="R332" s="8">
        <v>0</v>
      </c>
      <c r="S332" s="8">
        <v>0</v>
      </c>
      <c r="T332" s="5">
        <v>0</v>
      </c>
      <c r="U332" s="5">
        <v>72</v>
      </c>
      <c r="V332" s="5">
        <f>VLOOKUP(A332,Planilha1!B:E,4,0)</f>
        <v>0.37177548115779385</v>
      </c>
    </row>
    <row r="333" spans="1:22" x14ac:dyDescent="0.3">
      <c r="A333" t="str">
        <f t="shared" si="10"/>
        <v>LEITE UHTLACTALIS</v>
      </c>
      <c r="B333" t="str">
        <f t="shared" si="11"/>
        <v>5263281LEITE UHTLACTALIS</v>
      </c>
      <c r="C333" s="5" t="s">
        <v>226</v>
      </c>
      <c r="D333" s="5" t="s">
        <v>227</v>
      </c>
      <c r="E333" s="5" t="s">
        <v>1722</v>
      </c>
      <c r="F333" s="5">
        <v>5263281</v>
      </c>
      <c r="G333" s="5" t="s">
        <v>288</v>
      </c>
      <c r="H333" s="5" t="s">
        <v>30</v>
      </c>
      <c r="I333" s="5" t="s">
        <v>22</v>
      </c>
      <c r="J333" s="5" t="s">
        <v>156</v>
      </c>
      <c r="K333" s="6">
        <v>0</v>
      </c>
      <c r="L333" s="7">
        <v>0</v>
      </c>
      <c r="M333" s="8">
        <v>0</v>
      </c>
      <c r="N333" s="8">
        <v>0</v>
      </c>
      <c r="O333" s="8">
        <v>3.2681224591529938</v>
      </c>
      <c r="P333" s="8">
        <v>0</v>
      </c>
      <c r="Q333" s="8">
        <v>0</v>
      </c>
      <c r="R333" s="8">
        <v>0</v>
      </c>
      <c r="S333" s="8">
        <v>0</v>
      </c>
      <c r="T333" s="5">
        <v>0</v>
      </c>
      <c r="U333" s="5">
        <v>0</v>
      </c>
      <c r="V333" s="5">
        <f>VLOOKUP(A333,Planilha1!B:E,4,0)</f>
        <v>0.37177548115779385</v>
      </c>
    </row>
    <row r="334" spans="1:22" x14ac:dyDescent="0.3">
      <c r="A334" t="str">
        <f t="shared" si="10"/>
        <v>LEITE UHTLACTALIS</v>
      </c>
      <c r="B334" t="str">
        <f t="shared" si="11"/>
        <v>5263338LEITE UHTLACTALIS</v>
      </c>
      <c r="C334" s="5" t="s">
        <v>226</v>
      </c>
      <c r="D334" s="5" t="s">
        <v>227</v>
      </c>
      <c r="E334" s="5" t="s">
        <v>1722</v>
      </c>
      <c r="F334" s="5">
        <v>5263338</v>
      </c>
      <c r="G334" s="5" t="s">
        <v>289</v>
      </c>
      <c r="H334" s="5" t="s">
        <v>30</v>
      </c>
      <c r="I334" s="5" t="s">
        <v>22</v>
      </c>
      <c r="J334" s="5" t="s">
        <v>156</v>
      </c>
      <c r="K334" s="6">
        <v>0</v>
      </c>
      <c r="L334" s="7">
        <v>0</v>
      </c>
      <c r="M334" s="8">
        <v>48</v>
      </c>
      <c r="N334" s="8">
        <v>0</v>
      </c>
      <c r="O334" s="8">
        <v>102.49022871171476</v>
      </c>
      <c r="P334" s="8">
        <v>0</v>
      </c>
      <c r="Q334" s="8">
        <v>0</v>
      </c>
      <c r="R334" s="8">
        <v>0</v>
      </c>
      <c r="S334" s="8">
        <v>0</v>
      </c>
      <c r="T334" s="5">
        <v>0</v>
      </c>
      <c r="U334" s="5">
        <v>0</v>
      </c>
      <c r="V334" s="5">
        <f>VLOOKUP(A334,Planilha1!B:E,4,0)</f>
        <v>0.37177548115779385</v>
      </c>
    </row>
    <row r="335" spans="1:22" x14ac:dyDescent="0.3">
      <c r="A335" t="str">
        <f t="shared" si="10"/>
        <v>LEITE UHTLACTALIS</v>
      </c>
      <c r="B335" t="str">
        <f t="shared" si="11"/>
        <v>5263417LEITE UHTLACTALIS</v>
      </c>
      <c r="C335" s="5" t="s">
        <v>226</v>
      </c>
      <c r="D335" s="5" t="s">
        <v>227</v>
      </c>
      <c r="E335" s="5" t="s">
        <v>1722</v>
      </c>
      <c r="F335" s="5">
        <v>5263417</v>
      </c>
      <c r="G335" s="5" t="s">
        <v>289</v>
      </c>
      <c r="H335" s="5" t="s">
        <v>30</v>
      </c>
      <c r="I335" s="5" t="s">
        <v>22</v>
      </c>
      <c r="J335" s="5" t="s">
        <v>156</v>
      </c>
      <c r="K335" s="6">
        <v>0</v>
      </c>
      <c r="L335" s="7">
        <v>0</v>
      </c>
      <c r="M335" s="8">
        <v>38</v>
      </c>
      <c r="N335" s="8">
        <v>0</v>
      </c>
      <c r="O335" s="8">
        <v>115.57226051171112</v>
      </c>
      <c r="P335" s="8">
        <v>0</v>
      </c>
      <c r="Q335" s="8">
        <v>0</v>
      </c>
      <c r="R335" s="8">
        <v>0</v>
      </c>
      <c r="S335" s="8">
        <v>0</v>
      </c>
      <c r="T335" s="5">
        <v>0</v>
      </c>
      <c r="U335" s="5">
        <v>0</v>
      </c>
      <c r="V335" s="5">
        <f>VLOOKUP(A335,Planilha1!B:E,4,0)</f>
        <v>0.37177548115779385</v>
      </c>
    </row>
    <row r="336" spans="1:22" x14ac:dyDescent="0.3">
      <c r="A336" t="str">
        <f t="shared" si="10"/>
        <v>LEITE UHTLACTALIS</v>
      </c>
      <c r="B336" t="str">
        <f t="shared" si="11"/>
        <v>5263418LEITE UHTLACTALIS</v>
      </c>
      <c r="C336" s="5" t="s">
        <v>226</v>
      </c>
      <c r="D336" s="5" t="s">
        <v>227</v>
      </c>
      <c r="E336" s="5" t="s">
        <v>1722</v>
      </c>
      <c r="F336" s="5">
        <v>5263418</v>
      </c>
      <c r="G336" s="5" t="s">
        <v>289</v>
      </c>
      <c r="H336" s="5" t="s">
        <v>30</v>
      </c>
      <c r="I336" s="5" t="s">
        <v>22</v>
      </c>
      <c r="J336" s="5" t="s">
        <v>156</v>
      </c>
      <c r="K336" s="6">
        <v>0</v>
      </c>
      <c r="L336" s="7">
        <v>0</v>
      </c>
      <c r="M336" s="8">
        <v>40</v>
      </c>
      <c r="N336" s="8">
        <v>0</v>
      </c>
      <c r="O336" s="8">
        <v>95.944441830024402</v>
      </c>
      <c r="P336" s="8">
        <v>0</v>
      </c>
      <c r="Q336" s="8">
        <v>0</v>
      </c>
      <c r="R336" s="8">
        <v>0</v>
      </c>
      <c r="S336" s="8">
        <v>0</v>
      </c>
      <c r="T336" s="5">
        <v>0</v>
      </c>
      <c r="U336" s="5">
        <v>0</v>
      </c>
      <c r="V336" s="5">
        <f>VLOOKUP(A336,Planilha1!B:E,4,0)</f>
        <v>0.37177548115779385</v>
      </c>
    </row>
    <row r="337" spans="1:22" x14ac:dyDescent="0.3">
      <c r="A337" t="str">
        <f t="shared" si="10"/>
        <v>MANTEIGA 5KGLACTALIS</v>
      </c>
      <c r="B337" t="str">
        <f t="shared" si="11"/>
        <v>5263514MANTEIGA 5KGLACTALIS</v>
      </c>
      <c r="C337" s="5" t="s">
        <v>226</v>
      </c>
      <c r="D337" s="5" t="s">
        <v>227</v>
      </c>
      <c r="E337" s="5" t="s">
        <v>1722</v>
      </c>
      <c r="F337" s="5">
        <v>5263514</v>
      </c>
      <c r="G337" s="5" t="s">
        <v>290</v>
      </c>
      <c r="H337" s="5" t="s">
        <v>30</v>
      </c>
      <c r="I337" s="5" t="s">
        <v>22</v>
      </c>
      <c r="J337" s="5" t="s">
        <v>60</v>
      </c>
      <c r="K337" s="6">
        <v>0</v>
      </c>
      <c r="L337" s="7">
        <v>0</v>
      </c>
      <c r="M337" s="8">
        <v>15</v>
      </c>
      <c r="N337" s="8">
        <v>16.666666666666668</v>
      </c>
      <c r="O337" s="8">
        <v>19.286581717676437</v>
      </c>
      <c r="P337" s="8">
        <v>0</v>
      </c>
      <c r="Q337" s="8">
        <v>0</v>
      </c>
      <c r="R337" s="8">
        <v>0</v>
      </c>
      <c r="S337" s="8">
        <v>25</v>
      </c>
      <c r="T337" s="5">
        <v>25</v>
      </c>
      <c r="U337" s="5">
        <v>25</v>
      </c>
      <c r="V337" s="5">
        <f>VLOOKUP(A337,Planilha1!B:E,4,0)</f>
        <v>11.476197020267191</v>
      </c>
    </row>
    <row r="338" spans="1:22" x14ac:dyDescent="0.3">
      <c r="A338" t="str">
        <f t="shared" si="10"/>
        <v>BLISTERLACTALIS</v>
      </c>
      <c r="B338" t="str">
        <f t="shared" si="11"/>
        <v>5263607BLISTERLACTALIS</v>
      </c>
      <c r="C338" s="5" t="s">
        <v>226</v>
      </c>
      <c r="D338" s="5" t="s">
        <v>227</v>
      </c>
      <c r="E338" s="5" t="s">
        <v>1722</v>
      </c>
      <c r="F338" s="5">
        <v>5263607</v>
      </c>
      <c r="G338" s="5" t="s">
        <v>291</v>
      </c>
      <c r="H338" s="5" t="s">
        <v>30</v>
      </c>
      <c r="I338" s="5" t="s">
        <v>22</v>
      </c>
      <c r="J338" s="5" t="s">
        <v>199</v>
      </c>
      <c r="K338" s="6">
        <v>0</v>
      </c>
      <c r="L338" s="7">
        <v>0</v>
      </c>
      <c r="M338" s="8">
        <v>9.9199999999999982</v>
      </c>
      <c r="N338" s="8">
        <v>0</v>
      </c>
      <c r="O338" s="8">
        <v>7.7934951521497871</v>
      </c>
      <c r="P338" s="8">
        <v>0</v>
      </c>
      <c r="Q338" s="8">
        <v>0</v>
      </c>
      <c r="R338" s="8">
        <v>0</v>
      </c>
      <c r="S338" s="8">
        <v>0</v>
      </c>
      <c r="T338" s="5">
        <v>0</v>
      </c>
      <c r="U338" s="5">
        <v>8</v>
      </c>
      <c r="V338" s="5">
        <f>VLOOKUP(A338,Planilha1!B:E,4,0)</f>
        <v>13.783871706210666</v>
      </c>
    </row>
    <row r="339" spans="1:22" x14ac:dyDescent="0.3">
      <c r="A339" t="str">
        <f t="shared" si="10"/>
        <v>MANTEIGA 5KGLACTALIS</v>
      </c>
      <c r="B339" t="str">
        <f t="shared" si="11"/>
        <v>5263607MANTEIGA 5KGLACTALIS</v>
      </c>
      <c r="C339" s="5" t="s">
        <v>226</v>
      </c>
      <c r="D339" s="5" t="s">
        <v>227</v>
      </c>
      <c r="E339" s="5" t="s">
        <v>1722</v>
      </c>
      <c r="F339" s="5">
        <v>5263607</v>
      </c>
      <c r="G339" s="5" t="s">
        <v>291</v>
      </c>
      <c r="H339" s="5" t="s">
        <v>30</v>
      </c>
      <c r="I339" s="5" t="s">
        <v>22</v>
      </c>
      <c r="J339" s="5" t="s">
        <v>60</v>
      </c>
      <c r="K339" s="6">
        <v>0</v>
      </c>
      <c r="L339" s="7">
        <v>360</v>
      </c>
      <c r="M339" s="8">
        <v>566.66666666666674</v>
      </c>
      <c r="N339" s="8">
        <v>566.66666666666663</v>
      </c>
      <c r="O339" s="8">
        <v>596.07835991354648</v>
      </c>
      <c r="P339" s="8">
        <v>0</v>
      </c>
      <c r="Q339" s="8">
        <v>0</v>
      </c>
      <c r="R339" s="8">
        <v>0</v>
      </c>
      <c r="S339" s="8">
        <v>200</v>
      </c>
      <c r="T339" s="5">
        <v>200</v>
      </c>
      <c r="U339" s="5">
        <v>200</v>
      </c>
      <c r="V339" s="5">
        <f>VLOOKUP(A339,Planilha1!B:E,4,0)</f>
        <v>11.476197020267191</v>
      </c>
    </row>
    <row r="340" spans="1:22" x14ac:dyDescent="0.3">
      <c r="A340" t="str">
        <f t="shared" si="10"/>
        <v>LEITE UHTLACTALIS</v>
      </c>
      <c r="B340" t="str">
        <f t="shared" si="11"/>
        <v>5263607LEITE UHTLACTALIS</v>
      </c>
      <c r="C340" s="5" t="s">
        <v>226</v>
      </c>
      <c r="D340" s="5" t="s">
        <v>227</v>
      </c>
      <c r="E340" s="5" t="s">
        <v>1722</v>
      </c>
      <c r="F340" s="5">
        <v>5263607</v>
      </c>
      <c r="G340" s="5" t="s">
        <v>291</v>
      </c>
      <c r="H340" s="5" t="s">
        <v>30</v>
      </c>
      <c r="I340" s="5" t="s">
        <v>22</v>
      </c>
      <c r="J340" s="5" t="s">
        <v>156</v>
      </c>
      <c r="K340" s="6">
        <v>0</v>
      </c>
      <c r="L340" s="7">
        <v>0</v>
      </c>
      <c r="M340" s="8">
        <v>622</v>
      </c>
      <c r="N340" s="8">
        <v>640</v>
      </c>
      <c r="O340" s="8">
        <v>344.53167192010847</v>
      </c>
      <c r="P340" s="8">
        <v>0</v>
      </c>
      <c r="Q340" s="8">
        <v>0</v>
      </c>
      <c r="R340" s="8">
        <v>0</v>
      </c>
      <c r="S340" s="8">
        <v>0</v>
      </c>
      <c r="T340" s="5">
        <v>0</v>
      </c>
      <c r="U340" s="5">
        <v>0</v>
      </c>
      <c r="V340" s="5">
        <f>VLOOKUP(A340,Planilha1!B:E,4,0)</f>
        <v>0.37177548115779385</v>
      </c>
    </row>
    <row r="341" spans="1:22" x14ac:dyDescent="0.3">
      <c r="A341" t="str">
        <f t="shared" si="10"/>
        <v>LEITE UHTLACTALIS</v>
      </c>
      <c r="B341" t="str">
        <f t="shared" si="11"/>
        <v>5263652LEITE UHTLACTALIS</v>
      </c>
      <c r="C341" s="5" t="s">
        <v>226</v>
      </c>
      <c r="D341" s="5" t="s">
        <v>227</v>
      </c>
      <c r="E341" s="5" t="s">
        <v>1722</v>
      </c>
      <c r="F341" s="5">
        <v>5263652</v>
      </c>
      <c r="G341" s="5" t="s">
        <v>292</v>
      </c>
      <c r="H341" s="5" t="s">
        <v>30</v>
      </c>
      <c r="I341" s="5" t="s">
        <v>22</v>
      </c>
      <c r="J341" s="5" t="s">
        <v>156</v>
      </c>
      <c r="K341" s="6">
        <v>0</v>
      </c>
      <c r="L341" s="7">
        <v>996</v>
      </c>
      <c r="M341" s="8">
        <v>1460</v>
      </c>
      <c r="N341" s="8">
        <v>1260</v>
      </c>
      <c r="O341" s="8">
        <v>894.0390302819543</v>
      </c>
      <c r="P341" s="8">
        <v>0</v>
      </c>
      <c r="Q341" s="8">
        <v>240</v>
      </c>
      <c r="R341" s="8">
        <v>0</v>
      </c>
      <c r="S341" s="8">
        <v>0</v>
      </c>
      <c r="T341" s="5">
        <v>0</v>
      </c>
      <c r="U341" s="5">
        <v>900</v>
      </c>
      <c r="V341" s="5">
        <f>VLOOKUP(A341,Planilha1!B:E,4,0)</f>
        <v>0.37177548115779385</v>
      </c>
    </row>
    <row r="342" spans="1:22" x14ac:dyDescent="0.3">
      <c r="A342" t="str">
        <f t="shared" si="10"/>
        <v>MANTEIGA 5KGLACTALIS</v>
      </c>
      <c r="B342" t="str">
        <f t="shared" si="11"/>
        <v>5263965MANTEIGA 5KGLACTALIS</v>
      </c>
      <c r="C342" s="5" t="s">
        <v>226</v>
      </c>
      <c r="D342" s="5" t="s">
        <v>227</v>
      </c>
      <c r="E342" s="5" t="s">
        <v>1722</v>
      </c>
      <c r="F342" s="5">
        <v>5263965</v>
      </c>
      <c r="G342" s="5" t="s">
        <v>293</v>
      </c>
      <c r="H342" s="5" t="s">
        <v>30</v>
      </c>
      <c r="I342" s="5" t="s">
        <v>22</v>
      </c>
      <c r="J342" s="5" t="s">
        <v>60</v>
      </c>
      <c r="K342" s="6">
        <v>0</v>
      </c>
      <c r="L342" s="7">
        <v>0</v>
      </c>
      <c r="M342" s="8">
        <v>80</v>
      </c>
      <c r="N342" s="8">
        <v>46.666666666666664</v>
      </c>
      <c r="O342" s="8">
        <v>42.070766902030655</v>
      </c>
      <c r="P342" s="8">
        <v>0</v>
      </c>
      <c r="Q342" s="8">
        <v>0</v>
      </c>
      <c r="R342" s="8">
        <v>0</v>
      </c>
      <c r="S342" s="8">
        <v>100</v>
      </c>
      <c r="T342" s="5">
        <v>100</v>
      </c>
      <c r="U342" s="5">
        <v>100</v>
      </c>
      <c r="V342" s="5">
        <f>VLOOKUP(A342,Planilha1!B:E,4,0)</f>
        <v>11.476197020267191</v>
      </c>
    </row>
    <row r="343" spans="1:22" x14ac:dyDescent="0.3">
      <c r="A343" t="str">
        <f t="shared" si="10"/>
        <v>LEITE UHTLACTALIS</v>
      </c>
      <c r="B343" t="str">
        <f t="shared" si="11"/>
        <v>5264034LEITE UHTLACTALIS</v>
      </c>
      <c r="C343" s="5" t="s">
        <v>226</v>
      </c>
      <c r="D343" s="5" t="s">
        <v>227</v>
      </c>
      <c r="E343" s="5" t="s">
        <v>1722</v>
      </c>
      <c r="F343" s="5">
        <v>5264034</v>
      </c>
      <c r="G343" s="5" t="s">
        <v>294</v>
      </c>
      <c r="H343" s="5" t="s">
        <v>30</v>
      </c>
      <c r="I343" s="5" t="s">
        <v>22</v>
      </c>
      <c r="J343" s="5" t="s">
        <v>156</v>
      </c>
      <c r="K343" s="6">
        <v>0</v>
      </c>
      <c r="L343" s="7">
        <v>0</v>
      </c>
      <c r="M343" s="8">
        <v>84</v>
      </c>
      <c r="N343" s="8">
        <v>0</v>
      </c>
      <c r="O343" s="8">
        <v>91.58376456335894</v>
      </c>
      <c r="P343" s="8">
        <v>0</v>
      </c>
      <c r="Q343" s="8">
        <v>0</v>
      </c>
      <c r="R343" s="8">
        <v>0</v>
      </c>
      <c r="S343" s="8">
        <v>0</v>
      </c>
      <c r="T343" s="5">
        <v>0</v>
      </c>
      <c r="U343" s="5">
        <v>0</v>
      </c>
      <c r="V343" s="5">
        <f>VLOOKUP(A343,Planilha1!B:E,4,0)</f>
        <v>0.37177548115779385</v>
      </c>
    </row>
    <row r="344" spans="1:22" x14ac:dyDescent="0.3">
      <c r="A344" t="str">
        <f t="shared" si="10"/>
        <v>MANTEIGA 5KGLACTALIS</v>
      </c>
      <c r="B344" t="str">
        <f t="shared" si="11"/>
        <v>5264124MANTEIGA 5KGLACTALIS</v>
      </c>
      <c r="C344" s="5" t="s">
        <v>226</v>
      </c>
      <c r="D344" s="5" t="s">
        <v>227</v>
      </c>
      <c r="E344" s="5" t="s">
        <v>1722</v>
      </c>
      <c r="F344" s="5">
        <v>5264124</v>
      </c>
      <c r="G344" s="5" t="s">
        <v>295</v>
      </c>
      <c r="H344" s="5" t="s">
        <v>30</v>
      </c>
      <c r="I344" s="5" t="s">
        <v>22</v>
      </c>
      <c r="J344" s="5" t="s">
        <v>60</v>
      </c>
      <c r="K344" s="6">
        <v>0</v>
      </c>
      <c r="L344" s="7">
        <v>0</v>
      </c>
      <c r="M344" s="8">
        <v>16.666666666666668</v>
      </c>
      <c r="N344" s="8">
        <v>0</v>
      </c>
      <c r="O344" s="8">
        <v>35.061342068404052</v>
      </c>
      <c r="P344" s="8">
        <v>0</v>
      </c>
      <c r="Q344" s="8">
        <v>25</v>
      </c>
      <c r="R344" s="8">
        <v>0</v>
      </c>
      <c r="S344" s="8">
        <v>75</v>
      </c>
      <c r="T344" s="5">
        <v>7</v>
      </c>
      <c r="U344" s="5">
        <v>35</v>
      </c>
      <c r="V344" s="5">
        <f>VLOOKUP(A344,Planilha1!B:E,4,0)</f>
        <v>11.476197020267191</v>
      </c>
    </row>
    <row r="345" spans="1:22" x14ac:dyDescent="0.3">
      <c r="A345" t="str">
        <f t="shared" si="10"/>
        <v>MANTEIGA 5KGLACTALIS</v>
      </c>
      <c r="B345" t="str">
        <f t="shared" si="11"/>
        <v>5264241MANTEIGA 5KGLACTALIS</v>
      </c>
      <c r="C345" s="5" t="s">
        <v>226</v>
      </c>
      <c r="D345" s="5" t="s">
        <v>227</v>
      </c>
      <c r="E345" s="5" t="s">
        <v>1722</v>
      </c>
      <c r="F345" s="5">
        <v>5264241</v>
      </c>
      <c r="G345" s="5" t="s">
        <v>296</v>
      </c>
      <c r="H345" s="5" t="s">
        <v>30</v>
      </c>
      <c r="I345" s="5" t="s">
        <v>22</v>
      </c>
      <c r="J345" s="5" t="s">
        <v>60</v>
      </c>
      <c r="K345" s="6">
        <v>0</v>
      </c>
      <c r="L345" s="7">
        <v>120</v>
      </c>
      <c r="M345" s="8">
        <v>95</v>
      </c>
      <c r="N345" s="8">
        <v>80</v>
      </c>
      <c r="O345" s="8">
        <v>105.17691725507663</v>
      </c>
      <c r="P345" s="8">
        <v>0</v>
      </c>
      <c r="Q345" s="8">
        <v>0</v>
      </c>
      <c r="R345" s="8">
        <v>0</v>
      </c>
      <c r="S345" s="8">
        <v>60</v>
      </c>
      <c r="T345" s="5">
        <v>60</v>
      </c>
      <c r="U345" s="5">
        <v>60</v>
      </c>
      <c r="V345" s="5">
        <f>VLOOKUP(A345,Planilha1!B:E,4,0)</f>
        <v>11.476197020267191</v>
      </c>
    </row>
    <row r="346" spans="1:22" x14ac:dyDescent="0.3">
      <c r="A346" t="str">
        <f t="shared" si="10"/>
        <v>LEITE UHTLACTALIS</v>
      </c>
      <c r="B346" t="str">
        <f t="shared" si="11"/>
        <v>5264241LEITE UHTLACTALIS</v>
      </c>
      <c r="C346" s="5" t="s">
        <v>226</v>
      </c>
      <c r="D346" s="5" t="s">
        <v>227</v>
      </c>
      <c r="E346" s="5" t="s">
        <v>1722</v>
      </c>
      <c r="F346" s="5">
        <v>5264241</v>
      </c>
      <c r="G346" s="5" t="s">
        <v>296</v>
      </c>
      <c r="H346" s="5" t="s">
        <v>30</v>
      </c>
      <c r="I346" s="5" t="s">
        <v>22</v>
      </c>
      <c r="J346" s="5" t="s">
        <v>156</v>
      </c>
      <c r="K346" s="6">
        <v>0</v>
      </c>
      <c r="L346" s="7">
        <v>96</v>
      </c>
      <c r="M346" s="8">
        <v>142</v>
      </c>
      <c r="N346" s="8">
        <v>112</v>
      </c>
      <c r="O346" s="8">
        <v>47.967449933320005</v>
      </c>
      <c r="P346" s="8">
        <v>0</v>
      </c>
      <c r="Q346" s="8">
        <v>0</v>
      </c>
      <c r="R346" s="8">
        <v>0</v>
      </c>
      <c r="S346" s="8">
        <v>0</v>
      </c>
      <c r="T346" s="5">
        <v>0</v>
      </c>
      <c r="U346" s="5">
        <v>0</v>
      </c>
      <c r="V346" s="5">
        <f>VLOOKUP(A346,Planilha1!B:E,4,0)</f>
        <v>0.37177548115779385</v>
      </c>
    </row>
    <row r="347" spans="1:22" x14ac:dyDescent="0.3">
      <c r="A347" t="str">
        <f t="shared" si="10"/>
        <v>LEITE UHTLACTALIS</v>
      </c>
      <c r="B347" t="str">
        <f t="shared" si="11"/>
        <v>5264990LEITE UHTLACTALIS</v>
      </c>
      <c r="C347" s="5" t="s">
        <v>226</v>
      </c>
      <c r="D347" s="5" t="s">
        <v>227</v>
      </c>
      <c r="E347" s="5" t="s">
        <v>1722</v>
      </c>
      <c r="F347" s="5">
        <v>5264990</v>
      </c>
      <c r="G347" s="5" t="s">
        <v>297</v>
      </c>
      <c r="H347" s="5" t="s">
        <v>30</v>
      </c>
      <c r="I347" s="5" t="s">
        <v>22</v>
      </c>
      <c r="J347" s="5" t="s">
        <v>156</v>
      </c>
      <c r="K347" s="6">
        <v>0</v>
      </c>
      <c r="L347" s="7">
        <v>96</v>
      </c>
      <c r="M347" s="8">
        <v>36</v>
      </c>
      <c r="N347" s="8">
        <v>48</v>
      </c>
      <c r="O347" s="8">
        <v>19.62781868168674</v>
      </c>
      <c r="P347" s="8">
        <v>0</v>
      </c>
      <c r="Q347" s="8">
        <v>0</v>
      </c>
      <c r="R347" s="8">
        <v>0</v>
      </c>
      <c r="S347" s="8">
        <v>0</v>
      </c>
      <c r="T347" s="5">
        <v>0</v>
      </c>
      <c r="U347" s="5">
        <v>36</v>
      </c>
      <c r="V347" s="5">
        <f>VLOOKUP(A347,Planilha1!B:E,4,0)</f>
        <v>0.37177548115779385</v>
      </c>
    </row>
    <row r="348" spans="1:22" x14ac:dyDescent="0.3">
      <c r="A348" t="str">
        <f t="shared" si="10"/>
        <v>MANTEIGA 5KGLACTALIS</v>
      </c>
      <c r="B348" t="str">
        <f t="shared" si="11"/>
        <v>5267684MANTEIGA 5KGLACTALIS</v>
      </c>
      <c r="C348" s="5" t="s">
        <v>226</v>
      </c>
      <c r="D348" s="5" t="s">
        <v>227</v>
      </c>
      <c r="E348" s="5" t="s">
        <v>1722</v>
      </c>
      <c r="F348" s="5">
        <v>5267684</v>
      </c>
      <c r="G348" s="5" t="s">
        <v>298</v>
      </c>
      <c r="H348" s="5" t="s">
        <v>30</v>
      </c>
      <c r="I348" s="5" t="s">
        <v>22</v>
      </c>
      <c r="J348" s="5" t="s">
        <v>60</v>
      </c>
      <c r="K348" s="6">
        <v>0</v>
      </c>
      <c r="L348" s="7">
        <v>0</v>
      </c>
      <c r="M348" s="8">
        <v>4.166666666666667</v>
      </c>
      <c r="N348" s="8">
        <v>6.666666666666667</v>
      </c>
      <c r="O348" s="8">
        <v>3.5047124168133004</v>
      </c>
      <c r="P348" s="8">
        <v>0</v>
      </c>
      <c r="Q348" s="8">
        <v>0</v>
      </c>
      <c r="R348" s="8">
        <v>0</v>
      </c>
      <c r="S348" s="8">
        <v>0</v>
      </c>
      <c r="T348" s="5">
        <v>0</v>
      </c>
      <c r="U348" s="5">
        <v>5</v>
      </c>
      <c r="V348" s="5">
        <f>VLOOKUP(A348,Planilha1!B:E,4,0)</f>
        <v>11.476197020267191</v>
      </c>
    </row>
    <row r="349" spans="1:22" x14ac:dyDescent="0.3">
      <c r="A349" t="str">
        <f t="shared" si="10"/>
        <v>MANTEIGA 5KGLACTALIS</v>
      </c>
      <c r="B349" t="str">
        <f t="shared" si="11"/>
        <v>5267798MANTEIGA 5KGLACTALIS</v>
      </c>
      <c r="C349" s="5" t="s">
        <v>226</v>
      </c>
      <c r="D349" s="5" t="s">
        <v>227</v>
      </c>
      <c r="E349" s="5" t="s">
        <v>1722</v>
      </c>
      <c r="F349" s="5">
        <v>5267798</v>
      </c>
      <c r="G349" s="5" t="s">
        <v>299</v>
      </c>
      <c r="H349" s="5" t="s">
        <v>30</v>
      </c>
      <c r="I349" s="5" t="s">
        <v>22</v>
      </c>
      <c r="J349" s="5" t="s">
        <v>60</v>
      </c>
      <c r="K349" s="6">
        <v>0</v>
      </c>
      <c r="L349" s="7">
        <v>0</v>
      </c>
      <c r="M349" s="8">
        <v>3.3333333333333335</v>
      </c>
      <c r="N349" s="8">
        <v>3.3333333333333335</v>
      </c>
      <c r="O349" s="8">
        <v>3.5047124168133004</v>
      </c>
      <c r="P349" s="8">
        <v>0</v>
      </c>
      <c r="Q349" s="8">
        <v>0</v>
      </c>
      <c r="R349" s="8">
        <v>0</v>
      </c>
      <c r="S349" s="8">
        <v>10</v>
      </c>
      <c r="T349" s="5">
        <v>10</v>
      </c>
      <c r="U349" s="5">
        <v>10</v>
      </c>
      <c r="V349" s="5">
        <f>VLOOKUP(A349,Planilha1!B:E,4,0)</f>
        <v>11.476197020267191</v>
      </c>
    </row>
    <row r="350" spans="1:22" x14ac:dyDescent="0.3">
      <c r="A350" t="str">
        <f t="shared" si="10"/>
        <v>MANTEIGA 5KGLACTALIS</v>
      </c>
      <c r="B350" t="str">
        <f t="shared" si="11"/>
        <v>5268479MANTEIGA 5KGLACTALIS</v>
      </c>
      <c r="C350" s="5" t="s">
        <v>226</v>
      </c>
      <c r="D350" s="5" t="s">
        <v>227</v>
      </c>
      <c r="E350" s="5" t="s">
        <v>1722</v>
      </c>
      <c r="F350" s="5">
        <v>5268479</v>
      </c>
      <c r="G350" s="5" t="s">
        <v>300</v>
      </c>
      <c r="H350" s="5" t="s">
        <v>30</v>
      </c>
      <c r="I350" s="5" t="s">
        <v>22</v>
      </c>
      <c r="J350" s="5" t="s">
        <v>60</v>
      </c>
      <c r="K350" s="6">
        <v>0</v>
      </c>
      <c r="L350" s="7">
        <v>0</v>
      </c>
      <c r="M350" s="8">
        <v>41.666666666666664</v>
      </c>
      <c r="N350" s="8">
        <v>33.333333333333336</v>
      </c>
      <c r="O350" s="8">
        <v>43.833786535640584</v>
      </c>
      <c r="P350" s="8">
        <v>0</v>
      </c>
      <c r="Q350" s="8">
        <v>0</v>
      </c>
      <c r="R350" s="8">
        <v>0</v>
      </c>
      <c r="S350" s="8">
        <v>25</v>
      </c>
      <c r="T350" s="5">
        <v>25</v>
      </c>
      <c r="U350" s="5">
        <v>45</v>
      </c>
      <c r="V350" s="5">
        <f>VLOOKUP(A350,Planilha1!B:E,4,0)</f>
        <v>11.476197020267191</v>
      </c>
    </row>
    <row r="351" spans="1:22" x14ac:dyDescent="0.3">
      <c r="A351" t="str">
        <f t="shared" si="10"/>
        <v>MANTEIGA 5KGLACTALIS</v>
      </c>
      <c r="B351" t="str">
        <f t="shared" si="11"/>
        <v>5269521MANTEIGA 5KGLACTALIS</v>
      </c>
      <c r="C351" s="5" t="s">
        <v>226</v>
      </c>
      <c r="D351" s="5" t="s">
        <v>227</v>
      </c>
      <c r="E351" s="5" t="s">
        <v>1722</v>
      </c>
      <c r="F351" s="5">
        <v>5269521</v>
      </c>
      <c r="G351" s="5" t="s">
        <v>301</v>
      </c>
      <c r="H351" s="5" t="s">
        <v>30</v>
      </c>
      <c r="I351" s="5" t="s">
        <v>22</v>
      </c>
      <c r="J351" s="5" t="s">
        <v>60</v>
      </c>
      <c r="K351" s="6">
        <v>0</v>
      </c>
      <c r="L351" s="7">
        <v>35</v>
      </c>
      <c r="M351" s="8">
        <v>83.333333333333343</v>
      </c>
      <c r="N351" s="8">
        <v>90</v>
      </c>
      <c r="O351" s="8">
        <v>71.878594820282515</v>
      </c>
      <c r="P351" s="8">
        <v>0</v>
      </c>
      <c r="Q351" s="8">
        <v>25</v>
      </c>
      <c r="R351" s="8">
        <v>0</v>
      </c>
      <c r="S351" s="8">
        <v>50</v>
      </c>
      <c r="T351" s="5">
        <v>50</v>
      </c>
      <c r="U351" s="5">
        <v>35</v>
      </c>
      <c r="V351" s="5">
        <f>VLOOKUP(A351,Planilha1!B:E,4,0)</f>
        <v>11.476197020267191</v>
      </c>
    </row>
    <row r="352" spans="1:22" x14ac:dyDescent="0.3">
      <c r="A352" t="str">
        <f t="shared" si="10"/>
        <v>LEITE UHTLACTALIS</v>
      </c>
      <c r="B352" t="str">
        <f t="shared" si="11"/>
        <v>5269521LEITE UHTLACTALIS</v>
      </c>
      <c r="C352" s="5" t="s">
        <v>226</v>
      </c>
      <c r="D352" s="5" t="s">
        <v>227</v>
      </c>
      <c r="E352" s="5" t="s">
        <v>1722</v>
      </c>
      <c r="F352" s="5">
        <v>5269521</v>
      </c>
      <c r="G352" s="5" t="s">
        <v>301</v>
      </c>
      <c r="H352" s="5" t="s">
        <v>30</v>
      </c>
      <c r="I352" s="5" t="s">
        <v>22</v>
      </c>
      <c r="J352" s="5" t="s">
        <v>156</v>
      </c>
      <c r="K352" s="6">
        <v>0</v>
      </c>
      <c r="L352" s="7">
        <v>108</v>
      </c>
      <c r="M352" s="8">
        <v>100</v>
      </c>
      <c r="N352" s="8">
        <v>88</v>
      </c>
      <c r="O352" s="8">
        <v>43.611543648346739</v>
      </c>
      <c r="P352" s="8">
        <v>0</v>
      </c>
      <c r="Q352" s="8">
        <v>0</v>
      </c>
      <c r="R352" s="8">
        <v>0</v>
      </c>
      <c r="S352" s="8">
        <v>0</v>
      </c>
      <c r="T352" s="5">
        <v>0</v>
      </c>
      <c r="U352" s="5">
        <v>0</v>
      </c>
      <c r="V352" s="5">
        <f>VLOOKUP(A352,Planilha1!B:E,4,0)</f>
        <v>0.37177548115779385</v>
      </c>
    </row>
    <row r="353" spans="1:22" x14ac:dyDescent="0.3">
      <c r="A353" t="str">
        <f t="shared" si="10"/>
        <v>MANTEIGA 5KGLACTALIS</v>
      </c>
      <c r="B353" t="str">
        <f t="shared" si="11"/>
        <v>5270562MANTEIGA 5KGLACTALIS</v>
      </c>
      <c r="C353" s="5" t="s">
        <v>226</v>
      </c>
      <c r="D353" s="5" t="s">
        <v>227</v>
      </c>
      <c r="E353" s="5" t="s">
        <v>1722</v>
      </c>
      <c r="F353" s="5">
        <v>5270562</v>
      </c>
      <c r="G353" s="5" t="s">
        <v>302</v>
      </c>
      <c r="H353" s="5" t="s">
        <v>30</v>
      </c>
      <c r="I353" s="5" t="s">
        <v>22</v>
      </c>
      <c r="J353" s="5" t="s">
        <v>60</v>
      </c>
      <c r="K353" s="6">
        <v>0</v>
      </c>
      <c r="L353" s="7">
        <v>75</v>
      </c>
      <c r="M353" s="8">
        <v>111.66666666666667</v>
      </c>
      <c r="N353" s="8">
        <v>125</v>
      </c>
      <c r="O353" s="8">
        <v>78.895128604044643</v>
      </c>
      <c r="P353" s="8">
        <v>0</v>
      </c>
      <c r="Q353" s="8">
        <v>75</v>
      </c>
      <c r="R353" s="8">
        <v>0</v>
      </c>
      <c r="S353" s="8">
        <v>75</v>
      </c>
      <c r="T353" s="5">
        <v>75</v>
      </c>
      <c r="U353" s="5">
        <v>75</v>
      </c>
      <c r="V353" s="5">
        <f>VLOOKUP(A353,Planilha1!B:E,4,0)</f>
        <v>11.476197020267191</v>
      </c>
    </row>
    <row r="354" spans="1:22" x14ac:dyDescent="0.3">
      <c r="A354" t="str">
        <f t="shared" si="10"/>
        <v>LEITE UHTLACTALIS</v>
      </c>
      <c r="B354" t="str">
        <f t="shared" si="11"/>
        <v>5270927LEITE UHTLACTALIS</v>
      </c>
      <c r="C354" s="5" t="s">
        <v>226</v>
      </c>
      <c r="D354" s="5" t="s">
        <v>227</v>
      </c>
      <c r="E354" s="5" t="s">
        <v>1722</v>
      </c>
      <c r="F354" s="5">
        <v>5270927</v>
      </c>
      <c r="G354" s="5" t="s">
        <v>303</v>
      </c>
      <c r="H354" s="5" t="s">
        <v>30</v>
      </c>
      <c r="I354" s="5" t="s">
        <v>22</v>
      </c>
      <c r="J354" s="5" t="s">
        <v>156</v>
      </c>
      <c r="K354" s="6">
        <v>0</v>
      </c>
      <c r="L354" s="7">
        <v>48</v>
      </c>
      <c r="M354" s="8">
        <v>106</v>
      </c>
      <c r="N354" s="8">
        <v>100</v>
      </c>
      <c r="O354" s="8">
        <v>52.32812719998546</v>
      </c>
      <c r="P354" s="8">
        <v>0</v>
      </c>
      <c r="Q354" s="8">
        <v>0</v>
      </c>
      <c r="R354" s="8">
        <v>0</v>
      </c>
      <c r="S354" s="8">
        <v>0</v>
      </c>
      <c r="T354" s="5">
        <v>0</v>
      </c>
      <c r="U354" s="5">
        <v>60</v>
      </c>
      <c r="V354" s="5">
        <f>VLOOKUP(A354,Planilha1!B:E,4,0)</f>
        <v>0.37177548115779385</v>
      </c>
    </row>
    <row r="355" spans="1:22" x14ac:dyDescent="0.3">
      <c r="A355" t="str">
        <f t="shared" si="10"/>
        <v>LEITE UHTLACTALIS</v>
      </c>
      <c r="B355" t="str">
        <f t="shared" si="11"/>
        <v>5272992LEITE UHTLACTALIS</v>
      </c>
      <c r="C355" s="5" t="s">
        <v>226</v>
      </c>
      <c r="D355" s="5" t="s">
        <v>227</v>
      </c>
      <c r="E355" s="5" t="s">
        <v>1722</v>
      </c>
      <c r="F355" s="5">
        <v>5272992</v>
      </c>
      <c r="G355" s="5" t="s">
        <v>304</v>
      </c>
      <c r="H355" s="5" t="s">
        <v>30</v>
      </c>
      <c r="I355" s="5" t="s">
        <v>22</v>
      </c>
      <c r="J355" s="5" t="s">
        <v>156</v>
      </c>
      <c r="K355" s="6">
        <v>0</v>
      </c>
      <c r="L355" s="7">
        <v>240</v>
      </c>
      <c r="M355" s="8">
        <v>0</v>
      </c>
      <c r="N355" s="8">
        <v>0</v>
      </c>
      <c r="O355" s="8">
        <v>13.082031799996365</v>
      </c>
      <c r="P355" s="8">
        <v>0</v>
      </c>
      <c r="Q355" s="8">
        <v>0</v>
      </c>
      <c r="R355" s="8">
        <v>0</v>
      </c>
      <c r="S355" s="8">
        <v>0</v>
      </c>
      <c r="T355" s="5">
        <v>0</v>
      </c>
      <c r="U355" s="5">
        <v>0</v>
      </c>
      <c r="V355" s="5">
        <f>VLOOKUP(A355,Planilha1!B:E,4,0)</f>
        <v>0.37177548115779385</v>
      </c>
    </row>
    <row r="356" spans="1:22" x14ac:dyDescent="0.3">
      <c r="A356" t="str">
        <f t="shared" si="10"/>
        <v>MANTEIGA 5KGLACTALIS</v>
      </c>
      <c r="B356" t="str">
        <f t="shared" si="11"/>
        <v>5273958MANTEIGA 5KGLACTALIS</v>
      </c>
      <c r="C356" s="5" t="s">
        <v>226</v>
      </c>
      <c r="D356" s="5" t="s">
        <v>227</v>
      </c>
      <c r="E356" s="5" t="s">
        <v>1722</v>
      </c>
      <c r="F356" s="5">
        <v>5273958</v>
      </c>
      <c r="G356" s="5" t="s">
        <v>305</v>
      </c>
      <c r="H356" s="5" t="s">
        <v>30</v>
      </c>
      <c r="I356" s="5" t="s">
        <v>22</v>
      </c>
      <c r="J356" s="5" t="s">
        <v>60</v>
      </c>
      <c r="K356" s="6">
        <v>0</v>
      </c>
      <c r="L356" s="7">
        <v>40</v>
      </c>
      <c r="M356" s="8">
        <v>95</v>
      </c>
      <c r="N356" s="8">
        <v>143.33333333333334</v>
      </c>
      <c r="O356" s="8">
        <v>92.906869321162318</v>
      </c>
      <c r="P356" s="8">
        <v>0</v>
      </c>
      <c r="Q356" s="8">
        <v>10</v>
      </c>
      <c r="R356" s="8">
        <v>0</v>
      </c>
      <c r="S356" s="8">
        <v>100</v>
      </c>
      <c r="T356" s="5">
        <v>100</v>
      </c>
      <c r="U356" s="5">
        <v>70</v>
      </c>
      <c r="V356" s="5">
        <f>VLOOKUP(A356,Planilha1!B:E,4,0)</f>
        <v>11.476197020267191</v>
      </c>
    </row>
    <row r="357" spans="1:22" x14ac:dyDescent="0.3">
      <c r="A357" t="str">
        <f t="shared" si="10"/>
        <v>LEITE UHTLACTALIS</v>
      </c>
      <c r="B357" t="str">
        <f t="shared" si="11"/>
        <v>5273958LEITE UHTLACTALIS</v>
      </c>
      <c r="C357" s="5" t="s">
        <v>226</v>
      </c>
      <c r="D357" s="5" t="s">
        <v>227</v>
      </c>
      <c r="E357" s="5" t="s">
        <v>1722</v>
      </c>
      <c r="F357" s="5">
        <v>5273958</v>
      </c>
      <c r="G357" s="5" t="s">
        <v>305</v>
      </c>
      <c r="H357" s="5" t="s">
        <v>30</v>
      </c>
      <c r="I357" s="5" t="s">
        <v>22</v>
      </c>
      <c r="J357" s="5" t="s">
        <v>156</v>
      </c>
      <c r="K357" s="6">
        <v>0</v>
      </c>
      <c r="L357" s="7">
        <v>24</v>
      </c>
      <c r="M357" s="8">
        <v>68</v>
      </c>
      <c r="N357" s="8">
        <v>100</v>
      </c>
      <c r="O357" s="8">
        <v>50.157330530037122</v>
      </c>
      <c r="P357" s="8">
        <v>0</v>
      </c>
      <c r="Q357" s="8">
        <v>0</v>
      </c>
      <c r="R357" s="8">
        <v>0</v>
      </c>
      <c r="S357" s="8">
        <v>0</v>
      </c>
      <c r="T357" s="5">
        <v>0</v>
      </c>
      <c r="U357" s="5">
        <v>60</v>
      </c>
      <c r="V357" s="5">
        <f>VLOOKUP(A357,Planilha1!B:E,4,0)</f>
        <v>0.37177548115779385</v>
      </c>
    </row>
    <row r="358" spans="1:22" x14ac:dyDescent="0.3">
      <c r="A358" t="str">
        <f t="shared" si="10"/>
        <v>MANTEIGA 5KGLACTALIS</v>
      </c>
      <c r="B358" t="str">
        <f t="shared" si="11"/>
        <v>5274236MANTEIGA 5KGLACTALIS</v>
      </c>
      <c r="C358" s="5" t="s">
        <v>226</v>
      </c>
      <c r="D358" s="5" t="s">
        <v>227</v>
      </c>
      <c r="E358" s="5" t="s">
        <v>1722</v>
      </c>
      <c r="F358" s="5">
        <v>5274236</v>
      </c>
      <c r="G358" s="5" t="s">
        <v>306</v>
      </c>
      <c r="H358" s="5" t="s">
        <v>30</v>
      </c>
      <c r="I358" s="5" t="s">
        <v>22</v>
      </c>
      <c r="J358" s="5" t="s">
        <v>60</v>
      </c>
      <c r="K358" s="6">
        <v>0</v>
      </c>
      <c r="L358" s="7">
        <v>110</v>
      </c>
      <c r="M358" s="8">
        <v>87.5</v>
      </c>
      <c r="N358" s="8">
        <v>78.333333333333329</v>
      </c>
      <c r="O358" s="8">
        <v>101.68642273853438</v>
      </c>
      <c r="P358" s="8">
        <v>0</v>
      </c>
      <c r="Q358" s="8">
        <v>0</v>
      </c>
      <c r="R358" s="8">
        <v>0</v>
      </c>
      <c r="S358" s="8">
        <v>0</v>
      </c>
      <c r="T358" s="5">
        <v>100</v>
      </c>
      <c r="U358" s="5">
        <v>105</v>
      </c>
      <c r="V358" s="5">
        <f>VLOOKUP(A358,Planilha1!B:E,4,0)</f>
        <v>11.476197020267191</v>
      </c>
    </row>
    <row r="359" spans="1:22" x14ac:dyDescent="0.3">
      <c r="A359" t="str">
        <f t="shared" si="10"/>
        <v>LEITE UHTLACTALIS</v>
      </c>
      <c r="B359" t="str">
        <f t="shared" si="11"/>
        <v>5274522LEITE UHTLACTALIS</v>
      </c>
      <c r="C359" s="5" t="s">
        <v>226</v>
      </c>
      <c r="D359" s="5" t="s">
        <v>227</v>
      </c>
      <c r="E359" s="5" t="s">
        <v>1722</v>
      </c>
      <c r="F359" s="5">
        <v>5274522</v>
      </c>
      <c r="G359" s="5" t="s">
        <v>307</v>
      </c>
      <c r="H359" s="5" t="s">
        <v>30</v>
      </c>
      <c r="I359" s="5" t="s">
        <v>22</v>
      </c>
      <c r="J359" s="5" t="s">
        <v>156</v>
      </c>
      <c r="K359" s="6">
        <v>0</v>
      </c>
      <c r="L359" s="7">
        <v>324</v>
      </c>
      <c r="M359" s="8">
        <v>366</v>
      </c>
      <c r="N359" s="8">
        <v>480</v>
      </c>
      <c r="O359" s="8">
        <v>71.965487845056572</v>
      </c>
      <c r="P359" s="8">
        <v>0</v>
      </c>
      <c r="Q359" s="8">
        <v>0</v>
      </c>
      <c r="R359" s="8">
        <v>0</v>
      </c>
      <c r="S359" s="8">
        <v>0</v>
      </c>
      <c r="T359" s="5">
        <v>0</v>
      </c>
      <c r="U359" s="5">
        <v>180</v>
      </c>
      <c r="V359" s="5">
        <f>VLOOKUP(A359,Planilha1!B:E,4,0)</f>
        <v>0.37177548115779385</v>
      </c>
    </row>
    <row r="360" spans="1:22" x14ac:dyDescent="0.3">
      <c r="A360" t="str">
        <f t="shared" si="10"/>
        <v>LEITE UHTLACTALIS</v>
      </c>
      <c r="B360" t="str">
        <f t="shared" si="11"/>
        <v>5278610LEITE UHTLACTALIS</v>
      </c>
      <c r="C360" s="5" t="s">
        <v>226</v>
      </c>
      <c r="D360" s="5" t="s">
        <v>227</v>
      </c>
      <c r="E360" s="5" t="s">
        <v>1722</v>
      </c>
      <c r="F360" s="5">
        <v>5278610</v>
      </c>
      <c r="G360" s="5" t="s">
        <v>308</v>
      </c>
      <c r="H360" s="5" t="s">
        <v>30</v>
      </c>
      <c r="I360" s="5" t="s">
        <v>22</v>
      </c>
      <c r="J360" s="5" t="s">
        <v>156</v>
      </c>
      <c r="K360" s="6">
        <v>0</v>
      </c>
      <c r="L360" s="7">
        <v>0</v>
      </c>
      <c r="M360" s="8">
        <v>440</v>
      </c>
      <c r="N360" s="8">
        <v>320</v>
      </c>
      <c r="O360" s="8">
        <v>259.48892325674774</v>
      </c>
      <c r="P360" s="8">
        <v>0</v>
      </c>
      <c r="Q360" s="8">
        <v>0</v>
      </c>
      <c r="R360" s="8">
        <v>0</v>
      </c>
      <c r="S360" s="8">
        <v>0</v>
      </c>
      <c r="T360" s="5">
        <v>0</v>
      </c>
      <c r="U360" s="5">
        <v>0</v>
      </c>
      <c r="V360" s="5">
        <f>VLOOKUP(A360,Planilha1!B:E,4,0)</f>
        <v>0.37177548115779385</v>
      </c>
    </row>
    <row r="361" spans="1:22" x14ac:dyDescent="0.3">
      <c r="A361" t="str">
        <f t="shared" si="10"/>
        <v>BLISTERLACTALIS</v>
      </c>
      <c r="B361" t="str">
        <f t="shared" si="11"/>
        <v>5279547BLISTERLACTALIS</v>
      </c>
      <c r="C361" s="5" t="s">
        <v>226</v>
      </c>
      <c r="D361" s="5" t="s">
        <v>227</v>
      </c>
      <c r="E361" s="5" t="s">
        <v>1722</v>
      </c>
      <c r="F361" s="5">
        <v>5279547</v>
      </c>
      <c r="G361" s="5" t="s">
        <v>309</v>
      </c>
      <c r="H361" s="5" t="s">
        <v>30</v>
      </c>
      <c r="I361" s="5" t="s">
        <v>22</v>
      </c>
      <c r="J361" s="5" t="s">
        <v>199</v>
      </c>
      <c r="K361" s="6">
        <v>0</v>
      </c>
      <c r="L361" s="7">
        <v>0</v>
      </c>
      <c r="M361" s="8">
        <v>21.76</v>
      </c>
      <c r="N361" s="8">
        <v>9.6</v>
      </c>
      <c r="O361" s="8">
        <v>14.840704101851291</v>
      </c>
      <c r="P361" s="8">
        <v>0</v>
      </c>
      <c r="Q361" s="8">
        <v>21.12</v>
      </c>
      <c r="R361" s="8">
        <v>0</v>
      </c>
      <c r="S361" s="8">
        <v>8</v>
      </c>
      <c r="T361" s="5">
        <v>8</v>
      </c>
      <c r="U361" s="5">
        <v>8</v>
      </c>
      <c r="V361" s="5">
        <f>VLOOKUP(A361,Planilha1!B:E,4,0)</f>
        <v>13.783871706210666</v>
      </c>
    </row>
    <row r="362" spans="1:22" x14ac:dyDescent="0.3">
      <c r="A362" t="str">
        <f t="shared" si="10"/>
        <v>LEITE UHTLACTALIS</v>
      </c>
      <c r="B362" t="str">
        <f t="shared" si="11"/>
        <v>5279547LEITE UHTLACTALIS</v>
      </c>
      <c r="C362" s="5" t="s">
        <v>226</v>
      </c>
      <c r="D362" s="5" t="s">
        <v>227</v>
      </c>
      <c r="E362" s="5" t="s">
        <v>1722</v>
      </c>
      <c r="F362" s="5">
        <v>5279547</v>
      </c>
      <c r="G362" s="5" t="s">
        <v>309</v>
      </c>
      <c r="H362" s="5" t="s">
        <v>30</v>
      </c>
      <c r="I362" s="5" t="s">
        <v>22</v>
      </c>
      <c r="J362" s="5" t="s">
        <v>156</v>
      </c>
      <c r="K362" s="6">
        <v>0</v>
      </c>
      <c r="L362" s="7">
        <v>0</v>
      </c>
      <c r="M362" s="8">
        <v>88</v>
      </c>
      <c r="N362" s="8">
        <v>0</v>
      </c>
      <c r="O362" s="8">
        <v>93.764103196691664</v>
      </c>
      <c r="P362" s="8">
        <v>0</v>
      </c>
      <c r="Q362" s="8">
        <v>0</v>
      </c>
      <c r="R362" s="8">
        <v>0</v>
      </c>
      <c r="S362" s="8">
        <v>0</v>
      </c>
      <c r="T362" s="5">
        <v>0</v>
      </c>
      <c r="U362" s="5">
        <v>0</v>
      </c>
      <c r="V362" s="5">
        <f>VLOOKUP(A362,Planilha1!B:E,4,0)</f>
        <v>0.37177548115779385</v>
      </c>
    </row>
    <row r="363" spans="1:22" x14ac:dyDescent="0.3">
      <c r="A363" t="str">
        <f t="shared" si="10"/>
        <v>LEITE UHTLACTALIS</v>
      </c>
      <c r="B363" t="str">
        <f t="shared" si="11"/>
        <v>5279645LEITE UHTLACTALIS</v>
      </c>
      <c r="C363" s="5" t="s">
        <v>226</v>
      </c>
      <c r="D363" s="5" t="s">
        <v>227</v>
      </c>
      <c r="E363" s="5" t="s">
        <v>1722</v>
      </c>
      <c r="F363" s="5">
        <v>5279645</v>
      </c>
      <c r="G363" s="5" t="s">
        <v>310</v>
      </c>
      <c r="H363" s="5" t="s">
        <v>30</v>
      </c>
      <c r="I363" s="5" t="s">
        <v>22</v>
      </c>
      <c r="J363" s="5" t="s">
        <v>156</v>
      </c>
      <c r="K363" s="6">
        <v>0</v>
      </c>
      <c r="L363" s="7">
        <v>0</v>
      </c>
      <c r="M363" s="8">
        <v>0</v>
      </c>
      <c r="N363" s="8">
        <v>0</v>
      </c>
      <c r="O363" s="8">
        <v>21.812928296711661</v>
      </c>
      <c r="P363" s="8">
        <v>0</v>
      </c>
      <c r="Q363" s="8">
        <v>0</v>
      </c>
      <c r="R363" s="8">
        <v>0</v>
      </c>
      <c r="S363" s="8">
        <v>0</v>
      </c>
      <c r="T363" s="5">
        <v>0</v>
      </c>
      <c r="U363" s="5">
        <v>0</v>
      </c>
      <c r="V363" s="5">
        <f>VLOOKUP(A363,Planilha1!B:E,4,0)</f>
        <v>0.37177548115779385</v>
      </c>
    </row>
    <row r="364" spans="1:22" x14ac:dyDescent="0.3">
      <c r="A364" t="str">
        <f t="shared" si="10"/>
        <v>LEITE UHTLACTALIS</v>
      </c>
      <c r="B364" t="str">
        <f t="shared" si="11"/>
        <v>5279914LEITE UHTLACTALIS</v>
      </c>
      <c r="C364" s="5" t="s">
        <v>226</v>
      </c>
      <c r="D364" s="5" t="s">
        <v>227</v>
      </c>
      <c r="E364" s="5" t="s">
        <v>1722</v>
      </c>
      <c r="F364" s="5">
        <v>5279914</v>
      </c>
      <c r="G364" s="5" t="s">
        <v>311</v>
      </c>
      <c r="H364" s="5" t="s">
        <v>30</v>
      </c>
      <c r="I364" s="5" t="s">
        <v>22</v>
      </c>
      <c r="J364" s="5" t="s">
        <v>156</v>
      </c>
      <c r="K364" s="6">
        <v>0</v>
      </c>
      <c r="L364" s="7">
        <v>60</v>
      </c>
      <c r="M364" s="8">
        <v>44</v>
      </c>
      <c r="N364" s="8">
        <v>56</v>
      </c>
      <c r="O364" s="8">
        <v>17.44270906666182</v>
      </c>
      <c r="P364" s="8">
        <v>0</v>
      </c>
      <c r="Q364" s="8">
        <v>0</v>
      </c>
      <c r="R364" s="8">
        <v>0</v>
      </c>
      <c r="S364" s="8">
        <v>0</v>
      </c>
      <c r="T364" s="5">
        <v>0</v>
      </c>
      <c r="U364" s="5">
        <v>72</v>
      </c>
      <c r="V364" s="5">
        <f>VLOOKUP(A364,Planilha1!B:E,4,0)</f>
        <v>0.37177548115779385</v>
      </c>
    </row>
    <row r="365" spans="1:22" x14ac:dyDescent="0.3">
      <c r="A365" t="str">
        <f t="shared" si="10"/>
        <v>LEITE UHTLACTALIS</v>
      </c>
      <c r="B365" t="str">
        <f t="shared" si="11"/>
        <v>5280471LEITE UHTLACTALIS</v>
      </c>
      <c r="C365" s="5" t="s">
        <v>226</v>
      </c>
      <c r="D365" s="5" t="s">
        <v>227</v>
      </c>
      <c r="E365" s="5" t="s">
        <v>1722</v>
      </c>
      <c r="F365" s="5">
        <v>5280471</v>
      </c>
      <c r="G365" s="5" t="s">
        <v>312</v>
      </c>
      <c r="H365" s="5" t="s">
        <v>30</v>
      </c>
      <c r="I365" s="5" t="s">
        <v>22</v>
      </c>
      <c r="J365" s="5" t="s">
        <v>156</v>
      </c>
      <c r="K365" s="6">
        <v>0</v>
      </c>
      <c r="L365" s="7">
        <v>240</v>
      </c>
      <c r="M365" s="8">
        <v>300</v>
      </c>
      <c r="N365" s="8">
        <v>280</v>
      </c>
      <c r="O365" s="8">
        <v>218.05771824173371</v>
      </c>
      <c r="P365" s="8">
        <v>0</v>
      </c>
      <c r="Q365" s="8">
        <v>360</v>
      </c>
      <c r="R365" s="8">
        <v>0</v>
      </c>
      <c r="S365" s="8">
        <v>0</v>
      </c>
      <c r="T365" s="5">
        <v>0</v>
      </c>
      <c r="U365" s="5">
        <v>360</v>
      </c>
      <c r="V365" s="5">
        <f>VLOOKUP(A365,Planilha1!B:E,4,0)</f>
        <v>0.37177548115779385</v>
      </c>
    </row>
    <row r="366" spans="1:22" x14ac:dyDescent="0.3">
      <c r="A366" t="str">
        <f t="shared" si="10"/>
        <v>LEITE UHTLACTALIS</v>
      </c>
      <c r="B366" t="str">
        <f t="shared" si="11"/>
        <v>5282181LEITE UHTLACTALIS</v>
      </c>
      <c r="C366" s="5" t="s">
        <v>226</v>
      </c>
      <c r="D366" s="5" t="s">
        <v>227</v>
      </c>
      <c r="E366" s="5" t="s">
        <v>1722</v>
      </c>
      <c r="F366" s="5">
        <v>5282181</v>
      </c>
      <c r="G366" s="5" t="s">
        <v>313</v>
      </c>
      <c r="H366" s="5" t="s">
        <v>30</v>
      </c>
      <c r="I366" s="5" t="s">
        <v>22</v>
      </c>
      <c r="J366" s="5" t="s">
        <v>156</v>
      </c>
      <c r="K366" s="6">
        <v>0</v>
      </c>
      <c r="L366" s="7">
        <v>144</v>
      </c>
      <c r="M366" s="8">
        <v>96</v>
      </c>
      <c r="N366" s="8">
        <v>96</v>
      </c>
      <c r="O366" s="8">
        <v>52.32812719998546</v>
      </c>
      <c r="P366" s="8">
        <v>0</v>
      </c>
      <c r="Q366" s="8">
        <v>0</v>
      </c>
      <c r="R366" s="8">
        <v>0</v>
      </c>
      <c r="S366" s="8">
        <v>0</v>
      </c>
      <c r="T366" s="5">
        <v>0</v>
      </c>
      <c r="U366" s="5">
        <v>0</v>
      </c>
      <c r="V366" s="5">
        <f>VLOOKUP(A366,Planilha1!B:E,4,0)</f>
        <v>0.37177548115779385</v>
      </c>
    </row>
    <row r="367" spans="1:22" x14ac:dyDescent="0.3">
      <c r="A367" t="str">
        <f t="shared" si="10"/>
        <v>LEITE UHTLACTALIS</v>
      </c>
      <c r="B367" t="str">
        <f t="shared" si="11"/>
        <v>5282186LEITE UHTLACTALIS</v>
      </c>
      <c r="C367" s="5" t="s">
        <v>226</v>
      </c>
      <c r="D367" s="5" t="s">
        <v>227</v>
      </c>
      <c r="E367" s="5" t="s">
        <v>1722</v>
      </c>
      <c r="F367" s="5">
        <v>5282186</v>
      </c>
      <c r="G367" s="5" t="s">
        <v>314</v>
      </c>
      <c r="H367" s="5" t="s">
        <v>30</v>
      </c>
      <c r="I367" s="5" t="s">
        <v>22</v>
      </c>
      <c r="J367" s="5" t="s">
        <v>156</v>
      </c>
      <c r="K367" s="6">
        <v>0</v>
      </c>
      <c r="L367" s="7">
        <v>144</v>
      </c>
      <c r="M367" s="8">
        <v>112</v>
      </c>
      <c r="N367" s="8">
        <v>92</v>
      </c>
      <c r="O367" s="8">
        <v>54.51800779670257</v>
      </c>
      <c r="P367" s="8">
        <v>0</v>
      </c>
      <c r="Q367" s="8">
        <v>0</v>
      </c>
      <c r="R367" s="8">
        <v>0</v>
      </c>
      <c r="S367" s="8">
        <v>0</v>
      </c>
      <c r="T367" s="5">
        <v>0</v>
      </c>
      <c r="U367" s="5">
        <v>0</v>
      </c>
      <c r="V367" s="5">
        <f>VLOOKUP(A367,Planilha1!B:E,4,0)</f>
        <v>0.37177548115779385</v>
      </c>
    </row>
    <row r="368" spans="1:22" x14ac:dyDescent="0.3">
      <c r="A368" t="str">
        <f t="shared" si="10"/>
        <v>LEITE UHTLACTALIS</v>
      </c>
      <c r="B368" t="str">
        <f t="shared" si="11"/>
        <v>5282417LEITE UHTLACTALIS</v>
      </c>
      <c r="C368" s="5" t="s">
        <v>226</v>
      </c>
      <c r="D368" s="5" t="s">
        <v>227</v>
      </c>
      <c r="E368" s="5" t="s">
        <v>1722</v>
      </c>
      <c r="F368" s="5">
        <v>5282417</v>
      </c>
      <c r="G368" s="5" t="s">
        <v>315</v>
      </c>
      <c r="H368" s="5" t="s">
        <v>30</v>
      </c>
      <c r="I368" s="5" t="s">
        <v>22</v>
      </c>
      <c r="J368" s="5" t="s">
        <v>156</v>
      </c>
      <c r="K368" s="6">
        <v>0</v>
      </c>
      <c r="L368" s="7">
        <v>120</v>
      </c>
      <c r="M368" s="8">
        <v>80</v>
      </c>
      <c r="N368" s="8">
        <v>80</v>
      </c>
      <c r="O368" s="8">
        <v>76.316623148337655</v>
      </c>
      <c r="P368" s="8">
        <v>0</v>
      </c>
      <c r="Q368" s="8">
        <v>0</v>
      </c>
      <c r="R368" s="8">
        <v>0</v>
      </c>
      <c r="S368" s="8">
        <v>0</v>
      </c>
      <c r="T368" s="5">
        <v>0</v>
      </c>
      <c r="U368" s="5">
        <v>120</v>
      </c>
      <c r="V368" s="5">
        <f>VLOOKUP(A368,Planilha1!B:E,4,0)</f>
        <v>0.37177548115779385</v>
      </c>
    </row>
    <row r="369" spans="1:22" x14ac:dyDescent="0.3">
      <c r="A369" t="str">
        <f t="shared" si="10"/>
        <v>BLISTERLACTALIS</v>
      </c>
      <c r="B369" t="str">
        <f t="shared" si="11"/>
        <v>5282908BLISTERLACTALIS</v>
      </c>
      <c r="C369" s="5" t="s">
        <v>226</v>
      </c>
      <c r="D369" s="5" t="s">
        <v>227</v>
      </c>
      <c r="E369" s="5" t="s">
        <v>1722</v>
      </c>
      <c r="F369" s="5">
        <v>5282908</v>
      </c>
      <c r="G369" s="5" t="s">
        <v>316</v>
      </c>
      <c r="H369" s="5" t="s">
        <v>30</v>
      </c>
      <c r="I369" s="5" t="s">
        <v>22</v>
      </c>
      <c r="J369" s="5" t="s">
        <v>199</v>
      </c>
      <c r="K369" s="6">
        <v>0</v>
      </c>
      <c r="L369" s="7">
        <v>0</v>
      </c>
      <c r="M369" s="8">
        <v>7.3599999999999994</v>
      </c>
      <c r="N369" s="8">
        <v>0</v>
      </c>
      <c r="O369" s="8">
        <v>6.6787891788726048</v>
      </c>
      <c r="P369" s="8">
        <v>0</v>
      </c>
      <c r="Q369" s="8">
        <v>0</v>
      </c>
      <c r="R369" s="8">
        <v>0</v>
      </c>
      <c r="S369" s="8">
        <v>8</v>
      </c>
      <c r="T369" s="5">
        <v>8</v>
      </c>
      <c r="U369" s="5">
        <v>8</v>
      </c>
      <c r="V369" s="5">
        <f>VLOOKUP(A369,Planilha1!B:E,4,0)</f>
        <v>13.783871706210666</v>
      </c>
    </row>
    <row r="370" spans="1:22" x14ac:dyDescent="0.3">
      <c r="A370" t="str">
        <f t="shared" si="10"/>
        <v>LEITE UHTLACTALIS</v>
      </c>
      <c r="B370" t="str">
        <f t="shared" si="11"/>
        <v>5285363LEITE UHTLACTALIS</v>
      </c>
      <c r="C370" s="5" t="s">
        <v>226</v>
      </c>
      <c r="D370" s="5" t="s">
        <v>227</v>
      </c>
      <c r="E370" s="5" t="s">
        <v>1722</v>
      </c>
      <c r="F370" s="5">
        <v>5285363</v>
      </c>
      <c r="G370" s="5" t="s">
        <v>317</v>
      </c>
      <c r="H370" s="5" t="s">
        <v>30</v>
      </c>
      <c r="I370" s="5" t="s">
        <v>22</v>
      </c>
      <c r="J370" s="5" t="s">
        <v>156</v>
      </c>
      <c r="K370" s="6">
        <v>0</v>
      </c>
      <c r="L370" s="7">
        <v>0</v>
      </c>
      <c r="M370" s="8">
        <v>0</v>
      </c>
      <c r="N370" s="8">
        <v>0</v>
      </c>
      <c r="O370" s="8">
        <v>26.16406359999273</v>
      </c>
      <c r="P370" s="8">
        <v>0</v>
      </c>
      <c r="Q370" s="8">
        <v>0</v>
      </c>
      <c r="R370" s="8">
        <v>0</v>
      </c>
      <c r="S370" s="8">
        <v>0</v>
      </c>
      <c r="T370" s="5">
        <v>0</v>
      </c>
      <c r="U370" s="5">
        <v>0</v>
      </c>
      <c r="V370" s="5">
        <f>VLOOKUP(A370,Planilha1!B:E,4,0)</f>
        <v>0.37177548115779385</v>
      </c>
    </row>
    <row r="371" spans="1:22" x14ac:dyDescent="0.3">
      <c r="A371" t="str">
        <f t="shared" si="10"/>
        <v>LEITE UHTLACTALIS</v>
      </c>
      <c r="B371" t="str">
        <f t="shared" si="11"/>
        <v>5286165LEITE UHTLACTALIS</v>
      </c>
      <c r="C371" s="5" t="s">
        <v>226</v>
      </c>
      <c r="D371" s="5" t="s">
        <v>227</v>
      </c>
      <c r="E371" s="5" t="s">
        <v>1722</v>
      </c>
      <c r="F371" s="5">
        <v>5286165</v>
      </c>
      <c r="G371" s="5" t="s">
        <v>318</v>
      </c>
      <c r="H371" s="5" t="s">
        <v>30</v>
      </c>
      <c r="I371" s="5" t="s">
        <v>22</v>
      </c>
      <c r="J371" s="5" t="s">
        <v>156</v>
      </c>
      <c r="K371" s="6">
        <v>0</v>
      </c>
      <c r="L371" s="7">
        <v>0</v>
      </c>
      <c r="M371" s="8">
        <v>10</v>
      </c>
      <c r="N371" s="8">
        <v>0</v>
      </c>
      <c r="O371" s="8">
        <v>10.90646414835583</v>
      </c>
      <c r="P371" s="8">
        <v>0</v>
      </c>
      <c r="Q371" s="8">
        <v>0</v>
      </c>
      <c r="R371" s="8">
        <v>0</v>
      </c>
      <c r="S371" s="8">
        <v>0</v>
      </c>
      <c r="T371" s="5">
        <v>0</v>
      </c>
      <c r="U371" s="5">
        <v>0</v>
      </c>
      <c r="V371" s="5">
        <f>VLOOKUP(A371,Planilha1!B:E,4,0)</f>
        <v>0.37177548115779385</v>
      </c>
    </row>
    <row r="372" spans="1:22" x14ac:dyDescent="0.3">
      <c r="A372" t="str">
        <f t="shared" si="10"/>
        <v>MANTEIGA 5KGLACTALIS</v>
      </c>
      <c r="B372" t="str">
        <f t="shared" si="11"/>
        <v>5286593MANTEIGA 5KGLACTALIS</v>
      </c>
      <c r="C372" s="5" t="s">
        <v>226</v>
      </c>
      <c r="D372" s="5" t="s">
        <v>227</v>
      </c>
      <c r="E372" s="5" t="s">
        <v>1722</v>
      </c>
      <c r="F372" s="5">
        <v>5286593</v>
      </c>
      <c r="G372" s="5" t="s">
        <v>319</v>
      </c>
      <c r="H372" s="5" t="s">
        <v>30</v>
      </c>
      <c r="I372" s="5" t="s">
        <v>22</v>
      </c>
      <c r="J372" s="5" t="s">
        <v>60</v>
      </c>
      <c r="K372" s="6">
        <v>0</v>
      </c>
      <c r="L372" s="7">
        <v>0</v>
      </c>
      <c r="M372" s="8">
        <v>233.33333333333337</v>
      </c>
      <c r="N372" s="8">
        <v>300</v>
      </c>
      <c r="O372" s="8">
        <v>315.56629651590748</v>
      </c>
      <c r="P372" s="8">
        <v>0</v>
      </c>
      <c r="Q372" s="8">
        <v>100</v>
      </c>
      <c r="R372" s="8">
        <v>0</v>
      </c>
      <c r="S372" s="8">
        <v>240</v>
      </c>
      <c r="T372" s="5">
        <v>240</v>
      </c>
      <c r="U372" s="5">
        <v>100</v>
      </c>
      <c r="V372" s="5">
        <f>VLOOKUP(A372,Planilha1!B:E,4,0)</f>
        <v>11.476197020267191</v>
      </c>
    </row>
    <row r="373" spans="1:22" x14ac:dyDescent="0.3">
      <c r="A373" t="str">
        <f t="shared" si="10"/>
        <v>LEITE UHTLACTALIS</v>
      </c>
      <c r="B373" t="str">
        <f t="shared" si="11"/>
        <v>5287035LEITE UHTLACTALIS</v>
      </c>
      <c r="C373" s="5" t="s">
        <v>226</v>
      </c>
      <c r="D373" s="5" t="s">
        <v>227</v>
      </c>
      <c r="E373" s="5" t="s">
        <v>1722</v>
      </c>
      <c r="F373" s="5">
        <v>5287035</v>
      </c>
      <c r="G373" s="5" t="s">
        <v>320</v>
      </c>
      <c r="H373" s="5" t="s">
        <v>30</v>
      </c>
      <c r="I373" s="5" t="s">
        <v>22</v>
      </c>
      <c r="J373" s="5" t="s">
        <v>156</v>
      </c>
      <c r="K373" s="6">
        <v>0</v>
      </c>
      <c r="L373" s="7">
        <v>120</v>
      </c>
      <c r="M373" s="8">
        <v>158</v>
      </c>
      <c r="N373" s="8">
        <v>140</v>
      </c>
      <c r="O373" s="8">
        <v>109.02647363002075</v>
      </c>
      <c r="P373" s="8">
        <v>0</v>
      </c>
      <c r="Q373" s="8">
        <v>0</v>
      </c>
      <c r="R373" s="8">
        <v>0</v>
      </c>
      <c r="S373" s="8">
        <v>0</v>
      </c>
      <c r="T373" s="5">
        <v>0</v>
      </c>
      <c r="U373" s="5">
        <v>0</v>
      </c>
      <c r="V373" s="5">
        <f>VLOOKUP(A373,Planilha1!B:E,4,0)</f>
        <v>0.37177548115779385</v>
      </c>
    </row>
    <row r="374" spans="1:22" x14ac:dyDescent="0.3">
      <c r="A374" t="str">
        <f t="shared" si="10"/>
        <v>LEITE UHTLACTALIS</v>
      </c>
      <c r="B374" t="str">
        <f t="shared" si="11"/>
        <v>5288963LEITE UHTLACTALIS</v>
      </c>
      <c r="C374" s="5" t="s">
        <v>226</v>
      </c>
      <c r="D374" s="5" t="s">
        <v>227</v>
      </c>
      <c r="E374" s="5" t="s">
        <v>1722</v>
      </c>
      <c r="F374" s="5">
        <v>5288963</v>
      </c>
      <c r="G374" s="5" t="s">
        <v>321</v>
      </c>
      <c r="H374" s="5" t="s">
        <v>30</v>
      </c>
      <c r="I374" s="5" t="s">
        <v>22</v>
      </c>
      <c r="J374" s="5" t="s">
        <v>156</v>
      </c>
      <c r="K374" s="6">
        <v>0</v>
      </c>
      <c r="L374" s="7">
        <v>48</v>
      </c>
      <c r="M374" s="8">
        <v>16</v>
      </c>
      <c r="N374" s="8">
        <v>0</v>
      </c>
      <c r="O374" s="8">
        <v>43.616314630038936</v>
      </c>
      <c r="P374" s="8">
        <v>0</v>
      </c>
      <c r="Q374" s="8">
        <v>0</v>
      </c>
      <c r="R374" s="8">
        <v>0</v>
      </c>
      <c r="S374" s="8">
        <v>0</v>
      </c>
      <c r="T374" s="5">
        <v>0</v>
      </c>
      <c r="U374" s="5">
        <v>0</v>
      </c>
      <c r="V374" s="5">
        <f>VLOOKUP(A374,Planilha1!B:E,4,0)</f>
        <v>0.37177548115779385</v>
      </c>
    </row>
    <row r="375" spans="1:22" x14ac:dyDescent="0.3">
      <c r="A375" t="str">
        <f t="shared" si="10"/>
        <v>MANTEIGA 5KGLACTALIS</v>
      </c>
      <c r="B375" t="str">
        <f t="shared" si="11"/>
        <v>5291157MANTEIGA 5KGLACTALIS</v>
      </c>
      <c r="C375" s="5" t="s">
        <v>226</v>
      </c>
      <c r="D375" s="5" t="s">
        <v>227</v>
      </c>
      <c r="E375" s="5" t="s">
        <v>1722</v>
      </c>
      <c r="F375" s="5">
        <v>5291157</v>
      </c>
      <c r="G375" s="5" t="s">
        <v>322</v>
      </c>
      <c r="H375" s="5" t="s">
        <v>30</v>
      </c>
      <c r="I375" s="5" t="s">
        <v>22</v>
      </c>
      <c r="J375" s="5" t="s">
        <v>60</v>
      </c>
      <c r="K375" s="6">
        <v>0</v>
      </c>
      <c r="L375" s="7">
        <v>15</v>
      </c>
      <c r="M375" s="8">
        <v>13.333333333333334</v>
      </c>
      <c r="N375" s="8">
        <v>13.333333333333334</v>
      </c>
      <c r="O375" s="8">
        <v>24.554313768099675</v>
      </c>
      <c r="P375" s="8">
        <v>0</v>
      </c>
      <c r="Q375" s="8">
        <v>5</v>
      </c>
      <c r="R375" s="8">
        <v>0</v>
      </c>
      <c r="S375" s="8">
        <v>15</v>
      </c>
      <c r="T375" s="5">
        <v>15</v>
      </c>
      <c r="U375" s="5">
        <v>10</v>
      </c>
      <c r="V375" s="5">
        <f>VLOOKUP(A375,Planilha1!B:E,4,0)</f>
        <v>11.476197020267191</v>
      </c>
    </row>
    <row r="376" spans="1:22" x14ac:dyDescent="0.3">
      <c r="A376" t="str">
        <f t="shared" si="10"/>
        <v>LEITE UHTLACTALIS</v>
      </c>
      <c r="B376" t="str">
        <f t="shared" si="11"/>
        <v>5291157LEITE UHTLACTALIS</v>
      </c>
      <c r="C376" s="5" t="s">
        <v>226</v>
      </c>
      <c r="D376" s="5" t="s">
        <v>227</v>
      </c>
      <c r="E376" s="5" t="s">
        <v>1722</v>
      </c>
      <c r="F376" s="5">
        <v>5291157</v>
      </c>
      <c r="G376" s="5" t="s">
        <v>322</v>
      </c>
      <c r="H376" s="5" t="s">
        <v>30</v>
      </c>
      <c r="I376" s="5" t="s">
        <v>22</v>
      </c>
      <c r="J376" s="5" t="s">
        <v>156</v>
      </c>
      <c r="K376" s="6">
        <v>0</v>
      </c>
      <c r="L376" s="7">
        <v>24</v>
      </c>
      <c r="M376" s="8">
        <v>2</v>
      </c>
      <c r="N376" s="8">
        <v>0</v>
      </c>
      <c r="O376" s="8">
        <v>8.7213545333309099</v>
      </c>
      <c r="P376" s="8">
        <v>0</v>
      </c>
      <c r="Q376" s="8">
        <v>0</v>
      </c>
      <c r="R376" s="8">
        <v>0</v>
      </c>
      <c r="S376" s="8">
        <v>0</v>
      </c>
      <c r="T376" s="5">
        <v>0</v>
      </c>
      <c r="U376" s="5">
        <v>0</v>
      </c>
      <c r="V376" s="5">
        <f>VLOOKUP(A376,Planilha1!B:E,4,0)</f>
        <v>0.37177548115779385</v>
      </c>
    </row>
    <row r="377" spans="1:22" x14ac:dyDescent="0.3">
      <c r="A377" t="str">
        <f t="shared" si="10"/>
        <v>LEITE UHTLACTALIS</v>
      </c>
      <c r="B377" t="str">
        <f t="shared" si="11"/>
        <v>5292048LEITE UHTLACTALIS</v>
      </c>
      <c r="C377" s="5" t="s">
        <v>226</v>
      </c>
      <c r="D377" s="5" t="s">
        <v>227</v>
      </c>
      <c r="E377" s="5" t="s">
        <v>1722</v>
      </c>
      <c r="F377" s="5">
        <v>5292048</v>
      </c>
      <c r="G377" s="5" t="s">
        <v>323</v>
      </c>
      <c r="H377" s="5" t="s">
        <v>30</v>
      </c>
      <c r="I377" s="5" t="s">
        <v>22</v>
      </c>
      <c r="J377" s="5" t="s">
        <v>156</v>
      </c>
      <c r="K377" s="6">
        <v>0</v>
      </c>
      <c r="L377" s="7">
        <v>192</v>
      </c>
      <c r="M377" s="8">
        <v>132</v>
      </c>
      <c r="N377" s="8">
        <v>204</v>
      </c>
      <c r="O377" s="8">
        <v>63.23459134834129</v>
      </c>
      <c r="P377" s="8">
        <v>0</v>
      </c>
      <c r="Q377" s="8">
        <v>120</v>
      </c>
      <c r="R377" s="8">
        <v>0</v>
      </c>
      <c r="S377" s="8">
        <v>0</v>
      </c>
      <c r="T377" s="5">
        <v>0</v>
      </c>
      <c r="U377" s="5">
        <v>120</v>
      </c>
      <c r="V377" s="5">
        <f>VLOOKUP(A377,Planilha1!B:E,4,0)</f>
        <v>0.37177548115779385</v>
      </c>
    </row>
    <row r="378" spans="1:22" x14ac:dyDescent="0.3">
      <c r="A378" t="str">
        <f t="shared" si="10"/>
        <v>LEITE UHTLACTALIS</v>
      </c>
      <c r="B378" t="str">
        <f t="shared" si="11"/>
        <v>5292065LEITE UHTLACTALIS</v>
      </c>
      <c r="C378" s="5" t="s">
        <v>226</v>
      </c>
      <c r="D378" s="5" t="s">
        <v>227</v>
      </c>
      <c r="E378" s="5" t="s">
        <v>1722</v>
      </c>
      <c r="F378" s="5">
        <v>5292065</v>
      </c>
      <c r="G378" s="5" t="s">
        <v>324</v>
      </c>
      <c r="H378" s="5" t="s">
        <v>30</v>
      </c>
      <c r="I378" s="5" t="s">
        <v>22</v>
      </c>
      <c r="J378" s="5" t="s">
        <v>156</v>
      </c>
      <c r="K378" s="6">
        <v>0</v>
      </c>
      <c r="L378" s="7">
        <v>300</v>
      </c>
      <c r="M378" s="8">
        <v>462</v>
      </c>
      <c r="N378" s="8">
        <v>424</v>
      </c>
      <c r="O378" s="8">
        <v>298.74456062012121</v>
      </c>
      <c r="P378" s="8">
        <v>0</v>
      </c>
      <c r="Q378" s="8">
        <v>0</v>
      </c>
      <c r="R378" s="8">
        <v>0</v>
      </c>
      <c r="S378" s="8">
        <v>0</v>
      </c>
      <c r="T378" s="5">
        <v>0</v>
      </c>
      <c r="U378" s="5">
        <v>444</v>
      </c>
      <c r="V378" s="5">
        <f>VLOOKUP(A378,Planilha1!B:E,4,0)</f>
        <v>0.37177548115779385</v>
      </c>
    </row>
    <row r="379" spans="1:22" x14ac:dyDescent="0.3">
      <c r="A379" t="str">
        <f t="shared" si="10"/>
        <v>MANTEIGA 5KGLACTALIS</v>
      </c>
      <c r="B379" t="str">
        <f t="shared" si="11"/>
        <v>5292229MANTEIGA 5KGLACTALIS</v>
      </c>
      <c r="C379" s="5" t="s">
        <v>226</v>
      </c>
      <c r="D379" s="5" t="s">
        <v>227</v>
      </c>
      <c r="E379" s="5" t="s">
        <v>1722</v>
      </c>
      <c r="F379" s="5">
        <v>5292229</v>
      </c>
      <c r="G379" s="5" t="s">
        <v>325</v>
      </c>
      <c r="H379" s="5" t="s">
        <v>30</v>
      </c>
      <c r="I379" s="5" t="s">
        <v>22</v>
      </c>
      <c r="J379" s="5" t="s">
        <v>60</v>
      </c>
      <c r="K379" s="6">
        <v>0</v>
      </c>
      <c r="L379" s="7">
        <v>220</v>
      </c>
      <c r="M379" s="8">
        <v>290.83333333333331</v>
      </c>
      <c r="N379" s="8">
        <v>281.66666666666669</v>
      </c>
      <c r="O379" s="8">
        <v>301.54744684865432</v>
      </c>
      <c r="P379" s="8">
        <v>0</v>
      </c>
      <c r="Q379" s="8">
        <v>0</v>
      </c>
      <c r="R379" s="8">
        <v>0</v>
      </c>
      <c r="S379" s="8">
        <v>0</v>
      </c>
      <c r="T379" s="5">
        <v>305</v>
      </c>
      <c r="U379" s="5">
        <v>305</v>
      </c>
      <c r="V379" s="5">
        <f>VLOOKUP(A379,Planilha1!B:E,4,0)</f>
        <v>11.476197020267191</v>
      </c>
    </row>
    <row r="380" spans="1:22" x14ac:dyDescent="0.3">
      <c r="A380" t="str">
        <f t="shared" si="10"/>
        <v>LEITE UHTLACTALIS</v>
      </c>
      <c r="B380" t="str">
        <f t="shared" si="11"/>
        <v>5292229LEITE UHTLACTALIS</v>
      </c>
      <c r="C380" s="5" t="s">
        <v>226</v>
      </c>
      <c r="D380" s="5" t="s">
        <v>227</v>
      </c>
      <c r="E380" s="5" t="s">
        <v>1722</v>
      </c>
      <c r="F380" s="5">
        <v>5292229</v>
      </c>
      <c r="G380" s="5" t="s">
        <v>325</v>
      </c>
      <c r="H380" s="5" t="s">
        <v>30</v>
      </c>
      <c r="I380" s="5" t="s">
        <v>22</v>
      </c>
      <c r="J380" s="5" t="s">
        <v>156</v>
      </c>
      <c r="K380" s="6">
        <v>0</v>
      </c>
      <c r="L380" s="7">
        <v>72</v>
      </c>
      <c r="M380" s="8">
        <v>94</v>
      </c>
      <c r="N380" s="8">
        <v>48</v>
      </c>
      <c r="O380" s="8">
        <v>82.871951993412409</v>
      </c>
      <c r="P380" s="8">
        <v>0</v>
      </c>
      <c r="Q380" s="8">
        <v>0</v>
      </c>
      <c r="R380" s="8">
        <v>0</v>
      </c>
      <c r="S380" s="8">
        <v>0</v>
      </c>
      <c r="T380" s="5">
        <v>0</v>
      </c>
      <c r="U380" s="5">
        <v>0</v>
      </c>
      <c r="V380" s="5">
        <f>VLOOKUP(A380,Planilha1!B:E,4,0)</f>
        <v>0.37177548115779385</v>
      </c>
    </row>
    <row r="381" spans="1:22" x14ac:dyDescent="0.3">
      <c r="A381" t="str">
        <f t="shared" si="10"/>
        <v>MANTEIGA 5KGLACTALIS</v>
      </c>
      <c r="B381" t="str">
        <f t="shared" si="11"/>
        <v>5292294MANTEIGA 5KGLACTALIS</v>
      </c>
      <c r="C381" s="5" t="s">
        <v>226</v>
      </c>
      <c r="D381" s="5" t="s">
        <v>227</v>
      </c>
      <c r="E381" s="5" t="s">
        <v>1722</v>
      </c>
      <c r="F381" s="5">
        <v>5292294</v>
      </c>
      <c r="G381" s="5" t="s">
        <v>326</v>
      </c>
      <c r="H381" s="5" t="s">
        <v>30</v>
      </c>
      <c r="I381" s="5" t="s">
        <v>22</v>
      </c>
      <c r="J381" s="5" t="s">
        <v>60</v>
      </c>
      <c r="K381" s="6">
        <v>0</v>
      </c>
      <c r="L381" s="7">
        <v>50</v>
      </c>
      <c r="M381" s="8">
        <v>286.66666666666663</v>
      </c>
      <c r="N381" s="8">
        <v>278.33333333333331</v>
      </c>
      <c r="O381" s="8">
        <v>303.3033575321287</v>
      </c>
      <c r="P381" s="8">
        <v>0</v>
      </c>
      <c r="Q381" s="8">
        <v>0</v>
      </c>
      <c r="R381" s="8">
        <v>0</v>
      </c>
      <c r="S381" s="8">
        <v>350</v>
      </c>
      <c r="T381" s="5">
        <v>350</v>
      </c>
      <c r="U381" s="5">
        <v>175</v>
      </c>
      <c r="V381" s="5">
        <f>VLOOKUP(A381,Planilha1!B:E,4,0)</f>
        <v>11.476197020267191</v>
      </c>
    </row>
    <row r="382" spans="1:22" x14ac:dyDescent="0.3">
      <c r="A382" t="str">
        <f t="shared" si="10"/>
        <v>MANTEIGA 5KGLACTALIS</v>
      </c>
      <c r="B382" t="str">
        <f t="shared" si="11"/>
        <v>5292947MANTEIGA 5KGLACTALIS</v>
      </c>
      <c r="C382" s="5" t="s">
        <v>226</v>
      </c>
      <c r="D382" s="5" t="s">
        <v>227</v>
      </c>
      <c r="E382" s="5" t="s">
        <v>1722</v>
      </c>
      <c r="F382" s="5">
        <v>5292947</v>
      </c>
      <c r="G382" s="5" t="s">
        <v>327</v>
      </c>
      <c r="H382" s="5" t="s">
        <v>30</v>
      </c>
      <c r="I382" s="5" t="s">
        <v>22</v>
      </c>
      <c r="J382" s="5" t="s">
        <v>60</v>
      </c>
      <c r="K382" s="6">
        <v>0</v>
      </c>
      <c r="L382" s="7">
        <v>0</v>
      </c>
      <c r="M382" s="8">
        <v>7.5000000000000009</v>
      </c>
      <c r="N382" s="8">
        <v>8.3333333333333339</v>
      </c>
      <c r="O382" s="8">
        <v>7.0165337837621244</v>
      </c>
      <c r="P382" s="8">
        <v>0</v>
      </c>
      <c r="Q382" s="8">
        <v>10</v>
      </c>
      <c r="R382" s="8">
        <v>0</v>
      </c>
      <c r="S382" s="8">
        <v>0</v>
      </c>
      <c r="T382" s="5">
        <v>10</v>
      </c>
      <c r="U382" s="5">
        <v>7</v>
      </c>
      <c r="V382" s="5">
        <f>VLOOKUP(A382,Planilha1!B:E,4,0)</f>
        <v>11.476197020267191</v>
      </c>
    </row>
    <row r="383" spans="1:22" x14ac:dyDescent="0.3">
      <c r="A383" t="str">
        <f t="shared" si="10"/>
        <v>LEITE UHTLACTALIS</v>
      </c>
      <c r="B383" t="str">
        <f t="shared" si="11"/>
        <v>5293612LEITE UHTLACTALIS</v>
      </c>
      <c r="C383" s="5" t="s">
        <v>226</v>
      </c>
      <c r="D383" s="5" t="s">
        <v>227</v>
      </c>
      <c r="E383" s="5" t="s">
        <v>1722</v>
      </c>
      <c r="F383" s="5">
        <v>5293612</v>
      </c>
      <c r="G383" s="5" t="s">
        <v>328</v>
      </c>
      <c r="H383" s="5" t="s">
        <v>30</v>
      </c>
      <c r="I383" s="5" t="s">
        <v>22</v>
      </c>
      <c r="J383" s="5" t="s">
        <v>156</v>
      </c>
      <c r="K383" s="6">
        <v>0</v>
      </c>
      <c r="L383" s="7">
        <v>24</v>
      </c>
      <c r="M383" s="8">
        <v>46</v>
      </c>
      <c r="N383" s="8">
        <v>92</v>
      </c>
      <c r="O383" s="8">
        <v>32.714621463375295</v>
      </c>
      <c r="P383" s="8">
        <v>0</v>
      </c>
      <c r="Q383" s="8">
        <v>0</v>
      </c>
      <c r="R383" s="8">
        <v>0</v>
      </c>
      <c r="S383" s="8">
        <v>0</v>
      </c>
      <c r="T383" s="5">
        <v>0</v>
      </c>
      <c r="U383" s="5">
        <v>96</v>
      </c>
      <c r="V383" s="5">
        <f>VLOOKUP(A383,Planilha1!B:E,4,0)</f>
        <v>0.37177548115779385</v>
      </c>
    </row>
    <row r="384" spans="1:22" x14ac:dyDescent="0.3">
      <c r="A384" t="str">
        <f t="shared" si="10"/>
        <v>LEITE UHTLACTALIS</v>
      </c>
      <c r="B384" t="str">
        <f t="shared" si="11"/>
        <v>5294345LEITE UHTLACTALIS</v>
      </c>
      <c r="C384" s="5" t="s">
        <v>226</v>
      </c>
      <c r="D384" s="5" t="s">
        <v>227</v>
      </c>
      <c r="E384" s="5" t="s">
        <v>1722</v>
      </c>
      <c r="F384" s="5">
        <v>5294345</v>
      </c>
      <c r="G384" s="5" t="s">
        <v>329</v>
      </c>
      <c r="H384" s="5" t="s">
        <v>30</v>
      </c>
      <c r="I384" s="5" t="s">
        <v>22</v>
      </c>
      <c r="J384" s="5" t="s">
        <v>156</v>
      </c>
      <c r="K384" s="6">
        <v>0</v>
      </c>
      <c r="L384" s="7">
        <v>0</v>
      </c>
      <c r="M384" s="8">
        <v>18</v>
      </c>
      <c r="N384" s="8">
        <v>12</v>
      </c>
      <c r="O384" s="8">
        <v>4.360677266665455</v>
      </c>
      <c r="P384" s="8">
        <v>0</v>
      </c>
      <c r="Q384" s="8">
        <v>0</v>
      </c>
      <c r="R384" s="8">
        <v>0</v>
      </c>
      <c r="S384" s="8">
        <v>0</v>
      </c>
      <c r="T384" s="5">
        <v>0</v>
      </c>
      <c r="U384" s="5">
        <v>0</v>
      </c>
      <c r="V384" s="5">
        <f>VLOOKUP(A384,Planilha1!B:E,4,0)</f>
        <v>0.37177548115779385</v>
      </c>
    </row>
    <row r="385" spans="1:22" x14ac:dyDescent="0.3">
      <c r="A385" t="str">
        <f t="shared" si="10"/>
        <v>LEITE UHTLACTALIS</v>
      </c>
      <c r="B385" t="str">
        <f t="shared" si="11"/>
        <v>5294426LEITE UHTLACTALIS</v>
      </c>
      <c r="C385" s="5" t="s">
        <v>226</v>
      </c>
      <c r="D385" s="5" t="s">
        <v>227</v>
      </c>
      <c r="E385" s="5" t="s">
        <v>1722</v>
      </c>
      <c r="F385" s="5">
        <v>5294426</v>
      </c>
      <c r="G385" s="5" t="s">
        <v>330</v>
      </c>
      <c r="H385" s="5" t="s">
        <v>30</v>
      </c>
      <c r="I385" s="5" t="s">
        <v>22</v>
      </c>
      <c r="J385" s="5" t="s">
        <v>156</v>
      </c>
      <c r="K385" s="6">
        <v>0</v>
      </c>
      <c r="L385" s="7">
        <v>0</v>
      </c>
      <c r="M385" s="8">
        <v>100</v>
      </c>
      <c r="N385" s="8">
        <v>0</v>
      </c>
      <c r="O385" s="8">
        <v>65.410158999981832</v>
      </c>
      <c r="P385" s="8">
        <v>0</v>
      </c>
      <c r="Q385" s="8">
        <v>0</v>
      </c>
      <c r="R385" s="8">
        <v>0</v>
      </c>
      <c r="S385" s="8">
        <v>0</v>
      </c>
      <c r="T385" s="5">
        <v>0</v>
      </c>
      <c r="U385" s="5">
        <v>0</v>
      </c>
      <c r="V385" s="5">
        <f>VLOOKUP(A385,Planilha1!B:E,4,0)</f>
        <v>0.37177548115779385</v>
      </c>
    </row>
    <row r="386" spans="1:22" x14ac:dyDescent="0.3">
      <c r="A386" t="str">
        <f t="shared" ref="A386:A449" si="12">J386&amp;I386</f>
        <v>MANTEIGA 5KGLACTALIS</v>
      </c>
      <c r="B386" t="str">
        <f t="shared" si="11"/>
        <v>5295332MANTEIGA 5KGLACTALIS</v>
      </c>
      <c r="C386" s="5" t="s">
        <v>226</v>
      </c>
      <c r="D386" s="5" t="s">
        <v>227</v>
      </c>
      <c r="E386" s="5" t="s">
        <v>1722</v>
      </c>
      <c r="F386" s="5">
        <v>5295332</v>
      </c>
      <c r="G386" s="5" t="s">
        <v>331</v>
      </c>
      <c r="H386" s="5" t="s">
        <v>30</v>
      </c>
      <c r="I386" s="5" t="s">
        <v>22</v>
      </c>
      <c r="J386" s="5" t="s">
        <v>60</v>
      </c>
      <c r="K386" s="6">
        <v>0</v>
      </c>
      <c r="L386" s="7">
        <v>0</v>
      </c>
      <c r="M386" s="8">
        <v>5.8333333333333339</v>
      </c>
      <c r="N386" s="8">
        <v>5</v>
      </c>
      <c r="O386" s="8">
        <v>21.042492401150852</v>
      </c>
      <c r="P386" s="8">
        <v>0</v>
      </c>
      <c r="Q386" s="8">
        <v>0</v>
      </c>
      <c r="R386" s="8">
        <v>0</v>
      </c>
      <c r="S386" s="8">
        <v>0</v>
      </c>
      <c r="T386" s="5">
        <v>0</v>
      </c>
      <c r="U386" s="5">
        <v>21</v>
      </c>
      <c r="V386" s="5">
        <f>VLOOKUP(A386,Planilha1!B:E,4,0)</f>
        <v>11.476197020267191</v>
      </c>
    </row>
    <row r="387" spans="1:22" x14ac:dyDescent="0.3">
      <c r="A387" t="str">
        <f t="shared" si="12"/>
        <v>MANTEIGA 5KGLACTALIS</v>
      </c>
      <c r="B387" t="str">
        <f t="shared" ref="B387:B450" si="13">F387&amp;J387&amp;I387</f>
        <v>5296844MANTEIGA 5KGLACTALIS</v>
      </c>
      <c r="C387" s="5" t="s">
        <v>226</v>
      </c>
      <c r="D387" s="5" t="s">
        <v>227</v>
      </c>
      <c r="E387" s="5" t="s">
        <v>1722</v>
      </c>
      <c r="F387" s="5">
        <v>5296844</v>
      </c>
      <c r="G387" s="5" t="s">
        <v>332</v>
      </c>
      <c r="H387" s="5" t="s">
        <v>30</v>
      </c>
      <c r="I387" s="5" t="s">
        <v>22</v>
      </c>
      <c r="J387" s="5" t="s">
        <v>60</v>
      </c>
      <c r="K387" s="6">
        <v>0</v>
      </c>
      <c r="L387" s="7">
        <v>0</v>
      </c>
      <c r="M387" s="8">
        <v>101.66666666666666</v>
      </c>
      <c r="N387" s="8">
        <v>113.33333333333333</v>
      </c>
      <c r="O387" s="8">
        <v>85.911662387806757</v>
      </c>
      <c r="P387" s="8">
        <v>0</v>
      </c>
      <c r="Q387" s="8">
        <v>50</v>
      </c>
      <c r="R387" s="8">
        <v>0</v>
      </c>
      <c r="S387" s="8">
        <v>100</v>
      </c>
      <c r="T387" s="5">
        <v>100</v>
      </c>
      <c r="U387" s="5">
        <v>100</v>
      </c>
      <c r="V387" s="5">
        <f>VLOOKUP(A387,Planilha1!B:E,4,0)</f>
        <v>11.476197020267191</v>
      </c>
    </row>
    <row r="388" spans="1:22" x14ac:dyDescent="0.3">
      <c r="A388" t="str">
        <f t="shared" si="12"/>
        <v>MANTEIGA 5KGLACTALIS</v>
      </c>
      <c r="B388" t="str">
        <f t="shared" si="13"/>
        <v>5298021MANTEIGA 5KGLACTALIS</v>
      </c>
      <c r="C388" s="5" t="s">
        <v>226</v>
      </c>
      <c r="D388" s="5" t="s">
        <v>227</v>
      </c>
      <c r="E388" s="5" t="s">
        <v>1722</v>
      </c>
      <c r="F388" s="5">
        <v>5298021</v>
      </c>
      <c r="G388" s="5" t="s">
        <v>333</v>
      </c>
      <c r="H388" s="5" t="s">
        <v>30</v>
      </c>
      <c r="I388" s="5" t="s">
        <v>22</v>
      </c>
      <c r="J388" s="5" t="s">
        <v>60</v>
      </c>
      <c r="K388" s="6">
        <v>0</v>
      </c>
      <c r="L388" s="7">
        <v>50</v>
      </c>
      <c r="M388" s="8">
        <v>62.500000000000007</v>
      </c>
      <c r="N388" s="8">
        <v>58.333333333333336</v>
      </c>
      <c r="O388" s="8">
        <v>61.364457569842614</v>
      </c>
      <c r="P388" s="8">
        <v>0</v>
      </c>
      <c r="Q388" s="8">
        <v>25</v>
      </c>
      <c r="R388" s="8">
        <v>0</v>
      </c>
      <c r="S388" s="8">
        <v>25</v>
      </c>
      <c r="T388" s="5">
        <v>25</v>
      </c>
      <c r="U388" s="5">
        <v>25</v>
      </c>
      <c r="V388" s="5">
        <f>VLOOKUP(A388,Planilha1!B:E,4,0)</f>
        <v>11.476197020267191</v>
      </c>
    </row>
    <row r="389" spans="1:22" x14ac:dyDescent="0.3">
      <c r="A389" t="str">
        <f t="shared" si="12"/>
        <v>LEITE UHTLACTALIS</v>
      </c>
      <c r="B389" t="str">
        <f t="shared" si="13"/>
        <v>5298021LEITE UHTLACTALIS</v>
      </c>
      <c r="C389" s="5" t="s">
        <v>226</v>
      </c>
      <c r="D389" s="5" t="s">
        <v>227</v>
      </c>
      <c r="E389" s="5" t="s">
        <v>1722</v>
      </c>
      <c r="F389" s="5">
        <v>5298021</v>
      </c>
      <c r="G389" s="5" t="s">
        <v>333</v>
      </c>
      <c r="H389" s="5" t="s">
        <v>30</v>
      </c>
      <c r="I389" s="5" t="s">
        <v>22</v>
      </c>
      <c r="J389" s="5" t="s">
        <v>156</v>
      </c>
      <c r="K389" s="6">
        <v>0</v>
      </c>
      <c r="L389" s="7">
        <v>420</v>
      </c>
      <c r="M389" s="8">
        <v>480</v>
      </c>
      <c r="N389" s="8">
        <v>440</v>
      </c>
      <c r="O389" s="8">
        <v>370.69573552010121</v>
      </c>
      <c r="P389" s="8">
        <v>0</v>
      </c>
      <c r="Q389" s="8">
        <v>360</v>
      </c>
      <c r="R389" s="8">
        <v>0</v>
      </c>
      <c r="S389" s="8">
        <v>0</v>
      </c>
      <c r="T389" s="5">
        <v>0</v>
      </c>
      <c r="U389" s="5">
        <v>360</v>
      </c>
      <c r="V389" s="5">
        <f>VLOOKUP(A389,Planilha1!B:E,4,0)</f>
        <v>0.37177548115779385</v>
      </c>
    </row>
    <row r="390" spans="1:22" x14ac:dyDescent="0.3">
      <c r="A390" t="str">
        <f t="shared" si="12"/>
        <v>LEITE UHTLACTALIS</v>
      </c>
      <c r="B390" t="str">
        <f t="shared" si="13"/>
        <v>5301053LEITE UHTLACTALIS</v>
      </c>
      <c r="C390" s="5" t="s">
        <v>226</v>
      </c>
      <c r="D390" s="5" t="s">
        <v>227</v>
      </c>
      <c r="E390" s="5" t="s">
        <v>1722</v>
      </c>
      <c r="F390" s="5">
        <v>5301053</v>
      </c>
      <c r="G390" s="5" t="s">
        <v>334</v>
      </c>
      <c r="H390" s="5" t="s">
        <v>30</v>
      </c>
      <c r="I390" s="5" t="s">
        <v>22</v>
      </c>
      <c r="J390" s="5" t="s">
        <v>156</v>
      </c>
      <c r="K390" s="6">
        <v>0</v>
      </c>
      <c r="L390" s="7">
        <v>120</v>
      </c>
      <c r="M390" s="8">
        <v>122</v>
      </c>
      <c r="N390" s="8">
        <v>120</v>
      </c>
      <c r="O390" s="8">
        <v>61.054252715008559</v>
      </c>
      <c r="P390" s="8">
        <v>0</v>
      </c>
      <c r="Q390" s="8">
        <v>0</v>
      </c>
      <c r="R390" s="8">
        <v>0</v>
      </c>
      <c r="S390" s="8">
        <v>0</v>
      </c>
      <c r="T390" s="5">
        <v>0</v>
      </c>
      <c r="U390" s="5">
        <v>120</v>
      </c>
      <c r="V390" s="5">
        <f>VLOOKUP(A390,Planilha1!B:E,4,0)</f>
        <v>0.37177548115779385</v>
      </c>
    </row>
    <row r="391" spans="1:22" x14ac:dyDescent="0.3">
      <c r="A391" t="str">
        <f t="shared" si="12"/>
        <v>BLISTERLACTALIS</v>
      </c>
      <c r="B391" t="str">
        <f t="shared" si="13"/>
        <v>5301830BLISTERLACTALIS</v>
      </c>
      <c r="C391" s="5" t="s">
        <v>226</v>
      </c>
      <c r="D391" s="5" t="s">
        <v>227</v>
      </c>
      <c r="E391" s="5" t="s">
        <v>1722</v>
      </c>
      <c r="F391" s="5">
        <v>5301830</v>
      </c>
      <c r="G391" s="5" t="s">
        <v>335</v>
      </c>
      <c r="H391" s="5" t="s">
        <v>30</v>
      </c>
      <c r="I391" s="5" t="s">
        <v>22</v>
      </c>
      <c r="J391" s="5" t="s">
        <v>199</v>
      </c>
      <c r="K391" s="6">
        <v>0</v>
      </c>
      <c r="L391" s="7">
        <v>0</v>
      </c>
      <c r="M391" s="8">
        <v>10.959999999999999</v>
      </c>
      <c r="N391" s="8">
        <v>15.52</v>
      </c>
      <c r="O391" s="8">
        <v>4.1754240693941886</v>
      </c>
      <c r="P391" s="8">
        <v>0</v>
      </c>
      <c r="Q391" s="8">
        <v>10.08</v>
      </c>
      <c r="R391" s="8">
        <v>0</v>
      </c>
      <c r="S391" s="8">
        <v>8</v>
      </c>
      <c r="T391" s="5">
        <v>8</v>
      </c>
      <c r="U391" s="5">
        <v>6</v>
      </c>
      <c r="V391" s="5">
        <f>VLOOKUP(A391,Planilha1!B:E,4,0)</f>
        <v>13.783871706210666</v>
      </c>
    </row>
    <row r="392" spans="1:22" x14ac:dyDescent="0.3">
      <c r="A392" t="str">
        <f t="shared" si="12"/>
        <v>MANTEIGA 5KGLACTALIS</v>
      </c>
      <c r="B392" t="str">
        <f t="shared" si="13"/>
        <v>5301830MANTEIGA 5KGLACTALIS</v>
      </c>
      <c r="C392" s="5" t="s">
        <v>226</v>
      </c>
      <c r="D392" s="5" t="s">
        <v>227</v>
      </c>
      <c r="E392" s="5" t="s">
        <v>1722</v>
      </c>
      <c r="F392" s="5">
        <v>5301830</v>
      </c>
      <c r="G392" s="5" t="s">
        <v>335</v>
      </c>
      <c r="H392" s="5" t="s">
        <v>30</v>
      </c>
      <c r="I392" s="5" t="s">
        <v>22</v>
      </c>
      <c r="J392" s="5" t="s">
        <v>60</v>
      </c>
      <c r="K392" s="6">
        <v>0</v>
      </c>
      <c r="L392" s="7">
        <v>0</v>
      </c>
      <c r="M392" s="8">
        <v>0.83333333333333337</v>
      </c>
      <c r="N392" s="8">
        <v>1.6666666666666667</v>
      </c>
      <c r="O392" s="8">
        <v>1.7488017333388881</v>
      </c>
      <c r="P392" s="8">
        <v>0</v>
      </c>
      <c r="Q392" s="8">
        <v>0</v>
      </c>
      <c r="R392" s="8">
        <v>0</v>
      </c>
      <c r="S392" s="8">
        <v>0</v>
      </c>
      <c r="T392" s="5">
        <v>0</v>
      </c>
      <c r="U392" s="5">
        <v>5</v>
      </c>
      <c r="V392" s="5">
        <f>VLOOKUP(A392,Planilha1!B:E,4,0)</f>
        <v>11.476197020267191</v>
      </c>
    </row>
    <row r="393" spans="1:22" x14ac:dyDescent="0.3">
      <c r="A393" t="str">
        <f t="shared" si="12"/>
        <v>LEITE UHTLACTALIS</v>
      </c>
      <c r="B393" t="str">
        <f t="shared" si="13"/>
        <v>5301830LEITE UHTLACTALIS</v>
      </c>
      <c r="C393" s="5" t="s">
        <v>226</v>
      </c>
      <c r="D393" s="5" t="s">
        <v>227</v>
      </c>
      <c r="E393" s="5" t="s">
        <v>1722</v>
      </c>
      <c r="F393" s="5">
        <v>5301830</v>
      </c>
      <c r="G393" s="5" t="s">
        <v>335</v>
      </c>
      <c r="H393" s="5" t="s">
        <v>30</v>
      </c>
      <c r="I393" s="5" t="s">
        <v>22</v>
      </c>
      <c r="J393" s="5" t="s">
        <v>156</v>
      </c>
      <c r="K393" s="6">
        <v>0</v>
      </c>
      <c r="L393" s="7">
        <v>324</v>
      </c>
      <c r="M393" s="8">
        <v>206</v>
      </c>
      <c r="N393" s="8">
        <v>184</v>
      </c>
      <c r="O393" s="8">
        <v>167.9003877116966</v>
      </c>
      <c r="P393" s="8">
        <v>0</v>
      </c>
      <c r="Q393" s="8">
        <v>0</v>
      </c>
      <c r="R393" s="8">
        <v>0</v>
      </c>
      <c r="S393" s="8">
        <v>0</v>
      </c>
      <c r="T393" s="5">
        <v>0</v>
      </c>
      <c r="U393" s="5">
        <v>180</v>
      </c>
      <c r="V393" s="5">
        <f>VLOOKUP(A393,Planilha1!B:E,4,0)</f>
        <v>0.37177548115779385</v>
      </c>
    </row>
    <row r="394" spans="1:22" x14ac:dyDescent="0.3">
      <c r="A394" t="str">
        <f t="shared" si="12"/>
        <v>MANTEIGA 5KGLACTALIS</v>
      </c>
      <c r="B394" t="str">
        <f t="shared" si="13"/>
        <v>5302653MANTEIGA 5KGLACTALIS</v>
      </c>
      <c r="C394" s="5" t="s">
        <v>226</v>
      </c>
      <c r="D394" s="5" t="s">
        <v>227</v>
      </c>
      <c r="E394" s="5" t="s">
        <v>1722</v>
      </c>
      <c r="F394" s="5">
        <v>5302653</v>
      </c>
      <c r="G394" s="5" t="s">
        <v>336</v>
      </c>
      <c r="H394" s="5" t="s">
        <v>30</v>
      </c>
      <c r="I394" s="5" t="s">
        <v>22</v>
      </c>
      <c r="J394" s="5" t="s">
        <v>60</v>
      </c>
      <c r="K394" s="6">
        <v>0</v>
      </c>
      <c r="L394" s="7">
        <v>50</v>
      </c>
      <c r="M394" s="8">
        <v>88.333333333333343</v>
      </c>
      <c r="N394" s="8">
        <v>160</v>
      </c>
      <c r="O394" s="8">
        <v>8.7582265669654902</v>
      </c>
      <c r="P394" s="8">
        <v>0</v>
      </c>
      <c r="Q394" s="8">
        <v>40</v>
      </c>
      <c r="R394" s="8">
        <v>0</v>
      </c>
      <c r="S394" s="8">
        <v>60</v>
      </c>
      <c r="T394" s="5">
        <v>60</v>
      </c>
      <c r="U394" s="5">
        <v>20</v>
      </c>
      <c r="V394" s="5">
        <f>VLOOKUP(A394,Planilha1!B:E,4,0)</f>
        <v>11.476197020267191</v>
      </c>
    </row>
    <row r="395" spans="1:22" x14ac:dyDescent="0.3">
      <c r="A395" t="str">
        <f t="shared" si="12"/>
        <v>MANTEIGA 5KGLACTALIS</v>
      </c>
      <c r="B395" t="str">
        <f t="shared" si="13"/>
        <v>5302755MANTEIGA 5KGLACTALIS</v>
      </c>
      <c r="C395" s="5" t="s">
        <v>226</v>
      </c>
      <c r="D395" s="5" t="s">
        <v>227</v>
      </c>
      <c r="E395" s="5" t="s">
        <v>1722</v>
      </c>
      <c r="F395" s="5">
        <v>5302755</v>
      </c>
      <c r="G395" s="5" t="s">
        <v>337</v>
      </c>
      <c r="H395" s="5" t="s">
        <v>30</v>
      </c>
      <c r="I395" s="5" t="s">
        <v>22</v>
      </c>
      <c r="J395" s="5" t="s">
        <v>60</v>
      </c>
      <c r="K395" s="6">
        <v>0</v>
      </c>
      <c r="L395" s="7">
        <v>0</v>
      </c>
      <c r="M395" s="8">
        <v>3.3333333333333335</v>
      </c>
      <c r="N395" s="8">
        <v>3.3333333333333335</v>
      </c>
      <c r="O395" s="8">
        <v>7.0165337837621244</v>
      </c>
      <c r="P395" s="8">
        <v>0</v>
      </c>
      <c r="Q395" s="8">
        <v>0</v>
      </c>
      <c r="R395" s="8">
        <v>0</v>
      </c>
      <c r="S395" s="8">
        <v>0</v>
      </c>
      <c r="T395" s="5">
        <v>0</v>
      </c>
      <c r="U395" s="5">
        <v>10</v>
      </c>
      <c r="V395" s="5">
        <f>VLOOKUP(A395,Planilha1!B:E,4,0)</f>
        <v>11.476197020267191</v>
      </c>
    </row>
    <row r="396" spans="1:22" x14ac:dyDescent="0.3">
      <c r="A396" t="str">
        <f t="shared" si="12"/>
        <v>LEITE UHTLACTALIS</v>
      </c>
      <c r="B396" t="str">
        <f t="shared" si="13"/>
        <v>5309134LEITE UHTLACTALIS</v>
      </c>
      <c r="C396" s="5" t="s">
        <v>226</v>
      </c>
      <c r="D396" s="5" t="s">
        <v>227</v>
      </c>
      <c r="E396" s="5" t="s">
        <v>1722</v>
      </c>
      <c r="F396" s="5">
        <v>5309134</v>
      </c>
      <c r="G396" s="5" t="s">
        <v>338</v>
      </c>
      <c r="H396" s="5" t="s">
        <v>30</v>
      </c>
      <c r="I396" s="5" t="s">
        <v>22</v>
      </c>
      <c r="J396" s="5" t="s">
        <v>156</v>
      </c>
      <c r="K396" s="6">
        <v>0</v>
      </c>
      <c r="L396" s="7">
        <v>0</v>
      </c>
      <c r="M396" s="8">
        <v>8</v>
      </c>
      <c r="N396" s="8">
        <v>0</v>
      </c>
      <c r="O396" s="8">
        <v>4.360677266665455</v>
      </c>
      <c r="P396" s="8">
        <v>0</v>
      </c>
      <c r="Q396" s="8">
        <v>0</v>
      </c>
      <c r="R396" s="8">
        <v>0</v>
      </c>
      <c r="S396" s="8">
        <v>0</v>
      </c>
      <c r="T396" s="5">
        <v>0</v>
      </c>
      <c r="U396" s="5">
        <v>0</v>
      </c>
      <c r="V396" s="5">
        <f>VLOOKUP(A396,Planilha1!B:E,4,0)</f>
        <v>0.37177548115779385</v>
      </c>
    </row>
    <row r="397" spans="1:22" x14ac:dyDescent="0.3">
      <c r="A397" t="str">
        <f t="shared" si="12"/>
        <v>LEITE UHTLACTALIS</v>
      </c>
      <c r="B397" t="str">
        <f t="shared" si="13"/>
        <v>5309166LEITE UHTLACTALIS</v>
      </c>
      <c r="C397" s="5" t="s">
        <v>226</v>
      </c>
      <c r="D397" s="5" t="s">
        <v>227</v>
      </c>
      <c r="E397" s="5" t="s">
        <v>1722</v>
      </c>
      <c r="F397" s="5">
        <v>5309166</v>
      </c>
      <c r="G397" s="5" t="s">
        <v>339</v>
      </c>
      <c r="H397" s="5" t="s">
        <v>30</v>
      </c>
      <c r="I397" s="5" t="s">
        <v>22</v>
      </c>
      <c r="J397" s="5" t="s">
        <v>156</v>
      </c>
      <c r="K397" s="6">
        <v>0</v>
      </c>
      <c r="L397" s="7">
        <v>0</v>
      </c>
      <c r="M397" s="8">
        <v>142</v>
      </c>
      <c r="N397" s="8">
        <v>0</v>
      </c>
      <c r="O397" s="8">
        <v>244.23132380511083</v>
      </c>
      <c r="P397" s="8">
        <v>0</v>
      </c>
      <c r="Q397" s="8">
        <v>0</v>
      </c>
      <c r="R397" s="8">
        <v>0</v>
      </c>
      <c r="S397" s="8">
        <v>0</v>
      </c>
      <c r="T397" s="5">
        <v>0</v>
      </c>
      <c r="U397" s="5">
        <v>0</v>
      </c>
      <c r="V397" s="5">
        <f>VLOOKUP(A397,Planilha1!B:E,4,0)</f>
        <v>0.37177548115779385</v>
      </c>
    </row>
    <row r="398" spans="1:22" x14ac:dyDescent="0.3">
      <c r="A398" t="str">
        <f t="shared" si="12"/>
        <v>MANTEIGA 5KGLACTALIS</v>
      </c>
      <c r="B398" t="str">
        <f t="shared" si="13"/>
        <v>5314633MANTEIGA 5KGLACTALIS</v>
      </c>
      <c r="C398" s="5" t="s">
        <v>226</v>
      </c>
      <c r="D398" s="5" t="s">
        <v>227</v>
      </c>
      <c r="E398" s="5" t="s">
        <v>1722</v>
      </c>
      <c r="F398" s="5">
        <v>5314633</v>
      </c>
      <c r="G398" s="5" t="s">
        <v>340</v>
      </c>
      <c r="H398" s="5" t="s">
        <v>30</v>
      </c>
      <c r="I398" s="5" t="s">
        <v>22</v>
      </c>
      <c r="J398" s="5" t="s">
        <v>60</v>
      </c>
      <c r="K398" s="6">
        <v>0</v>
      </c>
      <c r="L398" s="7">
        <v>30</v>
      </c>
      <c r="M398" s="8">
        <v>31.666666666666668</v>
      </c>
      <c r="N398" s="8">
        <v>28.333333333333332</v>
      </c>
      <c r="O398" s="8">
        <v>26.296006551303041</v>
      </c>
      <c r="P398" s="8">
        <v>0</v>
      </c>
      <c r="Q398" s="8">
        <v>0</v>
      </c>
      <c r="R398" s="8">
        <v>0</v>
      </c>
      <c r="S398" s="8">
        <v>50</v>
      </c>
      <c r="T398" s="5">
        <v>50</v>
      </c>
      <c r="U398" s="5">
        <v>50</v>
      </c>
      <c r="V398" s="5">
        <f>VLOOKUP(A398,Planilha1!B:E,4,0)</f>
        <v>11.476197020267191</v>
      </c>
    </row>
    <row r="399" spans="1:22" x14ac:dyDescent="0.3">
      <c r="A399" t="str">
        <f t="shared" si="12"/>
        <v>MANTEIGA 5KGLACTALIS</v>
      </c>
      <c r="B399" t="str">
        <f t="shared" si="13"/>
        <v>5319061MANTEIGA 5KGLACTALIS</v>
      </c>
      <c r="C399" s="5" t="s">
        <v>226</v>
      </c>
      <c r="D399" s="5" t="s">
        <v>227</v>
      </c>
      <c r="E399" s="5" t="s">
        <v>1722</v>
      </c>
      <c r="F399" s="5">
        <v>5319061</v>
      </c>
      <c r="G399" s="5" t="s">
        <v>341</v>
      </c>
      <c r="H399" s="5" t="s">
        <v>30</v>
      </c>
      <c r="I399" s="5" t="s">
        <v>22</v>
      </c>
      <c r="J399" s="5" t="s">
        <v>60</v>
      </c>
      <c r="K399" s="6">
        <v>0</v>
      </c>
      <c r="L399" s="7">
        <v>0</v>
      </c>
      <c r="M399" s="8">
        <v>1.6666666666666667</v>
      </c>
      <c r="N399" s="8">
        <v>1.6666666666666667</v>
      </c>
      <c r="O399" s="8">
        <v>1.7488017333388881</v>
      </c>
      <c r="P399" s="8">
        <v>0</v>
      </c>
      <c r="Q399" s="8">
        <v>0</v>
      </c>
      <c r="R399" s="8">
        <v>0</v>
      </c>
      <c r="S399" s="8">
        <v>0</v>
      </c>
      <c r="T399" s="5">
        <v>0</v>
      </c>
      <c r="U399" s="5">
        <v>0</v>
      </c>
      <c r="V399" s="5">
        <f>VLOOKUP(A399,Planilha1!B:E,4,0)</f>
        <v>11.476197020267191</v>
      </c>
    </row>
    <row r="400" spans="1:22" x14ac:dyDescent="0.3">
      <c r="A400" t="str">
        <f t="shared" si="12"/>
        <v>MANTEIGA 5KGLACTALIS</v>
      </c>
      <c r="B400" t="str">
        <f t="shared" si="13"/>
        <v>5320667MANTEIGA 5KGLACTALIS</v>
      </c>
      <c r="C400" s="5" t="s">
        <v>226</v>
      </c>
      <c r="D400" s="5" t="s">
        <v>227</v>
      </c>
      <c r="E400" s="5" t="s">
        <v>1722</v>
      </c>
      <c r="F400" s="5">
        <v>5320667</v>
      </c>
      <c r="G400" s="5" t="s">
        <v>342</v>
      </c>
      <c r="H400" s="5" t="s">
        <v>30</v>
      </c>
      <c r="I400" s="5" t="s">
        <v>22</v>
      </c>
      <c r="J400" s="5" t="s">
        <v>60</v>
      </c>
      <c r="K400" s="6">
        <v>0</v>
      </c>
      <c r="L400" s="7">
        <v>10</v>
      </c>
      <c r="M400" s="8">
        <v>11.666666666666666</v>
      </c>
      <c r="N400" s="8">
        <v>6.666666666666667</v>
      </c>
      <c r="O400" s="8">
        <v>14.025958617388726</v>
      </c>
      <c r="P400" s="8">
        <v>0</v>
      </c>
      <c r="Q400" s="8">
        <v>0</v>
      </c>
      <c r="R400" s="8">
        <v>0</v>
      </c>
      <c r="S400" s="8">
        <v>0</v>
      </c>
      <c r="T400" s="5">
        <v>0</v>
      </c>
      <c r="U400" s="5">
        <v>0</v>
      </c>
      <c r="V400" s="5">
        <f>VLOOKUP(A400,Planilha1!B:E,4,0)</f>
        <v>11.476197020267191</v>
      </c>
    </row>
    <row r="401" spans="1:22" x14ac:dyDescent="0.3">
      <c r="A401" t="str">
        <f t="shared" si="12"/>
        <v>MANTEIGA 5KGLACTALIS</v>
      </c>
      <c r="B401" t="str">
        <f t="shared" si="13"/>
        <v>5320669MANTEIGA 5KGLACTALIS</v>
      </c>
      <c r="C401" s="5" t="s">
        <v>226</v>
      </c>
      <c r="D401" s="5" t="s">
        <v>227</v>
      </c>
      <c r="E401" s="5" t="s">
        <v>1722</v>
      </c>
      <c r="F401" s="5">
        <v>5320669</v>
      </c>
      <c r="G401" s="5" t="s">
        <v>343</v>
      </c>
      <c r="H401" s="5" t="s">
        <v>30</v>
      </c>
      <c r="I401" s="5" t="s">
        <v>22</v>
      </c>
      <c r="J401" s="5" t="s">
        <v>60</v>
      </c>
      <c r="K401" s="6">
        <v>0</v>
      </c>
      <c r="L401" s="7">
        <v>0</v>
      </c>
      <c r="M401" s="8">
        <v>12.5</v>
      </c>
      <c r="N401" s="8">
        <v>18.333333333333332</v>
      </c>
      <c r="O401" s="8">
        <v>8.7582265669654902</v>
      </c>
      <c r="P401" s="8">
        <v>0</v>
      </c>
      <c r="Q401" s="8">
        <v>0</v>
      </c>
      <c r="R401" s="8">
        <v>0</v>
      </c>
      <c r="S401" s="8">
        <v>25</v>
      </c>
      <c r="T401" s="5">
        <v>25</v>
      </c>
      <c r="U401" s="5">
        <v>25</v>
      </c>
      <c r="V401" s="5">
        <f>VLOOKUP(A401,Planilha1!B:E,4,0)</f>
        <v>11.476197020267191</v>
      </c>
    </row>
    <row r="402" spans="1:22" x14ac:dyDescent="0.3">
      <c r="A402" t="str">
        <f t="shared" si="12"/>
        <v>LEITE UHTLACTALIS</v>
      </c>
      <c r="B402" t="str">
        <f t="shared" si="13"/>
        <v>5320669LEITE UHTLACTALIS</v>
      </c>
      <c r="C402" s="5" t="s">
        <v>226</v>
      </c>
      <c r="D402" s="5" t="s">
        <v>227</v>
      </c>
      <c r="E402" s="5" t="s">
        <v>1722</v>
      </c>
      <c r="F402" s="5">
        <v>5320669</v>
      </c>
      <c r="G402" s="5" t="s">
        <v>343</v>
      </c>
      <c r="H402" s="5" t="s">
        <v>30</v>
      </c>
      <c r="I402" s="5" t="s">
        <v>22</v>
      </c>
      <c r="J402" s="5" t="s">
        <v>156</v>
      </c>
      <c r="K402" s="6">
        <v>0</v>
      </c>
      <c r="L402" s="7">
        <v>48</v>
      </c>
      <c r="M402" s="8">
        <v>36</v>
      </c>
      <c r="N402" s="8">
        <v>36</v>
      </c>
      <c r="O402" s="8">
        <v>10.90646414835583</v>
      </c>
      <c r="P402" s="8">
        <v>0</v>
      </c>
      <c r="Q402" s="8">
        <v>0</v>
      </c>
      <c r="R402" s="8">
        <v>0</v>
      </c>
      <c r="S402" s="8">
        <v>0</v>
      </c>
      <c r="T402" s="5">
        <v>0</v>
      </c>
      <c r="U402" s="5">
        <v>0</v>
      </c>
      <c r="V402" s="5">
        <f>VLOOKUP(A402,Planilha1!B:E,4,0)</f>
        <v>0.37177548115779385</v>
      </c>
    </row>
    <row r="403" spans="1:22" x14ac:dyDescent="0.3">
      <c r="A403" t="str">
        <f t="shared" si="12"/>
        <v>MANTEIGA 5KGLACTALIS</v>
      </c>
      <c r="B403" t="str">
        <f t="shared" si="13"/>
        <v>5321026MANTEIGA 5KGLACTALIS</v>
      </c>
      <c r="C403" s="5" t="s">
        <v>226</v>
      </c>
      <c r="D403" s="5" t="s">
        <v>227</v>
      </c>
      <c r="E403" s="5" t="s">
        <v>1722</v>
      </c>
      <c r="F403" s="5">
        <v>5321026</v>
      </c>
      <c r="G403" s="5" t="s">
        <v>344</v>
      </c>
      <c r="H403" s="5" t="s">
        <v>30</v>
      </c>
      <c r="I403" s="5" t="s">
        <v>22</v>
      </c>
      <c r="J403" s="5" t="s">
        <v>60</v>
      </c>
      <c r="K403" s="6">
        <v>0</v>
      </c>
      <c r="L403" s="7">
        <v>0</v>
      </c>
      <c r="M403" s="8">
        <v>18.333333333333336</v>
      </c>
      <c r="N403" s="8">
        <v>13.333333333333334</v>
      </c>
      <c r="O403" s="8">
        <v>21.042492401150852</v>
      </c>
      <c r="P403" s="8">
        <v>0</v>
      </c>
      <c r="Q403" s="8">
        <v>0</v>
      </c>
      <c r="R403" s="8">
        <v>0</v>
      </c>
      <c r="S403" s="8">
        <v>0</v>
      </c>
      <c r="T403" s="5">
        <v>0</v>
      </c>
      <c r="U403" s="5">
        <v>0</v>
      </c>
      <c r="V403" s="5">
        <f>VLOOKUP(A403,Planilha1!B:E,4,0)</f>
        <v>11.476197020267191</v>
      </c>
    </row>
    <row r="404" spans="1:22" x14ac:dyDescent="0.3">
      <c r="A404" t="str">
        <f t="shared" si="12"/>
        <v>LEITE UHTLACTALIS</v>
      </c>
      <c r="B404" t="str">
        <f t="shared" si="13"/>
        <v>5322183LEITE UHTLACTALIS</v>
      </c>
      <c r="C404" s="5" t="s">
        <v>226</v>
      </c>
      <c r="D404" s="5" t="s">
        <v>227</v>
      </c>
      <c r="E404" s="5" t="s">
        <v>1722</v>
      </c>
      <c r="F404" s="5">
        <v>5322183</v>
      </c>
      <c r="G404" s="5" t="s">
        <v>324</v>
      </c>
      <c r="H404" s="5" t="s">
        <v>30</v>
      </c>
      <c r="I404" s="5" t="s">
        <v>22</v>
      </c>
      <c r="J404" s="5" t="s">
        <v>156</v>
      </c>
      <c r="K404" s="6">
        <v>0</v>
      </c>
      <c r="L404" s="7">
        <v>0</v>
      </c>
      <c r="M404" s="8">
        <v>154</v>
      </c>
      <c r="N404" s="8">
        <v>160</v>
      </c>
      <c r="O404" s="8">
        <v>69.775607248339469</v>
      </c>
      <c r="P404" s="8">
        <v>0</v>
      </c>
      <c r="Q404" s="8">
        <v>144</v>
      </c>
      <c r="R404" s="8">
        <v>0</v>
      </c>
      <c r="S404" s="8">
        <v>0</v>
      </c>
      <c r="T404" s="5">
        <v>0</v>
      </c>
      <c r="U404" s="5">
        <v>120</v>
      </c>
      <c r="V404" s="5">
        <f>VLOOKUP(A404,Planilha1!B:E,4,0)</f>
        <v>0.37177548115779385</v>
      </c>
    </row>
    <row r="405" spans="1:22" x14ac:dyDescent="0.3">
      <c r="A405" t="str">
        <f t="shared" si="12"/>
        <v>LEITE UHTLACTALIS</v>
      </c>
      <c r="B405" t="str">
        <f t="shared" si="13"/>
        <v>5322184LEITE UHTLACTALIS</v>
      </c>
      <c r="C405" s="5" t="s">
        <v>226</v>
      </c>
      <c r="D405" s="5" t="s">
        <v>227</v>
      </c>
      <c r="E405" s="5" t="s">
        <v>1722</v>
      </c>
      <c r="F405" s="5">
        <v>5322184</v>
      </c>
      <c r="G405" s="5" t="s">
        <v>324</v>
      </c>
      <c r="H405" s="5" t="s">
        <v>30</v>
      </c>
      <c r="I405" s="5" t="s">
        <v>22</v>
      </c>
      <c r="J405" s="5" t="s">
        <v>156</v>
      </c>
      <c r="K405" s="6">
        <v>0</v>
      </c>
      <c r="L405" s="7">
        <v>120</v>
      </c>
      <c r="M405" s="8">
        <v>140</v>
      </c>
      <c r="N405" s="8">
        <v>140</v>
      </c>
      <c r="O405" s="8">
        <v>124.28884406334984</v>
      </c>
      <c r="P405" s="8">
        <v>0</v>
      </c>
      <c r="Q405" s="8">
        <v>0</v>
      </c>
      <c r="R405" s="8">
        <v>0</v>
      </c>
      <c r="S405" s="8">
        <v>0</v>
      </c>
      <c r="T405" s="5">
        <v>0</v>
      </c>
      <c r="U405" s="5">
        <v>0</v>
      </c>
      <c r="V405" s="5">
        <f>VLOOKUP(A405,Planilha1!B:E,4,0)</f>
        <v>0.37177548115779385</v>
      </c>
    </row>
    <row r="406" spans="1:22" x14ac:dyDescent="0.3">
      <c r="A406" t="str">
        <f t="shared" si="12"/>
        <v>MANTEIGA 5KGLACTALIS</v>
      </c>
      <c r="B406" t="str">
        <f t="shared" si="13"/>
        <v>5324115MANTEIGA 5KGLACTALIS</v>
      </c>
      <c r="C406" s="5" t="s">
        <v>226</v>
      </c>
      <c r="D406" s="5" t="s">
        <v>227</v>
      </c>
      <c r="E406" s="5" t="s">
        <v>1722</v>
      </c>
      <c r="F406" s="5">
        <v>5324115</v>
      </c>
      <c r="G406" s="5" t="s">
        <v>345</v>
      </c>
      <c r="H406" s="5" t="s">
        <v>30</v>
      </c>
      <c r="I406" s="5" t="s">
        <v>22</v>
      </c>
      <c r="J406" s="5" t="s">
        <v>60</v>
      </c>
      <c r="K406" s="6">
        <v>0</v>
      </c>
      <c r="L406" s="7">
        <v>20</v>
      </c>
      <c r="M406" s="8">
        <v>29.166666666666668</v>
      </c>
      <c r="N406" s="8">
        <v>28.333333333333332</v>
      </c>
      <c r="O406" s="8">
        <v>22.791294134489739</v>
      </c>
      <c r="P406" s="8">
        <v>0</v>
      </c>
      <c r="Q406" s="8">
        <v>10</v>
      </c>
      <c r="R406" s="8">
        <v>0</v>
      </c>
      <c r="S406" s="8">
        <v>30</v>
      </c>
      <c r="T406" s="5">
        <v>30</v>
      </c>
      <c r="U406" s="5">
        <v>30</v>
      </c>
      <c r="V406" s="5">
        <f>VLOOKUP(A406,Planilha1!B:E,4,0)</f>
        <v>11.476197020267191</v>
      </c>
    </row>
    <row r="407" spans="1:22" x14ac:dyDescent="0.3">
      <c r="A407" t="str">
        <f t="shared" si="12"/>
        <v>MANTEIGA 5KGLACTALIS</v>
      </c>
      <c r="B407" t="str">
        <f t="shared" si="13"/>
        <v>5326433MANTEIGA 5KGLACTALIS</v>
      </c>
      <c r="C407" s="5" t="s">
        <v>226</v>
      </c>
      <c r="D407" s="5" t="s">
        <v>227</v>
      </c>
      <c r="E407" s="5" t="s">
        <v>1722</v>
      </c>
      <c r="F407" s="5">
        <v>5326433</v>
      </c>
      <c r="G407" s="5" t="s">
        <v>346</v>
      </c>
      <c r="H407" s="5" t="s">
        <v>30</v>
      </c>
      <c r="I407" s="5" t="s">
        <v>22</v>
      </c>
      <c r="J407" s="5" t="s">
        <v>60</v>
      </c>
      <c r="K407" s="6">
        <v>0</v>
      </c>
      <c r="L407" s="7">
        <v>30</v>
      </c>
      <c r="M407" s="8">
        <v>19.166666666666664</v>
      </c>
      <c r="N407" s="8">
        <v>23.333333333333332</v>
      </c>
      <c r="O407" s="8">
        <v>22.791294134489739</v>
      </c>
      <c r="P407" s="8">
        <v>0</v>
      </c>
      <c r="Q407" s="8">
        <v>20</v>
      </c>
      <c r="R407" s="8">
        <v>0</v>
      </c>
      <c r="S407" s="8">
        <v>30</v>
      </c>
      <c r="T407" s="5">
        <v>30</v>
      </c>
      <c r="U407" s="5">
        <v>20</v>
      </c>
      <c r="V407" s="5">
        <f>VLOOKUP(A407,Planilha1!B:E,4,0)</f>
        <v>11.476197020267191</v>
      </c>
    </row>
    <row r="408" spans="1:22" x14ac:dyDescent="0.3">
      <c r="A408" t="str">
        <f t="shared" si="12"/>
        <v>LEITE UHTLACTALIS</v>
      </c>
      <c r="B408" t="str">
        <f t="shared" si="13"/>
        <v>5326433LEITE UHTLACTALIS</v>
      </c>
      <c r="C408" s="5" t="s">
        <v>226</v>
      </c>
      <c r="D408" s="5" t="s">
        <v>227</v>
      </c>
      <c r="E408" s="5" t="s">
        <v>1722</v>
      </c>
      <c r="F408" s="5">
        <v>5326433</v>
      </c>
      <c r="G408" s="5" t="s">
        <v>346</v>
      </c>
      <c r="H408" s="5" t="s">
        <v>30</v>
      </c>
      <c r="I408" s="5" t="s">
        <v>22</v>
      </c>
      <c r="J408" s="5" t="s">
        <v>156</v>
      </c>
      <c r="K408" s="6">
        <v>0</v>
      </c>
      <c r="L408" s="7">
        <v>24</v>
      </c>
      <c r="M408" s="8">
        <v>4</v>
      </c>
      <c r="N408" s="8">
        <v>0</v>
      </c>
      <c r="O408" s="8">
        <v>2.1803386333327275</v>
      </c>
      <c r="P408" s="8">
        <v>0</v>
      </c>
      <c r="Q408" s="8">
        <v>0</v>
      </c>
      <c r="R408" s="8">
        <v>0</v>
      </c>
      <c r="S408" s="8">
        <v>0</v>
      </c>
      <c r="T408" s="5">
        <v>0</v>
      </c>
      <c r="U408" s="5">
        <v>0</v>
      </c>
      <c r="V408" s="5">
        <f>VLOOKUP(A408,Planilha1!B:E,4,0)</f>
        <v>0.37177548115779385</v>
      </c>
    </row>
    <row r="409" spans="1:22" x14ac:dyDescent="0.3">
      <c r="A409" t="str">
        <f t="shared" si="12"/>
        <v>MANTEIGA 5KGLACTALIS</v>
      </c>
      <c r="B409" t="str">
        <f t="shared" si="13"/>
        <v>5326437MANTEIGA 5KGLACTALIS</v>
      </c>
      <c r="C409" s="5" t="s">
        <v>226</v>
      </c>
      <c r="D409" s="5" t="s">
        <v>227</v>
      </c>
      <c r="E409" s="5" t="s">
        <v>1722</v>
      </c>
      <c r="F409" s="5">
        <v>5326437</v>
      </c>
      <c r="G409" s="5" t="s">
        <v>347</v>
      </c>
      <c r="H409" s="5" t="s">
        <v>30</v>
      </c>
      <c r="I409" s="5" t="s">
        <v>22</v>
      </c>
      <c r="J409" s="5" t="s">
        <v>60</v>
      </c>
      <c r="K409" s="6">
        <v>0</v>
      </c>
      <c r="L409" s="7">
        <v>0</v>
      </c>
      <c r="M409" s="8">
        <v>0</v>
      </c>
      <c r="N409" s="8">
        <v>0</v>
      </c>
      <c r="O409" s="8">
        <v>3.5047124168133004</v>
      </c>
      <c r="P409" s="8">
        <v>0</v>
      </c>
      <c r="Q409" s="8">
        <v>0</v>
      </c>
      <c r="R409" s="8">
        <v>0</v>
      </c>
      <c r="S409" s="8">
        <v>0</v>
      </c>
      <c r="T409" s="5">
        <v>0</v>
      </c>
      <c r="U409" s="5">
        <v>0</v>
      </c>
      <c r="V409" s="5">
        <f>VLOOKUP(A409,Planilha1!B:E,4,0)</f>
        <v>11.476197020267191</v>
      </c>
    </row>
    <row r="410" spans="1:22" x14ac:dyDescent="0.3">
      <c r="A410" t="str">
        <f t="shared" si="12"/>
        <v>PARMESÃOLACTALIS</v>
      </c>
      <c r="B410" t="str">
        <f t="shared" si="13"/>
        <v>5327731PARMESÃOLACTALIS</v>
      </c>
      <c r="C410" s="5" t="s">
        <v>226</v>
      </c>
      <c r="D410" s="5" t="s">
        <v>227</v>
      </c>
      <c r="E410" s="5" t="s">
        <v>1722</v>
      </c>
      <c r="F410" s="5">
        <v>5327731</v>
      </c>
      <c r="G410" s="5" t="s">
        <v>348</v>
      </c>
      <c r="H410" s="5" t="s">
        <v>30</v>
      </c>
      <c r="I410" s="5" t="s">
        <v>22</v>
      </c>
      <c r="J410" s="5" t="s">
        <v>195</v>
      </c>
      <c r="K410" s="6">
        <v>0</v>
      </c>
      <c r="L410" s="7">
        <v>0</v>
      </c>
      <c r="M410" s="8">
        <v>9.7008333333333336</v>
      </c>
      <c r="N410" s="8">
        <v>4.6399999999999997</v>
      </c>
      <c r="O410" s="8">
        <v>6.9494798267411539</v>
      </c>
      <c r="P410" s="8">
        <v>0</v>
      </c>
      <c r="Q410" s="8">
        <v>0</v>
      </c>
      <c r="R410" s="8">
        <v>0</v>
      </c>
      <c r="S410" s="8">
        <v>15</v>
      </c>
      <c r="T410" s="5">
        <v>15</v>
      </c>
      <c r="U410" s="5">
        <v>0</v>
      </c>
      <c r="V410" s="5">
        <f>VLOOKUP(A410,Planilha1!B:E,4,0)</f>
        <v>6.310326960724681</v>
      </c>
    </row>
    <row r="411" spans="1:22" x14ac:dyDescent="0.3">
      <c r="A411" t="str">
        <f t="shared" si="12"/>
        <v>LEITE UHTLACTALIS</v>
      </c>
      <c r="B411" t="str">
        <f t="shared" si="13"/>
        <v>5327958LEITE UHTLACTALIS</v>
      </c>
      <c r="C411" s="5" t="s">
        <v>226</v>
      </c>
      <c r="D411" s="5" t="s">
        <v>227</v>
      </c>
      <c r="E411" s="5" t="s">
        <v>1722</v>
      </c>
      <c r="F411" s="5">
        <v>5327958</v>
      </c>
      <c r="G411" s="5" t="s">
        <v>349</v>
      </c>
      <c r="H411" s="5" t="s">
        <v>30</v>
      </c>
      <c r="I411" s="5" t="s">
        <v>22</v>
      </c>
      <c r="J411" s="5" t="s">
        <v>156</v>
      </c>
      <c r="K411" s="6">
        <v>0</v>
      </c>
      <c r="L411" s="7">
        <v>1164</v>
      </c>
      <c r="M411" s="8">
        <v>940</v>
      </c>
      <c r="N411" s="8">
        <v>792</v>
      </c>
      <c r="O411" s="8">
        <v>476.45885767266117</v>
      </c>
      <c r="P411" s="8">
        <v>0</v>
      </c>
      <c r="Q411" s="8">
        <v>288</v>
      </c>
      <c r="R411" s="8">
        <v>0</v>
      </c>
      <c r="S411" s="8">
        <v>0</v>
      </c>
      <c r="T411" s="5">
        <v>0</v>
      </c>
      <c r="U411" s="5">
        <v>0</v>
      </c>
      <c r="V411" s="5">
        <f>VLOOKUP(A411,Planilha1!B:E,4,0)</f>
        <v>0.37177548115779385</v>
      </c>
    </row>
    <row r="412" spans="1:22" x14ac:dyDescent="0.3">
      <c r="A412" t="str">
        <f t="shared" si="12"/>
        <v>MANTEIGA 5KGLACTALIS</v>
      </c>
      <c r="B412" t="str">
        <f t="shared" si="13"/>
        <v>5328479MANTEIGA 5KGLACTALIS</v>
      </c>
      <c r="C412" s="5" t="s">
        <v>226</v>
      </c>
      <c r="D412" s="5" t="s">
        <v>227</v>
      </c>
      <c r="E412" s="5" t="s">
        <v>1722</v>
      </c>
      <c r="F412" s="5">
        <v>5328479</v>
      </c>
      <c r="G412" s="5" t="s">
        <v>350</v>
      </c>
      <c r="H412" s="5" t="s">
        <v>30</v>
      </c>
      <c r="I412" s="5" t="s">
        <v>22</v>
      </c>
      <c r="J412" s="5" t="s">
        <v>60</v>
      </c>
      <c r="K412" s="6">
        <v>0</v>
      </c>
      <c r="L412" s="7">
        <v>20</v>
      </c>
      <c r="M412" s="8">
        <v>33.333333333333336</v>
      </c>
      <c r="N412" s="8">
        <v>33.333333333333336</v>
      </c>
      <c r="O412" s="8">
        <v>31.556629651590754</v>
      </c>
      <c r="P412" s="8">
        <v>0</v>
      </c>
      <c r="Q412" s="8">
        <v>10</v>
      </c>
      <c r="R412" s="8">
        <v>0</v>
      </c>
      <c r="S412" s="8">
        <v>20</v>
      </c>
      <c r="T412" s="5">
        <v>20</v>
      </c>
      <c r="U412" s="5">
        <v>10</v>
      </c>
      <c r="V412" s="5">
        <f>VLOOKUP(A412,Planilha1!B:E,4,0)</f>
        <v>11.476197020267191</v>
      </c>
    </row>
    <row r="413" spans="1:22" x14ac:dyDescent="0.3">
      <c r="A413" t="str">
        <f t="shared" si="12"/>
        <v>MANTEIGA 5KGLACTALIS</v>
      </c>
      <c r="B413" t="str">
        <f t="shared" si="13"/>
        <v>5328586MANTEIGA 5KGLACTALIS</v>
      </c>
      <c r="C413" s="5" t="s">
        <v>226</v>
      </c>
      <c r="D413" s="5" t="s">
        <v>227</v>
      </c>
      <c r="E413" s="5" t="s">
        <v>1722</v>
      </c>
      <c r="F413" s="5">
        <v>5328586</v>
      </c>
      <c r="G413" s="5" t="s">
        <v>351</v>
      </c>
      <c r="H413" s="5" t="s">
        <v>30</v>
      </c>
      <c r="I413" s="5" t="s">
        <v>22</v>
      </c>
      <c r="J413" s="5" t="s">
        <v>60</v>
      </c>
      <c r="K413" s="6">
        <v>0</v>
      </c>
      <c r="L413" s="7">
        <v>30</v>
      </c>
      <c r="M413" s="8">
        <v>1.6666666666666667</v>
      </c>
      <c r="N413" s="8">
        <v>3.3333333333333335</v>
      </c>
      <c r="O413" s="8">
        <v>7.0165337837621244</v>
      </c>
      <c r="P413" s="8">
        <v>0</v>
      </c>
      <c r="Q413" s="8">
        <v>0</v>
      </c>
      <c r="R413" s="8">
        <v>0</v>
      </c>
      <c r="S413" s="8">
        <v>20</v>
      </c>
      <c r="T413" s="5">
        <v>20</v>
      </c>
      <c r="U413" s="5">
        <v>20</v>
      </c>
      <c r="V413" s="5">
        <f>VLOOKUP(A413,Planilha1!B:E,4,0)</f>
        <v>11.476197020267191</v>
      </c>
    </row>
    <row r="414" spans="1:22" x14ac:dyDescent="0.3">
      <c r="A414" t="str">
        <f t="shared" si="12"/>
        <v>LEITE UHTLACTALIS</v>
      </c>
      <c r="B414" t="str">
        <f t="shared" si="13"/>
        <v>5328586LEITE UHTLACTALIS</v>
      </c>
      <c r="C414" s="5" t="s">
        <v>226</v>
      </c>
      <c r="D414" s="5" t="s">
        <v>227</v>
      </c>
      <c r="E414" s="5" t="s">
        <v>1722</v>
      </c>
      <c r="F414" s="5">
        <v>5328586</v>
      </c>
      <c r="G414" s="5" t="s">
        <v>351</v>
      </c>
      <c r="H414" s="5" t="s">
        <v>30</v>
      </c>
      <c r="I414" s="5" t="s">
        <v>22</v>
      </c>
      <c r="J414" s="5" t="s">
        <v>156</v>
      </c>
      <c r="K414" s="6">
        <v>0</v>
      </c>
      <c r="L414" s="7">
        <v>60</v>
      </c>
      <c r="M414" s="8">
        <v>72</v>
      </c>
      <c r="N414" s="8">
        <v>76</v>
      </c>
      <c r="O414" s="8">
        <v>39.255637363373481</v>
      </c>
      <c r="P414" s="8">
        <v>0</v>
      </c>
      <c r="Q414" s="8">
        <v>0</v>
      </c>
      <c r="R414" s="8">
        <v>0</v>
      </c>
      <c r="S414" s="8">
        <v>0</v>
      </c>
      <c r="T414" s="5">
        <v>0</v>
      </c>
      <c r="U414" s="5">
        <v>0</v>
      </c>
      <c r="V414" s="5">
        <f>VLOOKUP(A414,Planilha1!B:E,4,0)</f>
        <v>0.37177548115779385</v>
      </c>
    </row>
    <row r="415" spans="1:22" x14ac:dyDescent="0.3">
      <c r="A415" t="str">
        <f t="shared" si="12"/>
        <v>MANTEIGA 5KGLACTALIS</v>
      </c>
      <c r="B415" t="str">
        <f t="shared" si="13"/>
        <v>5330471MANTEIGA 5KGLACTALIS</v>
      </c>
      <c r="C415" s="5" t="s">
        <v>226</v>
      </c>
      <c r="D415" s="5" t="s">
        <v>227</v>
      </c>
      <c r="E415" s="5" t="s">
        <v>1722</v>
      </c>
      <c r="F415" s="5">
        <v>5330471</v>
      </c>
      <c r="G415" s="5" t="s">
        <v>352</v>
      </c>
      <c r="H415" s="5" t="s">
        <v>30</v>
      </c>
      <c r="I415" s="5" t="s">
        <v>22</v>
      </c>
      <c r="J415" s="5" t="s">
        <v>60</v>
      </c>
      <c r="K415" s="6">
        <v>0</v>
      </c>
      <c r="L415" s="7">
        <v>20</v>
      </c>
      <c r="M415" s="8">
        <v>84.166666666666671</v>
      </c>
      <c r="N415" s="8">
        <v>81.666666666666671</v>
      </c>
      <c r="O415" s="8">
        <v>122.71469723941419</v>
      </c>
      <c r="P415" s="8">
        <v>0</v>
      </c>
      <c r="Q415" s="8">
        <v>30</v>
      </c>
      <c r="R415" s="8">
        <v>0</v>
      </c>
      <c r="S415" s="8">
        <v>60</v>
      </c>
      <c r="T415" s="5">
        <v>60</v>
      </c>
      <c r="U415" s="5">
        <v>60</v>
      </c>
      <c r="V415" s="5">
        <f>VLOOKUP(A415,Planilha1!B:E,4,0)</f>
        <v>11.476197020267191</v>
      </c>
    </row>
    <row r="416" spans="1:22" x14ac:dyDescent="0.3">
      <c r="A416" t="str">
        <f t="shared" si="12"/>
        <v>LEITE UHTLACTALIS</v>
      </c>
      <c r="B416" t="str">
        <f t="shared" si="13"/>
        <v>5332358LEITE UHTLACTALIS</v>
      </c>
      <c r="C416" s="5" t="s">
        <v>226</v>
      </c>
      <c r="D416" s="5" t="s">
        <v>227</v>
      </c>
      <c r="E416" s="5" t="s">
        <v>1722</v>
      </c>
      <c r="F416" s="5">
        <v>5332358</v>
      </c>
      <c r="G416" s="5" t="s">
        <v>353</v>
      </c>
      <c r="H416" s="5" t="s">
        <v>30</v>
      </c>
      <c r="I416" s="5" t="s">
        <v>22</v>
      </c>
      <c r="J416" s="5" t="s">
        <v>156</v>
      </c>
      <c r="K416" s="6">
        <v>0</v>
      </c>
      <c r="L416" s="7">
        <v>960</v>
      </c>
      <c r="M416" s="8">
        <v>126</v>
      </c>
      <c r="N416" s="8">
        <v>252</v>
      </c>
      <c r="O416" s="8">
        <v>54.51323681501038</v>
      </c>
      <c r="P416" s="8">
        <v>0</v>
      </c>
      <c r="Q416" s="8">
        <v>120</v>
      </c>
      <c r="R416" s="8">
        <v>0</v>
      </c>
      <c r="S416" s="8">
        <v>0</v>
      </c>
      <c r="T416" s="5">
        <v>0</v>
      </c>
      <c r="U416" s="5">
        <v>0</v>
      </c>
      <c r="V416" s="5">
        <f>VLOOKUP(A416,Planilha1!B:E,4,0)</f>
        <v>0.37177548115779385</v>
      </c>
    </row>
    <row r="417" spans="1:22" x14ac:dyDescent="0.3">
      <c r="A417" t="str">
        <f t="shared" si="12"/>
        <v>MANTEIGA 5KGLACTALIS</v>
      </c>
      <c r="B417" t="str">
        <f t="shared" si="13"/>
        <v>5332546MANTEIGA 5KGLACTALIS</v>
      </c>
      <c r="C417" s="5" t="s">
        <v>226</v>
      </c>
      <c r="D417" s="5" t="s">
        <v>227</v>
      </c>
      <c r="E417" s="5" t="s">
        <v>1722</v>
      </c>
      <c r="F417" s="5">
        <v>5332546</v>
      </c>
      <c r="G417" s="5" t="s">
        <v>354</v>
      </c>
      <c r="H417" s="5" t="s">
        <v>30</v>
      </c>
      <c r="I417" s="5" t="s">
        <v>22</v>
      </c>
      <c r="J417" s="5" t="s">
        <v>60</v>
      </c>
      <c r="K417" s="6">
        <v>0</v>
      </c>
      <c r="L417" s="7">
        <v>30</v>
      </c>
      <c r="M417" s="8">
        <v>0</v>
      </c>
      <c r="N417" s="8">
        <v>0</v>
      </c>
      <c r="O417" s="8">
        <v>17.537779984337551</v>
      </c>
      <c r="P417" s="8">
        <v>0</v>
      </c>
      <c r="Q417" s="8">
        <v>0</v>
      </c>
      <c r="R417" s="8">
        <v>0</v>
      </c>
      <c r="S417" s="8">
        <v>0</v>
      </c>
      <c r="T417" s="5">
        <v>20</v>
      </c>
      <c r="U417" s="5">
        <v>0</v>
      </c>
      <c r="V417" s="5">
        <f>VLOOKUP(A417,Planilha1!B:E,4,0)</f>
        <v>11.476197020267191</v>
      </c>
    </row>
    <row r="418" spans="1:22" x14ac:dyDescent="0.3">
      <c r="A418" t="str">
        <f t="shared" si="12"/>
        <v>LEITE UHTLACTALIS</v>
      </c>
      <c r="B418" t="str">
        <f t="shared" si="13"/>
        <v>5333580LEITE UHTLACTALIS</v>
      </c>
      <c r="C418" s="5" t="s">
        <v>226</v>
      </c>
      <c r="D418" s="5" t="s">
        <v>227</v>
      </c>
      <c r="E418" s="5" t="s">
        <v>1722</v>
      </c>
      <c r="F418" s="5">
        <v>5333580</v>
      </c>
      <c r="G418" s="5" t="s">
        <v>355</v>
      </c>
      <c r="H418" s="5" t="s">
        <v>30</v>
      </c>
      <c r="I418" s="5" t="s">
        <v>22</v>
      </c>
      <c r="J418" s="5" t="s">
        <v>156</v>
      </c>
      <c r="K418" s="6">
        <v>0</v>
      </c>
      <c r="L418" s="7">
        <v>432</v>
      </c>
      <c r="M418" s="8">
        <v>230</v>
      </c>
      <c r="N418" s="8">
        <v>244</v>
      </c>
      <c r="O418" s="8">
        <v>117.75259914504386</v>
      </c>
      <c r="P418" s="8">
        <v>0</v>
      </c>
      <c r="Q418" s="8">
        <v>0</v>
      </c>
      <c r="R418" s="8">
        <v>0</v>
      </c>
      <c r="S418" s="8">
        <v>0</v>
      </c>
      <c r="T418" s="5">
        <v>0</v>
      </c>
      <c r="U418" s="5">
        <v>0</v>
      </c>
      <c r="V418" s="5">
        <f>VLOOKUP(A418,Planilha1!B:E,4,0)</f>
        <v>0.37177548115779385</v>
      </c>
    </row>
    <row r="419" spans="1:22" x14ac:dyDescent="0.3">
      <c r="A419" t="str">
        <f t="shared" si="12"/>
        <v>LEITE UHTLACTALIS</v>
      </c>
      <c r="B419" t="str">
        <f t="shared" si="13"/>
        <v>5333626LEITE UHTLACTALIS</v>
      </c>
      <c r="C419" s="5" t="s">
        <v>226</v>
      </c>
      <c r="D419" s="5" t="s">
        <v>227</v>
      </c>
      <c r="E419" s="5" t="s">
        <v>1722</v>
      </c>
      <c r="F419" s="5">
        <v>5333626</v>
      </c>
      <c r="G419" s="5" t="s">
        <v>356</v>
      </c>
      <c r="H419" s="5" t="s">
        <v>30</v>
      </c>
      <c r="I419" s="5" t="s">
        <v>22</v>
      </c>
      <c r="J419" s="5" t="s">
        <v>156</v>
      </c>
      <c r="K419" s="6">
        <v>0</v>
      </c>
      <c r="L419" s="7">
        <v>24</v>
      </c>
      <c r="M419" s="8">
        <v>46</v>
      </c>
      <c r="N419" s="8">
        <v>48</v>
      </c>
      <c r="O419" s="8">
        <v>23.993266930044388</v>
      </c>
      <c r="P419" s="8">
        <v>0</v>
      </c>
      <c r="Q419" s="8">
        <v>48</v>
      </c>
      <c r="R419" s="8">
        <v>0</v>
      </c>
      <c r="S419" s="8">
        <v>0</v>
      </c>
      <c r="T419" s="5">
        <v>0</v>
      </c>
      <c r="U419" s="5">
        <v>0</v>
      </c>
      <c r="V419" s="5">
        <f>VLOOKUP(A419,Planilha1!B:E,4,0)</f>
        <v>0.37177548115779385</v>
      </c>
    </row>
    <row r="420" spans="1:22" x14ac:dyDescent="0.3">
      <c r="A420" t="str">
        <f t="shared" si="12"/>
        <v>MANTEIGA 5KGLACTALIS</v>
      </c>
      <c r="B420" t="str">
        <f t="shared" si="13"/>
        <v>5334202MANTEIGA 5KGLACTALIS</v>
      </c>
      <c r="C420" s="5" t="s">
        <v>226</v>
      </c>
      <c r="D420" s="5" t="s">
        <v>227</v>
      </c>
      <c r="E420" s="5" t="s">
        <v>1722</v>
      </c>
      <c r="F420" s="5">
        <v>5334202</v>
      </c>
      <c r="G420" s="5" t="s">
        <v>357</v>
      </c>
      <c r="H420" s="5" t="s">
        <v>30</v>
      </c>
      <c r="I420" s="5" t="s">
        <v>22</v>
      </c>
      <c r="J420" s="5" t="s">
        <v>60</v>
      </c>
      <c r="K420" s="6">
        <v>0</v>
      </c>
      <c r="L420" s="7">
        <v>35</v>
      </c>
      <c r="M420" s="8">
        <v>20.833333333333336</v>
      </c>
      <c r="N420" s="8">
        <v>23.333333333333332</v>
      </c>
      <c r="O420" s="8">
        <v>19.286581717676437</v>
      </c>
      <c r="P420" s="8">
        <v>0</v>
      </c>
      <c r="Q420" s="8">
        <v>20</v>
      </c>
      <c r="R420" s="8">
        <v>0</v>
      </c>
      <c r="S420" s="8">
        <v>45</v>
      </c>
      <c r="T420" s="5">
        <v>20</v>
      </c>
      <c r="U420" s="5">
        <v>35</v>
      </c>
      <c r="V420" s="5">
        <f>VLOOKUP(A420,Planilha1!B:E,4,0)</f>
        <v>11.476197020267191</v>
      </c>
    </row>
    <row r="421" spans="1:22" x14ac:dyDescent="0.3">
      <c r="A421" t="str">
        <f t="shared" si="12"/>
        <v>LEITE UHTLACTALIS</v>
      </c>
      <c r="B421" t="str">
        <f t="shared" si="13"/>
        <v>5334202LEITE UHTLACTALIS</v>
      </c>
      <c r="C421" s="5" t="s">
        <v>226</v>
      </c>
      <c r="D421" s="5" t="s">
        <v>227</v>
      </c>
      <c r="E421" s="5" t="s">
        <v>1722</v>
      </c>
      <c r="F421" s="5">
        <v>5334202</v>
      </c>
      <c r="G421" s="5" t="s">
        <v>357</v>
      </c>
      <c r="H421" s="5" t="s">
        <v>30</v>
      </c>
      <c r="I421" s="5" t="s">
        <v>22</v>
      </c>
      <c r="J421" s="5" t="s">
        <v>156</v>
      </c>
      <c r="K421" s="6">
        <v>0</v>
      </c>
      <c r="L421" s="7">
        <v>12</v>
      </c>
      <c r="M421" s="8">
        <v>4</v>
      </c>
      <c r="N421" s="8">
        <v>0</v>
      </c>
      <c r="O421" s="8">
        <v>2.1803386333327275</v>
      </c>
      <c r="P421" s="8">
        <v>0</v>
      </c>
      <c r="Q421" s="8">
        <v>0</v>
      </c>
      <c r="R421" s="8">
        <v>0</v>
      </c>
      <c r="S421" s="8">
        <v>0</v>
      </c>
      <c r="T421" s="5">
        <v>0</v>
      </c>
      <c r="U421" s="5">
        <v>0</v>
      </c>
      <c r="V421" s="5">
        <f>VLOOKUP(A421,Planilha1!B:E,4,0)</f>
        <v>0.37177548115779385</v>
      </c>
    </row>
    <row r="422" spans="1:22" x14ac:dyDescent="0.3">
      <c r="A422" t="str">
        <f t="shared" si="12"/>
        <v>MANTEIGA 5KGLACTALIS</v>
      </c>
      <c r="B422" t="str">
        <f t="shared" si="13"/>
        <v>5335359MANTEIGA 5KGLACTALIS</v>
      </c>
      <c r="C422" s="5" t="s">
        <v>226</v>
      </c>
      <c r="D422" s="5" t="s">
        <v>227</v>
      </c>
      <c r="E422" s="5" t="s">
        <v>1722</v>
      </c>
      <c r="F422" s="5">
        <v>5335359</v>
      </c>
      <c r="G422" s="5" t="s">
        <v>358</v>
      </c>
      <c r="H422" s="5" t="s">
        <v>30</v>
      </c>
      <c r="I422" s="5" t="s">
        <v>22</v>
      </c>
      <c r="J422" s="5" t="s">
        <v>60</v>
      </c>
      <c r="K422" s="6">
        <v>0</v>
      </c>
      <c r="L422" s="7">
        <v>5</v>
      </c>
      <c r="M422" s="8">
        <v>15</v>
      </c>
      <c r="N422" s="8">
        <v>13.333333333333334</v>
      </c>
      <c r="O422" s="8">
        <v>8.7582265669654902</v>
      </c>
      <c r="P422" s="8">
        <v>0</v>
      </c>
      <c r="Q422" s="8">
        <v>5</v>
      </c>
      <c r="R422" s="8">
        <v>0</v>
      </c>
      <c r="S422" s="8">
        <v>15</v>
      </c>
      <c r="T422" s="5">
        <v>15</v>
      </c>
      <c r="U422" s="5">
        <v>5</v>
      </c>
      <c r="V422" s="5">
        <f>VLOOKUP(A422,Planilha1!B:E,4,0)</f>
        <v>11.476197020267191</v>
      </c>
    </row>
    <row r="423" spans="1:22" x14ac:dyDescent="0.3">
      <c r="A423" t="str">
        <f t="shared" si="12"/>
        <v>MANTEIGA 5KGLACTALIS</v>
      </c>
      <c r="B423" t="str">
        <f t="shared" si="13"/>
        <v>5337089MANTEIGA 5KGLACTALIS</v>
      </c>
      <c r="C423" s="5" t="s">
        <v>226</v>
      </c>
      <c r="D423" s="5" t="s">
        <v>227</v>
      </c>
      <c r="E423" s="5" t="s">
        <v>1722</v>
      </c>
      <c r="F423" s="5">
        <v>5337089</v>
      </c>
      <c r="G423" s="5" t="s">
        <v>359</v>
      </c>
      <c r="H423" s="5" t="s">
        <v>30</v>
      </c>
      <c r="I423" s="5" t="s">
        <v>22</v>
      </c>
      <c r="J423" s="5" t="s">
        <v>60</v>
      </c>
      <c r="K423" s="6">
        <v>0</v>
      </c>
      <c r="L423" s="7">
        <v>50</v>
      </c>
      <c r="M423" s="8">
        <v>52.5</v>
      </c>
      <c r="N423" s="8">
        <v>30</v>
      </c>
      <c r="O423" s="8">
        <v>84.162860654467877</v>
      </c>
      <c r="P423" s="8">
        <v>0</v>
      </c>
      <c r="Q423" s="8">
        <v>0</v>
      </c>
      <c r="R423" s="8">
        <v>0</v>
      </c>
      <c r="S423" s="8">
        <v>85</v>
      </c>
      <c r="T423" s="5">
        <v>85</v>
      </c>
      <c r="U423" s="5">
        <v>50</v>
      </c>
      <c r="V423" s="5">
        <f>VLOOKUP(A423,Planilha1!B:E,4,0)</f>
        <v>11.476197020267191</v>
      </c>
    </row>
    <row r="424" spans="1:22" x14ac:dyDescent="0.3">
      <c r="A424" t="str">
        <f t="shared" si="12"/>
        <v>MANTEIGA 5KGLACTALIS</v>
      </c>
      <c r="B424" t="str">
        <f t="shared" si="13"/>
        <v>5337686MANTEIGA 5KGLACTALIS</v>
      </c>
      <c r="C424" s="5" t="s">
        <v>226</v>
      </c>
      <c r="D424" s="5" t="s">
        <v>227</v>
      </c>
      <c r="E424" s="5" t="s">
        <v>1722</v>
      </c>
      <c r="F424" s="5">
        <v>5337686</v>
      </c>
      <c r="G424" s="5" t="s">
        <v>360</v>
      </c>
      <c r="H424" s="5" t="s">
        <v>30</v>
      </c>
      <c r="I424" s="5" t="s">
        <v>22</v>
      </c>
      <c r="J424" s="5" t="s">
        <v>60</v>
      </c>
      <c r="K424" s="6">
        <v>0</v>
      </c>
      <c r="L424" s="7">
        <v>10</v>
      </c>
      <c r="M424" s="8">
        <v>6.666666666666667</v>
      </c>
      <c r="N424" s="8">
        <v>0</v>
      </c>
      <c r="O424" s="8">
        <v>14.025958617388726</v>
      </c>
      <c r="P424" s="8">
        <v>0</v>
      </c>
      <c r="Q424" s="8">
        <v>0</v>
      </c>
      <c r="R424" s="8">
        <v>0</v>
      </c>
      <c r="S424" s="8">
        <v>0</v>
      </c>
      <c r="T424" s="5">
        <v>0</v>
      </c>
      <c r="U424" s="5">
        <v>0</v>
      </c>
      <c r="V424" s="5">
        <f>VLOOKUP(A424,Planilha1!B:E,4,0)</f>
        <v>11.476197020267191</v>
      </c>
    </row>
    <row r="425" spans="1:22" x14ac:dyDescent="0.3">
      <c r="A425" t="str">
        <f t="shared" si="12"/>
        <v>MANTEIGA 5KGLACTALIS</v>
      </c>
      <c r="B425" t="str">
        <f t="shared" si="13"/>
        <v>5337689MANTEIGA 5KGLACTALIS</v>
      </c>
      <c r="C425" s="5" t="s">
        <v>226</v>
      </c>
      <c r="D425" s="5" t="s">
        <v>227</v>
      </c>
      <c r="E425" s="5" t="s">
        <v>1722</v>
      </c>
      <c r="F425" s="5">
        <v>5337689</v>
      </c>
      <c r="G425" s="5" t="s">
        <v>361</v>
      </c>
      <c r="H425" s="5" t="s">
        <v>30</v>
      </c>
      <c r="I425" s="5" t="s">
        <v>22</v>
      </c>
      <c r="J425" s="5" t="s">
        <v>60</v>
      </c>
      <c r="K425" s="6">
        <v>0</v>
      </c>
      <c r="L425" s="7">
        <v>0</v>
      </c>
      <c r="M425" s="8">
        <v>3.3333333333333335</v>
      </c>
      <c r="N425" s="8">
        <v>3.3333333333333335</v>
      </c>
      <c r="O425" s="8">
        <v>3.5047124168133004</v>
      </c>
      <c r="P425" s="8">
        <v>0</v>
      </c>
      <c r="Q425" s="8">
        <v>0</v>
      </c>
      <c r="R425" s="8">
        <v>0</v>
      </c>
      <c r="S425" s="8">
        <v>0</v>
      </c>
      <c r="T425" s="5">
        <v>0</v>
      </c>
      <c r="U425" s="5">
        <v>0</v>
      </c>
      <c r="V425" s="5">
        <f>VLOOKUP(A425,Planilha1!B:E,4,0)</f>
        <v>11.476197020267191</v>
      </c>
    </row>
    <row r="426" spans="1:22" x14ac:dyDescent="0.3">
      <c r="A426" t="str">
        <f t="shared" si="12"/>
        <v>LEITE UHTLACTALIS</v>
      </c>
      <c r="B426" t="str">
        <f t="shared" si="13"/>
        <v>5337852LEITE UHTLACTALIS</v>
      </c>
      <c r="C426" s="5" t="s">
        <v>226</v>
      </c>
      <c r="D426" s="5" t="s">
        <v>227</v>
      </c>
      <c r="E426" s="5" t="s">
        <v>1722</v>
      </c>
      <c r="F426" s="5">
        <v>5337852</v>
      </c>
      <c r="G426" s="5" t="s">
        <v>362</v>
      </c>
      <c r="H426" s="5" t="s">
        <v>30</v>
      </c>
      <c r="I426" s="5" t="s">
        <v>22</v>
      </c>
      <c r="J426" s="5" t="s">
        <v>156</v>
      </c>
      <c r="K426" s="6">
        <v>0</v>
      </c>
      <c r="L426" s="7">
        <v>0</v>
      </c>
      <c r="M426" s="8">
        <v>2</v>
      </c>
      <c r="N426" s="8">
        <v>0</v>
      </c>
      <c r="O426" s="8">
        <v>2.1803386333327275</v>
      </c>
      <c r="P426" s="8">
        <v>0</v>
      </c>
      <c r="Q426" s="8">
        <v>0</v>
      </c>
      <c r="R426" s="8">
        <v>0</v>
      </c>
      <c r="S426" s="8">
        <v>0</v>
      </c>
      <c r="T426" s="5">
        <v>0</v>
      </c>
      <c r="U426" s="5">
        <v>0</v>
      </c>
      <c r="V426" s="5">
        <f>VLOOKUP(A426,Planilha1!B:E,4,0)</f>
        <v>0.37177548115779385</v>
      </c>
    </row>
    <row r="427" spans="1:22" x14ac:dyDescent="0.3">
      <c r="A427" t="str">
        <f t="shared" si="12"/>
        <v>MANTEIGA 5KGLACTALIS</v>
      </c>
      <c r="B427" t="str">
        <f t="shared" si="13"/>
        <v>5338829MANTEIGA 5KGLACTALIS</v>
      </c>
      <c r="C427" s="5" t="s">
        <v>226</v>
      </c>
      <c r="D427" s="5" t="s">
        <v>227</v>
      </c>
      <c r="E427" s="5" t="s">
        <v>1722</v>
      </c>
      <c r="F427" s="5">
        <v>5338829</v>
      </c>
      <c r="G427" s="5" t="s">
        <v>363</v>
      </c>
      <c r="H427" s="5" t="s">
        <v>30</v>
      </c>
      <c r="I427" s="5" t="s">
        <v>22</v>
      </c>
      <c r="J427" s="5" t="s">
        <v>60</v>
      </c>
      <c r="K427" s="6">
        <v>0</v>
      </c>
      <c r="L427" s="7">
        <v>25</v>
      </c>
      <c r="M427" s="8">
        <v>62.5</v>
      </c>
      <c r="N427" s="8">
        <v>0</v>
      </c>
      <c r="O427" s="8">
        <v>78.895128604044643</v>
      </c>
      <c r="P427" s="8">
        <v>0</v>
      </c>
      <c r="Q427" s="8">
        <v>0</v>
      </c>
      <c r="R427" s="8">
        <v>0</v>
      </c>
      <c r="S427" s="8">
        <v>0</v>
      </c>
      <c r="T427" s="5">
        <v>0</v>
      </c>
      <c r="U427" s="5">
        <v>0</v>
      </c>
      <c r="V427" s="5">
        <f>VLOOKUP(A427,Planilha1!B:E,4,0)</f>
        <v>11.476197020267191</v>
      </c>
    </row>
    <row r="428" spans="1:22" x14ac:dyDescent="0.3">
      <c r="A428" t="str">
        <f t="shared" si="12"/>
        <v>MANTEIGA 5KGLACTALIS</v>
      </c>
      <c r="B428" t="str">
        <f t="shared" si="13"/>
        <v>5338830MANTEIGA 5KGLACTALIS</v>
      </c>
      <c r="C428" s="5" t="s">
        <v>226</v>
      </c>
      <c r="D428" s="5" t="s">
        <v>227</v>
      </c>
      <c r="E428" s="5" t="s">
        <v>1722</v>
      </c>
      <c r="F428" s="5">
        <v>5338830</v>
      </c>
      <c r="G428" s="5" t="s">
        <v>364</v>
      </c>
      <c r="H428" s="5" t="s">
        <v>30</v>
      </c>
      <c r="I428" s="5" t="s">
        <v>22</v>
      </c>
      <c r="J428" s="5" t="s">
        <v>60</v>
      </c>
      <c r="K428" s="6">
        <v>0</v>
      </c>
      <c r="L428" s="7">
        <v>40</v>
      </c>
      <c r="M428" s="8">
        <v>43.333333333333336</v>
      </c>
      <c r="N428" s="8">
        <v>48.333333333333336</v>
      </c>
      <c r="O428" s="8">
        <v>57.86685410316484</v>
      </c>
      <c r="P428" s="8">
        <v>0</v>
      </c>
      <c r="Q428" s="8">
        <v>20</v>
      </c>
      <c r="R428" s="8">
        <v>0</v>
      </c>
      <c r="S428" s="8">
        <v>60</v>
      </c>
      <c r="T428" s="5">
        <v>60</v>
      </c>
      <c r="U428" s="5">
        <v>40</v>
      </c>
      <c r="V428" s="5">
        <f>VLOOKUP(A428,Planilha1!B:E,4,0)</f>
        <v>11.476197020267191</v>
      </c>
    </row>
    <row r="429" spans="1:22" x14ac:dyDescent="0.3">
      <c r="A429" t="str">
        <f t="shared" si="12"/>
        <v>LEITE UHTLACTALIS</v>
      </c>
      <c r="B429" t="str">
        <f t="shared" si="13"/>
        <v>5338830LEITE UHTLACTALIS</v>
      </c>
      <c r="C429" s="5" t="s">
        <v>226</v>
      </c>
      <c r="D429" s="5" t="s">
        <v>227</v>
      </c>
      <c r="E429" s="5" t="s">
        <v>1722</v>
      </c>
      <c r="F429" s="5">
        <v>5338830</v>
      </c>
      <c r="G429" s="5" t="s">
        <v>364</v>
      </c>
      <c r="H429" s="5" t="s">
        <v>30</v>
      </c>
      <c r="I429" s="5" t="s">
        <v>22</v>
      </c>
      <c r="J429" s="5" t="s">
        <v>156</v>
      </c>
      <c r="K429" s="6">
        <v>0</v>
      </c>
      <c r="L429" s="7">
        <v>24</v>
      </c>
      <c r="M429" s="8">
        <v>0</v>
      </c>
      <c r="N429" s="8">
        <v>0</v>
      </c>
      <c r="O429" s="8">
        <v>4.360677266665455</v>
      </c>
      <c r="P429" s="8">
        <v>0</v>
      </c>
      <c r="Q429" s="8">
        <v>0</v>
      </c>
      <c r="R429" s="8">
        <v>0</v>
      </c>
      <c r="S429" s="8">
        <v>0</v>
      </c>
      <c r="T429" s="5">
        <v>0</v>
      </c>
      <c r="U429" s="5">
        <v>0</v>
      </c>
      <c r="V429" s="5">
        <f>VLOOKUP(A429,Planilha1!B:E,4,0)</f>
        <v>0.37177548115779385</v>
      </c>
    </row>
    <row r="430" spans="1:22" x14ac:dyDescent="0.3">
      <c r="A430" t="str">
        <f t="shared" si="12"/>
        <v>MANTEIGA 5KGLACTALIS</v>
      </c>
      <c r="B430" t="str">
        <f t="shared" si="13"/>
        <v>5338918MANTEIGA 5KGLACTALIS</v>
      </c>
      <c r="C430" s="5" t="s">
        <v>226</v>
      </c>
      <c r="D430" s="5" t="s">
        <v>227</v>
      </c>
      <c r="E430" s="5" t="s">
        <v>1722</v>
      </c>
      <c r="F430" s="5">
        <v>5338918</v>
      </c>
      <c r="G430" s="5" t="s">
        <v>365</v>
      </c>
      <c r="H430" s="5" t="s">
        <v>30</v>
      </c>
      <c r="I430" s="5" t="s">
        <v>22</v>
      </c>
      <c r="J430" s="5" t="s">
        <v>60</v>
      </c>
      <c r="K430" s="6">
        <v>0</v>
      </c>
      <c r="L430" s="7">
        <v>5</v>
      </c>
      <c r="M430" s="8">
        <v>3.3333333333333335</v>
      </c>
      <c r="N430" s="8">
        <v>1.6666666666666667</v>
      </c>
      <c r="O430" s="8">
        <v>1.7488017333388881</v>
      </c>
      <c r="P430" s="8">
        <v>0</v>
      </c>
      <c r="Q430" s="8">
        <v>0</v>
      </c>
      <c r="R430" s="8">
        <v>0</v>
      </c>
      <c r="S430" s="8">
        <v>5</v>
      </c>
      <c r="T430" s="5">
        <v>0</v>
      </c>
      <c r="U430" s="5">
        <v>5</v>
      </c>
      <c r="V430" s="5">
        <f>VLOOKUP(A430,Planilha1!B:E,4,0)</f>
        <v>11.476197020267191</v>
      </c>
    </row>
    <row r="431" spans="1:22" x14ac:dyDescent="0.3">
      <c r="A431" t="str">
        <f t="shared" si="12"/>
        <v>LEITE UHTLACTALIS</v>
      </c>
      <c r="B431" t="str">
        <f t="shared" si="13"/>
        <v>5342972LEITE UHTLACTALIS</v>
      </c>
      <c r="C431" s="5" t="s">
        <v>226</v>
      </c>
      <c r="D431" s="5" t="s">
        <v>227</v>
      </c>
      <c r="E431" s="5" t="s">
        <v>1722</v>
      </c>
      <c r="F431" s="5">
        <v>5342972</v>
      </c>
      <c r="G431" s="5" t="s">
        <v>366</v>
      </c>
      <c r="H431" s="5" t="s">
        <v>30</v>
      </c>
      <c r="I431" s="5" t="s">
        <v>22</v>
      </c>
      <c r="J431" s="5" t="s">
        <v>156</v>
      </c>
      <c r="K431" s="6">
        <v>0</v>
      </c>
      <c r="L431" s="7">
        <v>84</v>
      </c>
      <c r="M431" s="8">
        <v>194</v>
      </c>
      <c r="N431" s="8">
        <v>180</v>
      </c>
      <c r="O431" s="8">
        <v>97.036996637536845</v>
      </c>
      <c r="P431" s="8">
        <v>0</v>
      </c>
      <c r="Q431" s="8">
        <v>60</v>
      </c>
      <c r="R431" s="8">
        <v>0</v>
      </c>
      <c r="S431" s="8">
        <v>0</v>
      </c>
      <c r="T431" s="5">
        <v>0</v>
      </c>
      <c r="U431" s="5">
        <v>0</v>
      </c>
      <c r="V431" s="5">
        <f>VLOOKUP(A431,Planilha1!B:E,4,0)</f>
        <v>0.37177548115779385</v>
      </c>
    </row>
    <row r="432" spans="1:22" x14ac:dyDescent="0.3">
      <c r="A432" t="str">
        <f t="shared" si="12"/>
        <v>MANTEIGA 5KGLACTALIS</v>
      </c>
      <c r="B432" t="str">
        <f t="shared" si="13"/>
        <v>5343974MANTEIGA 5KGLACTALIS</v>
      </c>
      <c r="C432" s="5" t="s">
        <v>226</v>
      </c>
      <c r="D432" s="5" t="s">
        <v>227</v>
      </c>
      <c r="E432" s="5" t="s">
        <v>1722</v>
      </c>
      <c r="F432" s="5">
        <v>5343974</v>
      </c>
      <c r="G432" s="5" t="s">
        <v>367</v>
      </c>
      <c r="H432" s="5" t="s">
        <v>30</v>
      </c>
      <c r="I432" s="5" t="s">
        <v>22</v>
      </c>
      <c r="J432" s="5" t="s">
        <v>60</v>
      </c>
      <c r="K432" s="6">
        <v>0</v>
      </c>
      <c r="L432" s="7">
        <v>20</v>
      </c>
      <c r="M432" s="8">
        <v>43.333333333333336</v>
      </c>
      <c r="N432" s="8">
        <v>46.666666666666664</v>
      </c>
      <c r="O432" s="8">
        <v>31.556629651590754</v>
      </c>
      <c r="P432" s="8">
        <v>0</v>
      </c>
      <c r="Q432" s="8">
        <v>0</v>
      </c>
      <c r="R432" s="8">
        <v>0</v>
      </c>
      <c r="S432" s="8">
        <v>20</v>
      </c>
      <c r="T432" s="5">
        <v>20</v>
      </c>
      <c r="U432" s="5">
        <v>0</v>
      </c>
      <c r="V432" s="5">
        <f>VLOOKUP(A432,Planilha1!B:E,4,0)</f>
        <v>11.476197020267191</v>
      </c>
    </row>
    <row r="433" spans="1:22" x14ac:dyDescent="0.3">
      <c r="A433" t="str">
        <f t="shared" si="12"/>
        <v>MANTEIGA 5KGLACTALIS</v>
      </c>
      <c r="B433" t="str">
        <f t="shared" si="13"/>
        <v>5344670MANTEIGA 5KGLACTALIS</v>
      </c>
      <c r="C433" s="5" t="s">
        <v>226</v>
      </c>
      <c r="D433" s="5" t="s">
        <v>227</v>
      </c>
      <c r="E433" s="5" t="s">
        <v>1722</v>
      </c>
      <c r="F433" s="5">
        <v>5344670</v>
      </c>
      <c r="G433" s="5" t="s">
        <v>368</v>
      </c>
      <c r="H433" s="5" t="s">
        <v>30</v>
      </c>
      <c r="I433" s="5" t="s">
        <v>22</v>
      </c>
      <c r="J433" s="5" t="s">
        <v>60</v>
      </c>
      <c r="K433" s="6">
        <v>0</v>
      </c>
      <c r="L433" s="7">
        <v>120</v>
      </c>
      <c r="M433" s="8">
        <v>195.00000000000003</v>
      </c>
      <c r="N433" s="8">
        <v>206.66666666666666</v>
      </c>
      <c r="O433" s="8">
        <v>173.56501755881689</v>
      </c>
      <c r="P433" s="8">
        <v>0</v>
      </c>
      <c r="Q433" s="8">
        <v>120</v>
      </c>
      <c r="R433" s="8">
        <v>0</v>
      </c>
      <c r="S433" s="8">
        <v>215</v>
      </c>
      <c r="T433" s="5">
        <v>215</v>
      </c>
      <c r="U433" s="5">
        <v>180</v>
      </c>
      <c r="V433" s="5">
        <f>VLOOKUP(A433,Planilha1!B:E,4,0)</f>
        <v>11.476197020267191</v>
      </c>
    </row>
    <row r="434" spans="1:22" x14ac:dyDescent="0.3">
      <c r="A434" t="str">
        <f t="shared" si="12"/>
        <v>MANTEIGA 5KGLACTALIS</v>
      </c>
      <c r="B434" t="str">
        <f t="shared" si="13"/>
        <v>5345932MANTEIGA 5KGLACTALIS</v>
      </c>
      <c r="C434" s="5" t="s">
        <v>226</v>
      </c>
      <c r="D434" s="5" t="s">
        <v>227</v>
      </c>
      <c r="E434" s="5" t="s">
        <v>1722</v>
      </c>
      <c r="F434" s="5">
        <v>5345932</v>
      </c>
      <c r="G434" s="5" t="s">
        <v>369</v>
      </c>
      <c r="H434" s="5" t="s">
        <v>30</v>
      </c>
      <c r="I434" s="5" t="s">
        <v>22</v>
      </c>
      <c r="J434" s="5" t="s">
        <v>60</v>
      </c>
      <c r="K434" s="6">
        <v>0</v>
      </c>
      <c r="L434" s="7">
        <v>20</v>
      </c>
      <c r="M434" s="8">
        <v>21.666666666666664</v>
      </c>
      <c r="N434" s="8">
        <v>26.666666666666668</v>
      </c>
      <c r="O434" s="8">
        <v>24.554313768099675</v>
      </c>
      <c r="P434" s="8">
        <v>0</v>
      </c>
      <c r="Q434" s="8">
        <v>25</v>
      </c>
      <c r="R434" s="8">
        <v>0</v>
      </c>
      <c r="S434" s="8">
        <v>25</v>
      </c>
      <c r="T434" s="5">
        <v>25</v>
      </c>
      <c r="U434" s="5">
        <v>25</v>
      </c>
      <c r="V434" s="5">
        <f>VLOOKUP(A434,Planilha1!B:E,4,0)</f>
        <v>11.476197020267191</v>
      </c>
    </row>
    <row r="435" spans="1:22" x14ac:dyDescent="0.3">
      <c r="A435" t="str">
        <f t="shared" si="12"/>
        <v>MANTEIGA 5KGLACTALIS</v>
      </c>
      <c r="B435" t="str">
        <f t="shared" si="13"/>
        <v>5347143MANTEIGA 5KGLACTALIS</v>
      </c>
      <c r="C435" s="5" t="s">
        <v>226</v>
      </c>
      <c r="D435" s="5" t="s">
        <v>227</v>
      </c>
      <c r="E435" s="5" t="s">
        <v>1722</v>
      </c>
      <c r="F435" s="5">
        <v>5347143</v>
      </c>
      <c r="G435" s="5" t="s">
        <v>370</v>
      </c>
      <c r="H435" s="5" t="s">
        <v>30</v>
      </c>
      <c r="I435" s="5" t="s">
        <v>22</v>
      </c>
      <c r="J435" s="5" t="s">
        <v>60</v>
      </c>
      <c r="K435" s="6">
        <v>0</v>
      </c>
      <c r="L435" s="7">
        <v>0</v>
      </c>
      <c r="M435" s="8">
        <v>0</v>
      </c>
      <c r="N435" s="8">
        <v>0</v>
      </c>
      <c r="O435" s="8">
        <v>1.7488017333388881</v>
      </c>
      <c r="P435" s="8">
        <v>0</v>
      </c>
      <c r="Q435" s="8">
        <v>0</v>
      </c>
      <c r="R435" s="8">
        <v>0</v>
      </c>
      <c r="S435" s="8">
        <v>0</v>
      </c>
      <c r="T435" s="5">
        <v>0</v>
      </c>
      <c r="U435" s="5">
        <v>0</v>
      </c>
      <c r="V435" s="5">
        <f>VLOOKUP(A435,Planilha1!B:E,4,0)</f>
        <v>11.476197020267191</v>
      </c>
    </row>
    <row r="436" spans="1:22" x14ac:dyDescent="0.3">
      <c r="A436" t="str">
        <f t="shared" si="12"/>
        <v>LEITE UHTLACTALIS</v>
      </c>
      <c r="B436" t="str">
        <f t="shared" si="13"/>
        <v>5347143LEITE UHTLACTALIS</v>
      </c>
      <c r="C436" s="5" t="s">
        <v>226</v>
      </c>
      <c r="D436" s="5" t="s">
        <v>227</v>
      </c>
      <c r="E436" s="5" t="s">
        <v>1722</v>
      </c>
      <c r="F436" s="5">
        <v>5347143</v>
      </c>
      <c r="G436" s="5" t="s">
        <v>370</v>
      </c>
      <c r="H436" s="5" t="s">
        <v>30</v>
      </c>
      <c r="I436" s="5" t="s">
        <v>22</v>
      </c>
      <c r="J436" s="5" t="s">
        <v>156</v>
      </c>
      <c r="K436" s="6">
        <v>0</v>
      </c>
      <c r="L436" s="7">
        <v>60</v>
      </c>
      <c r="M436" s="8">
        <v>0</v>
      </c>
      <c r="N436" s="8">
        <v>0</v>
      </c>
      <c r="O436" s="8">
        <v>23.988495948352195</v>
      </c>
      <c r="P436" s="8">
        <v>0</v>
      </c>
      <c r="Q436" s="8">
        <v>0</v>
      </c>
      <c r="R436" s="8">
        <v>0</v>
      </c>
      <c r="S436" s="8">
        <v>0</v>
      </c>
      <c r="T436" s="5">
        <v>0</v>
      </c>
      <c r="U436" s="5">
        <v>0</v>
      </c>
      <c r="V436" s="5">
        <f>VLOOKUP(A436,Planilha1!B:E,4,0)</f>
        <v>0.37177548115779385</v>
      </c>
    </row>
    <row r="437" spans="1:22" x14ac:dyDescent="0.3">
      <c r="A437" t="str">
        <f t="shared" si="12"/>
        <v>MANTEIGA 5KGLACTALIS</v>
      </c>
      <c r="B437" t="str">
        <f t="shared" si="13"/>
        <v>5349816MANTEIGA 5KGLACTALIS</v>
      </c>
      <c r="C437" s="5" t="s">
        <v>226</v>
      </c>
      <c r="D437" s="5" t="s">
        <v>227</v>
      </c>
      <c r="E437" s="5" t="s">
        <v>1722</v>
      </c>
      <c r="F437" s="5">
        <v>5349816</v>
      </c>
      <c r="G437" s="5" t="s">
        <v>371</v>
      </c>
      <c r="H437" s="5" t="s">
        <v>30</v>
      </c>
      <c r="I437" s="5" t="s">
        <v>22</v>
      </c>
      <c r="J437" s="5" t="s">
        <v>60</v>
      </c>
      <c r="K437" s="6">
        <v>0</v>
      </c>
      <c r="L437" s="7">
        <v>0</v>
      </c>
      <c r="M437" s="8">
        <v>43.333333333333336</v>
      </c>
      <c r="N437" s="8">
        <v>40</v>
      </c>
      <c r="O437" s="8">
        <v>43.833786535640584</v>
      </c>
      <c r="P437" s="8">
        <v>0</v>
      </c>
      <c r="Q437" s="8">
        <v>0</v>
      </c>
      <c r="R437" s="8">
        <v>0</v>
      </c>
      <c r="S437" s="8">
        <v>0</v>
      </c>
      <c r="T437" s="5">
        <v>45</v>
      </c>
      <c r="U437" s="5">
        <v>0</v>
      </c>
      <c r="V437" s="5">
        <f>VLOOKUP(A437,Planilha1!B:E,4,0)</f>
        <v>11.476197020267191</v>
      </c>
    </row>
    <row r="438" spans="1:22" x14ac:dyDescent="0.3">
      <c r="A438" t="str">
        <f t="shared" si="12"/>
        <v>MANTEIGA 5KGLACTALIS</v>
      </c>
      <c r="B438" t="str">
        <f t="shared" si="13"/>
        <v>5350878MANTEIGA 5KGLACTALIS</v>
      </c>
      <c r="C438" s="5" t="s">
        <v>226</v>
      </c>
      <c r="D438" s="5" t="s">
        <v>227</v>
      </c>
      <c r="E438" s="5" t="s">
        <v>1722</v>
      </c>
      <c r="F438" s="5">
        <v>5350878</v>
      </c>
      <c r="G438" s="5" t="s">
        <v>372</v>
      </c>
      <c r="H438" s="5" t="s">
        <v>30</v>
      </c>
      <c r="I438" s="5" t="s">
        <v>22</v>
      </c>
      <c r="J438" s="5" t="s">
        <v>60</v>
      </c>
      <c r="K438" s="6">
        <v>0</v>
      </c>
      <c r="L438" s="7">
        <v>0</v>
      </c>
      <c r="M438" s="8">
        <v>0</v>
      </c>
      <c r="N438" s="8">
        <v>0</v>
      </c>
      <c r="O438" s="8">
        <v>1.7488017333388881</v>
      </c>
      <c r="P438" s="8">
        <v>0</v>
      </c>
      <c r="Q438" s="8">
        <v>0</v>
      </c>
      <c r="R438" s="8">
        <v>0</v>
      </c>
      <c r="S438" s="8">
        <v>0</v>
      </c>
      <c r="T438" s="5">
        <v>0</v>
      </c>
      <c r="U438" s="5">
        <v>0</v>
      </c>
      <c r="V438" s="5">
        <f>VLOOKUP(A438,Planilha1!B:E,4,0)</f>
        <v>11.476197020267191</v>
      </c>
    </row>
    <row r="439" spans="1:22" x14ac:dyDescent="0.3">
      <c r="A439" t="str">
        <f t="shared" si="12"/>
        <v>MANTEIGA 5KGLACTALIS</v>
      </c>
      <c r="B439" t="str">
        <f t="shared" si="13"/>
        <v>5351022MANTEIGA 5KGLACTALIS</v>
      </c>
      <c r="C439" s="5" t="s">
        <v>226</v>
      </c>
      <c r="D439" s="5" t="s">
        <v>227</v>
      </c>
      <c r="E439" s="5" t="s">
        <v>1722</v>
      </c>
      <c r="F439" s="5">
        <v>5351022</v>
      </c>
      <c r="G439" s="5" t="s">
        <v>332</v>
      </c>
      <c r="H439" s="5" t="s">
        <v>30</v>
      </c>
      <c r="I439" s="5" t="s">
        <v>22</v>
      </c>
      <c r="J439" s="5" t="s">
        <v>60</v>
      </c>
      <c r="K439" s="6">
        <v>0</v>
      </c>
      <c r="L439" s="7">
        <v>0</v>
      </c>
      <c r="M439" s="8">
        <v>0</v>
      </c>
      <c r="N439" s="8">
        <v>0</v>
      </c>
      <c r="O439" s="8">
        <v>14.025958617388726</v>
      </c>
      <c r="P439" s="8">
        <v>0</v>
      </c>
      <c r="Q439" s="8">
        <v>0</v>
      </c>
      <c r="R439" s="8">
        <v>0</v>
      </c>
      <c r="S439" s="8">
        <v>0</v>
      </c>
      <c r="T439" s="5">
        <v>15</v>
      </c>
      <c r="U439" s="5">
        <v>0</v>
      </c>
      <c r="V439" s="5">
        <f>VLOOKUP(A439,Planilha1!B:E,4,0)</f>
        <v>11.476197020267191</v>
      </c>
    </row>
    <row r="440" spans="1:22" x14ac:dyDescent="0.3">
      <c r="A440" t="str">
        <f t="shared" si="12"/>
        <v>MANTEIGA 5KGLACTALIS</v>
      </c>
      <c r="B440" t="str">
        <f t="shared" si="13"/>
        <v>5351617MANTEIGA 5KGLACTALIS</v>
      </c>
      <c r="C440" s="5" t="s">
        <v>226</v>
      </c>
      <c r="D440" s="5" t="s">
        <v>227</v>
      </c>
      <c r="E440" s="5" t="s">
        <v>1722</v>
      </c>
      <c r="F440" s="5">
        <v>5351617</v>
      </c>
      <c r="G440" s="5" t="s">
        <v>373</v>
      </c>
      <c r="H440" s="5" t="s">
        <v>30</v>
      </c>
      <c r="I440" s="5" t="s">
        <v>22</v>
      </c>
      <c r="J440" s="5" t="s">
        <v>60</v>
      </c>
      <c r="K440" s="6">
        <v>0</v>
      </c>
      <c r="L440" s="7">
        <v>0</v>
      </c>
      <c r="M440" s="8">
        <v>4.166666666666667</v>
      </c>
      <c r="N440" s="8">
        <v>0</v>
      </c>
      <c r="O440" s="8">
        <v>8.7582265669654902</v>
      </c>
      <c r="P440" s="8">
        <v>0</v>
      </c>
      <c r="Q440" s="8">
        <v>0</v>
      </c>
      <c r="R440" s="8">
        <v>0</v>
      </c>
      <c r="S440" s="8">
        <v>0</v>
      </c>
      <c r="T440" s="5">
        <v>0</v>
      </c>
      <c r="U440" s="5">
        <v>0</v>
      </c>
      <c r="V440" s="5">
        <f>VLOOKUP(A440,Planilha1!B:E,4,0)</f>
        <v>11.476197020267191</v>
      </c>
    </row>
    <row r="441" spans="1:22" x14ac:dyDescent="0.3">
      <c r="A441" t="str">
        <f t="shared" si="12"/>
        <v>LEITE UHTLACTALIS</v>
      </c>
      <c r="B441" t="str">
        <f t="shared" si="13"/>
        <v>5353256LEITE UHTLACTALIS</v>
      </c>
      <c r="C441" s="5" t="s">
        <v>226</v>
      </c>
      <c r="D441" s="5" t="s">
        <v>227</v>
      </c>
      <c r="E441" s="5" t="s">
        <v>1722</v>
      </c>
      <c r="F441" s="5">
        <v>5353256</v>
      </c>
      <c r="G441" s="5" t="s">
        <v>344</v>
      </c>
      <c r="H441" s="5" t="s">
        <v>30</v>
      </c>
      <c r="I441" s="5" t="s">
        <v>22</v>
      </c>
      <c r="J441" s="5" t="s">
        <v>156</v>
      </c>
      <c r="K441" s="6">
        <v>0</v>
      </c>
      <c r="L441" s="7">
        <v>0</v>
      </c>
      <c r="M441" s="8">
        <v>0</v>
      </c>
      <c r="N441" s="8">
        <v>0</v>
      </c>
      <c r="O441" s="8">
        <v>8.7213545333309099</v>
      </c>
      <c r="P441" s="8">
        <v>0</v>
      </c>
      <c r="Q441" s="8">
        <v>0</v>
      </c>
      <c r="R441" s="8">
        <v>0</v>
      </c>
      <c r="S441" s="8">
        <v>0</v>
      </c>
      <c r="T441" s="5">
        <v>0</v>
      </c>
      <c r="U441" s="5">
        <v>0</v>
      </c>
      <c r="V441" s="5">
        <f>VLOOKUP(A441,Planilha1!B:E,4,0)</f>
        <v>0.37177548115779385</v>
      </c>
    </row>
    <row r="442" spans="1:22" x14ac:dyDescent="0.3">
      <c r="A442" t="str">
        <f t="shared" si="12"/>
        <v>LEITE UHTLACTALIS</v>
      </c>
      <c r="B442" t="str">
        <f t="shared" si="13"/>
        <v>5354388LEITE UHTLACTALIS</v>
      </c>
      <c r="C442" s="5" t="s">
        <v>226</v>
      </c>
      <c r="D442" s="5" t="s">
        <v>227</v>
      </c>
      <c r="E442" s="5" t="s">
        <v>1722</v>
      </c>
      <c r="F442" s="5">
        <v>5354388</v>
      </c>
      <c r="G442" s="5" t="s">
        <v>374</v>
      </c>
      <c r="H442" s="5" t="s">
        <v>30</v>
      </c>
      <c r="I442" s="5" t="s">
        <v>22</v>
      </c>
      <c r="J442" s="5" t="s">
        <v>156</v>
      </c>
      <c r="K442" s="6">
        <v>0</v>
      </c>
      <c r="L442" s="7">
        <v>0</v>
      </c>
      <c r="M442" s="8">
        <v>0</v>
      </c>
      <c r="N442" s="8">
        <v>0</v>
      </c>
      <c r="O442" s="8">
        <v>11.989476992483903</v>
      </c>
      <c r="P442" s="8">
        <v>0</v>
      </c>
      <c r="Q442" s="8">
        <v>0</v>
      </c>
      <c r="R442" s="8">
        <v>0</v>
      </c>
      <c r="S442" s="8">
        <v>0</v>
      </c>
      <c r="T442" s="5">
        <v>0</v>
      </c>
      <c r="U442" s="5">
        <v>0</v>
      </c>
      <c r="V442" s="5">
        <f>VLOOKUP(A442,Planilha1!B:E,4,0)</f>
        <v>0.37177548115779385</v>
      </c>
    </row>
    <row r="443" spans="1:22" x14ac:dyDescent="0.3">
      <c r="A443" t="str">
        <f t="shared" si="12"/>
        <v>LEITE UHTLACTALIS</v>
      </c>
      <c r="B443" t="str">
        <f t="shared" si="13"/>
        <v>5354394LEITE UHTLACTALIS</v>
      </c>
      <c r="C443" s="5" t="s">
        <v>226</v>
      </c>
      <c r="D443" s="5" t="s">
        <v>227</v>
      </c>
      <c r="E443" s="5" t="s">
        <v>1722</v>
      </c>
      <c r="F443" s="5">
        <v>5354394</v>
      </c>
      <c r="G443" s="5" t="s">
        <v>375</v>
      </c>
      <c r="H443" s="5" t="s">
        <v>30</v>
      </c>
      <c r="I443" s="5" t="s">
        <v>22</v>
      </c>
      <c r="J443" s="5" t="s">
        <v>156</v>
      </c>
      <c r="K443" s="6">
        <v>0</v>
      </c>
      <c r="L443" s="7">
        <v>0</v>
      </c>
      <c r="M443" s="8">
        <v>0</v>
      </c>
      <c r="N443" s="8">
        <v>0</v>
      </c>
      <c r="O443" s="8">
        <v>21.803386333327275</v>
      </c>
      <c r="P443" s="8">
        <v>0</v>
      </c>
      <c r="Q443" s="8">
        <v>0</v>
      </c>
      <c r="R443" s="8">
        <v>0</v>
      </c>
      <c r="S443" s="8">
        <v>0</v>
      </c>
      <c r="T443" s="5">
        <v>0</v>
      </c>
      <c r="U443" s="5">
        <v>0</v>
      </c>
      <c r="V443" s="5">
        <f>VLOOKUP(A443,Planilha1!B:E,4,0)</f>
        <v>0.37177548115779385</v>
      </c>
    </row>
    <row r="444" spans="1:22" x14ac:dyDescent="0.3">
      <c r="A444" t="str">
        <f t="shared" si="12"/>
        <v>MANTEIGA 5KGLACTALIS</v>
      </c>
      <c r="B444" t="str">
        <f t="shared" si="13"/>
        <v>5354395MANTEIGA 5KGLACTALIS</v>
      </c>
      <c r="C444" s="5" t="s">
        <v>226</v>
      </c>
      <c r="D444" s="5" t="s">
        <v>227</v>
      </c>
      <c r="E444" s="5" t="s">
        <v>1722</v>
      </c>
      <c r="F444" s="5">
        <v>5354395</v>
      </c>
      <c r="G444" s="5" t="s">
        <v>376</v>
      </c>
      <c r="H444" s="5" t="s">
        <v>30</v>
      </c>
      <c r="I444" s="5" t="s">
        <v>22</v>
      </c>
      <c r="J444" s="5" t="s">
        <v>60</v>
      </c>
      <c r="K444" s="6">
        <v>0</v>
      </c>
      <c r="L444" s="7">
        <v>0</v>
      </c>
      <c r="M444" s="8">
        <v>42.500000000000007</v>
      </c>
      <c r="N444" s="8">
        <v>31.666666666666668</v>
      </c>
      <c r="O444" s="8">
        <v>28.059026184912973</v>
      </c>
      <c r="P444" s="8">
        <v>0</v>
      </c>
      <c r="Q444" s="8">
        <v>20</v>
      </c>
      <c r="R444" s="8">
        <v>0</v>
      </c>
      <c r="S444" s="8">
        <v>35</v>
      </c>
      <c r="T444" s="5">
        <v>35</v>
      </c>
      <c r="U444" s="5">
        <v>20</v>
      </c>
      <c r="V444" s="5">
        <f>VLOOKUP(A444,Planilha1!B:E,4,0)</f>
        <v>11.476197020267191</v>
      </c>
    </row>
    <row r="445" spans="1:22" x14ac:dyDescent="0.3">
      <c r="A445" t="str">
        <f t="shared" si="12"/>
        <v>MANTEIGA 5KGLACTALIS</v>
      </c>
      <c r="B445" t="str">
        <f t="shared" si="13"/>
        <v>5354456MANTEIGA 5KGLACTALIS</v>
      </c>
      <c r="C445" s="5" t="s">
        <v>226</v>
      </c>
      <c r="D445" s="5" t="s">
        <v>227</v>
      </c>
      <c r="E445" s="5" t="s">
        <v>1722</v>
      </c>
      <c r="F445" s="5">
        <v>5354456</v>
      </c>
      <c r="G445" s="5" t="s">
        <v>377</v>
      </c>
      <c r="H445" s="5" t="s">
        <v>30</v>
      </c>
      <c r="I445" s="5" t="s">
        <v>22</v>
      </c>
      <c r="J445" s="5" t="s">
        <v>60</v>
      </c>
      <c r="K445" s="6">
        <v>0</v>
      </c>
      <c r="L445" s="7">
        <v>0</v>
      </c>
      <c r="M445" s="8">
        <v>70.833333333333329</v>
      </c>
      <c r="N445" s="8">
        <v>85</v>
      </c>
      <c r="O445" s="8">
        <v>54.35503273621601</v>
      </c>
      <c r="P445" s="8">
        <v>0</v>
      </c>
      <c r="Q445" s="8">
        <v>0</v>
      </c>
      <c r="R445" s="8">
        <v>0</v>
      </c>
      <c r="S445" s="8">
        <v>75</v>
      </c>
      <c r="T445" s="5">
        <v>75</v>
      </c>
      <c r="U445" s="5">
        <v>25</v>
      </c>
      <c r="V445" s="5">
        <f>VLOOKUP(A445,Planilha1!B:E,4,0)</f>
        <v>11.476197020267191</v>
      </c>
    </row>
    <row r="446" spans="1:22" x14ac:dyDescent="0.3">
      <c r="A446" t="str">
        <f t="shared" si="12"/>
        <v>LEITE UHTLACTALIS</v>
      </c>
      <c r="B446" t="str">
        <f t="shared" si="13"/>
        <v>5354456LEITE UHTLACTALIS</v>
      </c>
      <c r="C446" s="5" t="s">
        <v>226</v>
      </c>
      <c r="D446" s="5" t="s">
        <v>227</v>
      </c>
      <c r="E446" s="5" t="s">
        <v>1722</v>
      </c>
      <c r="F446" s="5">
        <v>5354456</v>
      </c>
      <c r="G446" s="5" t="s">
        <v>377</v>
      </c>
      <c r="H446" s="5" t="s">
        <v>30</v>
      </c>
      <c r="I446" s="5" t="s">
        <v>22</v>
      </c>
      <c r="J446" s="5" t="s">
        <v>156</v>
      </c>
      <c r="K446" s="6">
        <v>0</v>
      </c>
      <c r="L446" s="7">
        <v>0</v>
      </c>
      <c r="M446" s="8">
        <v>40</v>
      </c>
      <c r="N446" s="8">
        <v>48</v>
      </c>
      <c r="O446" s="8">
        <v>8.7213545333309099</v>
      </c>
      <c r="P446" s="8">
        <v>0</v>
      </c>
      <c r="Q446" s="8">
        <v>0</v>
      </c>
      <c r="R446" s="8">
        <v>0</v>
      </c>
      <c r="S446" s="8">
        <v>0</v>
      </c>
      <c r="T446" s="5">
        <v>0</v>
      </c>
      <c r="U446" s="5">
        <v>0</v>
      </c>
      <c r="V446" s="5">
        <f>VLOOKUP(A446,Planilha1!B:E,4,0)</f>
        <v>0.37177548115779385</v>
      </c>
    </row>
    <row r="447" spans="1:22" x14ac:dyDescent="0.3">
      <c r="A447" t="str">
        <f t="shared" si="12"/>
        <v>MANTEIGA 5KGLACTALIS</v>
      </c>
      <c r="B447" t="str">
        <f t="shared" si="13"/>
        <v>5357008MANTEIGA 5KGLACTALIS</v>
      </c>
      <c r="C447" s="5" t="s">
        <v>226</v>
      </c>
      <c r="D447" s="5" t="s">
        <v>227</v>
      </c>
      <c r="E447" s="5" t="s">
        <v>1722</v>
      </c>
      <c r="F447" s="5">
        <v>5357008</v>
      </c>
      <c r="G447" s="5" t="s">
        <v>378</v>
      </c>
      <c r="H447" s="5" t="s">
        <v>30</v>
      </c>
      <c r="I447" s="5" t="s">
        <v>22</v>
      </c>
      <c r="J447" s="5" t="s">
        <v>60</v>
      </c>
      <c r="K447" s="6">
        <v>0</v>
      </c>
      <c r="L447" s="7">
        <v>0</v>
      </c>
      <c r="M447" s="8">
        <v>67.5</v>
      </c>
      <c r="N447" s="8">
        <v>90</v>
      </c>
      <c r="O447" s="8">
        <v>15.774760350727615</v>
      </c>
      <c r="P447" s="8">
        <v>0</v>
      </c>
      <c r="Q447" s="8">
        <v>0</v>
      </c>
      <c r="R447" s="8">
        <v>0</v>
      </c>
      <c r="S447" s="8">
        <v>75</v>
      </c>
      <c r="T447" s="5">
        <v>75</v>
      </c>
      <c r="U447" s="5">
        <v>75</v>
      </c>
      <c r="V447" s="5">
        <f>VLOOKUP(A447,Planilha1!B:E,4,0)</f>
        <v>11.476197020267191</v>
      </c>
    </row>
    <row r="448" spans="1:22" x14ac:dyDescent="0.3">
      <c r="A448" t="str">
        <f t="shared" si="12"/>
        <v>BLISTERLACTALIS</v>
      </c>
      <c r="B448" t="str">
        <f t="shared" si="13"/>
        <v>5034557BLISTERLACTALIS</v>
      </c>
      <c r="C448" s="5" t="s">
        <v>226</v>
      </c>
      <c r="D448" s="5" t="s">
        <v>227</v>
      </c>
      <c r="E448" s="5" t="s">
        <v>1722</v>
      </c>
      <c r="F448" s="5">
        <v>5034557</v>
      </c>
      <c r="G448" s="5" t="s">
        <v>379</v>
      </c>
      <c r="H448" s="5" t="s">
        <v>30</v>
      </c>
      <c r="I448" s="5" t="s">
        <v>22</v>
      </c>
      <c r="J448" s="5" t="s">
        <v>199</v>
      </c>
      <c r="K448" s="6">
        <v>0</v>
      </c>
      <c r="L448" s="7">
        <v>12.96</v>
      </c>
      <c r="M448" s="8">
        <v>50.6</v>
      </c>
      <c r="N448" s="8">
        <v>38.239999999999995</v>
      </c>
      <c r="O448" s="8">
        <v>22.190206196848301</v>
      </c>
      <c r="P448" s="8">
        <v>0</v>
      </c>
      <c r="Q448" s="8">
        <v>41.04</v>
      </c>
      <c r="R448" s="8">
        <v>0</v>
      </c>
      <c r="S448" s="8">
        <v>37</v>
      </c>
      <c r="T448" s="5">
        <v>41</v>
      </c>
      <c r="U448" s="5">
        <v>16</v>
      </c>
      <c r="V448" s="5">
        <f>VLOOKUP(A448,Planilha1!B:E,4,0)</f>
        <v>13.783871706210666</v>
      </c>
    </row>
    <row r="449" spans="1:22" x14ac:dyDescent="0.3">
      <c r="A449" t="str">
        <f t="shared" si="12"/>
        <v>LEITE UHTLACTALIS</v>
      </c>
      <c r="B449" t="str">
        <f t="shared" si="13"/>
        <v>5034557LEITE UHTLACTALIS</v>
      </c>
      <c r="C449" s="5" t="s">
        <v>226</v>
      </c>
      <c r="D449" s="5" t="s">
        <v>227</v>
      </c>
      <c r="E449" s="5" t="s">
        <v>1722</v>
      </c>
      <c r="F449" s="5">
        <v>5034557</v>
      </c>
      <c r="G449" s="5" t="s">
        <v>379</v>
      </c>
      <c r="H449" s="5" t="s">
        <v>30</v>
      </c>
      <c r="I449" s="5" t="s">
        <v>22</v>
      </c>
      <c r="J449" s="5" t="s">
        <v>156</v>
      </c>
      <c r="K449" s="6">
        <v>0</v>
      </c>
      <c r="L449" s="7">
        <v>0</v>
      </c>
      <c r="M449" s="8">
        <v>188</v>
      </c>
      <c r="N449" s="8">
        <v>256</v>
      </c>
      <c r="O449" s="8">
        <v>50.157330530037115</v>
      </c>
      <c r="P449" s="8">
        <v>0</v>
      </c>
      <c r="Q449" s="8">
        <v>12</v>
      </c>
      <c r="R449" s="8">
        <v>0</v>
      </c>
      <c r="S449" s="8">
        <v>0</v>
      </c>
      <c r="T449" s="5">
        <v>0</v>
      </c>
      <c r="U449" s="5">
        <v>0</v>
      </c>
      <c r="V449" s="5">
        <f>VLOOKUP(A449,Planilha1!B:E,4,0)</f>
        <v>0.37177548115779385</v>
      </c>
    </row>
    <row r="450" spans="1:22" x14ac:dyDescent="0.3">
      <c r="A450" t="str">
        <f t="shared" ref="A450:A513" si="14">J450&amp;I450</f>
        <v>BLISTERLACTALIS</v>
      </c>
      <c r="B450" t="str">
        <f t="shared" si="13"/>
        <v>5034558BLISTERLACTALIS</v>
      </c>
      <c r="C450" s="5" t="s">
        <v>226</v>
      </c>
      <c r="D450" s="5" t="s">
        <v>227</v>
      </c>
      <c r="E450" s="5" t="s">
        <v>1722</v>
      </c>
      <c r="F450" s="5">
        <v>5034558</v>
      </c>
      <c r="G450" s="5" t="s">
        <v>379</v>
      </c>
      <c r="H450" s="5" t="s">
        <v>30</v>
      </c>
      <c r="I450" s="5" t="s">
        <v>22</v>
      </c>
      <c r="J450" s="5" t="s">
        <v>199</v>
      </c>
      <c r="K450" s="6">
        <v>0</v>
      </c>
      <c r="L450" s="7">
        <v>8.64</v>
      </c>
      <c r="M450" s="8">
        <v>55.04</v>
      </c>
      <c r="N450" s="8">
        <v>32.4</v>
      </c>
      <c r="O450" s="8">
        <v>21.226646796218873</v>
      </c>
      <c r="P450" s="8">
        <v>0</v>
      </c>
      <c r="Q450" s="8">
        <v>46.56</v>
      </c>
      <c r="R450" s="8">
        <v>0</v>
      </c>
      <c r="S450" s="8">
        <v>24</v>
      </c>
      <c r="T450" s="5">
        <v>25</v>
      </c>
      <c r="U450" s="5">
        <v>14</v>
      </c>
      <c r="V450" s="5">
        <f>VLOOKUP(A450,Planilha1!B:E,4,0)</f>
        <v>13.783871706210666</v>
      </c>
    </row>
    <row r="451" spans="1:22" x14ac:dyDescent="0.3">
      <c r="A451" t="str">
        <f t="shared" si="14"/>
        <v>LEITE UHTLACTALIS</v>
      </c>
      <c r="B451" t="str">
        <f t="shared" ref="B451:B514" si="15">F451&amp;J451&amp;I451</f>
        <v>5034558LEITE UHTLACTALIS</v>
      </c>
      <c r="C451" s="5" t="s">
        <v>226</v>
      </c>
      <c r="D451" s="5" t="s">
        <v>227</v>
      </c>
      <c r="E451" s="5" t="s">
        <v>1722</v>
      </c>
      <c r="F451" s="5">
        <v>5034558</v>
      </c>
      <c r="G451" s="5" t="s">
        <v>379</v>
      </c>
      <c r="H451" s="5" t="s">
        <v>30</v>
      </c>
      <c r="I451" s="5" t="s">
        <v>22</v>
      </c>
      <c r="J451" s="5" t="s">
        <v>156</v>
      </c>
      <c r="K451" s="6">
        <v>0</v>
      </c>
      <c r="L451" s="7">
        <v>0</v>
      </c>
      <c r="M451" s="8">
        <v>100</v>
      </c>
      <c r="N451" s="8">
        <v>0</v>
      </c>
      <c r="O451" s="8">
        <v>34.890189115015829</v>
      </c>
      <c r="P451" s="8">
        <v>0</v>
      </c>
      <c r="Q451" s="8">
        <v>12</v>
      </c>
      <c r="R451" s="8">
        <v>0</v>
      </c>
      <c r="S451" s="8">
        <v>0</v>
      </c>
      <c r="T451" s="5">
        <v>0</v>
      </c>
      <c r="U451" s="5">
        <v>0</v>
      </c>
      <c r="V451" s="5">
        <f>VLOOKUP(A451,Planilha1!B:E,4,0)</f>
        <v>0.37177548115779385</v>
      </c>
    </row>
    <row r="452" spans="1:22" x14ac:dyDescent="0.3">
      <c r="A452" t="str">
        <f t="shared" si="14"/>
        <v>BLISTERLACTALIS</v>
      </c>
      <c r="B452" t="str">
        <f t="shared" si="15"/>
        <v>5034559BLISTERLACTALIS</v>
      </c>
      <c r="C452" s="5" t="s">
        <v>226</v>
      </c>
      <c r="D452" s="5" t="s">
        <v>227</v>
      </c>
      <c r="E452" s="5" t="s">
        <v>1722</v>
      </c>
      <c r="F452" s="5">
        <v>5034559</v>
      </c>
      <c r="G452" s="5" t="s">
        <v>379</v>
      </c>
      <c r="H452" s="5" t="s">
        <v>30</v>
      </c>
      <c r="I452" s="5" t="s">
        <v>22</v>
      </c>
      <c r="J452" s="5" t="s">
        <v>199</v>
      </c>
      <c r="K452" s="6">
        <v>0</v>
      </c>
      <c r="L452" s="7">
        <v>19.440000000000001</v>
      </c>
      <c r="M452" s="8">
        <v>37.520000000000003</v>
      </c>
      <c r="N452" s="8">
        <v>30</v>
      </c>
      <c r="O452" s="8">
        <v>20.707080452742222</v>
      </c>
      <c r="P452" s="8">
        <v>0</v>
      </c>
      <c r="Q452" s="8">
        <v>28.32</v>
      </c>
      <c r="R452" s="8">
        <v>0</v>
      </c>
      <c r="S452" s="8">
        <v>0</v>
      </c>
      <c r="T452" s="5">
        <v>28</v>
      </c>
      <c r="U452" s="5">
        <v>21</v>
      </c>
      <c r="V452" s="5">
        <f>VLOOKUP(A452,Planilha1!B:E,4,0)</f>
        <v>13.783871706210666</v>
      </c>
    </row>
    <row r="453" spans="1:22" x14ac:dyDescent="0.3">
      <c r="A453" t="str">
        <f t="shared" si="14"/>
        <v>BLISTERLACTALIS</v>
      </c>
      <c r="B453" t="str">
        <f t="shared" si="15"/>
        <v>5034560BLISTERLACTALIS</v>
      </c>
      <c r="C453" s="5" t="s">
        <v>226</v>
      </c>
      <c r="D453" s="5" t="s">
        <v>227</v>
      </c>
      <c r="E453" s="5" t="s">
        <v>1722</v>
      </c>
      <c r="F453" s="5">
        <v>5034560</v>
      </c>
      <c r="G453" s="5" t="s">
        <v>380</v>
      </c>
      <c r="H453" s="5" t="s">
        <v>30</v>
      </c>
      <c r="I453" s="5" t="s">
        <v>22</v>
      </c>
      <c r="J453" s="5" t="s">
        <v>199</v>
      </c>
      <c r="K453" s="6">
        <v>0</v>
      </c>
      <c r="L453" s="7">
        <v>10.8</v>
      </c>
      <c r="M453" s="8">
        <v>36.44</v>
      </c>
      <c r="N453" s="8">
        <v>26.880000000000003</v>
      </c>
      <c r="O453" s="8">
        <v>12.885245318220981</v>
      </c>
      <c r="P453" s="8">
        <v>0</v>
      </c>
      <c r="Q453" s="8">
        <v>14.64</v>
      </c>
      <c r="R453" s="8">
        <v>0</v>
      </c>
      <c r="S453" s="8">
        <v>30</v>
      </c>
      <c r="T453" s="5">
        <v>30</v>
      </c>
      <c r="U453" s="5">
        <v>30</v>
      </c>
      <c r="V453" s="5">
        <f>VLOOKUP(A453,Planilha1!B:E,4,0)</f>
        <v>13.783871706210666</v>
      </c>
    </row>
    <row r="454" spans="1:22" x14ac:dyDescent="0.3">
      <c r="A454" t="str">
        <f t="shared" si="14"/>
        <v>LEITE UHTLACTALIS</v>
      </c>
      <c r="B454" t="str">
        <f t="shared" si="15"/>
        <v>5034560LEITE UHTLACTALIS</v>
      </c>
      <c r="C454" s="5" t="s">
        <v>226</v>
      </c>
      <c r="D454" s="5" t="s">
        <v>227</v>
      </c>
      <c r="E454" s="5" t="s">
        <v>1722</v>
      </c>
      <c r="F454" s="5">
        <v>5034560</v>
      </c>
      <c r="G454" s="5" t="s">
        <v>380</v>
      </c>
      <c r="H454" s="5" t="s">
        <v>30</v>
      </c>
      <c r="I454" s="5" t="s">
        <v>22</v>
      </c>
      <c r="J454" s="5" t="s">
        <v>156</v>
      </c>
      <c r="K454" s="6">
        <v>0</v>
      </c>
      <c r="L454" s="7">
        <v>0</v>
      </c>
      <c r="M454" s="8">
        <v>164</v>
      </c>
      <c r="N454" s="8">
        <v>0</v>
      </c>
      <c r="O454" s="8">
        <v>58.873914081675835</v>
      </c>
      <c r="P454" s="8">
        <v>0</v>
      </c>
      <c r="Q454" s="8">
        <v>0</v>
      </c>
      <c r="R454" s="8">
        <v>0</v>
      </c>
      <c r="S454" s="8">
        <v>0</v>
      </c>
      <c r="T454" s="5">
        <v>0</v>
      </c>
      <c r="U454" s="5">
        <v>0</v>
      </c>
      <c r="V454" s="5">
        <f>VLOOKUP(A454,Planilha1!B:E,4,0)</f>
        <v>0.37177548115779385</v>
      </c>
    </row>
    <row r="455" spans="1:22" x14ac:dyDescent="0.3">
      <c r="A455" t="str">
        <f t="shared" si="14"/>
        <v>LEITE UHTLACTALIS</v>
      </c>
      <c r="B455" t="str">
        <f t="shared" si="15"/>
        <v>5034562LEITE UHTLACTALIS</v>
      </c>
      <c r="C455" s="5" t="s">
        <v>226</v>
      </c>
      <c r="D455" s="5" t="s">
        <v>227</v>
      </c>
      <c r="E455" s="5" t="s">
        <v>1722</v>
      </c>
      <c r="F455" s="5">
        <v>5034562</v>
      </c>
      <c r="G455" s="5" t="s">
        <v>379</v>
      </c>
      <c r="H455" s="5" t="s">
        <v>30</v>
      </c>
      <c r="I455" s="5" t="s">
        <v>22</v>
      </c>
      <c r="J455" s="5" t="s">
        <v>156</v>
      </c>
      <c r="K455" s="6">
        <v>0</v>
      </c>
      <c r="L455" s="7">
        <v>0</v>
      </c>
      <c r="M455" s="8">
        <v>120</v>
      </c>
      <c r="N455" s="8">
        <v>0</v>
      </c>
      <c r="O455" s="8">
        <v>58.878685063368025</v>
      </c>
      <c r="P455" s="8">
        <v>0</v>
      </c>
      <c r="Q455" s="8">
        <v>0</v>
      </c>
      <c r="R455" s="8">
        <v>0</v>
      </c>
      <c r="S455" s="8">
        <v>0</v>
      </c>
      <c r="T455" s="5">
        <v>0</v>
      </c>
      <c r="U455" s="5">
        <v>0</v>
      </c>
      <c r="V455" s="5">
        <f>VLOOKUP(A455,Planilha1!B:E,4,0)</f>
        <v>0.37177548115779385</v>
      </c>
    </row>
    <row r="456" spans="1:22" x14ac:dyDescent="0.3">
      <c r="A456" t="str">
        <f t="shared" si="14"/>
        <v>LEITE UHTLACTALIS</v>
      </c>
      <c r="B456" t="str">
        <f t="shared" si="15"/>
        <v>5077482LEITE UHTLACTALIS</v>
      </c>
      <c r="C456" s="5" t="s">
        <v>226</v>
      </c>
      <c r="D456" s="5" t="s">
        <v>227</v>
      </c>
      <c r="E456" s="5" t="s">
        <v>1722</v>
      </c>
      <c r="F456" s="5">
        <v>5077482</v>
      </c>
      <c r="G456" s="5" t="s">
        <v>164</v>
      </c>
      <c r="H456" s="5" t="s">
        <v>30</v>
      </c>
      <c r="I456" s="5" t="s">
        <v>22</v>
      </c>
      <c r="J456" s="5" t="s">
        <v>156</v>
      </c>
      <c r="K456" s="6">
        <v>0</v>
      </c>
      <c r="L456" s="7">
        <v>1440</v>
      </c>
      <c r="M456" s="8">
        <v>300</v>
      </c>
      <c r="N456" s="8">
        <v>600</v>
      </c>
      <c r="O456" s="8">
        <v>261.67403287177262</v>
      </c>
      <c r="P456" s="8">
        <v>0</v>
      </c>
      <c r="Q456" s="8">
        <v>0</v>
      </c>
      <c r="R456" s="8">
        <v>0</v>
      </c>
      <c r="S456" s="8">
        <v>0</v>
      </c>
      <c r="T456" s="5">
        <v>0</v>
      </c>
      <c r="U456" s="5">
        <v>0</v>
      </c>
      <c r="V456" s="5">
        <f>VLOOKUP(A456,Planilha1!B:E,4,0)</f>
        <v>0.37177548115779385</v>
      </c>
    </row>
    <row r="457" spans="1:22" x14ac:dyDescent="0.3">
      <c r="A457" t="str">
        <f t="shared" si="14"/>
        <v>MANTEIGA 5KGLACTALIS</v>
      </c>
      <c r="B457" t="str">
        <f t="shared" si="15"/>
        <v>5115070MANTEIGA 5KGLACTALIS</v>
      </c>
      <c r="C457" s="5" t="s">
        <v>226</v>
      </c>
      <c r="D457" s="5" t="s">
        <v>227</v>
      </c>
      <c r="E457" s="5" t="s">
        <v>1722</v>
      </c>
      <c r="F457" s="5">
        <v>5115070</v>
      </c>
      <c r="G457" s="5" t="s">
        <v>381</v>
      </c>
      <c r="H457" s="5" t="s">
        <v>30</v>
      </c>
      <c r="I457" s="5" t="s">
        <v>22</v>
      </c>
      <c r="J457" s="5" t="s">
        <v>60</v>
      </c>
      <c r="K457" s="6">
        <v>0</v>
      </c>
      <c r="L457" s="7">
        <v>75</v>
      </c>
      <c r="M457" s="8">
        <v>191.66666666666666</v>
      </c>
      <c r="N457" s="8">
        <v>233.33333333333334</v>
      </c>
      <c r="O457" s="8">
        <v>219.14760582779635</v>
      </c>
      <c r="P457" s="8">
        <v>0</v>
      </c>
      <c r="Q457" s="8">
        <v>0</v>
      </c>
      <c r="R457" s="8">
        <v>0</v>
      </c>
      <c r="S457" s="8">
        <v>0</v>
      </c>
      <c r="T457" s="5">
        <v>220</v>
      </c>
      <c r="U457" s="5">
        <v>219</v>
      </c>
      <c r="V457" s="5">
        <f>VLOOKUP(A457,Planilha1!B:E,4,0)</f>
        <v>11.476197020267191</v>
      </c>
    </row>
    <row r="458" spans="1:22" x14ac:dyDescent="0.3">
      <c r="A458" t="str">
        <f t="shared" si="14"/>
        <v>LEITE UHTLACTALIS</v>
      </c>
      <c r="B458" t="str">
        <f t="shared" si="15"/>
        <v>5115070LEITE UHTLACTALIS</v>
      </c>
      <c r="C458" s="5" t="s">
        <v>226</v>
      </c>
      <c r="D458" s="5" t="s">
        <v>227</v>
      </c>
      <c r="E458" s="5" t="s">
        <v>1722</v>
      </c>
      <c r="F458" s="5">
        <v>5115070</v>
      </c>
      <c r="G458" s="5" t="s">
        <v>381</v>
      </c>
      <c r="H458" s="5" t="s">
        <v>30</v>
      </c>
      <c r="I458" s="5" t="s">
        <v>22</v>
      </c>
      <c r="J458" s="5" t="s">
        <v>156</v>
      </c>
      <c r="K458" s="6">
        <v>0</v>
      </c>
      <c r="L458" s="7">
        <v>0</v>
      </c>
      <c r="M458" s="8">
        <v>510</v>
      </c>
      <c r="N458" s="8">
        <v>300</v>
      </c>
      <c r="O458" s="8">
        <v>665.08438985524913</v>
      </c>
      <c r="P458" s="8">
        <v>0</v>
      </c>
      <c r="Q458" s="8">
        <v>0</v>
      </c>
      <c r="R458" s="8">
        <v>0</v>
      </c>
      <c r="S458" s="8">
        <v>0</v>
      </c>
      <c r="T458" s="5">
        <v>0</v>
      </c>
      <c r="U458" s="5">
        <v>0</v>
      </c>
      <c r="V458" s="5">
        <f>VLOOKUP(A458,Planilha1!B:E,4,0)</f>
        <v>0.37177548115779385</v>
      </c>
    </row>
    <row r="459" spans="1:22" x14ac:dyDescent="0.3">
      <c r="A459" t="str">
        <f t="shared" si="14"/>
        <v>PARMESÃOLACTALIS</v>
      </c>
      <c r="B459" t="str">
        <f t="shared" si="15"/>
        <v>5116958PARMESÃOLACTALIS</v>
      </c>
      <c r="C459" s="5" t="s">
        <v>226</v>
      </c>
      <c r="D459" s="5" t="s">
        <v>227</v>
      </c>
      <c r="E459" s="5" t="s">
        <v>1722</v>
      </c>
      <c r="F459" s="5">
        <v>5116958</v>
      </c>
      <c r="G459" s="5" t="s">
        <v>382</v>
      </c>
      <c r="H459" s="5" t="s">
        <v>30</v>
      </c>
      <c r="I459" s="5" t="s">
        <v>22</v>
      </c>
      <c r="J459" s="5" t="s">
        <v>195</v>
      </c>
      <c r="K459" s="6">
        <v>0</v>
      </c>
      <c r="L459" s="7">
        <v>0</v>
      </c>
      <c r="M459" s="8">
        <v>0</v>
      </c>
      <c r="N459" s="8">
        <v>0</v>
      </c>
      <c r="O459" s="8">
        <v>7.4823472894944683</v>
      </c>
      <c r="P459" s="8">
        <v>0</v>
      </c>
      <c r="Q459" s="8">
        <v>0</v>
      </c>
      <c r="R459" s="8">
        <v>0</v>
      </c>
      <c r="S459" s="8">
        <v>0</v>
      </c>
      <c r="T459" s="5">
        <v>14</v>
      </c>
      <c r="U459" s="5">
        <v>14</v>
      </c>
      <c r="V459" s="5">
        <f>VLOOKUP(A459,Planilha1!B:E,4,0)</f>
        <v>6.310326960724681</v>
      </c>
    </row>
    <row r="460" spans="1:22" x14ac:dyDescent="0.3">
      <c r="A460" t="str">
        <f t="shared" si="14"/>
        <v>BLISTERLACTALIS</v>
      </c>
      <c r="B460" t="str">
        <f t="shared" si="15"/>
        <v>5145301BLISTERLACTALIS</v>
      </c>
      <c r="C460" s="5" t="s">
        <v>226</v>
      </c>
      <c r="D460" s="5" t="s">
        <v>227</v>
      </c>
      <c r="E460" s="5" t="s">
        <v>1722</v>
      </c>
      <c r="F460" s="5">
        <v>5145301</v>
      </c>
      <c r="G460" s="5" t="s">
        <v>383</v>
      </c>
      <c r="H460" s="5" t="s">
        <v>30</v>
      </c>
      <c r="I460" s="5" t="s">
        <v>22</v>
      </c>
      <c r="J460" s="5" t="s">
        <v>199</v>
      </c>
      <c r="K460" s="6">
        <v>0</v>
      </c>
      <c r="L460" s="7">
        <v>0</v>
      </c>
      <c r="M460" s="8">
        <v>12.600000000000001</v>
      </c>
      <c r="N460" s="8">
        <v>10.24</v>
      </c>
      <c r="O460" s="8">
        <v>8.2847215132549845</v>
      </c>
      <c r="P460" s="8">
        <v>0</v>
      </c>
      <c r="Q460" s="8">
        <v>0</v>
      </c>
      <c r="R460" s="8">
        <v>0</v>
      </c>
      <c r="S460" s="8">
        <v>4</v>
      </c>
      <c r="T460" s="5">
        <v>8</v>
      </c>
      <c r="U460" s="5">
        <v>4</v>
      </c>
      <c r="V460" s="5">
        <f>VLOOKUP(A460,Planilha1!B:E,4,0)</f>
        <v>13.783871706210666</v>
      </c>
    </row>
    <row r="461" spans="1:22" x14ac:dyDescent="0.3">
      <c r="A461" t="str">
        <f t="shared" si="14"/>
        <v>LEITE UHTLACTALIS</v>
      </c>
      <c r="B461" t="str">
        <f t="shared" si="15"/>
        <v>5145301LEITE UHTLACTALIS</v>
      </c>
      <c r="C461" s="5" t="s">
        <v>226</v>
      </c>
      <c r="D461" s="5" t="s">
        <v>227</v>
      </c>
      <c r="E461" s="5" t="s">
        <v>1722</v>
      </c>
      <c r="F461" s="5">
        <v>5145301</v>
      </c>
      <c r="G461" s="5" t="s">
        <v>383</v>
      </c>
      <c r="H461" s="5" t="s">
        <v>30</v>
      </c>
      <c r="I461" s="5" t="s">
        <v>22</v>
      </c>
      <c r="J461" s="5" t="s">
        <v>156</v>
      </c>
      <c r="K461" s="6">
        <v>0</v>
      </c>
      <c r="L461" s="7">
        <v>0</v>
      </c>
      <c r="M461" s="8">
        <v>218</v>
      </c>
      <c r="N461" s="8">
        <v>176</v>
      </c>
      <c r="O461" s="8">
        <v>113.39192187837841</v>
      </c>
      <c r="P461" s="8">
        <v>0</v>
      </c>
      <c r="Q461" s="8">
        <v>144</v>
      </c>
      <c r="R461" s="8">
        <v>0</v>
      </c>
      <c r="S461" s="8">
        <v>0</v>
      </c>
      <c r="T461" s="5">
        <v>0</v>
      </c>
      <c r="U461" s="5">
        <v>0</v>
      </c>
      <c r="V461" s="5">
        <f>VLOOKUP(A461,Planilha1!B:E,4,0)</f>
        <v>0.37177548115779385</v>
      </c>
    </row>
    <row r="462" spans="1:22" x14ac:dyDescent="0.3">
      <c r="A462" t="str">
        <f t="shared" si="14"/>
        <v>LEITE UHTLACTALIS</v>
      </c>
      <c r="B462" t="str">
        <f t="shared" si="15"/>
        <v>5156239LEITE UHTLACTALIS</v>
      </c>
      <c r="C462" s="5" t="s">
        <v>226</v>
      </c>
      <c r="D462" s="5" t="s">
        <v>227</v>
      </c>
      <c r="E462" s="5" t="s">
        <v>1722</v>
      </c>
      <c r="F462" s="5">
        <v>5156239</v>
      </c>
      <c r="G462" s="5" t="s">
        <v>384</v>
      </c>
      <c r="H462" s="5" t="s">
        <v>30</v>
      </c>
      <c r="I462" s="5" t="s">
        <v>22</v>
      </c>
      <c r="J462" s="5" t="s">
        <v>156</v>
      </c>
      <c r="K462" s="6">
        <v>0</v>
      </c>
      <c r="L462" s="7">
        <v>0</v>
      </c>
      <c r="M462" s="8">
        <v>70</v>
      </c>
      <c r="N462" s="8">
        <v>100</v>
      </c>
      <c r="O462" s="8">
        <v>4.360677266665455</v>
      </c>
      <c r="P462" s="8">
        <v>0</v>
      </c>
      <c r="Q462" s="8">
        <v>24</v>
      </c>
      <c r="R462" s="8">
        <v>0</v>
      </c>
      <c r="S462" s="8">
        <v>0</v>
      </c>
      <c r="T462" s="5">
        <v>0</v>
      </c>
      <c r="U462" s="5">
        <v>0</v>
      </c>
      <c r="V462" s="5">
        <f>VLOOKUP(A462,Planilha1!B:E,4,0)</f>
        <v>0.37177548115779385</v>
      </c>
    </row>
    <row r="463" spans="1:22" x14ac:dyDescent="0.3">
      <c r="A463" t="str">
        <f t="shared" si="14"/>
        <v>LEITE UHTLACTALIS</v>
      </c>
      <c r="B463" t="str">
        <f t="shared" si="15"/>
        <v>5175073LEITE UHTLACTALIS</v>
      </c>
      <c r="C463" s="5" t="s">
        <v>226</v>
      </c>
      <c r="D463" s="5" t="s">
        <v>227</v>
      </c>
      <c r="E463" s="5" t="s">
        <v>1722</v>
      </c>
      <c r="F463" s="5">
        <v>5175073</v>
      </c>
      <c r="G463" s="5" t="s">
        <v>385</v>
      </c>
      <c r="H463" s="5" t="s">
        <v>30</v>
      </c>
      <c r="I463" s="5" t="s">
        <v>22</v>
      </c>
      <c r="J463" s="5" t="s">
        <v>156</v>
      </c>
      <c r="K463" s="6">
        <v>0</v>
      </c>
      <c r="L463" s="7">
        <v>180</v>
      </c>
      <c r="M463" s="8">
        <v>174</v>
      </c>
      <c r="N463" s="8">
        <v>0</v>
      </c>
      <c r="O463" s="8">
        <v>211.51670234173554</v>
      </c>
      <c r="P463" s="8">
        <v>0</v>
      </c>
      <c r="Q463" s="8">
        <v>0</v>
      </c>
      <c r="R463" s="8">
        <v>0</v>
      </c>
      <c r="S463" s="8">
        <v>0</v>
      </c>
      <c r="T463" s="5">
        <v>0</v>
      </c>
      <c r="U463" s="5">
        <v>0</v>
      </c>
      <c r="V463" s="5">
        <f>VLOOKUP(A463,Planilha1!B:E,4,0)</f>
        <v>0.37177548115779385</v>
      </c>
    </row>
    <row r="464" spans="1:22" x14ac:dyDescent="0.3">
      <c r="A464" t="str">
        <f t="shared" si="14"/>
        <v>BLISTERLACTALIS</v>
      </c>
      <c r="B464" t="str">
        <f t="shared" si="15"/>
        <v>5175512BLISTERLACTALIS</v>
      </c>
      <c r="C464" s="5" t="s">
        <v>226</v>
      </c>
      <c r="D464" s="5" t="s">
        <v>227</v>
      </c>
      <c r="E464" s="5" t="s">
        <v>1722</v>
      </c>
      <c r="F464" s="5">
        <v>5175512</v>
      </c>
      <c r="G464" s="5" t="s">
        <v>386</v>
      </c>
      <c r="H464" s="5" t="s">
        <v>30</v>
      </c>
      <c r="I464" s="5" t="s">
        <v>22</v>
      </c>
      <c r="J464" s="5" t="s">
        <v>199</v>
      </c>
      <c r="K464" s="6">
        <v>0</v>
      </c>
      <c r="L464" s="7">
        <v>11.76</v>
      </c>
      <c r="M464" s="8">
        <v>21.480000000000004</v>
      </c>
      <c r="N464" s="8">
        <v>19.759999999999998</v>
      </c>
      <c r="O464" s="8">
        <v>11.950025899963006</v>
      </c>
      <c r="P464" s="8">
        <v>0</v>
      </c>
      <c r="Q464" s="8">
        <v>5.76</v>
      </c>
      <c r="R464" s="8">
        <v>0</v>
      </c>
      <c r="S464" s="8">
        <v>14</v>
      </c>
      <c r="T464" s="5">
        <v>14</v>
      </c>
      <c r="U464" s="5">
        <v>12</v>
      </c>
      <c r="V464" s="5">
        <f>VLOOKUP(A464,Planilha1!B:E,4,0)</f>
        <v>13.783871706210666</v>
      </c>
    </row>
    <row r="465" spans="1:22" x14ac:dyDescent="0.3">
      <c r="A465" t="str">
        <f t="shared" si="14"/>
        <v>LEITE UHTLACTALIS</v>
      </c>
      <c r="B465" t="str">
        <f t="shared" si="15"/>
        <v>5175512LEITE UHTLACTALIS</v>
      </c>
      <c r="C465" s="5" t="s">
        <v>226</v>
      </c>
      <c r="D465" s="5" t="s">
        <v>227</v>
      </c>
      <c r="E465" s="5" t="s">
        <v>1722</v>
      </c>
      <c r="F465" s="5">
        <v>5175512</v>
      </c>
      <c r="G465" s="5" t="s">
        <v>386</v>
      </c>
      <c r="H465" s="5" t="s">
        <v>30</v>
      </c>
      <c r="I465" s="5" t="s">
        <v>22</v>
      </c>
      <c r="J465" s="5" t="s">
        <v>156</v>
      </c>
      <c r="K465" s="6">
        <v>0</v>
      </c>
      <c r="L465" s="7">
        <v>156</v>
      </c>
      <c r="M465" s="8">
        <v>314</v>
      </c>
      <c r="N465" s="8">
        <v>256</v>
      </c>
      <c r="O465" s="8">
        <v>191.88411267835662</v>
      </c>
      <c r="P465" s="8">
        <v>0</v>
      </c>
      <c r="Q465" s="8">
        <v>0</v>
      </c>
      <c r="R465" s="8">
        <v>0</v>
      </c>
      <c r="S465" s="8">
        <v>0</v>
      </c>
      <c r="T465" s="5">
        <v>0</v>
      </c>
      <c r="U465" s="5">
        <v>0</v>
      </c>
      <c r="V465" s="5">
        <f>VLOOKUP(A465,Planilha1!B:E,4,0)</f>
        <v>0.37177548115779385</v>
      </c>
    </row>
    <row r="466" spans="1:22" x14ac:dyDescent="0.3">
      <c r="A466" t="str">
        <f t="shared" si="14"/>
        <v>MANTEIGA 5KGLACTALIS</v>
      </c>
      <c r="B466" t="str">
        <f t="shared" si="15"/>
        <v>5179227MANTEIGA 5KGLACTALIS</v>
      </c>
      <c r="C466" s="5" t="s">
        <v>226</v>
      </c>
      <c r="D466" s="5" t="s">
        <v>227</v>
      </c>
      <c r="E466" s="5" t="s">
        <v>1722</v>
      </c>
      <c r="F466" s="5">
        <v>5179227</v>
      </c>
      <c r="G466" s="5" t="s">
        <v>387</v>
      </c>
      <c r="H466" s="5" t="s">
        <v>30</v>
      </c>
      <c r="I466" s="5" t="s">
        <v>22</v>
      </c>
      <c r="J466" s="5" t="s">
        <v>60</v>
      </c>
      <c r="K466" s="6">
        <v>0</v>
      </c>
      <c r="L466" s="7">
        <v>25</v>
      </c>
      <c r="M466" s="8">
        <v>10.833333333333334</v>
      </c>
      <c r="N466" s="8">
        <v>0</v>
      </c>
      <c r="O466" s="8">
        <v>136.7406558568029</v>
      </c>
      <c r="P466" s="8">
        <v>0</v>
      </c>
      <c r="Q466" s="8">
        <v>0</v>
      </c>
      <c r="R466" s="8">
        <v>0</v>
      </c>
      <c r="S466" s="8">
        <v>0</v>
      </c>
      <c r="T466" s="5">
        <v>140</v>
      </c>
      <c r="U466" s="5">
        <v>137</v>
      </c>
      <c r="V466" s="5">
        <f>VLOOKUP(A466,Planilha1!B:E,4,0)</f>
        <v>11.476197020267191</v>
      </c>
    </row>
    <row r="467" spans="1:22" x14ac:dyDescent="0.3">
      <c r="A467" t="str">
        <f t="shared" si="14"/>
        <v>MANTEIGA 5KGLACTALIS</v>
      </c>
      <c r="B467" t="str">
        <f t="shared" si="15"/>
        <v>5182399MANTEIGA 5KGLACTALIS</v>
      </c>
      <c r="C467" s="5" t="s">
        <v>226</v>
      </c>
      <c r="D467" s="5" t="s">
        <v>227</v>
      </c>
      <c r="E467" s="5" t="s">
        <v>1722</v>
      </c>
      <c r="F467" s="5">
        <v>5182399</v>
      </c>
      <c r="G467" s="5" t="s">
        <v>272</v>
      </c>
      <c r="H467" s="5" t="s">
        <v>30</v>
      </c>
      <c r="I467" s="5" t="s">
        <v>22</v>
      </c>
      <c r="J467" s="5" t="s">
        <v>60</v>
      </c>
      <c r="K467" s="6">
        <v>0</v>
      </c>
      <c r="L467" s="7">
        <v>10</v>
      </c>
      <c r="M467" s="8">
        <v>2.5</v>
      </c>
      <c r="N467" s="8">
        <v>1.6666666666666667</v>
      </c>
      <c r="O467" s="8">
        <v>5.2535141501521885</v>
      </c>
      <c r="P467" s="8">
        <v>0</v>
      </c>
      <c r="Q467" s="8">
        <v>0</v>
      </c>
      <c r="R467" s="8">
        <v>0</v>
      </c>
      <c r="S467" s="8">
        <v>0</v>
      </c>
      <c r="T467" s="5">
        <v>0</v>
      </c>
      <c r="U467" s="5">
        <v>0</v>
      </c>
      <c r="V467" s="5">
        <f>VLOOKUP(A467,Planilha1!B:E,4,0)</f>
        <v>11.476197020267191</v>
      </c>
    </row>
    <row r="468" spans="1:22" x14ac:dyDescent="0.3">
      <c r="A468" t="str">
        <f t="shared" si="14"/>
        <v>LEITE UHTLACTALIS</v>
      </c>
      <c r="B468" t="str">
        <f t="shared" si="15"/>
        <v>5182399LEITE UHTLACTALIS</v>
      </c>
      <c r="C468" s="5" t="s">
        <v>226</v>
      </c>
      <c r="D468" s="5" t="s">
        <v>227</v>
      </c>
      <c r="E468" s="5" t="s">
        <v>1722</v>
      </c>
      <c r="F468" s="5">
        <v>5182399</v>
      </c>
      <c r="G468" s="5" t="s">
        <v>272</v>
      </c>
      <c r="H468" s="5" t="s">
        <v>30</v>
      </c>
      <c r="I468" s="5" t="s">
        <v>22</v>
      </c>
      <c r="J468" s="5" t="s">
        <v>156</v>
      </c>
      <c r="K468" s="6">
        <v>0</v>
      </c>
      <c r="L468" s="7">
        <v>216</v>
      </c>
      <c r="M468" s="8">
        <v>46</v>
      </c>
      <c r="N468" s="8">
        <v>92</v>
      </c>
      <c r="O468" s="8">
        <v>10.90646414835583</v>
      </c>
      <c r="P468" s="8">
        <v>0</v>
      </c>
      <c r="Q468" s="8">
        <v>0</v>
      </c>
      <c r="R468" s="8">
        <v>0</v>
      </c>
      <c r="S468" s="8">
        <v>0</v>
      </c>
      <c r="T468" s="5">
        <v>0</v>
      </c>
      <c r="U468" s="5">
        <v>0</v>
      </c>
      <c r="V468" s="5">
        <f>VLOOKUP(A468,Planilha1!B:E,4,0)</f>
        <v>0.37177548115779385</v>
      </c>
    </row>
    <row r="469" spans="1:22" x14ac:dyDescent="0.3">
      <c r="A469" t="str">
        <f t="shared" si="14"/>
        <v>CREME 35%LACTALIS</v>
      </c>
      <c r="B469" t="str">
        <f t="shared" si="15"/>
        <v>5185158CREME 35%LACTALIS</v>
      </c>
      <c r="C469" s="5" t="s">
        <v>226</v>
      </c>
      <c r="D469" s="5" t="s">
        <v>227</v>
      </c>
      <c r="E469" s="5" t="s">
        <v>1722</v>
      </c>
      <c r="F469" s="5">
        <v>5185158</v>
      </c>
      <c r="G469" s="5" t="s">
        <v>388</v>
      </c>
      <c r="H469" s="5" t="s">
        <v>30</v>
      </c>
      <c r="I469" s="5" t="s">
        <v>22</v>
      </c>
      <c r="J469" s="5" t="s">
        <v>89</v>
      </c>
      <c r="K469" s="6">
        <v>0</v>
      </c>
      <c r="L469" s="7">
        <v>40</v>
      </c>
      <c r="M469" s="8">
        <v>56.666666666666671</v>
      </c>
      <c r="N469" s="8">
        <v>53.333333333333336</v>
      </c>
      <c r="O469" s="8">
        <v>81.964030744274993</v>
      </c>
      <c r="P469" s="8">
        <v>0</v>
      </c>
      <c r="Q469" s="8">
        <v>60</v>
      </c>
      <c r="R469" s="8">
        <v>0</v>
      </c>
      <c r="S469" s="8">
        <v>0</v>
      </c>
      <c r="T469" s="5">
        <v>0</v>
      </c>
      <c r="U469" s="5">
        <v>0</v>
      </c>
      <c r="V469" s="5">
        <f>VLOOKUP(A469,Planilha1!B:E,4,0)</f>
        <v>6.4420264254159507</v>
      </c>
    </row>
    <row r="470" spans="1:22" x14ac:dyDescent="0.3">
      <c r="A470" t="str">
        <f t="shared" si="14"/>
        <v>MANTEIGA 5KGLACTALIS</v>
      </c>
      <c r="B470" t="str">
        <f t="shared" si="15"/>
        <v>5185158MANTEIGA 5KGLACTALIS</v>
      </c>
      <c r="C470" s="5" t="s">
        <v>226</v>
      </c>
      <c r="D470" s="5" t="s">
        <v>227</v>
      </c>
      <c r="E470" s="5" t="s">
        <v>1722</v>
      </c>
      <c r="F470" s="5">
        <v>5185158</v>
      </c>
      <c r="G470" s="5" t="s">
        <v>388</v>
      </c>
      <c r="H470" s="5" t="s">
        <v>30</v>
      </c>
      <c r="I470" s="5" t="s">
        <v>22</v>
      </c>
      <c r="J470" s="5" t="s">
        <v>60</v>
      </c>
      <c r="K470" s="6">
        <v>0</v>
      </c>
      <c r="L470" s="7">
        <v>575</v>
      </c>
      <c r="M470" s="8">
        <v>412.5</v>
      </c>
      <c r="N470" s="8">
        <v>600</v>
      </c>
      <c r="O470" s="8">
        <v>298.04984338197653</v>
      </c>
      <c r="P470" s="8">
        <v>0</v>
      </c>
      <c r="Q470" s="8">
        <v>150</v>
      </c>
      <c r="R470" s="8">
        <v>0</v>
      </c>
      <c r="S470" s="8">
        <v>300</v>
      </c>
      <c r="T470" s="5">
        <v>300</v>
      </c>
      <c r="U470" s="5">
        <v>150</v>
      </c>
      <c r="V470" s="5">
        <f>VLOOKUP(A470,Planilha1!B:E,4,0)</f>
        <v>11.476197020267191</v>
      </c>
    </row>
    <row r="471" spans="1:22" x14ac:dyDescent="0.3">
      <c r="A471" t="str">
        <f t="shared" si="14"/>
        <v>LEITE UHTLACTALIS</v>
      </c>
      <c r="B471" t="str">
        <f t="shared" si="15"/>
        <v>5185158LEITE UHTLACTALIS</v>
      </c>
      <c r="C471" s="5" t="s">
        <v>226</v>
      </c>
      <c r="D471" s="5" t="s">
        <v>227</v>
      </c>
      <c r="E471" s="5" t="s">
        <v>1722</v>
      </c>
      <c r="F471" s="5">
        <v>5185158</v>
      </c>
      <c r="G471" s="5" t="s">
        <v>388</v>
      </c>
      <c r="H471" s="5" t="s">
        <v>30</v>
      </c>
      <c r="I471" s="5" t="s">
        <v>22</v>
      </c>
      <c r="J471" s="5" t="s">
        <v>156</v>
      </c>
      <c r="K471" s="6">
        <v>0</v>
      </c>
      <c r="L471" s="7">
        <v>360</v>
      </c>
      <c r="M471" s="8">
        <v>586</v>
      </c>
      <c r="N471" s="8">
        <v>700</v>
      </c>
      <c r="O471" s="8">
        <v>605.11314998436865</v>
      </c>
      <c r="P471" s="8">
        <v>0</v>
      </c>
      <c r="Q471" s="8">
        <v>0</v>
      </c>
      <c r="R471" s="8">
        <v>0</v>
      </c>
      <c r="S471" s="8">
        <v>0</v>
      </c>
      <c r="T471" s="5">
        <v>0</v>
      </c>
      <c r="U471" s="5">
        <v>0</v>
      </c>
      <c r="V471" s="5">
        <f>VLOOKUP(A471,Planilha1!B:E,4,0)</f>
        <v>0.37177548115779385</v>
      </c>
    </row>
    <row r="472" spans="1:22" x14ac:dyDescent="0.3">
      <c r="A472" t="str">
        <f t="shared" si="14"/>
        <v>BLISTERLACTALIS</v>
      </c>
      <c r="B472" t="str">
        <f t="shared" si="15"/>
        <v>5188667BLISTERLACTALIS</v>
      </c>
      <c r="C472" s="5" t="s">
        <v>226</v>
      </c>
      <c r="D472" s="5" t="s">
        <v>227</v>
      </c>
      <c r="E472" s="5" t="s">
        <v>1722</v>
      </c>
      <c r="F472" s="5">
        <v>5188667</v>
      </c>
      <c r="G472" s="5" t="s">
        <v>389</v>
      </c>
      <c r="H472" s="5" t="s">
        <v>30</v>
      </c>
      <c r="I472" s="5" t="s">
        <v>22</v>
      </c>
      <c r="J472" s="5" t="s">
        <v>199</v>
      </c>
      <c r="K472" s="6">
        <v>0</v>
      </c>
      <c r="L472" s="7">
        <v>0</v>
      </c>
      <c r="M472" s="8">
        <v>3.2</v>
      </c>
      <c r="N472" s="8">
        <v>3.1999999999999997</v>
      </c>
      <c r="O472" s="8">
        <v>1.8515455149349798</v>
      </c>
      <c r="P472" s="8">
        <v>0</v>
      </c>
      <c r="Q472" s="8">
        <v>0</v>
      </c>
      <c r="R472" s="8">
        <v>0</v>
      </c>
      <c r="S472" s="8">
        <v>0</v>
      </c>
      <c r="T472" s="5">
        <v>0</v>
      </c>
      <c r="U472" s="5">
        <v>0</v>
      </c>
      <c r="V472" s="5">
        <f>VLOOKUP(A472,Planilha1!B:E,4,0)</f>
        <v>13.783871706210666</v>
      </c>
    </row>
    <row r="473" spans="1:22" x14ac:dyDescent="0.3">
      <c r="A473" t="str">
        <f t="shared" si="14"/>
        <v>LEITE UHTLACTALIS</v>
      </c>
      <c r="B473" t="str">
        <f t="shared" si="15"/>
        <v>5188667LEITE UHTLACTALIS</v>
      </c>
      <c r="C473" s="5" t="s">
        <v>226</v>
      </c>
      <c r="D473" s="5" t="s">
        <v>227</v>
      </c>
      <c r="E473" s="5" t="s">
        <v>1722</v>
      </c>
      <c r="F473" s="5">
        <v>5188667</v>
      </c>
      <c r="G473" s="5" t="s">
        <v>389</v>
      </c>
      <c r="H473" s="5" t="s">
        <v>30</v>
      </c>
      <c r="I473" s="5" t="s">
        <v>22</v>
      </c>
      <c r="J473" s="5" t="s">
        <v>156</v>
      </c>
      <c r="K473" s="6">
        <v>0</v>
      </c>
      <c r="L473" s="7">
        <v>240</v>
      </c>
      <c r="M473" s="8">
        <v>70</v>
      </c>
      <c r="N473" s="8">
        <v>20</v>
      </c>
      <c r="O473" s="8">
        <v>109.03124461171295</v>
      </c>
      <c r="P473" s="8">
        <v>0</v>
      </c>
      <c r="Q473" s="8">
        <v>0</v>
      </c>
      <c r="R473" s="8">
        <v>0</v>
      </c>
      <c r="S473" s="8">
        <v>0</v>
      </c>
      <c r="T473" s="5">
        <v>0</v>
      </c>
      <c r="U473" s="5">
        <v>0</v>
      </c>
      <c r="V473" s="5">
        <f>VLOOKUP(A473,Planilha1!B:E,4,0)</f>
        <v>0.37177548115779385</v>
      </c>
    </row>
    <row r="474" spans="1:22" x14ac:dyDescent="0.3">
      <c r="A474" t="str">
        <f t="shared" si="14"/>
        <v>CREME 35%LACTALIS</v>
      </c>
      <c r="B474" t="str">
        <f t="shared" si="15"/>
        <v>5192442CREME 35%LACTALIS</v>
      </c>
      <c r="C474" s="5" t="s">
        <v>226</v>
      </c>
      <c r="D474" s="5" t="s">
        <v>227</v>
      </c>
      <c r="E474" s="5" t="s">
        <v>1722</v>
      </c>
      <c r="F474" s="5">
        <v>5192442</v>
      </c>
      <c r="G474" s="5" t="s">
        <v>390</v>
      </c>
      <c r="H474" s="5" t="s">
        <v>30</v>
      </c>
      <c r="I474" s="5" t="s">
        <v>22</v>
      </c>
      <c r="J474" s="5" t="s">
        <v>89</v>
      </c>
      <c r="K474" s="6">
        <v>0</v>
      </c>
      <c r="L474" s="7">
        <v>140</v>
      </c>
      <c r="M474" s="8">
        <v>96.666666666666671</v>
      </c>
      <c r="N474" s="8">
        <v>66.666666666666671</v>
      </c>
      <c r="O474" s="8">
        <v>68.308335518877868</v>
      </c>
      <c r="P474" s="8">
        <v>0</v>
      </c>
      <c r="Q474" s="8">
        <v>200</v>
      </c>
      <c r="R474" s="8">
        <v>0</v>
      </c>
      <c r="S474" s="8">
        <v>0</v>
      </c>
      <c r="T474" s="5">
        <v>0</v>
      </c>
      <c r="U474" s="5">
        <v>0</v>
      </c>
      <c r="V474" s="5">
        <f>VLOOKUP(A474,Planilha1!B:E,4,0)</f>
        <v>6.4420264254159507</v>
      </c>
    </row>
    <row r="475" spans="1:22" x14ac:dyDescent="0.3">
      <c r="A475" t="str">
        <f t="shared" si="14"/>
        <v>MANTEIGA 5KGLACTALIS</v>
      </c>
      <c r="B475" t="str">
        <f t="shared" si="15"/>
        <v>5192442MANTEIGA 5KGLACTALIS</v>
      </c>
      <c r="C475" s="5" t="s">
        <v>226</v>
      </c>
      <c r="D475" s="5" t="s">
        <v>227</v>
      </c>
      <c r="E475" s="5" t="s">
        <v>1722</v>
      </c>
      <c r="F475" s="5">
        <v>5192442</v>
      </c>
      <c r="G475" s="5" t="s">
        <v>390</v>
      </c>
      <c r="H475" s="5" t="s">
        <v>30</v>
      </c>
      <c r="I475" s="5" t="s">
        <v>22</v>
      </c>
      <c r="J475" s="5" t="s">
        <v>60</v>
      </c>
      <c r="K475" s="6">
        <v>0</v>
      </c>
      <c r="L475" s="7">
        <v>0</v>
      </c>
      <c r="M475" s="8">
        <v>9.1666666666666679</v>
      </c>
      <c r="N475" s="8">
        <v>5</v>
      </c>
      <c r="O475" s="8">
        <v>15.774760350727615</v>
      </c>
      <c r="P475" s="8">
        <v>0</v>
      </c>
      <c r="Q475" s="8">
        <v>0</v>
      </c>
      <c r="R475" s="8">
        <v>0</v>
      </c>
      <c r="S475" s="8">
        <v>0</v>
      </c>
      <c r="T475" s="5">
        <v>0</v>
      </c>
      <c r="U475" s="5">
        <v>16</v>
      </c>
      <c r="V475" s="5">
        <f>VLOOKUP(A475,Planilha1!B:E,4,0)</f>
        <v>11.476197020267191</v>
      </c>
    </row>
    <row r="476" spans="1:22" x14ac:dyDescent="0.3">
      <c r="A476" t="str">
        <f t="shared" si="14"/>
        <v>LEITE UHTLACTALIS</v>
      </c>
      <c r="B476" t="str">
        <f t="shared" si="15"/>
        <v>5197956LEITE UHTLACTALIS</v>
      </c>
      <c r="C476" s="5" t="s">
        <v>226</v>
      </c>
      <c r="D476" s="5" t="s">
        <v>227</v>
      </c>
      <c r="E476" s="5" t="s">
        <v>1722</v>
      </c>
      <c r="F476" s="5">
        <v>5197956</v>
      </c>
      <c r="G476" s="5" t="s">
        <v>391</v>
      </c>
      <c r="H476" s="5" t="s">
        <v>30</v>
      </c>
      <c r="I476" s="5" t="s">
        <v>22</v>
      </c>
      <c r="J476" s="5" t="s">
        <v>156</v>
      </c>
      <c r="K476" s="6">
        <v>0</v>
      </c>
      <c r="L476" s="7">
        <v>0</v>
      </c>
      <c r="M476" s="8">
        <v>30</v>
      </c>
      <c r="N476" s="8">
        <v>0</v>
      </c>
      <c r="O476" s="8">
        <v>76.321394130029844</v>
      </c>
      <c r="P476" s="8">
        <v>0</v>
      </c>
      <c r="Q476" s="8">
        <v>0</v>
      </c>
      <c r="R476" s="8">
        <v>0</v>
      </c>
      <c r="S476" s="8">
        <v>0</v>
      </c>
      <c r="T476" s="5">
        <v>0</v>
      </c>
      <c r="U476" s="5">
        <v>0</v>
      </c>
      <c r="V476" s="5">
        <f>VLOOKUP(A476,Planilha1!B:E,4,0)</f>
        <v>0.37177548115779385</v>
      </c>
    </row>
    <row r="477" spans="1:22" x14ac:dyDescent="0.3">
      <c r="A477" t="str">
        <f t="shared" si="14"/>
        <v>LEITE UHTLACTALIS</v>
      </c>
      <c r="B477" t="str">
        <f t="shared" si="15"/>
        <v>5210128LEITE UHTLACTALIS</v>
      </c>
      <c r="C477" s="5" t="s">
        <v>226</v>
      </c>
      <c r="D477" s="5" t="s">
        <v>227</v>
      </c>
      <c r="E477" s="5" t="s">
        <v>1722</v>
      </c>
      <c r="F477" s="5">
        <v>5210128</v>
      </c>
      <c r="G477" s="5" t="s">
        <v>392</v>
      </c>
      <c r="H477" s="5" t="s">
        <v>30</v>
      </c>
      <c r="I477" s="5" t="s">
        <v>22</v>
      </c>
      <c r="J477" s="5" t="s">
        <v>156</v>
      </c>
      <c r="K477" s="6">
        <v>0</v>
      </c>
      <c r="L477" s="7">
        <v>240</v>
      </c>
      <c r="M477" s="8">
        <v>250</v>
      </c>
      <c r="N477" s="8">
        <v>280</v>
      </c>
      <c r="O477" s="8">
        <v>63.244133311725676</v>
      </c>
      <c r="P477" s="8">
        <v>0</v>
      </c>
      <c r="Q477" s="8">
        <v>0</v>
      </c>
      <c r="R477" s="8">
        <v>0</v>
      </c>
      <c r="S477" s="8">
        <v>0</v>
      </c>
      <c r="T477" s="5">
        <v>0</v>
      </c>
      <c r="U477" s="5">
        <v>0</v>
      </c>
      <c r="V477" s="5">
        <f>VLOOKUP(A477,Planilha1!B:E,4,0)</f>
        <v>0.37177548115779385</v>
      </c>
    </row>
    <row r="478" spans="1:22" x14ac:dyDescent="0.3">
      <c r="A478" t="str">
        <f t="shared" si="14"/>
        <v>CREME 35%LACTALIS</v>
      </c>
      <c r="B478" t="str">
        <f t="shared" si="15"/>
        <v>5221085CREME 35%LACTALIS</v>
      </c>
      <c r="C478" s="5" t="s">
        <v>226</v>
      </c>
      <c r="D478" s="5" t="s">
        <v>227</v>
      </c>
      <c r="E478" s="5" t="s">
        <v>1722</v>
      </c>
      <c r="F478" s="5">
        <v>5221085</v>
      </c>
      <c r="G478" s="5" t="s">
        <v>393</v>
      </c>
      <c r="H478" s="5" t="s">
        <v>30</v>
      </c>
      <c r="I478" s="5" t="s">
        <v>22</v>
      </c>
      <c r="J478" s="5" t="s">
        <v>89</v>
      </c>
      <c r="K478" s="6">
        <v>0</v>
      </c>
      <c r="L478" s="7">
        <v>0</v>
      </c>
      <c r="M478" s="8">
        <v>100</v>
      </c>
      <c r="N478" s="8">
        <v>66.666666666666671</v>
      </c>
      <c r="O478" s="8">
        <v>532.7711764031028</v>
      </c>
      <c r="P478" s="8">
        <v>0</v>
      </c>
      <c r="Q478" s="8">
        <v>0</v>
      </c>
      <c r="R478" s="8">
        <v>0</v>
      </c>
      <c r="S478" s="8">
        <v>0</v>
      </c>
      <c r="T478" s="5">
        <v>0</v>
      </c>
      <c r="U478" s="5">
        <v>0</v>
      </c>
      <c r="V478" s="5">
        <f>VLOOKUP(A478,Planilha1!B:E,4,0)</f>
        <v>6.4420264254159507</v>
      </c>
    </row>
    <row r="479" spans="1:22" x14ac:dyDescent="0.3">
      <c r="A479" t="str">
        <f t="shared" si="14"/>
        <v>MANTEIGA 5KGLACTALIS</v>
      </c>
      <c r="B479" t="str">
        <f t="shared" si="15"/>
        <v>5221085MANTEIGA 5KGLACTALIS</v>
      </c>
      <c r="C479" s="5" t="s">
        <v>226</v>
      </c>
      <c r="D479" s="5" t="s">
        <v>227</v>
      </c>
      <c r="E479" s="5" t="s">
        <v>1722</v>
      </c>
      <c r="F479" s="5">
        <v>5221085</v>
      </c>
      <c r="G479" s="5" t="s">
        <v>393</v>
      </c>
      <c r="H479" s="5" t="s">
        <v>30</v>
      </c>
      <c r="I479" s="5" t="s">
        <v>22</v>
      </c>
      <c r="J479" s="5" t="s">
        <v>60</v>
      </c>
      <c r="K479" s="6">
        <v>0</v>
      </c>
      <c r="L479" s="7">
        <v>0</v>
      </c>
      <c r="M479" s="8">
        <v>0</v>
      </c>
      <c r="N479" s="8">
        <v>0</v>
      </c>
      <c r="O479" s="8">
        <v>10.521246200575426</v>
      </c>
      <c r="P479" s="8">
        <v>0</v>
      </c>
      <c r="Q479" s="8">
        <v>0</v>
      </c>
      <c r="R479" s="8">
        <v>0</v>
      </c>
      <c r="S479" s="8">
        <v>0</v>
      </c>
      <c r="T479" s="5">
        <v>15</v>
      </c>
      <c r="U479" s="5">
        <v>11</v>
      </c>
      <c r="V479" s="5">
        <f>VLOOKUP(A479,Planilha1!B:E,4,0)</f>
        <v>11.476197020267191</v>
      </c>
    </row>
    <row r="480" spans="1:22" x14ac:dyDescent="0.3">
      <c r="A480" t="str">
        <f t="shared" si="14"/>
        <v>LEITE UHTLACTALIS</v>
      </c>
      <c r="B480" t="str">
        <f t="shared" si="15"/>
        <v>5222398LEITE UHTLACTALIS</v>
      </c>
      <c r="C480" s="5" t="s">
        <v>226</v>
      </c>
      <c r="D480" s="5" t="s">
        <v>227</v>
      </c>
      <c r="E480" s="5" t="s">
        <v>1722</v>
      </c>
      <c r="F480" s="5">
        <v>5222398</v>
      </c>
      <c r="G480" s="5" t="s">
        <v>394</v>
      </c>
      <c r="H480" s="5" t="s">
        <v>30</v>
      </c>
      <c r="I480" s="5" t="s">
        <v>22</v>
      </c>
      <c r="J480" s="5" t="s">
        <v>156</v>
      </c>
      <c r="K480" s="6">
        <v>0</v>
      </c>
      <c r="L480" s="7">
        <v>0</v>
      </c>
      <c r="M480" s="8">
        <v>102</v>
      </c>
      <c r="N480" s="8">
        <v>84</v>
      </c>
      <c r="O480" s="8">
        <v>61.054252715008559</v>
      </c>
      <c r="P480" s="8">
        <v>0</v>
      </c>
      <c r="Q480" s="8">
        <v>0</v>
      </c>
      <c r="R480" s="8">
        <v>0</v>
      </c>
      <c r="S480" s="8">
        <v>0</v>
      </c>
      <c r="T480" s="5">
        <v>0</v>
      </c>
      <c r="U480" s="5">
        <v>0</v>
      </c>
      <c r="V480" s="5">
        <f>VLOOKUP(A480,Planilha1!B:E,4,0)</f>
        <v>0.37177548115779385</v>
      </c>
    </row>
    <row r="481" spans="1:22" x14ac:dyDescent="0.3">
      <c r="A481" t="str">
        <f t="shared" si="14"/>
        <v>BLISTERLACTALIS</v>
      </c>
      <c r="B481" t="str">
        <f t="shared" si="15"/>
        <v>5247932BLISTERLACTALIS</v>
      </c>
      <c r="C481" s="5" t="s">
        <v>226</v>
      </c>
      <c r="D481" s="5" t="s">
        <v>227</v>
      </c>
      <c r="E481" s="5" t="s">
        <v>1722</v>
      </c>
      <c r="F481" s="5">
        <v>5247932</v>
      </c>
      <c r="G481" s="5" t="s">
        <v>395</v>
      </c>
      <c r="H481" s="5" t="s">
        <v>30</v>
      </c>
      <c r="I481" s="5" t="s">
        <v>22</v>
      </c>
      <c r="J481" s="5" t="s">
        <v>199</v>
      </c>
      <c r="K481" s="6">
        <v>0</v>
      </c>
      <c r="L481" s="7">
        <v>28.56</v>
      </c>
      <c r="M481" s="8">
        <v>23.96</v>
      </c>
      <c r="N481" s="8">
        <v>29.839999999999996</v>
      </c>
      <c r="O481" s="8">
        <v>8.6153546409219466</v>
      </c>
      <c r="P481" s="8">
        <v>0</v>
      </c>
      <c r="Q481" s="8">
        <v>0</v>
      </c>
      <c r="R481" s="8">
        <v>0</v>
      </c>
      <c r="S481" s="8">
        <v>20</v>
      </c>
      <c r="T481" s="5">
        <v>20</v>
      </c>
      <c r="U481" s="5">
        <v>20</v>
      </c>
      <c r="V481" s="5">
        <f>VLOOKUP(A481,Planilha1!B:E,4,0)</f>
        <v>13.783871706210666</v>
      </c>
    </row>
    <row r="482" spans="1:22" x14ac:dyDescent="0.3">
      <c r="A482" t="str">
        <f t="shared" si="14"/>
        <v>LEITE UHTLACTALIS</v>
      </c>
      <c r="B482" t="str">
        <f t="shared" si="15"/>
        <v>5248121LEITE UHTLACTALIS</v>
      </c>
      <c r="C482" s="5" t="s">
        <v>226</v>
      </c>
      <c r="D482" s="5" t="s">
        <v>227</v>
      </c>
      <c r="E482" s="5" t="s">
        <v>1722</v>
      </c>
      <c r="F482" s="5">
        <v>5248121</v>
      </c>
      <c r="G482" s="5" t="s">
        <v>396</v>
      </c>
      <c r="H482" s="5" t="s">
        <v>30</v>
      </c>
      <c r="I482" s="5" t="s">
        <v>22</v>
      </c>
      <c r="J482" s="5" t="s">
        <v>156</v>
      </c>
      <c r="K482" s="6">
        <v>0</v>
      </c>
      <c r="L482" s="7">
        <v>288</v>
      </c>
      <c r="M482" s="8">
        <v>218</v>
      </c>
      <c r="N482" s="8">
        <v>80</v>
      </c>
      <c r="O482" s="8">
        <v>119.93293777837658</v>
      </c>
      <c r="P482" s="8">
        <v>0</v>
      </c>
      <c r="Q482" s="8">
        <v>0</v>
      </c>
      <c r="R482" s="8">
        <v>0</v>
      </c>
      <c r="S482" s="8">
        <v>0</v>
      </c>
      <c r="T482" s="5">
        <v>0</v>
      </c>
      <c r="U482" s="5">
        <v>0</v>
      </c>
      <c r="V482" s="5">
        <f>VLOOKUP(A482,Planilha1!B:E,4,0)</f>
        <v>0.37177548115779385</v>
      </c>
    </row>
    <row r="483" spans="1:22" x14ac:dyDescent="0.3">
      <c r="A483" t="str">
        <f t="shared" si="14"/>
        <v>LEITE UHTLACTALIS</v>
      </c>
      <c r="B483" t="str">
        <f t="shared" si="15"/>
        <v>5248235LEITE UHTLACTALIS</v>
      </c>
      <c r="C483" s="5" t="s">
        <v>226</v>
      </c>
      <c r="D483" s="5" t="s">
        <v>227</v>
      </c>
      <c r="E483" s="5" t="s">
        <v>1722</v>
      </c>
      <c r="F483" s="5">
        <v>5248235</v>
      </c>
      <c r="G483" s="5" t="s">
        <v>272</v>
      </c>
      <c r="H483" s="5" t="s">
        <v>30</v>
      </c>
      <c r="I483" s="5" t="s">
        <v>22</v>
      </c>
      <c r="J483" s="5" t="s">
        <v>156</v>
      </c>
      <c r="K483" s="6">
        <v>0</v>
      </c>
      <c r="L483" s="7">
        <v>24</v>
      </c>
      <c r="M483" s="8">
        <v>18</v>
      </c>
      <c r="N483" s="8">
        <v>20</v>
      </c>
      <c r="O483" s="8">
        <v>6.5410158999981824</v>
      </c>
      <c r="P483" s="8">
        <v>0</v>
      </c>
      <c r="Q483" s="8">
        <v>0</v>
      </c>
      <c r="R483" s="8">
        <v>0</v>
      </c>
      <c r="S483" s="8">
        <v>0</v>
      </c>
      <c r="T483" s="5">
        <v>0</v>
      </c>
      <c r="U483" s="5">
        <v>0</v>
      </c>
      <c r="V483" s="5">
        <f>VLOOKUP(A483,Planilha1!B:E,4,0)</f>
        <v>0.37177548115779385</v>
      </c>
    </row>
    <row r="484" spans="1:22" x14ac:dyDescent="0.3">
      <c r="A484" t="str">
        <f t="shared" si="14"/>
        <v>PARMESÃOLACTALIS</v>
      </c>
      <c r="B484" t="str">
        <f t="shared" si="15"/>
        <v>5248463PARMESÃOLACTALIS</v>
      </c>
      <c r="C484" s="5" t="s">
        <v>226</v>
      </c>
      <c r="D484" s="5" t="s">
        <v>227</v>
      </c>
      <c r="E484" s="5" t="s">
        <v>1722</v>
      </c>
      <c r="F484" s="5">
        <v>5248463</v>
      </c>
      <c r="G484" s="5" t="s">
        <v>397</v>
      </c>
      <c r="H484" s="5" t="s">
        <v>30</v>
      </c>
      <c r="I484" s="5" t="s">
        <v>22</v>
      </c>
      <c r="J484" s="5" t="s">
        <v>195</v>
      </c>
      <c r="K484" s="6">
        <v>0</v>
      </c>
      <c r="L484" s="7">
        <v>0</v>
      </c>
      <c r="M484" s="8">
        <v>18.456666666666667</v>
      </c>
      <c r="N484" s="8">
        <v>18.076666666666664</v>
      </c>
      <c r="O484" s="8">
        <v>22.12140064124527</v>
      </c>
      <c r="P484" s="8">
        <v>0</v>
      </c>
      <c r="Q484" s="8">
        <v>0</v>
      </c>
      <c r="R484" s="8">
        <v>0</v>
      </c>
      <c r="S484" s="8">
        <v>30</v>
      </c>
      <c r="T484" s="5">
        <v>30</v>
      </c>
      <c r="U484" s="5">
        <v>22</v>
      </c>
      <c r="V484" s="5">
        <f>VLOOKUP(A484,Planilha1!B:E,4,0)</f>
        <v>6.310326960724681</v>
      </c>
    </row>
    <row r="485" spans="1:22" x14ac:dyDescent="0.3">
      <c r="A485" t="str">
        <f t="shared" si="14"/>
        <v>LEITE UHTLACTALIS</v>
      </c>
      <c r="B485" t="str">
        <f t="shared" si="15"/>
        <v>5248463LEITE UHTLACTALIS</v>
      </c>
      <c r="C485" s="5" t="s">
        <v>226</v>
      </c>
      <c r="D485" s="5" t="s">
        <v>227</v>
      </c>
      <c r="E485" s="5" t="s">
        <v>1722</v>
      </c>
      <c r="F485" s="5">
        <v>5248463</v>
      </c>
      <c r="G485" s="5" t="s">
        <v>397</v>
      </c>
      <c r="H485" s="5" t="s">
        <v>30</v>
      </c>
      <c r="I485" s="5" t="s">
        <v>22</v>
      </c>
      <c r="J485" s="5" t="s">
        <v>156</v>
      </c>
      <c r="K485" s="6">
        <v>0</v>
      </c>
      <c r="L485" s="7">
        <v>0</v>
      </c>
      <c r="M485" s="8">
        <v>194</v>
      </c>
      <c r="N485" s="8">
        <v>204</v>
      </c>
      <c r="O485" s="8">
        <v>122.11327641170932</v>
      </c>
      <c r="P485" s="8">
        <v>0</v>
      </c>
      <c r="Q485" s="8">
        <v>144</v>
      </c>
      <c r="R485" s="8">
        <v>0</v>
      </c>
      <c r="S485" s="8">
        <v>0</v>
      </c>
      <c r="T485" s="5">
        <v>0</v>
      </c>
      <c r="U485" s="5">
        <v>0</v>
      </c>
      <c r="V485" s="5">
        <f>VLOOKUP(A485,Planilha1!B:E,4,0)</f>
        <v>0.37177548115779385</v>
      </c>
    </row>
    <row r="486" spans="1:22" x14ac:dyDescent="0.3">
      <c r="A486" t="str">
        <f t="shared" si="14"/>
        <v>LEITE UHTLACTALIS</v>
      </c>
      <c r="B486" t="str">
        <f t="shared" si="15"/>
        <v>5248517LEITE UHTLACTALIS</v>
      </c>
      <c r="C486" s="5" t="s">
        <v>226</v>
      </c>
      <c r="D486" s="5" t="s">
        <v>227</v>
      </c>
      <c r="E486" s="5" t="s">
        <v>1722</v>
      </c>
      <c r="F486" s="5">
        <v>5248517</v>
      </c>
      <c r="G486" s="5" t="s">
        <v>398</v>
      </c>
      <c r="H486" s="5" t="s">
        <v>30</v>
      </c>
      <c r="I486" s="5" t="s">
        <v>22</v>
      </c>
      <c r="J486" s="5" t="s">
        <v>156</v>
      </c>
      <c r="K486" s="6">
        <v>0</v>
      </c>
      <c r="L486" s="7">
        <v>36</v>
      </c>
      <c r="M486" s="8">
        <v>32</v>
      </c>
      <c r="N486" s="8">
        <v>32</v>
      </c>
      <c r="O486" s="8">
        <v>13.091573763380753</v>
      </c>
      <c r="P486" s="8">
        <v>0</v>
      </c>
      <c r="Q486" s="8">
        <v>0</v>
      </c>
      <c r="R486" s="8">
        <v>0</v>
      </c>
      <c r="S486" s="8">
        <v>0</v>
      </c>
      <c r="T486" s="5">
        <v>0</v>
      </c>
      <c r="U486" s="5">
        <v>0</v>
      </c>
      <c r="V486" s="5">
        <f>VLOOKUP(A486,Planilha1!B:E,4,0)</f>
        <v>0.37177548115779385</v>
      </c>
    </row>
    <row r="487" spans="1:22" x14ac:dyDescent="0.3">
      <c r="A487" t="str">
        <f t="shared" si="14"/>
        <v>BLISTERLACTALIS</v>
      </c>
      <c r="B487" t="str">
        <f t="shared" si="15"/>
        <v>5249406BLISTERLACTALIS</v>
      </c>
      <c r="C487" s="5" t="s">
        <v>226</v>
      </c>
      <c r="D487" s="5" t="s">
        <v>227</v>
      </c>
      <c r="E487" s="5" t="s">
        <v>1722</v>
      </c>
      <c r="F487" s="5">
        <v>5249406</v>
      </c>
      <c r="G487" s="5" t="s">
        <v>399</v>
      </c>
      <c r="H487" s="5" t="s">
        <v>30</v>
      </c>
      <c r="I487" s="5" t="s">
        <v>22</v>
      </c>
      <c r="J487" s="5" t="s">
        <v>199</v>
      </c>
      <c r="K487" s="6">
        <v>0</v>
      </c>
      <c r="L487" s="7">
        <v>0</v>
      </c>
      <c r="M487" s="8">
        <v>0</v>
      </c>
      <c r="N487" s="8">
        <v>0</v>
      </c>
      <c r="O487" s="8">
        <v>0.73683954165779808</v>
      </c>
      <c r="P487" s="8">
        <v>0</v>
      </c>
      <c r="Q487" s="8">
        <v>0</v>
      </c>
      <c r="R487" s="8">
        <v>0</v>
      </c>
      <c r="S487" s="8">
        <v>0</v>
      </c>
      <c r="T487" s="5">
        <v>0</v>
      </c>
      <c r="U487" s="5">
        <v>0</v>
      </c>
      <c r="V487" s="5">
        <f>VLOOKUP(A487,Planilha1!B:E,4,0)</f>
        <v>13.783871706210666</v>
      </c>
    </row>
    <row r="488" spans="1:22" x14ac:dyDescent="0.3">
      <c r="A488" t="str">
        <f t="shared" si="14"/>
        <v>LEITE UHTLACTALIS</v>
      </c>
      <c r="B488" t="str">
        <f t="shared" si="15"/>
        <v>5249406LEITE UHTLACTALIS</v>
      </c>
      <c r="C488" s="5" t="s">
        <v>226</v>
      </c>
      <c r="D488" s="5" t="s">
        <v>227</v>
      </c>
      <c r="E488" s="5" t="s">
        <v>1722</v>
      </c>
      <c r="F488" s="5">
        <v>5249406</v>
      </c>
      <c r="G488" s="5" t="s">
        <v>399</v>
      </c>
      <c r="H488" s="5" t="s">
        <v>30</v>
      </c>
      <c r="I488" s="5" t="s">
        <v>22</v>
      </c>
      <c r="J488" s="5" t="s">
        <v>156</v>
      </c>
      <c r="K488" s="6">
        <v>0</v>
      </c>
      <c r="L488" s="7">
        <v>144</v>
      </c>
      <c r="M488" s="8">
        <v>104</v>
      </c>
      <c r="N488" s="8">
        <v>60</v>
      </c>
      <c r="O488" s="8">
        <v>58.878685063368025</v>
      </c>
      <c r="P488" s="8">
        <v>0</v>
      </c>
      <c r="Q488" s="8">
        <v>0</v>
      </c>
      <c r="R488" s="8">
        <v>0</v>
      </c>
      <c r="S488" s="8">
        <v>0</v>
      </c>
      <c r="T488" s="5">
        <v>0</v>
      </c>
      <c r="U488" s="5">
        <v>0</v>
      </c>
      <c r="V488" s="5">
        <f>VLOOKUP(A488,Planilha1!B:E,4,0)</f>
        <v>0.37177548115779385</v>
      </c>
    </row>
    <row r="489" spans="1:22" x14ac:dyDescent="0.3">
      <c r="A489" t="str">
        <f t="shared" si="14"/>
        <v>LEITE UHTLACTALIS</v>
      </c>
      <c r="B489" t="str">
        <f t="shared" si="15"/>
        <v>5252779LEITE UHTLACTALIS</v>
      </c>
      <c r="C489" s="5" t="s">
        <v>226</v>
      </c>
      <c r="D489" s="5" t="s">
        <v>227</v>
      </c>
      <c r="E489" s="5" t="s">
        <v>1722</v>
      </c>
      <c r="F489" s="5">
        <v>5252779</v>
      </c>
      <c r="G489" s="5" t="s">
        <v>400</v>
      </c>
      <c r="H489" s="5" t="s">
        <v>30</v>
      </c>
      <c r="I489" s="5" t="s">
        <v>22</v>
      </c>
      <c r="J489" s="5" t="s">
        <v>156</v>
      </c>
      <c r="K489" s="6">
        <v>0</v>
      </c>
      <c r="L489" s="7">
        <v>96</v>
      </c>
      <c r="M489" s="8">
        <v>84</v>
      </c>
      <c r="N489" s="8">
        <v>92</v>
      </c>
      <c r="O489" s="8">
        <v>54.51800779670257</v>
      </c>
      <c r="P489" s="8">
        <v>0</v>
      </c>
      <c r="Q489" s="8">
        <v>0</v>
      </c>
      <c r="R489" s="8">
        <v>0</v>
      </c>
      <c r="S489" s="8">
        <v>0</v>
      </c>
      <c r="T489" s="5">
        <v>0</v>
      </c>
      <c r="U489" s="5">
        <v>0</v>
      </c>
      <c r="V489" s="5">
        <f>VLOOKUP(A489,Planilha1!B:E,4,0)</f>
        <v>0.37177548115779385</v>
      </c>
    </row>
    <row r="490" spans="1:22" x14ac:dyDescent="0.3">
      <c r="A490" t="str">
        <f t="shared" si="14"/>
        <v>LEITE UHTLACTALIS</v>
      </c>
      <c r="B490" t="str">
        <f t="shared" si="15"/>
        <v>5252870LEITE UHTLACTALIS</v>
      </c>
      <c r="C490" s="5" t="s">
        <v>226</v>
      </c>
      <c r="D490" s="5" t="s">
        <v>227</v>
      </c>
      <c r="E490" s="5" t="s">
        <v>1722</v>
      </c>
      <c r="F490" s="5">
        <v>5252870</v>
      </c>
      <c r="G490" s="5" t="s">
        <v>401</v>
      </c>
      <c r="H490" s="5" t="s">
        <v>30</v>
      </c>
      <c r="I490" s="5" t="s">
        <v>22</v>
      </c>
      <c r="J490" s="5" t="s">
        <v>156</v>
      </c>
      <c r="K490" s="6">
        <v>0</v>
      </c>
      <c r="L490" s="7">
        <v>48</v>
      </c>
      <c r="M490" s="8">
        <v>0</v>
      </c>
      <c r="N490" s="8">
        <v>0</v>
      </c>
      <c r="O490" s="8">
        <v>10.90646414835583</v>
      </c>
      <c r="P490" s="8">
        <v>0</v>
      </c>
      <c r="Q490" s="8">
        <v>0</v>
      </c>
      <c r="R490" s="8">
        <v>0</v>
      </c>
      <c r="S490" s="8">
        <v>0</v>
      </c>
      <c r="T490" s="5">
        <v>0</v>
      </c>
      <c r="U490" s="5">
        <v>0</v>
      </c>
      <c r="V490" s="5">
        <f>VLOOKUP(A490,Planilha1!B:E,4,0)</f>
        <v>0.37177548115779385</v>
      </c>
    </row>
    <row r="491" spans="1:22" x14ac:dyDescent="0.3">
      <c r="A491" t="str">
        <f t="shared" si="14"/>
        <v>LEITE UHTLACTALIS</v>
      </c>
      <c r="B491" t="str">
        <f t="shared" si="15"/>
        <v>5252890LEITE UHTLACTALIS</v>
      </c>
      <c r="C491" s="5" t="s">
        <v>226</v>
      </c>
      <c r="D491" s="5" t="s">
        <v>227</v>
      </c>
      <c r="E491" s="5" t="s">
        <v>1722</v>
      </c>
      <c r="F491" s="5">
        <v>5252890</v>
      </c>
      <c r="G491" s="5" t="s">
        <v>402</v>
      </c>
      <c r="H491" s="5" t="s">
        <v>30</v>
      </c>
      <c r="I491" s="5" t="s">
        <v>22</v>
      </c>
      <c r="J491" s="5" t="s">
        <v>156</v>
      </c>
      <c r="K491" s="6">
        <v>0</v>
      </c>
      <c r="L491" s="7">
        <v>300</v>
      </c>
      <c r="M491" s="8">
        <v>70</v>
      </c>
      <c r="N491" s="8">
        <v>64</v>
      </c>
      <c r="O491" s="8">
        <v>37.07529873004075</v>
      </c>
      <c r="P491" s="8">
        <v>0</v>
      </c>
      <c r="Q491" s="8">
        <v>0</v>
      </c>
      <c r="R491" s="8">
        <v>0</v>
      </c>
      <c r="S491" s="8">
        <v>0</v>
      </c>
      <c r="T491" s="5">
        <v>0</v>
      </c>
      <c r="U491" s="5">
        <v>0</v>
      </c>
      <c r="V491" s="5">
        <f>VLOOKUP(A491,Planilha1!B:E,4,0)</f>
        <v>0.37177548115779385</v>
      </c>
    </row>
    <row r="492" spans="1:22" x14ac:dyDescent="0.3">
      <c r="A492" t="str">
        <f t="shared" si="14"/>
        <v>MANTEIGA 5KGLACTALIS</v>
      </c>
      <c r="B492" t="str">
        <f t="shared" si="15"/>
        <v>5253375MANTEIGA 5KGLACTALIS</v>
      </c>
      <c r="C492" s="5" t="s">
        <v>226</v>
      </c>
      <c r="D492" s="5" t="s">
        <v>227</v>
      </c>
      <c r="E492" s="5" t="s">
        <v>1722</v>
      </c>
      <c r="F492" s="5">
        <v>5253375</v>
      </c>
      <c r="G492" s="5" t="s">
        <v>403</v>
      </c>
      <c r="H492" s="5" t="s">
        <v>30</v>
      </c>
      <c r="I492" s="5" t="s">
        <v>22</v>
      </c>
      <c r="J492" s="5" t="s">
        <v>60</v>
      </c>
      <c r="K492" s="6">
        <v>0</v>
      </c>
      <c r="L492" s="7">
        <v>500</v>
      </c>
      <c r="M492" s="8">
        <v>1325.8333333333333</v>
      </c>
      <c r="N492" s="8">
        <v>1318.3333333333333</v>
      </c>
      <c r="O492" s="8">
        <v>1402.5389901377885</v>
      </c>
      <c r="P492" s="8">
        <v>0</v>
      </c>
      <c r="Q492" s="8">
        <v>0</v>
      </c>
      <c r="R492" s="8">
        <v>0</v>
      </c>
      <c r="S492" s="8">
        <v>1000</v>
      </c>
      <c r="T492" s="5">
        <v>1500</v>
      </c>
      <c r="U492" s="5">
        <v>1000</v>
      </c>
      <c r="V492" s="5">
        <f>VLOOKUP(A492,Planilha1!B:E,4,0)</f>
        <v>11.476197020267191</v>
      </c>
    </row>
    <row r="493" spans="1:22" x14ac:dyDescent="0.3">
      <c r="A493" t="str">
        <f t="shared" si="14"/>
        <v>LEITE UHTLACTALIS</v>
      </c>
      <c r="B493" t="str">
        <f t="shared" si="15"/>
        <v>5253375LEITE UHTLACTALIS</v>
      </c>
      <c r="C493" s="5" t="s">
        <v>226</v>
      </c>
      <c r="D493" s="5" t="s">
        <v>227</v>
      </c>
      <c r="E493" s="5" t="s">
        <v>1722</v>
      </c>
      <c r="F493" s="5">
        <v>5253375</v>
      </c>
      <c r="G493" s="5" t="s">
        <v>403</v>
      </c>
      <c r="H493" s="5" t="s">
        <v>30</v>
      </c>
      <c r="I493" s="5" t="s">
        <v>22</v>
      </c>
      <c r="J493" s="5" t="s">
        <v>156</v>
      </c>
      <c r="K493" s="6">
        <v>0</v>
      </c>
      <c r="L493" s="7">
        <v>2400</v>
      </c>
      <c r="M493" s="8">
        <v>1200</v>
      </c>
      <c r="N493" s="8">
        <v>1200</v>
      </c>
      <c r="O493" s="8">
        <v>654.17792570689335</v>
      </c>
      <c r="P493" s="8">
        <v>0</v>
      </c>
      <c r="Q493" s="8">
        <v>0</v>
      </c>
      <c r="R493" s="8">
        <v>0</v>
      </c>
      <c r="S493" s="8">
        <v>0</v>
      </c>
      <c r="T493" s="5">
        <v>0</v>
      </c>
      <c r="U493" s="5">
        <v>0</v>
      </c>
      <c r="V493" s="5">
        <f>VLOOKUP(A493,Planilha1!B:E,4,0)</f>
        <v>0.37177548115779385</v>
      </c>
    </row>
    <row r="494" spans="1:22" x14ac:dyDescent="0.3">
      <c r="A494" t="str">
        <f t="shared" si="14"/>
        <v>MANTEIGA 5KGLACTALIS</v>
      </c>
      <c r="B494" t="str">
        <f t="shared" si="15"/>
        <v>5253730MANTEIGA 5KGLACTALIS</v>
      </c>
      <c r="C494" s="5" t="s">
        <v>226</v>
      </c>
      <c r="D494" s="5" t="s">
        <v>227</v>
      </c>
      <c r="E494" s="5" t="s">
        <v>1722</v>
      </c>
      <c r="F494" s="5">
        <v>5253730</v>
      </c>
      <c r="G494" s="5" t="s">
        <v>404</v>
      </c>
      <c r="H494" s="5" t="s">
        <v>30</v>
      </c>
      <c r="I494" s="5" t="s">
        <v>22</v>
      </c>
      <c r="J494" s="5" t="s">
        <v>60</v>
      </c>
      <c r="K494" s="6">
        <v>0</v>
      </c>
      <c r="L494" s="7">
        <v>75</v>
      </c>
      <c r="M494" s="8">
        <v>78.333333333333343</v>
      </c>
      <c r="N494" s="8">
        <v>61.666666666666664</v>
      </c>
      <c r="O494" s="8">
        <v>96.43290858838219</v>
      </c>
      <c r="P494" s="8">
        <v>0</v>
      </c>
      <c r="Q494" s="8">
        <v>50</v>
      </c>
      <c r="R494" s="8">
        <v>0</v>
      </c>
      <c r="S494" s="8">
        <v>85</v>
      </c>
      <c r="T494" s="5">
        <v>85</v>
      </c>
      <c r="U494" s="5">
        <v>60</v>
      </c>
      <c r="V494" s="5">
        <f>VLOOKUP(A494,Planilha1!B:E,4,0)</f>
        <v>11.476197020267191</v>
      </c>
    </row>
    <row r="495" spans="1:22" x14ac:dyDescent="0.3">
      <c r="A495" t="str">
        <f t="shared" si="14"/>
        <v>LEITE UHTLACTALIS</v>
      </c>
      <c r="B495" t="str">
        <f t="shared" si="15"/>
        <v>5253730LEITE UHTLACTALIS</v>
      </c>
      <c r="C495" s="5" t="s">
        <v>226</v>
      </c>
      <c r="D495" s="5" t="s">
        <v>227</v>
      </c>
      <c r="E495" s="5" t="s">
        <v>1722</v>
      </c>
      <c r="F495" s="5">
        <v>5253730</v>
      </c>
      <c r="G495" s="5" t="s">
        <v>404</v>
      </c>
      <c r="H495" s="5" t="s">
        <v>30</v>
      </c>
      <c r="I495" s="5" t="s">
        <v>22</v>
      </c>
      <c r="J495" s="5" t="s">
        <v>156</v>
      </c>
      <c r="K495" s="6">
        <v>0</v>
      </c>
      <c r="L495" s="7">
        <v>360</v>
      </c>
      <c r="M495" s="8">
        <v>364</v>
      </c>
      <c r="N495" s="8">
        <v>300</v>
      </c>
      <c r="O495" s="8">
        <v>228.95464042670514</v>
      </c>
      <c r="P495" s="8">
        <v>0</v>
      </c>
      <c r="Q495" s="8">
        <v>0</v>
      </c>
      <c r="R495" s="8">
        <v>0</v>
      </c>
      <c r="S495" s="8">
        <v>0</v>
      </c>
      <c r="T495" s="5">
        <v>0</v>
      </c>
      <c r="U495" s="5">
        <v>0</v>
      </c>
      <c r="V495" s="5">
        <f>VLOOKUP(A495,Planilha1!B:E,4,0)</f>
        <v>0.37177548115779385</v>
      </c>
    </row>
    <row r="496" spans="1:22" x14ac:dyDescent="0.3">
      <c r="A496" t="str">
        <f t="shared" si="14"/>
        <v>LEITE UHTLACTALIS</v>
      </c>
      <c r="B496" t="str">
        <f t="shared" si="15"/>
        <v>5254650LEITE UHTLACTALIS</v>
      </c>
      <c r="C496" s="5" t="s">
        <v>226</v>
      </c>
      <c r="D496" s="5" t="s">
        <v>227</v>
      </c>
      <c r="E496" s="5" t="s">
        <v>1722</v>
      </c>
      <c r="F496" s="5">
        <v>5254650</v>
      </c>
      <c r="G496" s="5" t="s">
        <v>405</v>
      </c>
      <c r="H496" s="5" t="s">
        <v>30</v>
      </c>
      <c r="I496" s="5" t="s">
        <v>22</v>
      </c>
      <c r="J496" s="5" t="s">
        <v>156</v>
      </c>
      <c r="K496" s="6">
        <v>0</v>
      </c>
      <c r="L496" s="7">
        <v>0</v>
      </c>
      <c r="M496" s="8">
        <v>246</v>
      </c>
      <c r="N496" s="8">
        <v>244</v>
      </c>
      <c r="O496" s="8">
        <v>130.8346309450402</v>
      </c>
      <c r="P496" s="8">
        <v>0</v>
      </c>
      <c r="Q496" s="8">
        <v>0</v>
      </c>
      <c r="R496" s="8">
        <v>0</v>
      </c>
      <c r="S496" s="8">
        <v>0</v>
      </c>
      <c r="T496" s="5">
        <v>0</v>
      </c>
      <c r="U496" s="5">
        <v>0</v>
      </c>
      <c r="V496" s="5">
        <f>VLOOKUP(A496,Planilha1!B:E,4,0)</f>
        <v>0.37177548115779385</v>
      </c>
    </row>
    <row r="497" spans="1:22" x14ac:dyDescent="0.3">
      <c r="A497" t="str">
        <f t="shared" si="14"/>
        <v>MANTEIGA 5KGLACTALIS</v>
      </c>
      <c r="B497" t="str">
        <f t="shared" si="15"/>
        <v>5254974MANTEIGA 5KGLACTALIS</v>
      </c>
      <c r="C497" s="5" t="s">
        <v>226</v>
      </c>
      <c r="D497" s="5" t="s">
        <v>227</v>
      </c>
      <c r="E497" s="5" t="s">
        <v>1722</v>
      </c>
      <c r="F497" s="5">
        <v>5254974</v>
      </c>
      <c r="G497" s="5" t="s">
        <v>406</v>
      </c>
      <c r="H497" s="5" t="s">
        <v>30</v>
      </c>
      <c r="I497" s="5" t="s">
        <v>22</v>
      </c>
      <c r="J497" s="5" t="s">
        <v>60</v>
      </c>
      <c r="K497" s="6">
        <v>0</v>
      </c>
      <c r="L497" s="7">
        <v>40</v>
      </c>
      <c r="M497" s="8">
        <v>0</v>
      </c>
      <c r="N497" s="8">
        <v>0</v>
      </c>
      <c r="O497" s="8">
        <v>10.521246200575426</v>
      </c>
      <c r="P497" s="8">
        <v>0</v>
      </c>
      <c r="Q497" s="8">
        <v>0</v>
      </c>
      <c r="R497" s="8">
        <v>0</v>
      </c>
      <c r="S497" s="8">
        <v>0</v>
      </c>
      <c r="T497" s="5">
        <v>0</v>
      </c>
      <c r="U497" s="5">
        <v>0</v>
      </c>
      <c r="V497" s="5">
        <f>VLOOKUP(A497,Planilha1!B:E,4,0)</f>
        <v>11.476197020267191</v>
      </c>
    </row>
    <row r="498" spans="1:22" x14ac:dyDescent="0.3">
      <c r="A498" t="str">
        <f t="shared" si="14"/>
        <v>MANTEIGA 5KGLACTALIS</v>
      </c>
      <c r="B498" t="str">
        <f t="shared" si="15"/>
        <v>5255373MANTEIGA 5KGLACTALIS</v>
      </c>
      <c r="C498" s="5" t="s">
        <v>226</v>
      </c>
      <c r="D498" s="5" t="s">
        <v>227</v>
      </c>
      <c r="E498" s="5" t="s">
        <v>1722</v>
      </c>
      <c r="F498" s="5">
        <v>5255373</v>
      </c>
      <c r="G498" s="5" t="s">
        <v>407</v>
      </c>
      <c r="H498" s="5" t="s">
        <v>30</v>
      </c>
      <c r="I498" s="5" t="s">
        <v>22</v>
      </c>
      <c r="J498" s="5" t="s">
        <v>60</v>
      </c>
      <c r="K498" s="6">
        <v>0</v>
      </c>
      <c r="L498" s="7">
        <v>0</v>
      </c>
      <c r="M498" s="8">
        <v>1.6666666666666667</v>
      </c>
      <c r="N498" s="8">
        <v>1.6666666666666667</v>
      </c>
      <c r="O498" s="8">
        <v>1.7488017333388881</v>
      </c>
      <c r="P498" s="8">
        <v>0</v>
      </c>
      <c r="Q498" s="8">
        <v>0</v>
      </c>
      <c r="R498" s="8">
        <v>0</v>
      </c>
      <c r="S498" s="8">
        <v>0</v>
      </c>
      <c r="T498" s="5">
        <v>0</v>
      </c>
      <c r="U498" s="5">
        <v>0</v>
      </c>
      <c r="V498" s="5">
        <f>VLOOKUP(A498,Planilha1!B:E,4,0)</f>
        <v>11.476197020267191</v>
      </c>
    </row>
    <row r="499" spans="1:22" x14ac:dyDescent="0.3">
      <c r="A499" t="str">
        <f t="shared" si="14"/>
        <v>PARMESÃOLACTALIS</v>
      </c>
      <c r="B499" t="str">
        <f t="shared" si="15"/>
        <v>5255373PARMESÃOLACTALIS</v>
      </c>
      <c r="C499" s="5" t="s">
        <v>226</v>
      </c>
      <c r="D499" s="5" t="s">
        <v>227</v>
      </c>
      <c r="E499" s="5" t="s">
        <v>1722</v>
      </c>
      <c r="F499" s="5">
        <v>5255373</v>
      </c>
      <c r="G499" s="5" t="s">
        <v>407</v>
      </c>
      <c r="H499" s="5" t="s">
        <v>30</v>
      </c>
      <c r="I499" s="5" t="s">
        <v>22</v>
      </c>
      <c r="J499" s="5" t="s">
        <v>195</v>
      </c>
      <c r="K499" s="6">
        <v>0</v>
      </c>
      <c r="L499" s="7">
        <v>0</v>
      </c>
      <c r="M499" s="8">
        <v>22.043333333333337</v>
      </c>
      <c r="N499" s="8">
        <v>29.498333333333335</v>
      </c>
      <c r="O499" s="8">
        <v>29.50013481298215</v>
      </c>
      <c r="P499" s="8">
        <v>0</v>
      </c>
      <c r="Q499" s="8">
        <v>0</v>
      </c>
      <c r="R499" s="8">
        <v>0</v>
      </c>
      <c r="S499" s="8">
        <v>0</v>
      </c>
      <c r="T499" s="5">
        <v>0</v>
      </c>
      <c r="U499" s="5">
        <v>30</v>
      </c>
      <c r="V499" s="5">
        <f>VLOOKUP(A499,Planilha1!B:E,4,0)</f>
        <v>6.310326960724681</v>
      </c>
    </row>
    <row r="500" spans="1:22" x14ac:dyDescent="0.3">
      <c r="A500" t="str">
        <f t="shared" si="14"/>
        <v>LEITE UHTLACTALIS</v>
      </c>
      <c r="B500" t="str">
        <f t="shared" si="15"/>
        <v>5255373LEITE UHTLACTALIS</v>
      </c>
      <c r="C500" s="5" t="s">
        <v>226</v>
      </c>
      <c r="D500" s="5" t="s">
        <v>227</v>
      </c>
      <c r="E500" s="5" t="s">
        <v>1722</v>
      </c>
      <c r="F500" s="5">
        <v>5255373</v>
      </c>
      <c r="G500" s="5" t="s">
        <v>407</v>
      </c>
      <c r="H500" s="5" t="s">
        <v>30</v>
      </c>
      <c r="I500" s="5" t="s">
        <v>22</v>
      </c>
      <c r="J500" s="5" t="s">
        <v>156</v>
      </c>
      <c r="K500" s="6">
        <v>0</v>
      </c>
      <c r="L500" s="7">
        <v>0</v>
      </c>
      <c r="M500" s="8">
        <v>38</v>
      </c>
      <c r="N500" s="8">
        <v>72</v>
      </c>
      <c r="O500" s="8">
        <v>28.344402233325457</v>
      </c>
      <c r="P500" s="8">
        <v>0</v>
      </c>
      <c r="Q500" s="8">
        <v>0</v>
      </c>
      <c r="R500" s="8">
        <v>0</v>
      </c>
      <c r="S500" s="8">
        <v>0</v>
      </c>
      <c r="T500" s="5">
        <v>0</v>
      </c>
      <c r="U500" s="5">
        <v>0</v>
      </c>
      <c r="V500" s="5">
        <f>VLOOKUP(A500,Planilha1!B:E,4,0)</f>
        <v>0.37177548115779385</v>
      </c>
    </row>
    <row r="501" spans="1:22" x14ac:dyDescent="0.3">
      <c r="A501" t="str">
        <f t="shared" si="14"/>
        <v>MANTEIGA 5KGLACTALIS</v>
      </c>
      <c r="B501" t="str">
        <f t="shared" si="15"/>
        <v>5255389MANTEIGA 5KGLACTALIS</v>
      </c>
      <c r="C501" s="5" t="s">
        <v>226</v>
      </c>
      <c r="D501" s="5" t="s">
        <v>227</v>
      </c>
      <c r="E501" s="5" t="s">
        <v>1722</v>
      </c>
      <c r="F501" s="5">
        <v>5255389</v>
      </c>
      <c r="G501" s="5" t="s">
        <v>408</v>
      </c>
      <c r="H501" s="5" t="s">
        <v>30</v>
      </c>
      <c r="I501" s="5" t="s">
        <v>22</v>
      </c>
      <c r="J501" s="5" t="s">
        <v>60</v>
      </c>
      <c r="K501" s="6">
        <v>0</v>
      </c>
      <c r="L501" s="7">
        <v>5</v>
      </c>
      <c r="M501" s="8">
        <v>5.833333333333333</v>
      </c>
      <c r="N501" s="8">
        <v>5</v>
      </c>
      <c r="O501" s="8">
        <v>7.0165337837621244</v>
      </c>
      <c r="P501" s="8">
        <v>0</v>
      </c>
      <c r="Q501" s="8">
        <v>0</v>
      </c>
      <c r="R501" s="8">
        <v>0</v>
      </c>
      <c r="S501" s="8">
        <v>5</v>
      </c>
      <c r="T501" s="5">
        <v>5</v>
      </c>
      <c r="U501" s="5">
        <v>0</v>
      </c>
      <c r="V501" s="5">
        <f>VLOOKUP(A501,Planilha1!B:E,4,0)</f>
        <v>11.476197020267191</v>
      </c>
    </row>
    <row r="502" spans="1:22" x14ac:dyDescent="0.3">
      <c r="A502" t="str">
        <f t="shared" si="14"/>
        <v>LEITE UHTLACTALIS</v>
      </c>
      <c r="B502" t="str">
        <f t="shared" si="15"/>
        <v>5258848LEITE UHTLACTALIS</v>
      </c>
      <c r="C502" s="5" t="s">
        <v>226</v>
      </c>
      <c r="D502" s="5" t="s">
        <v>227</v>
      </c>
      <c r="E502" s="5" t="s">
        <v>1722</v>
      </c>
      <c r="F502" s="5">
        <v>5258848</v>
      </c>
      <c r="G502" s="5" t="s">
        <v>409</v>
      </c>
      <c r="H502" s="5" t="s">
        <v>30</v>
      </c>
      <c r="I502" s="5" t="s">
        <v>22</v>
      </c>
      <c r="J502" s="5" t="s">
        <v>156</v>
      </c>
      <c r="K502" s="6">
        <v>0</v>
      </c>
      <c r="L502" s="7">
        <v>84</v>
      </c>
      <c r="M502" s="8">
        <v>100</v>
      </c>
      <c r="N502" s="8">
        <v>16</v>
      </c>
      <c r="O502" s="8">
        <v>74.131513533312727</v>
      </c>
      <c r="P502" s="8">
        <v>0</v>
      </c>
      <c r="Q502" s="8">
        <v>0</v>
      </c>
      <c r="R502" s="8">
        <v>0</v>
      </c>
      <c r="S502" s="8">
        <v>0</v>
      </c>
      <c r="T502" s="5">
        <v>0</v>
      </c>
      <c r="U502" s="5">
        <v>0</v>
      </c>
      <c r="V502" s="5">
        <f>VLOOKUP(A502,Planilha1!B:E,4,0)</f>
        <v>0.37177548115779385</v>
      </c>
    </row>
    <row r="503" spans="1:22" x14ac:dyDescent="0.3">
      <c r="A503" t="str">
        <f t="shared" si="14"/>
        <v>LEITE UHTLACTALIS</v>
      </c>
      <c r="B503" t="str">
        <f t="shared" si="15"/>
        <v>5259743LEITE UHTLACTALIS</v>
      </c>
      <c r="C503" s="5" t="s">
        <v>226</v>
      </c>
      <c r="D503" s="5" t="s">
        <v>227</v>
      </c>
      <c r="E503" s="5" t="s">
        <v>1722</v>
      </c>
      <c r="F503" s="5">
        <v>5259743</v>
      </c>
      <c r="G503" s="5" t="s">
        <v>410</v>
      </c>
      <c r="H503" s="5" t="s">
        <v>30</v>
      </c>
      <c r="I503" s="5" t="s">
        <v>22</v>
      </c>
      <c r="J503" s="5" t="s">
        <v>156</v>
      </c>
      <c r="K503" s="6">
        <v>0</v>
      </c>
      <c r="L503" s="7">
        <v>0</v>
      </c>
      <c r="M503" s="8">
        <v>370</v>
      </c>
      <c r="N503" s="8">
        <v>300</v>
      </c>
      <c r="O503" s="8">
        <v>327.09373383513889</v>
      </c>
      <c r="P503" s="8">
        <v>0</v>
      </c>
      <c r="Q503" s="8">
        <v>0</v>
      </c>
      <c r="R503" s="8">
        <v>0</v>
      </c>
      <c r="S503" s="8">
        <v>0</v>
      </c>
      <c r="T503" s="5">
        <v>0</v>
      </c>
      <c r="U503" s="5">
        <v>0</v>
      </c>
      <c r="V503" s="5">
        <f>VLOOKUP(A503,Planilha1!B:E,4,0)</f>
        <v>0.37177548115779385</v>
      </c>
    </row>
    <row r="504" spans="1:22" x14ac:dyDescent="0.3">
      <c r="A504" t="str">
        <f t="shared" si="14"/>
        <v>LEITE UHTLACTALIS</v>
      </c>
      <c r="B504" t="str">
        <f t="shared" si="15"/>
        <v>5261730LEITE UHTLACTALIS</v>
      </c>
      <c r="C504" s="5" t="s">
        <v>226</v>
      </c>
      <c r="D504" s="5" t="s">
        <v>227</v>
      </c>
      <c r="E504" s="5" t="s">
        <v>1722</v>
      </c>
      <c r="F504" s="5">
        <v>5261730</v>
      </c>
      <c r="G504" s="5" t="s">
        <v>411</v>
      </c>
      <c r="H504" s="5" t="s">
        <v>30</v>
      </c>
      <c r="I504" s="5" t="s">
        <v>22</v>
      </c>
      <c r="J504" s="5" t="s">
        <v>156</v>
      </c>
      <c r="K504" s="6">
        <v>0</v>
      </c>
      <c r="L504" s="7">
        <v>0</v>
      </c>
      <c r="M504" s="8">
        <v>374</v>
      </c>
      <c r="N504" s="8">
        <v>300</v>
      </c>
      <c r="O504" s="8">
        <v>143.91666274503658</v>
      </c>
      <c r="P504" s="8">
        <v>0</v>
      </c>
      <c r="Q504" s="8">
        <v>180</v>
      </c>
      <c r="R504" s="8">
        <v>0</v>
      </c>
      <c r="S504" s="8">
        <v>0</v>
      </c>
      <c r="T504" s="5">
        <v>0</v>
      </c>
      <c r="U504" s="5">
        <v>0</v>
      </c>
      <c r="V504" s="5">
        <f>VLOOKUP(A504,Planilha1!B:E,4,0)</f>
        <v>0.37177548115779385</v>
      </c>
    </row>
    <row r="505" spans="1:22" x14ac:dyDescent="0.3">
      <c r="A505" t="str">
        <f t="shared" si="14"/>
        <v>LEITE UHTLACTALIS</v>
      </c>
      <c r="B505" t="str">
        <f t="shared" si="15"/>
        <v>5261769LEITE UHTLACTALIS</v>
      </c>
      <c r="C505" s="5" t="s">
        <v>226</v>
      </c>
      <c r="D505" s="5" t="s">
        <v>227</v>
      </c>
      <c r="E505" s="5" t="s">
        <v>1722</v>
      </c>
      <c r="F505" s="5">
        <v>5261769</v>
      </c>
      <c r="G505" s="5" t="s">
        <v>412</v>
      </c>
      <c r="H505" s="5" t="s">
        <v>30</v>
      </c>
      <c r="I505" s="5" t="s">
        <v>22</v>
      </c>
      <c r="J505" s="5" t="s">
        <v>156</v>
      </c>
      <c r="K505" s="6">
        <v>0</v>
      </c>
      <c r="L505" s="7">
        <v>0</v>
      </c>
      <c r="M505" s="8">
        <v>0</v>
      </c>
      <c r="N505" s="8">
        <v>0</v>
      </c>
      <c r="O505" s="8">
        <v>23.988495948352195</v>
      </c>
      <c r="P505" s="8">
        <v>0</v>
      </c>
      <c r="Q505" s="8">
        <v>0</v>
      </c>
      <c r="R505" s="8">
        <v>0</v>
      </c>
      <c r="S505" s="8">
        <v>0</v>
      </c>
      <c r="T505" s="5">
        <v>0</v>
      </c>
      <c r="U505" s="5">
        <v>0</v>
      </c>
      <c r="V505" s="5">
        <f>VLOOKUP(A505,Planilha1!B:E,4,0)</f>
        <v>0.37177548115779385</v>
      </c>
    </row>
    <row r="506" spans="1:22" x14ac:dyDescent="0.3">
      <c r="A506" t="str">
        <f t="shared" si="14"/>
        <v>LEITE UHTLACTALIS</v>
      </c>
      <c r="B506" t="str">
        <f t="shared" si="15"/>
        <v>5262263LEITE UHTLACTALIS</v>
      </c>
      <c r="C506" s="5" t="s">
        <v>226</v>
      </c>
      <c r="D506" s="5" t="s">
        <v>227</v>
      </c>
      <c r="E506" s="5" t="s">
        <v>1722</v>
      </c>
      <c r="F506" s="5">
        <v>5262263</v>
      </c>
      <c r="G506" s="5" t="s">
        <v>413</v>
      </c>
      <c r="H506" s="5" t="s">
        <v>30</v>
      </c>
      <c r="I506" s="5" t="s">
        <v>22</v>
      </c>
      <c r="J506" s="5" t="s">
        <v>156</v>
      </c>
      <c r="K506" s="6">
        <v>0</v>
      </c>
      <c r="L506" s="7">
        <v>0</v>
      </c>
      <c r="M506" s="8">
        <v>170</v>
      </c>
      <c r="N506" s="8">
        <v>220</v>
      </c>
      <c r="O506" s="8">
        <v>59.971239870880488</v>
      </c>
      <c r="P506" s="8">
        <v>0</v>
      </c>
      <c r="Q506" s="8">
        <v>144</v>
      </c>
      <c r="R506" s="8">
        <v>0</v>
      </c>
      <c r="S506" s="8">
        <v>0</v>
      </c>
      <c r="T506" s="5">
        <v>0</v>
      </c>
      <c r="U506" s="5">
        <v>0</v>
      </c>
      <c r="V506" s="5">
        <f>VLOOKUP(A506,Planilha1!B:E,4,0)</f>
        <v>0.37177548115779385</v>
      </c>
    </row>
    <row r="507" spans="1:22" x14ac:dyDescent="0.3">
      <c r="A507" t="str">
        <f t="shared" si="14"/>
        <v>LEITE UHTLACTALIS</v>
      </c>
      <c r="B507" t="str">
        <f t="shared" si="15"/>
        <v>5262339LEITE UHTLACTALIS</v>
      </c>
      <c r="C507" s="5" t="s">
        <v>226</v>
      </c>
      <c r="D507" s="5" t="s">
        <v>227</v>
      </c>
      <c r="E507" s="5" t="s">
        <v>1722</v>
      </c>
      <c r="F507" s="5">
        <v>5262339</v>
      </c>
      <c r="G507" s="5" t="s">
        <v>414</v>
      </c>
      <c r="H507" s="5" t="s">
        <v>30</v>
      </c>
      <c r="I507" s="5" t="s">
        <v>22</v>
      </c>
      <c r="J507" s="5" t="s">
        <v>156</v>
      </c>
      <c r="K507" s="6">
        <v>0</v>
      </c>
      <c r="L507" s="7">
        <v>600</v>
      </c>
      <c r="M507" s="8">
        <v>300</v>
      </c>
      <c r="N507" s="8">
        <v>0</v>
      </c>
      <c r="O507" s="8">
        <v>501.53513744683357</v>
      </c>
      <c r="P507" s="8">
        <v>0</v>
      </c>
      <c r="Q507" s="8">
        <v>0</v>
      </c>
      <c r="R507" s="8">
        <v>0</v>
      </c>
      <c r="S507" s="8">
        <v>0</v>
      </c>
      <c r="T507" s="5">
        <v>0</v>
      </c>
      <c r="U507" s="5">
        <v>0</v>
      </c>
      <c r="V507" s="5">
        <f>VLOOKUP(A507,Planilha1!B:E,4,0)</f>
        <v>0.37177548115779385</v>
      </c>
    </row>
    <row r="508" spans="1:22" x14ac:dyDescent="0.3">
      <c r="A508" t="str">
        <f t="shared" si="14"/>
        <v>LEITE UHTLACTALIS</v>
      </c>
      <c r="B508" t="str">
        <f t="shared" si="15"/>
        <v>5262521LEITE UHTLACTALIS</v>
      </c>
      <c r="C508" s="5" t="s">
        <v>226</v>
      </c>
      <c r="D508" s="5" t="s">
        <v>227</v>
      </c>
      <c r="E508" s="5" t="s">
        <v>1722</v>
      </c>
      <c r="F508" s="5">
        <v>5262521</v>
      </c>
      <c r="G508" s="5" t="s">
        <v>415</v>
      </c>
      <c r="H508" s="5" t="s">
        <v>30</v>
      </c>
      <c r="I508" s="5" t="s">
        <v>22</v>
      </c>
      <c r="J508" s="5" t="s">
        <v>156</v>
      </c>
      <c r="K508" s="6">
        <v>0</v>
      </c>
      <c r="L508" s="7">
        <v>0</v>
      </c>
      <c r="M508" s="8">
        <v>12</v>
      </c>
      <c r="N508" s="8">
        <v>16</v>
      </c>
      <c r="O508" s="8">
        <v>6.5410158999981824</v>
      </c>
      <c r="P508" s="8">
        <v>0</v>
      </c>
      <c r="Q508" s="8">
        <v>-24</v>
      </c>
      <c r="R508" s="8">
        <v>0</v>
      </c>
      <c r="S508" s="8">
        <v>0</v>
      </c>
      <c r="T508" s="5">
        <v>0</v>
      </c>
      <c r="U508" s="5">
        <v>0</v>
      </c>
      <c r="V508" s="5">
        <f>VLOOKUP(A508,Planilha1!B:E,4,0)</f>
        <v>0.37177548115779385</v>
      </c>
    </row>
    <row r="509" spans="1:22" x14ac:dyDescent="0.3">
      <c r="A509" t="str">
        <f t="shared" si="14"/>
        <v>LEITE UHTLACTALIS</v>
      </c>
      <c r="B509" t="str">
        <f t="shared" si="15"/>
        <v>5262549LEITE UHTLACTALIS</v>
      </c>
      <c r="C509" s="5" t="s">
        <v>226</v>
      </c>
      <c r="D509" s="5" t="s">
        <v>227</v>
      </c>
      <c r="E509" s="5" t="s">
        <v>1722</v>
      </c>
      <c r="F509" s="5">
        <v>5262549</v>
      </c>
      <c r="G509" s="5" t="s">
        <v>416</v>
      </c>
      <c r="H509" s="5" t="s">
        <v>30</v>
      </c>
      <c r="I509" s="5" t="s">
        <v>22</v>
      </c>
      <c r="J509" s="5" t="s">
        <v>156</v>
      </c>
      <c r="K509" s="6">
        <v>0</v>
      </c>
      <c r="L509" s="7">
        <v>168</v>
      </c>
      <c r="M509" s="8">
        <v>98</v>
      </c>
      <c r="N509" s="8">
        <v>84</v>
      </c>
      <c r="O509" s="8">
        <v>74.136284515004917</v>
      </c>
      <c r="P509" s="8">
        <v>0</v>
      </c>
      <c r="Q509" s="8">
        <v>0</v>
      </c>
      <c r="R509" s="8">
        <v>0</v>
      </c>
      <c r="S509" s="8">
        <v>0</v>
      </c>
      <c r="T509" s="5">
        <v>0</v>
      </c>
      <c r="U509" s="5">
        <v>0</v>
      </c>
      <c r="V509" s="5">
        <f>VLOOKUP(A509,Planilha1!B:E,4,0)</f>
        <v>0.37177548115779385</v>
      </c>
    </row>
    <row r="510" spans="1:22" x14ac:dyDescent="0.3">
      <c r="A510" t="str">
        <f t="shared" si="14"/>
        <v>LEITE UHTLACTALIS</v>
      </c>
      <c r="B510" t="str">
        <f t="shared" si="15"/>
        <v>5263133LEITE UHTLACTALIS</v>
      </c>
      <c r="C510" s="5" t="s">
        <v>226</v>
      </c>
      <c r="D510" s="5" t="s">
        <v>227</v>
      </c>
      <c r="E510" s="5" t="s">
        <v>1722</v>
      </c>
      <c r="F510" s="5">
        <v>5263133</v>
      </c>
      <c r="G510" s="5" t="s">
        <v>417</v>
      </c>
      <c r="H510" s="5" t="s">
        <v>30</v>
      </c>
      <c r="I510" s="5" t="s">
        <v>22</v>
      </c>
      <c r="J510" s="5" t="s">
        <v>156</v>
      </c>
      <c r="K510" s="6">
        <v>0</v>
      </c>
      <c r="L510" s="7">
        <v>0</v>
      </c>
      <c r="M510" s="8">
        <v>60</v>
      </c>
      <c r="N510" s="8">
        <v>40</v>
      </c>
      <c r="O510" s="8">
        <v>87.223087296693478</v>
      </c>
      <c r="P510" s="8">
        <v>0</v>
      </c>
      <c r="Q510" s="8">
        <v>0</v>
      </c>
      <c r="R510" s="8">
        <v>0</v>
      </c>
      <c r="S510" s="8">
        <v>0</v>
      </c>
      <c r="T510" s="5">
        <v>0</v>
      </c>
      <c r="U510" s="5">
        <v>0</v>
      </c>
      <c r="V510" s="5">
        <f>VLOOKUP(A510,Planilha1!B:E,4,0)</f>
        <v>0.37177548115779385</v>
      </c>
    </row>
    <row r="511" spans="1:22" x14ac:dyDescent="0.3">
      <c r="A511" t="str">
        <f t="shared" si="14"/>
        <v>LEITE UHTLACTALIS</v>
      </c>
      <c r="B511" t="str">
        <f t="shared" si="15"/>
        <v>5263181LEITE UHTLACTALIS</v>
      </c>
      <c r="C511" s="5" t="s">
        <v>226</v>
      </c>
      <c r="D511" s="5" t="s">
        <v>227</v>
      </c>
      <c r="E511" s="5" t="s">
        <v>1722</v>
      </c>
      <c r="F511" s="5">
        <v>5263181</v>
      </c>
      <c r="G511" s="5" t="s">
        <v>418</v>
      </c>
      <c r="H511" s="5" t="s">
        <v>30</v>
      </c>
      <c r="I511" s="5" t="s">
        <v>22</v>
      </c>
      <c r="J511" s="5" t="s">
        <v>156</v>
      </c>
      <c r="K511" s="6">
        <v>0</v>
      </c>
      <c r="L511" s="7">
        <v>0</v>
      </c>
      <c r="M511" s="8">
        <v>5</v>
      </c>
      <c r="N511" s="8">
        <v>4</v>
      </c>
      <c r="O511" s="8">
        <v>4.360677266665455</v>
      </c>
      <c r="P511" s="8">
        <v>0</v>
      </c>
      <c r="Q511" s="8">
        <v>0</v>
      </c>
      <c r="R511" s="8">
        <v>0</v>
      </c>
      <c r="S511" s="8">
        <v>0</v>
      </c>
      <c r="T511" s="5">
        <v>0</v>
      </c>
      <c r="U511" s="5">
        <v>0</v>
      </c>
      <c r="V511" s="5">
        <f>VLOOKUP(A511,Planilha1!B:E,4,0)</f>
        <v>0.37177548115779385</v>
      </c>
    </row>
    <row r="512" spans="1:22" x14ac:dyDescent="0.3">
      <c r="A512" t="str">
        <f t="shared" si="14"/>
        <v>PARMESÃOLACTALIS</v>
      </c>
      <c r="B512" t="str">
        <f t="shared" si="15"/>
        <v>5263748PARMESÃOLACTALIS</v>
      </c>
      <c r="C512" s="5" t="s">
        <v>226</v>
      </c>
      <c r="D512" s="5" t="s">
        <v>227</v>
      </c>
      <c r="E512" s="5" t="s">
        <v>1722</v>
      </c>
      <c r="F512" s="5">
        <v>5263748</v>
      </c>
      <c r="G512" s="5" t="s">
        <v>419</v>
      </c>
      <c r="H512" s="5" t="s">
        <v>30</v>
      </c>
      <c r="I512" s="5" t="s">
        <v>22</v>
      </c>
      <c r="J512" s="5" t="s">
        <v>195</v>
      </c>
      <c r="K512" s="6">
        <v>0</v>
      </c>
      <c r="L512" s="7">
        <v>0</v>
      </c>
      <c r="M512" s="8">
        <v>12.0525</v>
      </c>
      <c r="N512" s="8">
        <v>19.495000000000001</v>
      </c>
      <c r="O512" s="8">
        <v>22.92070183537524</v>
      </c>
      <c r="P512" s="8">
        <v>0</v>
      </c>
      <c r="Q512" s="8">
        <v>0</v>
      </c>
      <c r="R512" s="8">
        <v>0</v>
      </c>
      <c r="S512" s="8">
        <v>0</v>
      </c>
      <c r="T512" s="5">
        <v>0</v>
      </c>
      <c r="U512" s="5">
        <v>23</v>
      </c>
      <c r="V512" s="5">
        <f>VLOOKUP(A512,Planilha1!B:E,4,0)</f>
        <v>6.310326960724681</v>
      </c>
    </row>
    <row r="513" spans="1:22" x14ac:dyDescent="0.3">
      <c r="A513" t="str">
        <f t="shared" si="14"/>
        <v>MANTEIGA 5KGLACTALIS</v>
      </c>
      <c r="B513" t="str">
        <f t="shared" si="15"/>
        <v>5263976MANTEIGA 5KGLACTALIS</v>
      </c>
      <c r="C513" s="5" t="s">
        <v>226</v>
      </c>
      <c r="D513" s="5" t="s">
        <v>227</v>
      </c>
      <c r="E513" s="5" t="s">
        <v>1722</v>
      </c>
      <c r="F513" s="5">
        <v>5263976</v>
      </c>
      <c r="G513" s="5" t="s">
        <v>420</v>
      </c>
      <c r="H513" s="5" t="s">
        <v>30</v>
      </c>
      <c r="I513" s="5" t="s">
        <v>22</v>
      </c>
      <c r="J513" s="5" t="s">
        <v>60</v>
      </c>
      <c r="K513" s="6">
        <v>0</v>
      </c>
      <c r="L513" s="7">
        <v>0</v>
      </c>
      <c r="M513" s="8">
        <v>4.166666666666667</v>
      </c>
      <c r="N513" s="8">
        <v>3.3333333333333335</v>
      </c>
      <c r="O513" s="8">
        <v>5.2535141501521885</v>
      </c>
      <c r="P513" s="8">
        <v>0</v>
      </c>
      <c r="Q513" s="8">
        <v>0</v>
      </c>
      <c r="R513" s="8">
        <v>0</v>
      </c>
      <c r="S513" s="8">
        <v>5</v>
      </c>
      <c r="T513" s="5">
        <v>5</v>
      </c>
      <c r="U513" s="5">
        <v>5</v>
      </c>
      <c r="V513" s="5">
        <f>VLOOKUP(A513,Planilha1!B:E,4,0)</f>
        <v>11.476197020267191</v>
      </c>
    </row>
    <row r="514" spans="1:22" x14ac:dyDescent="0.3">
      <c r="A514" t="str">
        <f t="shared" ref="A514:A577" si="16">J514&amp;I514</f>
        <v>LEITE UHTLACTALIS</v>
      </c>
      <c r="B514" t="str">
        <f t="shared" si="15"/>
        <v>5264254LEITE UHTLACTALIS</v>
      </c>
      <c r="C514" s="5" t="s">
        <v>226</v>
      </c>
      <c r="D514" s="5" t="s">
        <v>227</v>
      </c>
      <c r="E514" s="5" t="s">
        <v>1722</v>
      </c>
      <c r="F514" s="5">
        <v>5264254</v>
      </c>
      <c r="G514" s="5" t="s">
        <v>421</v>
      </c>
      <c r="H514" s="5" t="s">
        <v>30</v>
      </c>
      <c r="I514" s="5" t="s">
        <v>22</v>
      </c>
      <c r="J514" s="5" t="s">
        <v>156</v>
      </c>
      <c r="K514" s="6">
        <v>0</v>
      </c>
      <c r="L514" s="7">
        <v>240</v>
      </c>
      <c r="M514" s="8">
        <v>200</v>
      </c>
      <c r="N514" s="8">
        <v>120</v>
      </c>
      <c r="O514" s="8">
        <v>87.218316315001289</v>
      </c>
      <c r="P514" s="8">
        <v>0</v>
      </c>
      <c r="Q514" s="8">
        <v>0</v>
      </c>
      <c r="R514" s="8">
        <v>0</v>
      </c>
      <c r="S514" s="8">
        <v>0</v>
      </c>
      <c r="T514" s="5">
        <v>0</v>
      </c>
      <c r="U514" s="5">
        <v>0</v>
      </c>
      <c r="V514" s="5">
        <f>VLOOKUP(A514,Planilha1!B:E,4,0)</f>
        <v>0.37177548115779385</v>
      </c>
    </row>
    <row r="515" spans="1:22" x14ac:dyDescent="0.3">
      <c r="A515" t="str">
        <f t="shared" si="16"/>
        <v>LEITE UHTLACTALIS</v>
      </c>
      <c r="B515" t="str">
        <f t="shared" ref="B515:B578" si="17">F515&amp;J515&amp;I515</f>
        <v>5265010LEITE UHTLACTALIS</v>
      </c>
      <c r="C515" s="5" t="s">
        <v>226</v>
      </c>
      <c r="D515" s="5" t="s">
        <v>227</v>
      </c>
      <c r="E515" s="5" t="s">
        <v>1722</v>
      </c>
      <c r="F515" s="5">
        <v>5265010</v>
      </c>
      <c r="G515" s="5" t="s">
        <v>422</v>
      </c>
      <c r="H515" s="5" t="s">
        <v>30</v>
      </c>
      <c r="I515" s="5" t="s">
        <v>22</v>
      </c>
      <c r="J515" s="5" t="s">
        <v>156</v>
      </c>
      <c r="K515" s="6">
        <v>0</v>
      </c>
      <c r="L515" s="7">
        <v>0</v>
      </c>
      <c r="M515" s="8">
        <v>120</v>
      </c>
      <c r="N515" s="8">
        <v>80</v>
      </c>
      <c r="O515" s="8">
        <v>87.223087296693478</v>
      </c>
      <c r="P515" s="8">
        <v>0</v>
      </c>
      <c r="Q515" s="8">
        <v>0</v>
      </c>
      <c r="R515" s="8">
        <v>0</v>
      </c>
      <c r="S515" s="8">
        <v>0</v>
      </c>
      <c r="T515" s="5">
        <v>0</v>
      </c>
      <c r="U515" s="5">
        <v>0</v>
      </c>
      <c r="V515" s="5">
        <f>VLOOKUP(A515,Planilha1!B:E,4,0)</f>
        <v>0.37177548115779385</v>
      </c>
    </row>
    <row r="516" spans="1:22" x14ac:dyDescent="0.3">
      <c r="A516" t="str">
        <f t="shared" si="16"/>
        <v>MANTEIGA 5KGLACTALIS</v>
      </c>
      <c r="B516" t="str">
        <f t="shared" si="17"/>
        <v>5265511MANTEIGA 5KGLACTALIS</v>
      </c>
      <c r="C516" s="5" t="s">
        <v>226</v>
      </c>
      <c r="D516" s="5" t="s">
        <v>227</v>
      </c>
      <c r="E516" s="5" t="s">
        <v>1722</v>
      </c>
      <c r="F516" s="5">
        <v>5265511</v>
      </c>
      <c r="G516" s="5" t="s">
        <v>423</v>
      </c>
      <c r="H516" s="5" t="s">
        <v>30</v>
      </c>
      <c r="I516" s="5" t="s">
        <v>22</v>
      </c>
      <c r="J516" s="5" t="s">
        <v>60</v>
      </c>
      <c r="K516" s="6">
        <v>0</v>
      </c>
      <c r="L516" s="7">
        <v>10</v>
      </c>
      <c r="M516" s="8">
        <v>4.166666666666667</v>
      </c>
      <c r="N516" s="8">
        <v>3.3333333333333335</v>
      </c>
      <c r="O516" s="8">
        <v>7.0165337837621244</v>
      </c>
      <c r="P516" s="8">
        <v>0</v>
      </c>
      <c r="Q516" s="8">
        <v>0</v>
      </c>
      <c r="R516" s="8">
        <v>0</v>
      </c>
      <c r="S516" s="8">
        <v>10</v>
      </c>
      <c r="T516" s="5">
        <v>10</v>
      </c>
      <c r="U516" s="5">
        <v>10</v>
      </c>
      <c r="V516" s="5">
        <f>VLOOKUP(A516,Planilha1!B:E,4,0)</f>
        <v>11.476197020267191</v>
      </c>
    </row>
    <row r="517" spans="1:22" x14ac:dyDescent="0.3">
      <c r="A517" t="str">
        <f t="shared" si="16"/>
        <v>LEITE UHTLACTALIS</v>
      </c>
      <c r="B517" t="str">
        <f t="shared" si="17"/>
        <v>5265511LEITE UHTLACTALIS</v>
      </c>
      <c r="C517" s="5" t="s">
        <v>226</v>
      </c>
      <c r="D517" s="5" t="s">
        <v>227</v>
      </c>
      <c r="E517" s="5" t="s">
        <v>1722</v>
      </c>
      <c r="F517" s="5">
        <v>5265511</v>
      </c>
      <c r="G517" s="5" t="s">
        <v>423</v>
      </c>
      <c r="H517" s="5" t="s">
        <v>30</v>
      </c>
      <c r="I517" s="5" t="s">
        <v>22</v>
      </c>
      <c r="J517" s="5" t="s">
        <v>156</v>
      </c>
      <c r="K517" s="6">
        <v>0</v>
      </c>
      <c r="L517" s="7">
        <v>0</v>
      </c>
      <c r="M517" s="8">
        <v>4</v>
      </c>
      <c r="N517" s="8">
        <v>4</v>
      </c>
      <c r="O517" s="8">
        <v>4.360677266665455</v>
      </c>
      <c r="P517" s="8">
        <v>0</v>
      </c>
      <c r="Q517" s="8">
        <v>0</v>
      </c>
      <c r="R517" s="8">
        <v>0</v>
      </c>
      <c r="S517" s="8">
        <v>0</v>
      </c>
      <c r="T517" s="5">
        <v>0</v>
      </c>
      <c r="U517" s="5">
        <v>0</v>
      </c>
      <c r="V517" s="5">
        <f>VLOOKUP(A517,Planilha1!B:E,4,0)</f>
        <v>0.37177548115779385</v>
      </c>
    </row>
    <row r="518" spans="1:22" x14ac:dyDescent="0.3">
      <c r="A518" t="str">
        <f t="shared" si="16"/>
        <v>BLISTERLACTALIS</v>
      </c>
      <c r="B518" t="str">
        <f t="shared" si="17"/>
        <v>5265907BLISTERLACTALIS</v>
      </c>
      <c r="C518" s="5" t="s">
        <v>226</v>
      </c>
      <c r="D518" s="5" t="s">
        <v>227</v>
      </c>
      <c r="E518" s="5" t="s">
        <v>1722</v>
      </c>
      <c r="F518" s="5">
        <v>5265907</v>
      </c>
      <c r="G518" s="5" t="s">
        <v>424</v>
      </c>
      <c r="H518" s="5" t="s">
        <v>30</v>
      </c>
      <c r="I518" s="5" t="s">
        <v>22</v>
      </c>
      <c r="J518" s="5" t="s">
        <v>199</v>
      </c>
      <c r="K518" s="6">
        <v>0</v>
      </c>
      <c r="L518" s="7">
        <v>0</v>
      </c>
      <c r="M518" s="8">
        <v>1.28</v>
      </c>
      <c r="N518" s="8">
        <v>2.56</v>
      </c>
      <c r="O518" s="8">
        <v>1.8609921757254642</v>
      </c>
      <c r="P518" s="8">
        <v>0</v>
      </c>
      <c r="Q518" s="8">
        <v>0</v>
      </c>
      <c r="R518" s="8">
        <v>0</v>
      </c>
      <c r="S518" s="8">
        <v>0</v>
      </c>
      <c r="T518" s="5">
        <v>0</v>
      </c>
      <c r="U518" s="5">
        <v>0</v>
      </c>
      <c r="V518" s="5">
        <f>VLOOKUP(A518,Planilha1!B:E,4,0)</f>
        <v>13.783871706210666</v>
      </c>
    </row>
    <row r="519" spans="1:22" x14ac:dyDescent="0.3">
      <c r="A519" t="str">
        <f t="shared" si="16"/>
        <v>MANTEIGA 5KGLACTALIS</v>
      </c>
      <c r="B519" t="str">
        <f t="shared" si="17"/>
        <v>5265947MANTEIGA 5KGLACTALIS</v>
      </c>
      <c r="C519" s="5" t="s">
        <v>226</v>
      </c>
      <c r="D519" s="5" t="s">
        <v>227</v>
      </c>
      <c r="E519" s="5" t="s">
        <v>1722</v>
      </c>
      <c r="F519" s="5">
        <v>5265947</v>
      </c>
      <c r="G519" s="5" t="s">
        <v>425</v>
      </c>
      <c r="H519" s="5" t="s">
        <v>30</v>
      </c>
      <c r="I519" s="5" t="s">
        <v>22</v>
      </c>
      <c r="J519" s="5" t="s">
        <v>60</v>
      </c>
      <c r="K519" s="6">
        <v>0</v>
      </c>
      <c r="L519" s="7">
        <v>0</v>
      </c>
      <c r="M519" s="8">
        <v>11.666666666666668</v>
      </c>
      <c r="N519" s="8">
        <v>10</v>
      </c>
      <c r="O519" s="8">
        <v>14.025958617388726</v>
      </c>
      <c r="P519" s="8">
        <v>0</v>
      </c>
      <c r="Q519" s="8">
        <v>10</v>
      </c>
      <c r="R519" s="8">
        <v>0</v>
      </c>
      <c r="S519" s="8">
        <v>10</v>
      </c>
      <c r="T519" s="5">
        <v>10</v>
      </c>
      <c r="U519" s="5">
        <v>10</v>
      </c>
      <c r="V519" s="5">
        <f>VLOOKUP(A519,Planilha1!B:E,4,0)</f>
        <v>11.476197020267191</v>
      </c>
    </row>
    <row r="520" spans="1:22" x14ac:dyDescent="0.3">
      <c r="A520" t="str">
        <f t="shared" si="16"/>
        <v>LEITE UHTLACTALIS</v>
      </c>
      <c r="B520" t="str">
        <f t="shared" si="17"/>
        <v>5265966LEITE UHTLACTALIS</v>
      </c>
      <c r="C520" s="5" t="s">
        <v>226</v>
      </c>
      <c r="D520" s="5" t="s">
        <v>227</v>
      </c>
      <c r="E520" s="5" t="s">
        <v>1722</v>
      </c>
      <c r="F520" s="5">
        <v>5265966</v>
      </c>
      <c r="G520" s="5" t="s">
        <v>426</v>
      </c>
      <c r="H520" s="5" t="s">
        <v>30</v>
      </c>
      <c r="I520" s="5" t="s">
        <v>22</v>
      </c>
      <c r="J520" s="5" t="s">
        <v>156</v>
      </c>
      <c r="K520" s="6">
        <v>0</v>
      </c>
      <c r="L520" s="7">
        <v>24</v>
      </c>
      <c r="M520" s="8">
        <v>76</v>
      </c>
      <c r="N520" s="8">
        <v>56</v>
      </c>
      <c r="O520" s="8">
        <v>10.90646414835583</v>
      </c>
      <c r="P520" s="8">
        <v>0</v>
      </c>
      <c r="Q520" s="8">
        <v>0</v>
      </c>
      <c r="R520" s="8">
        <v>0</v>
      </c>
      <c r="S520" s="8">
        <v>0</v>
      </c>
      <c r="T520" s="5">
        <v>0</v>
      </c>
      <c r="U520" s="5">
        <v>0</v>
      </c>
      <c r="V520" s="5">
        <f>VLOOKUP(A520,Planilha1!B:E,4,0)</f>
        <v>0.37177548115779385</v>
      </c>
    </row>
    <row r="521" spans="1:22" x14ac:dyDescent="0.3">
      <c r="A521" t="str">
        <f t="shared" si="16"/>
        <v>BLISTERLACTALIS</v>
      </c>
      <c r="B521" t="str">
        <f t="shared" si="17"/>
        <v>5266124BLISTERLACTALIS</v>
      </c>
      <c r="C521" s="5" t="s">
        <v>226</v>
      </c>
      <c r="D521" s="5" t="s">
        <v>227</v>
      </c>
      <c r="E521" s="5" t="s">
        <v>1722</v>
      </c>
      <c r="F521" s="5">
        <v>5266124</v>
      </c>
      <c r="G521" s="5" t="s">
        <v>427</v>
      </c>
      <c r="H521" s="5" t="s">
        <v>30</v>
      </c>
      <c r="I521" s="5" t="s">
        <v>22</v>
      </c>
      <c r="J521" s="5" t="s">
        <v>199</v>
      </c>
      <c r="K521" s="6">
        <v>0</v>
      </c>
      <c r="L521" s="7">
        <v>16.32</v>
      </c>
      <c r="M521" s="8">
        <v>16.399999999999999</v>
      </c>
      <c r="N521" s="8">
        <v>12.96</v>
      </c>
      <c r="O521" s="8">
        <v>5.611316509547847</v>
      </c>
      <c r="P521" s="8">
        <v>0</v>
      </c>
      <c r="Q521" s="8">
        <v>12.24</v>
      </c>
      <c r="R521" s="8">
        <v>0</v>
      </c>
      <c r="S521" s="8">
        <v>23</v>
      </c>
      <c r="T521" s="5">
        <v>23</v>
      </c>
      <c r="U521" s="5">
        <v>12</v>
      </c>
      <c r="V521" s="5">
        <f>VLOOKUP(A521,Planilha1!B:E,4,0)</f>
        <v>13.783871706210666</v>
      </c>
    </row>
    <row r="522" spans="1:22" x14ac:dyDescent="0.3">
      <c r="A522" t="str">
        <f t="shared" si="16"/>
        <v>LEITE UHTLACTALIS</v>
      </c>
      <c r="B522" t="str">
        <f t="shared" si="17"/>
        <v>5266124LEITE UHTLACTALIS</v>
      </c>
      <c r="C522" s="5" t="s">
        <v>226</v>
      </c>
      <c r="D522" s="5" t="s">
        <v>227</v>
      </c>
      <c r="E522" s="5" t="s">
        <v>1722</v>
      </c>
      <c r="F522" s="5">
        <v>5266124</v>
      </c>
      <c r="G522" s="5" t="s">
        <v>427</v>
      </c>
      <c r="H522" s="5" t="s">
        <v>30</v>
      </c>
      <c r="I522" s="5" t="s">
        <v>22</v>
      </c>
      <c r="J522" s="5" t="s">
        <v>156</v>
      </c>
      <c r="K522" s="6">
        <v>0</v>
      </c>
      <c r="L522" s="7">
        <v>408</v>
      </c>
      <c r="M522" s="8">
        <v>248</v>
      </c>
      <c r="N522" s="8">
        <v>232</v>
      </c>
      <c r="O522" s="8">
        <v>146.10177236006152</v>
      </c>
      <c r="P522" s="8">
        <v>0</v>
      </c>
      <c r="Q522" s="8">
        <v>0</v>
      </c>
      <c r="R522" s="8">
        <v>0</v>
      </c>
      <c r="S522" s="8">
        <v>0</v>
      </c>
      <c r="T522" s="5">
        <v>0</v>
      </c>
      <c r="U522" s="5">
        <v>0</v>
      </c>
      <c r="V522" s="5">
        <f>VLOOKUP(A522,Planilha1!B:E,4,0)</f>
        <v>0.37177548115779385</v>
      </c>
    </row>
    <row r="523" spans="1:22" x14ac:dyDescent="0.3">
      <c r="A523" t="str">
        <f t="shared" si="16"/>
        <v>LEITE UHTLACTALIS</v>
      </c>
      <c r="B523" t="str">
        <f t="shared" si="17"/>
        <v>5266154LEITE UHTLACTALIS</v>
      </c>
      <c r="C523" s="5" t="s">
        <v>226</v>
      </c>
      <c r="D523" s="5" t="s">
        <v>227</v>
      </c>
      <c r="E523" s="5" t="s">
        <v>1722</v>
      </c>
      <c r="F523" s="5">
        <v>5266154</v>
      </c>
      <c r="G523" s="5" t="s">
        <v>428</v>
      </c>
      <c r="H523" s="5" t="s">
        <v>30</v>
      </c>
      <c r="I523" s="5" t="s">
        <v>22</v>
      </c>
      <c r="J523" s="5" t="s">
        <v>156</v>
      </c>
      <c r="K523" s="6">
        <v>0</v>
      </c>
      <c r="L523" s="7">
        <v>84</v>
      </c>
      <c r="M523" s="8">
        <v>92</v>
      </c>
      <c r="N523" s="8">
        <v>96</v>
      </c>
      <c r="O523" s="8">
        <v>56.693575448343097</v>
      </c>
      <c r="P523" s="8">
        <v>0</v>
      </c>
      <c r="Q523" s="8">
        <v>48</v>
      </c>
      <c r="R523" s="8">
        <v>0</v>
      </c>
      <c r="S523" s="8">
        <v>0</v>
      </c>
      <c r="T523" s="5">
        <v>0</v>
      </c>
      <c r="U523" s="5">
        <v>0</v>
      </c>
      <c r="V523" s="5">
        <f>VLOOKUP(A523,Planilha1!B:E,4,0)</f>
        <v>0.37177548115779385</v>
      </c>
    </row>
    <row r="524" spans="1:22" x14ac:dyDescent="0.3">
      <c r="A524" t="str">
        <f t="shared" si="16"/>
        <v>LEITE UHTLACTALIS</v>
      </c>
      <c r="B524" t="str">
        <f t="shared" si="17"/>
        <v>5266265LEITE UHTLACTALIS</v>
      </c>
      <c r="C524" s="5" t="s">
        <v>226</v>
      </c>
      <c r="D524" s="5" t="s">
        <v>227</v>
      </c>
      <c r="E524" s="5" t="s">
        <v>1722</v>
      </c>
      <c r="F524" s="5">
        <v>5266265</v>
      </c>
      <c r="G524" s="5" t="s">
        <v>429</v>
      </c>
      <c r="H524" s="5" t="s">
        <v>30</v>
      </c>
      <c r="I524" s="5" t="s">
        <v>22</v>
      </c>
      <c r="J524" s="5" t="s">
        <v>156</v>
      </c>
      <c r="K524" s="6">
        <v>0</v>
      </c>
      <c r="L524" s="7">
        <v>120</v>
      </c>
      <c r="M524" s="8">
        <v>140</v>
      </c>
      <c r="N524" s="8">
        <v>92</v>
      </c>
      <c r="O524" s="8">
        <v>82.852868066643651</v>
      </c>
      <c r="P524" s="8">
        <v>0</v>
      </c>
      <c r="Q524" s="8">
        <v>0</v>
      </c>
      <c r="R524" s="8">
        <v>0</v>
      </c>
      <c r="S524" s="8">
        <v>0</v>
      </c>
      <c r="T524" s="5">
        <v>0</v>
      </c>
      <c r="U524" s="5">
        <v>0</v>
      </c>
      <c r="V524" s="5">
        <f>VLOOKUP(A524,Planilha1!B:E,4,0)</f>
        <v>0.37177548115779385</v>
      </c>
    </row>
    <row r="525" spans="1:22" x14ac:dyDescent="0.3">
      <c r="A525" t="str">
        <f t="shared" si="16"/>
        <v>LEITE UHTLACTALIS</v>
      </c>
      <c r="B525" t="str">
        <f t="shared" si="17"/>
        <v>5266323LEITE UHTLACTALIS</v>
      </c>
      <c r="C525" s="5" t="s">
        <v>226</v>
      </c>
      <c r="D525" s="5" t="s">
        <v>227</v>
      </c>
      <c r="E525" s="5" t="s">
        <v>1722</v>
      </c>
      <c r="F525" s="5">
        <v>5266323</v>
      </c>
      <c r="G525" s="5" t="s">
        <v>430</v>
      </c>
      <c r="H525" s="5" t="s">
        <v>30</v>
      </c>
      <c r="I525" s="5" t="s">
        <v>22</v>
      </c>
      <c r="J525" s="5" t="s">
        <v>156</v>
      </c>
      <c r="K525" s="6">
        <v>0</v>
      </c>
      <c r="L525" s="7">
        <v>0</v>
      </c>
      <c r="M525" s="8">
        <v>88</v>
      </c>
      <c r="N525" s="8">
        <v>72</v>
      </c>
      <c r="O525" s="8">
        <v>74.136284515004917</v>
      </c>
      <c r="P525" s="8">
        <v>0</v>
      </c>
      <c r="Q525" s="8">
        <v>0</v>
      </c>
      <c r="R525" s="8">
        <v>0</v>
      </c>
      <c r="S525" s="8">
        <v>0</v>
      </c>
      <c r="T525" s="5">
        <v>0</v>
      </c>
      <c r="U525" s="5">
        <v>0</v>
      </c>
      <c r="V525" s="5">
        <f>VLOOKUP(A525,Planilha1!B:E,4,0)</f>
        <v>0.37177548115779385</v>
      </c>
    </row>
    <row r="526" spans="1:22" x14ac:dyDescent="0.3">
      <c r="A526" t="str">
        <f t="shared" si="16"/>
        <v>MANTEIGA 5KGLACTALIS</v>
      </c>
      <c r="B526" t="str">
        <f t="shared" si="17"/>
        <v>5266349MANTEIGA 5KGLACTALIS</v>
      </c>
      <c r="C526" s="5" t="s">
        <v>226</v>
      </c>
      <c r="D526" s="5" t="s">
        <v>227</v>
      </c>
      <c r="E526" s="5" t="s">
        <v>1722</v>
      </c>
      <c r="F526" s="5">
        <v>5266349</v>
      </c>
      <c r="G526" s="5" t="s">
        <v>431</v>
      </c>
      <c r="H526" s="5" t="s">
        <v>30</v>
      </c>
      <c r="I526" s="5" t="s">
        <v>22</v>
      </c>
      <c r="J526" s="5" t="s">
        <v>60</v>
      </c>
      <c r="K526" s="6">
        <v>0</v>
      </c>
      <c r="L526" s="7">
        <v>0</v>
      </c>
      <c r="M526" s="8">
        <v>3.3333333333333335</v>
      </c>
      <c r="N526" s="8">
        <v>0</v>
      </c>
      <c r="O526" s="8">
        <v>3.5047124168133004</v>
      </c>
      <c r="P526" s="8">
        <v>0</v>
      </c>
      <c r="Q526" s="8">
        <v>0</v>
      </c>
      <c r="R526" s="8">
        <v>0</v>
      </c>
      <c r="S526" s="8">
        <v>0</v>
      </c>
      <c r="T526" s="5">
        <v>0</v>
      </c>
      <c r="U526" s="5">
        <v>0</v>
      </c>
      <c r="V526" s="5">
        <f>VLOOKUP(A526,Planilha1!B:E,4,0)</f>
        <v>11.476197020267191</v>
      </c>
    </row>
    <row r="527" spans="1:22" x14ac:dyDescent="0.3">
      <c r="A527" t="str">
        <f t="shared" si="16"/>
        <v>LEITE UHTLACTALIS</v>
      </c>
      <c r="B527" t="str">
        <f t="shared" si="17"/>
        <v>5266351LEITE UHTLACTALIS</v>
      </c>
      <c r="C527" s="5" t="s">
        <v>226</v>
      </c>
      <c r="D527" s="5" t="s">
        <v>227</v>
      </c>
      <c r="E527" s="5" t="s">
        <v>1722</v>
      </c>
      <c r="F527" s="5">
        <v>5266351</v>
      </c>
      <c r="G527" s="5" t="s">
        <v>432</v>
      </c>
      <c r="H527" s="5" t="s">
        <v>30</v>
      </c>
      <c r="I527" s="5" t="s">
        <v>22</v>
      </c>
      <c r="J527" s="5" t="s">
        <v>156</v>
      </c>
      <c r="K527" s="6">
        <v>0</v>
      </c>
      <c r="L527" s="7">
        <v>48</v>
      </c>
      <c r="M527" s="8">
        <v>58</v>
      </c>
      <c r="N527" s="8">
        <v>56</v>
      </c>
      <c r="O527" s="8">
        <v>32.705079499990909</v>
      </c>
      <c r="P527" s="8">
        <v>0</v>
      </c>
      <c r="Q527" s="8">
        <v>0</v>
      </c>
      <c r="R527" s="8">
        <v>0</v>
      </c>
      <c r="S527" s="8">
        <v>0</v>
      </c>
      <c r="T527" s="5">
        <v>0</v>
      </c>
      <c r="U527" s="5">
        <v>0</v>
      </c>
      <c r="V527" s="5">
        <f>VLOOKUP(A527,Planilha1!B:E,4,0)</f>
        <v>0.37177548115779385</v>
      </c>
    </row>
    <row r="528" spans="1:22" x14ac:dyDescent="0.3">
      <c r="A528" t="str">
        <f t="shared" si="16"/>
        <v>MANTEIGA 5KGLACTALIS</v>
      </c>
      <c r="B528" t="str">
        <f t="shared" si="17"/>
        <v>5266491MANTEIGA 5KGLACTALIS</v>
      </c>
      <c r="C528" s="5" t="s">
        <v>226</v>
      </c>
      <c r="D528" s="5" t="s">
        <v>227</v>
      </c>
      <c r="E528" s="5" t="s">
        <v>1722</v>
      </c>
      <c r="F528" s="5">
        <v>5266491</v>
      </c>
      <c r="G528" s="5" t="s">
        <v>433</v>
      </c>
      <c r="H528" s="5" t="s">
        <v>30</v>
      </c>
      <c r="I528" s="5" t="s">
        <v>22</v>
      </c>
      <c r="J528" s="5" t="s">
        <v>60</v>
      </c>
      <c r="K528" s="6">
        <v>0</v>
      </c>
      <c r="L528" s="7">
        <v>0</v>
      </c>
      <c r="M528" s="8">
        <v>55.833333333333329</v>
      </c>
      <c r="N528" s="8">
        <v>40</v>
      </c>
      <c r="O528" s="8">
        <v>77.146326870705749</v>
      </c>
      <c r="P528" s="8">
        <v>0</v>
      </c>
      <c r="Q528" s="8">
        <v>0</v>
      </c>
      <c r="R528" s="8">
        <v>0</v>
      </c>
      <c r="S528" s="8">
        <v>105</v>
      </c>
      <c r="T528" s="5">
        <v>105</v>
      </c>
      <c r="U528" s="5">
        <v>105</v>
      </c>
      <c r="V528" s="5">
        <f>VLOOKUP(A528,Planilha1!B:E,4,0)</f>
        <v>11.476197020267191</v>
      </c>
    </row>
    <row r="529" spans="1:22" x14ac:dyDescent="0.3">
      <c r="A529" t="str">
        <f t="shared" si="16"/>
        <v>LEITE UHTLACTALIS</v>
      </c>
      <c r="B529" t="str">
        <f t="shared" si="17"/>
        <v>5266491LEITE UHTLACTALIS</v>
      </c>
      <c r="C529" s="5" t="s">
        <v>226</v>
      </c>
      <c r="D529" s="5" t="s">
        <v>227</v>
      </c>
      <c r="E529" s="5" t="s">
        <v>1722</v>
      </c>
      <c r="F529" s="5">
        <v>5266491</v>
      </c>
      <c r="G529" s="5" t="s">
        <v>433</v>
      </c>
      <c r="H529" s="5" t="s">
        <v>30</v>
      </c>
      <c r="I529" s="5" t="s">
        <v>22</v>
      </c>
      <c r="J529" s="5" t="s">
        <v>156</v>
      </c>
      <c r="K529" s="6">
        <v>0</v>
      </c>
      <c r="L529" s="7">
        <v>0</v>
      </c>
      <c r="M529" s="8">
        <v>6</v>
      </c>
      <c r="N529" s="8">
        <v>0</v>
      </c>
      <c r="O529" s="8">
        <v>6.5457868816903764</v>
      </c>
      <c r="P529" s="8">
        <v>0</v>
      </c>
      <c r="Q529" s="8">
        <v>0</v>
      </c>
      <c r="R529" s="8">
        <v>0</v>
      </c>
      <c r="S529" s="8">
        <v>0</v>
      </c>
      <c r="T529" s="5">
        <v>0</v>
      </c>
      <c r="U529" s="5">
        <v>0</v>
      </c>
      <c r="V529" s="5">
        <f>VLOOKUP(A529,Planilha1!B:E,4,0)</f>
        <v>0.37177548115779385</v>
      </c>
    </row>
    <row r="530" spans="1:22" x14ac:dyDescent="0.3">
      <c r="A530" t="str">
        <f t="shared" si="16"/>
        <v>BLISTERLACTALIS</v>
      </c>
      <c r="B530" t="str">
        <f t="shared" si="17"/>
        <v>5266544BLISTERLACTALIS</v>
      </c>
      <c r="C530" s="5" t="s">
        <v>226</v>
      </c>
      <c r="D530" s="5" t="s">
        <v>227</v>
      </c>
      <c r="E530" s="5" t="s">
        <v>1722</v>
      </c>
      <c r="F530" s="5">
        <v>5266544</v>
      </c>
      <c r="G530" s="5" t="s">
        <v>434</v>
      </c>
      <c r="H530" s="5" t="s">
        <v>30</v>
      </c>
      <c r="I530" s="5" t="s">
        <v>22</v>
      </c>
      <c r="J530" s="5" t="s">
        <v>199</v>
      </c>
      <c r="K530" s="6">
        <v>0</v>
      </c>
      <c r="L530" s="7">
        <v>30.96</v>
      </c>
      <c r="M530" s="8">
        <v>41.28</v>
      </c>
      <c r="N530" s="8">
        <v>36.08</v>
      </c>
      <c r="O530" s="8">
        <v>28.453342300939589</v>
      </c>
      <c r="P530" s="8">
        <v>0</v>
      </c>
      <c r="Q530" s="8">
        <v>28.8</v>
      </c>
      <c r="R530" s="8">
        <v>0</v>
      </c>
      <c r="S530" s="8">
        <v>26</v>
      </c>
      <c r="T530" s="5">
        <v>26</v>
      </c>
      <c r="U530" s="5">
        <v>26</v>
      </c>
      <c r="V530" s="5">
        <f>VLOOKUP(A530,Planilha1!B:E,4,0)</f>
        <v>13.783871706210666</v>
      </c>
    </row>
    <row r="531" spans="1:22" x14ac:dyDescent="0.3">
      <c r="A531" t="str">
        <f t="shared" si="16"/>
        <v>LEITE UHTLACTALIS</v>
      </c>
      <c r="B531" t="str">
        <f t="shared" si="17"/>
        <v>5266544LEITE UHTLACTALIS</v>
      </c>
      <c r="C531" s="5" t="s">
        <v>226</v>
      </c>
      <c r="D531" s="5" t="s">
        <v>227</v>
      </c>
      <c r="E531" s="5" t="s">
        <v>1722</v>
      </c>
      <c r="F531" s="5">
        <v>5266544</v>
      </c>
      <c r="G531" s="5" t="s">
        <v>434</v>
      </c>
      <c r="H531" s="5" t="s">
        <v>30</v>
      </c>
      <c r="I531" s="5" t="s">
        <v>22</v>
      </c>
      <c r="J531" s="5" t="s">
        <v>156</v>
      </c>
      <c r="K531" s="6">
        <v>0</v>
      </c>
      <c r="L531" s="7">
        <v>576</v>
      </c>
      <c r="M531" s="8">
        <v>680</v>
      </c>
      <c r="N531" s="8">
        <v>688</v>
      </c>
      <c r="O531" s="8">
        <v>394.69377343183777</v>
      </c>
      <c r="P531" s="8">
        <v>0</v>
      </c>
      <c r="Q531" s="8">
        <v>0</v>
      </c>
      <c r="R531" s="8">
        <v>0</v>
      </c>
      <c r="S531" s="8">
        <v>0</v>
      </c>
      <c r="T531" s="5">
        <v>0</v>
      </c>
      <c r="U531" s="5">
        <v>0</v>
      </c>
      <c r="V531" s="5">
        <f>VLOOKUP(A531,Planilha1!B:E,4,0)</f>
        <v>0.37177548115779385</v>
      </c>
    </row>
    <row r="532" spans="1:22" x14ac:dyDescent="0.3">
      <c r="A532" t="str">
        <f t="shared" si="16"/>
        <v>LEITE UHTLACTALIS</v>
      </c>
      <c r="B532" t="str">
        <f t="shared" si="17"/>
        <v>5266577LEITE UHTLACTALIS</v>
      </c>
      <c r="C532" s="5" t="s">
        <v>226</v>
      </c>
      <c r="D532" s="5" t="s">
        <v>227</v>
      </c>
      <c r="E532" s="5" t="s">
        <v>1722</v>
      </c>
      <c r="F532" s="5">
        <v>5266577</v>
      </c>
      <c r="G532" s="5" t="s">
        <v>428</v>
      </c>
      <c r="H532" s="5" t="s">
        <v>30</v>
      </c>
      <c r="I532" s="5" t="s">
        <v>22</v>
      </c>
      <c r="J532" s="5" t="s">
        <v>156</v>
      </c>
      <c r="K532" s="6">
        <v>0</v>
      </c>
      <c r="L532" s="7">
        <v>84</v>
      </c>
      <c r="M532" s="8">
        <v>124</v>
      </c>
      <c r="N532" s="8">
        <v>100</v>
      </c>
      <c r="O532" s="8">
        <v>61.054252715008559</v>
      </c>
      <c r="P532" s="8">
        <v>0</v>
      </c>
      <c r="Q532" s="8">
        <v>36</v>
      </c>
      <c r="R532" s="8">
        <v>0</v>
      </c>
      <c r="S532" s="8">
        <v>0</v>
      </c>
      <c r="T532" s="5">
        <v>0</v>
      </c>
      <c r="U532" s="5">
        <v>0</v>
      </c>
      <c r="V532" s="5">
        <f>VLOOKUP(A532,Planilha1!B:E,4,0)</f>
        <v>0.37177548115779385</v>
      </c>
    </row>
    <row r="533" spans="1:22" x14ac:dyDescent="0.3">
      <c r="A533" t="str">
        <f t="shared" si="16"/>
        <v>MANTEIGA 5KGLACTALIS</v>
      </c>
      <c r="B533" t="str">
        <f t="shared" si="17"/>
        <v>5266628MANTEIGA 5KGLACTALIS</v>
      </c>
      <c r="C533" s="5" t="s">
        <v>226</v>
      </c>
      <c r="D533" s="5" t="s">
        <v>227</v>
      </c>
      <c r="E533" s="5" t="s">
        <v>1722</v>
      </c>
      <c r="F533" s="5">
        <v>5266628</v>
      </c>
      <c r="G533" s="5" t="s">
        <v>435</v>
      </c>
      <c r="H533" s="5" t="s">
        <v>30</v>
      </c>
      <c r="I533" s="5" t="s">
        <v>22</v>
      </c>
      <c r="J533" s="5" t="s">
        <v>60</v>
      </c>
      <c r="K533" s="6">
        <v>0</v>
      </c>
      <c r="L533" s="7">
        <v>5</v>
      </c>
      <c r="M533" s="8">
        <v>6.6666666666666661</v>
      </c>
      <c r="N533" s="8">
        <v>6.666666666666667</v>
      </c>
      <c r="O533" s="8">
        <v>7.0165337837621244</v>
      </c>
      <c r="P533" s="8">
        <v>0</v>
      </c>
      <c r="Q533" s="8">
        <v>0</v>
      </c>
      <c r="R533" s="8">
        <v>0</v>
      </c>
      <c r="S533" s="8">
        <v>5</v>
      </c>
      <c r="T533" s="5">
        <v>5</v>
      </c>
      <c r="U533" s="5">
        <v>5</v>
      </c>
      <c r="V533" s="5">
        <f>VLOOKUP(A533,Planilha1!B:E,4,0)</f>
        <v>11.476197020267191</v>
      </c>
    </row>
    <row r="534" spans="1:22" x14ac:dyDescent="0.3">
      <c r="A534" t="str">
        <f t="shared" si="16"/>
        <v>LEITE UHTLACTALIS</v>
      </c>
      <c r="B534" t="str">
        <f t="shared" si="17"/>
        <v>5266628LEITE UHTLACTALIS</v>
      </c>
      <c r="C534" s="5" t="s">
        <v>226</v>
      </c>
      <c r="D534" s="5" t="s">
        <v>227</v>
      </c>
      <c r="E534" s="5" t="s">
        <v>1722</v>
      </c>
      <c r="F534" s="5">
        <v>5266628</v>
      </c>
      <c r="G534" s="5" t="s">
        <v>435</v>
      </c>
      <c r="H534" s="5" t="s">
        <v>30</v>
      </c>
      <c r="I534" s="5" t="s">
        <v>22</v>
      </c>
      <c r="J534" s="5" t="s">
        <v>156</v>
      </c>
      <c r="K534" s="6">
        <v>0</v>
      </c>
      <c r="L534" s="7">
        <v>60</v>
      </c>
      <c r="M534" s="8">
        <v>56</v>
      </c>
      <c r="N534" s="8">
        <v>56</v>
      </c>
      <c r="O534" s="8">
        <v>45.79665326337166</v>
      </c>
      <c r="P534" s="8">
        <v>0</v>
      </c>
      <c r="Q534" s="8">
        <v>0</v>
      </c>
      <c r="R534" s="8">
        <v>0</v>
      </c>
      <c r="S534" s="8">
        <v>0</v>
      </c>
      <c r="T534" s="5">
        <v>0</v>
      </c>
      <c r="U534" s="5">
        <v>0</v>
      </c>
      <c r="V534" s="5">
        <f>VLOOKUP(A534,Planilha1!B:E,4,0)</f>
        <v>0.37177548115779385</v>
      </c>
    </row>
    <row r="535" spans="1:22" x14ac:dyDescent="0.3">
      <c r="A535" t="str">
        <f t="shared" si="16"/>
        <v>LEITE UHTLACTALIS</v>
      </c>
      <c r="B535" t="str">
        <f t="shared" si="17"/>
        <v>5266693LEITE UHTLACTALIS</v>
      </c>
      <c r="C535" s="5" t="s">
        <v>226</v>
      </c>
      <c r="D535" s="5" t="s">
        <v>227</v>
      </c>
      <c r="E535" s="5" t="s">
        <v>1722</v>
      </c>
      <c r="F535" s="5">
        <v>5266693</v>
      </c>
      <c r="G535" s="5" t="s">
        <v>436</v>
      </c>
      <c r="H535" s="5" t="s">
        <v>30</v>
      </c>
      <c r="I535" s="5" t="s">
        <v>22</v>
      </c>
      <c r="J535" s="5" t="s">
        <v>156</v>
      </c>
      <c r="K535" s="6">
        <v>0</v>
      </c>
      <c r="L535" s="7">
        <v>204</v>
      </c>
      <c r="M535" s="8">
        <v>144</v>
      </c>
      <c r="N535" s="8">
        <v>100</v>
      </c>
      <c r="O535" s="8">
        <v>109.03124461171295</v>
      </c>
      <c r="P535" s="8">
        <v>0</v>
      </c>
      <c r="Q535" s="8">
        <v>0</v>
      </c>
      <c r="R535" s="8">
        <v>0</v>
      </c>
      <c r="S535" s="8">
        <v>0</v>
      </c>
      <c r="T535" s="5">
        <v>0</v>
      </c>
      <c r="U535" s="5">
        <v>0</v>
      </c>
      <c r="V535" s="5">
        <f>VLOOKUP(A535,Planilha1!B:E,4,0)</f>
        <v>0.37177548115779385</v>
      </c>
    </row>
    <row r="536" spans="1:22" x14ac:dyDescent="0.3">
      <c r="A536" t="str">
        <f t="shared" si="16"/>
        <v>LEITE UHTLACTALIS</v>
      </c>
      <c r="B536" t="str">
        <f t="shared" si="17"/>
        <v>5266756LEITE UHTLACTALIS</v>
      </c>
      <c r="C536" s="5" t="s">
        <v>226</v>
      </c>
      <c r="D536" s="5" t="s">
        <v>227</v>
      </c>
      <c r="E536" s="5" t="s">
        <v>1722</v>
      </c>
      <c r="F536" s="5">
        <v>5266756</v>
      </c>
      <c r="G536" s="5" t="s">
        <v>437</v>
      </c>
      <c r="H536" s="5" t="s">
        <v>30</v>
      </c>
      <c r="I536" s="5" t="s">
        <v>22</v>
      </c>
      <c r="J536" s="5" t="s">
        <v>156</v>
      </c>
      <c r="K536" s="6">
        <v>0</v>
      </c>
      <c r="L536" s="7">
        <v>60</v>
      </c>
      <c r="M536" s="8">
        <v>90</v>
      </c>
      <c r="N536" s="8">
        <v>80</v>
      </c>
      <c r="O536" s="8">
        <v>65.42924292675059</v>
      </c>
      <c r="P536" s="8">
        <v>0</v>
      </c>
      <c r="Q536" s="8">
        <v>0</v>
      </c>
      <c r="R536" s="8">
        <v>0</v>
      </c>
      <c r="S536" s="8">
        <v>0</v>
      </c>
      <c r="T536" s="5">
        <v>0</v>
      </c>
      <c r="U536" s="5">
        <v>0</v>
      </c>
      <c r="V536" s="5">
        <f>VLOOKUP(A536,Planilha1!B:E,4,0)</f>
        <v>0.37177548115779385</v>
      </c>
    </row>
    <row r="537" spans="1:22" x14ac:dyDescent="0.3">
      <c r="A537" t="str">
        <f t="shared" si="16"/>
        <v>LEITE UHTLACTALIS</v>
      </c>
      <c r="B537" t="str">
        <f t="shared" si="17"/>
        <v>5269006LEITE UHTLACTALIS</v>
      </c>
      <c r="C537" s="5" t="s">
        <v>226</v>
      </c>
      <c r="D537" s="5" t="s">
        <v>227</v>
      </c>
      <c r="E537" s="5" t="s">
        <v>1722</v>
      </c>
      <c r="F537" s="5">
        <v>5269006</v>
      </c>
      <c r="G537" s="5" t="s">
        <v>438</v>
      </c>
      <c r="H537" s="5" t="s">
        <v>30</v>
      </c>
      <c r="I537" s="5" t="s">
        <v>22</v>
      </c>
      <c r="J537" s="5" t="s">
        <v>156</v>
      </c>
      <c r="K537" s="6">
        <v>0</v>
      </c>
      <c r="L537" s="7">
        <v>36</v>
      </c>
      <c r="M537" s="8">
        <v>28</v>
      </c>
      <c r="N537" s="8">
        <v>24</v>
      </c>
      <c r="O537" s="8">
        <v>13.082031799996365</v>
      </c>
      <c r="P537" s="8">
        <v>0</v>
      </c>
      <c r="Q537" s="8">
        <v>0</v>
      </c>
      <c r="R537" s="8">
        <v>0</v>
      </c>
      <c r="S537" s="8">
        <v>0</v>
      </c>
      <c r="T537" s="5">
        <v>0</v>
      </c>
      <c r="U537" s="5">
        <v>0</v>
      </c>
      <c r="V537" s="5">
        <f>VLOOKUP(A537,Planilha1!B:E,4,0)</f>
        <v>0.37177548115779385</v>
      </c>
    </row>
    <row r="538" spans="1:22" x14ac:dyDescent="0.3">
      <c r="A538" t="str">
        <f t="shared" si="16"/>
        <v>LEITE UHTLACTALIS</v>
      </c>
      <c r="B538" t="str">
        <f t="shared" si="17"/>
        <v>5269528LEITE UHTLACTALIS</v>
      </c>
      <c r="C538" s="5" t="s">
        <v>226</v>
      </c>
      <c r="D538" s="5" t="s">
        <v>227</v>
      </c>
      <c r="E538" s="5" t="s">
        <v>1722</v>
      </c>
      <c r="F538" s="5">
        <v>5269528</v>
      </c>
      <c r="G538" s="5" t="s">
        <v>439</v>
      </c>
      <c r="H538" s="5" t="s">
        <v>30</v>
      </c>
      <c r="I538" s="5" t="s">
        <v>22</v>
      </c>
      <c r="J538" s="5" t="s">
        <v>156</v>
      </c>
      <c r="K538" s="6">
        <v>0</v>
      </c>
      <c r="L538" s="7">
        <v>72</v>
      </c>
      <c r="M538" s="8">
        <v>20</v>
      </c>
      <c r="N538" s="8">
        <v>20</v>
      </c>
      <c r="O538" s="8">
        <v>34.88541813332364</v>
      </c>
      <c r="P538" s="8">
        <v>0</v>
      </c>
      <c r="Q538" s="8">
        <v>0</v>
      </c>
      <c r="R538" s="8">
        <v>0</v>
      </c>
      <c r="S538" s="8">
        <v>0</v>
      </c>
      <c r="T538" s="5">
        <v>0</v>
      </c>
      <c r="U538" s="5">
        <v>0</v>
      </c>
      <c r="V538" s="5">
        <f>VLOOKUP(A538,Planilha1!B:E,4,0)</f>
        <v>0.37177548115779385</v>
      </c>
    </row>
    <row r="539" spans="1:22" x14ac:dyDescent="0.3">
      <c r="A539" t="str">
        <f t="shared" si="16"/>
        <v>BLISTERLACTALIS</v>
      </c>
      <c r="B539" t="str">
        <f t="shared" si="17"/>
        <v>5269835BLISTERLACTALIS</v>
      </c>
      <c r="C539" s="5" t="s">
        <v>226</v>
      </c>
      <c r="D539" s="5" t="s">
        <v>227</v>
      </c>
      <c r="E539" s="5" t="s">
        <v>1722</v>
      </c>
      <c r="F539" s="5">
        <v>5269835</v>
      </c>
      <c r="G539" s="5" t="s">
        <v>440</v>
      </c>
      <c r="H539" s="5" t="s">
        <v>30</v>
      </c>
      <c r="I539" s="5" t="s">
        <v>22</v>
      </c>
      <c r="J539" s="5" t="s">
        <v>199</v>
      </c>
      <c r="K539" s="6">
        <v>0</v>
      </c>
      <c r="L539" s="7">
        <v>1.92</v>
      </c>
      <c r="M539" s="8">
        <v>7.3599999999999985</v>
      </c>
      <c r="N539" s="8">
        <v>4.4799999999999995</v>
      </c>
      <c r="O539" s="8">
        <v>5.5640832055954235</v>
      </c>
      <c r="P539" s="8">
        <v>0</v>
      </c>
      <c r="Q539" s="8">
        <v>0</v>
      </c>
      <c r="R539" s="8">
        <v>0</v>
      </c>
      <c r="S539" s="8">
        <v>0</v>
      </c>
      <c r="T539" s="5">
        <v>0</v>
      </c>
      <c r="U539" s="5">
        <v>0</v>
      </c>
      <c r="V539" s="5">
        <f>VLOOKUP(A539,Planilha1!B:E,4,0)</f>
        <v>13.783871706210666</v>
      </c>
    </row>
    <row r="540" spans="1:22" x14ac:dyDescent="0.3">
      <c r="A540" t="str">
        <f t="shared" si="16"/>
        <v>PARMESÃOLACTALIS</v>
      </c>
      <c r="B540" t="str">
        <f t="shared" si="17"/>
        <v>5269835PARMESÃOLACTALIS</v>
      </c>
      <c r="C540" s="5" t="s">
        <v>226</v>
      </c>
      <c r="D540" s="5" t="s">
        <v>227</v>
      </c>
      <c r="E540" s="5" t="s">
        <v>1722</v>
      </c>
      <c r="F540" s="5">
        <v>5269835</v>
      </c>
      <c r="G540" s="5" t="s">
        <v>440</v>
      </c>
      <c r="H540" s="5" t="s">
        <v>30</v>
      </c>
      <c r="I540" s="5" t="s">
        <v>22</v>
      </c>
      <c r="J540" s="5" t="s">
        <v>195</v>
      </c>
      <c r="K540" s="6">
        <v>0</v>
      </c>
      <c r="L540" s="7">
        <v>0</v>
      </c>
      <c r="M540" s="8">
        <v>0</v>
      </c>
      <c r="N540" s="8">
        <v>0</v>
      </c>
      <c r="O540" s="8">
        <v>6.8384657720008795</v>
      </c>
      <c r="P540" s="8">
        <v>0</v>
      </c>
      <c r="Q540" s="8">
        <v>0</v>
      </c>
      <c r="R540" s="8">
        <v>0</v>
      </c>
      <c r="S540" s="8">
        <v>0</v>
      </c>
      <c r="T540" s="5">
        <v>0</v>
      </c>
      <c r="U540" s="5">
        <v>0</v>
      </c>
      <c r="V540" s="5">
        <f>VLOOKUP(A540,Planilha1!B:E,4,0)</f>
        <v>6.310326960724681</v>
      </c>
    </row>
    <row r="541" spans="1:22" x14ac:dyDescent="0.3">
      <c r="A541" t="str">
        <f t="shared" si="16"/>
        <v>LEITE UHTLACTALIS</v>
      </c>
      <c r="B541" t="str">
        <f t="shared" si="17"/>
        <v>5269835LEITE UHTLACTALIS</v>
      </c>
      <c r="C541" s="5" t="s">
        <v>226</v>
      </c>
      <c r="D541" s="5" t="s">
        <v>227</v>
      </c>
      <c r="E541" s="5" t="s">
        <v>1722</v>
      </c>
      <c r="F541" s="5">
        <v>5269835</v>
      </c>
      <c r="G541" s="5" t="s">
        <v>440</v>
      </c>
      <c r="H541" s="5" t="s">
        <v>30</v>
      </c>
      <c r="I541" s="5" t="s">
        <v>22</v>
      </c>
      <c r="J541" s="5" t="s">
        <v>156</v>
      </c>
      <c r="K541" s="6">
        <v>0</v>
      </c>
      <c r="L541" s="7">
        <v>0</v>
      </c>
      <c r="M541" s="8">
        <v>390</v>
      </c>
      <c r="N541" s="8">
        <v>300</v>
      </c>
      <c r="O541" s="8">
        <v>65.419700963366211</v>
      </c>
      <c r="P541" s="8">
        <v>0</v>
      </c>
      <c r="Q541" s="8">
        <v>0</v>
      </c>
      <c r="R541" s="8">
        <v>0</v>
      </c>
      <c r="S541" s="8">
        <v>0</v>
      </c>
      <c r="T541" s="5">
        <v>0</v>
      </c>
      <c r="U541" s="5">
        <v>0</v>
      </c>
      <c r="V541" s="5">
        <f>VLOOKUP(A541,Planilha1!B:E,4,0)</f>
        <v>0.37177548115779385</v>
      </c>
    </row>
    <row r="542" spans="1:22" x14ac:dyDescent="0.3">
      <c r="A542" t="str">
        <f t="shared" si="16"/>
        <v>LEITE UHTLACTALIS</v>
      </c>
      <c r="B542" t="str">
        <f t="shared" si="17"/>
        <v>5270158LEITE UHTLACTALIS</v>
      </c>
      <c r="C542" s="5" t="s">
        <v>226</v>
      </c>
      <c r="D542" s="5" t="s">
        <v>227</v>
      </c>
      <c r="E542" s="5" t="s">
        <v>1722</v>
      </c>
      <c r="F542" s="5">
        <v>5270158</v>
      </c>
      <c r="G542" s="5" t="s">
        <v>441</v>
      </c>
      <c r="H542" s="5" t="s">
        <v>30</v>
      </c>
      <c r="I542" s="5" t="s">
        <v>22</v>
      </c>
      <c r="J542" s="5" t="s">
        <v>156</v>
      </c>
      <c r="K542" s="6">
        <v>0</v>
      </c>
      <c r="L542" s="7">
        <v>180</v>
      </c>
      <c r="M542" s="8">
        <v>40</v>
      </c>
      <c r="N542" s="8">
        <v>0</v>
      </c>
      <c r="O542" s="8">
        <v>43.611543648346739</v>
      </c>
      <c r="P542" s="8">
        <v>0</v>
      </c>
      <c r="Q542" s="8">
        <v>0</v>
      </c>
      <c r="R542" s="8">
        <v>0</v>
      </c>
      <c r="S542" s="8">
        <v>0</v>
      </c>
      <c r="T542" s="5">
        <v>0</v>
      </c>
      <c r="U542" s="5">
        <v>0</v>
      </c>
      <c r="V542" s="5">
        <f>VLOOKUP(A542,Planilha1!B:E,4,0)</f>
        <v>0.37177548115779385</v>
      </c>
    </row>
    <row r="543" spans="1:22" x14ac:dyDescent="0.3">
      <c r="A543" t="str">
        <f t="shared" si="16"/>
        <v>LEITE UHTLACTALIS</v>
      </c>
      <c r="B543" t="str">
        <f t="shared" si="17"/>
        <v>5270159LEITE UHTLACTALIS</v>
      </c>
      <c r="C543" s="5" t="s">
        <v>226</v>
      </c>
      <c r="D543" s="5" t="s">
        <v>227</v>
      </c>
      <c r="E543" s="5" t="s">
        <v>1722</v>
      </c>
      <c r="F543" s="5">
        <v>5270159</v>
      </c>
      <c r="G543" s="5" t="s">
        <v>442</v>
      </c>
      <c r="H543" s="5" t="s">
        <v>30</v>
      </c>
      <c r="I543" s="5" t="s">
        <v>22</v>
      </c>
      <c r="J543" s="5" t="s">
        <v>156</v>
      </c>
      <c r="K543" s="6">
        <v>0</v>
      </c>
      <c r="L543" s="7">
        <v>0</v>
      </c>
      <c r="M543" s="8">
        <v>34</v>
      </c>
      <c r="N543" s="8">
        <v>0</v>
      </c>
      <c r="O543" s="8">
        <v>34.890189115015829</v>
      </c>
      <c r="P543" s="8">
        <v>0</v>
      </c>
      <c r="Q543" s="8">
        <v>0</v>
      </c>
      <c r="R543" s="8">
        <v>0</v>
      </c>
      <c r="S543" s="8">
        <v>0</v>
      </c>
      <c r="T543" s="5">
        <v>0</v>
      </c>
      <c r="U543" s="5">
        <v>0</v>
      </c>
      <c r="V543" s="5">
        <f>VLOOKUP(A543,Planilha1!B:E,4,0)</f>
        <v>0.37177548115779385</v>
      </c>
    </row>
    <row r="544" spans="1:22" x14ac:dyDescent="0.3">
      <c r="A544" t="str">
        <f t="shared" si="16"/>
        <v>MANTEIGA 5KGLACTALIS</v>
      </c>
      <c r="B544" t="str">
        <f t="shared" si="17"/>
        <v>5270160MANTEIGA 5KGLACTALIS</v>
      </c>
      <c r="C544" s="5" t="s">
        <v>226</v>
      </c>
      <c r="D544" s="5" t="s">
        <v>227</v>
      </c>
      <c r="E544" s="5" t="s">
        <v>1722</v>
      </c>
      <c r="F544" s="5">
        <v>5270160</v>
      </c>
      <c r="G544" s="5" t="s">
        <v>443</v>
      </c>
      <c r="H544" s="5" t="s">
        <v>30</v>
      </c>
      <c r="I544" s="5" t="s">
        <v>22</v>
      </c>
      <c r="J544" s="5" t="s">
        <v>60</v>
      </c>
      <c r="K544" s="6">
        <v>0</v>
      </c>
      <c r="L544" s="7">
        <v>0</v>
      </c>
      <c r="M544" s="8">
        <v>1.6666666666666667</v>
      </c>
      <c r="N544" s="8">
        <v>0</v>
      </c>
      <c r="O544" s="8">
        <v>5.2535141501521885</v>
      </c>
      <c r="P544" s="8">
        <v>0</v>
      </c>
      <c r="Q544" s="8">
        <v>0</v>
      </c>
      <c r="R544" s="8">
        <v>0</v>
      </c>
      <c r="S544" s="8">
        <v>0</v>
      </c>
      <c r="T544" s="5">
        <v>0</v>
      </c>
      <c r="U544" s="5">
        <v>0</v>
      </c>
      <c r="V544" s="5">
        <f>VLOOKUP(A544,Planilha1!B:E,4,0)</f>
        <v>11.476197020267191</v>
      </c>
    </row>
    <row r="545" spans="1:22" x14ac:dyDescent="0.3">
      <c r="A545" t="str">
        <f t="shared" si="16"/>
        <v>LEITE UHTLACTALIS</v>
      </c>
      <c r="B545" t="str">
        <f t="shared" si="17"/>
        <v>5278430LEITE UHTLACTALIS</v>
      </c>
      <c r="C545" s="5" t="s">
        <v>226</v>
      </c>
      <c r="D545" s="5" t="s">
        <v>227</v>
      </c>
      <c r="E545" s="5" t="s">
        <v>1722</v>
      </c>
      <c r="F545" s="5">
        <v>5278430</v>
      </c>
      <c r="G545" s="5" t="s">
        <v>444</v>
      </c>
      <c r="H545" s="5" t="s">
        <v>30</v>
      </c>
      <c r="I545" s="5" t="s">
        <v>22</v>
      </c>
      <c r="J545" s="5" t="s">
        <v>156</v>
      </c>
      <c r="K545" s="6">
        <v>0</v>
      </c>
      <c r="L545" s="7">
        <v>1080</v>
      </c>
      <c r="M545" s="8">
        <v>1357</v>
      </c>
      <c r="N545" s="8">
        <v>1080</v>
      </c>
      <c r="O545" s="8">
        <v>701.06236279608515</v>
      </c>
      <c r="P545" s="8">
        <v>0</v>
      </c>
      <c r="Q545" s="8">
        <v>720</v>
      </c>
      <c r="R545" s="8">
        <v>0</v>
      </c>
      <c r="S545" s="8">
        <v>0</v>
      </c>
      <c r="T545" s="5">
        <v>0</v>
      </c>
      <c r="U545" s="5">
        <v>0</v>
      </c>
      <c r="V545" s="5">
        <f>VLOOKUP(A545,Planilha1!B:E,4,0)</f>
        <v>0.37177548115779385</v>
      </c>
    </row>
    <row r="546" spans="1:22" x14ac:dyDescent="0.3">
      <c r="A546" t="str">
        <f t="shared" si="16"/>
        <v>MANTEIGA 5KGLACTALIS</v>
      </c>
      <c r="B546" t="str">
        <f t="shared" si="17"/>
        <v>5278455MANTEIGA 5KGLACTALIS</v>
      </c>
      <c r="C546" s="5" t="s">
        <v>226</v>
      </c>
      <c r="D546" s="5" t="s">
        <v>227</v>
      </c>
      <c r="E546" s="5" t="s">
        <v>1722</v>
      </c>
      <c r="F546" s="5">
        <v>5278455</v>
      </c>
      <c r="G546" s="5" t="s">
        <v>445</v>
      </c>
      <c r="H546" s="5" t="s">
        <v>30</v>
      </c>
      <c r="I546" s="5" t="s">
        <v>22</v>
      </c>
      <c r="J546" s="5" t="s">
        <v>60</v>
      </c>
      <c r="K546" s="6">
        <v>0</v>
      </c>
      <c r="L546" s="7">
        <v>5</v>
      </c>
      <c r="M546" s="8">
        <v>5.8333333333333339</v>
      </c>
      <c r="N546" s="8">
        <v>8.3333333333333339</v>
      </c>
      <c r="O546" s="8">
        <v>7.0165337837621244</v>
      </c>
      <c r="P546" s="8">
        <v>0</v>
      </c>
      <c r="Q546" s="8">
        <v>0</v>
      </c>
      <c r="R546" s="8">
        <v>0</v>
      </c>
      <c r="S546" s="8">
        <v>5</v>
      </c>
      <c r="T546" s="5">
        <v>5</v>
      </c>
      <c r="U546" s="5">
        <v>5</v>
      </c>
      <c r="V546" s="5">
        <f>VLOOKUP(A546,Planilha1!B:E,4,0)</f>
        <v>11.476197020267191</v>
      </c>
    </row>
    <row r="547" spans="1:22" x14ac:dyDescent="0.3">
      <c r="A547" t="str">
        <f t="shared" si="16"/>
        <v>LEITE UHTLACTALIS</v>
      </c>
      <c r="B547" t="str">
        <f t="shared" si="17"/>
        <v>5278498LEITE UHTLACTALIS</v>
      </c>
      <c r="C547" s="5" t="s">
        <v>226</v>
      </c>
      <c r="D547" s="5" t="s">
        <v>227</v>
      </c>
      <c r="E547" s="5" t="s">
        <v>1722</v>
      </c>
      <c r="F547" s="5">
        <v>5278498</v>
      </c>
      <c r="G547" s="5" t="s">
        <v>446</v>
      </c>
      <c r="H547" s="5" t="s">
        <v>30</v>
      </c>
      <c r="I547" s="5" t="s">
        <v>22</v>
      </c>
      <c r="J547" s="5" t="s">
        <v>156</v>
      </c>
      <c r="K547" s="6">
        <v>0</v>
      </c>
      <c r="L547" s="7">
        <v>1440</v>
      </c>
      <c r="M547" s="8">
        <v>1080</v>
      </c>
      <c r="N547" s="8">
        <v>1000</v>
      </c>
      <c r="O547" s="8">
        <v>588.7677667069114</v>
      </c>
      <c r="P547" s="8">
        <v>0</v>
      </c>
      <c r="Q547" s="8">
        <v>0</v>
      </c>
      <c r="R547" s="8">
        <v>0</v>
      </c>
      <c r="S547" s="8">
        <v>0</v>
      </c>
      <c r="T547" s="5">
        <v>0</v>
      </c>
      <c r="U547" s="5">
        <v>0</v>
      </c>
      <c r="V547" s="5">
        <f>VLOOKUP(A547,Planilha1!B:E,4,0)</f>
        <v>0.37177548115779385</v>
      </c>
    </row>
    <row r="548" spans="1:22" x14ac:dyDescent="0.3">
      <c r="A548" t="str">
        <f t="shared" si="16"/>
        <v>LEITE UHTLACTALIS</v>
      </c>
      <c r="B548" t="str">
        <f t="shared" si="17"/>
        <v>5278611LEITE UHTLACTALIS</v>
      </c>
      <c r="C548" s="5" t="s">
        <v>226</v>
      </c>
      <c r="D548" s="5" t="s">
        <v>227</v>
      </c>
      <c r="E548" s="5" t="s">
        <v>1722</v>
      </c>
      <c r="F548" s="5">
        <v>5278611</v>
      </c>
      <c r="G548" s="5" t="s">
        <v>447</v>
      </c>
      <c r="H548" s="5" t="s">
        <v>30</v>
      </c>
      <c r="I548" s="5" t="s">
        <v>22</v>
      </c>
      <c r="J548" s="5" t="s">
        <v>156</v>
      </c>
      <c r="K548" s="6">
        <v>0</v>
      </c>
      <c r="L548" s="7">
        <v>840</v>
      </c>
      <c r="M548" s="8">
        <v>1611</v>
      </c>
      <c r="N548" s="8">
        <v>1524</v>
      </c>
      <c r="O548" s="8">
        <v>1237.4876893579346</v>
      </c>
      <c r="P548" s="8">
        <v>0</v>
      </c>
      <c r="Q548" s="8">
        <v>888</v>
      </c>
      <c r="R548" s="8">
        <v>0</v>
      </c>
      <c r="S548" s="8">
        <v>0</v>
      </c>
      <c r="T548" s="5">
        <v>0</v>
      </c>
      <c r="U548" s="5">
        <v>0</v>
      </c>
      <c r="V548" s="5">
        <f>VLOOKUP(A548,Planilha1!B:E,4,0)</f>
        <v>0.37177548115779385</v>
      </c>
    </row>
    <row r="549" spans="1:22" x14ac:dyDescent="0.3">
      <c r="A549" t="str">
        <f t="shared" si="16"/>
        <v>LEITE UHTLACTALIS</v>
      </c>
      <c r="B549" t="str">
        <f t="shared" si="17"/>
        <v>5278660LEITE UHTLACTALIS</v>
      </c>
      <c r="C549" s="5" t="s">
        <v>226</v>
      </c>
      <c r="D549" s="5" t="s">
        <v>227</v>
      </c>
      <c r="E549" s="5" t="s">
        <v>1722</v>
      </c>
      <c r="F549" s="5">
        <v>5278660</v>
      </c>
      <c r="G549" s="5" t="s">
        <v>448</v>
      </c>
      <c r="H549" s="5" t="s">
        <v>30</v>
      </c>
      <c r="I549" s="5" t="s">
        <v>22</v>
      </c>
      <c r="J549" s="5" t="s">
        <v>156</v>
      </c>
      <c r="K549" s="6">
        <v>0</v>
      </c>
      <c r="L549" s="7">
        <v>600</v>
      </c>
      <c r="M549" s="8">
        <v>500</v>
      </c>
      <c r="N549" s="8">
        <v>440</v>
      </c>
      <c r="O549" s="8">
        <v>207.15602507507006</v>
      </c>
      <c r="P549" s="8">
        <v>0</v>
      </c>
      <c r="Q549" s="8">
        <v>0</v>
      </c>
      <c r="R549" s="8">
        <v>0</v>
      </c>
      <c r="S549" s="8">
        <v>0</v>
      </c>
      <c r="T549" s="5">
        <v>0</v>
      </c>
      <c r="U549" s="5">
        <v>0</v>
      </c>
      <c r="V549" s="5">
        <f>VLOOKUP(A549,Planilha1!B:E,4,0)</f>
        <v>0.37177548115779385</v>
      </c>
    </row>
    <row r="550" spans="1:22" x14ac:dyDescent="0.3">
      <c r="A550" t="str">
        <f t="shared" si="16"/>
        <v>LEITE UHTLACTALIS</v>
      </c>
      <c r="B550" t="str">
        <f t="shared" si="17"/>
        <v>5279316LEITE UHTLACTALIS</v>
      </c>
      <c r="C550" s="5" t="s">
        <v>226</v>
      </c>
      <c r="D550" s="5" t="s">
        <v>227</v>
      </c>
      <c r="E550" s="5" t="s">
        <v>1722</v>
      </c>
      <c r="F550" s="5">
        <v>5279316</v>
      </c>
      <c r="G550" s="5" t="s">
        <v>449</v>
      </c>
      <c r="H550" s="5" t="s">
        <v>30</v>
      </c>
      <c r="I550" s="5" t="s">
        <v>22</v>
      </c>
      <c r="J550" s="5" t="s">
        <v>156</v>
      </c>
      <c r="K550" s="6">
        <v>0</v>
      </c>
      <c r="L550" s="7">
        <v>0</v>
      </c>
      <c r="M550" s="8">
        <v>410</v>
      </c>
      <c r="N550" s="8">
        <v>208</v>
      </c>
      <c r="O550" s="8">
        <v>518.9921594585719</v>
      </c>
      <c r="P550" s="8">
        <v>0</v>
      </c>
      <c r="Q550" s="8">
        <v>0</v>
      </c>
      <c r="R550" s="8">
        <v>0</v>
      </c>
      <c r="S550" s="8">
        <v>0</v>
      </c>
      <c r="T550" s="5">
        <v>0</v>
      </c>
      <c r="U550" s="5">
        <v>0</v>
      </c>
      <c r="V550" s="5">
        <f>VLOOKUP(A550,Planilha1!B:E,4,0)</f>
        <v>0.37177548115779385</v>
      </c>
    </row>
    <row r="551" spans="1:22" x14ac:dyDescent="0.3">
      <c r="A551" t="str">
        <f t="shared" si="16"/>
        <v>LEITE UHTLACTALIS</v>
      </c>
      <c r="B551" t="str">
        <f t="shared" si="17"/>
        <v>5279849LEITE UHTLACTALIS</v>
      </c>
      <c r="C551" s="5" t="s">
        <v>226</v>
      </c>
      <c r="D551" s="5" t="s">
        <v>227</v>
      </c>
      <c r="E551" s="5" t="s">
        <v>1722</v>
      </c>
      <c r="F551" s="5">
        <v>5279849</v>
      </c>
      <c r="G551" s="5" t="s">
        <v>450</v>
      </c>
      <c r="H551" s="5" t="s">
        <v>30</v>
      </c>
      <c r="I551" s="5" t="s">
        <v>22</v>
      </c>
      <c r="J551" s="5" t="s">
        <v>156</v>
      </c>
      <c r="K551" s="6">
        <v>0</v>
      </c>
      <c r="L551" s="7">
        <v>120</v>
      </c>
      <c r="M551" s="8">
        <v>152</v>
      </c>
      <c r="N551" s="8">
        <v>108</v>
      </c>
      <c r="O551" s="8">
        <v>65.410158999981832</v>
      </c>
      <c r="P551" s="8">
        <v>0</v>
      </c>
      <c r="Q551" s="8">
        <v>0</v>
      </c>
      <c r="R551" s="8">
        <v>0</v>
      </c>
      <c r="S551" s="8">
        <v>0</v>
      </c>
      <c r="T551" s="5">
        <v>0</v>
      </c>
      <c r="U551" s="5">
        <v>0</v>
      </c>
      <c r="V551" s="5">
        <f>VLOOKUP(A551,Planilha1!B:E,4,0)</f>
        <v>0.37177548115779385</v>
      </c>
    </row>
    <row r="552" spans="1:22" x14ac:dyDescent="0.3">
      <c r="A552" t="str">
        <f t="shared" si="16"/>
        <v>LEITE UHTLACTALIS</v>
      </c>
      <c r="B552" t="str">
        <f t="shared" si="17"/>
        <v>5280910LEITE UHTLACTALIS</v>
      </c>
      <c r="C552" s="5" t="s">
        <v>226</v>
      </c>
      <c r="D552" s="5" t="s">
        <v>227</v>
      </c>
      <c r="E552" s="5" t="s">
        <v>1722</v>
      </c>
      <c r="F552" s="5">
        <v>5280910</v>
      </c>
      <c r="G552" s="5" t="s">
        <v>451</v>
      </c>
      <c r="H552" s="5" t="s">
        <v>30</v>
      </c>
      <c r="I552" s="5" t="s">
        <v>22</v>
      </c>
      <c r="J552" s="5" t="s">
        <v>156</v>
      </c>
      <c r="K552" s="6">
        <v>0</v>
      </c>
      <c r="L552" s="7">
        <v>0</v>
      </c>
      <c r="M552" s="8">
        <v>190</v>
      </c>
      <c r="N552" s="8">
        <v>80</v>
      </c>
      <c r="O552" s="8">
        <v>152.6380172783675</v>
      </c>
      <c r="P552" s="8">
        <v>0</v>
      </c>
      <c r="Q552" s="8">
        <v>0</v>
      </c>
      <c r="R552" s="8">
        <v>0</v>
      </c>
      <c r="S552" s="8">
        <v>0</v>
      </c>
      <c r="T552" s="5">
        <v>0</v>
      </c>
      <c r="U552" s="5">
        <v>0</v>
      </c>
      <c r="V552" s="5">
        <f>VLOOKUP(A552,Planilha1!B:E,4,0)</f>
        <v>0.37177548115779385</v>
      </c>
    </row>
    <row r="553" spans="1:22" x14ac:dyDescent="0.3">
      <c r="A553" t="str">
        <f t="shared" si="16"/>
        <v>LEITE UHTLACTALIS</v>
      </c>
      <c r="B553" t="str">
        <f t="shared" si="17"/>
        <v>5281961LEITE UHTLACTALIS</v>
      </c>
      <c r="C553" s="5" t="s">
        <v>226</v>
      </c>
      <c r="D553" s="5" t="s">
        <v>227</v>
      </c>
      <c r="E553" s="5" t="s">
        <v>1722</v>
      </c>
      <c r="F553" s="5">
        <v>5281961</v>
      </c>
      <c r="G553" s="5" t="s">
        <v>452</v>
      </c>
      <c r="H553" s="5" t="s">
        <v>30</v>
      </c>
      <c r="I553" s="5" t="s">
        <v>22</v>
      </c>
      <c r="J553" s="5" t="s">
        <v>156</v>
      </c>
      <c r="K553" s="6">
        <v>0</v>
      </c>
      <c r="L553" s="7">
        <v>384</v>
      </c>
      <c r="M553" s="8">
        <v>192</v>
      </c>
      <c r="N553" s="8">
        <v>128</v>
      </c>
      <c r="O553" s="8">
        <v>139.55598547837113</v>
      </c>
      <c r="P553" s="8">
        <v>0</v>
      </c>
      <c r="Q553" s="8">
        <v>0</v>
      </c>
      <c r="R553" s="8">
        <v>0</v>
      </c>
      <c r="S553" s="8">
        <v>0</v>
      </c>
      <c r="T553" s="5">
        <v>0</v>
      </c>
      <c r="U553" s="5">
        <v>0</v>
      </c>
      <c r="V553" s="5">
        <f>VLOOKUP(A553,Planilha1!B:E,4,0)</f>
        <v>0.37177548115779385</v>
      </c>
    </row>
    <row r="554" spans="1:22" x14ac:dyDescent="0.3">
      <c r="A554" t="str">
        <f t="shared" si="16"/>
        <v>LEITE UHTLACTALIS</v>
      </c>
      <c r="B554" t="str">
        <f t="shared" si="17"/>
        <v>5282200LEITE UHTLACTALIS</v>
      </c>
      <c r="C554" s="5" t="s">
        <v>226</v>
      </c>
      <c r="D554" s="5" t="s">
        <v>227</v>
      </c>
      <c r="E554" s="5" t="s">
        <v>1722</v>
      </c>
      <c r="F554" s="5">
        <v>5282200</v>
      </c>
      <c r="G554" s="5" t="s">
        <v>453</v>
      </c>
      <c r="H554" s="5" t="s">
        <v>30</v>
      </c>
      <c r="I554" s="5" t="s">
        <v>22</v>
      </c>
      <c r="J554" s="5" t="s">
        <v>156</v>
      </c>
      <c r="K554" s="6">
        <v>0</v>
      </c>
      <c r="L554" s="7">
        <v>0</v>
      </c>
      <c r="M554" s="8">
        <v>170</v>
      </c>
      <c r="N554" s="8">
        <v>136</v>
      </c>
      <c r="O554" s="8">
        <v>111.22589619012226</v>
      </c>
      <c r="P554" s="8">
        <v>0</v>
      </c>
      <c r="Q554" s="8">
        <v>0</v>
      </c>
      <c r="R554" s="8">
        <v>0</v>
      </c>
      <c r="S554" s="8">
        <v>0</v>
      </c>
      <c r="T554" s="5">
        <v>0</v>
      </c>
      <c r="U554" s="5">
        <v>0</v>
      </c>
      <c r="V554" s="5">
        <f>VLOOKUP(A554,Planilha1!B:E,4,0)</f>
        <v>0.37177548115779385</v>
      </c>
    </row>
    <row r="555" spans="1:22" x14ac:dyDescent="0.3">
      <c r="A555" t="str">
        <f t="shared" si="16"/>
        <v>LEITE UHTLACTALIS</v>
      </c>
      <c r="B555" t="str">
        <f t="shared" si="17"/>
        <v>5282212LEITE UHTLACTALIS</v>
      </c>
      <c r="C555" s="5" t="s">
        <v>226</v>
      </c>
      <c r="D555" s="5" t="s">
        <v>227</v>
      </c>
      <c r="E555" s="5" t="s">
        <v>1722</v>
      </c>
      <c r="F555" s="5">
        <v>5282212</v>
      </c>
      <c r="G555" s="5" t="s">
        <v>454</v>
      </c>
      <c r="H555" s="5" t="s">
        <v>30</v>
      </c>
      <c r="I555" s="5" t="s">
        <v>22</v>
      </c>
      <c r="J555" s="5" t="s">
        <v>156</v>
      </c>
      <c r="K555" s="6">
        <v>0</v>
      </c>
      <c r="L555" s="7">
        <v>480</v>
      </c>
      <c r="M555" s="8">
        <v>194</v>
      </c>
      <c r="N555" s="8">
        <v>288</v>
      </c>
      <c r="O555" s="8">
        <v>152.6380172783675</v>
      </c>
      <c r="P555" s="8">
        <v>0</v>
      </c>
      <c r="Q555" s="8">
        <v>0</v>
      </c>
      <c r="R555" s="8">
        <v>0</v>
      </c>
      <c r="S555" s="8">
        <v>0</v>
      </c>
      <c r="T555" s="5">
        <v>0</v>
      </c>
      <c r="U555" s="5">
        <v>0</v>
      </c>
      <c r="V555" s="5">
        <f>VLOOKUP(A555,Planilha1!B:E,4,0)</f>
        <v>0.37177548115779385</v>
      </c>
    </row>
    <row r="556" spans="1:22" x14ac:dyDescent="0.3">
      <c r="A556" t="str">
        <f t="shared" si="16"/>
        <v>CREME 35%LACTALIS</v>
      </c>
      <c r="B556" t="str">
        <f t="shared" si="17"/>
        <v>5285696CREME 35%LACTALIS</v>
      </c>
      <c r="C556" s="5" t="s">
        <v>226</v>
      </c>
      <c r="D556" s="5" t="s">
        <v>227</v>
      </c>
      <c r="E556" s="5" t="s">
        <v>1722</v>
      </c>
      <c r="F556" s="5">
        <v>5285696</v>
      </c>
      <c r="G556" s="5" t="s">
        <v>455</v>
      </c>
      <c r="H556" s="5" t="s">
        <v>30</v>
      </c>
      <c r="I556" s="5" t="s">
        <v>22</v>
      </c>
      <c r="J556" s="5" t="s">
        <v>89</v>
      </c>
      <c r="K556" s="6">
        <v>0</v>
      </c>
      <c r="L556" s="7">
        <v>60</v>
      </c>
      <c r="M556" s="8">
        <v>113.33333333333334</v>
      </c>
      <c r="N556" s="8">
        <v>86.666666666666671</v>
      </c>
      <c r="O556" s="8">
        <v>218.58070178203076</v>
      </c>
      <c r="P556" s="8">
        <v>0</v>
      </c>
      <c r="Q556" s="8">
        <v>100</v>
      </c>
      <c r="R556" s="8">
        <v>0</v>
      </c>
      <c r="S556" s="8">
        <v>0</v>
      </c>
      <c r="T556" s="5">
        <v>0</v>
      </c>
      <c r="U556" s="5">
        <v>0</v>
      </c>
      <c r="V556" s="5">
        <f>VLOOKUP(A556,Planilha1!B:E,4,0)</f>
        <v>6.4420264254159507</v>
      </c>
    </row>
    <row r="557" spans="1:22" x14ac:dyDescent="0.3">
      <c r="A557" t="str">
        <f t="shared" si="16"/>
        <v>LEITE UHTLACTALIS</v>
      </c>
      <c r="B557" t="str">
        <f t="shared" si="17"/>
        <v>5285696LEITE UHTLACTALIS</v>
      </c>
      <c r="C557" s="5" t="s">
        <v>226</v>
      </c>
      <c r="D557" s="5" t="s">
        <v>227</v>
      </c>
      <c r="E557" s="5" t="s">
        <v>1722</v>
      </c>
      <c r="F557" s="5">
        <v>5285696</v>
      </c>
      <c r="G557" s="5" t="s">
        <v>455</v>
      </c>
      <c r="H557" s="5" t="s">
        <v>30</v>
      </c>
      <c r="I557" s="5" t="s">
        <v>22</v>
      </c>
      <c r="J557" s="5" t="s">
        <v>156</v>
      </c>
      <c r="K557" s="6">
        <v>0</v>
      </c>
      <c r="L557" s="7">
        <v>36</v>
      </c>
      <c r="M557" s="8">
        <v>20</v>
      </c>
      <c r="N557" s="8">
        <v>20</v>
      </c>
      <c r="O557" s="8">
        <v>10.90646414835583</v>
      </c>
      <c r="P557" s="8">
        <v>0</v>
      </c>
      <c r="Q557" s="8">
        <v>0</v>
      </c>
      <c r="R557" s="8">
        <v>0</v>
      </c>
      <c r="S557" s="8">
        <v>0</v>
      </c>
      <c r="T557" s="5">
        <v>0</v>
      </c>
      <c r="U557" s="5">
        <v>0</v>
      </c>
      <c r="V557" s="5">
        <f>VLOOKUP(A557,Planilha1!B:E,4,0)</f>
        <v>0.37177548115779385</v>
      </c>
    </row>
    <row r="558" spans="1:22" x14ac:dyDescent="0.3">
      <c r="A558" t="str">
        <f t="shared" si="16"/>
        <v>LEITE UHTLACTALIS</v>
      </c>
      <c r="B558" t="str">
        <f t="shared" si="17"/>
        <v>5285967LEITE UHTLACTALIS</v>
      </c>
      <c r="C558" s="5" t="s">
        <v>226</v>
      </c>
      <c r="D558" s="5" t="s">
        <v>227</v>
      </c>
      <c r="E558" s="5" t="s">
        <v>1722</v>
      </c>
      <c r="F558" s="5">
        <v>5285967</v>
      </c>
      <c r="G558" s="5" t="s">
        <v>456</v>
      </c>
      <c r="H558" s="5" t="s">
        <v>30</v>
      </c>
      <c r="I558" s="5" t="s">
        <v>22</v>
      </c>
      <c r="J558" s="5" t="s">
        <v>156</v>
      </c>
      <c r="K558" s="6">
        <v>0</v>
      </c>
      <c r="L558" s="7">
        <v>780</v>
      </c>
      <c r="M558" s="8">
        <v>680</v>
      </c>
      <c r="N558" s="8">
        <v>720</v>
      </c>
      <c r="O558" s="8">
        <v>305.28557652011938</v>
      </c>
      <c r="P558" s="8">
        <v>0</v>
      </c>
      <c r="Q558" s="8">
        <v>0</v>
      </c>
      <c r="R558" s="8">
        <v>0</v>
      </c>
      <c r="S558" s="8">
        <v>0</v>
      </c>
      <c r="T558" s="5">
        <v>0</v>
      </c>
      <c r="U558" s="5">
        <v>0</v>
      </c>
      <c r="V558" s="5">
        <f>VLOOKUP(A558,Planilha1!B:E,4,0)</f>
        <v>0.37177548115779385</v>
      </c>
    </row>
    <row r="559" spans="1:22" x14ac:dyDescent="0.3">
      <c r="A559" t="str">
        <f t="shared" si="16"/>
        <v>LEITE UHTLACTALIS</v>
      </c>
      <c r="B559" t="str">
        <f t="shared" si="17"/>
        <v>5286042LEITE UHTLACTALIS</v>
      </c>
      <c r="C559" s="5" t="s">
        <v>226</v>
      </c>
      <c r="D559" s="5" t="s">
        <v>227</v>
      </c>
      <c r="E559" s="5" t="s">
        <v>1722</v>
      </c>
      <c r="F559" s="5">
        <v>5286042</v>
      </c>
      <c r="G559" s="5" t="s">
        <v>457</v>
      </c>
      <c r="H559" s="5" t="s">
        <v>30</v>
      </c>
      <c r="I559" s="5" t="s">
        <v>22</v>
      </c>
      <c r="J559" s="5" t="s">
        <v>156</v>
      </c>
      <c r="K559" s="6">
        <v>0</v>
      </c>
      <c r="L559" s="7">
        <v>0</v>
      </c>
      <c r="M559" s="8">
        <v>18</v>
      </c>
      <c r="N559" s="8">
        <v>0</v>
      </c>
      <c r="O559" s="8">
        <v>6.5410158999981824</v>
      </c>
      <c r="P559" s="8">
        <v>0</v>
      </c>
      <c r="Q559" s="8">
        <v>0</v>
      </c>
      <c r="R559" s="8">
        <v>0</v>
      </c>
      <c r="S559" s="8">
        <v>0</v>
      </c>
      <c r="T559" s="5">
        <v>0</v>
      </c>
      <c r="U559" s="5">
        <v>0</v>
      </c>
      <c r="V559" s="5">
        <f>VLOOKUP(A559,Planilha1!B:E,4,0)</f>
        <v>0.37177548115779385</v>
      </c>
    </row>
    <row r="560" spans="1:22" x14ac:dyDescent="0.3">
      <c r="A560" t="str">
        <f t="shared" si="16"/>
        <v>LEITE UHTLACTALIS</v>
      </c>
      <c r="B560" t="str">
        <f t="shared" si="17"/>
        <v>5286089LEITE UHTLACTALIS</v>
      </c>
      <c r="C560" s="5" t="s">
        <v>226</v>
      </c>
      <c r="D560" s="5" t="s">
        <v>227</v>
      </c>
      <c r="E560" s="5" t="s">
        <v>1722</v>
      </c>
      <c r="F560" s="5">
        <v>5286089</v>
      </c>
      <c r="G560" s="5" t="s">
        <v>446</v>
      </c>
      <c r="H560" s="5" t="s">
        <v>30</v>
      </c>
      <c r="I560" s="5" t="s">
        <v>22</v>
      </c>
      <c r="J560" s="5" t="s">
        <v>156</v>
      </c>
      <c r="K560" s="6">
        <v>0</v>
      </c>
      <c r="L560" s="7">
        <v>240</v>
      </c>
      <c r="M560" s="8">
        <v>460</v>
      </c>
      <c r="N560" s="8">
        <v>440</v>
      </c>
      <c r="O560" s="8">
        <v>239.87064653844536</v>
      </c>
      <c r="P560" s="8">
        <v>0</v>
      </c>
      <c r="Q560" s="8">
        <v>0</v>
      </c>
      <c r="R560" s="8">
        <v>0</v>
      </c>
      <c r="S560" s="8">
        <v>0</v>
      </c>
      <c r="T560" s="5">
        <v>0</v>
      </c>
      <c r="U560" s="5">
        <v>0</v>
      </c>
      <c r="V560" s="5">
        <f>VLOOKUP(A560,Planilha1!B:E,4,0)</f>
        <v>0.37177548115779385</v>
      </c>
    </row>
    <row r="561" spans="1:22" x14ac:dyDescent="0.3">
      <c r="A561" t="str">
        <f t="shared" si="16"/>
        <v>MANTEIGA 5KGLACTALIS</v>
      </c>
      <c r="B561" t="str">
        <f t="shared" si="17"/>
        <v>5286858MANTEIGA 5KGLACTALIS</v>
      </c>
      <c r="C561" s="5" t="s">
        <v>226</v>
      </c>
      <c r="D561" s="5" t="s">
        <v>227</v>
      </c>
      <c r="E561" s="5" t="s">
        <v>1722</v>
      </c>
      <c r="F561" s="5">
        <v>5286858</v>
      </c>
      <c r="G561" s="5" t="s">
        <v>458</v>
      </c>
      <c r="H561" s="5" t="s">
        <v>30</v>
      </c>
      <c r="I561" s="5" t="s">
        <v>22</v>
      </c>
      <c r="J561" s="5" t="s">
        <v>60</v>
      </c>
      <c r="K561" s="6">
        <v>0</v>
      </c>
      <c r="L561" s="7">
        <v>30</v>
      </c>
      <c r="M561" s="8">
        <v>25</v>
      </c>
      <c r="N561" s="8">
        <v>23.333333333333332</v>
      </c>
      <c r="O561" s="8">
        <v>28.059026184912973</v>
      </c>
      <c r="P561" s="8">
        <v>0</v>
      </c>
      <c r="Q561" s="8">
        <v>10</v>
      </c>
      <c r="R561" s="8">
        <v>0</v>
      </c>
      <c r="S561" s="8">
        <v>20</v>
      </c>
      <c r="T561" s="5">
        <v>20</v>
      </c>
      <c r="U561" s="5">
        <v>20</v>
      </c>
      <c r="V561" s="5">
        <f>VLOOKUP(A561,Planilha1!B:E,4,0)</f>
        <v>11.476197020267191</v>
      </c>
    </row>
    <row r="562" spans="1:22" x14ac:dyDescent="0.3">
      <c r="A562" t="str">
        <f t="shared" si="16"/>
        <v>LEITE UHTLACTALIS</v>
      </c>
      <c r="B562" t="str">
        <f t="shared" si="17"/>
        <v>5287152LEITE UHTLACTALIS</v>
      </c>
      <c r="C562" s="5" t="s">
        <v>226</v>
      </c>
      <c r="D562" s="5" t="s">
        <v>227</v>
      </c>
      <c r="E562" s="5" t="s">
        <v>1722</v>
      </c>
      <c r="F562" s="5">
        <v>5287152</v>
      </c>
      <c r="G562" s="5" t="s">
        <v>459</v>
      </c>
      <c r="H562" s="5" t="s">
        <v>30</v>
      </c>
      <c r="I562" s="5" t="s">
        <v>22</v>
      </c>
      <c r="J562" s="5" t="s">
        <v>156</v>
      </c>
      <c r="K562" s="6">
        <v>0</v>
      </c>
      <c r="L562" s="7">
        <v>0</v>
      </c>
      <c r="M562" s="8">
        <v>0</v>
      </c>
      <c r="N562" s="8">
        <v>0</v>
      </c>
      <c r="O562" s="8">
        <v>10.90646414835583</v>
      </c>
      <c r="P562" s="8">
        <v>0</v>
      </c>
      <c r="Q562" s="8">
        <v>0</v>
      </c>
      <c r="R562" s="8">
        <v>0</v>
      </c>
      <c r="S562" s="8">
        <v>0</v>
      </c>
      <c r="T562" s="5">
        <v>0</v>
      </c>
      <c r="U562" s="5">
        <v>0</v>
      </c>
      <c r="V562" s="5">
        <f>VLOOKUP(A562,Planilha1!B:E,4,0)</f>
        <v>0.37177548115779385</v>
      </c>
    </row>
    <row r="563" spans="1:22" x14ac:dyDescent="0.3">
      <c r="A563" t="str">
        <f t="shared" si="16"/>
        <v>LEITE UHTLACTALIS</v>
      </c>
      <c r="B563" t="str">
        <f t="shared" si="17"/>
        <v>5289019LEITE UHTLACTALIS</v>
      </c>
      <c r="C563" s="5" t="s">
        <v>226</v>
      </c>
      <c r="D563" s="5" t="s">
        <v>227</v>
      </c>
      <c r="E563" s="5" t="s">
        <v>1722</v>
      </c>
      <c r="F563" s="5">
        <v>5289019</v>
      </c>
      <c r="G563" s="5" t="s">
        <v>460</v>
      </c>
      <c r="H563" s="5" t="s">
        <v>30</v>
      </c>
      <c r="I563" s="5" t="s">
        <v>22</v>
      </c>
      <c r="J563" s="5" t="s">
        <v>156</v>
      </c>
      <c r="K563" s="6">
        <v>0</v>
      </c>
      <c r="L563" s="7">
        <v>0</v>
      </c>
      <c r="M563" s="8">
        <v>60</v>
      </c>
      <c r="N563" s="8">
        <v>0</v>
      </c>
      <c r="O563" s="8">
        <v>21.803386333327275</v>
      </c>
      <c r="P563" s="8">
        <v>0</v>
      </c>
      <c r="Q563" s="8">
        <v>0</v>
      </c>
      <c r="R563" s="8">
        <v>0</v>
      </c>
      <c r="S563" s="8">
        <v>0</v>
      </c>
      <c r="T563" s="5">
        <v>0</v>
      </c>
      <c r="U563" s="5">
        <v>0</v>
      </c>
      <c r="V563" s="5">
        <f>VLOOKUP(A563,Planilha1!B:E,4,0)</f>
        <v>0.37177548115779385</v>
      </c>
    </row>
    <row r="564" spans="1:22" x14ac:dyDescent="0.3">
      <c r="A564" t="str">
        <f t="shared" si="16"/>
        <v>LEITE UHTLACTALIS</v>
      </c>
      <c r="B564" t="str">
        <f t="shared" si="17"/>
        <v>5292035LEITE UHTLACTALIS</v>
      </c>
      <c r="C564" s="5" t="s">
        <v>226</v>
      </c>
      <c r="D564" s="5" t="s">
        <v>227</v>
      </c>
      <c r="E564" s="5" t="s">
        <v>1722</v>
      </c>
      <c r="F564" s="5">
        <v>5292035</v>
      </c>
      <c r="G564" s="5" t="s">
        <v>461</v>
      </c>
      <c r="H564" s="5" t="s">
        <v>30</v>
      </c>
      <c r="I564" s="5" t="s">
        <v>22</v>
      </c>
      <c r="J564" s="5" t="s">
        <v>156</v>
      </c>
      <c r="K564" s="6">
        <v>0</v>
      </c>
      <c r="L564" s="7">
        <v>0</v>
      </c>
      <c r="M564" s="8">
        <v>14</v>
      </c>
      <c r="N564" s="8">
        <v>0</v>
      </c>
      <c r="O564" s="8">
        <v>8.7213545333309099</v>
      </c>
      <c r="P564" s="8">
        <v>0</v>
      </c>
      <c r="Q564" s="8">
        <v>0</v>
      </c>
      <c r="R564" s="8">
        <v>0</v>
      </c>
      <c r="S564" s="8">
        <v>0</v>
      </c>
      <c r="T564" s="5">
        <v>0</v>
      </c>
      <c r="U564" s="5">
        <v>0</v>
      </c>
      <c r="V564" s="5">
        <f>VLOOKUP(A564,Planilha1!B:E,4,0)</f>
        <v>0.37177548115779385</v>
      </c>
    </row>
    <row r="565" spans="1:22" x14ac:dyDescent="0.3">
      <c r="A565" t="str">
        <f t="shared" si="16"/>
        <v>LEITE UHTLACTALIS</v>
      </c>
      <c r="B565" t="str">
        <f t="shared" si="17"/>
        <v>5292037LEITE UHTLACTALIS</v>
      </c>
      <c r="C565" s="5" t="s">
        <v>226</v>
      </c>
      <c r="D565" s="5" t="s">
        <v>227</v>
      </c>
      <c r="E565" s="5" t="s">
        <v>1722</v>
      </c>
      <c r="F565" s="5">
        <v>5292037</v>
      </c>
      <c r="G565" s="5" t="s">
        <v>462</v>
      </c>
      <c r="H565" s="5" t="s">
        <v>30</v>
      </c>
      <c r="I565" s="5" t="s">
        <v>22</v>
      </c>
      <c r="J565" s="5" t="s">
        <v>156</v>
      </c>
      <c r="K565" s="6">
        <v>0</v>
      </c>
      <c r="L565" s="7">
        <v>120</v>
      </c>
      <c r="M565" s="8">
        <v>128</v>
      </c>
      <c r="N565" s="8">
        <v>48</v>
      </c>
      <c r="O565" s="8">
        <v>137.38041782673059</v>
      </c>
      <c r="P565" s="8">
        <v>0</v>
      </c>
      <c r="Q565" s="8">
        <v>0</v>
      </c>
      <c r="R565" s="8">
        <v>0</v>
      </c>
      <c r="S565" s="8">
        <v>0</v>
      </c>
      <c r="T565" s="5">
        <v>0</v>
      </c>
      <c r="U565" s="5">
        <v>0</v>
      </c>
      <c r="V565" s="5">
        <f>VLOOKUP(A565,Planilha1!B:E,4,0)</f>
        <v>0.37177548115779385</v>
      </c>
    </row>
    <row r="566" spans="1:22" x14ac:dyDescent="0.3">
      <c r="A566" t="str">
        <f t="shared" si="16"/>
        <v>BLISTERLACTALIS</v>
      </c>
      <c r="B566" t="str">
        <f t="shared" si="17"/>
        <v>5296842BLISTERLACTALIS</v>
      </c>
      <c r="C566" s="5" t="s">
        <v>226</v>
      </c>
      <c r="D566" s="5" t="s">
        <v>227</v>
      </c>
      <c r="E566" s="5" t="s">
        <v>1722</v>
      </c>
      <c r="F566" s="5">
        <v>5296842</v>
      </c>
      <c r="G566" s="5" t="s">
        <v>463</v>
      </c>
      <c r="H566" s="5" t="s">
        <v>30</v>
      </c>
      <c r="I566" s="5" t="s">
        <v>22</v>
      </c>
      <c r="J566" s="5" t="s">
        <v>199</v>
      </c>
      <c r="K566" s="6">
        <v>0</v>
      </c>
      <c r="L566" s="7">
        <v>7.68</v>
      </c>
      <c r="M566" s="8">
        <v>11.559999999999999</v>
      </c>
      <c r="N566" s="8">
        <v>6.7200000000000006</v>
      </c>
      <c r="O566" s="8">
        <v>6.0647562274911069</v>
      </c>
      <c r="P566" s="8">
        <v>0</v>
      </c>
      <c r="Q566" s="8">
        <v>5.76</v>
      </c>
      <c r="R566" s="8">
        <v>0</v>
      </c>
      <c r="S566" s="8">
        <v>6</v>
      </c>
      <c r="T566" s="5">
        <v>6</v>
      </c>
      <c r="U566" s="5">
        <v>6</v>
      </c>
      <c r="V566" s="5">
        <f>VLOOKUP(A566,Planilha1!B:E,4,0)</f>
        <v>13.783871706210666</v>
      </c>
    </row>
    <row r="567" spans="1:22" x14ac:dyDescent="0.3">
      <c r="A567" t="str">
        <f t="shared" si="16"/>
        <v>LEITE UHTLACTALIS</v>
      </c>
      <c r="B567" t="str">
        <f t="shared" si="17"/>
        <v>5296842LEITE UHTLACTALIS</v>
      </c>
      <c r="C567" s="5" t="s">
        <v>226</v>
      </c>
      <c r="D567" s="5" t="s">
        <v>227</v>
      </c>
      <c r="E567" s="5" t="s">
        <v>1722</v>
      </c>
      <c r="F567" s="5">
        <v>5296842</v>
      </c>
      <c r="G567" s="5" t="s">
        <v>463</v>
      </c>
      <c r="H567" s="5" t="s">
        <v>30</v>
      </c>
      <c r="I567" s="5" t="s">
        <v>22</v>
      </c>
      <c r="J567" s="5" t="s">
        <v>156</v>
      </c>
      <c r="K567" s="6">
        <v>0</v>
      </c>
      <c r="L567" s="7">
        <v>72</v>
      </c>
      <c r="M567" s="8">
        <v>86</v>
      </c>
      <c r="N567" s="8">
        <v>116</v>
      </c>
      <c r="O567" s="8">
        <v>43.611543648346739</v>
      </c>
      <c r="P567" s="8">
        <v>0</v>
      </c>
      <c r="Q567" s="8">
        <v>0</v>
      </c>
      <c r="R567" s="8">
        <v>0</v>
      </c>
      <c r="S567" s="8">
        <v>0</v>
      </c>
      <c r="T567" s="5">
        <v>0</v>
      </c>
      <c r="U567" s="5">
        <v>0</v>
      </c>
      <c r="V567" s="5">
        <f>VLOOKUP(A567,Planilha1!B:E,4,0)</f>
        <v>0.37177548115779385</v>
      </c>
    </row>
    <row r="568" spans="1:22" x14ac:dyDescent="0.3">
      <c r="A568" t="str">
        <f t="shared" si="16"/>
        <v>LEITE UHTLACTALIS</v>
      </c>
      <c r="B568" t="str">
        <f t="shared" si="17"/>
        <v>5300785LEITE UHTLACTALIS</v>
      </c>
      <c r="C568" s="5" t="s">
        <v>226</v>
      </c>
      <c r="D568" s="5" t="s">
        <v>227</v>
      </c>
      <c r="E568" s="5" t="s">
        <v>1722</v>
      </c>
      <c r="F568" s="5">
        <v>5300785</v>
      </c>
      <c r="G568" s="5" t="s">
        <v>272</v>
      </c>
      <c r="H568" s="5" t="s">
        <v>30</v>
      </c>
      <c r="I568" s="5" t="s">
        <v>22</v>
      </c>
      <c r="J568" s="5" t="s">
        <v>156</v>
      </c>
      <c r="K568" s="6">
        <v>0</v>
      </c>
      <c r="L568" s="7">
        <v>0</v>
      </c>
      <c r="M568" s="8">
        <v>10</v>
      </c>
      <c r="N568" s="8">
        <v>0</v>
      </c>
      <c r="O568" s="8">
        <v>15.267141415021285</v>
      </c>
      <c r="P568" s="8">
        <v>0</v>
      </c>
      <c r="Q568" s="8">
        <v>0</v>
      </c>
      <c r="R568" s="8">
        <v>0</v>
      </c>
      <c r="S568" s="8">
        <v>0</v>
      </c>
      <c r="T568" s="5">
        <v>0</v>
      </c>
      <c r="U568" s="5">
        <v>0</v>
      </c>
      <c r="V568" s="5">
        <f>VLOOKUP(A568,Planilha1!B:E,4,0)</f>
        <v>0.37177548115779385</v>
      </c>
    </row>
    <row r="569" spans="1:22" x14ac:dyDescent="0.3">
      <c r="A569" t="str">
        <f t="shared" si="16"/>
        <v>LEITE UHTLACTALIS</v>
      </c>
      <c r="B569" t="str">
        <f t="shared" si="17"/>
        <v>5307746LEITE UHTLACTALIS</v>
      </c>
      <c r="C569" s="5" t="s">
        <v>226</v>
      </c>
      <c r="D569" s="5" t="s">
        <v>227</v>
      </c>
      <c r="E569" s="5" t="s">
        <v>1722</v>
      </c>
      <c r="F569" s="5">
        <v>5307746</v>
      </c>
      <c r="G569" s="5" t="s">
        <v>464</v>
      </c>
      <c r="H569" s="5" t="s">
        <v>30</v>
      </c>
      <c r="I569" s="5" t="s">
        <v>22</v>
      </c>
      <c r="J569" s="5" t="s">
        <v>156</v>
      </c>
      <c r="K569" s="6">
        <v>0</v>
      </c>
      <c r="L569" s="7">
        <v>516</v>
      </c>
      <c r="M569" s="8">
        <v>959</v>
      </c>
      <c r="N569" s="8">
        <v>1108</v>
      </c>
      <c r="O569" s="8">
        <v>387.0602027243271</v>
      </c>
      <c r="P569" s="8">
        <v>0</v>
      </c>
      <c r="Q569" s="8">
        <v>600</v>
      </c>
      <c r="R569" s="8">
        <v>0</v>
      </c>
      <c r="S569" s="8">
        <v>0</v>
      </c>
      <c r="T569" s="5">
        <v>0</v>
      </c>
      <c r="U569" s="5">
        <v>0</v>
      </c>
      <c r="V569" s="5">
        <f>VLOOKUP(A569,Planilha1!B:E,4,0)</f>
        <v>0.37177548115779385</v>
      </c>
    </row>
    <row r="570" spans="1:22" x14ac:dyDescent="0.3">
      <c r="A570" t="str">
        <f t="shared" si="16"/>
        <v>LEITE UHTLACTALIS</v>
      </c>
      <c r="B570" t="str">
        <f t="shared" si="17"/>
        <v>5311594LEITE UHTLACTALIS</v>
      </c>
      <c r="C570" s="5" t="s">
        <v>226</v>
      </c>
      <c r="D570" s="5" t="s">
        <v>227</v>
      </c>
      <c r="E570" s="5" t="s">
        <v>1722</v>
      </c>
      <c r="F570" s="5">
        <v>5311594</v>
      </c>
      <c r="G570" s="5" t="s">
        <v>414</v>
      </c>
      <c r="H570" s="5" t="s">
        <v>30</v>
      </c>
      <c r="I570" s="5" t="s">
        <v>22</v>
      </c>
      <c r="J570" s="5" t="s">
        <v>156</v>
      </c>
      <c r="K570" s="6">
        <v>0</v>
      </c>
      <c r="L570" s="7">
        <v>360</v>
      </c>
      <c r="M570" s="8">
        <v>360</v>
      </c>
      <c r="N570" s="8">
        <v>0</v>
      </c>
      <c r="O570" s="8">
        <v>499.34525685011647</v>
      </c>
      <c r="P570" s="8">
        <v>0</v>
      </c>
      <c r="Q570" s="8">
        <v>0</v>
      </c>
      <c r="R570" s="8">
        <v>0</v>
      </c>
      <c r="S570" s="8">
        <v>0</v>
      </c>
      <c r="T570" s="5">
        <v>0</v>
      </c>
      <c r="U570" s="5">
        <v>0</v>
      </c>
      <c r="V570" s="5">
        <f>VLOOKUP(A570,Planilha1!B:E,4,0)</f>
        <v>0.37177548115779385</v>
      </c>
    </row>
    <row r="571" spans="1:22" x14ac:dyDescent="0.3">
      <c r="A571" t="str">
        <f t="shared" si="16"/>
        <v>LEITE UHTLACTALIS</v>
      </c>
      <c r="B571" t="str">
        <f t="shared" si="17"/>
        <v>5311595LEITE UHTLACTALIS</v>
      </c>
      <c r="C571" s="5" t="s">
        <v>226</v>
      </c>
      <c r="D571" s="5" t="s">
        <v>227</v>
      </c>
      <c r="E571" s="5" t="s">
        <v>1722</v>
      </c>
      <c r="F571" s="5">
        <v>5311595</v>
      </c>
      <c r="G571" s="5" t="s">
        <v>414</v>
      </c>
      <c r="H571" s="5" t="s">
        <v>30</v>
      </c>
      <c r="I571" s="5" t="s">
        <v>22</v>
      </c>
      <c r="J571" s="5" t="s">
        <v>156</v>
      </c>
      <c r="K571" s="6">
        <v>0</v>
      </c>
      <c r="L571" s="7">
        <v>348</v>
      </c>
      <c r="M571" s="8">
        <v>70</v>
      </c>
      <c r="N571" s="8">
        <v>0</v>
      </c>
      <c r="O571" s="8">
        <v>245.3143366492389</v>
      </c>
      <c r="P571" s="8">
        <v>0</v>
      </c>
      <c r="Q571" s="8">
        <v>0</v>
      </c>
      <c r="R571" s="8">
        <v>0</v>
      </c>
      <c r="S571" s="8">
        <v>0</v>
      </c>
      <c r="T571" s="5">
        <v>0</v>
      </c>
      <c r="U571" s="5">
        <v>0</v>
      </c>
      <c r="V571" s="5">
        <f>VLOOKUP(A571,Planilha1!B:E,4,0)</f>
        <v>0.37177548115779385</v>
      </c>
    </row>
    <row r="572" spans="1:22" x14ac:dyDescent="0.3">
      <c r="A572" t="str">
        <f t="shared" si="16"/>
        <v>LEITE UHTLACTALIS</v>
      </c>
      <c r="B572" t="str">
        <f t="shared" si="17"/>
        <v>5311596LEITE UHTLACTALIS</v>
      </c>
      <c r="C572" s="5" t="s">
        <v>226</v>
      </c>
      <c r="D572" s="5" t="s">
        <v>227</v>
      </c>
      <c r="E572" s="5" t="s">
        <v>1722</v>
      </c>
      <c r="F572" s="5">
        <v>5311596</v>
      </c>
      <c r="G572" s="5" t="s">
        <v>414</v>
      </c>
      <c r="H572" s="5" t="s">
        <v>30</v>
      </c>
      <c r="I572" s="5" t="s">
        <v>22</v>
      </c>
      <c r="J572" s="5" t="s">
        <v>156</v>
      </c>
      <c r="K572" s="6">
        <v>0</v>
      </c>
      <c r="L572" s="7">
        <v>360</v>
      </c>
      <c r="M572" s="8">
        <v>330</v>
      </c>
      <c r="N572" s="8">
        <v>280</v>
      </c>
      <c r="O572" s="8">
        <v>327.09373383513883</v>
      </c>
      <c r="P572" s="8">
        <v>0</v>
      </c>
      <c r="Q572" s="8">
        <v>0</v>
      </c>
      <c r="R572" s="8">
        <v>0</v>
      </c>
      <c r="S572" s="8">
        <v>0</v>
      </c>
      <c r="T572" s="5">
        <v>0</v>
      </c>
      <c r="U572" s="5">
        <v>0</v>
      </c>
      <c r="V572" s="5">
        <f>VLOOKUP(A572,Planilha1!B:E,4,0)</f>
        <v>0.37177548115779385</v>
      </c>
    </row>
    <row r="573" spans="1:22" x14ac:dyDescent="0.3">
      <c r="A573" t="str">
        <f t="shared" si="16"/>
        <v>CREME 35%LACTALIS</v>
      </c>
      <c r="B573" t="str">
        <f t="shared" si="17"/>
        <v>5312160CREME 35%LACTALIS</v>
      </c>
      <c r="C573" s="5" t="s">
        <v>226</v>
      </c>
      <c r="D573" s="5" t="s">
        <v>227</v>
      </c>
      <c r="E573" s="5" t="s">
        <v>1722</v>
      </c>
      <c r="F573" s="5">
        <v>5312160</v>
      </c>
      <c r="G573" s="5" t="s">
        <v>465</v>
      </c>
      <c r="H573" s="5" t="s">
        <v>30</v>
      </c>
      <c r="I573" s="5" t="s">
        <v>22</v>
      </c>
      <c r="J573" s="5" t="s">
        <v>89</v>
      </c>
      <c r="K573" s="6">
        <v>0</v>
      </c>
      <c r="L573" s="7">
        <v>0</v>
      </c>
      <c r="M573" s="8">
        <v>626.66666666666663</v>
      </c>
      <c r="N573" s="8">
        <v>733.33333333333337</v>
      </c>
      <c r="O573" s="8">
        <v>409.83010685200577</v>
      </c>
      <c r="P573" s="8">
        <v>0</v>
      </c>
      <c r="Q573" s="8">
        <v>0</v>
      </c>
      <c r="R573" s="8">
        <v>0</v>
      </c>
      <c r="S573" s="8">
        <v>0</v>
      </c>
      <c r="T573" s="5">
        <v>0</v>
      </c>
      <c r="U573" s="5">
        <v>0</v>
      </c>
      <c r="V573" s="5">
        <f>VLOOKUP(A573,Planilha1!B:E,4,0)</f>
        <v>6.4420264254159507</v>
      </c>
    </row>
    <row r="574" spans="1:22" x14ac:dyDescent="0.3">
      <c r="A574" t="str">
        <f t="shared" si="16"/>
        <v>BLISTERLACTALIS</v>
      </c>
      <c r="B574" t="str">
        <f t="shared" si="17"/>
        <v>5312629BLISTERLACTALIS</v>
      </c>
      <c r="C574" s="5" t="s">
        <v>226</v>
      </c>
      <c r="D574" s="5" t="s">
        <v>227</v>
      </c>
      <c r="E574" s="5" t="s">
        <v>1722</v>
      </c>
      <c r="F574" s="5">
        <v>5312629</v>
      </c>
      <c r="G574" s="5" t="s">
        <v>434</v>
      </c>
      <c r="H574" s="5" t="s">
        <v>30</v>
      </c>
      <c r="I574" s="5" t="s">
        <v>22</v>
      </c>
      <c r="J574" s="5" t="s">
        <v>199</v>
      </c>
      <c r="K574" s="6">
        <v>0</v>
      </c>
      <c r="L574" s="7">
        <v>3.84</v>
      </c>
      <c r="M574" s="8">
        <v>8.6399999999999988</v>
      </c>
      <c r="N574" s="8">
        <v>7.68</v>
      </c>
      <c r="O574" s="8">
        <v>5.1862167739760405</v>
      </c>
      <c r="P574" s="8">
        <v>0</v>
      </c>
      <c r="Q574" s="8">
        <v>0</v>
      </c>
      <c r="R574" s="8">
        <v>0</v>
      </c>
      <c r="S574" s="8">
        <v>15</v>
      </c>
      <c r="T574" s="5">
        <v>15</v>
      </c>
      <c r="U574" s="5">
        <v>8</v>
      </c>
      <c r="V574" s="5">
        <f>VLOOKUP(A574,Planilha1!B:E,4,0)</f>
        <v>13.783871706210666</v>
      </c>
    </row>
    <row r="575" spans="1:22" x14ac:dyDescent="0.3">
      <c r="A575" t="str">
        <f t="shared" si="16"/>
        <v>LEITE UHTLACTALIS</v>
      </c>
      <c r="B575" t="str">
        <f t="shared" si="17"/>
        <v>5312629LEITE UHTLACTALIS</v>
      </c>
      <c r="C575" s="5" t="s">
        <v>226</v>
      </c>
      <c r="D575" s="5" t="s">
        <v>227</v>
      </c>
      <c r="E575" s="5" t="s">
        <v>1722</v>
      </c>
      <c r="F575" s="5">
        <v>5312629</v>
      </c>
      <c r="G575" s="5" t="s">
        <v>434</v>
      </c>
      <c r="H575" s="5" t="s">
        <v>30</v>
      </c>
      <c r="I575" s="5" t="s">
        <v>22</v>
      </c>
      <c r="J575" s="5" t="s">
        <v>156</v>
      </c>
      <c r="K575" s="6">
        <v>0</v>
      </c>
      <c r="L575" s="7">
        <v>216</v>
      </c>
      <c r="M575" s="8">
        <v>192</v>
      </c>
      <c r="N575" s="8">
        <v>160</v>
      </c>
      <c r="O575" s="8">
        <v>104.66102538166311</v>
      </c>
      <c r="P575" s="8">
        <v>0</v>
      </c>
      <c r="Q575" s="8">
        <v>120</v>
      </c>
      <c r="R575" s="8">
        <v>0</v>
      </c>
      <c r="S575" s="8">
        <v>0</v>
      </c>
      <c r="T575" s="5">
        <v>0</v>
      </c>
      <c r="U575" s="5">
        <v>0</v>
      </c>
      <c r="V575" s="5">
        <f>VLOOKUP(A575,Planilha1!B:E,4,0)</f>
        <v>0.37177548115779385</v>
      </c>
    </row>
    <row r="576" spans="1:22" x14ac:dyDescent="0.3">
      <c r="A576" t="str">
        <f t="shared" si="16"/>
        <v>LEITE UHTLACTALIS</v>
      </c>
      <c r="B576" t="str">
        <f t="shared" si="17"/>
        <v>5312815LEITE UHTLACTALIS</v>
      </c>
      <c r="C576" s="5" t="s">
        <v>226</v>
      </c>
      <c r="D576" s="5" t="s">
        <v>227</v>
      </c>
      <c r="E576" s="5" t="s">
        <v>1722</v>
      </c>
      <c r="F576" s="5">
        <v>5312815</v>
      </c>
      <c r="G576" s="5" t="s">
        <v>466</v>
      </c>
      <c r="H576" s="5" t="s">
        <v>30</v>
      </c>
      <c r="I576" s="5" t="s">
        <v>22</v>
      </c>
      <c r="J576" s="5" t="s">
        <v>156</v>
      </c>
      <c r="K576" s="6">
        <v>0</v>
      </c>
      <c r="L576" s="7">
        <v>84</v>
      </c>
      <c r="M576" s="8">
        <v>40</v>
      </c>
      <c r="N576" s="8">
        <v>44</v>
      </c>
      <c r="O576" s="8">
        <v>26.168834581684923</v>
      </c>
      <c r="P576" s="8">
        <v>0</v>
      </c>
      <c r="Q576" s="8">
        <v>0</v>
      </c>
      <c r="R576" s="8">
        <v>0</v>
      </c>
      <c r="S576" s="8">
        <v>0</v>
      </c>
      <c r="T576" s="5">
        <v>0</v>
      </c>
      <c r="U576" s="5">
        <v>0</v>
      </c>
      <c r="V576" s="5">
        <f>VLOOKUP(A576,Planilha1!B:E,4,0)</f>
        <v>0.37177548115779385</v>
      </c>
    </row>
    <row r="577" spans="1:22" x14ac:dyDescent="0.3">
      <c r="A577" t="str">
        <f t="shared" si="16"/>
        <v>LEITE UHTLACTALIS</v>
      </c>
      <c r="B577" t="str">
        <f t="shared" si="17"/>
        <v>5314910LEITE UHTLACTALIS</v>
      </c>
      <c r="C577" s="5" t="s">
        <v>226</v>
      </c>
      <c r="D577" s="5" t="s">
        <v>227</v>
      </c>
      <c r="E577" s="5" t="s">
        <v>1722</v>
      </c>
      <c r="F577" s="5">
        <v>5314910</v>
      </c>
      <c r="G577" s="5" t="s">
        <v>467</v>
      </c>
      <c r="H577" s="5" t="s">
        <v>30</v>
      </c>
      <c r="I577" s="5" t="s">
        <v>22</v>
      </c>
      <c r="J577" s="5" t="s">
        <v>156</v>
      </c>
      <c r="K577" s="6">
        <v>0</v>
      </c>
      <c r="L577" s="7">
        <v>48</v>
      </c>
      <c r="M577" s="8">
        <v>48</v>
      </c>
      <c r="N577" s="8">
        <v>48</v>
      </c>
      <c r="O577" s="8">
        <v>17.44270906666182</v>
      </c>
      <c r="P577" s="8">
        <v>0</v>
      </c>
      <c r="Q577" s="8">
        <v>0</v>
      </c>
      <c r="R577" s="8">
        <v>0</v>
      </c>
      <c r="S577" s="8">
        <v>0</v>
      </c>
      <c r="T577" s="5">
        <v>0</v>
      </c>
      <c r="U577" s="5">
        <v>0</v>
      </c>
      <c r="V577" s="5">
        <f>VLOOKUP(A577,Planilha1!B:E,4,0)</f>
        <v>0.37177548115779385</v>
      </c>
    </row>
    <row r="578" spans="1:22" x14ac:dyDescent="0.3">
      <c r="A578" t="str">
        <f t="shared" ref="A578:A641" si="18">J578&amp;I578</f>
        <v>BLISTERLACTALIS</v>
      </c>
      <c r="B578" t="str">
        <f t="shared" si="17"/>
        <v>5315163BLISTERLACTALIS</v>
      </c>
      <c r="C578" s="5" t="s">
        <v>226</v>
      </c>
      <c r="D578" s="5" t="s">
        <v>227</v>
      </c>
      <c r="E578" s="5" t="s">
        <v>1722</v>
      </c>
      <c r="F578" s="5">
        <v>5315163</v>
      </c>
      <c r="G578" s="5" t="s">
        <v>434</v>
      </c>
      <c r="H578" s="5" t="s">
        <v>30</v>
      </c>
      <c r="I578" s="5" t="s">
        <v>22</v>
      </c>
      <c r="J578" s="5" t="s">
        <v>199</v>
      </c>
      <c r="K578" s="6">
        <v>0</v>
      </c>
      <c r="L578" s="7">
        <v>14.64</v>
      </c>
      <c r="M578" s="8">
        <v>17.2</v>
      </c>
      <c r="N578" s="8">
        <v>14.48</v>
      </c>
      <c r="O578" s="8">
        <v>11.118719750400363</v>
      </c>
      <c r="P578" s="8">
        <v>0</v>
      </c>
      <c r="Q578" s="8">
        <v>0</v>
      </c>
      <c r="R578" s="8">
        <v>0</v>
      </c>
      <c r="S578" s="8">
        <v>29</v>
      </c>
      <c r="T578" s="5">
        <v>29</v>
      </c>
      <c r="U578" s="5">
        <v>29</v>
      </c>
      <c r="V578" s="5">
        <f>VLOOKUP(A578,Planilha1!B:E,4,0)</f>
        <v>13.783871706210666</v>
      </c>
    </row>
    <row r="579" spans="1:22" x14ac:dyDescent="0.3">
      <c r="A579" t="str">
        <f t="shared" si="18"/>
        <v>LEITE UHTLACTALIS</v>
      </c>
      <c r="B579" t="str">
        <f t="shared" ref="B579:B642" si="19">F579&amp;J579&amp;I579</f>
        <v>5315163LEITE UHTLACTALIS</v>
      </c>
      <c r="C579" s="5" t="s">
        <v>226</v>
      </c>
      <c r="D579" s="5" t="s">
        <v>227</v>
      </c>
      <c r="E579" s="5" t="s">
        <v>1722</v>
      </c>
      <c r="F579" s="5">
        <v>5315163</v>
      </c>
      <c r="G579" s="5" t="s">
        <v>434</v>
      </c>
      <c r="H579" s="5" t="s">
        <v>30</v>
      </c>
      <c r="I579" s="5" t="s">
        <v>22</v>
      </c>
      <c r="J579" s="5" t="s">
        <v>156</v>
      </c>
      <c r="K579" s="6">
        <v>0</v>
      </c>
      <c r="L579" s="7">
        <v>456</v>
      </c>
      <c r="M579" s="8">
        <v>394</v>
      </c>
      <c r="N579" s="8">
        <v>332</v>
      </c>
      <c r="O579" s="8">
        <v>189.71331600840824</v>
      </c>
      <c r="P579" s="8">
        <v>0</v>
      </c>
      <c r="Q579" s="8">
        <v>12</v>
      </c>
      <c r="R579" s="8">
        <v>0</v>
      </c>
      <c r="S579" s="8">
        <v>0</v>
      </c>
      <c r="T579" s="5">
        <v>0</v>
      </c>
      <c r="U579" s="5">
        <v>0</v>
      </c>
      <c r="V579" s="5">
        <f>VLOOKUP(A579,Planilha1!B:E,4,0)</f>
        <v>0.37177548115779385</v>
      </c>
    </row>
    <row r="580" spans="1:22" x14ac:dyDescent="0.3">
      <c r="A580" t="str">
        <f t="shared" si="18"/>
        <v>LEITE UHTLACTALIS</v>
      </c>
      <c r="B580" t="str">
        <f t="shared" si="19"/>
        <v>5315266LEITE UHTLACTALIS</v>
      </c>
      <c r="C580" s="5" t="s">
        <v>226</v>
      </c>
      <c r="D580" s="5" t="s">
        <v>227</v>
      </c>
      <c r="E580" s="5" t="s">
        <v>1722</v>
      </c>
      <c r="F580" s="5">
        <v>5315266</v>
      </c>
      <c r="G580" s="5" t="s">
        <v>468</v>
      </c>
      <c r="H580" s="5" t="s">
        <v>30</v>
      </c>
      <c r="I580" s="5" t="s">
        <v>22</v>
      </c>
      <c r="J580" s="5" t="s">
        <v>156</v>
      </c>
      <c r="K580" s="6">
        <v>0</v>
      </c>
      <c r="L580" s="7">
        <v>0</v>
      </c>
      <c r="M580" s="8">
        <v>100</v>
      </c>
      <c r="N580" s="8">
        <v>120</v>
      </c>
      <c r="O580" s="8">
        <v>6.5457868816903764</v>
      </c>
      <c r="P580" s="8">
        <v>0</v>
      </c>
      <c r="Q580" s="8">
        <v>0</v>
      </c>
      <c r="R580" s="8">
        <v>0</v>
      </c>
      <c r="S580" s="8">
        <v>0</v>
      </c>
      <c r="T580" s="5">
        <v>0</v>
      </c>
      <c r="U580" s="5">
        <v>0</v>
      </c>
      <c r="V580" s="5">
        <f>VLOOKUP(A580,Planilha1!B:E,4,0)</f>
        <v>0.37177548115779385</v>
      </c>
    </row>
    <row r="581" spans="1:22" x14ac:dyDescent="0.3">
      <c r="A581" t="str">
        <f t="shared" si="18"/>
        <v>LEITE UHTLACTALIS</v>
      </c>
      <c r="B581" t="str">
        <f t="shared" si="19"/>
        <v>5315911LEITE UHTLACTALIS</v>
      </c>
      <c r="C581" s="5" t="s">
        <v>226</v>
      </c>
      <c r="D581" s="5" t="s">
        <v>227</v>
      </c>
      <c r="E581" s="5" t="s">
        <v>1722</v>
      </c>
      <c r="F581" s="5">
        <v>5315911</v>
      </c>
      <c r="G581" s="5" t="s">
        <v>469</v>
      </c>
      <c r="H581" s="5" t="s">
        <v>30</v>
      </c>
      <c r="I581" s="5" t="s">
        <v>22</v>
      </c>
      <c r="J581" s="5" t="s">
        <v>156</v>
      </c>
      <c r="K581" s="6">
        <v>0</v>
      </c>
      <c r="L581" s="7">
        <v>144</v>
      </c>
      <c r="M581" s="8">
        <v>180</v>
      </c>
      <c r="N581" s="8">
        <v>280</v>
      </c>
      <c r="O581" s="8">
        <v>21.803386333327275</v>
      </c>
      <c r="P581" s="8">
        <v>0</v>
      </c>
      <c r="Q581" s="8">
        <v>0</v>
      </c>
      <c r="R581" s="8">
        <v>0</v>
      </c>
      <c r="S581" s="8">
        <v>0</v>
      </c>
      <c r="T581" s="5">
        <v>0</v>
      </c>
      <c r="U581" s="5">
        <v>0</v>
      </c>
      <c r="V581" s="5">
        <f>VLOOKUP(A581,Planilha1!B:E,4,0)</f>
        <v>0.37177548115779385</v>
      </c>
    </row>
    <row r="582" spans="1:22" x14ac:dyDescent="0.3">
      <c r="A582" t="str">
        <f t="shared" si="18"/>
        <v>LEITE UHTLACTALIS</v>
      </c>
      <c r="B582" t="str">
        <f t="shared" si="19"/>
        <v>5316251LEITE UHTLACTALIS</v>
      </c>
      <c r="C582" s="5" t="s">
        <v>226</v>
      </c>
      <c r="D582" s="5" t="s">
        <v>227</v>
      </c>
      <c r="E582" s="5" t="s">
        <v>1722</v>
      </c>
      <c r="F582" s="5">
        <v>5316251</v>
      </c>
      <c r="G582" s="5" t="s">
        <v>470</v>
      </c>
      <c r="H582" s="5" t="s">
        <v>30</v>
      </c>
      <c r="I582" s="5" t="s">
        <v>22</v>
      </c>
      <c r="J582" s="5" t="s">
        <v>156</v>
      </c>
      <c r="K582" s="6">
        <v>0</v>
      </c>
      <c r="L582" s="7">
        <v>144</v>
      </c>
      <c r="M582" s="8">
        <v>12</v>
      </c>
      <c r="N582" s="8">
        <v>8</v>
      </c>
      <c r="O582" s="8">
        <v>30.534282830042571</v>
      </c>
      <c r="P582" s="8">
        <v>0</v>
      </c>
      <c r="Q582" s="8">
        <v>0</v>
      </c>
      <c r="R582" s="8">
        <v>0</v>
      </c>
      <c r="S582" s="8">
        <v>0</v>
      </c>
      <c r="T582" s="5">
        <v>0</v>
      </c>
      <c r="U582" s="5">
        <v>0</v>
      </c>
      <c r="V582" s="5">
        <f>VLOOKUP(A582,Planilha1!B:E,4,0)</f>
        <v>0.37177548115779385</v>
      </c>
    </row>
    <row r="583" spans="1:22" x14ac:dyDescent="0.3">
      <c r="A583" t="str">
        <f t="shared" si="18"/>
        <v>BLISTERLACTALIS</v>
      </c>
      <c r="B583" t="str">
        <f t="shared" si="19"/>
        <v>5316375BLISTERLACTALIS</v>
      </c>
      <c r="C583" s="5" t="s">
        <v>226</v>
      </c>
      <c r="D583" s="5" t="s">
        <v>227</v>
      </c>
      <c r="E583" s="5" t="s">
        <v>1722</v>
      </c>
      <c r="F583" s="5">
        <v>5316375</v>
      </c>
      <c r="G583" s="5" t="s">
        <v>471</v>
      </c>
      <c r="H583" s="5" t="s">
        <v>30</v>
      </c>
      <c r="I583" s="5" t="s">
        <v>22</v>
      </c>
      <c r="J583" s="5" t="s">
        <v>199</v>
      </c>
      <c r="K583" s="6">
        <v>0</v>
      </c>
      <c r="L583" s="7">
        <v>30.24</v>
      </c>
      <c r="M583" s="8">
        <v>35.599999999999994</v>
      </c>
      <c r="N583" s="8">
        <v>34.880000000000003</v>
      </c>
      <c r="O583" s="8">
        <v>30.493821031684256</v>
      </c>
      <c r="P583" s="8">
        <v>0</v>
      </c>
      <c r="Q583" s="8">
        <v>0</v>
      </c>
      <c r="R583" s="8">
        <v>0</v>
      </c>
      <c r="S583" s="8">
        <v>32</v>
      </c>
      <c r="T583" s="5">
        <v>32</v>
      </c>
      <c r="U583" s="5">
        <v>32</v>
      </c>
      <c r="V583" s="5">
        <f>VLOOKUP(A583,Planilha1!B:E,4,0)</f>
        <v>13.783871706210666</v>
      </c>
    </row>
    <row r="584" spans="1:22" x14ac:dyDescent="0.3">
      <c r="A584" t="str">
        <f t="shared" si="18"/>
        <v>LEITE UHTLACTALIS</v>
      </c>
      <c r="B584" t="str">
        <f t="shared" si="19"/>
        <v>5316375LEITE UHTLACTALIS</v>
      </c>
      <c r="C584" s="5" t="s">
        <v>226</v>
      </c>
      <c r="D584" s="5" t="s">
        <v>227</v>
      </c>
      <c r="E584" s="5" t="s">
        <v>1722</v>
      </c>
      <c r="F584" s="5">
        <v>5316375</v>
      </c>
      <c r="G584" s="5" t="s">
        <v>471</v>
      </c>
      <c r="H584" s="5" t="s">
        <v>30</v>
      </c>
      <c r="I584" s="5" t="s">
        <v>22</v>
      </c>
      <c r="J584" s="5" t="s">
        <v>156</v>
      </c>
      <c r="K584" s="6">
        <v>0</v>
      </c>
      <c r="L584" s="7">
        <v>0</v>
      </c>
      <c r="M584" s="8">
        <v>132</v>
      </c>
      <c r="N584" s="8">
        <v>24</v>
      </c>
      <c r="O584" s="8">
        <v>6.5457868816903764</v>
      </c>
      <c r="P584" s="8">
        <v>0</v>
      </c>
      <c r="Q584" s="8">
        <v>0</v>
      </c>
      <c r="R584" s="8">
        <v>0</v>
      </c>
      <c r="S584" s="8">
        <v>0</v>
      </c>
      <c r="T584" s="5">
        <v>0</v>
      </c>
      <c r="U584" s="5">
        <v>0</v>
      </c>
      <c r="V584" s="5">
        <f>VLOOKUP(A584,Planilha1!B:E,4,0)</f>
        <v>0.37177548115779385</v>
      </c>
    </row>
    <row r="585" spans="1:22" x14ac:dyDescent="0.3">
      <c r="A585" t="str">
        <f t="shared" si="18"/>
        <v>LEITE UHTLACTALIS</v>
      </c>
      <c r="B585" t="str">
        <f t="shared" si="19"/>
        <v>5317022LEITE UHTLACTALIS</v>
      </c>
      <c r="C585" s="5" t="s">
        <v>226</v>
      </c>
      <c r="D585" s="5" t="s">
        <v>227</v>
      </c>
      <c r="E585" s="5" t="s">
        <v>1722</v>
      </c>
      <c r="F585" s="5">
        <v>5317022</v>
      </c>
      <c r="G585" s="5" t="s">
        <v>472</v>
      </c>
      <c r="H585" s="5" t="s">
        <v>30</v>
      </c>
      <c r="I585" s="5" t="s">
        <v>22</v>
      </c>
      <c r="J585" s="5" t="s">
        <v>156</v>
      </c>
      <c r="K585" s="6">
        <v>0</v>
      </c>
      <c r="L585" s="7">
        <v>72</v>
      </c>
      <c r="M585" s="8">
        <v>42</v>
      </c>
      <c r="N585" s="8">
        <v>0</v>
      </c>
      <c r="O585" s="8">
        <v>37.065756766656364</v>
      </c>
      <c r="P585" s="8">
        <v>0</v>
      </c>
      <c r="Q585" s="8">
        <v>0</v>
      </c>
      <c r="R585" s="8">
        <v>0</v>
      </c>
      <c r="S585" s="8">
        <v>0</v>
      </c>
      <c r="T585" s="5">
        <v>0</v>
      </c>
      <c r="U585" s="5">
        <v>0</v>
      </c>
      <c r="V585" s="5">
        <f>VLOOKUP(A585,Planilha1!B:E,4,0)</f>
        <v>0.37177548115779385</v>
      </c>
    </row>
    <row r="586" spans="1:22" x14ac:dyDescent="0.3">
      <c r="A586" t="str">
        <f t="shared" si="18"/>
        <v>LEITE UHTLACTALIS</v>
      </c>
      <c r="B586" t="str">
        <f t="shared" si="19"/>
        <v>5319094LEITE UHTLACTALIS</v>
      </c>
      <c r="C586" s="5" t="s">
        <v>226</v>
      </c>
      <c r="D586" s="5" t="s">
        <v>227</v>
      </c>
      <c r="E586" s="5" t="s">
        <v>1722</v>
      </c>
      <c r="F586" s="5">
        <v>5319094</v>
      </c>
      <c r="G586" s="5" t="s">
        <v>473</v>
      </c>
      <c r="H586" s="5" t="s">
        <v>30</v>
      </c>
      <c r="I586" s="5" t="s">
        <v>22</v>
      </c>
      <c r="J586" s="5" t="s">
        <v>156</v>
      </c>
      <c r="K586" s="6">
        <v>0</v>
      </c>
      <c r="L586" s="7">
        <v>0</v>
      </c>
      <c r="M586" s="8">
        <v>110</v>
      </c>
      <c r="N586" s="8">
        <v>140</v>
      </c>
      <c r="O586" s="8">
        <v>45.79188228167947</v>
      </c>
      <c r="P586" s="8">
        <v>0</v>
      </c>
      <c r="Q586" s="8">
        <v>0</v>
      </c>
      <c r="R586" s="8">
        <v>0</v>
      </c>
      <c r="S586" s="8">
        <v>0</v>
      </c>
      <c r="T586" s="5">
        <v>0</v>
      </c>
      <c r="U586" s="5">
        <v>0</v>
      </c>
      <c r="V586" s="5">
        <f>VLOOKUP(A586,Planilha1!B:E,4,0)</f>
        <v>0.37177548115779385</v>
      </c>
    </row>
    <row r="587" spans="1:22" x14ac:dyDescent="0.3">
      <c r="A587" t="str">
        <f t="shared" si="18"/>
        <v>BLISTERLACTALIS</v>
      </c>
      <c r="B587" t="str">
        <f t="shared" si="19"/>
        <v>5324423BLISTERLACTALIS</v>
      </c>
      <c r="C587" s="5" t="s">
        <v>226</v>
      </c>
      <c r="D587" s="5" t="s">
        <v>227</v>
      </c>
      <c r="E587" s="5" t="s">
        <v>1722</v>
      </c>
      <c r="F587" s="5">
        <v>5324423</v>
      </c>
      <c r="G587" s="5" t="s">
        <v>474</v>
      </c>
      <c r="H587" s="5" t="s">
        <v>30</v>
      </c>
      <c r="I587" s="5" t="s">
        <v>22</v>
      </c>
      <c r="J587" s="5" t="s">
        <v>199</v>
      </c>
      <c r="K587" s="6">
        <v>0</v>
      </c>
      <c r="L587" s="7">
        <v>0</v>
      </c>
      <c r="M587" s="8">
        <v>7.1199999999999992</v>
      </c>
      <c r="N587" s="8">
        <v>5.44</v>
      </c>
      <c r="O587" s="8">
        <v>5.1106434876521636</v>
      </c>
      <c r="P587" s="8">
        <v>0</v>
      </c>
      <c r="Q587" s="8">
        <v>0</v>
      </c>
      <c r="R587" s="8">
        <v>0</v>
      </c>
      <c r="S587" s="8">
        <v>20</v>
      </c>
      <c r="T587" s="5">
        <v>20</v>
      </c>
      <c r="U587" s="5">
        <v>16</v>
      </c>
      <c r="V587" s="5">
        <f>VLOOKUP(A587,Planilha1!B:E,4,0)</f>
        <v>13.783871706210666</v>
      </c>
    </row>
    <row r="588" spans="1:22" x14ac:dyDescent="0.3">
      <c r="A588" t="str">
        <f t="shared" si="18"/>
        <v>LEITE UHTLACTALIS</v>
      </c>
      <c r="B588" t="str">
        <f t="shared" si="19"/>
        <v>5327881LEITE UHTLACTALIS</v>
      </c>
      <c r="C588" s="5" t="s">
        <v>226</v>
      </c>
      <c r="D588" s="5" t="s">
        <v>227</v>
      </c>
      <c r="E588" s="5" t="s">
        <v>1722</v>
      </c>
      <c r="F588" s="5">
        <v>5327881</v>
      </c>
      <c r="G588" s="5" t="s">
        <v>406</v>
      </c>
      <c r="H588" s="5" t="s">
        <v>30</v>
      </c>
      <c r="I588" s="5" t="s">
        <v>22</v>
      </c>
      <c r="J588" s="5" t="s">
        <v>156</v>
      </c>
      <c r="K588" s="6">
        <v>0</v>
      </c>
      <c r="L588" s="7">
        <v>12</v>
      </c>
      <c r="M588" s="8">
        <v>0</v>
      </c>
      <c r="N588" s="8">
        <v>0</v>
      </c>
      <c r="O588" s="8">
        <v>2.1803386333327275</v>
      </c>
      <c r="P588" s="8">
        <v>0</v>
      </c>
      <c r="Q588" s="8">
        <v>0</v>
      </c>
      <c r="R588" s="8">
        <v>0</v>
      </c>
      <c r="S588" s="8">
        <v>0</v>
      </c>
      <c r="T588" s="5">
        <v>0</v>
      </c>
      <c r="U588" s="5">
        <v>0</v>
      </c>
      <c r="V588" s="5">
        <f>VLOOKUP(A588,Planilha1!B:E,4,0)</f>
        <v>0.37177548115779385</v>
      </c>
    </row>
    <row r="589" spans="1:22" x14ac:dyDescent="0.3">
      <c r="A589" t="str">
        <f t="shared" si="18"/>
        <v>BLISTERLACTALIS</v>
      </c>
      <c r="B589" t="str">
        <f t="shared" si="19"/>
        <v>5329708BLISTERLACTALIS</v>
      </c>
      <c r="C589" s="5" t="s">
        <v>226</v>
      </c>
      <c r="D589" s="5" t="s">
        <v>227</v>
      </c>
      <c r="E589" s="5" t="s">
        <v>1722</v>
      </c>
      <c r="F589" s="5">
        <v>5329708</v>
      </c>
      <c r="G589" s="5" t="s">
        <v>475</v>
      </c>
      <c r="H589" s="5" t="s">
        <v>30</v>
      </c>
      <c r="I589" s="5" t="s">
        <v>22</v>
      </c>
      <c r="J589" s="5" t="s">
        <v>199</v>
      </c>
      <c r="K589" s="6">
        <v>0</v>
      </c>
      <c r="L589" s="7">
        <v>0</v>
      </c>
      <c r="M589" s="8">
        <v>2.2399999999999998</v>
      </c>
      <c r="N589" s="8">
        <v>2.56</v>
      </c>
      <c r="O589" s="8">
        <v>1.1147059732771816</v>
      </c>
      <c r="P589" s="8">
        <v>0</v>
      </c>
      <c r="Q589" s="8">
        <v>0</v>
      </c>
      <c r="R589" s="8">
        <v>0</v>
      </c>
      <c r="S589" s="8">
        <v>4</v>
      </c>
      <c r="T589" s="5">
        <v>4</v>
      </c>
      <c r="U589" s="5">
        <v>4</v>
      </c>
      <c r="V589" s="5">
        <f>VLOOKUP(A589,Planilha1!B:E,4,0)</f>
        <v>13.783871706210666</v>
      </c>
    </row>
    <row r="590" spans="1:22" x14ac:dyDescent="0.3">
      <c r="A590" t="str">
        <f t="shared" si="18"/>
        <v>LEITE UHTLACTALIS</v>
      </c>
      <c r="B590" t="str">
        <f t="shared" si="19"/>
        <v>5329708LEITE UHTLACTALIS</v>
      </c>
      <c r="C590" s="5" t="s">
        <v>226</v>
      </c>
      <c r="D590" s="5" t="s">
        <v>227</v>
      </c>
      <c r="E590" s="5" t="s">
        <v>1722</v>
      </c>
      <c r="F590" s="5">
        <v>5329708</v>
      </c>
      <c r="G590" s="5" t="s">
        <v>475</v>
      </c>
      <c r="H590" s="5" t="s">
        <v>30</v>
      </c>
      <c r="I590" s="5" t="s">
        <v>22</v>
      </c>
      <c r="J590" s="5" t="s">
        <v>156</v>
      </c>
      <c r="K590" s="6">
        <v>0</v>
      </c>
      <c r="L590" s="7">
        <v>0</v>
      </c>
      <c r="M590" s="8">
        <v>126</v>
      </c>
      <c r="N590" s="8">
        <v>128</v>
      </c>
      <c r="O590" s="8">
        <v>91.578993581666737</v>
      </c>
      <c r="P590" s="8">
        <v>0</v>
      </c>
      <c r="Q590" s="8">
        <v>0</v>
      </c>
      <c r="R590" s="8">
        <v>0</v>
      </c>
      <c r="S590" s="8">
        <v>0</v>
      </c>
      <c r="T590" s="5">
        <v>0</v>
      </c>
      <c r="U590" s="5">
        <v>0</v>
      </c>
      <c r="V590" s="5">
        <f>VLOOKUP(A590,Planilha1!B:E,4,0)</f>
        <v>0.37177548115779385</v>
      </c>
    </row>
    <row r="591" spans="1:22" x14ac:dyDescent="0.3">
      <c r="A591" t="str">
        <f t="shared" si="18"/>
        <v>BLISTERLACTALIS</v>
      </c>
      <c r="B591" t="str">
        <f t="shared" si="19"/>
        <v>5330353BLISTERLACTALIS</v>
      </c>
      <c r="C591" s="5" t="s">
        <v>226</v>
      </c>
      <c r="D591" s="5" t="s">
        <v>227</v>
      </c>
      <c r="E591" s="5" t="s">
        <v>1722</v>
      </c>
      <c r="F591" s="5">
        <v>5330353</v>
      </c>
      <c r="G591" s="5" t="s">
        <v>476</v>
      </c>
      <c r="H591" s="5" t="s">
        <v>30</v>
      </c>
      <c r="I591" s="5" t="s">
        <v>22</v>
      </c>
      <c r="J591" s="5" t="s">
        <v>199</v>
      </c>
      <c r="K591" s="6">
        <v>0</v>
      </c>
      <c r="L591" s="7">
        <v>0</v>
      </c>
      <c r="M591" s="8">
        <v>7.04</v>
      </c>
      <c r="N591" s="8">
        <v>5.12</v>
      </c>
      <c r="O591" s="8">
        <v>3.7030910298699591</v>
      </c>
      <c r="P591" s="8">
        <v>0</v>
      </c>
      <c r="Q591" s="8">
        <v>0</v>
      </c>
      <c r="R591" s="8">
        <v>0</v>
      </c>
      <c r="S591" s="8">
        <v>0</v>
      </c>
      <c r="T591" s="5">
        <v>0</v>
      </c>
      <c r="U591" s="5">
        <v>0</v>
      </c>
      <c r="V591" s="5">
        <f>VLOOKUP(A591,Planilha1!B:E,4,0)</f>
        <v>13.783871706210666</v>
      </c>
    </row>
    <row r="592" spans="1:22" x14ac:dyDescent="0.3">
      <c r="A592" t="str">
        <f t="shared" si="18"/>
        <v>PARMESÃOLACTALIS</v>
      </c>
      <c r="B592" t="str">
        <f t="shared" si="19"/>
        <v>5330353PARMESÃOLACTALIS</v>
      </c>
      <c r="C592" s="5" t="s">
        <v>226</v>
      </c>
      <c r="D592" s="5" t="s">
        <v>227</v>
      </c>
      <c r="E592" s="5" t="s">
        <v>1722</v>
      </c>
      <c r="F592" s="5">
        <v>5330353</v>
      </c>
      <c r="G592" s="5" t="s">
        <v>476</v>
      </c>
      <c r="H592" s="5" t="s">
        <v>30</v>
      </c>
      <c r="I592" s="5" t="s">
        <v>22</v>
      </c>
      <c r="J592" s="5" t="s">
        <v>195</v>
      </c>
      <c r="K592" s="6">
        <v>0</v>
      </c>
      <c r="L592" s="7">
        <v>0</v>
      </c>
      <c r="M592" s="8">
        <v>0</v>
      </c>
      <c r="N592" s="8">
        <v>0</v>
      </c>
      <c r="O592" s="8">
        <v>6.9716826376892085</v>
      </c>
      <c r="P592" s="8">
        <v>0</v>
      </c>
      <c r="Q592" s="8">
        <v>0</v>
      </c>
      <c r="R592" s="8">
        <v>0</v>
      </c>
      <c r="S592" s="8">
        <v>0</v>
      </c>
      <c r="T592" s="5">
        <v>0</v>
      </c>
      <c r="U592" s="5">
        <v>0</v>
      </c>
      <c r="V592" s="5">
        <f>VLOOKUP(A592,Planilha1!B:E,4,0)</f>
        <v>6.310326960724681</v>
      </c>
    </row>
    <row r="593" spans="1:22" x14ac:dyDescent="0.3">
      <c r="A593" t="str">
        <f t="shared" si="18"/>
        <v>LEITE UHTLACTALIS</v>
      </c>
      <c r="B593" t="str">
        <f t="shared" si="19"/>
        <v>5330353LEITE UHTLACTALIS</v>
      </c>
      <c r="C593" s="5" t="s">
        <v>226</v>
      </c>
      <c r="D593" s="5" t="s">
        <v>227</v>
      </c>
      <c r="E593" s="5" t="s">
        <v>1722</v>
      </c>
      <c r="F593" s="5">
        <v>5330353</v>
      </c>
      <c r="G593" s="5" t="s">
        <v>476</v>
      </c>
      <c r="H593" s="5" t="s">
        <v>30</v>
      </c>
      <c r="I593" s="5" t="s">
        <v>22</v>
      </c>
      <c r="J593" s="5" t="s">
        <v>156</v>
      </c>
      <c r="K593" s="6">
        <v>0</v>
      </c>
      <c r="L593" s="7">
        <v>0</v>
      </c>
      <c r="M593" s="8">
        <v>240</v>
      </c>
      <c r="N593" s="8">
        <v>320</v>
      </c>
      <c r="O593" s="8">
        <v>43.611543648346739</v>
      </c>
      <c r="P593" s="8">
        <v>0</v>
      </c>
      <c r="Q593" s="8">
        <v>0</v>
      </c>
      <c r="R593" s="8">
        <v>0</v>
      </c>
      <c r="S593" s="8">
        <v>0</v>
      </c>
      <c r="T593" s="5">
        <v>0</v>
      </c>
      <c r="U593" s="5">
        <v>0</v>
      </c>
      <c r="V593" s="5">
        <f>VLOOKUP(A593,Planilha1!B:E,4,0)</f>
        <v>0.37177548115779385</v>
      </c>
    </row>
    <row r="594" spans="1:22" x14ac:dyDescent="0.3">
      <c r="A594" t="str">
        <f t="shared" si="18"/>
        <v>LEITE UHTLACTALIS</v>
      </c>
      <c r="B594" t="str">
        <f t="shared" si="19"/>
        <v>5333984LEITE UHTLACTALIS</v>
      </c>
      <c r="C594" s="5" t="s">
        <v>226</v>
      </c>
      <c r="D594" s="5" t="s">
        <v>227</v>
      </c>
      <c r="E594" s="5" t="s">
        <v>1722</v>
      </c>
      <c r="F594" s="5">
        <v>5333984</v>
      </c>
      <c r="G594" s="5" t="s">
        <v>477</v>
      </c>
      <c r="H594" s="5" t="s">
        <v>30</v>
      </c>
      <c r="I594" s="5" t="s">
        <v>22</v>
      </c>
      <c r="J594" s="5" t="s">
        <v>156</v>
      </c>
      <c r="K594" s="6">
        <v>0</v>
      </c>
      <c r="L594" s="7">
        <v>0</v>
      </c>
      <c r="M594" s="8">
        <v>60</v>
      </c>
      <c r="N594" s="8">
        <v>80</v>
      </c>
      <c r="O594" s="8">
        <v>13.082031799996365</v>
      </c>
      <c r="P594" s="8">
        <v>0</v>
      </c>
      <c r="Q594" s="8">
        <v>0</v>
      </c>
      <c r="R594" s="8">
        <v>0</v>
      </c>
      <c r="S594" s="8">
        <v>0</v>
      </c>
      <c r="T594" s="5">
        <v>0</v>
      </c>
      <c r="U594" s="5">
        <v>0</v>
      </c>
      <c r="V594" s="5">
        <f>VLOOKUP(A594,Planilha1!B:E,4,0)</f>
        <v>0.37177548115779385</v>
      </c>
    </row>
    <row r="595" spans="1:22" x14ac:dyDescent="0.3">
      <c r="A595" t="str">
        <f t="shared" si="18"/>
        <v>LEITE UHTLACTALIS</v>
      </c>
      <c r="B595" t="str">
        <f t="shared" si="19"/>
        <v>5334673LEITE UHTLACTALIS</v>
      </c>
      <c r="C595" s="5" t="s">
        <v>226</v>
      </c>
      <c r="D595" s="5" t="s">
        <v>227</v>
      </c>
      <c r="E595" s="5" t="s">
        <v>1722</v>
      </c>
      <c r="F595" s="5">
        <v>5334673</v>
      </c>
      <c r="G595" s="5" t="s">
        <v>464</v>
      </c>
      <c r="H595" s="5" t="s">
        <v>30</v>
      </c>
      <c r="I595" s="5" t="s">
        <v>22</v>
      </c>
      <c r="J595" s="5" t="s">
        <v>156</v>
      </c>
      <c r="K595" s="6">
        <v>0</v>
      </c>
      <c r="L595" s="7">
        <v>120</v>
      </c>
      <c r="M595" s="8">
        <v>42</v>
      </c>
      <c r="N595" s="8">
        <v>72</v>
      </c>
      <c r="O595" s="8">
        <v>25.076279774172463</v>
      </c>
      <c r="P595" s="8">
        <v>0</v>
      </c>
      <c r="Q595" s="8">
        <v>0</v>
      </c>
      <c r="R595" s="8">
        <v>0</v>
      </c>
      <c r="S595" s="8">
        <v>0</v>
      </c>
      <c r="T595" s="5">
        <v>0</v>
      </c>
      <c r="U595" s="5">
        <v>0</v>
      </c>
      <c r="V595" s="5">
        <f>VLOOKUP(A595,Planilha1!B:E,4,0)</f>
        <v>0.37177548115779385</v>
      </c>
    </row>
    <row r="596" spans="1:22" x14ac:dyDescent="0.3">
      <c r="A596" t="str">
        <f t="shared" si="18"/>
        <v>LEITE UHTLACTALIS</v>
      </c>
      <c r="B596" t="str">
        <f t="shared" si="19"/>
        <v>5337882LEITE UHTLACTALIS</v>
      </c>
      <c r="C596" s="5" t="s">
        <v>226</v>
      </c>
      <c r="D596" s="5" t="s">
        <v>227</v>
      </c>
      <c r="E596" s="5" t="s">
        <v>1722</v>
      </c>
      <c r="F596" s="5">
        <v>5337882</v>
      </c>
      <c r="G596" s="5" t="s">
        <v>478</v>
      </c>
      <c r="H596" s="5" t="s">
        <v>30</v>
      </c>
      <c r="I596" s="5" t="s">
        <v>22</v>
      </c>
      <c r="J596" s="5" t="s">
        <v>156</v>
      </c>
      <c r="K596" s="6">
        <v>0</v>
      </c>
      <c r="L596" s="7">
        <v>144</v>
      </c>
      <c r="M596" s="8">
        <v>230</v>
      </c>
      <c r="N596" s="8">
        <v>220</v>
      </c>
      <c r="O596" s="8">
        <v>163.54448142672334</v>
      </c>
      <c r="P596" s="8">
        <v>0</v>
      </c>
      <c r="Q596" s="8">
        <v>0</v>
      </c>
      <c r="R596" s="8">
        <v>0</v>
      </c>
      <c r="S596" s="8">
        <v>0</v>
      </c>
      <c r="T596" s="5">
        <v>0</v>
      </c>
      <c r="U596" s="5">
        <v>0</v>
      </c>
      <c r="V596" s="5">
        <f>VLOOKUP(A596,Planilha1!B:E,4,0)</f>
        <v>0.37177548115779385</v>
      </c>
    </row>
    <row r="597" spans="1:22" x14ac:dyDescent="0.3">
      <c r="A597" t="str">
        <f t="shared" si="18"/>
        <v>LEITE UHTLACTALIS</v>
      </c>
      <c r="B597" t="str">
        <f t="shared" si="19"/>
        <v>5337884LEITE UHTLACTALIS</v>
      </c>
      <c r="C597" s="5" t="s">
        <v>226</v>
      </c>
      <c r="D597" s="5" t="s">
        <v>227</v>
      </c>
      <c r="E597" s="5" t="s">
        <v>1722</v>
      </c>
      <c r="F597" s="5">
        <v>5337884</v>
      </c>
      <c r="G597" s="5" t="s">
        <v>479</v>
      </c>
      <c r="H597" s="5" t="s">
        <v>30</v>
      </c>
      <c r="I597" s="5" t="s">
        <v>22</v>
      </c>
      <c r="J597" s="5" t="s">
        <v>156</v>
      </c>
      <c r="K597" s="6">
        <v>0</v>
      </c>
      <c r="L597" s="7">
        <v>144</v>
      </c>
      <c r="M597" s="8">
        <v>128</v>
      </c>
      <c r="N597" s="8">
        <v>124</v>
      </c>
      <c r="O597" s="8">
        <v>78.506503745054758</v>
      </c>
      <c r="P597" s="8">
        <v>0</v>
      </c>
      <c r="Q597" s="8">
        <v>0</v>
      </c>
      <c r="R597" s="8">
        <v>0</v>
      </c>
      <c r="S597" s="8">
        <v>0</v>
      </c>
      <c r="T597" s="5">
        <v>0</v>
      </c>
      <c r="U597" s="5">
        <v>0</v>
      </c>
      <c r="V597" s="5">
        <f>VLOOKUP(A597,Planilha1!B:E,4,0)</f>
        <v>0.37177548115779385</v>
      </c>
    </row>
    <row r="598" spans="1:22" x14ac:dyDescent="0.3">
      <c r="A598" t="str">
        <f t="shared" si="18"/>
        <v>LEITE UHTLACTALIS</v>
      </c>
      <c r="B598" t="str">
        <f t="shared" si="19"/>
        <v>5338552LEITE UHTLACTALIS</v>
      </c>
      <c r="C598" s="5" t="s">
        <v>226</v>
      </c>
      <c r="D598" s="5" t="s">
        <v>227</v>
      </c>
      <c r="E598" s="5" t="s">
        <v>1722</v>
      </c>
      <c r="F598" s="5">
        <v>5338552</v>
      </c>
      <c r="G598" s="5" t="s">
        <v>480</v>
      </c>
      <c r="H598" s="5" t="s">
        <v>30</v>
      </c>
      <c r="I598" s="5" t="s">
        <v>22</v>
      </c>
      <c r="J598" s="5" t="s">
        <v>156</v>
      </c>
      <c r="K598" s="6">
        <v>0</v>
      </c>
      <c r="L598" s="7">
        <v>96</v>
      </c>
      <c r="M598" s="8">
        <v>110</v>
      </c>
      <c r="N598" s="8">
        <v>120</v>
      </c>
      <c r="O598" s="8">
        <v>95.949212811716592</v>
      </c>
      <c r="P598" s="8">
        <v>0</v>
      </c>
      <c r="Q598" s="8">
        <v>0</v>
      </c>
      <c r="R598" s="8">
        <v>0</v>
      </c>
      <c r="S598" s="8">
        <v>0</v>
      </c>
      <c r="T598" s="5">
        <v>0</v>
      </c>
      <c r="U598" s="5">
        <v>0</v>
      </c>
      <c r="V598" s="5">
        <f>VLOOKUP(A598,Planilha1!B:E,4,0)</f>
        <v>0.37177548115779385</v>
      </c>
    </row>
    <row r="599" spans="1:22" x14ac:dyDescent="0.3">
      <c r="A599" t="str">
        <f t="shared" si="18"/>
        <v>LEITE UHTLACTALIS</v>
      </c>
      <c r="B599" t="str">
        <f t="shared" si="19"/>
        <v>5339145LEITE UHTLACTALIS</v>
      </c>
      <c r="C599" s="5" t="s">
        <v>226</v>
      </c>
      <c r="D599" s="5" t="s">
        <v>227</v>
      </c>
      <c r="E599" s="5" t="s">
        <v>1722</v>
      </c>
      <c r="F599" s="5">
        <v>5339145</v>
      </c>
      <c r="G599" s="5" t="s">
        <v>481</v>
      </c>
      <c r="H599" s="5" t="s">
        <v>30</v>
      </c>
      <c r="I599" s="5" t="s">
        <v>22</v>
      </c>
      <c r="J599" s="5" t="s">
        <v>156</v>
      </c>
      <c r="K599" s="6">
        <v>0</v>
      </c>
      <c r="L599" s="7">
        <v>180</v>
      </c>
      <c r="M599" s="8">
        <v>88</v>
      </c>
      <c r="N599" s="8">
        <v>36</v>
      </c>
      <c r="O599" s="8">
        <v>58.873914081675835</v>
      </c>
      <c r="P599" s="8">
        <v>0</v>
      </c>
      <c r="Q599" s="8">
        <v>0</v>
      </c>
      <c r="R599" s="8">
        <v>0</v>
      </c>
      <c r="S599" s="8">
        <v>0</v>
      </c>
      <c r="T599" s="5">
        <v>0</v>
      </c>
      <c r="U599" s="5">
        <v>0</v>
      </c>
      <c r="V599" s="5">
        <f>VLOOKUP(A599,Planilha1!B:E,4,0)</f>
        <v>0.37177548115779385</v>
      </c>
    </row>
    <row r="600" spans="1:22" x14ac:dyDescent="0.3">
      <c r="A600" t="str">
        <f t="shared" si="18"/>
        <v>PARMESÃOLACTALIS</v>
      </c>
      <c r="B600" t="str">
        <f t="shared" si="19"/>
        <v>5339543PARMESÃOLACTALIS</v>
      </c>
      <c r="C600" s="5" t="s">
        <v>226</v>
      </c>
      <c r="D600" s="5" t="s">
        <v>227</v>
      </c>
      <c r="E600" s="5" t="s">
        <v>1722</v>
      </c>
      <c r="F600" s="5">
        <v>5339543</v>
      </c>
      <c r="G600" s="5" t="s">
        <v>482</v>
      </c>
      <c r="H600" s="5" t="s">
        <v>30</v>
      </c>
      <c r="I600" s="5" t="s">
        <v>22</v>
      </c>
      <c r="J600" s="5" t="s">
        <v>195</v>
      </c>
      <c r="K600" s="6">
        <v>0</v>
      </c>
      <c r="L600" s="7">
        <v>0</v>
      </c>
      <c r="M600" s="8">
        <v>16.624500000000001</v>
      </c>
      <c r="N600" s="8">
        <v>23.8</v>
      </c>
      <c r="O600" s="8">
        <v>14.513237423045156</v>
      </c>
      <c r="P600" s="8">
        <v>0</v>
      </c>
      <c r="Q600" s="8">
        <v>0</v>
      </c>
      <c r="R600" s="8">
        <v>0</v>
      </c>
      <c r="S600" s="8">
        <v>86</v>
      </c>
      <c r="T600" s="5">
        <v>86</v>
      </c>
      <c r="U600" s="5">
        <v>86</v>
      </c>
      <c r="V600" s="5">
        <f>VLOOKUP(A600,Planilha1!B:E,4,0)</f>
        <v>6.310326960724681</v>
      </c>
    </row>
    <row r="601" spans="1:22" x14ac:dyDescent="0.3">
      <c r="A601" t="str">
        <f t="shared" si="18"/>
        <v>CREME 35%LACTALIS</v>
      </c>
      <c r="B601" t="str">
        <f t="shared" si="19"/>
        <v>5341209CREME 35%LACTALIS</v>
      </c>
      <c r="C601" s="5" t="s">
        <v>226</v>
      </c>
      <c r="D601" s="5" t="s">
        <v>227</v>
      </c>
      <c r="E601" s="5" t="s">
        <v>1722</v>
      </c>
      <c r="F601" s="5">
        <v>5341209</v>
      </c>
      <c r="G601" s="5" t="s">
        <v>483</v>
      </c>
      <c r="H601" s="5" t="s">
        <v>30</v>
      </c>
      <c r="I601" s="5" t="s">
        <v>22</v>
      </c>
      <c r="J601" s="5" t="s">
        <v>89</v>
      </c>
      <c r="K601" s="6">
        <v>0</v>
      </c>
      <c r="L601" s="7">
        <v>100</v>
      </c>
      <c r="M601" s="8">
        <v>90</v>
      </c>
      <c r="N601" s="8">
        <v>53.333333333333336</v>
      </c>
      <c r="O601" s="8">
        <v>218.58070178203076</v>
      </c>
      <c r="P601" s="8">
        <v>0</v>
      </c>
      <c r="Q601" s="8">
        <v>60</v>
      </c>
      <c r="R601" s="8">
        <v>0</v>
      </c>
      <c r="S601" s="8">
        <v>0</v>
      </c>
      <c r="T601" s="5">
        <v>0</v>
      </c>
      <c r="U601" s="5">
        <v>0</v>
      </c>
      <c r="V601" s="5">
        <f>VLOOKUP(A601,Planilha1!B:E,4,0)</f>
        <v>6.4420264254159507</v>
      </c>
    </row>
    <row r="602" spans="1:22" x14ac:dyDescent="0.3">
      <c r="A602" t="str">
        <f t="shared" si="18"/>
        <v>MANTEIGA 5KGLACTALIS</v>
      </c>
      <c r="B602" t="str">
        <f t="shared" si="19"/>
        <v>5341678MANTEIGA 5KGLACTALIS</v>
      </c>
      <c r="C602" s="5" t="s">
        <v>226</v>
      </c>
      <c r="D602" s="5" t="s">
        <v>227</v>
      </c>
      <c r="E602" s="5" t="s">
        <v>1722</v>
      </c>
      <c r="F602" s="5">
        <v>5341678</v>
      </c>
      <c r="G602" s="5" t="s">
        <v>484</v>
      </c>
      <c r="H602" s="5" t="s">
        <v>30</v>
      </c>
      <c r="I602" s="5" t="s">
        <v>22</v>
      </c>
      <c r="J602" s="5" t="s">
        <v>60</v>
      </c>
      <c r="K602" s="6">
        <v>0</v>
      </c>
      <c r="L602" s="7">
        <v>0</v>
      </c>
      <c r="M602" s="8">
        <v>0</v>
      </c>
      <c r="N602" s="8">
        <v>0</v>
      </c>
      <c r="O602" s="8">
        <v>1.7488017333388881</v>
      </c>
      <c r="P602" s="8">
        <v>0</v>
      </c>
      <c r="Q602" s="8">
        <v>0</v>
      </c>
      <c r="R602" s="8">
        <v>0</v>
      </c>
      <c r="S602" s="8">
        <v>0</v>
      </c>
      <c r="T602" s="5">
        <v>0</v>
      </c>
      <c r="U602" s="5">
        <v>0</v>
      </c>
      <c r="V602" s="5">
        <f>VLOOKUP(A602,Planilha1!B:E,4,0)</f>
        <v>11.476197020267191</v>
      </c>
    </row>
    <row r="603" spans="1:22" x14ac:dyDescent="0.3">
      <c r="A603" t="str">
        <f t="shared" si="18"/>
        <v>LEITE UHTLACTALIS</v>
      </c>
      <c r="B603" t="str">
        <f t="shared" si="19"/>
        <v>5341998LEITE UHTLACTALIS</v>
      </c>
      <c r="C603" s="5" t="s">
        <v>226</v>
      </c>
      <c r="D603" s="5" t="s">
        <v>227</v>
      </c>
      <c r="E603" s="5" t="s">
        <v>1722</v>
      </c>
      <c r="F603" s="5">
        <v>5341998</v>
      </c>
      <c r="G603" s="5" t="s">
        <v>485</v>
      </c>
      <c r="H603" s="5" t="s">
        <v>30</v>
      </c>
      <c r="I603" s="5" t="s">
        <v>22</v>
      </c>
      <c r="J603" s="5" t="s">
        <v>156</v>
      </c>
      <c r="K603" s="6">
        <v>0</v>
      </c>
      <c r="L603" s="7">
        <v>120</v>
      </c>
      <c r="M603" s="8">
        <v>120</v>
      </c>
      <c r="N603" s="8">
        <v>120</v>
      </c>
      <c r="O603" s="8">
        <v>65.414929981674021</v>
      </c>
      <c r="P603" s="8">
        <v>0</v>
      </c>
      <c r="Q603" s="8">
        <v>0</v>
      </c>
      <c r="R603" s="8">
        <v>0</v>
      </c>
      <c r="S603" s="8">
        <v>0</v>
      </c>
      <c r="T603" s="5">
        <v>0</v>
      </c>
      <c r="U603" s="5">
        <v>0</v>
      </c>
      <c r="V603" s="5">
        <f>VLOOKUP(A603,Planilha1!B:E,4,0)</f>
        <v>0.37177548115779385</v>
      </c>
    </row>
    <row r="604" spans="1:22" x14ac:dyDescent="0.3">
      <c r="A604" t="str">
        <f t="shared" si="18"/>
        <v>LEITE UHTLACTALIS</v>
      </c>
      <c r="B604" t="str">
        <f t="shared" si="19"/>
        <v>5342732LEITE UHTLACTALIS</v>
      </c>
      <c r="C604" s="5" t="s">
        <v>226</v>
      </c>
      <c r="D604" s="5" t="s">
        <v>227</v>
      </c>
      <c r="E604" s="5" t="s">
        <v>1722</v>
      </c>
      <c r="F604" s="5">
        <v>5342732</v>
      </c>
      <c r="G604" s="5" t="s">
        <v>379</v>
      </c>
      <c r="H604" s="5" t="s">
        <v>30</v>
      </c>
      <c r="I604" s="5" t="s">
        <v>22</v>
      </c>
      <c r="J604" s="5" t="s">
        <v>156</v>
      </c>
      <c r="K604" s="6">
        <v>0</v>
      </c>
      <c r="L604" s="7">
        <v>0</v>
      </c>
      <c r="M604" s="8">
        <v>44</v>
      </c>
      <c r="N604" s="8">
        <v>24</v>
      </c>
      <c r="O604" s="8">
        <v>34.88541813332364</v>
      </c>
      <c r="P604" s="8">
        <v>0</v>
      </c>
      <c r="Q604" s="8">
        <v>0</v>
      </c>
      <c r="R604" s="8">
        <v>0</v>
      </c>
      <c r="S604" s="8">
        <v>0</v>
      </c>
      <c r="T604" s="5">
        <v>0</v>
      </c>
      <c r="U604" s="5">
        <v>0</v>
      </c>
      <c r="V604" s="5">
        <f>VLOOKUP(A604,Planilha1!B:E,4,0)</f>
        <v>0.37177548115779385</v>
      </c>
    </row>
    <row r="605" spans="1:22" x14ac:dyDescent="0.3">
      <c r="A605" t="str">
        <f t="shared" si="18"/>
        <v>MANTEIGA 5KGLACTALIS</v>
      </c>
      <c r="B605" t="str">
        <f t="shared" si="19"/>
        <v>5343099MANTEIGA 5KGLACTALIS</v>
      </c>
      <c r="C605" s="5" t="s">
        <v>226</v>
      </c>
      <c r="D605" s="5" t="s">
        <v>227</v>
      </c>
      <c r="E605" s="5" t="s">
        <v>1722</v>
      </c>
      <c r="F605" s="5">
        <v>5343099</v>
      </c>
      <c r="G605" s="5" t="s">
        <v>486</v>
      </c>
      <c r="H605" s="5" t="s">
        <v>30</v>
      </c>
      <c r="I605" s="5" t="s">
        <v>22</v>
      </c>
      <c r="J605" s="5" t="s">
        <v>60</v>
      </c>
      <c r="K605" s="6">
        <v>0</v>
      </c>
      <c r="L605" s="7">
        <v>10</v>
      </c>
      <c r="M605" s="8">
        <v>30</v>
      </c>
      <c r="N605" s="8">
        <v>31.666666666666668</v>
      </c>
      <c r="O605" s="8">
        <v>17.537779984337551</v>
      </c>
      <c r="P605" s="8">
        <v>0</v>
      </c>
      <c r="Q605" s="8">
        <v>10</v>
      </c>
      <c r="R605" s="8">
        <v>0</v>
      </c>
      <c r="S605" s="8">
        <v>20</v>
      </c>
      <c r="T605" s="5">
        <v>20</v>
      </c>
      <c r="U605" s="5">
        <v>10</v>
      </c>
      <c r="V605" s="5">
        <f>VLOOKUP(A605,Planilha1!B:E,4,0)</f>
        <v>11.476197020267191</v>
      </c>
    </row>
    <row r="606" spans="1:22" x14ac:dyDescent="0.3">
      <c r="A606" t="str">
        <f t="shared" si="18"/>
        <v>LEITE UHTLACTALIS</v>
      </c>
      <c r="B606" t="str">
        <f t="shared" si="19"/>
        <v>5343099LEITE UHTLACTALIS</v>
      </c>
      <c r="C606" s="5" t="s">
        <v>226</v>
      </c>
      <c r="D606" s="5" t="s">
        <v>227</v>
      </c>
      <c r="E606" s="5" t="s">
        <v>1722</v>
      </c>
      <c r="F606" s="5">
        <v>5343099</v>
      </c>
      <c r="G606" s="5" t="s">
        <v>486</v>
      </c>
      <c r="H606" s="5" t="s">
        <v>30</v>
      </c>
      <c r="I606" s="5" t="s">
        <v>22</v>
      </c>
      <c r="J606" s="5" t="s">
        <v>156</v>
      </c>
      <c r="K606" s="6">
        <v>0</v>
      </c>
      <c r="L606" s="7">
        <v>0</v>
      </c>
      <c r="M606" s="8">
        <v>6</v>
      </c>
      <c r="N606" s="8">
        <v>4</v>
      </c>
      <c r="O606" s="8">
        <v>4.360677266665455</v>
      </c>
      <c r="P606" s="8">
        <v>0</v>
      </c>
      <c r="Q606" s="8">
        <v>0</v>
      </c>
      <c r="R606" s="8">
        <v>0</v>
      </c>
      <c r="S606" s="8">
        <v>0</v>
      </c>
      <c r="T606" s="5">
        <v>0</v>
      </c>
      <c r="U606" s="5">
        <v>0</v>
      </c>
      <c r="V606" s="5">
        <f>VLOOKUP(A606,Planilha1!B:E,4,0)</f>
        <v>0.37177548115779385</v>
      </c>
    </row>
    <row r="607" spans="1:22" x14ac:dyDescent="0.3">
      <c r="A607" t="str">
        <f t="shared" si="18"/>
        <v>MANTEIGA 5KGLACTALIS</v>
      </c>
      <c r="B607" t="str">
        <f t="shared" si="19"/>
        <v>5347670MANTEIGA 5KGLACTALIS</v>
      </c>
      <c r="C607" s="5" t="s">
        <v>226</v>
      </c>
      <c r="D607" s="5" t="s">
        <v>227</v>
      </c>
      <c r="E607" s="5" t="s">
        <v>1722</v>
      </c>
      <c r="F607" s="5">
        <v>5347670</v>
      </c>
      <c r="G607" s="5" t="s">
        <v>487</v>
      </c>
      <c r="H607" s="5" t="s">
        <v>30</v>
      </c>
      <c r="I607" s="5" t="s">
        <v>22</v>
      </c>
      <c r="J607" s="5" t="s">
        <v>60</v>
      </c>
      <c r="K607" s="6">
        <v>0</v>
      </c>
      <c r="L607" s="7">
        <v>0</v>
      </c>
      <c r="M607" s="8">
        <v>0</v>
      </c>
      <c r="N607" s="8">
        <v>0</v>
      </c>
      <c r="O607" s="8">
        <v>3.5047124168133004</v>
      </c>
      <c r="P607" s="8">
        <v>0</v>
      </c>
      <c r="Q607" s="8">
        <v>0</v>
      </c>
      <c r="R607" s="8">
        <v>0</v>
      </c>
      <c r="S607" s="8">
        <v>0</v>
      </c>
      <c r="T607" s="5">
        <v>0</v>
      </c>
      <c r="U607" s="5">
        <v>0</v>
      </c>
      <c r="V607" s="5">
        <f>VLOOKUP(A607,Planilha1!B:E,4,0)</f>
        <v>11.476197020267191</v>
      </c>
    </row>
    <row r="608" spans="1:22" x14ac:dyDescent="0.3">
      <c r="A608" t="str">
        <f t="shared" si="18"/>
        <v>LEITE UHTLACTALIS</v>
      </c>
      <c r="B608" t="str">
        <f t="shared" si="19"/>
        <v>5347670LEITE UHTLACTALIS</v>
      </c>
      <c r="C608" s="5" t="s">
        <v>226</v>
      </c>
      <c r="D608" s="5" t="s">
        <v>227</v>
      </c>
      <c r="E608" s="5" t="s">
        <v>1722</v>
      </c>
      <c r="F608" s="5">
        <v>5347670</v>
      </c>
      <c r="G608" s="5" t="s">
        <v>487</v>
      </c>
      <c r="H608" s="5" t="s">
        <v>30</v>
      </c>
      <c r="I608" s="5" t="s">
        <v>22</v>
      </c>
      <c r="J608" s="5" t="s">
        <v>156</v>
      </c>
      <c r="K608" s="6">
        <v>0</v>
      </c>
      <c r="L608" s="7">
        <v>0</v>
      </c>
      <c r="M608" s="8">
        <v>0</v>
      </c>
      <c r="N608" s="8">
        <v>0</v>
      </c>
      <c r="O608" s="8">
        <v>8.7213545333309099</v>
      </c>
      <c r="P608" s="8">
        <v>0</v>
      </c>
      <c r="Q608" s="8">
        <v>0</v>
      </c>
      <c r="R608" s="8">
        <v>0</v>
      </c>
      <c r="S608" s="8">
        <v>0</v>
      </c>
      <c r="T608" s="5">
        <v>0</v>
      </c>
      <c r="U608" s="5">
        <v>0</v>
      </c>
      <c r="V608" s="5">
        <f>VLOOKUP(A608,Planilha1!B:E,4,0)</f>
        <v>0.37177548115779385</v>
      </c>
    </row>
    <row r="609" spans="1:22" x14ac:dyDescent="0.3">
      <c r="A609" t="str">
        <f t="shared" si="18"/>
        <v>MANTEIGA 5KGLACTALIS</v>
      </c>
      <c r="B609" t="str">
        <f t="shared" si="19"/>
        <v>5348882MANTEIGA 5KGLACTALIS</v>
      </c>
      <c r="C609" s="5" t="s">
        <v>226</v>
      </c>
      <c r="D609" s="5" t="s">
        <v>227</v>
      </c>
      <c r="E609" s="5" t="s">
        <v>1722</v>
      </c>
      <c r="F609" s="5">
        <v>5348882</v>
      </c>
      <c r="G609" s="5" t="s">
        <v>488</v>
      </c>
      <c r="H609" s="5" t="s">
        <v>30</v>
      </c>
      <c r="I609" s="5" t="s">
        <v>22</v>
      </c>
      <c r="J609" s="5" t="s">
        <v>60</v>
      </c>
      <c r="K609" s="6">
        <v>0</v>
      </c>
      <c r="L609" s="7">
        <v>0</v>
      </c>
      <c r="M609" s="8">
        <v>0</v>
      </c>
      <c r="N609" s="8">
        <v>0</v>
      </c>
      <c r="O609" s="8">
        <v>1.7488017333388881</v>
      </c>
      <c r="P609" s="8">
        <v>0</v>
      </c>
      <c r="Q609" s="8">
        <v>0</v>
      </c>
      <c r="R609" s="8">
        <v>0</v>
      </c>
      <c r="S609" s="8">
        <v>0</v>
      </c>
      <c r="T609" s="5">
        <v>0</v>
      </c>
      <c r="U609" s="5">
        <v>0</v>
      </c>
      <c r="V609" s="5">
        <f>VLOOKUP(A609,Planilha1!B:E,4,0)</f>
        <v>11.476197020267191</v>
      </c>
    </row>
    <row r="610" spans="1:22" x14ac:dyDescent="0.3">
      <c r="A610" t="str">
        <f t="shared" si="18"/>
        <v>MANTEIGA 5KGLACTALIS</v>
      </c>
      <c r="B610" t="str">
        <f t="shared" si="19"/>
        <v>5349292MANTEIGA 5KGLACTALIS</v>
      </c>
      <c r="C610" s="5" t="s">
        <v>226</v>
      </c>
      <c r="D610" s="5" t="s">
        <v>227</v>
      </c>
      <c r="E610" s="5" t="s">
        <v>1722</v>
      </c>
      <c r="F610" s="5">
        <v>5349292</v>
      </c>
      <c r="G610" s="5" t="s">
        <v>489</v>
      </c>
      <c r="H610" s="5" t="s">
        <v>30</v>
      </c>
      <c r="I610" s="5" t="s">
        <v>22</v>
      </c>
      <c r="J610" s="5" t="s">
        <v>60</v>
      </c>
      <c r="K610" s="6">
        <v>0</v>
      </c>
      <c r="L610" s="7">
        <v>0</v>
      </c>
      <c r="M610" s="8">
        <v>26.666666666666671</v>
      </c>
      <c r="N610" s="8">
        <v>30</v>
      </c>
      <c r="O610" s="8">
        <v>17.537779984337551</v>
      </c>
      <c r="P610" s="8">
        <v>0</v>
      </c>
      <c r="Q610" s="8">
        <v>0</v>
      </c>
      <c r="R610" s="8">
        <v>0</v>
      </c>
      <c r="S610" s="8">
        <v>25</v>
      </c>
      <c r="T610" s="5">
        <v>25</v>
      </c>
      <c r="U610" s="5">
        <v>25</v>
      </c>
      <c r="V610" s="5">
        <f>VLOOKUP(A610,Planilha1!B:E,4,0)</f>
        <v>11.476197020267191</v>
      </c>
    </row>
    <row r="611" spans="1:22" x14ac:dyDescent="0.3">
      <c r="A611" t="str">
        <f t="shared" si="18"/>
        <v>LEITE UHTLACTALIS</v>
      </c>
      <c r="B611" t="str">
        <f t="shared" si="19"/>
        <v>5349292LEITE UHTLACTALIS</v>
      </c>
      <c r="C611" s="5" t="s">
        <v>226</v>
      </c>
      <c r="D611" s="5" t="s">
        <v>227</v>
      </c>
      <c r="E611" s="5" t="s">
        <v>1722</v>
      </c>
      <c r="F611" s="5">
        <v>5349292</v>
      </c>
      <c r="G611" s="5" t="s">
        <v>489</v>
      </c>
      <c r="H611" s="5" t="s">
        <v>30</v>
      </c>
      <c r="I611" s="5" t="s">
        <v>22</v>
      </c>
      <c r="J611" s="5" t="s">
        <v>156</v>
      </c>
      <c r="K611" s="6">
        <v>0</v>
      </c>
      <c r="L611" s="7">
        <v>0</v>
      </c>
      <c r="M611" s="8">
        <v>24</v>
      </c>
      <c r="N611" s="8">
        <v>24</v>
      </c>
      <c r="O611" s="8">
        <v>4.360677266665455</v>
      </c>
      <c r="P611" s="8">
        <v>0</v>
      </c>
      <c r="Q611" s="8">
        <v>0</v>
      </c>
      <c r="R611" s="8">
        <v>0</v>
      </c>
      <c r="S611" s="8">
        <v>0</v>
      </c>
      <c r="T611" s="5">
        <v>0</v>
      </c>
      <c r="U611" s="5">
        <v>0</v>
      </c>
      <c r="V611" s="5">
        <f>VLOOKUP(A611,Planilha1!B:E,4,0)</f>
        <v>0.37177548115779385</v>
      </c>
    </row>
    <row r="612" spans="1:22" x14ac:dyDescent="0.3">
      <c r="A612" t="str">
        <f t="shared" si="18"/>
        <v>LEITE UHTLACTALIS</v>
      </c>
      <c r="B612" t="str">
        <f t="shared" si="19"/>
        <v>5350257LEITE UHTLACTALIS</v>
      </c>
      <c r="C612" s="5" t="s">
        <v>226</v>
      </c>
      <c r="D612" s="5" t="s">
        <v>227</v>
      </c>
      <c r="E612" s="5" t="s">
        <v>1722</v>
      </c>
      <c r="F612" s="5">
        <v>5350257</v>
      </c>
      <c r="G612" s="5" t="s">
        <v>490</v>
      </c>
      <c r="H612" s="5" t="s">
        <v>30</v>
      </c>
      <c r="I612" s="5" t="s">
        <v>22</v>
      </c>
      <c r="J612" s="5" t="s">
        <v>156</v>
      </c>
      <c r="K612" s="6">
        <v>0</v>
      </c>
      <c r="L612" s="7">
        <v>0</v>
      </c>
      <c r="M612" s="8">
        <v>126</v>
      </c>
      <c r="N612" s="8">
        <v>0</v>
      </c>
      <c r="O612" s="8">
        <v>235.50996927177991</v>
      </c>
      <c r="P612" s="8">
        <v>0</v>
      </c>
      <c r="Q612" s="8">
        <v>0</v>
      </c>
      <c r="R612" s="8">
        <v>0</v>
      </c>
      <c r="S612" s="8">
        <v>0</v>
      </c>
      <c r="T612" s="5">
        <v>0</v>
      </c>
      <c r="U612" s="5">
        <v>0</v>
      </c>
      <c r="V612" s="5">
        <f>VLOOKUP(A612,Planilha1!B:E,4,0)</f>
        <v>0.37177548115779385</v>
      </c>
    </row>
    <row r="613" spans="1:22" x14ac:dyDescent="0.3">
      <c r="A613" t="str">
        <f t="shared" si="18"/>
        <v>LEITE UHTLACTALIS</v>
      </c>
      <c r="B613" t="str">
        <f t="shared" si="19"/>
        <v>5350258LEITE UHTLACTALIS</v>
      </c>
      <c r="C613" s="5" t="s">
        <v>226</v>
      </c>
      <c r="D613" s="5" t="s">
        <v>227</v>
      </c>
      <c r="E613" s="5" t="s">
        <v>1722</v>
      </c>
      <c r="F613" s="5">
        <v>5350258</v>
      </c>
      <c r="G613" s="5" t="s">
        <v>490</v>
      </c>
      <c r="H613" s="5" t="s">
        <v>30</v>
      </c>
      <c r="I613" s="5" t="s">
        <v>22</v>
      </c>
      <c r="J613" s="5" t="s">
        <v>156</v>
      </c>
      <c r="K613" s="6">
        <v>0</v>
      </c>
      <c r="L613" s="7">
        <v>0</v>
      </c>
      <c r="M613" s="8">
        <v>132</v>
      </c>
      <c r="N613" s="8">
        <v>0</v>
      </c>
      <c r="O613" s="8">
        <v>270.38584544171914</v>
      </c>
      <c r="P613" s="8">
        <v>0</v>
      </c>
      <c r="Q613" s="8">
        <v>0</v>
      </c>
      <c r="R613" s="8">
        <v>0</v>
      </c>
      <c r="S613" s="8">
        <v>0</v>
      </c>
      <c r="T613" s="5">
        <v>0</v>
      </c>
      <c r="U613" s="5">
        <v>0</v>
      </c>
      <c r="V613" s="5">
        <f>VLOOKUP(A613,Planilha1!B:E,4,0)</f>
        <v>0.37177548115779385</v>
      </c>
    </row>
    <row r="614" spans="1:22" x14ac:dyDescent="0.3">
      <c r="A614" t="str">
        <f t="shared" si="18"/>
        <v>LEITE UHTLACTALIS</v>
      </c>
      <c r="B614" t="str">
        <f t="shared" si="19"/>
        <v>5350259LEITE UHTLACTALIS</v>
      </c>
      <c r="C614" s="5" t="s">
        <v>226</v>
      </c>
      <c r="D614" s="5" t="s">
        <v>227</v>
      </c>
      <c r="E614" s="5" t="s">
        <v>1722</v>
      </c>
      <c r="F614" s="5">
        <v>5350259</v>
      </c>
      <c r="G614" s="5" t="s">
        <v>490</v>
      </c>
      <c r="H614" s="5" t="s">
        <v>30</v>
      </c>
      <c r="I614" s="5" t="s">
        <v>22</v>
      </c>
      <c r="J614" s="5" t="s">
        <v>156</v>
      </c>
      <c r="K614" s="6">
        <v>0</v>
      </c>
      <c r="L614" s="7">
        <v>0</v>
      </c>
      <c r="M614" s="8">
        <v>80</v>
      </c>
      <c r="N614" s="8">
        <v>0</v>
      </c>
      <c r="O614" s="8">
        <v>209.34113469009498</v>
      </c>
      <c r="P614" s="8">
        <v>0</v>
      </c>
      <c r="Q614" s="8">
        <v>0</v>
      </c>
      <c r="R614" s="8">
        <v>0</v>
      </c>
      <c r="S614" s="8">
        <v>0</v>
      </c>
      <c r="T614" s="5">
        <v>0</v>
      </c>
      <c r="U614" s="5">
        <v>0</v>
      </c>
      <c r="V614" s="5">
        <f>VLOOKUP(A614,Planilha1!B:E,4,0)</f>
        <v>0.37177548115779385</v>
      </c>
    </row>
    <row r="615" spans="1:22" x14ac:dyDescent="0.3">
      <c r="A615" t="str">
        <f t="shared" si="18"/>
        <v>LEITE UHTLACTALIS</v>
      </c>
      <c r="B615" t="str">
        <f t="shared" si="19"/>
        <v>5350364LEITE UHTLACTALIS</v>
      </c>
      <c r="C615" s="5" t="s">
        <v>226</v>
      </c>
      <c r="D615" s="5" t="s">
        <v>227</v>
      </c>
      <c r="E615" s="5" t="s">
        <v>1722</v>
      </c>
      <c r="F615" s="5">
        <v>5350364</v>
      </c>
      <c r="G615" s="5" t="s">
        <v>490</v>
      </c>
      <c r="H615" s="5" t="s">
        <v>30</v>
      </c>
      <c r="I615" s="5" t="s">
        <v>22</v>
      </c>
      <c r="J615" s="5" t="s">
        <v>156</v>
      </c>
      <c r="K615" s="6">
        <v>0</v>
      </c>
      <c r="L615" s="7">
        <v>0</v>
      </c>
      <c r="M615" s="8">
        <v>72</v>
      </c>
      <c r="N615" s="8">
        <v>0</v>
      </c>
      <c r="O615" s="8">
        <v>156.99869454503298</v>
      </c>
      <c r="P615" s="8">
        <v>0</v>
      </c>
      <c r="Q615" s="8">
        <v>0</v>
      </c>
      <c r="R615" s="8">
        <v>0</v>
      </c>
      <c r="S615" s="8">
        <v>0</v>
      </c>
      <c r="T615" s="5">
        <v>0</v>
      </c>
      <c r="U615" s="5">
        <v>0</v>
      </c>
      <c r="V615" s="5">
        <f>VLOOKUP(A615,Planilha1!B:E,4,0)</f>
        <v>0.37177548115779385</v>
      </c>
    </row>
    <row r="616" spans="1:22" x14ac:dyDescent="0.3">
      <c r="A616" t="str">
        <f t="shared" si="18"/>
        <v>BLISTERLACTALIS</v>
      </c>
      <c r="B616" t="str">
        <f t="shared" si="19"/>
        <v>5351380BLISTERLACTALIS</v>
      </c>
      <c r="C616" s="5" t="s">
        <v>226</v>
      </c>
      <c r="D616" s="5" t="s">
        <v>227</v>
      </c>
      <c r="E616" s="5" t="s">
        <v>1722</v>
      </c>
      <c r="F616" s="5">
        <v>5351380</v>
      </c>
      <c r="G616" s="5" t="s">
        <v>491</v>
      </c>
      <c r="H616" s="5" t="s">
        <v>30</v>
      </c>
      <c r="I616" s="5" t="s">
        <v>22</v>
      </c>
      <c r="J616" s="5" t="s">
        <v>199</v>
      </c>
      <c r="K616" s="6">
        <v>0</v>
      </c>
      <c r="L616" s="7">
        <v>0</v>
      </c>
      <c r="M616" s="8">
        <v>0</v>
      </c>
      <c r="N616" s="8">
        <v>0</v>
      </c>
      <c r="O616" s="8">
        <v>0.73683954165779808</v>
      </c>
      <c r="P616" s="8">
        <v>0</v>
      </c>
      <c r="Q616" s="8">
        <v>0</v>
      </c>
      <c r="R616" s="8">
        <v>0</v>
      </c>
      <c r="S616" s="8">
        <v>0</v>
      </c>
      <c r="T616" s="5">
        <v>0</v>
      </c>
      <c r="U616" s="5">
        <v>0</v>
      </c>
      <c r="V616" s="5">
        <f>VLOOKUP(A616,Planilha1!B:E,4,0)</f>
        <v>13.783871706210666</v>
      </c>
    </row>
    <row r="617" spans="1:22" x14ac:dyDescent="0.3">
      <c r="A617" t="str">
        <f t="shared" si="18"/>
        <v>LEITE UHTLACTALIS</v>
      </c>
      <c r="B617" t="str">
        <f t="shared" si="19"/>
        <v>5351380LEITE UHTLACTALIS</v>
      </c>
      <c r="C617" s="5" t="s">
        <v>226</v>
      </c>
      <c r="D617" s="5" t="s">
        <v>227</v>
      </c>
      <c r="E617" s="5" t="s">
        <v>1722</v>
      </c>
      <c r="F617" s="5">
        <v>5351380</v>
      </c>
      <c r="G617" s="5" t="s">
        <v>491</v>
      </c>
      <c r="H617" s="5" t="s">
        <v>30</v>
      </c>
      <c r="I617" s="5" t="s">
        <v>22</v>
      </c>
      <c r="J617" s="5" t="s">
        <v>156</v>
      </c>
      <c r="K617" s="6">
        <v>0</v>
      </c>
      <c r="L617" s="7">
        <v>0</v>
      </c>
      <c r="M617" s="8">
        <v>98</v>
      </c>
      <c r="N617" s="8">
        <v>40</v>
      </c>
      <c r="O617" s="8">
        <v>80.677300415003117</v>
      </c>
      <c r="P617" s="8">
        <v>0</v>
      </c>
      <c r="Q617" s="8">
        <v>0</v>
      </c>
      <c r="R617" s="8">
        <v>0</v>
      </c>
      <c r="S617" s="8">
        <v>0</v>
      </c>
      <c r="T617" s="5">
        <v>0</v>
      </c>
      <c r="U617" s="5">
        <v>0</v>
      </c>
      <c r="V617" s="5">
        <f>VLOOKUP(A617,Planilha1!B:E,4,0)</f>
        <v>0.37177548115779385</v>
      </c>
    </row>
    <row r="618" spans="1:22" x14ac:dyDescent="0.3">
      <c r="A618" t="str">
        <f t="shared" si="18"/>
        <v>MANTEIGA 5KGLACTALIS</v>
      </c>
      <c r="B618" t="str">
        <f t="shared" si="19"/>
        <v>5352327MANTEIGA 5KGLACTALIS</v>
      </c>
      <c r="C618" s="5" t="s">
        <v>226</v>
      </c>
      <c r="D618" s="5" t="s">
        <v>227</v>
      </c>
      <c r="E618" s="5" t="s">
        <v>1722</v>
      </c>
      <c r="F618" s="5">
        <v>5352327</v>
      </c>
      <c r="G618" s="5" t="s">
        <v>492</v>
      </c>
      <c r="H618" s="5" t="s">
        <v>30</v>
      </c>
      <c r="I618" s="5" t="s">
        <v>22</v>
      </c>
      <c r="J618" s="5" t="s">
        <v>60</v>
      </c>
      <c r="K618" s="6">
        <v>0</v>
      </c>
      <c r="L618" s="7">
        <v>0</v>
      </c>
      <c r="M618" s="8">
        <v>1.6666666666666667</v>
      </c>
      <c r="N618" s="8">
        <v>1.6666666666666667</v>
      </c>
      <c r="O618" s="8">
        <v>1.7488017333388881</v>
      </c>
      <c r="P618" s="8">
        <v>0</v>
      </c>
      <c r="Q618" s="8">
        <v>0</v>
      </c>
      <c r="R618" s="8">
        <v>0</v>
      </c>
      <c r="S618" s="8">
        <v>0</v>
      </c>
      <c r="T618" s="5">
        <v>0</v>
      </c>
      <c r="U618" s="5">
        <v>0</v>
      </c>
      <c r="V618" s="5">
        <f>VLOOKUP(A618,Planilha1!B:E,4,0)</f>
        <v>11.476197020267191</v>
      </c>
    </row>
    <row r="619" spans="1:22" x14ac:dyDescent="0.3">
      <c r="A619" t="str">
        <f t="shared" si="18"/>
        <v>LEITE UHTLACTALIS</v>
      </c>
      <c r="B619" t="str">
        <f t="shared" si="19"/>
        <v>5352327LEITE UHTLACTALIS</v>
      </c>
      <c r="C619" s="5" t="s">
        <v>226</v>
      </c>
      <c r="D619" s="5" t="s">
        <v>227</v>
      </c>
      <c r="E619" s="5" t="s">
        <v>1722</v>
      </c>
      <c r="F619" s="5">
        <v>5352327</v>
      </c>
      <c r="G619" s="5" t="s">
        <v>492</v>
      </c>
      <c r="H619" s="5" t="s">
        <v>30</v>
      </c>
      <c r="I619" s="5" t="s">
        <v>22</v>
      </c>
      <c r="J619" s="5" t="s">
        <v>156</v>
      </c>
      <c r="K619" s="6">
        <v>0</v>
      </c>
      <c r="L619" s="7">
        <v>0</v>
      </c>
      <c r="M619" s="8">
        <v>8</v>
      </c>
      <c r="N619" s="8">
        <v>8</v>
      </c>
      <c r="O619" s="8">
        <v>4.360677266665455</v>
      </c>
      <c r="P619" s="8">
        <v>0</v>
      </c>
      <c r="Q619" s="8">
        <v>0</v>
      </c>
      <c r="R619" s="8">
        <v>0</v>
      </c>
      <c r="S619" s="8">
        <v>0</v>
      </c>
      <c r="T619" s="5">
        <v>0</v>
      </c>
      <c r="U619" s="5">
        <v>0</v>
      </c>
      <c r="V619" s="5">
        <f>VLOOKUP(A619,Planilha1!B:E,4,0)</f>
        <v>0.37177548115779385</v>
      </c>
    </row>
    <row r="620" spans="1:22" x14ac:dyDescent="0.3">
      <c r="A620" t="str">
        <f t="shared" si="18"/>
        <v>BLISTERLACTALIS</v>
      </c>
      <c r="B620" t="str">
        <f t="shared" si="19"/>
        <v>5352541BLISTERLACTALIS</v>
      </c>
      <c r="C620" s="5" t="s">
        <v>226</v>
      </c>
      <c r="D620" s="5" t="s">
        <v>227</v>
      </c>
      <c r="E620" s="5" t="s">
        <v>1722</v>
      </c>
      <c r="F620" s="5">
        <v>5352541</v>
      </c>
      <c r="G620" s="5" t="s">
        <v>493</v>
      </c>
      <c r="H620" s="5" t="s">
        <v>30</v>
      </c>
      <c r="I620" s="5" t="s">
        <v>22</v>
      </c>
      <c r="J620" s="5" t="s">
        <v>199</v>
      </c>
      <c r="K620" s="6">
        <v>0</v>
      </c>
      <c r="L620" s="7">
        <v>0</v>
      </c>
      <c r="M620" s="8">
        <v>10.16</v>
      </c>
      <c r="N620" s="8">
        <v>6.7200000000000006</v>
      </c>
      <c r="O620" s="8">
        <v>5.4696165976905782</v>
      </c>
      <c r="P620" s="8">
        <v>0</v>
      </c>
      <c r="Q620" s="8">
        <v>4.32</v>
      </c>
      <c r="R620" s="8">
        <v>0</v>
      </c>
      <c r="S620" s="8">
        <v>4</v>
      </c>
      <c r="T620" s="5">
        <v>4</v>
      </c>
      <c r="U620" s="5">
        <v>4</v>
      </c>
      <c r="V620" s="5">
        <f>VLOOKUP(A620,Planilha1!B:E,4,0)</f>
        <v>13.783871706210666</v>
      </c>
    </row>
    <row r="621" spans="1:22" x14ac:dyDescent="0.3">
      <c r="A621" t="str">
        <f t="shared" si="18"/>
        <v>LEITE UHTLACTALIS</v>
      </c>
      <c r="B621" t="str">
        <f t="shared" si="19"/>
        <v>5352541LEITE UHTLACTALIS</v>
      </c>
      <c r="C621" s="5" t="s">
        <v>226</v>
      </c>
      <c r="D621" s="5" t="s">
        <v>227</v>
      </c>
      <c r="E621" s="5" t="s">
        <v>1722</v>
      </c>
      <c r="F621" s="5">
        <v>5352541</v>
      </c>
      <c r="G621" s="5" t="s">
        <v>493</v>
      </c>
      <c r="H621" s="5" t="s">
        <v>30</v>
      </c>
      <c r="I621" s="5" t="s">
        <v>22</v>
      </c>
      <c r="J621" s="5" t="s">
        <v>156</v>
      </c>
      <c r="K621" s="6">
        <v>0</v>
      </c>
      <c r="L621" s="7">
        <v>0</v>
      </c>
      <c r="M621" s="8">
        <v>118</v>
      </c>
      <c r="N621" s="8">
        <v>116</v>
      </c>
      <c r="O621" s="8">
        <v>10.90646414835583</v>
      </c>
      <c r="P621" s="8">
        <v>0</v>
      </c>
      <c r="Q621" s="8">
        <v>0</v>
      </c>
      <c r="R621" s="8">
        <v>0</v>
      </c>
      <c r="S621" s="8">
        <v>0</v>
      </c>
      <c r="T621" s="5">
        <v>0</v>
      </c>
      <c r="U621" s="5">
        <v>0</v>
      </c>
      <c r="V621" s="5">
        <f>VLOOKUP(A621,Planilha1!B:E,4,0)</f>
        <v>0.37177548115779385</v>
      </c>
    </row>
    <row r="622" spans="1:22" x14ac:dyDescent="0.3">
      <c r="A622" t="str">
        <f t="shared" si="18"/>
        <v>LEITE UHTLACTALIS</v>
      </c>
      <c r="B622" t="str">
        <f t="shared" si="19"/>
        <v>5353190LEITE UHTLACTALIS</v>
      </c>
      <c r="C622" s="5" t="s">
        <v>226</v>
      </c>
      <c r="D622" s="5" t="s">
        <v>227</v>
      </c>
      <c r="E622" s="5" t="s">
        <v>1722</v>
      </c>
      <c r="F622" s="5">
        <v>5353190</v>
      </c>
      <c r="G622" s="5" t="s">
        <v>494</v>
      </c>
      <c r="H622" s="5" t="s">
        <v>30</v>
      </c>
      <c r="I622" s="5" t="s">
        <v>22</v>
      </c>
      <c r="J622" s="5" t="s">
        <v>156</v>
      </c>
      <c r="K622" s="6">
        <v>0</v>
      </c>
      <c r="L622" s="7">
        <v>0</v>
      </c>
      <c r="M622" s="8">
        <v>38</v>
      </c>
      <c r="N622" s="8">
        <v>48</v>
      </c>
      <c r="O622" s="8">
        <v>19.62781868168674</v>
      </c>
      <c r="P622" s="8">
        <v>0</v>
      </c>
      <c r="Q622" s="8">
        <v>0</v>
      </c>
      <c r="R622" s="8">
        <v>0</v>
      </c>
      <c r="S622" s="8">
        <v>0</v>
      </c>
      <c r="T622" s="5">
        <v>0</v>
      </c>
      <c r="U622" s="5">
        <v>0</v>
      </c>
      <c r="V622" s="5">
        <f>VLOOKUP(A622,Planilha1!B:E,4,0)</f>
        <v>0.37177548115779385</v>
      </c>
    </row>
    <row r="623" spans="1:22" x14ac:dyDescent="0.3">
      <c r="A623" t="str">
        <f t="shared" si="18"/>
        <v>LEITE UHTLACTALIS</v>
      </c>
      <c r="B623" t="str">
        <f t="shared" si="19"/>
        <v>5353525LEITE UHTLACTALIS</v>
      </c>
      <c r="C623" s="5" t="s">
        <v>226</v>
      </c>
      <c r="D623" s="5" t="s">
        <v>227</v>
      </c>
      <c r="E623" s="5" t="s">
        <v>1722</v>
      </c>
      <c r="F623" s="5">
        <v>5353525</v>
      </c>
      <c r="G623" s="5" t="s">
        <v>495</v>
      </c>
      <c r="H623" s="5" t="s">
        <v>30</v>
      </c>
      <c r="I623" s="5" t="s">
        <v>22</v>
      </c>
      <c r="J623" s="5" t="s">
        <v>156</v>
      </c>
      <c r="K623" s="6">
        <v>0</v>
      </c>
      <c r="L623" s="7">
        <v>0</v>
      </c>
      <c r="M623" s="8">
        <v>620</v>
      </c>
      <c r="N623" s="8">
        <v>760</v>
      </c>
      <c r="O623" s="8">
        <v>65.419700963366211</v>
      </c>
      <c r="P623" s="8">
        <v>0</v>
      </c>
      <c r="Q623" s="8">
        <v>0</v>
      </c>
      <c r="R623" s="8">
        <v>0</v>
      </c>
      <c r="S623" s="8">
        <v>0</v>
      </c>
      <c r="T623" s="5">
        <v>0</v>
      </c>
      <c r="U623" s="5">
        <v>0</v>
      </c>
      <c r="V623" s="5">
        <f>VLOOKUP(A623,Planilha1!B:E,4,0)</f>
        <v>0.37177548115779385</v>
      </c>
    </row>
    <row r="624" spans="1:22" x14ac:dyDescent="0.3">
      <c r="A624" t="str">
        <f t="shared" si="18"/>
        <v>LEITE UHTLACTALIS</v>
      </c>
      <c r="B624" t="str">
        <f t="shared" si="19"/>
        <v>5353526LEITE UHTLACTALIS</v>
      </c>
      <c r="C624" s="5" t="s">
        <v>226</v>
      </c>
      <c r="D624" s="5" t="s">
        <v>227</v>
      </c>
      <c r="E624" s="5" t="s">
        <v>1722</v>
      </c>
      <c r="F624" s="5">
        <v>5353526</v>
      </c>
      <c r="G624" s="5" t="s">
        <v>496</v>
      </c>
      <c r="H624" s="5" t="s">
        <v>30</v>
      </c>
      <c r="I624" s="5" t="s">
        <v>22</v>
      </c>
      <c r="J624" s="5" t="s">
        <v>156</v>
      </c>
      <c r="K624" s="6">
        <v>0</v>
      </c>
      <c r="L624" s="7">
        <v>0</v>
      </c>
      <c r="M624" s="8">
        <v>48</v>
      </c>
      <c r="N624" s="8">
        <v>48</v>
      </c>
      <c r="O624" s="8">
        <v>17.44270906666182</v>
      </c>
      <c r="P624" s="8">
        <v>0</v>
      </c>
      <c r="Q624" s="8">
        <v>60</v>
      </c>
      <c r="R624" s="8">
        <v>0</v>
      </c>
      <c r="S624" s="8">
        <v>0</v>
      </c>
      <c r="T624" s="5">
        <v>0</v>
      </c>
      <c r="U624" s="5">
        <v>0</v>
      </c>
      <c r="V624" s="5">
        <f>VLOOKUP(A624,Planilha1!B:E,4,0)</f>
        <v>0.37177548115779385</v>
      </c>
    </row>
    <row r="625" spans="1:22" x14ac:dyDescent="0.3">
      <c r="A625" t="str">
        <f t="shared" si="18"/>
        <v>LEITE UHTLACTALIS</v>
      </c>
      <c r="B625" t="str">
        <f t="shared" si="19"/>
        <v>5356130LEITE UHTLACTALIS</v>
      </c>
      <c r="C625" s="5" t="s">
        <v>226</v>
      </c>
      <c r="D625" s="5" t="s">
        <v>227</v>
      </c>
      <c r="E625" s="5" t="s">
        <v>1722</v>
      </c>
      <c r="F625" s="5">
        <v>5356130</v>
      </c>
      <c r="G625" s="5" t="s">
        <v>497</v>
      </c>
      <c r="H625" s="5" t="s">
        <v>30</v>
      </c>
      <c r="I625" s="5" t="s">
        <v>22</v>
      </c>
      <c r="J625" s="5" t="s">
        <v>156</v>
      </c>
      <c r="K625" s="6">
        <v>0</v>
      </c>
      <c r="L625" s="7">
        <v>0</v>
      </c>
      <c r="M625" s="8">
        <v>118</v>
      </c>
      <c r="N625" s="8">
        <v>124</v>
      </c>
      <c r="O625" s="8">
        <v>21.803386333327275</v>
      </c>
      <c r="P625" s="8">
        <v>0</v>
      </c>
      <c r="Q625" s="8">
        <v>0</v>
      </c>
      <c r="R625" s="8">
        <v>0</v>
      </c>
      <c r="S625" s="8">
        <v>0</v>
      </c>
      <c r="T625" s="5">
        <v>0</v>
      </c>
      <c r="U625" s="5">
        <v>0</v>
      </c>
      <c r="V625" s="5">
        <f>VLOOKUP(A625,Planilha1!B:E,4,0)</f>
        <v>0.37177548115779385</v>
      </c>
    </row>
    <row r="626" spans="1:22" x14ac:dyDescent="0.3">
      <c r="A626" t="str">
        <f t="shared" si="18"/>
        <v>MANTEIGA 5KGLACTALIS</v>
      </c>
      <c r="B626" t="str">
        <f t="shared" si="19"/>
        <v>5309001MANTEIGA 5KGLACTALIS</v>
      </c>
      <c r="C626" s="5" t="s">
        <v>226</v>
      </c>
      <c r="D626" s="5" t="s">
        <v>227</v>
      </c>
      <c r="E626" s="5" t="s">
        <v>1722</v>
      </c>
      <c r="F626" s="5">
        <v>5309001</v>
      </c>
      <c r="G626" s="5" t="s">
        <v>498</v>
      </c>
      <c r="H626" s="5" t="s">
        <v>30</v>
      </c>
      <c r="I626" s="5" t="s">
        <v>22</v>
      </c>
      <c r="J626" s="5" t="s">
        <v>60</v>
      </c>
      <c r="K626" s="6">
        <v>0</v>
      </c>
      <c r="L626" s="7">
        <v>5</v>
      </c>
      <c r="M626" s="8">
        <v>0</v>
      </c>
      <c r="N626" s="8">
        <v>0</v>
      </c>
      <c r="O626" s="8">
        <v>1.7488017333388881</v>
      </c>
      <c r="P626" s="8">
        <v>0</v>
      </c>
      <c r="Q626" s="8">
        <v>0</v>
      </c>
      <c r="R626" s="8">
        <v>0</v>
      </c>
      <c r="S626" s="8">
        <v>0</v>
      </c>
      <c r="T626" s="5">
        <v>5</v>
      </c>
      <c r="U626" s="5">
        <v>5</v>
      </c>
      <c r="V626" s="5">
        <f>VLOOKUP(A626,Planilha1!B:E,4,0)</f>
        <v>11.476197020267191</v>
      </c>
    </row>
    <row r="627" spans="1:22" x14ac:dyDescent="0.3">
      <c r="A627" t="str">
        <f t="shared" si="18"/>
        <v>LEITE UHTLACTALIS</v>
      </c>
      <c r="B627" t="str">
        <f t="shared" si="19"/>
        <v>5314036LEITE UHTLACTALIS</v>
      </c>
      <c r="C627" s="5" t="s">
        <v>226</v>
      </c>
      <c r="D627" s="5" t="s">
        <v>227</v>
      </c>
      <c r="E627" s="5" t="s">
        <v>1722</v>
      </c>
      <c r="F627" s="5">
        <v>5314036</v>
      </c>
      <c r="G627" s="5" t="s">
        <v>499</v>
      </c>
      <c r="H627" s="5" t="s">
        <v>30</v>
      </c>
      <c r="I627" s="5" t="s">
        <v>22</v>
      </c>
      <c r="J627" s="5" t="s">
        <v>156</v>
      </c>
      <c r="K627" s="6">
        <v>0</v>
      </c>
      <c r="L627" s="7">
        <v>60</v>
      </c>
      <c r="M627" s="8">
        <v>78</v>
      </c>
      <c r="N627" s="8">
        <v>72</v>
      </c>
      <c r="O627" s="8">
        <v>30.524740866658181</v>
      </c>
      <c r="P627" s="8">
        <v>0</v>
      </c>
      <c r="Q627" s="8">
        <v>0</v>
      </c>
      <c r="R627" s="8">
        <v>0</v>
      </c>
      <c r="S627" s="8">
        <v>0</v>
      </c>
      <c r="T627" s="5">
        <v>0</v>
      </c>
      <c r="U627" s="5">
        <v>0</v>
      </c>
      <c r="V627" s="5">
        <f>VLOOKUP(A627,Planilha1!B:E,4,0)</f>
        <v>0.37177548115779385</v>
      </c>
    </row>
    <row r="628" spans="1:22" x14ac:dyDescent="0.3">
      <c r="A628" t="str">
        <f t="shared" si="18"/>
        <v>MANTEIGA 5KGLACTALIS</v>
      </c>
      <c r="B628" t="str">
        <f t="shared" si="19"/>
        <v>5338692MANTEIGA 5KGLACTALIS</v>
      </c>
      <c r="C628" s="5" t="s">
        <v>226</v>
      </c>
      <c r="D628" s="5" t="s">
        <v>227</v>
      </c>
      <c r="E628" s="5" t="s">
        <v>1722</v>
      </c>
      <c r="F628" s="5">
        <v>5338692</v>
      </c>
      <c r="G628" s="5" t="s">
        <v>500</v>
      </c>
      <c r="H628" s="5" t="s">
        <v>30</v>
      </c>
      <c r="I628" s="5" t="s">
        <v>22</v>
      </c>
      <c r="J628" s="5" t="s">
        <v>60</v>
      </c>
      <c r="K628" s="6">
        <v>0</v>
      </c>
      <c r="L628" s="7">
        <v>0</v>
      </c>
      <c r="M628" s="8">
        <v>0.83333333333333337</v>
      </c>
      <c r="N628" s="8">
        <v>0</v>
      </c>
      <c r="O628" s="8">
        <v>3.5047124168133004</v>
      </c>
      <c r="P628" s="8">
        <v>0</v>
      </c>
      <c r="Q628" s="8">
        <v>0</v>
      </c>
      <c r="R628" s="8">
        <v>0</v>
      </c>
      <c r="S628" s="8">
        <v>0</v>
      </c>
      <c r="T628" s="5">
        <v>0</v>
      </c>
      <c r="U628" s="5">
        <v>5</v>
      </c>
      <c r="V628" s="5">
        <f>VLOOKUP(A628,Planilha1!B:E,4,0)</f>
        <v>11.476197020267191</v>
      </c>
    </row>
    <row r="629" spans="1:22" x14ac:dyDescent="0.3">
      <c r="A629" t="str">
        <f t="shared" si="18"/>
        <v>LEITE UHTLACTALIS</v>
      </c>
      <c r="B629" t="str">
        <f t="shared" si="19"/>
        <v>5029281LEITE UHTLACTALIS</v>
      </c>
      <c r="C629" s="5" t="s">
        <v>226</v>
      </c>
      <c r="D629" s="5" t="s">
        <v>227</v>
      </c>
      <c r="E629" s="5" t="s">
        <v>1722</v>
      </c>
      <c r="F629" s="5">
        <v>5029281</v>
      </c>
      <c r="G629" s="5" t="s">
        <v>501</v>
      </c>
      <c r="H629" s="5" t="s">
        <v>30</v>
      </c>
      <c r="I629" s="5" t="s">
        <v>22</v>
      </c>
      <c r="J629" s="5" t="s">
        <v>156</v>
      </c>
      <c r="K629" s="6">
        <v>0</v>
      </c>
      <c r="L629" s="7">
        <v>0</v>
      </c>
      <c r="M629" s="8">
        <v>8</v>
      </c>
      <c r="N629" s="8">
        <v>0</v>
      </c>
      <c r="O629" s="8">
        <v>20.715602507507008</v>
      </c>
      <c r="P629" s="8">
        <v>0</v>
      </c>
      <c r="Q629" s="8">
        <v>0</v>
      </c>
      <c r="R629" s="8">
        <v>0</v>
      </c>
      <c r="S629" s="8">
        <v>0</v>
      </c>
      <c r="T629" s="5">
        <v>0</v>
      </c>
      <c r="U629" s="5">
        <v>0</v>
      </c>
      <c r="V629" s="5">
        <f>VLOOKUP(A629,Planilha1!B:E,4,0)</f>
        <v>0.37177548115779385</v>
      </c>
    </row>
    <row r="630" spans="1:22" x14ac:dyDescent="0.3">
      <c r="A630" t="str">
        <f t="shared" si="18"/>
        <v>LEITE UHTLACTALIS</v>
      </c>
      <c r="B630" t="str">
        <f t="shared" si="19"/>
        <v>5130996LEITE UHTLACTALIS</v>
      </c>
      <c r="C630" s="5" t="s">
        <v>226</v>
      </c>
      <c r="D630" s="5" t="s">
        <v>227</v>
      </c>
      <c r="E630" s="5" t="s">
        <v>1722</v>
      </c>
      <c r="F630" s="5">
        <v>5130996</v>
      </c>
      <c r="G630" s="5" t="s">
        <v>502</v>
      </c>
      <c r="H630" s="5" t="s">
        <v>30</v>
      </c>
      <c r="I630" s="5" t="s">
        <v>22</v>
      </c>
      <c r="J630" s="5" t="s">
        <v>156</v>
      </c>
      <c r="K630" s="6">
        <v>0</v>
      </c>
      <c r="L630" s="7">
        <v>60</v>
      </c>
      <c r="M630" s="8">
        <v>76</v>
      </c>
      <c r="N630" s="8">
        <v>48</v>
      </c>
      <c r="O630" s="8">
        <v>38.163082555861024</v>
      </c>
      <c r="P630" s="8">
        <v>0</v>
      </c>
      <c r="Q630" s="8">
        <v>0</v>
      </c>
      <c r="R630" s="8">
        <v>0</v>
      </c>
      <c r="S630" s="8">
        <v>0</v>
      </c>
      <c r="T630" s="5">
        <v>0</v>
      </c>
      <c r="U630" s="5">
        <v>0</v>
      </c>
      <c r="V630" s="5">
        <f>VLOOKUP(A630,Planilha1!B:E,4,0)</f>
        <v>0.37177548115779385</v>
      </c>
    </row>
    <row r="631" spans="1:22" x14ac:dyDescent="0.3">
      <c r="A631" t="str">
        <f t="shared" si="18"/>
        <v>LEITE UHTLACTALIS</v>
      </c>
      <c r="B631" t="str">
        <f t="shared" si="19"/>
        <v>5135529LEITE UHTLACTALIS</v>
      </c>
      <c r="C631" s="5" t="s">
        <v>226</v>
      </c>
      <c r="D631" s="5" t="s">
        <v>227</v>
      </c>
      <c r="E631" s="5" t="s">
        <v>1722</v>
      </c>
      <c r="F631" s="5">
        <v>5135529</v>
      </c>
      <c r="G631" s="5" t="s">
        <v>503</v>
      </c>
      <c r="H631" s="5" t="s">
        <v>30</v>
      </c>
      <c r="I631" s="5" t="s">
        <v>22</v>
      </c>
      <c r="J631" s="5" t="s">
        <v>156</v>
      </c>
      <c r="K631" s="6">
        <v>0</v>
      </c>
      <c r="L631" s="7">
        <v>0</v>
      </c>
      <c r="M631" s="8">
        <v>96</v>
      </c>
      <c r="N631" s="8">
        <v>0</v>
      </c>
      <c r="O631" s="8">
        <v>61.059023696700756</v>
      </c>
      <c r="P631" s="8">
        <v>0</v>
      </c>
      <c r="Q631" s="8">
        <v>0</v>
      </c>
      <c r="R631" s="8">
        <v>0</v>
      </c>
      <c r="S631" s="8">
        <v>0</v>
      </c>
      <c r="T631" s="5">
        <v>0</v>
      </c>
      <c r="U631" s="5">
        <v>0</v>
      </c>
      <c r="V631" s="5">
        <f>VLOOKUP(A631,Planilha1!B:E,4,0)</f>
        <v>0.37177548115779385</v>
      </c>
    </row>
    <row r="632" spans="1:22" x14ac:dyDescent="0.3">
      <c r="A632" t="str">
        <f t="shared" si="18"/>
        <v>LEITE UHTLACTALIS</v>
      </c>
      <c r="B632" t="str">
        <f t="shared" si="19"/>
        <v>5155365LEITE UHTLACTALIS</v>
      </c>
      <c r="C632" s="5" t="s">
        <v>226</v>
      </c>
      <c r="D632" s="5" t="s">
        <v>227</v>
      </c>
      <c r="E632" s="5" t="s">
        <v>1722</v>
      </c>
      <c r="F632" s="5">
        <v>5155365</v>
      </c>
      <c r="G632" s="5" t="s">
        <v>504</v>
      </c>
      <c r="H632" s="5" t="s">
        <v>30</v>
      </c>
      <c r="I632" s="5" t="s">
        <v>22</v>
      </c>
      <c r="J632" s="5" t="s">
        <v>156</v>
      </c>
      <c r="K632" s="6">
        <v>0</v>
      </c>
      <c r="L632" s="7">
        <v>0</v>
      </c>
      <c r="M632" s="8">
        <v>38</v>
      </c>
      <c r="N632" s="8">
        <v>36</v>
      </c>
      <c r="O632" s="8">
        <v>33.797634307503372</v>
      </c>
      <c r="P632" s="8">
        <v>0</v>
      </c>
      <c r="Q632" s="8">
        <v>0</v>
      </c>
      <c r="R632" s="8">
        <v>0</v>
      </c>
      <c r="S632" s="8">
        <v>0</v>
      </c>
      <c r="T632" s="5">
        <v>0</v>
      </c>
      <c r="U632" s="5">
        <v>0</v>
      </c>
      <c r="V632" s="5">
        <f>VLOOKUP(A632,Planilha1!B:E,4,0)</f>
        <v>0.37177548115779385</v>
      </c>
    </row>
    <row r="633" spans="1:22" x14ac:dyDescent="0.3">
      <c r="A633" t="str">
        <f t="shared" si="18"/>
        <v>PARMESÃOLACTALIS</v>
      </c>
      <c r="B633" t="str">
        <f t="shared" si="19"/>
        <v>5167210PARMESÃOLACTALIS</v>
      </c>
      <c r="C633" s="5" t="s">
        <v>226</v>
      </c>
      <c r="D633" s="5" t="s">
        <v>227</v>
      </c>
      <c r="E633" s="5" t="s">
        <v>1722</v>
      </c>
      <c r="F633" s="5">
        <v>5167210</v>
      </c>
      <c r="G633" s="5" t="s">
        <v>505</v>
      </c>
      <c r="H633" s="5" t="s">
        <v>30</v>
      </c>
      <c r="I633" s="5" t="s">
        <v>22</v>
      </c>
      <c r="J633" s="5" t="s">
        <v>195</v>
      </c>
      <c r="K633" s="6">
        <v>0</v>
      </c>
      <c r="L633" s="7">
        <v>0</v>
      </c>
      <c r="M633" s="8">
        <v>0</v>
      </c>
      <c r="N633" s="8">
        <v>0</v>
      </c>
      <c r="O633" s="8">
        <v>7.7783847688018666</v>
      </c>
      <c r="P633" s="8">
        <v>0</v>
      </c>
      <c r="Q633" s="8">
        <v>0</v>
      </c>
      <c r="R633" s="8">
        <v>0</v>
      </c>
      <c r="S633" s="8">
        <v>0</v>
      </c>
      <c r="T633" s="5">
        <v>14</v>
      </c>
      <c r="U633" s="5">
        <v>14</v>
      </c>
      <c r="V633" s="5">
        <f>VLOOKUP(A633,Planilha1!B:E,4,0)</f>
        <v>6.310326960724681</v>
      </c>
    </row>
    <row r="634" spans="1:22" x14ac:dyDescent="0.3">
      <c r="A634" t="str">
        <f t="shared" si="18"/>
        <v>LEITE UHTLACTALIS</v>
      </c>
      <c r="B634" t="str">
        <f t="shared" si="19"/>
        <v>5167210LEITE UHTLACTALIS</v>
      </c>
      <c r="C634" s="5" t="s">
        <v>226</v>
      </c>
      <c r="D634" s="5" t="s">
        <v>227</v>
      </c>
      <c r="E634" s="5" t="s">
        <v>1722</v>
      </c>
      <c r="F634" s="5">
        <v>5167210</v>
      </c>
      <c r="G634" s="5" t="s">
        <v>505</v>
      </c>
      <c r="H634" s="5" t="s">
        <v>30</v>
      </c>
      <c r="I634" s="5" t="s">
        <v>22</v>
      </c>
      <c r="J634" s="5" t="s">
        <v>156</v>
      </c>
      <c r="K634" s="6">
        <v>0</v>
      </c>
      <c r="L634" s="7">
        <v>0</v>
      </c>
      <c r="M634" s="8">
        <v>172</v>
      </c>
      <c r="N634" s="8">
        <v>232</v>
      </c>
      <c r="O634" s="8">
        <v>13.082031799996365</v>
      </c>
      <c r="P634" s="8">
        <v>0</v>
      </c>
      <c r="Q634" s="8">
        <v>84</v>
      </c>
      <c r="R634" s="8">
        <v>0</v>
      </c>
      <c r="S634" s="8">
        <v>0</v>
      </c>
      <c r="T634" s="5">
        <v>0</v>
      </c>
      <c r="U634" s="5">
        <v>0</v>
      </c>
      <c r="V634" s="5">
        <f>VLOOKUP(A634,Planilha1!B:E,4,0)</f>
        <v>0.37177548115779385</v>
      </c>
    </row>
    <row r="635" spans="1:22" x14ac:dyDescent="0.3">
      <c r="A635" t="str">
        <f t="shared" si="18"/>
        <v>MANTEIGA 5KGLACTALIS</v>
      </c>
      <c r="B635" t="str">
        <f t="shared" si="19"/>
        <v>5210748MANTEIGA 5KGLACTALIS</v>
      </c>
      <c r="C635" s="5" t="s">
        <v>226</v>
      </c>
      <c r="D635" s="5" t="s">
        <v>227</v>
      </c>
      <c r="E635" s="5" t="s">
        <v>1722</v>
      </c>
      <c r="F635" s="5">
        <v>5210748</v>
      </c>
      <c r="G635" s="5" t="s">
        <v>506</v>
      </c>
      <c r="H635" s="5" t="s">
        <v>30</v>
      </c>
      <c r="I635" s="5" t="s">
        <v>22</v>
      </c>
      <c r="J635" s="5" t="s">
        <v>60</v>
      </c>
      <c r="K635" s="6">
        <v>0</v>
      </c>
      <c r="L635" s="7">
        <v>5</v>
      </c>
      <c r="M635" s="8">
        <v>2.5</v>
      </c>
      <c r="N635" s="8">
        <v>3.3333333333333335</v>
      </c>
      <c r="O635" s="8">
        <v>1.7488017333388881</v>
      </c>
      <c r="P635" s="8">
        <v>0</v>
      </c>
      <c r="Q635" s="8">
        <v>0</v>
      </c>
      <c r="R635" s="8">
        <v>0</v>
      </c>
      <c r="S635" s="8">
        <v>0</v>
      </c>
      <c r="T635" s="5">
        <v>0</v>
      </c>
      <c r="U635" s="5">
        <v>5</v>
      </c>
      <c r="V635" s="5">
        <f>VLOOKUP(A635,Planilha1!B:E,4,0)</f>
        <v>11.476197020267191</v>
      </c>
    </row>
    <row r="636" spans="1:22" x14ac:dyDescent="0.3">
      <c r="A636" t="str">
        <f t="shared" si="18"/>
        <v>BLISTERLACTALIS</v>
      </c>
      <c r="B636" t="str">
        <f t="shared" si="19"/>
        <v>5218658BLISTERLACTALIS</v>
      </c>
      <c r="C636" s="5" t="s">
        <v>226</v>
      </c>
      <c r="D636" s="5" t="s">
        <v>227</v>
      </c>
      <c r="E636" s="5" t="s">
        <v>1722</v>
      </c>
      <c r="F636" s="5">
        <v>5218658</v>
      </c>
      <c r="G636" s="5" t="s">
        <v>507</v>
      </c>
      <c r="H636" s="5" t="s">
        <v>30</v>
      </c>
      <c r="I636" s="5" t="s">
        <v>22</v>
      </c>
      <c r="J636" s="5" t="s">
        <v>199</v>
      </c>
      <c r="K636" s="6">
        <v>0</v>
      </c>
      <c r="L636" s="7">
        <v>0</v>
      </c>
      <c r="M636" s="8">
        <v>10.399999999999999</v>
      </c>
      <c r="N636" s="8">
        <v>6.3999999999999995</v>
      </c>
      <c r="O636" s="8">
        <v>8.256381530883532</v>
      </c>
      <c r="P636" s="8">
        <v>0</v>
      </c>
      <c r="Q636" s="8">
        <v>3.84</v>
      </c>
      <c r="R636" s="8">
        <v>0</v>
      </c>
      <c r="S636" s="8">
        <v>4</v>
      </c>
      <c r="T636" s="5">
        <v>10</v>
      </c>
      <c r="U636" s="5">
        <v>0</v>
      </c>
      <c r="V636" s="5">
        <f>VLOOKUP(A636,Planilha1!B:E,4,0)</f>
        <v>13.783871706210666</v>
      </c>
    </row>
    <row r="637" spans="1:22" x14ac:dyDescent="0.3">
      <c r="A637" t="str">
        <f t="shared" si="18"/>
        <v>BLISTERLACTALIS</v>
      </c>
      <c r="B637" t="str">
        <f t="shared" si="19"/>
        <v>5223799BLISTERLACTALIS</v>
      </c>
      <c r="C637" s="5" t="s">
        <v>226</v>
      </c>
      <c r="D637" s="5" t="s">
        <v>227</v>
      </c>
      <c r="E637" s="5" t="s">
        <v>1722</v>
      </c>
      <c r="F637" s="5">
        <v>5223799</v>
      </c>
      <c r="G637" s="5" t="s">
        <v>508</v>
      </c>
      <c r="H637" s="5" t="s">
        <v>30</v>
      </c>
      <c r="I637" s="5" t="s">
        <v>22</v>
      </c>
      <c r="J637" s="5" t="s">
        <v>199</v>
      </c>
      <c r="K637" s="6">
        <v>0</v>
      </c>
      <c r="L637" s="7">
        <v>0</v>
      </c>
      <c r="M637" s="8">
        <v>9.0399999999999991</v>
      </c>
      <c r="N637" s="8">
        <v>10.72</v>
      </c>
      <c r="O637" s="8">
        <v>7.4534153636923417</v>
      </c>
      <c r="P637" s="8">
        <v>0</v>
      </c>
      <c r="Q637" s="8">
        <v>0</v>
      </c>
      <c r="R637" s="8">
        <v>0</v>
      </c>
      <c r="S637" s="8">
        <v>15</v>
      </c>
      <c r="T637" s="5">
        <v>15</v>
      </c>
      <c r="U637" s="5">
        <v>4</v>
      </c>
      <c r="V637" s="5">
        <f>VLOOKUP(A637,Planilha1!B:E,4,0)</f>
        <v>13.783871706210666</v>
      </c>
    </row>
    <row r="638" spans="1:22" x14ac:dyDescent="0.3">
      <c r="A638" t="str">
        <f t="shared" si="18"/>
        <v>MANTEIGA 5KGLACTALIS</v>
      </c>
      <c r="B638" t="str">
        <f t="shared" si="19"/>
        <v>5223799MANTEIGA 5KGLACTALIS</v>
      </c>
      <c r="C638" s="5" t="s">
        <v>226</v>
      </c>
      <c r="D638" s="5" t="s">
        <v>227</v>
      </c>
      <c r="E638" s="5" t="s">
        <v>1722</v>
      </c>
      <c r="F638" s="5">
        <v>5223799</v>
      </c>
      <c r="G638" s="5" t="s">
        <v>508</v>
      </c>
      <c r="H638" s="5" t="s">
        <v>30</v>
      </c>
      <c r="I638" s="5" t="s">
        <v>22</v>
      </c>
      <c r="J638" s="5" t="s">
        <v>60</v>
      </c>
      <c r="K638" s="6">
        <v>0</v>
      </c>
      <c r="L638" s="7">
        <v>0</v>
      </c>
      <c r="M638" s="8">
        <v>0.83333333333333337</v>
      </c>
      <c r="N638" s="8">
        <v>1.6666666666666667</v>
      </c>
      <c r="O638" s="8">
        <v>1.7488017333388881</v>
      </c>
      <c r="P638" s="8">
        <v>0</v>
      </c>
      <c r="Q638" s="8">
        <v>0</v>
      </c>
      <c r="R638" s="8">
        <v>0</v>
      </c>
      <c r="S638" s="8">
        <v>0</v>
      </c>
      <c r="T638" s="5">
        <v>0</v>
      </c>
      <c r="U638" s="5">
        <v>0</v>
      </c>
      <c r="V638" s="5">
        <f>VLOOKUP(A638,Planilha1!B:E,4,0)</f>
        <v>11.476197020267191</v>
      </c>
    </row>
    <row r="639" spans="1:22" x14ac:dyDescent="0.3">
      <c r="A639" t="str">
        <f t="shared" si="18"/>
        <v>LEITE UHTLACTALIS</v>
      </c>
      <c r="B639" t="str">
        <f t="shared" si="19"/>
        <v>5223799LEITE UHTLACTALIS</v>
      </c>
      <c r="C639" s="5" t="s">
        <v>226</v>
      </c>
      <c r="D639" s="5" t="s">
        <v>227</v>
      </c>
      <c r="E639" s="5" t="s">
        <v>1722</v>
      </c>
      <c r="F639" s="5">
        <v>5223799</v>
      </c>
      <c r="G639" s="5" t="s">
        <v>508</v>
      </c>
      <c r="H639" s="5" t="s">
        <v>30</v>
      </c>
      <c r="I639" s="5" t="s">
        <v>22</v>
      </c>
      <c r="J639" s="5" t="s">
        <v>156</v>
      </c>
      <c r="K639" s="6">
        <v>0</v>
      </c>
      <c r="L639" s="7">
        <v>0</v>
      </c>
      <c r="M639" s="8">
        <v>6</v>
      </c>
      <c r="N639" s="8">
        <v>0</v>
      </c>
      <c r="O639" s="8">
        <v>106.85090597838021</v>
      </c>
      <c r="P639" s="8">
        <v>0</v>
      </c>
      <c r="Q639" s="8">
        <v>0</v>
      </c>
      <c r="R639" s="8">
        <v>0</v>
      </c>
      <c r="S639" s="8">
        <v>0</v>
      </c>
      <c r="T639" s="5">
        <v>0</v>
      </c>
      <c r="U639" s="5">
        <v>0</v>
      </c>
      <c r="V639" s="5">
        <f>VLOOKUP(A639,Planilha1!B:E,4,0)</f>
        <v>0.37177548115779385</v>
      </c>
    </row>
    <row r="640" spans="1:22" x14ac:dyDescent="0.3">
      <c r="A640" t="str">
        <f t="shared" si="18"/>
        <v>MANTEIGA 5KGLACTALIS</v>
      </c>
      <c r="B640" t="str">
        <f t="shared" si="19"/>
        <v>5229137MANTEIGA 5KGLACTALIS</v>
      </c>
      <c r="C640" s="5" t="s">
        <v>226</v>
      </c>
      <c r="D640" s="5" t="s">
        <v>227</v>
      </c>
      <c r="E640" s="5" t="s">
        <v>1722</v>
      </c>
      <c r="F640" s="5">
        <v>5229137</v>
      </c>
      <c r="G640" s="5" t="s">
        <v>509</v>
      </c>
      <c r="H640" s="5" t="s">
        <v>30</v>
      </c>
      <c r="I640" s="5" t="s">
        <v>22</v>
      </c>
      <c r="J640" s="5" t="s">
        <v>60</v>
      </c>
      <c r="K640" s="6">
        <v>0</v>
      </c>
      <c r="L640" s="7">
        <v>20</v>
      </c>
      <c r="M640" s="8">
        <v>10</v>
      </c>
      <c r="N640" s="8">
        <v>10</v>
      </c>
      <c r="O640" s="8">
        <v>10.521246200575426</v>
      </c>
      <c r="P640" s="8">
        <v>0</v>
      </c>
      <c r="Q640" s="8">
        <v>0</v>
      </c>
      <c r="R640" s="8">
        <v>0</v>
      </c>
      <c r="S640" s="8">
        <v>10</v>
      </c>
      <c r="T640" s="5">
        <v>10</v>
      </c>
      <c r="U640" s="5">
        <v>10</v>
      </c>
      <c r="V640" s="5">
        <f>VLOOKUP(A640,Planilha1!B:E,4,0)</f>
        <v>11.476197020267191</v>
      </c>
    </row>
    <row r="641" spans="1:22" x14ac:dyDescent="0.3">
      <c r="A641" t="str">
        <f t="shared" si="18"/>
        <v>BLISTERLACTALIS</v>
      </c>
      <c r="B641" t="str">
        <f t="shared" si="19"/>
        <v>5233790BLISTERLACTALIS</v>
      </c>
      <c r="C641" s="5" t="s">
        <v>226</v>
      </c>
      <c r="D641" s="5" t="s">
        <v>227</v>
      </c>
      <c r="E641" s="5" t="s">
        <v>1722</v>
      </c>
      <c r="F641" s="5">
        <v>5233790</v>
      </c>
      <c r="G641" s="5" t="s">
        <v>510</v>
      </c>
      <c r="H641" s="5" t="s">
        <v>30</v>
      </c>
      <c r="I641" s="5" t="s">
        <v>22</v>
      </c>
      <c r="J641" s="5" t="s">
        <v>199</v>
      </c>
      <c r="K641" s="6">
        <v>0</v>
      </c>
      <c r="L641" s="7">
        <v>0</v>
      </c>
      <c r="M641" s="8">
        <v>0.96</v>
      </c>
      <c r="N641" s="8">
        <v>0.64</v>
      </c>
      <c r="O641" s="8">
        <v>1.1147059732771816</v>
      </c>
      <c r="P641" s="8">
        <v>0</v>
      </c>
      <c r="Q641" s="8">
        <v>0</v>
      </c>
      <c r="R641" s="8">
        <v>0</v>
      </c>
      <c r="S641" s="8">
        <v>0</v>
      </c>
      <c r="T641" s="5">
        <v>0</v>
      </c>
      <c r="U641" s="5">
        <v>0</v>
      </c>
      <c r="V641" s="5">
        <f>VLOOKUP(A641,Planilha1!B:E,4,0)</f>
        <v>13.783871706210666</v>
      </c>
    </row>
    <row r="642" spans="1:22" x14ac:dyDescent="0.3">
      <c r="A642" t="str">
        <f t="shared" ref="A642:A705" si="20">J642&amp;I642</f>
        <v>MANTEIGA 5KGLACTALIS</v>
      </c>
      <c r="B642" t="str">
        <f t="shared" si="19"/>
        <v>5233790MANTEIGA 5KGLACTALIS</v>
      </c>
      <c r="C642" s="5" t="s">
        <v>226</v>
      </c>
      <c r="D642" s="5" t="s">
        <v>227</v>
      </c>
      <c r="E642" s="5" t="s">
        <v>1722</v>
      </c>
      <c r="F642" s="5">
        <v>5233790</v>
      </c>
      <c r="G642" s="5" t="s">
        <v>510</v>
      </c>
      <c r="H642" s="5" t="s">
        <v>30</v>
      </c>
      <c r="I642" s="5" t="s">
        <v>22</v>
      </c>
      <c r="J642" s="5" t="s">
        <v>60</v>
      </c>
      <c r="K642" s="6">
        <v>0</v>
      </c>
      <c r="L642" s="7">
        <v>50</v>
      </c>
      <c r="M642" s="8">
        <v>194.99999999999997</v>
      </c>
      <c r="N642" s="8">
        <v>186.66666666666666</v>
      </c>
      <c r="O642" s="8">
        <v>259.46957099648813</v>
      </c>
      <c r="P642" s="8">
        <v>0</v>
      </c>
      <c r="Q642" s="8">
        <v>50</v>
      </c>
      <c r="R642" s="8">
        <v>0</v>
      </c>
      <c r="S642" s="8">
        <v>130</v>
      </c>
      <c r="T642" s="5">
        <v>130</v>
      </c>
      <c r="U642" s="5">
        <v>80</v>
      </c>
      <c r="V642" s="5">
        <f>VLOOKUP(A642,Planilha1!B:E,4,0)</f>
        <v>11.476197020267191</v>
      </c>
    </row>
    <row r="643" spans="1:22" x14ac:dyDescent="0.3">
      <c r="A643" t="str">
        <f t="shared" si="20"/>
        <v>LEITE UHTLACTALIS</v>
      </c>
      <c r="B643" t="str">
        <f t="shared" ref="B643:B706" si="21">F643&amp;J643&amp;I643</f>
        <v>5233790LEITE UHTLACTALIS</v>
      </c>
      <c r="C643" s="5" t="s">
        <v>226</v>
      </c>
      <c r="D643" s="5" t="s">
        <v>227</v>
      </c>
      <c r="E643" s="5" t="s">
        <v>1722</v>
      </c>
      <c r="F643" s="5">
        <v>5233790</v>
      </c>
      <c r="G643" s="5" t="s">
        <v>510</v>
      </c>
      <c r="H643" s="5" t="s">
        <v>30</v>
      </c>
      <c r="I643" s="5" t="s">
        <v>22</v>
      </c>
      <c r="J643" s="5" t="s">
        <v>156</v>
      </c>
      <c r="K643" s="6">
        <v>0</v>
      </c>
      <c r="L643" s="7">
        <v>96</v>
      </c>
      <c r="M643" s="8">
        <v>92</v>
      </c>
      <c r="N643" s="8">
        <v>0</v>
      </c>
      <c r="O643" s="8">
        <v>104.6657963633553</v>
      </c>
      <c r="P643" s="8">
        <v>0</v>
      </c>
      <c r="Q643" s="8">
        <v>0</v>
      </c>
      <c r="R643" s="8">
        <v>0</v>
      </c>
      <c r="S643" s="8">
        <v>0</v>
      </c>
      <c r="T643" s="5">
        <v>0</v>
      </c>
      <c r="U643" s="5">
        <v>0</v>
      </c>
      <c r="V643" s="5">
        <f>VLOOKUP(A643,Planilha1!B:E,4,0)</f>
        <v>0.37177548115779385</v>
      </c>
    </row>
    <row r="644" spans="1:22" x14ac:dyDescent="0.3">
      <c r="A644" t="str">
        <f t="shared" si="20"/>
        <v>MANTEIGA 5KGLACTALIS</v>
      </c>
      <c r="B644" t="str">
        <f t="shared" si="21"/>
        <v>5234380MANTEIGA 5KGLACTALIS</v>
      </c>
      <c r="C644" s="5" t="s">
        <v>226</v>
      </c>
      <c r="D644" s="5" t="s">
        <v>227</v>
      </c>
      <c r="E644" s="5" t="s">
        <v>1722</v>
      </c>
      <c r="F644" s="5">
        <v>5234380</v>
      </c>
      <c r="G644" s="5" t="s">
        <v>511</v>
      </c>
      <c r="H644" s="5" t="s">
        <v>30</v>
      </c>
      <c r="I644" s="5" t="s">
        <v>22</v>
      </c>
      <c r="J644" s="5" t="s">
        <v>60</v>
      </c>
      <c r="K644" s="6">
        <v>0</v>
      </c>
      <c r="L644" s="7">
        <v>0</v>
      </c>
      <c r="M644" s="8">
        <v>8.3333333333333339</v>
      </c>
      <c r="N644" s="8">
        <v>8.3333333333333339</v>
      </c>
      <c r="O644" s="8">
        <v>1.7488017333388881</v>
      </c>
      <c r="P644" s="8">
        <v>0</v>
      </c>
      <c r="Q644" s="8">
        <v>5</v>
      </c>
      <c r="R644" s="8">
        <v>0</v>
      </c>
      <c r="S644" s="8">
        <v>20</v>
      </c>
      <c r="T644" s="5">
        <v>20</v>
      </c>
      <c r="U644" s="5">
        <v>10</v>
      </c>
      <c r="V644" s="5">
        <f>VLOOKUP(A644,Planilha1!B:E,4,0)</f>
        <v>11.476197020267191</v>
      </c>
    </row>
    <row r="645" spans="1:22" x14ac:dyDescent="0.3">
      <c r="A645" t="str">
        <f t="shared" si="20"/>
        <v>LEITE UHTLACTALIS</v>
      </c>
      <c r="B645" t="str">
        <f t="shared" si="21"/>
        <v>5234380LEITE UHTLACTALIS</v>
      </c>
      <c r="C645" s="5" t="s">
        <v>226</v>
      </c>
      <c r="D645" s="5" t="s">
        <v>227</v>
      </c>
      <c r="E645" s="5" t="s">
        <v>1722</v>
      </c>
      <c r="F645" s="5">
        <v>5234380</v>
      </c>
      <c r="G645" s="5" t="s">
        <v>511</v>
      </c>
      <c r="H645" s="5" t="s">
        <v>30</v>
      </c>
      <c r="I645" s="5" t="s">
        <v>22</v>
      </c>
      <c r="J645" s="5" t="s">
        <v>156</v>
      </c>
      <c r="K645" s="6">
        <v>0</v>
      </c>
      <c r="L645" s="7">
        <v>0</v>
      </c>
      <c r="M645" s="8">
        <v>38</v>
      </c>
      <c r="N645" s="8">
        <v>8</v>
      </c>
      <c r="O645" s="8">
        <v>21.803386333327275</v>
      </c>
      <c r="P645" s="8">
        <v>0</v>
      </c>
      <c r="Q645" s="8">
        <v>24</v>
      </c>
      <c r="R645" s="8">
        <v>0</v>
      </c>
      <c r="S645" s="8">
        <v>0</v>
      </c>
      <c r="T645" s="5">
        <v>0</v>
      </c>
      <c r="U645" s="5">
        <v>0</v>
      </c>
      <c r="V645" s="5">
        <f>VLOOKUP(A645,Planilha1!B:E,4,0)</f>
        <v>0.37177548115779385</v>
      </c>
    </row>
    <row r="646" spans="1:22" x14ac:dyDescent="0.3">
      <c r="A646" t="str">
        <f t="shared" si="20"/>
        <v>LEITE UHTLACTALIS</v>
      </c>
      <c r="B646" t="str">
        <f t="shared" si="21"/>
        <v>5235433LEITE UHTLACTALIS</v>
      </c>
      <c r="C646" s="5" t="s">
        <v>226</v>
      </c>
      <c r="D646" s="5" t="s">
        <v>227</v>
      </c>
      <c r="E646" s="5" t="s">
        <v>1722</v>
      </c>
      <c r="F646" s="5">
        <v>5235433</v>
      </c>
      <c r="G646" s="5" t="s">
        <v>512</v>
      </c>
      <c r="H646" s="5" t="s">
        <v>30</v>
      </c>
      <c r="I646" s="5" t="s">
        <v>22</v>
      </c>
      <c r="J646" s="5" t="s">
        <v>156</v>
      </c>
      <c r="K646" s="6">
        <v>0</v>
      </c>
      <c r="L646" s="7">
        <v>144</v>
      </c>
      <c r="M646" s="8">
        <v>106</v>
      </c>
      <c r="N646" s="8">
        <v>72</v>
      </c>
      <c r="O646" s="8">
        <v>85.04274866336074</v>
      </c>
      <c r="P646" s="8">
        <v>0</v>
      </c>
      <c r="Q646" s="8">
        <v>0</v>
      </c>
      <c r="R646" s="8">
        <v>0</v>
      </c>
      <c r="S646" s="8">
        <v>0</v>
      </c>
      <c r="T646" s="5">
        <v>0</v>
      </c>
      <c r="U646" s="5">
        <v>0</v>
      </c>
      <c r="V646" s="5">
        <f>VLOOKUP(A646,Planilha1!B:E,4,0)</f>
        <v>0.37177548115779385</v>
      </c>
    </row>
    <row r="647" spans="1:22" x14ac:dyDescent="0.3">
      <c r="A647" t="str">
        <f t="shared" si="20"/>
        <v>LEITE UHTLACTALIS</v>
      </c>
      <c r="B647" t="str">
        <f t="shared" si="21"/>
        <v>5261771LEITE UHTLACTALIS</v>
      </c>
      <c r="C647" s="5" t="s">
        <v>226</v>
      </c>
      <c r="D647" s="5" t="s">
        <v>227</v>
      </c>
      <c r="E647" s="5" t="s">
        <v>1722</v>
      </c>
      <c r="F647" s="5">
        <v>5261771</v>
      </c>
      <c r="G647" s="5" t="s">
        <v>272</v>
      </c>
      <c r="H647" s="5" t="s">
        <v>30</v>
      </c>
      <c r="I647" s="5" t="s">
        <v>22</v>
      </c>
      <c r="J647" s="5" t="s">
        <v>156</v>
      </c>
      <c r="K647" s="6">
        <v>0</v>
      </c>
      <c r="L647" s="7">
        <v>0</v>
      </c>
      <c r="M647" s="8">
        <v>162</v>
      </c>
      <c r="N647" s="8">
        <v>160</v>
      </c>
      <c r="O647" s="8">
        <v>56.693575448343104</v>
      </c>
      <c r="P647" s="8">
        <v>0</v>
      </c>
      <c r="Q647" s="8">
        <v>240</v>
      </c>
      <c r="R647" s="8">
        <v>0</v>
      </c>
      <c r="S647" s="8">
        <v>0</v>
      </c>
      <c r="T647" s="5">
        <v>0</v>
      </c>
      <c r="U647" s="5">
        <v>0</v>
      </c>
      <c r="V647" s="5">
        <f>VLOOKUP(A647,Planilha1!B:E,4,0)</f>
        <v>0.37177548115779385</v>
      </c>
    </row>
    <row r="648" spans="1:22" x14ac:dyDescent="0.3">
      <c r="A648" t="str">
        <f t="shared" si="20"/>
        <v>LEITE UHTLACTALIS</v>
      </c>
      <c r="B648" t="str">
        <f t="shared" si="21"/>
        <v>5262094LEITE UHTLACTALIS</v>
      </c>
      <c r="C648" s="5" t="s">
        <v>226</v>
      </c>
      <c r="D648" s="5" t="s">
        <v>227</v>
      </c>
      <c r="E648" s="5" t="s">
        <v>1722</v>
      </c>
      <c r="F648" s="5">
        <v>5262094</v>
      </c>
      <c r="G648" s="5" t="s">
        <v>285</v>
      </c>
      <c r="H648" s="5" t="s">
        <v>30</v>
      </c>
      <c r="I648" s="5" t="s">
        <v>22</v>
      </c>
      <c r="J648" s="5" t="s">
        <v>156</v>
      </c>
      <c r="K648" s="6">
        <v>0</v>
      </c>
      <c r="L648" s="7">
        <v>0</v>
      </c>
      <c r="M648" s="8">
        <v>42</v>
      </c>
      <c r="N648" s="8">
        <v>0</v>
      </c>
      <c r="O648" s="8">
        <v>17.447480048354013</v>
      </c>
      <c r="P648" s="8">
        <v>0</v>
      </c>
      <c r="Q648" s="8">
        <v>0</v>
      </c>
      <c r="R648" s="8">
        <v>0</v>
      </c>
      <c r="S648" s="8">
        <v>0</v>
      </c>
      <c r="T648" s="5">
        <v>0</v>
      </c>
      <c r="U648" s="5">
        <v>0</v>
      </c>
      <c r="V648" s="5">
        <f>VLOOKUP(A648,Planilha1!B:E,4,0)</f>
        <v>0.37177548115779385</v>
      </c>
    </row>
    <row r="649" spans="1:22" x14ac:dyDescent="0.3">
      <c r="A649" t="str">
        <f t="shared" si="20"/>
        <v>LEITE UHTLACTALIS</v>
      </c>
      <c r="B649" t="str">
        <f t="shared" si="21"/>
        <v>5262210LEITE UHTLACTALIS</v>
      </c>
      <c r="C649" s="5" t="s">
        <v>226</v>
      </c>
      <c r="D649" s="5" t="s">
        <v>227</v>
      </c>
      <c r="E649" s="5" t="s">
        <v>1722</v>
      </c>
      <c r="F649" s="5">
        <v>5262210</v>
      </c>
      <c r="G649" s="5" t="s">
        <v>513</v>
      </c>
      <c r="H649" s="5" t="s">
        <v>30</v>
      </c>
      <c r="I649" s="5" t="s">
        <v>22</v>
      </c>
      <c r="J649" s="5" t="s">
        <v>156</v>
      </c>
      <c r="K649" s="6">
        <v>0</v>
      </c>
      <c r="L649" s="7">
        <v>0</v>
      </c>
      <c r="M649" s="8">
        <v>8</v>
      </c>
      <c r="N649" s="8">
        <v>0</v>
      </c>
      <c r="O649" s="8">
        <v>16.354925240841553</v>
      </c>
      <c r="P649" s="8">
        <v>0</v>
      </c>
      <c r="Q649" s="8">
        <v>0</v>
      </c>
      <c r="R649" s="8">
        <v>0</v>
      </c>
      <c r="S649" s="8">
        <v>0</v>
      </c>
      <c r="T649" s="5">
        <v>0</v>
      </c>
      <c r="U649" s="5">
        <v>0</v>
      </c>
      <c r="V649" s="5">
        <f>VLOOKUP(A649,Planilha1!B:E,4,0)</f>
        <v>0.37177548115779385</v>
      </c>
    </row>
    <row r="650" spans="1:22" x14ac:dyDescent="0.3">
      <c r="A650" t="str">
        <f t="shared" si="20"/>
        <v>LEITE UHTLACTALIS</v>
      </c>
      <c r="B650" t="str">
        <f t="shared" si="21"/>
        <v>5264820LEITE UHTLACTALIS</v>
      </c>
      <c r="C650" s="5" t="s">
        <v>226</v>
      </c>
      <c r="D650" s="5" t="s">
        <v>227</v>
      </c>
      <c r="E650" s="5" t="s">
        <v>1722</v>
      </c>
      <c r="F650" s="5">
        <v>5264820</v>
      </c>
      <c r="G650" s="5" t="s">
        <v>514</v>
      </c>
      <c r="H650" s="5" t="s">
        <v>30</v>
      </c>
      <c r="I650" s="5" t="s">
        <v>22</v>
      </c>
      <c r="J650" s="5" t="s">
        <v>156</v>
      </c>
      <c r="K650" s="6">
        <v>0</v>
      </c>
      <c r="L650" s="7">
        <v>0</v>
      </c>
      <c r="M650" s="8">
        <v>48</v>
      </c>
      <c r="N650" s="8">
        <v>56</v>
      </c>
      <c r="O650" s="8">
        <v>30.534282830042571</v>
      </c>
      <c r="P650" s="8">
        <v>0</v>
      </c>
      <c r="Q650" s="8">
        <v>60</v>
      </c>
      <c r="R650" s="8">
        <v>0</v>
      </c>
      <c r="S650" s="8">
        <v>0</v>
      </c>
      <c r="T650" s="5">
        <v>0</v>
      </c>
      <c r="U650" s="5">
        <v>0</v>
      </c>
      <c r="V650" s="5">
        <f>VLOOKUP(A650,Planilha1!B:E,4,0)</f>
        <v>0.37177548115779385</v>
      </c>
    </row>
    <row r="651" spans="1:22" x14ac:dyDescent="0.3">
      <c r="A651" t="str">
        <f t="shared" si="20"/>
        <v>LEITE UHTLACTALIS</v>
      </c>
      <c r="B651" t="str">
        <f t="shared" si="21"/>
        <v>5280111LEITE UHTLACTALIS</v>
      </c>
      <c r="C651" s="5" t="s">
        <v>226</v>
      </c>
      <c r="D651" s="5" t="s">
        <v>227</v>
      </c>
      <c r="E651" s="5" t="s">
        <v>1722</v>
      </c>
      <c r="F651" s="5">
        <v>5280111</v>
      </c>
      <c r="G651" s="5" t="s">
        <v>515</v>
      </c>
      <c r="H651" s="5" t="s">
        <v>30</v>
      </c>
      <c r="I651" s="5" t="s">
        <v>22</v>
      </c>
      <c r="J651" s="5" t="s">
        <v>156</v>
      </c>
      <c r="K651" s="6">
        <v>0</v>
      </c>
      <c r="L651" s="7">
        <v>0</v>
      </c>
      <c r="M651" s="8">
        <v>396</v>
      </c>
      <c r="N651" s="8">
        <v>280</v>
      </c>
      <c r="O651" s="8">
        <v>161.3593718116984</v>
      </c>
      <c r="P651" s="8">
        <v>0</v>
      </c>
      <c r="Q651" s="8">
        <v>288</v>
      </c>
      <c r="R651" s="8">
        <v>0</v>
      </c>
      <c r="S651" s="8">
        <v>0</v>
      </c>
      <c r="T651" s="5">
        <v>0</v>
      </c>
      <c r="U651" s="5">
        <v>0</v>
      </c>
      <c r="V651" s="5">
        <f>VLOOKUP(A651,Planilha1!B:E,4,0)</f>
        <v>0.37177548115779385</v>
      </c>
    </row>
    <row r="652" spans="1:22" x14ac:dyDescent="0.3">
      <c r="A652" t="str">
        <f t="shared" si="20"/>
        <v>LEITE UHTLACTALIS</v>
      </c>
      <c r="B652" t="str">
        <f t="shared" si="21"/>
        <v>5299403LEITE UHTLACTALIS</v>
      </c>
      <c r="C652" s="5" t="s">
        <v>226</v>
      </c>
      <c r="D652" s="5" t="s">
        <v>227</v>
      </c>
      <c r="E652" s="5" t="s">
        <v>1722</v>
      </c>
      <c r="F652" s="5">
        <v>5299403</v>
      </c>
      <c r="G652" s="5" t="s">
        <v>321</v>
      </c>
      <c r="H652" s="5" t="s">
        <v>30</v>
      </c>
      <c r="I652" s="5" t="s">
        <v>22</v>
      </c>
      <c r="J652" s="5" t="s">
        <v>156</v>
      </c>
      <c r="K652" s="6">
        <v>0</v>
      </c>
      <c r="L652" s="7">
        <v>0</v>
      </c>
      <c r="M652" s="8">
        <v>10</v>
      </c>
      <c r="N652" s="8">
        <v>0</v>
      </c>
      <c r="O652" s="8">
        <v>10.90646414835583</v>
      </c>
      <c r="P652" s="8">
        <v>0</v>
      </c>
      <c r="Q652" s="8">
        <v>0</v>
      </c>
      <c r="R652" s="8">
        <v>0</v>
      </c>
      <c r="S652" s="8">
        <v>0</v>
      </c>
      <c r="T652" s="5">
        <v>0</v>
      </c>
      <c r="U652" s="5">
        <v>0</v>
      </c>
      <c r="V652" s="5">
        <f>VLOOKUP(A652,Planilha1!B:E,4,0)</f>
        <v>0.37177548115779385</v>
      </c>
    </row>
    <row r="653" spans="1:22" x14ac:dyDescent="0.3">
      <c r="A653" t="str">
        <f t="shared" si="20"/>
        <v>MANTEIGA 5KGLACTALIS</v>
      </c>
      <c r="B653" t="str">
        <f t="shared" si="21"/>
        <v>5304816MANTEIGA 5KGLACTALIS</v>
      </c>
      <c r="C653" s="5" t="s">
        <v>226</v>
      </c>
      <c r="D653" s="5" t="s">
        <v>227</v>
      </c>
      <c r="E653" s="5" t="s">
        <v>1722</v>
      </c>
      <c r="F653" s="5">
        <v>5304816</v>
      </c>
      <c r="G653" s="5" t="s">
        <v>516</v>
      </c>
      <c r="H653" s="5" t="s">
        <v>30</v>
      </c>
      <c r="I653" s="5" t="s">
        <v>22</v>
      </c>
      <c r="J653" s="5" t="s">
        <v>60</v>
      </c>
      <c r="K653" s="6">
        <v>0</v>
      </c>
      <c r="L653" s="7">
        <v>60</v>
      </c>
      <c r="M653" s="8">
        <v>64.166666666666671</v>
      </c>
      <c r="N653" s="8">
        <v>53.333333333333336</v>
      </c>
      <c r="O653" s="8">
        <v>56.103834469554904</v>
      </c>
      <c r="P653" s="8">
        <v>0</v>
      </c>
      <c r="Q653" s="8">
        <v>25</v>
      </c>
      <c r="R653" s="8">
        <v>0</v>
      </c>
      <c r="S653" s="8">
        <v>50</v>
      </c>
      <c r="T653" s="5">
        <v>50</v>
      </c>
      <c r="U653" s="5">
        <v>25</v>
      </c>
      <c r="V653" s="5">
        <f>VLOOKUP(A653,Planilha1!B:E,4,0)</f>
        <v>11.476197020267191</v>
      </c>
    </row>
    <row r="654" spans="1:22" x14ac:dyDescent="0.3">
      <c r="A654" t="str">
        <f t="shared" si="20"/>
        <v>LEITE UHTLACTALIS</v>
      </c>
      <c r="B654" t="str">
        <f t="shared" si="21"/>
        <v>5314126LEITE UHTLACTALIS</v>
      </c>
      <c r="C654" s="5" t="s">
        <v>226</v>
      </c>
      <c r="D654" s="5" t="s">
        <v>227</v>
      </c>
      <c r="E654" s="5" t="s">
        <v>1722</v>
      </c>
      <c r="F654" s="5">
        <v>5314126</v>
      </c>
      <c r="G654" s="5" t="s">
        <v>517</v>
      </c>
      <c r="H654" s="5" t="s">
        <v>30</v>
      </c>
      <c r="I654" s="5" t="s">
        <v>22</v>
      </c>
      <c r="J654" s="5" t="s">
        <v>156</v>
      </c>
      <c r="K654" s="6">
        <v>0</v>
      </c>
      <c r="L654" s="7">
        <v>60</v>
      </c>
      <c r="M654" s="8">
        <v>21</v>
      </c>
      <c r="N654" s="8">
        <v>12</v>
      </c>
      <c r="O654" s="8">
        <v>13.091573763380753</v>
      </c>
      <c r="P654" s="8">
        <v>0</v>
      </c>
      <c r="Q654" s="8">
        <v>0</v>
      </c>
      <c r="R654" s="8">
        <v>0</v>
      </c>
      <c r="S654" s="8">
        <v>0</v>
      </c>
      <c r="T654" s="5">
        <v>0</v>
      </c>
      <c r="U654" s="5">
        <v>0</v>
      </c>
      <c r="V654" s="5">
        <f>VLOOKUP(A654,Planilha1!B:E,4,0)</f>
        <v>0.37177548115779385</v>
      </c>
    </row>
    <row r="655" spans="1:22" x14ac:dyDescent="0.3">
      <c r="A655" t="str">
        <f t="shared" si="20"/>
        <v>BLISTERLACTALIS</v>
      </c>
      <c r="B655" t="str">
        <f t="shared" si="21"/>
        <v>5314417BLISTERLACTALIS</v>
      </c>
      <c r="C655" s="5" t="s">
        <v>226</v>
      </c>
      <c r="D655" s="5" t="s">
        <v>227</v>
      </c>
      <c r="E655" s="5" t="s">
        <v>1722</v>
      </c>
      <c r="F655" s="5">
        <v>5314417</v>
      </c>
      <c r="G655" s="5" t="s">
        <v>518</v>
      </c>
      <c r="H655" s="5" t="s">
        <v>30</v>
      </c>
      <c r="I655" s="5" t="s">
        <v>22</v>
      </c>
      <c r="J655" s="5" t="s">
        <v>199</v>
      </c>
      <c r="K655" s="6">
        <v>0</v>
      </c>
      <c r="L655" s="7">
        <v>0</v>
      </c>
      <c r="M655" s="8">
        <v>7.3599999999999994</v>
      </c>
      <c r="N655" s="8">
        <v>3.2</v>
      </c>
      <c r="O655" s="8">
        <v>3.3346712590410608</v>
      </c>
      <c r="P655" s="8">
        <v>0</v>
      </c>
      <c r="Q655" s="8">
        <v>0</v>
      </c>
      <c r="R655" s="8">
        <v>0</v>
      </c>
      <c r="S655" s="8">
        <v>10</v>
      </c>
      <c r="T655" s="5">
        <v>10</v>
      </c>
      <c r="U655" s="5">
        <v>10</v>
      </c>
      <c r="V655" s="5">
        <f>VLOOKUP(A655,Planilha1!B:E,4,0)</f>
        <v>13.783871706210666</v>
      </c>
    </row>
    <row r="656" spans="1:22" x14ac:dyDescent="0.3">
      <c r="A656" t="str">
        <f t="shared" si="20"/>
        <v>LEITE UHTLACTALIS</v>
      </c>
      <c r="B656" t="str">
        <f t="shared" si="21"/>
        <v>5314417LEITE UHTLACTALIS</v>
      </c>
      <c r="C656" s="5" t="s">
        <v>226</v>
      </c>
      <c r="D656" s="5" t="s">
        <v>227</v>
      </c>
      <c r="E656" s="5" t="s">
        <v>1722</v>
      </c>
      <c r="F656" s="5">
        <v>5314417</v>
      </c>
      <c r="G656" s="5" t="s">
        <v>518</v>
      </c>
      <c r="H656" s="5" t="s">
        <v>30</v>
      </c>
      <c r="I656" s="5" t="s">
        <v>22</v>
      </c>
      <c r="J656" s="5" t="s">
        <v>156</v>
      </c>
      <c r="K656" s="6">
        <v>0</v>
      </c>
      <c r="L656" s="7">
        <v>72</v>
      </c>
      <c r="M656" s="8">
        <v>40</v>
      </c>
      <c r="N656" s="8">
        <v>0</v>
      </c>
      <c r="O656" s="8">
        <v>65.414929981674021</v>
      </c>
      <c r="P656" s="8">
        <v>0</v>
      </c>
      <c r="Q656" s="8">
        <v>0</v>
      </c>
      <c r="R656" s="8">
        <v>0</v>
      </c>
      <c r="S656" s="8">
        <v>0</v>
      </c>
      <c r="T656" s="5">
        <v>0</v>
      </c>
      <c r="U656" s="5">
        <v>0</v>
      </c>
      <c r="V656" s="5">
        <f>VLOOKUP(A656,Planilha1!B:E,4,0)</f>
        <v>0.37177548115779385</v>
      </c>
    </row>
    <row r="657" spans="1:22" x14ac:dyDescent="0.3">
      <c r="A657" t="str">
        <f t="shared" si="20"/>
        <v>MANTEIGA 5KGLACTALIS</v>
      </c>
      <c r="B657" t="str">
        <f t="shared" si="21"/>
        <v>5317313MANTEIGA 5KGLACTALIS</v>
      </c>
      <c r="C657" s="5" t="s">
        <v>226</v>
      </c>
      <c r="D657" s="5" t="s">
        <v>227</v>
      </c>
      <c r="E657" s="5" t="s">
        <v>1722</v>
      </c>
      <c r="F657" s="5">
        <v>5317313</v>
      </c>
      <c r="G657" s="5" t="s">
        <v>519</v>
      </c>
      <c r="H657" s="5" t="s">
        <v>30</v>
      </c>
      <c r="I657" s="5" t="s">
        <v>22</v>
      </c>
      <c r="J657" s="5" t="s">
        <v>60</v>
      </c>
      <c r="K657" s="6">
        <v>0</v>
      </c>
      <c r="L657" s="7">
        <v>0</v>
      </c>
      <c r="M657" s="8">
        <v>4.166666666666667</v>
      </c>
      <c r="N657" s="8">
        <v>0</v>
      </c>
      <c r="O657" s="8">
        <v>12.270047933914315</v>
      </c>
      <c r="P657" s="8">
        <v>0</v>
      </c>
      <c r="Q657" s="8">
        <v>0</v>
      </c>
      <c r="R657" s="8">
        <v>0</v>
      </c>
      <c r="S657" s="8">
        <v>0</v>
      </c>
      <c r="T657" s="5">
        <v>0</v>
      </c>
      <c r="U657" s="5">
        <v>0</v>
      </c>
      <c r="V657" s="5">
        <f>VLOOKUP(A657,Planilha1!B:E,4,0)</f>
        <v>11.476197020267191</v>
      </c>
    </row>
    <row r="658" spans="1:22" x14ac:dyDescent="0.3">
      <c r="A658" t="str">
        <f t="shared" si="20"/>
        <v>LEITE UHTLACTALIS</v>
      </c>
      <c r="B658" t="str">
        <f t="shared" si="21"/>
        <v>5317313LEITE UHTLACTALIS</v>
      </c>
      <c r="C658" s="5" t="s">
        <v>226</v>
      </c>
      <c r="D658" s="5" t="s">
        <v>227</v>
      </c>
      <c r="E658" s="5" t="s">
        <v>1722</v>
      </c>
      <c r="F658" s="5">
        <v>5317313</v>
      </c>
      <c r="G658" s="5" t="s">
        <v>519</v>
      </c>
      <c r="H658" s="5" t="s">
        <v>30</v>
      </c>
      <c r="I658" s="5" t="s">
        <v>22</v>
      </c>
      <c r="J658" s="5" t="s">
        <v>156</v>
      </c>
      <c r="K658" s="6">
        <v>0</v>
      </c>
      <c r="L658" s="7">
        <v>0</v>
      </c>
      <c r="M658" s="8">
        <v>168</v>
      </c>
      <c r="N658" s="8">
        <v>40</v>
      </c>
      <c r="O658" s="8">
        <v>61.054252715008559</v>
      </c>
      <c r="P658" s="8">
        <v>0</v>
      </c>
      <c r="Q658" s="8">
        <v>0</v>
      </c>
      <c r="R658" s="8">
        <v>0</v>
      </c>
      <c r="S658" s="8">
        <v>0</v>
      </c>
      <c r="T658" s="5">
        <v>0</v>
      </c>
      <c r="U658" s="5">
        <v>0</v>
      </c>
      <c r="V658" s="5">
        <f>VLOOKUP(A658,Planilha1!B:E,4,0)</f>
        <v>0.37177548115779385</v>
      </c>
    </row>
    <row r="659" spans="1:22" x14ac:dyDescent="0.3">
      <c r="A659" t="str">
        <f t="shared" si="20"/>
        <v>MANTEIGA 5KGLACTALIS</v>
      </c>
      <c r="B659" t="str">
        <f t="shared" si="21"/>
        <v>5320372MANTEIGA 5KGLACTALIS</v>
      </c>
      <c r="C659" s="5" t="s">
        <v>226</v>
      </c>
      <c r="D659" s="5" t="s">
        <v>227</v>
      </c>
      <c r="E659" s="5" t="s">
        <v>1722</v>
      </c>
      <c r="F659" s="5">
        <v>5320372</v>
      </c>
      <c r="G659" s="5" t="s">
        <v>520</v>
      </c>
      <c r="H659" s="5" t="s">
        <v>30</v>
      </c>
      <c r="I659" s="5" t="s">
        <v>22</v>
      </c>
      <c r="J659" s="5" t="s">
        <v>60</v>
      </c>
      <c r="K659" s="6">
        <v>0</v>
      </c>
      <c r="L659" s="7">
        <v>0</v>
      </c>
      <c r="M659" s="8">
        <v>0</v>
      </c>
      <c r="N659" s="8">
        <v>0</v>
      </c>
      <c r="O659" s="8">
        <v>10.521246200575426</v>
      </c>
      <c r="P659" s="8">
        <v>0</v>
      </c>
      <c r="Q659" s="8">
        <v>0</v>
      </c>
      <c r="R659" s="8">
        <v>0</v>
      </c>
      <c r="S659" s="8">
        <v>0</v>
      </c>
      <c r="T659" s="5">
        <v>0</v>
      </c>
      <c r="U659" s="5">
        <v>0</v>
      </c>
      <c r="V659" s="5">
        <f>VLOOKUP(A659,Planilha1!B:E,4,0)</f>
        <v>11.476197020267191</v>
      </c>
    </row>
    <row r="660" spans="1:22" x14ac:dyDescent="0.3">
      <c r="A660" t="str">
        <f t="shared" si="20"/>
        <v>LEITE UHTLACTALIS</v>
      </c>
      <c r="B660" t="str">
        <f t="shared" si="21"/>
        <v>5320372LEITE UHTLACTALIS</v>
      </c>
      <c r="C660" s="5" t="s">
        <v>226</v>
      </c>
      <c r="D660" s="5" t="s">
        <v>227</v>
      </c>
      <c r="E660" s="5" t="s">
        <v>1722</v>
      </c>
      <c r="F660" s="5">
        <v>5320372</v>
      </c>
      <c r="G660" s="5" t="s">
        <v>520</v>
      </c>
      <c r="H660" s="5" t="s">
        <v>30</v>
      </c>
      <c r="I660" s="5" t="s">
        <v>22</v>
      </c>
      <c r="J660" s="5" t="s">
        <v>156</v>
      </c>
      <c r="K660" s="6">
        <v>0</v>
      </c>
      <c r="L660" s="7">
        <v>612</v>
      </c>
      <c r="M660" s="8">
        <v>636</v>
      </c>
      <c r="N660" s="8">
        <v>380</v>
      </c>
      <c r="O660" s="8">
        <v>290.01843510509809</v>
      </c>
      <c r="P660" s="8">
        <v>0</v>
      </c>
      <c r="Q660" s="8">
        <v>300</v>
      </c>
      <c r="R660" s="8">
        <v>0</v>
      </c>
      <c r="S660" s="8">
        <v>0</v>
      </c>
      <c r="T660" s="5">
        <v>0</v>
      </c>
      <c r="U660" s="5">
        <v>0</v>
      </c>
      <c r="V660" s="5">
        <f>VLOOKUP(A660,Planilha1!B:E,4,0)</f>
        <v>0.37177548115779385</v>
      </c>
    </row>
    <row r="661" spans="1:22" x14ac:dyDescent="0.3">
      <c r="A661" t="str">
        <f t="shared" si="20"/>
        <v>PARMESÃOLACTALIS</v>
      </c>
      <c r="B661" t="str">
        <f t="shared" si="21"/>
        <v>5321719PARMESÃOLACTALIS</v>
      </c>
      <c r="C661" s="5" t="s">
        <v>226</v>
      </c>
      <c r="D661" s="5" t="s">
        <v>227</v>
      </c>
      <c r="E661" s="5" t="s">
        <v>1722</v>
      </c>
      <c r="F661" s="5">
        <v>5321719</v>
      </c>
      <c r="G661" s="5" t="s">
        <v>521</v>
      </c>
      <c r="H661" s="5" t="s">
        <v>30</v>
      </c>
      <c r="I661" s="5" t="s">
        <v>22</v>
      </c>
      <c r="J661" s="5" t="s">
        <v>195</v>
      </c>
      <c r="K661" s="6">
        <v>0</v>
      </c>
      <c r="L661" s="7">
        <v>0</v>
      </c>
      <c r="M661" s="8">
        <v>4.7324999999999999</v>
      </c>
      <c r="N661" s="8">
        <v>9.4649999999999999</v>
      </c>
      <c r="O661" s="8">
        <v>7.3861351087195652</v>
      </c>
      <c r="P661" s="8">
        <v>0</v>
      </c>
      <c r="Q661" s="8">
        <v>13.355</v>
      </c>
      <c r="R661" s="8">
        <v>0</v>
      </c>
      <c r="S661" s="8">
        <v>0</v>
      </c>
      <c r="T661" s="5">
        <v>0</v>
      </c>
      <c r="U661" s="5">
        <v>0</v>
      </c>
      <c r="V661" s="5">
        <f>VLOOKUP(A661,Planilha1!B:E,4,0)</f>
        <v>6.310326960724681</v>
      </c>
    </row>
    <row r="662" spans="1:22" x14ac:dyDescent="0.3">
      <c r="A662" t="str">
        <f t="shared" si="20"/>
        <v>MANTEIGA 5KGLACTALIS</v>
      </c>
      <c r="B662" t="str">
        <f t="shared" si="21"/>
        <v>5321723MANTEIGA 5KGLACTALIS</v>
      </c>
      <c r="C662" s="5" t="s">
        <v>226</v>
      </c>
      <c r="D662" s="5" t="s">
        <v>227</v>
      </c>
      <c r="E662" s="5" t="s">
        <v>1722</v>
      </c>
      <c r="F662" s="5">
        <v>5321723</v>
      </c>
      <c r="G662" s="5" t="s">
        <v>522</v>
      </c>
      <c r="H662" s="5" t="s">
        <v>30</v>
      </c>
      <c r="I662" s="5" t="s">
        <v>22</v>
      </c>
      <c r="J662" s="5" t="s">
        <v>60</v>
      </c>
      <c r="K662" s="6">
        <v>0</v>
      </c>
      <c r="L662" s="7">
        <v>0</v>
      </c>
      <c r="M662" s="8">
        <v>2.5</v>
      </c>
      <c r="N662" s="8">
        <v>5</v>
      </c>
      <c r="O662" s="8">
        <v>8.7582265669654902</v>
      </c>
      <c r="P662" s="8">
        <v>0</v>
      </c>
      <c r="Q662" s="8">
        <v>5</v>
      </c>
      <c r="R662" s="8">
        <v>0</v>
      </c>
      <c r="S662" s="8">
        <v>0</v>
      </c>
      <c r="T662" s="5">
        <v>0</v>
      </c>
      <c r="U662" s="5">
        <v>0</v>
      </c>
      <c r="V662" s="5">
        <f>VLOOKUP(A662,Planilha1!B:E,4,0)</f>
        <v>11.476197020267191</v>
      </c>
    </row>
    <row r="663" spans="1:22" x14ac:dyDescent="0.3">
      <c r="A663" t="str">
        <f t="shared" si="20"/>
        <v>LEITE UHTLACTALIS</v>
      </c>
      <c r="B663" t="str">
        <f t="shared" si="21"/>
        <v>5321723LEITE UHTLACTALIS</v>
      </c>
      <c r="C663" s="5" t="s">
        <v>226</v>
      </c>
      <c r="D663" s="5" t="s">
        <v>227</v>
      </c>
      <c r="E663" s="5" t="s">
        <v>1722</v>
      </c>
      <c r="F663" s="5">
        <v>5321723</v>
      </c>
      <c r="G663" s="5" t="s">
        <v>522</v>
      </c>
      <c r="H663" s="5" t="s">
        <v>30</v>
      </c>
      <c r="I663" s="5" t="s">
        <v>22</v>
      </c>
      <c r="J663" s="5" t="s">
        <v>156</v>
      </c>
      <c r="K663" s="6">
        <v>0</v>
      </c>
      <c r="L663" s="7">
        <v>0</v>
      </c>
      <c r="M663" s="8">
        <v>0</v>
      </c>
      <c r="N663" s="8">
        <v>0</v>
      </c>
      <c r="O663" s="8">
        <v>2.1803386333327275</v>
      </c>
      <c r="P663" s="8">
        <v>0</v>
      </c>
      <c r="Q663" s="8">
        <v>0</v>
      </c>
      <c r="R663" s="8">
        <v>0</v>
      </c>
      <c r="S663" s="8">
        <v>0</v>
      </c>
      <c r="T663" s="5">
        <v>0</v>
      </c>
      <c r="U663" s="5">
        <v>0</v>
      </c>
      <c r="V663" s="5">
        <f>VLOOKUP(A663,Planilha1!B:E,4,0)</f>
        <v>0.37177548115779385</v>
      </c>
    </row>
    <row r="664" spans="1:22" x14ac:dyDescent="0.3">
      <c r="A664" t="str">
        <f t="shared" si="20"/>
        <v>LEITE UHTLACTALIS</v>
      </c>
      <c r="B664" t="str">
        <f t="shared" si="21"/>
        <v>5321724LEITE UHTLACTALIS</v>
      </c>
      <c r="C664" s="5" t="s">
        <v>226</v>
      </c>
      <c r="D664" s="5" t="s">
        <v>227</v>
      </c>
      <c r="E664" s="5" t="s">
        <v>1722</v>
      </c>
      <c r="F664" s="5">
        <v>5321724</v>
      </c>
      <c r="G664" s="5" t="s">
        <v>523</v>
      </c>
      <c r="H664" s="5" t="s">
        <v>30</v>
      </c>
      <c r="I664" s="5" t="s">
        <v>22</v>
      </c>
      <c r="J664" s="5" t="s">
        <v>156</v>
      </c>
      <c r="K664" s="6">
        <v>0</v>
      </c>
      <c r="L664" s="7">
        <v>0</v>
      </c>
      <c r="M664" s="8">
        <v>6</v>
      </c>
      <c r="N664" s="8">
        <v>0</v>
      </c>
      <c r="O664" s="8">
        <v>26.173605563377116</v>
      </c>
      <c r="P664" s="8">
        <v>0</v>
      </c>
      <c r="Q664" s="8">
        <v>0</v>
      </c>
      <c r="R664" s="8">
        <v>0</v>
      </c>
      <c r="S664" s="8">
        <v>0</v>
      </c>
      <c r="T664" s="5">
        <v>0</v>
      </c>
      <c r="U664" s="5">
        <v>0</v>
      </c>
      <c r="V664" s="5">
        <f>VLOOKUP(A664,Planilha1!B:E,4,0)</f>
        <v>0.37177548115779385</v>
      </c>
    </row>
    <row r="665" spans="1:22" x14ac:dyDescent="0.3">
      <c r="A665" t="str">
        <f t="shared" si="20"/>
        <v>LEITE UHTLACTALIS</v>
      </c>
      <c r="B665" t="str">
        <f t="shared" si="21"/>
        <v>5321728LEITE UHTLACTALIS</v>
      </c>
      <c r="C665" s="5" t="s">
        <v>226</v>
      </c>
      <c r="D665" s="5" t="s">
        <v>227</v>
      </c>
      <c r="E665" s="5" t="s">
        <v>1722</v>
      </c>
      <c r="F665" s="5">
        <v>5321728</v>
      </c>
      <c r="G665" s="5" t="s">
        <v>524</v>
      </c>
      <c r="H665" s="5" t="s">
        <v>30</v>
      </c>
      <c r="I665" s="5" t="s">
        <v>22</v>
      </c>
      <c r="J665" s="5" t="s">
        <v>156</v>
      </c>
      <c r="K665" s="6">
        <v>0</v>
      </c>
      <c r="L665" s="7">
        <v>0</v>
      </c>
      <c r="M665" s="8">
        <v>10</v>
      </c>
      <c r="N665" s="8">
        <v>0</v>
      </c>
      <c r="O665" s="8">
        <v>30.534282830042571</v>
      </c>
      <c r="P665" s="8">
        <v>0</v>
      </c>
      <c r="Q665" s="8">
        <v>0</v>
      </c>
      <c r="R665" s="8">
        <v>0</v>
      </c>
      <c r="S665" s="8">
        <v>0</v>
      </c>
      <c r="T665" s="5">
        <v>0</v>
      </c>
      <c r="U665" s="5">
        <v>0</v>
      </c>
      <c r="V665" s="5">
        <f>VLOOKUP(A665,Planilha1!B:E,4,0)</f>
        <v>0.37177548115779385</v>
      </c>
    </row>
    <row r="666" spans="1:22" x14ac:dyDescent="0.3">
      <c r="A666" t="str">
        <f t="shared" si="20"/>
        <v>MANTEIGA 5KGLACTALIS</v>
      </c>
      <c r="B666" t="str">
        <f t="shared" si="21"/>
        <v>5328876MANTEIGA 5KGLACTALIS</v>
      </c>
      <c r="C666" s="5" t="s">
        <v>226</v>
      </c>
      <c r="D666" s="5" t="s">
        <v>227</v>
      </c>
      <c r="E666" s="5" t="s">
        <v>1722</v>
      </c>
      <c r="F666" s="5">
        <v>5328876</v>
      </c>
      <c r="G666" s="5" t="s">
        <v>525</v>
      </c>
      <c r="H666" s="5" t="s">
        <v>30</v>
      </c>
      <c r="I666" s="5" t="s">
        <v>22</v>
      </c>
      <c r="J666" s="5" t="s">
        <v>60</v>
      </c>
      <c r="K666" s="6">
        <v>0</v>
      </c>
      <c r="L666" s="7">
        <v>0</v>
      </c>
      <c r="M666" s="8">
        <v>9.1666666666666679</v>
      </c>
      <c r="N666" s="8">
        <v>6.666666666666667</v>
      </c>
      <c r="O666" s="8">
        <v>26.303115501438562</v>
      </c>
      <c r="P666" s="8">
        <v>0</v>
      </c>
      <c r="Q666" s="8">
        <v>0</v>
      </c>
      <c r="R666" s="8">
        <v>0</v>
      </c>
      <c r="S666" s="8">
        <v>0</v>
      </c>
      <c r="T666" s="5">
        <v>0</v>
      </c>
      <c r="U666" s="5">
        <v>0</v>
      </c>
      <c r="V666" s="5">
        <f>VLOOKUP(A666,Planilha1!B:E,4,0)</f>
        <v>11.476197020267191</v>
      </c>
    </row>
    <row r="667" spans="1:22" x14ac:dyDescent="0.3">
      <c r="A667" t="str">
        <f t="shared" si="20"/>
        <v>LEITE UHTLACTALIS</v>
      </c>
      <c r="B667" t="str">
        <f t="shared" si="21"/>
        <v>5329531LEITE UHTLACTALIS</v>
      </c>
      <c r="C667" s="5" t="s">
        <v>226</v>
      </c>
      <c r="D667" s="5" t="s">
        <v>227</v>
      </c>
      <c r="E667" s="5" t="s">
        <v>1722</v>
      </c>
      <c r="F667" s="5">
        <v>5329531</v>
      </c>
      <c r="G667" s="5" t="s">
        <v>526</v>
      </c>
      <c r="H667" s="5" t="s">
        <v>30</v>
      </c>
      <c r="I667" s="5" t="s">
        <v>22</v>
      </c>
      <c r="J667" s="5" t="s">
        <v>156</v>
      </c>
      <c r="K667" s="6">
        <v>0</v>
      </c>
      <c r="L667" s="7">
        <v>0</v>
      </c>
      <c r="M667" s="8">
        <v>6</v>
      </c>
      <c r="N667" s="8">
        <v>4</v>
      </c>
      <c r="O667" s="8">
        <v>2.1803386333327275</v>
      </c>
      <c r="P667" s="8">
        <v>0</v>
      </c>
      <c r="Q667" s="8">
        <v>0</v>
      </c>
      <c r="R667" s="8">
        <v>0</v>
      </c>
      <c r="S667" s="8">
        <v>0</v>
      </c>
      <c r="T667" s="5">
        <v>0</v>
      </c>
      <c r="U667" s="5">
        <v>0</v>
      </c>
      <c r="V667" s="5">
        <f>VLOOKUP(A667,Planilha1!B:E,4,0)</f>
        <v>0.37177548115779385</v>
      </c>
    </row>
    <row r="668" spans="1:22" x14ac:dyDescent="0.3">
      <c r="A668" t="str">
        <f t="shared" si="20"/>
        <v>MANTEIGA 5KGLACTALIS</v>
      </c>
      <c r="B668" t="str">
        <f t="shared" si="21"/>
        <v>5330184MANTEIGA 5KGLACTALIS</v>
      </c>
      <c r="C668" s="5" t="s">
        <v>226</v>
      </c>
      <c r="D668" s="5" t="s">
        <v>227</v>
      </c>
      <c r="E668" s="5" t="s">
        <v>1722</v>
      </c>
      <c r="F668" s="5">
        <v>5330184</v>
      </c>
      <c r="G668" s="5" t="s">
        <v>527</v>
      </c>
      <c r="H668" s="5" t="s">
        <v>30</v>
      </c>
      <c r="I668" s="5" t="s">
        <v>22</v>
      </c>
      <c r="J668" s="5" t="s">
        <v>60</v>
      </c>
      <c r="K668" s="6">
        <v>0</v>
      </c>
      <c r="L668" s="7">
        <v>0</v>
      </c>
      <c r="M668" s="8">
        <v>0.83333333333333337</v>
      </c>
      <c r="N668" s="8">
        <v>0</v>
      </c>
      <c r="O668" s="8">
        <v>1.7488017333388881</v>
      </c>
      <c r="P668" s="8">
        <v>0</v>
      </c>
      <c r="Q668" s="8">
        <v>0</v>
      </c>
      <c r="R668" s="8">
        <v>0</v>
      </c>
      <c r="S668" s="8">
        <v>0</v>
      </c>
      <c r="T668" s="5">
        <v>0</v>
      </c>
      <c r="U668" s="5">
        <v>0</v>
      </c>
      <c r="V668" s="5">
        <f>VLOOKUP(A668,Planilha1!B:E,4,0)</f>
        <v>11.476197020267191</v>
      </c>
    </row>
    <row r="669" spans="1:22" x14ac:dyDescent="0.3">
      <c r="A669" t="str">
        <f t="shared" si="20"/>
        <v>LEITE UHTLACTALIS</v>
      </c>
      <c r="B669" t="str">
        <f t="shared" si="21"/>
        <v>5330184LEITE UHTLACTALIS</v>
      </c>
      <c r="C669" s="5" t="s">
        <v>226</v>
      </c>
      <c r="D669" s="5" t="s">
        <v>227</v>
      </c>
      <c r="E669" s="5" t="s">
        <v>1722</v>
      </c>
      <c r="F669" s="5">
        <v>5330184</v>
      </c>
      <c r="G669" s="5" t="s">
        <v>527</v>
      </c>
      <c r="H669" s="5" t="s">
        <v>30</v>
      </c>
      <c r="I669" s="5" t="s">
        <v>22</v>
      </c>
      <c r="J669" s="5" t="s">
        <v>156</v>
      </c>
      <c r="K669" s="6">
        <v>0</v>
      </c>
      <c r="L669" s="7">
        <v>0</v>
      </c>
      <c r="M669" s="8">
        <v>68</v>
      </c>
      <c r="N669" s="8">
        <v>40</v>
      </c>
      <c r="O669" s="8">
        <v>21.812928296711661</v>
      </c>
      <c r="P669" s="8">
        <v>0</v>
      </c>
      <c r="Q669" s="8">
        <v>0</v>
      </c>
      <c r="R669" s="8">
        <v>0</v>
      </c>
      <c r="S669" s="8">
        <v>0</v>
      </c>
      <c r="T669" s="5">
        <v>0</v>
      </c>
      <c r="U669" s="5">
        <v>0</v>
      </c>
      <c r="V669" s="5">
        <f>VLOOKUP(A669,Planilha1!B:E,4,0)</f>
        <v>0.37177548115779385</v>
      </c>
    </row>
    <row r="670" spans="1:22" x14ac:dyDescent="0.3">
      <c r="A670" t="str">
        <f t="shared" si="20"/>
        <v>MANTEIGA 5KGLACTALIS</v>
      </c>
      <c r="B670" t="str">
        <f t="shared" si="21"/>
        <v>5333763MANTEIGA 5KGLACTALIS</v>
      </c>
      <c r="C670" s="5" t="s">
        <v>226</v>
      </c>
      <c r="D670" s="5" t="s">
        <v>227</v>
      </c>
      <c r="E670" s="5" t="s">
        <v>1722</v>
      </c>
      <c r="F670" s="5">
        <v>5333763</v>
      </c>
      <c r="G670" s="5" t="s">
        <v>528</v>
      </c>
      <c r="H670" s="5" t="s">
        <v>30</v>
      </c>
      <c r="I670" s="5" t="s">
        <v>22</v>
      </c>
      <c r="J670" s="5" t="s">
        <v>60</v>
      </c>
      <c r="K670" s="6">
        <v>0</v>
      </c>
      <c r="L670" s="7">
        <v>0</v>
      </c>
      <c r="M670" s="8">
        <v>0</v>
      </c>
      <c r="N670" s="8">
        <v>0</v>
      </c>
      <c r="O670" s="8">
        <v>10.521246200575426</v>
      </c>
      <c r="P670" s="8">
        <v>0</v>
      </c>
      <c r="Q670" s="8">
        <v>0</v>
      </c>
      <c r="R670" s="8">
        <v>0</v>
      </c>
      <c r="S670" s="8">
        <v>0</v>
      </c>
      <c r="T670" s="5">
        <v>0</v>
      </c>
      <c r="U670" s="5">
        <v>0</v>
      </c>
      <c r="V670" s="5">
        <f>VLOOKUP(A670,Planilha1!B:E,4,0)</f>
        <v>11.476197020267191</v>
      </c>
    </row>
    <row r="671" spans="1:22" x14ac:dyDescent="0.3">
      <c r="A671" t="str">
        <f t="shared" si="20"/>
        <v>LEITE UHTLACTALIS</v>
      </c>
      <c r="B671" t="str">
        <f t="shared" si="21"/>
        <v>5333763LEITE UHTLACTALIS</v>
      </c>
      <c r="C671" s="5" t="s">
        <v>226</v>
      </c>
      <c r="D671" s="5" t="s">
        <v>227</v>
      </c>
      <c r="E671" s="5" t="s">
        <v>1722</v>
      </c>
      <c r="F671" s="5">
        <v>5333763</v>
      </c>
      <c r="G671" s="5" t="s">
        <v>528</v>
      </c>
      <c r="H671" s="5" t="s">
        <v>30</v>
      </c>
      <c r="I671" s="5" t="s">
        <v>22</v>
      </c>
      <c r="J671" s="5" t="s">
        <v>156</v>
      </c>
      <c r="K671" s="6">
        <v>0</v>
      </c>
      <c r="L671" s="7">
        <v>0</v>
      </c>
      <c r="M671" s="8">
        <v>130</v>
      </c>
      <c r="N671" s="8">
        <v>80</v>
      </c>
      <c r="O671" s="8">
        <v>54.51323681501038</v>
      </c>
      <c r="P671" s="8">
        <v>0</v>
      </c>
      <c r="Q671" s="8">
        <v>0</v>
      </c>
      <c r="R671" s="8">
        <v>0</v>
      </c>
      <c r="S671" s="8">
        <v>0</v>
      </c>
      <c r="T671" s="5">
        <v>0</v>
      </c>
      <c r="U671" s="5">
        <v>0</v>
      </c>
      <c r="V671" s="5">
        <f>VLOOKUP(A671,Planilha1!B:E,4,0)</f>
        <v>0.37177548115779385</v>
      </c>
    </row>
    <row r="672" spans="1:22" x14ac:dyDescent="0.3">
      <c r="A672" t="str">
        <f t="shared" si="20"/>
        <v>MANTEIGA 5KGLACTALIS</v>
      </c>
      <c r="B672" t="str">
        <f t="shared" si="21"/>
        <v>5340762MANTEIGA 5KGLACTALIS</v>
      </c>
      <c r="C672" s="5" t="s">
        <v>226</v>
      </c>
      <c r="D672" s="5" t="s">
        <v>227</v>
      </c>
      <c r="E672" s="5" t="s">
        <v>1722</v>
      </c>
      <c r="F672" s="5">
        <v>5340762</v>
      </c>
      <c r="G672" s="5" t="s">
        <v>529</v>
      </c>
      <c r="H672" s="5" t="s">
        <v>30</v>
      </c>
      <c r="I672" s="5" t="s">
        <v>22</v>
      </c>
      <c r="J672" s="5" t="s">
        <v>60</v>
      </c>
      <c r="K672" s="6">
        <v>0</v>
      </c>
      <c r="L672" s="7">
        <v>5</v>
      </c>
      <c r="M672" s="8">
        <v>5.8333333333333339</v>
      </c>
      <c r="N672" s="8">
        <v>3.3333333333333335</v>
      </c>
      <c r="O672" s="8">
        <v>7.0165337837621244</v>
      </c>
      <c r="P672" s="8">
        <v>0</v>
      </c>
      <c r="Q672" s="8">
        <v>5</v>
      </c>
      <c r="R672" s="8">
        <v>0</v>
      </c>
      <c r="S672" s="8">
        <v>5</v>
      </c>
      <c r="T672" s="5">
        <v>5</v>
      </c>
      <c r="U672" s="5">
        <v>5</v>
      </c>
      <c r="V672" s="5">
        <f>VLOOKUP(A672,Planilha1!B:E,4,0)</f>
        <v>11.476197020267191</v>
      </c>
    </row>
    <row r="673" spans="1:22" x14ac:dyDescent="0.3">
      <c r="A673" t="str">
        <f t="shared" si="20"/>
        <v>MANTEIGA 5KGLACTALIS</v>
      </c>
      <c r="B673" t="str">
        <f t="shared" si="21"/>
        <v>5342187MANTEIGA 5KGLACTALIS</v>
      </c>
      <c r="C673" s="5" t="s">
        <v>226</v>
      </c>
      <c r="D673" s="5" t="s">
        <v>227</v>
      </c>
      <c r="E673" s="5" t="s">
        <v>1722</v>
      </c>
      <c r="F673" s="5">
        <v>5342187</v>
      </c>
      <c r="G673" s="5" t="s">
        <v>530</v>
      </c>
      <c r="H673" s="5" t="s">
        <v>30</v>
      </c>
      <c r="I673" s="5" t="s">
        <v>22</v>
      </c>
      <c r="J673" s="5" t="s">
        <v>60</v>
      </c>
      <c r="K673" s="6">
        <v>0</v>
      </c>
      <c r="L673" s="7">
        <v>0</v>
      </c>
      <c r="M673" s="8">
        <v>81.666666666666657</v>
      </c>
      <c r="N673" s="8">
        <v>96.666666666666671</v>
      </c>
      <c r="O673" s="8">
        <v>84.162860654467877</v>
      </c>
      <c r="P673" s="8">
        <v>0</v>
      </c>
      <c r="Q673" s="8">
        <v>50</v>
      </c>
      <c r="R673" s="8">
        <v>0</v>
      </c>
      <c r="S673" s="8">
        <v>0</v>
      </c>
      <c r="T673" s="5">
        <v>0</v>
      </c>
      <c r="U673" s="5">
        <v>0</v>
      </c>
      <c r="V673" s="5">
        <f>VLOOKUP(A673,Planilha1!B:E,4,0)</f>
        <v>11.476197020267191</v>
      </c>
    </row>
    <row r="674" spans="1:22" x14ac:dyDescent="0.3">
      <c r="A674" t="str">
        <f t="shared" si="20"/>
        <v>BLISTERLACTALIS</v>
      </c>
      <c r="B674" t="str">
        <f t="shared" si="21"/>
        <v>5342210BLISTERLACTALIS</v>
      </c>
      <c r="C674" s="5" t="s">
        <v>226</v>
      </c>
      <c r="D674" s="5" t="s">
        <v>227</v>
      </c>
      <c r="E674" s="5" t="s">
        <v>1722</v>
      </c>
      <c r="F674" s="5">
        <v>5342210</v>
      </c>
      <c r="G674" s="5" t="s">
        <v>531</v>
      </c>
      <c r="H674" s="5" t="s">
        <v>30</v>
      </c>
      <c r="I674" s="5" t="s">
        <v>22</v>
      </c>
      <c r="J674" s="5" t="s">
        <v>199</v>
      </c>
      <c r="K674" s="6">
        <v>0</v>
      </c>
      <c r="L674" s="7">
        <v>0</v>
      </c>
      <c r="M674" s="8">
        <v>1.7200000000000002</v>
      </c>
      <c r="N674" s="8">
        <v>3.4400000000000004</v>
      </c>
      <c r="O674" s="8">
        <v>2.3616651976211473</v>
      </c>
      <c r="P674" s="8">
        <v>0</v>
      </c>
      <c r="Q674" s="8">
        <v>0</v>
      </c>
      <c r="R674" s="8">
        <v>0</v>
      </c>
      <c r="S674" s="8">
        <v>0</v>
      </c>
      <c r="T674" s="5">
        <v>0</v>
      </c>
      <c r="U674" s="5">
        <v>0</v>
      </c>
      <c r="V674" s="5">
        <f>VLOOKUP(A674,Planilha1!B:E,4,0)</f>
        <v>13.783871706210666</v>
      </c>
    </row>
    <row r="675" spans="1:22" x14ac:dyDescent="0.3">
      <c r="A675" t="str">
        <f t="shared" si="20"/>
        <v>LEITE UHTLACTALIS</v>
      </c>
      <c r="B675" t="str">
        <f t="shared" si="21"/>
        <v>5347523LEITE UHTLACTALIS</v>
      </c>
      <c r="C675" s="5" t="s">
        <v>226</v>
      </c>
      <c r="D675" s="5" t="s">
        <v>227</v>
      </c>
      <c r="E675" s="5" t="s">
        <v>1722</v>
      </c>
      <c r="F675" s="5">
        <v>5347523</v>
      </c>
      <c r="G675" s="5" t="s">
        <v>517</v>
      </c>
      <c r="H675" s="5" t="s">
        <v>30</v>
      </c>
      <c r="I675" s="5" t="s">
        <v>22</v>
      </c>
      <c r="J675" s="5" t="s">
        <v>156</v>
      </c>
      <c r="K675" s="6">
        <v>0</v>
      </c>
      <c r="L675" s="7">
        <v>120</v>
      </c>
      <c r="M675" s="8">
        <v>118</v>
      </c>
      <c r="N675" s="8">
        <v>84</v>
      </c>
      <c r="O675" s="8">
        <v>74.136284515004917</v>
      </c>
      <c r="P675" s="8">
        <v>0</v>
      </c>
      <c r="Q675" s="8">
        <v>0</v>
      </c>
      <c r="R675" s="8">
        <v>0</v>
      </c>
      <c r="S675" s="8">
        <v>0</v>
      </c>
      <c r="T675" s="5">
        <v>0</v>
      </c>
      <c r="U675" s="5">
        <v>0</v>
      </c>
      <c r="V675" s="5">
        <f>VLOOKUP(A675,Planilha1!B:E,4,0)</f>
        <v>0.37177548115779385</v>
      </c>
    </row>
    <row r="676" spans="1:22" x14ac:dyDescent="0.3">
      <c r="A676" t="str">
        <f t="shared" si="20"/>
        <v>MANTEIGA 5KGLACTALIS</v>
      </c>
      <c r="B676" t="str">
        <f t="shared" si="21"/>
        <v>5349266MANTEIGA 5KGLACTALIS</v>
      </c>
      <c r="C676" s="5" t="s">
        <v>226</v>
      </c>
      <c r="D676" s="5" t="s">
        <v>227</v>
      </c>
      <c r="E676" s="5" t="s">
        <v>1722</v>
      </c>
      <c r="F676" s="5">
        <v>5349266</v>
      </c>
      <c r="G676" s="5" t="s">
        <v>532</v>
      </c>
      <c r="H676" s="5" t="s">
        <v>30</v>
      </c>
      <c r="I676" s="5" t="s">
        <v>22</v>
      </c>
      <c r="J676" s="5" t="s">
        <v>60</v>
      </c>
      <c r="K676" s="6">
        <v>0</v>
      </c>
      <c r="L676" s="7">
        <v>0</v>
      </c>
      <c r="M676" s="8">
        <v>0</v>
      </c>
      <c r="N676" s="8">
        <v>0</v>
      </c>
      <c r="O676" s="8">
        <v>7.002315883491077</v>
      </c>
      <c r="P676" s="8">
        <v>0</v>
      </c>
      <c r="Q676" s="8">
        <v>0</v>
      </c>
      <c r="R676" s="8">
        <v>0</v>
      </c>
      <c r="S676" s="8">
        <v>0</v>
      </c>
      <c r="T676" s="5">
        <v>0</v>
      </c>
      <c r="U676" s="5">
        <v>0</v>
      </c>
      <c r="V676" s="5">
        <f>VLOOKUP(A676,Planilha1!B:E,4,0)</f>
        <v>11.476197020267191</v>
      </c>
    </row>
    <row r="677" spans="1:22" x14ac:dyDescent="0.3">
      <c r="A677" t="str">
        <f t="shared" si="20"/>
        <v>LEITE UHTLACTALIS</v>
      </c>
      <c r="B677" t="str">
        <f t="shared" si="21"/>
        <v>5349266LEITE UHTLACTALIS</v>
      </c>
      <c r="C677" s="5" t="s">
        <v>226</v>
      </c>
      <c r="D677" s="5" t="s">
        <v>227</v>
      </c>
      <c r="E677" s="5" t="s">
        <v>1722</v>
      </c>
      <c r="F677" s="5">
        <v>5349266</v>
      </c>
      <c r="G677" s="5" t="s">
        <v>532</v>
      </c>
      <c r="H677" s="5" t="s">
        <v>30</v>
      </c>
      <c r="I677" s="5" t="s">
        <v>22</v>
      </c>
      <c r="J677" s="5" t="s">
        <v>156</v>
      </c>
      <c r="K677" s="6">
        <v>0</v>
      </c>
      <c r="L677" s="7">
        <v>0</v>
      </c>
      <c r="M677" s="8">
        <v>40</v>
      </c>
      <c r="N677" s="8">
        <v>0</v>
      </c>
      <c r="O677" s="8">
        <v>32.709850481683105</v>
      </c>
      <c r="P677" s="8">
        <v>0</v>
      </c>
      <c r="Q677" s="8">
        <v>0</v>
      </c>
      <c r="R677" s="8">
        <v>0</v>
      </c>
      <c r="S677" s="8">
        <v>0</v>
      </c>
      <c r="T677" s="5">
        <v>0</v>
      </c>
      <c r="U677" s="5">
        <v>0</v>
      </c>
      <c r="V677" s="5">
        <f>VLOOKUP(A677,Planilha1!B:E,4,0)</f>
        <v>0.37177548115779385</v>
      </c>
    </row>
    <row r="678" spans="1:22" x14ac:dyDescent="0.3">
      <c r="A678" t="str">
        <f t="shared" si="20"/>
        <v>LEITE UHTLACTALIS</v>
      </c>
      <c r="B678" t="str">
        <f t="shared" si="21"/>
        <v>5349798LEITE UHTLACTALIS</v>
      </c>
      <c r="C678" s="5" t="s">
        <v>226</v>
      </c>
      <c r="D678" s="5" t="s">
        <v>227</v>
      </c>
      <c r="E678" s="5" t="s">
        <v>1722</v>
      </c>
      <c r="F678" s="5">
        <v>5349798</v>
      </c>
      <c r="G678" s="5" t="s">
        <v>533</v>
      </c>
      <c r="H678" s="5" t="s">
        <v>30</v>
      </c>
      <c r="I678" s="5" t="s">
        <v>22</v>
      </c>
      <c r="J678" s="5" t="s">
        <v>156</v>
      </c>
      <c r="K678" s="6">
        <v>0</v>
      </c>
      <c r="L678" s="7">
        <v>0</v>
      </c>
      <c r="M678" s="8">
        <v>32</v>
      </c>
      <c r="N678" s="8">
        <v>24</v>
      </c>
      <c r="O678" s="8">
        <v>4.360677266665455</v>
      </c>
      <c r="P678" s="8">
        <v>0</v>
      </c>
      <c r="Q678" s="8">
        <v>0</v>
      </c>
      <c r="R678" s="8">
        <v>0</v>
      </c>
      <c r="S678" s="8">
        <v>0</v>
      </c>
      <c r="T678" s="5">
        <v>0</v>
      </c>
      <c r="U678" s="5">
        <v>0</v>
      </c>
      <c r="V678" s="5">
        <f>VLOOKUP(A678,Planilha1!B:E,4,0)</f>
        <v>0.37177548115779385</v>
      </c>
    </row>
    <row r="679" spans="1:22" x14ac:dyDescent="0.3">
      <c r="A679" t="str">
        <f t="shared" si="20"/>
        <v>LEITE UHTLACTALIS</v>
      </c>
      <c r="B679" t="str">
        <f t="shared" si="21"/>
        <v>5349879LEITE UHTLACTALIS</v>
      </c>
      <c r="C679" s="5" t="s">
        <v>226</v>
      </c>
      <c r="D679" s="5" t="s">
        <v>227</v>
      </c>
      <c r="E679" s="5" t="s">
        <v>1722</v>
      </c>
      <c r="F679" s="5">
        <v>5349879</v>
      </c>
      <c r="G679" s="5" t="s">
        <v>534</v>
      </c>
      <c r="H679" s="5" t="s">
        <v>30</v>
      </c>
      <c r="I679" s="5" t="s">
        <v>22</v>
      </c>
      <c r="J679" s="5" t="s">
        <v>156</v>
      </c>
      <c r="K679" s="6">
        <v>0</v>
      </c>
      <c r="L679" s="7">
        <v>0</v>
      </c>
      <c r="M679" s="8">
        <v>28</v>
      </c>
      <c r="N679" s="8">
        <v>12</v>
      </c>
      <c r="O679" s="8">
        <v>21.803386333327275</v>
      </c>
      <c r="P679" s="8">
        <v>0</v>
      </c>
      <c r="Q679" s="8">
        <v>0</v>
      </c>
      <c r="R679" s="8">
        <v>0</v>
      </c>
      <c r="S679" s="8">
        <v>0</v>
      </c>
      <c r="T679" s="5">
        <v>0</v>
      </c>
      <c r="U679" s="5">
        <v>0</v>
      </c>
      <c r="V679" s="5">
        <f>VLOOKUP(A679,Planilha1!B:E,4,0)</f>
        <v>0.37177548115779385</v>
      </c>
    </row>
    <row r="680" spans="1:22" x14ac:dyDescent="0.3">
      <c r="A680" t="str">
        <f t="shared" si="20"/>
        <v>BLISTERLACTALIS</v>
      </c>
      <c r="B680" t="str">
        <f t="shared" si="21"/>
        <v>5350225BLISTERLACTALIS</v>
      </c>
      <c r="C680" s="5" t="s">
        <v>226</v>
      </c>
      <c r="D680" s="5" t="s">
        <v>227</v>
      </c>
      <c r="E680" s="5" t="s">
        <v>1722</v>
      </c>
      <c r="F680" s="5">
        <v>5350225</v>
      </c>
      <c r="G680" s="5" t="s">
        <v>535</v>
      </c>
      <c r="H680" s="5" t="s">
        <v>30</v>
      </c>
      <c r="I680" s="5" t="s">
        <v>22</v>
      </c>
      <c r="J680" s="5" t="s">
        <v>199</v>
      </c>
      <c r="K680" s="6">
        <v>0</v>
      </c>
      <c r="L680" s="7">
        <v>0</v>
      </c>
      <c r="M680" s="8">
        <v>1</v>
      </c>
      <c r="N680" s="8">
        <v>0</v>
      </c>
      <c r="O680" s="8">
        <v>0.84075281035312854</v>
      </c>
      <c r="P680" s="8">
        <v>0</v>
      </c>
      <c r="Q680" s="8">
        <v>0</v>
      </c>
      <c r="R680" s="8">
        <v>0</v>
      </c>
      <c r="S680" s="8">
        <v>0</v>
      </c>
      <c r="T680" s="5">
        <v>0</v>
      </c>
      <c r="U680" s="5">
        <v>0</v>
      </c>
      <c r="V680" s="5">
        <f>VLOOKUP(A680,Planilha1!B:E,4,0)</f>
        <v>13.783871706210666</v>
      </c>
    </row>
    <row r="681" spans="1:22" x14ac:dyDescent="0.3">
      <c r="A681" t="str">
        <f t="shared" si="20"/>
        <v>MANTEIGA 5KGLACTALIS</v>
      </c>
      <c r="B681" t="str">
        <f t="shared" si="21"/>
        <v>5350225MANTEIGA 5KGLACTALIS</v>
      </c>
      <c r="C681" s="5" t="s">
        <v>226</v>
      </c>
      <c r="D681" s="5" t="s">
        <v>227</v>
      </c>
      <c r="E681" s="5" t="s">
        <v>1722</v>
      </c>
      <c r="F681" s="5">
        <v>5350225</v>
      </c>
      <c r="G681" s="5" t="s">
        <v>535</v>
      </c>
      <c r="H681" s="5" t="s">
        <v>30</v>
      </c>
      <c r="I681" s="5" t="s">
        <v>22</v>
      </c>
      <c r="J681" s="5" t="s">
        <v>60</v>
      </c>
      <c r="K681" s="6">
        <v>0</v>
      </c>
      <c r="L681" s="7">
        <v>0</v>
      </c>
      <c r="M681" s="8">
        <v>0</v>
      </c>
      <c r="N681" s="8">
        <v>0</v>
      </c>
      <c r="O681" s="8">
        <v>1.7488017333388881</v>
      </c>
      <c r="P681" s="8">
        <v>0</v>
      </c>
      <c r="Q681" s="8">
        <v>0</v>
      </c>
      <c r="R681" s="8">
        <v>0</v>
      </c>
      <c r="S681" s="8">
        <v>0</v>
      </c>
      <c r="T681" s="5">
        <v>0</v>
      </c>
      <c r="U681" s="5">
        <v>0</v>
      </c>
      <c r="V681" s="5">
        <f>VLOOKUP(A681,Planilha1!B:E,4,0)</f>
        <v>11.476197020267191</v>
      </c>
    </row>
    <row r="682" spans="1:22" x14ac:dyDescent="0.3">
      <c r="A682" t="str">
        <f t="shared" si="20"/>
        <v>BLISTERLACTALIS</v>
      </c>
      <c r="B682" t="str">
        <f t="shared" si="21"/>
        <v>5350290BLISTERLACTALIS</v>
      </c>
      <c r="C682" s="5" t="s">
        <v>226</v>
      </c>
      <c r="D682" s="5" t="s">
        <v>227</v>
      </c>
      <c r="E682" s="5" t="s">
        <v>1722</v>
      </c>
      <c r="F682" s="5">
        <v>5350290</v>
      </c>
      <c r="G682" s="5" t="s">
        <v>536</v>
      </c>
      <c r="H682" s="5" t="s">
        <v>30</v>
      </c>
      <c r="I682" s="5" t="s">
        <v>22</v>
      </c>
      <c r="J682" s="5" t="s">
        <v>199</v>
      </c>
      <c r="K682" s="6">
        <v>0</v>
      </c>
      <c r="L682" s="7">
        <v>0</v>
      </c>
      <c r="M682" s="8">
        <v>3.1600000000000006</v>
      </c>
      <c r="N682" s="8">
        <v>1.4400000000000002</v>
      </c>
      <c r="O682" s="8">
        <v>2.8245515763548923</v>
      </c>
      <c r="P682" s="8">
        <v>0</v>
      </c>
      <c r="Q682" s="8">
        <v>0</v>
      </c>
      <c r="R682" s="8">
        <v>0</v>
      </c>
      <c r="S682" s="8">
        <v>0</v>
      </c>
      <c r="T682" s="5">
        <v>0</v>
      </c>
      <c r="U682" s="5">
        <v>0</v>
      </c>
      <c r="V682" s="5">
        <f>VLOOKUP(A682,Planilha1!B:E,4,0)</f>
        <v>13.783871706210666</v>
      </c>
    </row>
    <row r="683" spans="1:22" x14ac:dyDescent="0.3">
      <c r="A683" t="str">
        <f t="shared" si="20"/>
        <v>BLISTERLACTALIS</v>
      </c>
      <c r="B683" t="str">
        <f t="shared" si="21"/>
        <v>5350395BLISTERLACTALIS</v>
      </c>
      <c r="C683" s="5" t="s">
        <v>226</v>
      </c>
      <c r="D683" s="5" t="s">
        <v>227</v>
      </c>
      <c r="E683" s="5" t="s">
        <v>1722</v>
      </c>
      <c r="F683" s="5">
        <v>5350395</v>
      </c>
      <c r="G683" s="5" t="s">
        <v>537</v>
      </c>
      <c r="H683" s="5" t="s">
        <v>30</v>
      </c>
      <c r="I683" s="5" t="s">
        <v>22</v>
      </c>
      <c r="J683" s="5" t="s">
        <v>199</v>
      </c>
      <c r="K683" s="6">
        <v>0</v>
      </c>
      <c r="L683" s="7">
        <v>0</v>
      </c>
      <c r="M683" s="8">
        <v>0</v>
      </c>
      <c r="N683" s="8">
        <v>0</v>
      </c>
      <c r="O683" s="8">
        <v>2.219965285763879</v>
      </c>
      <c r="P683" s="8">
        <v>0</v>
      </c>
      <c r="Q683" s="8">
        <v>0</v>
      </c>
      <c r="R683" s="8">
        <v>0</v>
      </c>
      <c r="S683" s="8">
        <v>0</v>
      </c>
      <c r="T683" s="5">
        <v>0</v>
      </c>
      <c r="U683" s="5">
        <v>0</v>
      </c>
      <c r="V683" s="5">
        <f>VLOOKUP(A683,Planilha1!B:E,4,0)</f>
        <v>13.783871706210666</v>
      </c>
    </row>
    <row r="684" spans="1:22" x14ac:dyDescent="0.3">
      <c r="A684" t="str">
        <f t="shared" si="20"/>
        <v>BLISTERLACTALIS</v>
      </c>
      <c r="B684" t="str">
        <f t="shared" si="21"/>
        <v>5350396BLISTERLACTALIS</v>
      </c>
      <c r="C684" s="5" t="s">
        <v>226</v>
      </c>
      <c r="D684" s="5" t="s">
        <v>227</v>
      </c>
      <c r="E684" s="5" t="s">
        <v>1722</v>
      </c>
      <c r="F684" s="5">
        <v>5350396</v>
      </c>
      <c r="G684" s="5" t="s">
        <v>538</v>
      </c>
      <c r="H684" s="5" t="s">
        <v>30</v>
      </c>
      <c r="I684" s="5" t="s">
        <v>22</v>
      </c>
      <c r="J684" s="5" t="s">
        <v>199</v>
      </c>
      <c r="K684" s="6">
        <v>0</v>
      </c>
      <c r="L684" s="7">
        <v>0</v>
      </c>
      <c r="M684" s="8">
        <v>13.48</v>
      </c>
      <c r="N684" s="8">
        <v>6.8</v>
      </c>
      <c r="O684" s="8">
        <v>9.966227133961242</v>
      </c>
      <c r="P684" s="8">
        <v>0</v>
      </c>
      <c r="Q684" s="8">
        <v>0</v>
      </c>
      <c r="R684" s="8">
        <v>0</v>
      </c>
      <c r="S684" s="8">
        <v>4</v>
      </c>
      <c r="T684" s="5">
        <v>10</v>
      </c>
      <c r="U684" s="5">
        <v>4</v>
      </c>
      <c r="V684" s="5">
        <f>VLOOKUP(A684,Planilha1!B:E,4,0)</f>
        <v>13.783871706210666</v>
      </c>
    </row>
    <row r="685" spans="1:22" x14ac:dyDescent="0.3">
      <c r="A685" t="str">
        <f t="shared" si="20"/>
        <v>BLISTERLACTALIS</v>
      </c>
      <c r="B685" t="str">
        <f t="shared" si="21"/>
        <v>5350398BLISTERLACTALIS</v>
      </c>
      <c r="C685" s="5" t="s">
        <v>226</v>
      </c>
      <c r="D685" s="5" t="s">
        <v>227</v>
      </c>
      <c r="E685" s="5" t="s">
        <v>1722</v>
      </c>
      <c r="F685" s="5">
        <v>5350398</v>
      </c>
      <c r="G685" s="5" t="s">
        <v>539</v>
      </c>
      <c r="H685" s="5" t="s">
        <v>30</v>
      </c>
      <c r="I685" s="5" t="s">
        <v>22</v>
      </c>
      <c r="J685" s="5" t="s">
        <v>199</v>
      </c>
      <c r="K685" s="6">
        <v>0</v>
      </c>
      <c r="L685" s="7">
        <v>0</v>
      </c>
      <c r="M685" s="8">
        <v>1.9600000000000002</v>
      </c>
      <c r="N685" s="8">
        <v>0</v>
      </c>
      <c r="O685" s="8">
        <v>1.8515455149349798</v>
      </c>
      <c r="P685" s="8">
        <v>0</v>
      </c>
      <c r="Q685" s="8">
        <v>0</v>
      </c>
      <c r="R685" s="8">
        <v>0</v>
      </c>
      <c r="S685" s="8">
        <v>0</v>
      </c>
      <c r="T685" s="5">
        <v>0</v>
      </c>
      <c r="U685" s="5">
        <v>0</v>
      </c>
      <c r="V685" s="5">
        <f>VLOOKUP(A685,Planilha1!B:E,4,0)</f>
        <v>13.783871706210666</v>
      </c>
    </row>
    <row r="686" spans="1:22" x14ac:dyDescent="0.3">
      <c r="A686" t="str">
        <f t="shared" si="20"/>
        <v>LEITE UHTLACTALIS</v>
      </c>
      <c r="B686" t="str">
        <f t="shared" si="21"/>
        <v>5350398LEITE UHTLACTALIS</v>
      </c>
      <c r="C686" s="5" t="s">
        <v>226</v>
      </c>
      <c r="D686" s="5" t="s">
        <v>227</v>
      </c>
      <c r="E686" s="5" t="s">
        <v>1722</v>
      </c>
      <c r="F686" s="5">
        <v>5350398</v>
      </c>
      <c r="G686" s="5" t="s">
        <v>539</v>
      </c>
      <c r="H686" s="5" t="s">
        <v>30</v>
      </c>
      <c r="I686" s="5" t="s">
        <v>22</v>
      </c>
      <c r="J686" s="5" t="s">
        <v>156</v>
      </c>
      <c r="K686" s="6">
        <v>0</v>
      </c>
      <c r="L686" s="7">
        <v>0</v>
      </c>
      <c r="M686" s="8">
        <v>0</v>
      </c>
      <c r="N686" s="8">
        <v>0</v>
      </c>
      <c r="O686" s="8">
        <v>10.90646414835583</v>
      </c>
      <c r="P686" s="8">
        <v>0</v>
      </c>
      <c r="Q686" s="8">
        <v>0</v>
      </c>
      <c r="R686" s="8">
        <v>0</v>
      </c>
      <c r="S686" s="8">
        <v>0</v>
      </c>
      <c r="T686" s="5">
        <v>0</v>
      </c>
      <c r="U686" s="5">
        <v>0</v>
      </c>
      <c r="V686" s="5">
        <f>VLOOKUP(A686,Planilha1!B:E,4,0)</f>
        <v>0.37177548115779385</v>
      </c>
    </row>
    <row r="687" spans="1:22" x14ac:dyDescent="0.3">
      <c r="A687" t="str">
        <f t="shared" si="20"/>
        <v>MANTEIGA 5KGLACTALIS</v>
      </c>
      <c r="B687" t="str">
        <f t="shared" si="21"/>
        <v>5351048MANTEIGA 5KGLACTALIS</v>
      </c>
      <c r="C687" s="5" t="s">
        <v>226</v>
      </c>
      <c r="D687" s="5" t="s">
        <v>227</v>
      </c>
      <c r="E687" s="5" t="s">
        <v>1722</v>
      </c>
      <c r="F687" s="5">
        <v>5351048</v>
      </c>
      <c r="G687" s="5" t="s">
        <v>540</v>
      </c>
      <c r="H687" s="5" t="s">
        <v>30</v>
      </c>
      <c r="I687" s="5" t="s">
        <v>22</v>
      </c>
      <c r="J687" s="5" t="s">
        <v>60</v>
      </c>
      <c r="K687" s="6">
        <v>0</v>
      </c>
      <c r="L687" s="7">
        <v>0</v>
      </c>
      <c r="M687" s="8">
        <v>2.5</v>
      </c>
      <c r="N687" s="8">
        <v>1.6666666666666667</v>
      </c>
      <c r="O687" s="8">
        <v>1.7488017333388881</v>
      </c>
      <c r="P687" s="8">
        <v>0</v>
      </c>
      <c r="Q687" s="8">
        <v>0</v>
      </c>
      <c r="R687" s="8">
        <v>0</v>
      </c>
      <c r="S687" s="8">
        <v>0</v>
      </c>
      <c r="T687" s="5">
        <v>0</v>
      </c>
      <c r="U687" s="5">
        <v>0</v>
      </c>
      <c r="V687" s="5">
        <f>VLOOKUP(A687,Planilha1!B:E,4,0)</f>
        <v>11.476197020267191</v>
      </c>
    </row>
    <row r="688" spans="1:22" x14ac:dyDescent="0.3">
      <c r="A688" t="str">
        <f t="shared" si="20"/>
        <v>MANTEIGA 5KGLACTALIS</v>
      </c>
      <c r="B688" t="str">
        <f t="shared" si="21"/>
        <v>5351439MANTEIGA 5KGLACTALIS</v>
      </c>
      <c r="C688" s="5" t="s">
        <v>226</v>
      </c>
      <c r="D688" s="5" t="s">
        <v>227</v>
      </c>
      <c r="E688" s="5" t="s">
        <v>1722</v>
      </c>
      <c r="F688" s="5">
        <v>5351439</v>
      </c>
      <c r="G688" s="5" t="s">
        <v>541</v>
      </c>
      <c r="H688" s="5" t="s">
        <v>30</v>
      </c>
      <c r="I688" s="5" t="s">
        <v>22</v>
      </c>
      <c r="J688" s="5" t="s">
        <v>60</v>
      </c>
      <c r="K688" s="6">
        <v>0</v>
      </c>
      <c r="L688" s="7">
        <v>0</v>
      </c>
      <c r="M688" s="8">
        <v>13.333333333333334</v>
      </c>
      <c r="N688" s="8">
        <v>13.333333333333334</v>
      </c>
      <c r="O688" s="8">
        <v>14.025958617388726</v>
      </c>
      <c r="P688" s="8">
        <v>0</v>
      </c>
      <c r="Q688" s="8">
        <v>10</v>
      </c>
      <c r="R688" s="8">
        <v>0</v>
      </c>
      <c r="S688" s="8">
        <v>0</v>
      </c>
      <c r="T688" s="5">
        <v>10</v>
      </c>
      <c r="U688" s="5">
        <v>0</v>
      </c>
      <c r="V688" s="5">
        <f>VLOOKUP(A688,Planilha1!B:E,4,0)</f>
        <v>11.476197020267191</v>
      </c>
    </row>
    <row r="689" spans="1:22" x14ac:dyDescent="0.3">
      <c r="A689" t="str">
        <f t="shared" si="20"/>
        <v>LEITE UHTLACTALIS</v>
      </c>
      <c r="B689" t="str">
        <f t="shared" si="21"/>
        <v>5352021LEITE UHTLACTALIS</v>
      </c>
      <c r="C689" s="5" t="s">
        <v>226</v>
      </c>
      <c r="D689" s="5" t="s">
        <v>227</v>
      </c>
      <c r="E689" s="5" t="s">
        <v>1722</v>
      </c>
      <c r="F689" s="5">
        <v>5352021</v>
      </c>
      <c r="G689" s="5" t="s">
        <v>542</v>
      </c>
      <c r="H689" s="5" t="s">
        <v>30</v>
      </c>
      <c r="I689" s="5" t="s">
        <v>22</v>
      </c>
      <c r="J689" s="5" t="s">
        <v>156</v>
      </c>
      <c r="K689" s="6">
        <v>0</v>
      </c>
      <c r="L689" s="7">
        <v>0</v>
      </c>
      <c r="M689" s="8">
        <v>16</v>
      </c>
      <c r="N689" s="8">
        <v>0</v>
      </c>
      <c r="O689" s="8">
        <v>21.808157315019468</v>
      </c>
      <c r="P689" s="8">
        <v>0</v>
      </c>
      <c r="Q689" s="8">
        <v>0</v>
      </c>
      <c r="R689" s="8">
        <v>0</v>
      </c>
      <c r="S689" s="8">
        <v>0</v>
      </c>
      <c r="T689" s="5">
        <v>0</v>
      </c>
      <c r="U689" s="5">
        <v>0</v>
      </c>
      <c r="V689" s="5">
        <f>VLOOKUP(A689,Planilha1!B:E,4,0)</f>
        <v>0.37177548115779385</v>
      </c>
    </row>
    <row r="690" spans="1:22" x14ac:dyDescent="0.3">
      <c r="A690" t="str">
        <f t="shared" si="20"/>
        <v>LEITE UHTLACTALIS</v>
      </c>
      <c r="B690" t="str">
        <f t="shared" si="21"/>
        <v>5352114LEITE UHTLACTALIS</v>
      </c>
      <c r="C690" s="5" t="s">
        <v>226</v>
      </c>
      <c r="D690" s="5" t="s">
        <v>227</v>
      </c>
      <c r="E690" s="5" t="s">
        <v>1722</v>
      </c>
      <c r="F690" s="5">
        <v>5352114</v>
      </c>
      <c r="G690" s="5" t="s">
        <v>543</v>
      </c>
      <c r="H690" s="5" t="s">
        <v>30</v>
      </c>
      <c r="I690" s="5" t="s">
        <v>22</v>
      </c>
      <c r="J690" s="5" t="s">
        <v>156</v>
      </c>
      <c r="K690" s="6">
        <v>0</v>
      </c>
      <c r="L690" s="7">
        <v>0</v>
      </c>
      <c r="M690" s="8">
        <v>168</v>
      </c>
      <c r="N690" s="8">
        <v>136</v>
      </c>
      <c r="O690" s="8">
        <v>43.611543648346739</v>
      </c>
      <c r="P690" s="8">
        <v>0</v>
      </c>
      <c r="Q690" s="8">
        <v>0</v>
      </c>
      <c r="R690" s="8">
        <v>0</v>
      </c>
      <c r="S690" s="8">
        <v>0</v>
      </c>
      <c r="T690" s="5">
        <v>0</v>
      </c>
      <c r="U690" s="5">
        <v>0</v>
      </c>
      <c r="V690" s="5">
        <f>VLOOKUP(A690,Planilha1!B:E,4,0)</f>
        <v>0.37177548115779385</v>
      </c>
    </row>
    <row r="691" spans="1:22" x14ac:dyDescent="0.3">
      <c r="A691" t="str">
        <f t="shared" si="20"/>
        <v>MANTEIGA 5KGLACTALIS</v>
      </c>
      <c r="B691" t="str">
        <f t="shared" si="21"/>
        <v>5352282MANTEIGA 5KGLACTALIS</v>
      </c>
      <c r="C691" s="5" t="s">
        <v>226</v>
      </c>
      <c r="D691" s="5" t="s">
        <v>227</v>
      </c>
      <c r="E691" s="5" t="s">
        <v>1722</v>
      </c>
      <c r="F691" s="5">
        <v>5352282</v>
      </c>
      <c r="G691" s="5" t="s">
        <v>544</v>
      </c>
      <c r="H691" s="5" t="s">
        <v>30</v>
      </c>
      <c r="I691" s="5" t="s">
        <v>22</v>
      </c>
      <c r="J691" s="5" t="s">
        <v>60</v>
      </c>
      <c r="K691" s="6">
        <v>0</v>
      </c>
      <c r="L691" s="7">
        <v>0</v>
      </c>
      <c r="M691" s="8">
        <v>0</v>
      </c>
      <c r="N691" s="8">
        <v>0</v>
      </c>
      <c r="O691" s="8">
        <v>1.7488017333388881</v>
      </c>
      <c r="P691" s="8">
        <v>0</v>
      </c>
      <c r="Q691" s="8">
        <v>0</v>
      </c>
      <c r="R691" s="8">
        <v>0</v>
      </c>
      <c r="S691" s="8">
        <v>0</v>
      </c>
      <c r="T691" s="5">
        <v>0</v>
      </c>
      <c r="U691" s="5">
        <v>0</v>
      </c>
      <c r="V691" s="5">
        <f>VLOOKUP(A691,Planilha1!B:E,4,0)</f>
        <v>11.476197020267191</v>
      </c>
    </row>
    <row r="692" spans="1:22" x14ac:dyDescent="0.3">
      <c r="A692" t="str">
        <f t="shared" si="20"/>
        <v>LEITE UHTLACTALIS</v>
      </c>
      <c r="B692" t="str">
        <f t="shared" si="21"/>
        <v>5352282LEITE UHTLACTALIS</v>
      </c>
      <c r="C692" s="5" t="s">
        <v>226</v>
      </c>
      <c r="D692" s="5" t="s">
        <v>227</v>
      </c>
      <c r="E692" s="5" t="s">
        <v>1722</v>
      </c>
      <c r="F692" s="5">
        <v>5352282</v>
      </c>
      <c r="G692" s="5" t="s">
        <v>544</v>
      </c>
      <c r="H692" s="5" t="s">
        <v>30</v>
      </c>
      <c r="I692" s="5" t="s">
        <v>22</v>
      </c>
      <c r="J692" s="5" t="s">
        <v>156</v>
      </c>
      <c r="K692" s="6">
        <v>0</v>
      </c>
      <c r="L692" s="7">
        <v>0</v>
      </c>
      <c r="M692" s="8">
        <v>16</v>
      </c>
      <c r="N692" s="8">
        <v>8</v>
      </c>
      <c r="O692" s="8">
        <v>19.63736064507113</v>
      </c>
      <c r="P692" s="8">
        <v>0</v>
      </c>
      <c r="Q692" s="8">
        <v>0</v>
      </c>
      <c r="R692" s="8">
        <v>0</v>
      </c>
      <c r="S692" s="8">
        <v>0</v>
      </c>
      <c r="T692" s="5">
        <v>0</v>
      </c>
      <c r="U692" s="5">
        <v>0</v>
      </c>
      <c r="V692" s="5">
        <f>VLOOKUP(A692,Planilha1!B:E,4,0)</f>
        <v>0.37177548115779385</v>
      </c>
    </row>
    <row r="693" spans="1:22" x14ac:dyDescent="0.3">
      <c r="A693" t="str">
        <f t="shared" si="20"/>
        <v>LEITE UHTLACTALIS</v>
      </c>
      <c r="B693" t="str">
        <f t="shared" si="21"/>
        <v>5352384LEITE UHTLACTALIS</v>
      </c>
      <c r="C693" s="5" t="s">
        <v>226</v>
      </c>
      <c r="D693" s="5" t="s">
        <v>227</v>
      </c>
      <c r="E693" s="5" t="s">
        <v>1722</v>
      </c>
      <c r="F693" s="5">
        <v>5352384</v>
      </c>
      <c r="G693" s="5" t="s">
        <v>545</v>
      </c>
      <c r="H693" s="5" t="s">
        <v>30</v>
      </c>
      <c r="I693" s="5" t="s">
        <v>22</v>
      </c>
      <c r="J693" s="5" t="s">
        <v>156</v>
      </c>
      <c r="K693" s="6">
        <v>0</v>
      </c>
      <c r="L693" s="7">
        <v>0</v>
      </c>
      <c r="M693" s="8">
        <v>112</v>
      </c>
      <c r="N693" s="8">
        <v>92</v>
      </c>
      <c r="O693" s="8">
        <v>106.8556769600724</v>
      </c>
      <c r="P693" s="8">
        <v>0</v>
      </c>
      <c r="Q693" s="8">
        <v>84</v>
      </c>
      <c r="R693" s="8">
        <v>0</v>
      </c>
      <c r="S693" s="8">
        <v>0</v>
      </c>
      <c r="T693" s="5">
        <v>0</v>
      </c>
      <c r="U693" s="5">
        <v>0</v>
      </c>
      <c r="V693" s="5">
        <f>VLOOKUP(A693,Planilha1!B:E,4,0)</f>
        <v>0.37177548115779385</v>
      </c>
    </row>
    <row r="694" spans="1:22" x14ac:dyDescent="0.3">
      <c r="A694" t="str">
        <f t="shared" si="20"/>
        <v>LEITE UHTLACTALIS</v>
      </c>
      <c r="B694" t="str">
        <f t="shared" si="21"/>
        <v>5352580LEITE UHTLACTALIS</v>
      </c>
      <c r="C694" s="5" t="s">
        <v>226</v>
      </c>
      <c r="D694" s="5" t="s">
        <v>227</v>
      </c>
      <c r="E694" s="5" t="s">
        <v>1722</v>
      </c>
      <c r="F694" s="5">
        <v>5352580</v>
      </c>
      <c r="G694" s="5" t="s">
        <v>546</v>
      </c>
      <c r="H694" s="5" t="s">
        <v>30</v>
      </c>
      <c r="I694" s="5" t="s">
        <v>22</v>
      </c>
      <c r="J694" s="5" t="s">
        <v>156</v>
      </c>
      <c r="K694" s="6">
        <v>0</v>
      </c>
      <c r="L694" s="7">
        <v>0</v>
      </c>
      <c r="M694" s="8">
        <v>0</v>
      </c>
      <c r="N694" s="8">
        <v>0</v>
      </c>
      <c r="O694" s="8">
        <v>27.25661840750519</v>
      </c>
      <c r="P694" s="8">
        <v>0</v>
      </c>
      <c r="Q694" s="8">
        <v>0</v>
      </c>
      <c r="R694" s="8">
        <v>0</v>
      </c>
      <c r="S694" s="8">
        <v>0</v>
      </c>
      <c r="T694" s="5">
        <v>0</v>
      </c>
      <c r="U694" s="5">
        <v>0</v>
      </c>
      <c r="V694" s="5">
        <f>VLOOKUP(A694,Planilha1!B:E,4,0)</f>
        <v>0.37177548115779385</v>
      </c>
    </row>
    <row r="695" spans="1:22" x14ac:dyDescent="0.3">
      <c r="A695" t="str">
        <f t="shared" si="20"/>
        <v>LEITE UHTLACTALIS</v>
      </c>
      <c r="B695" t="str">
        <f t="shared" si="21"/>
        <v>5352584LEITE UHTLACTALIS</v>
      </c>
      <c r="C695" s="5" t="s">
        <v>226</v>
      </c>
      <c r="D695" s="5" t="s">
        <v>227</v>
      </c>
      <c r="E695" s="5" t="s">
        <v>1722</v>
      </c>
      <c r="F695" s="5">
        <v>5352584</v>
      </c>
      <c r="G695" s="5" t="s">
        <v>547</v>
      </c>
      <c r="H695" s="5" t="s">
        <v>30</v>
      </c>
      <c r="I695" s="5" t="s">
        <v>22</v>
      </c>
      <c r="J695" s="5" t="s">
        <v>156</v>
      </c>
      <c r="K695" s="6">
        <v>0</v>
      </c>
      <c r="L695" s="7">
        <v>0</v>
      </c>
      <c r="M695" s="8">
        <v>68</v>
      </c>
      <c r="N695" s="8">
        <v>116</v>
      </c>
      <c r="O695" s="8">
        <v>17.447480048354013</v>
      </c>
      <c r="P695" s="8">
        <v>0</v>
      </c>
      <c r="Q695" s="8">
        <v>0</v>
      </c>
      <c r="R695" s="8">
        <v>0</v>
      </c>
      <c r="S695" s="8">
        <v>0</v>
      </c>
      <c r="T695" s="5">
        <v>0</v>
      </c>
      <c r="U695" s="5">
        <v>0</v>
      </c>
      <c r="V695" s="5">
        <f>VLOOKUP(A695,Planilha1!B:E,4,0)</f>
        <v>0.37177548115779385</v>
      </c>
    </row>
    <row r="696" spans="1:22" x14ac:dyDescent="0.3">
      <c r="A696" t="str">
        <f t="shared" si="20"/>
        <v>LEITE UHTLACTALIS</v>
      </c>
      <c r="B696" t="str">
        <f t="shared" si="21"/>
        <v>5352912LEITE UHTLACTALIS</v>
      </c>
      <c r="C696" s="5" t="s">
        <v>226</v>
      </c>
      <c r="D696" s="5" t="s">
        <v>227</v>
      </c>
      <c r="E696" s="5" t="s">
        <v>1722</v>
      </c>
      <c r="F696" s="5">
        <v>5352912</v>
      </c>
      <c r="G696" s="5" t="s">
        <v>548</v>
      </c>
      <c r="H696" s="5" t="s">
        <v>30</v>
      </c>
      <c r="I696" s="5" t="s">
        <v>22</v>
      </c>
      <c r="J696" s="5" t="s">
        <v>156</v>
      </c>
      <c r="K696" s="6">
        <v>0</v>
      </c>
      <c r="L696" s="7">
        <v>0</v>
      </c>
      <c r="M696" s="8">
        <v>22</v>
      </c>
      <c r="N696" s="8">
        <v>0</v>
      </c>
      <c r="O696" s="8">
        <v>26.16406359999273</v>
      </c>
      <c r="P696" s="8">
        <v>0</v>
      </c>
      <c r="Q696" s="8">
        <v>0</v>
      </c>
      <c r="R696" s="8">
        <v>0</v>
      </c>
      <c r="S696" s="8">
        <v>0</v>
      </c>
      <c r="T696" s="5">
        <v>0</v>
      </c>
      <c r="U696" s="5">
        <v>0</v>
      </c>
      <c r="V696" s="5">
        <f>VLOOKUP(A696,Planilha1!B:E,4,0)</f>
        <v>0.37177548115779385</v>
      </c>
    </row>
    <row r="697" spans="1:22" x14ac:dyDescent="0.3">
      <c r="A697" t="str">
        <f t="shared" si="20"/>
        <v>LEITE UHTLACTALIS</v>
      </c>
      <c r="B697" t="str">
        <f t="shared" si="21"/>
        <v>5353188LEITE UHTLACTALIS</v>
      </c>
      <c r="C697" s="5" t="s">
        <v>226</v>
      </c>
      <c r="D697" s="5" t="s">
        <v>227</v>
      </c>
      <c r="E697" s="5" t="s">
        <v>1722</v>
      </c>
      <c r="F697" s="5">
        <v>5353188</v>
      </c>
      <c r="G697" s="5" t="s">
        <v>517</v>
      </c>
      <c r="H697" s="5" t="s">
        <v>30</v>
      </c>
      <c r="I697" s="5" t="s">
        <v>22</v>
      </c>
      <c r="J697" s="5" t="s">
        <v>156</v>
      </c>
      <c r="K697" s="6">
        <v>0</v>
      </c>
      <c r="L697" s="7">
        <v>0</v>
      </c>
      <c r="M697" s="8">
        <v>18</v>
      </c>
      <c r="N697" s="8">
        <v>12</v>
      </c>
      <c r="O697" s="8">
        <v>23.983724966659999</v>
      </c>
      <c r="P697" s="8">
        <v>0</v>
      </c>
      <c r="Q697" s="8">
        <v>0</v>
      </c>
      <c r="R697" s="8">
        <v>0</v>
      </c>
      <c r="S697" s="8">
        <v>0</v>
      </c>
      <c r="T697" s="5">
        <v>0</v>
      </c>
      <c r="U697" s="5">
        <v>0</v>
      </c>
      <c r="V697" s="5">
        <f>VLOOKUP(A697,Planilha1!B:E,4,0)</f>
        <v>0.37177548115779385</v>
      </c>
    </row>
    <row r="698" spans="1:22" x14ac:dyDescent="0.3">
      <c r="A698" t="str">
        <f t="shared" si="20"/>
        <v>LEITE UHTLACTALIS</v>
      </c>
      <c r="B698" t="str">
        <f t="shared" si="21"/>
        <v>5353431LEITE UHTLACTALIS</v>
      </c>
      <c r="C698" s="5" t="s">
        <v>226</v>
      </c>
      <c r="D698" s="5" t="s">
        <v>227</v>
      </c>
      <c r="E698" s="5" t="s">
        <v>1722</v>
      </c>
      <c r="F698" s="5">
        <v>5353431</v>
      </c>
      <c r="G698" s="5" t="s">
        <v>549</v>
      </c>
      <c r="H698" s="5" t="s">
        <v>30</v>
      </c>
      <c r="I698" s="5" t="s">
        <v>22</v>
      </c>
      <c r="J698" s="5" t="s">
        <v>156</v>
      </c>
      <c r="K698" s="6">
        <v>0</v>
      </c>
      <c r="L698" s="7">
        <v>0</v>
      </c>
      <c r="M698" s="8">
        <v>0</v>
      </c>
      <c r="N698" s="8">
        <v>0</v>
      </c>
      <c r="O698" s="8">
        <v>21.803386333327275</v>
      </c>
      <c r="P698" s="8">
        <v>0</v>
      </c>
      <c r="Q698" s="8">
        <v>0</v>
      </c>
      <c r="R698" s="8">
        <v>0</v>
      </c>
      <c r="S698" s="8">
        <v>0</v>
      </c>
      <c r="T698" s="5">
        <v>0</v>
      </c>
      <c r="U698" s="5">
        <v>0</v>
      </c>
      <c r="V698" s="5">
        <f>VLOOKUP(A698,Planilha1!B:E,4,0)</f>
        <v>0.37177548115779385</v>
      </c>
    </row>
    <row r="699" spans="1:22" x14ac:dyDescent="0.3">
      <c r="A699" t="str">
        <f t="shared" si="20"/>
        <v>MANTEIGA 5KGLACTALIS</v>
      </c>
      <c r="B699" t="str">
        <f t="shared" si="21"/>
        <v>5353593MANTEIGA 5KGLACTALIS</v>
      </c>
      <c r="C699" s="5" t="s">
        <v>226</v>
      </c>
      <c r="D699" s="5" t="s">
        <v>227</v>
      </c>
      <c r="E699" s="5" t="s">
        <v>1722</v>
      </c>
      <c r="F699" s="5">
        <v>5353593</v>
      </c>
      <c r="G699" s="5" t="s">
        <v>550</v>
      </c>
      <c r="H699" s="5" t="s">
        <v>30</v>
      </c>
      <c r="I699" s="5" t="s">
        <v>22</v>
      </c>
      <c r="J699" s="5" t="s">
        <v>60</v>
      </c>
      <c r="K699" s="6">
        <v>0</v>
      </c>
      <c r="L699" s="7">
        <v>0</v>
      </c>
      <c r="M699" s="8">
        <v>2.5</v>
      </c>
      <c r="N699" s="8">
        <v>0</v>
      </c>
      <c r="O699" s="8">
        <v>5.2535141501521885</v>
      </c>
      <c r="P699" s="8">
        <v>0</v>
      </c>
      <c r="Q699" s="8">
        <v>0</v>
      </c>
      <c r="R699" s="8">
        <v>0</v>
      </c>
      <c r="S699" s="8">
        <v>0</v>
      </c>
      <c r="T699" s="5">
        <v>5</v>
      </c>
      <c r="U699" s="5">
        <v>0</v>
      </c>
      <c r="V699" s="5">
        <f>VLOOKUP(A699,Planilha1!B:E,4,0)</f>
        <v>11.476197020267191</v>
      </c>
    </row>
    <row r="700" spans="1:22" x14ac:dyDescent="0.3">
      <c r="A700" t="str">
        <f t="shared" si="20"/>
        <v>LEITE UHTLACTALIS</v>
      </c>
      <c r="B700" t="str">
        <f t="shared" si="21"/>
        <v>5353656LEITE UHTLACTALIS</v>
      </c>
      <c r="C700" s="5" t="s">
        <v>226</v>
      </c>
      <c r="D700" s="5" t="s">
        <v>227</v>
      </c>
      <c r="E700" s="5" t="s">
        <v>1722</v>
      </c>
      <c r="F700" s="5">
        <v>5353656</v>
      </c>
      <c r="G700" s="5" t="s">
        <v>551</v>
      </c>
      <c r="H700" s="5" t="s">
        <v>30</v>
      </c>
      <c r="I700" s="5" t="s">
        <v>22</v>
      </c>
      <c r="J700" s="5" t="s">
        <v>156</v>
      </c>
      <c r="K700" s="6">
        <v>0</v>
      </c>
      <c r="L700" s="7">
        <v>0</v>
      </c>
      <c r="M700" s="8">
        <v>0</v>
      </c>
      <c r="N700" s="8">
        <v>0</v>
      </c>
      <c r="O700" s="8">
        <v>38.163082555861017</v>
      </c>
      <c r="P700" s="8">
        <v>0</v>
      </c>
      <c r="Q700" s="8">
        <v>0</v>
      </c>
      <c r="R700" s="8">
        <v>0</v>
      </c>
      <c r="S700" s="8">
        <v>0</v>
      </c>
      <c r="T700" s="5">
        <v>0</v>
      </c>
      <c r="U700" s="5">
        <v>0</v>
      </c>
      <c r="V700" s="5">
        <f>VLOOKUP(A700,Planilha1!B:E,4,0)</f>
        <v>0.37177548115779385</v>
      </c>
    </row>
    <row r="701" spans="1:22" x14ac:dyDescent="0.3">
      <c r="A701" t="str">
        <f t="shared" si="20"/>
        <v>PARMESÃOLACTALIS</v>
      </c>
      <c r="B701" t="str">
        <f t="shared" si="21"/>
        <v>5353664PARMESÃOLACTALIS</v>
      </c>
      <c r="C701" s="5" t="s">
        <v>226</v>
      </c>
      <c r="D701" s="5" t="s">
        <v>227</v>
      </c>
      <c r="E701" s="5" t="s">
        <v>1722</v>
      </c>
      <c r="F701" s="5">
        <v>5353664</v>
      </c>
      <c r="G701" s="5" t="s">
        <v>552</v>
      </c>
      <c r="H701" s="5" t="s">
        <v>30</v>
      </c>
      <c r="I701" s="5" t="s">
        <v>22</v>
      </c>
      <c r="J701" s="5" t="s">
        <v>195</v>
      </c>
      <c r="K701" s="6">
        <v>0</v>
      </c>
      <c r="L701" s="7">
        <v>0</v>
      </c>
      <c r="M701" s="8">
        <v>14.255833333333333</v>
      </c>
      <c r="N701" s="8">
        <v>23.763333333333335</v>
      </c>
      <c r="O701" s="8">
        <v>7.1493051252736475</v>
      </c>
      <c r="P701" s="8">
        <v>0</v>
      </c>
      <c r="Q701" s="8">
        <v>0</v>
      </c>
      <c r="R701" s="8">
        <v>0</v>
      </c>
      <c r="S701" s="8">
        <v>0</v>
      </c>
      <c r="T701" s="5">
        <v>15</v>
      </c>
      <c r="U701" s="5">
        <v>0</v>
      </c>
      <c r="V701" s="5">
        <f>VLOOKUP(A701,Planilha1!B:E,4,0)</f>
        <v>6.310326960724681</v>
      </c>
    </row>
    <row r="702" spans="1:22" x14ac:dyDescent="0.3">
      <c r="A702" t="str">
        <f t="shared" si="20"/>
        <v>LEITE UHTLACTALIS</v>
      </c>
      <c r="B702" t="str">
        <f t="shared" si="21"/>
        <v>5353716LEITE UHTLACTALIS</v>
      </c>
      <c r="C702" s="5" t="s">
        <v>226</v>
      </c>
      <c r="D702" s="5" t="s">
        <v>227</v>
      </c>
      <c r="E702" s="5" t="s">
        <v>1722</v>
      </c>
      <c r="F702" s="5">
        <v>5353716</v>
      </c>
      <c r="G702" s="5" t="s">
        <v>553</v>
      </c>
      <c r="H702" s="5" t="s">
        <v>30</v>
      </c>
      <c r="I702" s="5" t="s">
        <v>22</v>
      </c>
      <c r="J702" s="5" t="s">
        <v>156</v>
      </c>
      <c r="K702" s="6">
        <v>0</v>
      </c>
      <c r="L702" s="7">
        <v>0</v>
      </c>
      <c r="M702" s="8">
        <v>6</v>
      </c>
      <c r="N702" s="8">
        <v>0</v>
      </c>
      <c r="O702" s="8">
        <v>6.5410158999981824</v>
      </c>
      <c r="P702" s="8">
        <v>0</v>
      </c>
      <c r="Q702" s="8">
        <v>0</v>
      </c>
      <c r="R702" s="8">
        <v>0</v>
      </c>
      <c r="S702" s="8">
        <v>0</v>
      </c>
      <c r="T702" s="5">
        <v>0</v>
      </c>
      <c r="U702" s="5">
        <v>0</v>
      </c>
      <c r="V702" s="5">
        <f>VLOOKUP(A702,Planilha1!B:E,4,0)</f>
        <v>0.37177548115779385</v>
      </c>
    </row>
    <row r="703" spans="1:22" x14ac:dyDescent="0.3">
      <c r="A703" t="str">
        <f t="shared" si="20"/>
        <v>LEITE UHTLACTALIS</v>
      </c>
      <c r="B703" t="str">
        <f t="shared" si="21"/>
        <v>5353717LEITE UHTLACTALIS</v>
      </c>
      <c r="C703" s="5" t="s">
        <v>226</v>
      </c>
      <c r="D703" s="5" t="s">
        <v>227</v>
      </c>
      <c r="E703" s="5" t="s">
        <v>1722</v>
      </c>
      <c r="F703" s="5">
        <v>5353717</v>
      </c>
      <c r="G703" s="5" t="s">
        <v>554</v>
      </c>
      <c r="H703" s="5" t="s">
        <v>30</v>
      </c>
      <c r="I703" s="5" t="s">
        <v>22</v>
      </c>
      <c r="J703" s="5" t="s">
        <v>156</v>
      </c>
      <c r="K703" s="6">
        <v>0</v>
      </c>
      <c r="L703" s="7">
        <v>0</v>
      </c>
      <c r="M703" s="8">
        <v>36</v>
      </c>
      <c r="N703" s="8">
        <v>40</v>
      </c>
      <c r="O703" s="8">
        <v>17.447480048354013</v>
      </c>
      <c r="P703" s="8">
        <v>0</v>
      </c>
      <c r="Q703" s="8">
        <v>0</v>
      </c>
      <c r="R703" s="8">
        <v>0</v>
      </c>
      <c r="S703" s="8">
        <v>0</v>
      </c>
      <c r="T703" s="5">
        <v>0</v>
      </c>
      <c r="U703" s="5">
        <v>0</v>
      </c>
      <c r="V703" s="5">
        <f>VLOOKUP(A703,Planilha1!B:E,4,0)</f>
        <v>0.37177548115779385</v>
      </c>
    </row>
    <row r="704" spans="1:22" x14ac:dyDescent="0.3">
      <c r="A704" t="str">
        <f t="shared" si="20"/>
        <v>LEITE UHTLACTALIS</v>
      </c>
      <c r="B704" t="str">
        <f t="shared" si="21"/>
        <v>5353757LEITE UHTLACTALIS</v>
      </c>
      <c r="C704" s="5" t="s">
        <v>226</v>
      </c>
      <c r="D704" s="5" t="s">
        <v>227</v>
      </c>
      <c r="E704" s="5" t="s">
        <v>1722</v>
      </c>
      <c r="F704" s="5">
        <v>5353757</v>
      </c>
      <c r="G704" s="5" t="s">
        <v>555</v>
      </c>
      <c r="H704" s="5" t="s">
        <v>30</v>
      </c>
      <c r="I704" s="5" t="s">
        <v>22</v>
      </c>
      <c r="J704" s="5" t="s">
        <v>156</v>
      </c>
      <c r="K704" s="6">
        <v>0</v>
      </c>
      <c r="L704" s="7">
        <v>0</v>
      </c>
      <c r="M704" s="8">
        <v>4</v>
      </c>
      <c r="N704" s="8">
        <v>0</v>
      </c>
      <c r="O704" s="8">
        <v>4.360677266665455</v>
      </c>
      <c r="P704" s="8">
        <v>0</v>
      </c>
      <c r="Q704" s="8">
        <v>0</v>
      </c>
      <c r="R704" s="8">
        <v>0</v>
      </c>
      <c r="S704" s="8">
        <v>0</v>
      </c>
      <c r="T704" s="5">
        <v>0</v>
      </c>
      <c r="U704" s="5">
        <v>0</v>
      </c>
      <c r="V704" s="5">
        <f>VLOOKUP(A704,Planilha1!B:E,4,0)</f>
        <v>0.37177548115779385</v>
      </c>
    </row>
    <row r="705" spans="1:22" x14ac:dyDescent="0.3">
      <c r="A705" t="str">
        <f t="shared" si="20"/>
        <v>LEITE UHTLACTALIS</v>
      </c>
      <c r="B705" t="str">
        <f t="shared" si="21"/>
        <v>5354129LEITE UHTLACTALIS</v>
      </c>
      <c r="C705" s="5" t="s">
        <v>226</v>
      </c>
      <c r="D705" s="5" t="s">
        <v>227</v>
      </c>
      <c r="E705" s="5" t="s">
        <v>1722</v>
      </c>
      <c r="F705" s="5">
        <v>5354129</v>
      </c>
      <c r="G705" s="5" t="s">
        <v>556</v>
      </c>
      <c r="H705" s="5" t="s">
        <v>30</v>
      </c>
      <c r="I705" s="5" t="s">
        <v>22</v>
      </c>
      <c r="J705" s="5" t="s">
        <v>156</v>
      </c>
      <c r="K705" s="6">
        <v>0</v>
      </c>
      <c r="L705" s="7">
        <v>0</v>
      </c>
      <c r="M705" s="8">
        <v>128</v>
      </c>
      <c r="N705" s="8">
        <v>0</v>
      </c>
      <c r="O705" s="8">
        <v>259.48892325674774</v>
      </c>
      <c r="P705" s="8">
        <v>0</v>
      </c>
      <c r="Q705" s="8">
        <v>0</v>
      </c>
      <c r="R705" s="8">
        <v>0</v>
      </c>
      <c r="S705" s="8">
        <v>0</v>
      </c>
      <c r="T705" s="5">
        <v>0</v>
      </c>
      <c r="U705" s="5">
        <v>0</v>
      </c>
      <c r="V705" s="5">
        <f>VLOOKUP(A705,Planilha1!B:E,4,0)</f>
        <v>0.37177548115779385</v>
      </c>
    </row>
    <row r="706" spans="1:22" x14ac:dyDescent="0.3">
      <c r="A706" t="str">
        <f t="shared" ref="A706:A769" si="22">J706&amp;I706</f>
        <v>MANTEIGA 5KGLACTALIS</v>
      </c>
      <c r="B706" t="str">
        <f t="shared" si="21"/>
        <v>5355120MANTEIGA 5KGLACTALIS</v>
      </c>
      <c r="C706" s="5" t="s">
        <v>226</v>
      </c>
      <c r="D706" s="5" t="s">
        <v>227</v>
      </c>
      <c r="E706" s="5" t="s">
        <v>1722</v>
      </c>
      <c r="F706" s="5">
        <v>5355120</v>
      </c>
      <c r="G706" s="5" t="s">
        <v>557</v>
      </c>
      <c r="H706" s="5" t="s">
        <v>30</v>
      </c>
      <c r="I706" s="5" t="s">
        <v>22</v>
      </c>
      <c r="J706" s="5" t="s">
        <v>60</v>
      </c>
      <c r="K706" s="6">
        <v>0</v>
      </c>
      <c r="L706" s="7">
        <v>0</v>
      </c>
      <c r="M706" s="8">
        <v>0</v>
      </c>
      <c r="N706" s="8">
        <v>0</v>
      </c>
      <c r="O706" s="8">
        <v>1.7488017333388881</v>
      </c>
      <c r="P706" s="8">
        <v>0</v>
      </c>
      <c r="Q706" s="8">
        <v>0</v>
      </c>
      <c r="R706" s="8">
        <v>0</v>
      </c>
      <c r="S706" s="8">
        <v>0</v>
      </c>
      <c r="T706" s="5">
        <v>0</v>
      </c>
      <c r="U706" s="5">
        <v>0</v>
      </c>
      <c r="V706" s="5">
        <f>VLOOKUP(A706,Planilha1!B:E,4,0)</f>
        <v>11.476197020267191</v>
      </c>
    </row>
    <row r="707" spans="1:22" x14ac:dyDescent="0.3">
      <c r="A707" t="str">
        <f t="shared" si="22"/>
        <v>LEITE UHTLACTALIS</v>
      </c>
      <c r="B707" t="str">
        <f t="shared" ref="B707:B770" si="23">F707&amp;J707&amp;I707</f>
        <v>5355174LEITE UHTLACTALIS</v>
      </c>
      <c r="C707" s="5" t="s">
        <v>226</v>
      </c>
      <c r="D707" s="5" t="s">
        <v>227</v>
      </c>
      <c r="E707" s="5" t="s">
        <v>1722</v>
      </c>
      <c r="F707" s="5">
        <v>5355174</v>
      </c>
      <c r="G707" s="5" t="s">
        <v>558</v>
      </c>
      <c r="H707" s="5" t="s">
        <v>30</v>
      </c>
      <c r="I707" s="5" t="s">
        <v>22</v>
      </c>
      <c r="J707" s="5" t="s">
        <v>156</v>
      </c>
      <c r="K707" s="6">
        <v>0</v>
      </c>
      <c r="L707" s="7">
        <v>0</v>
      </c>
      <c r="M707" s="8">
        <v>8</v>
      </c>
      <c r="N707" s="8">
        <v>0</v>
      </c>
      <c r="O707" s="8">
        <v>4.360677266665455</v>
      </c>
      <c r="P707" s="8">
        <v>0</v>
      </c>
      <c r="Q707" s="8">
        <v>0</v>
      </c>
      <c r="R707" s="8">
        <v>0</v>
      </c>
      <c r="S707" s="8">
        <v>0</v>
      </c>
      <c r="T707" s="5">
        <v>0</v>
      </c>
      <c r="U707" s="5">
        <v>0</v>
      </c>
      <c r="V707" s="5">
        <f>VLOOKUP(A707,Planilha1!B:E,4,0)</f>
        <v>0.37177548115779385</v>
      </c>
    </row>
    <row r="708" spans="1:22" x14ac:dyDescent="0.3">
      <c r="A708" t="str">
        <f t="shared" si="22"/>
        <v>PARMESÃOLACTALIS</v>
      </c>
      <c r="B708" t="str">
        <f t="shared" si="23"/>
        <v>5355292PARMESÃOLACTALIS</v>
      </c>
      <c r="C708" s="5" t="s">
        <v>226</v>
      </c>
      <c r="D708" s="5" t="s">
        <v>227</v>
      </c>
      <c r="E708" s="5" t="s">
        <v>1722</v>
      </c>
      <c r="F708" s="5">
        <v>5355292</v>
      </c>
      <c r="G708" s="5" t="s">
        <v>559</v>
      </c>
      <c r="H708" s="5" t="s">
        <v>30</v>
      </c>
      <c r="I708" s="5" t="s">
        <v>22</v>
      </c>
      <c r="J708" s="5" t="s">
        <v>195</v>
      </c>
      <c r="K708" s="6">
        <v>0</v>
      </c>
      <c r="L708" s="7">
        <v>0</v>
      </c>
      <c r="M708" s="8">
        <v>0</v>
      </c>
      <c r="N708" s="8">
        <v>0</v>
      </c>
      <c r="O708" s="8">
        <v>7.0086873226026336</v>
      </c>
      <c r="P708" s="8">
        <v>0</v>
      </c>
      <c r="Q708" s="8">
        <v>0</v>
      </c>
      <c r="R708" s="8">
        <v>0</v>
      </c>
      <c r="S708" s="8">
        <v>0</v>
      </c>
      <c r="T708" s="5">
        <v>0</v>
      </c>
      <c r="U708" s="5">
        <v>0</v>
      </c>
      <c r="V708" s="5">
        <f>VLOOKUP(A708,Planilha1!B:E,4,0)</f>
        <v>6.310326960724681</v>
      </c>
    </row>
    <row r="709" spans="1:22" x14ac:dyDescent="0.3">
      <c r="A709" t="str">
        <f t="shared" si="22"/>
        <v>MANTEIGA 5KGLACTALIS</v>
      </c>
      <c r="B709" t="str">
        <f t="shared" si="23"/>
        <v>5355972MANTEIGA 5KGLACTALIS</v>
      </c>
      <c r="C709" s="5" t="s">
        <v>226</v>
      </c>
      <c r="D709" s="5" t="s">
        <v>227</v>
      </c>
      <c r="E709" s="5" t="s">
        <v>1722</v>
      </c>
      <c r="F709" s="5">
        <v>5355972</v>
      </c>
      <c r="G709" s="5" t="s">
        <v>560</v>
      </c>
      <c r="H709" s="5" t="s">
        <v>30</v>
      </c>
      <c r="I709" s="5" t="s">
        <v>22</v>
      </c>
      <c r="J709" s="5" t="s">
        <v>60</v>
      </c>
      <c r="K709" s="6">
        <v>0</v>
      </c>
      <c r="L709" s="7">
        <v>0</v>
      </c>
      <c r="M709" s="8">
        <v>65.833333333333329</v>
      </c>
      <c r="N709" s="8">
        <v>65</v>
      </c>
      <c r="O709" s="8">
        <v>14.025958617388726</v>
      </c>
      <c r="P709" s="8">
        <v>0</v>
      </c>
      <c r="Q709" s="8">
        <v>25</v>
      </c>
      <c r="R709" s="8">
        <v>0</v>
      </c>
      <c r="S709" s="8">
        <v>70</v>
      </c>
      <c r="T709" s="5">
        <v>70</v>
      </c>
      <c r="U709" s="5">
        <v>45</v>
      </c>
      <c r="V709" s="5">
        <f>VLOOKUP(A709,Planilha1!B:E,4,0)</f>
        <v>11.476197020267191</v>
      </c>
    </row>
    <row r="710" spans="1:22" x14ac:dyDescent="0.3">
      <c r="A710" t="str">
        <f t="shared" si="22"/>
        <v>MANTEIGA 5KGLACTALIS</v>
      </c>
      <c r="B710" t="str">
        <f t="shared" si="23"/>
        <v>5356800MANTEIGA 5KGLACTALIS</v>
      </c>
      <c r="C710" s="5" t="s">
        <v>226</v>
      </c>
      <c r="D710" s="5" t="s">
        <v>227</v>
      </c>
      <c r="E710" s="5" t="s">
        <v>1722</v>
      </c>
      <c r="F710" s="5">
        <v>5356800</v>
      </c>
      <c r="G710" s="5" t="s">
        <v>561</v>
      </c>
      <c r="H710" s="5" t="s">
        <v>30</v>
      </c>
      <c r="I710" s="5" t="s">
        <v>22</v>
      </c>
      <c r="J710" s="5" t="s">
        <v>60</v>
      </c>
      <c r="K710" s="6">
        <v>0</v>
      </c>
      <c r="L710" s="7">
        <v>0</v>
      </c>
      <c r="M710" s="8">
        <v>2.5</v>
      </c>
      <c r="N710" s="8">
        <v>0</v>
      </c>
      <c r="O710" s="8">
        <v>1.7488017333388881</v>
      </c>
      <c r="P710" s="8">
        <v>0</v>
      </c>
      <c r="Q710" s="8">
        <v>0</v>
      </c>
      <c r="R710" s="8">
        <v>0</v>
      </c>
      <c r="S710" s="8">
        <v>0</v>
      </c>
      <c r="T710" s="5">
        <v>0</v>
      </c>
      <c r="U710" s="5">
        <v>0</v>
      </c>
      <c r="V710" s="5">
        <f>VLOOKUP(A710,Planilha1!B:E,4,0)</f>
        <v>11.476197020267191</v>
      </c>
    </row>
    <row r="711" spans="1:22" x14ac:dyDescent="0.3">
      <c r="A711" t="str">
        <f t="shared" si="22"/>
        <v>LEITE UHTLACTALIS</v>
      </c>
      <c r="B711" t="str">
        <f t="shared" si="23"/>
        <v>5040718LEITE UHTLACTALIS</v>
      </c>
      <c r="C711" s="5" t="s">
        <v>226</v>
      </c>
      <c r="D711" s="5" t="s">
        <v>227</v>
      </c>
      <c r="E711" s="5" t="s">
        <v>1722</v>
      </c>
      <c r="F711" s="5">
        <v>5040718</v>
      </c>
      <c r="G711" s="5" t="s">
        <v>562</v>
      </c>
      <c r="H711" s="5" t="s">
        <v>30</v>
      </c>
      <c r="I711" s="5" t="s">
        <v>22</v>
      </c>
      <c r="J711" s="5" t="s">
        <v>156</v>
      </c>
      <c r="K711" s="6">
        <v>0</v>
      </c>
      <c r="L711" s="7">
        <v>144</v>
      </c>
      <c r="M711" s="8">
        <v>136</v>
      </c>
      <c r="N711" s="8">
        <v>72</v>
      </c>
      <c r="O711" s="8">
        <v>104.6705673450475</v>
      </c>
      <c r="P711" s="8">
        <v>0</v>
      </c>
      <c r="Q711" s="8">
        <v>0</v>
      </c>
      <c r="R711" s="8">
        <v>0</v>
      </c>
      <c r="S711" s="8">
        <v>0</v>
      </c>
      <c r="T711" s="5">
        <v>0</v>
      </c>
      <c r="U711" s="5">
        <v>0</v>
      </c>
      <c r="V711" s="5">
        <f>VLOOKUP(A711,Planilha1!B:E,4,0)</f>
        <v>0.37177548115779385</v>
      </c>
    </row>
    <row r="712" spans="1:22" x14ac:dyDescent="0.3">
      <c r="A712" t="str">
        <f t="shared" si="22"/>
        <v>MANTEIGA 5KGLACTALIS</v>
      </c>
      <c r="B712" t="str">
        <f t="shared" si="23"/>
        <v>5066049MANTEIGA 5KGLACTALIS</v>
      </c>
      <c r="C712" s="5" t="s">
        <v>226</v>
      </c>
      <c r="D712" s="5" t="s">
        <v>227</v>
      </c>
      <c r="E712" s="5" t="s">
        <v>1722</v>
      </c>
      <c r="F712" s="5">
        <v>5066049</v>
      </c>
      <c r="G712" s="5" t="s">
        <v>563</v>
      </c>
      <c r="H712" s="5" t="s">
        <v>30</v>
      </c>
      <c r="I712" s="5" t="s">
        <v>22</v>
      </c>
      <c r="J712" s="5" t="s">
        <v>60</v>
      </c>
      <c r="K712" s="6">
        <v>0</v>
      </c>
      <c r="L712" s="7">
        <v>10</v>
      </c>
      <c r="M712" s="8">
        <v>6.666666666666667</v>
      </c>
      <c r="N712" s="8">
        <v>6.666666666666667</v>
      </c>
      <c r="O712" s="8">
        <v>5.2535141501521885</v>
      </c>
      <c r="P712" s="8">
        <v>0</v>
      </c>
      <c r="Q712" s="8">
        <v>0</v>
      </c>
      <c r="R712" s="8">
        <v>0</v>
      </c>
      <c r="S712" s="8">
        <v>10</v>
      </c>
      <c r="T712" s="5">
        <v>10</v>
      </c>
      <c r="U712" s="5">
        <v>10</v>
      </c>
      <c r="V712" s="5">
        <f>VLOOKUP(A712,Planilha1!B:E,4,0)</f>
        <v>11.476197020267191</v>
      </c>
    </row>
    <row r="713" spans="1:22" x14ac:dyDescent="0.3">
      <c r="A713" t="str">
        <f t="shared" si="22"/>
        <v>MANTEIGA 5KGLACTALIS</v>
      </c>
      <c r="B713" t="str">
        <f t="shared" si="23"/>
        <v>5111178MANTEIGA 5KGLACTALIS</v>
      </c>
      <c r="C713" s="5" t="s">
        <v>226</v>
      </c>
      <c r="D713" s="5" t="s">
        <v>227</v>
      </c>
      <c r="E713" s="5" t="s">
        <v>1722</v>
      </c>
      <c r="F713" s="5">
        <v>5111178</v>
      </c>
      <c r="G713" s="5" t="s">
        <v>564</v>
      </c>
      <c r="H713" s="5" t="s">
        <v>30</v>
      </c>
      <c r="I713" s="5" t="s">
        <v>22</v>
      </c>
      <c r="J713" s="5" t="s">
        <v>60</v>
      </c>
      <c r="K713" s="6">
        <v>0</v>
      </c>
      <c r="L713" s="7">
        <v>40</v>
      </c>
      <c r="M713" s="8">
        <v>23.333333333333336</v>
      </c>
      <c r="N713" s="8">
        <v>0</v>
      </c>
      <c r="O713" s="8">
        <v>84.162860654467877</v>
      </c>
      <c r="P713" s="8">
        <v>0</v>
      </c>
      <c r="Q713" s="8">
        <v>0</v>
      </c>
      <c r="R713" s="8">
        <v>0</v>
      </c>
      <c r="S713" s="8">
        <v>0</v>
      </c>
      <c r="T713" s="5">
        <v>0</v>
      </c>
      <c r="U713" s="5">
        <v>85</v>
      </c>
      <c r="V713" s="5">
        <f>VLOOKUP(A713,Planilha1!B:E,4,0)</f>
        <v>11.476197020267191</v>
      </c>
    </row>
    <row r="714" spans="1:22" x14ac:dyDescent="0.3">
      <c r="A714" t="str">
        <f t="shared" si="22"/>
        <v>LEITE UHTLACTALIS</v>
      </c>
      <c r="B714" t="str">
        <f t="shared" si="23"/>
        <v>5111178LEITE UHTLACTALIS</v>
      </c>
      <c r="C714" s="5" t="s">
        <v>226</v>
      </c>
      <c r="D714" s="5" t="s">
        <v>227</v>
      </c>
      <c r="E714" s="5" t="s">
        <v>1722</v>
      </c>
      <c r="F714" s="5">
        <v>5111178</v>
      </c>
      <c r="G714" s="5" t="s">
        <v>564</v>
      </c>
      <c r="H714" s="5" t="s">
        <v>30</v>
      </c>
      <c r="I714" s="5" t="s">
        <v>22</v>
      </c>
      <c r="J714" s="5" t="s">
        <v>156</v>
      </c>
      <c r="K714" s="6">
        <v>0</v>
      </c>
      <c r="L714" s="7">
        <v>60</v>
      </c>
      <c r="M714" s="8">
        <v>14</v>
      </c>
      <c r="N714" s="8">
        <v>0</v>
      </c>
      <c r="O714" s="8">
        <v>15.262370433329091</v>
      </c>
      <c r="P714" s="8">
        <v>0</v>
      </c>
      <c r="Q714" s="8">
        <v>0</v>
      </c>
      <c r="R714" s="8">
        <v>0</v>
      </c>
      <c r="S714" s="8">
        <v>0</v>
      </c>
      <c r="T714" s="5">
        <v>0</v>
      </c>
      <c r="U714" s="5">
        <v>0</v>
      </c>
      <c r="V714" s="5">
        <f>VLOOKUP(A714,Planilha1!B:E,4,0)</f>
        <v>0.37177548115779385</v>
      </c>
    </row>
    <row r="715" spans="1:22" x14ac:dyDescent="0.3">
      <c r="A715" t="str">
        <f t="shared" si="22"/>
        <v>LEITE UHTLACTALIS</v>
      </c>
      <c r="B715" t="str">
        <f t="shared" si="23"/>
        <v>5127405LEITE UHTLACTALIS</v>
      </c>
      <c r="C715" s="5" t="s">
        <v>226</v>
      </c>
      <c r="D715" s="5" t="s">
        <v>227</v>
      </c>
      <c r="E715" s="5" t="s">
        <v>1722</v>
      </c>
      <c r="F715" s="5">
        <v>5127405</v>
      </c>
      <c r="G715" s="5" t="s">
        <v>565</v>
      </c>
      <c r="H715" s="5" t="s">
        <v>30</v>
      </c>
      <c r="I715" s="5" t="s">
        <v>22</v>
      </c>
      <c r="J715" s="5" t="s">
        <v>156</v>
      </c>
      <c r="K715" s="6">
        <v>0</v>
      </c>
      <c r="L715" s="7">
        <v>840</v>
      </c>
      <c r="M715" s="8">
        <v>938</v>
      </c>
      <c r="N715" s="8">
        <v>948</v>
      </c>
      <c r="O715" s="8">
        <v>416.49238878347285</v>
      </c>
      <c r="P715" s="8">
        <v>0</v>
      </c>
      <c r="Q715" s="8">
        <v>360</v>
      </c>
      <c r="R715" s="8">
        <v>0</v>
      </c>
      <c r="S715" s="8">
        <v>0</v>
      </c>
      <c r="T715" s="5">
        <v>0</v>
      </c>
      <c r="U715" s="5">
        <v>0</v>
      </c>
      <c r="V715" s="5">
        <f>VLOOKUP(A715,Planilha1!B:E,4,0)</f>
        <v>0.37177548115779385</v>
      </c>
    </row>
    <row r="716" spans="1:22" x14ac:dyDescent="0.3">
      <c r="A716" t="str">
        <f t="shared" si="22"/>
        <v>MANTEIGA 5KGLACTALIS</v>
      </c>
      <c r="B716" t="str">
        <f t="shared" si="23"/>
        <v>5133487MANTEIGA 5KGLACTALIS</v>
      </c>
      <c r="C716" s="5" t="s">
        <v>226</v>
      </c>
      <c r="D716" s="5" t="s">
        <v>227</v>
      </c>
      <c r="E716" s="5" t="s">
        <v>1722</v>
      </c>
      <c r="F716" s="5">
        <v>5133487</v>
      </c>
      <c r="G716" s="5" t="s">
        <v>566</v>
      </c>
      <c r="H716" s="5" t="s">
        <v>30</v>
      </c>
      <c r="I716" s="5" t="s">
        <v>22</v>
      </c>
      <c r="J716" s="5" t="s">
        <v>60</v>
      </c>
      <c r="K716" s="6">
        <v>0</v>
      </c>
      <c r="L716" s="7">
        <v>40</v>
      </c>
      <c r="M716" s="8">
        <v>29.166666666666668</v>
      </c>
      <c r="N716" s="8">
        <v>38.333333333333336</v>
      </c>
      <c r="O716" s="8">
        <v>28.059026184912973</v>
      </c>
      <c r="P716" s="8">
        <v>0</v>
      </c>
      <c r="Q716" s="8">
        <v>0</v>
      </c>
      <c r="R716" s="8">
        <v>0</v>
      </c>
      <c r="S716" s="8">
        <v>0</v>
      </c>
      <c r="T716" s="5">
        <v>0</v>
      </c>
      <c r="U716" s="5">
        <v>0</v>
      </c>
      <c r="V716" s="5">
        <f>VLOOKUP(A716,Planilha1!B:E,4,0)</f>
        <v>11.476197020267191</v>
      </c>
    </row>
    <row r="717" spans="1:22" x14ac:dyDescent="0.3">
      <c r="A717" t="str">
        <f t="shared" si="22"/>
        <v>LEITE UHTLACTALIS</v>
      </c>
      <c r="B717" t="str">
        <f t="shared" si="23"/>
        <v>5156987LEITE UHTLACTALIS</v>
      </c>
      <c r="C717" s="5" t="s">
        <v>226</v>
      </c>
      <c r="D717" s="5" t="s">
        <v>227</v>
      </c>
      <c r="E717" s="5" t="s">
        <v>1722</v>
      </c>
      <c r="F717" s="5">
        <v>5156987</v>
      </c>
      <c r="G717" s="5" t="s">
        <v>567</v>
      </c>
      <c r="H717" s="5" t="s">
        <v>30</v>
      </c>
      <c r="I717" s="5" t="s">
        <v>22</v>
      </c>
      <c r="J717" s="5" t="s">
        <v>156</v>
      </c>
      <c r="K717" s="6">
        <v>0</v>
      </c>
      <c r="L717" s="7">
        <v>60</v>
      </c>
      <c r="M717" s="8">
        <v>28</v>
      </c>
      <c r="N717" s="8">
        <v>24</v>
      </c>
      <c r="O717" s="8">
        <v>8.726125515023103</v>
      </c>
      <c r="P717" s="8">
        <v>0</v>
      </c>
      <c r="Q717" s="8">
        <v>0</v>
      </c>
      <c r="R717" s="8">
        <v>0</v>
      </c>
      <c r="S717" s="8">
        <v>0</v>
      </c>
      <c r="T717" s="5">
        <v>0</v>
      </c>
      <c r="U717" s="5">
        <v>0</v>
      </c>
      <c r="V717" s="5">
        <f>VLOOKUP(A717,Planilha1!B:E,4,0)</f>
        <v>0.37177548115779385</v>
      </c>
    </row>
    <row r="718" spans="1:22" x14ac:dyDescent="0.3">
      <c r="A718" t="str">
        <f t="shared" si="22"/>
        <v>LEITE UHTLACTALIS</v>
      </c>
      <c r="B718" t="str">
        <f t="shared" si="23"/>
        <v>5166366LEITE UHTLACTALIS</v>
      </c>
      <c r="C718" s="5" t="s">
        <v>226</v>
      </c>
      <c r="D718" s="5" t="s">
        <v>227</v>
      </c>
      <c r="E718" s="5" t="s">
        <v>1722</v>
      </c>
      <c r="F718" s="5">
        <v>5166366</v>
      </c>
      <c r="G718" s="5" t="s">
        <v>568</v>
      </c>
      <c r="H718" s="5" t="s">
        <v>30</v>
      </c>
      <c r="I718" s="5" t="s">
        <v>22</v>
      </c>
      <c r="J718" s="5" t="s">
        <v>156</v>
      </c>
      <c r="K718" s="6">
        <v>0</v>
      </c>
      <c r="L718" s="7">
        <v>1272</v>
      </c>
      <c r="M718" s="8">
        <v>540</v>
      </c>
      <c r="N718" s="8">
        <v>0</v>
      </c>
      <c r="O718" s="8">
        <v>348.89712016846613</v>
      </c>
      <c r="P718" s="8">
        <v>0</v>
      </c>
      <c r="Q718" s="8">
        <v>0</v>
      </c>
      <c r="R718" s="8">
        <v>0</v>
      </c>
      <c r="S718" s="8">
        <v>0</v>
      </c>
      <c r="T718" s="5">
        <v>0</v>
      </c>
      <c r="U718" s="5">
        <v>0</v>
      </c>
      <c r="V718" s="5">
        <f>VLOOKUP(A718,Planilha1!B:E,4,0)</f>
        <v>0.37177548115779385</v>
      </c>
    </row>
    <row r="719" spans="1:22" x14ac:dyDescent="0.3">
      <c r="A719" t="str">
        <f t="shared" si="22"/>
        <v>MANTEIGA 5KGLACTALIS</v>
      </c>
      <c r="B719" t="str">
        <f t="shared" si="23"/>
        <v>5170001MANTEIGA 5KGLACTALIS</v>
      </c>
      <c r="C719" s="5" t="s">
        <v>226</v>
      </c>
      <c r="D719" s="5" t="s">
        <v>227</v>
      </c>
      <c r="E719" s="5" t="s">
        <v>1722</v>
      </c>
      <c r="F719" s="5">
        <v>5170001</v>
      </c>
      <c r="G719" s="5" t="s">
        <v>569</v>
      </c>
      <c r="H719" s="5" t="s">
        <v>30</v>
      </c>
      <c r="I719" s="5" t="s">
        <v>22</v>
      </c>
      <c r="J719" s="5" t="s">
        <v>60</v>
      </c>
      <c r="K719" s="6">
        <v>0</v>
      </c>
      <c r="L719" s="7">
        <v>0</v>
      </c>
      <c r="M719" s="8">
        <v>8.3333333333333339</v>
      </c>
      <c r="N719" s="8">
        <v>6.666666666666667</v>
      </c>
      <c r="O719" s="8">
        <v>10.521246200575426</v>
      </c>
      <c r="P719" s="8">
        <v>0</v>
      </c>
      <c r="Q719" s="8">
        <v>10</v>
      </c>
      <c r="R719" s="8">
        <v>0</v>
      </c>
      <c r="S719" s="8">
        <v>10</v>
      </c>
      <c r="T719" s="5">
        <v>10</v>
      </c>
      <c r="U719" s="5">
        <v>10</v>
      </c>
      <c r="V719" s="5">
        <f>VLOOKUP(A719,Planilha1!B:E,4,0)</f>
        <v>11.476197020267191</v>
      </c>
    </row>
    <row r="720" spans="1:22" x14ac:dyDescent="0.3">
      <c r="A720" t="str">
        <f t="shared" si="22"/>
        <v>LEITE UHTLACTALIS</v>
      </c>
      <c r="B720" t="str">
        <f t="shared" si="23"/>
        <v>5180555LEITE UHTLACTALIS</v>
      </c>
      <c r="C720" s="5" t="s">
        <v>226</v>
      </c>
      <c r="D720" s="5" t="s">
        <v>227</v>
      </c>
      <c r="E720" s="5" t="s">
        <v>1722</v>
      </c>
      <c r="F720" s="5">
        <v>5180555</v>
      </c>
      <c r="G720" s="5" t="s">
        <v>285</v>
      </c>
      <c r="H720" s="5" t="s">
        <v>30</v>
      </c>
      <c r="I720" s="5" t="s">
        <v>22</v>
      </c>
      <c r="J720" s="5" t="s">
        <v>156</v>
      </c>
      <c r="K720" s="6">
        <v>0</v>
      </c>
      <c r="L720" s="7">
        <v>0</v>
      </c>
      <c r="M720" s="8">
        <v>330</v>
      </c>
      <c r="N720" s="8">
        <v>0</v>
      </c>
      <c r="O720" s="8">
        <v>344.5412138834929</v>
      </c>
      <c r="P720" s="8">
        <v>0</v>
      </c>
      <c r="Q720" s="8">
        <v>0</v>
      </c>
      <c r="R720" s="8">
        <v>0</v>
      </c>
      <c r="S720" s="8">
        <v>0</v>
      </c>
      <c r="T720" s="5">
        <v>0</v>
      </c>
      <c r="U720" s="5">
        <v>0</v>
      </c>
      <c r="V720" s="5">
        <f>VLOOKUP(A720,Planilha1!B:E,4,0)</f>
        <v>0.37177548115779385</v>
      </c>
    </row>
    <row r="721" spans="1:22" x14ac:dyDescent="0.3">
      <c r="A721" t="str">
        <f t="shared" si="22"/>
        <v>LEITE UHTLACTALIS</v>
      </c>
      <c r="B721" t="str">
        <f t="shared" si="23"/>
        <v>5181639LEITE UHTLACTALIS</v>
      </c>
      <c r="C721" s="5" t="s">
        <v>226</v>
      </c>
      <c r="D721" s="5" t="s">
        <v>227</v>
      </c>
      <c r="E721" s="5" t="s">
        <v>1722</v>
      </c>
      <c r="F721" s="5">
        <v>5181639</v>
      </c>
      <c r="G721" s="5" t="s">
        <v>570</v>
      </c>
      <c r="H721" s="5" t="s">
        <v>30</v>
      </c>
      <c r="I721" s="5" t="s">
        <v>22</v>
      </c>
      <c r="J721" s="5" t="s">
        <v>156</v>
      </c>
      <c r="K721" s="6">
        <v>0</v>
      </c>
      <c r="L721" s="7">
        <v>0</v>
      </c>
      <c r="M721" s="8">
        <v>0</v>
      </c>
      <c r="N721" s="8">
        <v>0</v>
      </c>
      <c r="O721" s="8">
        <v>21.803386333327275</v>
      </c>
      <c r="P721" s="8">
        <v>0</v>
      </c>
      <c r="Q721" s="8">
        <v>0</v>
      </c>
      <c r="R721" s="8">
        <v>0</v>
      </c>
      <c r="S721" s="8">
        <v>0</v>
      </c>
      <c r="T721" s="5">
        <v>0</v>
      </c>
      <c r="U721" s="5">
        <v>0</v>
      </c>
      <c r="V721" s="5">
        <f>VLOOKUP(A721,Planilha1!B:E,4,0)</f>
        <v>0.37177548115779385</v>
      </c>
    </row>
    <row r="722" spans="1:22" x14ac:dyDescent="0.3">
      <c r="A722" t="str">
        <f t="shared" si="22"/>
        <v>MANTEIGA 5KGLACTALIS</v>
      </c>
      <c r="B722" t="str">
        <f t="shared" si="23"/>
        <v>5186012MANTEIGA 5KGLACTALIS</v>
      </c>
      <c r="C722" s="5" t="s">
        <v>226</v>
      </c>
      <c r="D722" s="5" t="s">
        <v>227</v>
      </c>
      <c r="E722" s="5" t="s">
        <v>1722</v>
      </c>
      <c r="F722" s="5">
        <v>5186012</v>
      </c>
      <c r="G722" s="5" t="s">
        <v>571</v>
      </c>
      <c r="H722" s="5" t="s">
        <v>30</v>
      </c>
      <c r="I722" s="5" t="s">
        <v>22</v>
      </c>
      <c r="J722" s="5" t="s">
        <v>60</v>
      </c>
      <c r="K722" s="6">
        <v>0</v>
      </c>
      <c r="L722" s="7">
        <v>0</v>
      </c>
      <c r="M722" s="8">
        <v>266.66666666666669</v>
      </c>
      <c r="N722" s="8">
        <v>266.66666666666669</v>
      </c>
      <c r="O722" s="8">
        <v>224.4082289280841</v>
      </c>
      <c r="P722" s="8">
        <v>0</v>
      </c>
      <c r="Q722" s="8">
        <v>160</v>
      </c>
      <c r="R722" s="8">
        <v>0</v>
      </c>
      <c r="S722" s="8">
        <v>160</v>
      </c>
      <c r="T722" s="5">
        <v>160</v>
      </c>
      <c r="U722" s="5">
        <v>160</v>
      </c>
      <c r="V722" s="5">
        <f>VLOOKUP(A722,Planilha1!B:E,4,0)</f>
        <v>11.476197020267191</v>
      </c>
    </row>
    <row r="723" spans="1:22" x14ac:dyDescent="0.3">
      <c r="A723" t="str">
        <f t="shared" si="22"/>
        <v>LEITE UHTLACTALIS</v>
      </c>
      <c r="B723" t="str">
        <f t="shared" si="23"/>
        <v>5211493LEITE UHTLACTALIS</v>
      </c>
      <c r="C723" s="5" t="s">
        <v>226</v>
      </c>
      <c r="D723" s="5" t="s">
        <v>227</v>
      </c>
      <c r="E723" s="5" t="s">
        <v>1722</v>
      </c>
      <c r="F723" s="5">
        <v>5211493</v>
      </c>
      <c r="G723" s="5" t="s">
        <v>572</v>
      </c>
      <c r="H723" s="5" t="s">
        <v>30</v>
      </c>
      <c r="I723" s="5" t="s">
        <v>22</v>
      </c>
      <c r="J723" s="5" t="s">
        <v>156</v>
      </c>
      <c r="K723" s="6">
        <v>0</v>
      </c>
      <c r="L723" s="7">
        <v>120</v>
      </c>
      <c r="M723" s="8">
        <v>20</v>
      </c>
      <c r="N723" s="8">
        <v>0</v>
      </c>
      <c r="O723" s="8">
        <v>39.250866381681284</v>
      </c>
      <c r="P723" s="8">
        <v>0</v>
      </c>
      <c r="Q723" s="8">
        <v>120</v>
      </c>
      <c r="R723" s="8">
        <v>0</v>
      </c>
      <c r="S723" s="8">
        <v>0</v>
      </c>
      <c r="T723" s="5">
        <v>0</v>
      </c>
      <c r="U723" s="5">
        <v>0</v>
      </c>
      <c r="V723" s="5">
        <f>VLOOKUP(A723,Planilha1!B:E,4,0)</f>
        <v>0.37177548115779385</v>
      </c>
    </row>
    <row r="724" spans="1:22" x14ac:dyDescent="0.3">
      <c r="A724" t="str">
        <f t="shared" si="22"/>
        <v>LEITE UHTLACTALIS</v>
      </c>
      <c r="B724" t="str">
        <f t="shared" si="23"/>
        <v>5234719LEITE UHTLACTALIS</v>
      </c>
      <c r="C724" s="5" t="s">
        <v>226</v>
      </c>
      <c r="D724" s="5" t="s">
        <v>227</v>
      </c>
      <c r="E724" s="5" t="s">
        <v>1722</v>
      </c>
      <c r="F724" s="5">
        <v>5234719</v>
      </c>
      <c r="G724" s="5" t="s">
        <v>573</v>
      </c>
      <c r="H724" s="5" t="s">
        <v>30</v>
      </c>
      <c r="I724" s="5" t="s">
        <v>22</v>
      </c>
      <c r="J724" s="5" t="s">
        <v>156</v>
      </c>
      <c r="K724" s="6">
        <v>0</v>
      </c>
      <c r="L724" s="7">
        <v>0</v>
      </c>
      <c r="M724" s="8">
        <v>12</v>
      </c>
      <c r="N724" s="8">
        <v>12</v>
      </c>
      <c r="O724" s="8">
        <v>8.7213545333309099</v>
      </c>
      <c r="P724" s="8">
        <v>0</v>
      </c>
      <c r="Q724" s="8">
        <v>0</v>
      </c>
      <c r="R724" s="8">
        <v>0</v>
      </c>
      <c r="S724" s="8">
        <v>0</v>
      </c>
      <c r="T724" s="5">
        <v>0</v>
      </c>
      <c r="U724" s="5">
        <v>0</v>
      </c>
      <c r="V724" s="5">
        <f>VLOOKUP(A724,Planilha1!B:E,4,0)</f>
        <v>0.37177548115779385</v>
      </c>
    </row>
    <row r="725" spans="1:22" x14ac:dyDescent="0.3">
      <c r="A725" t="str">
        <f t="shared" si="22"/>
        <v>MANTEIGA 5KGLACTALIS</v>
      </c>
      <c r="B725" t="str">
        <f t="shared" si="23"/>
        <v>5235868MANTEIGA 5KGLACTALIS</v>
      </c>
      <c r="C725" s="5" t="s">
        <v>226</v>
      </c>
      <c r="D725" s="5" t="s">
        <v>227</v>
      </c>
      <c r="E725" s="5" t="s">
        <v>1722</v>
      </c>
      <c r="F725" s="5">
        <v>5235868</v>
      </c>
      <c r="G725" s="5" t="s">
        <v>574</v>
      </c>
      <c r="H725" s="5" t="s">
        <v>30</v>
      </c>
      <c r="I725" s="5" t="s">
        <v>22</v>
      </c>
      <c r="J725" s="5" t="s">
        <v>60</v>
      </c>
      <c r="K725" s="6">
        <v>0</v>
      </c>
      <c r="L725" s="7">
        <v>60</v>
      </c>
      <c r="M725" s="8">
        <v>96.666666666666671</v>
      </c>
      <c r="N725" s="8">
        <v>133.33333333333334</v>
      </c>
      <c r="O725" s="8">
        <v>49.087300685792776</v>
      </c>
      <c r="P725" s="8">
        <v>0</v>
      </c>
      <c r="Q725" s="8">
        <v>0</v>
      </c>
      <c r="R725" s="8">
        <v>0</v>
      </c>
      <c r="S725" s="8">
        <v>60</v>
      </c>
      <c r="T725" s="5">
        <v>60</v>
      </c>
      <c r="U725" s="5">
        <v>20</v>
      </c>
      <c r="V725" s="5">
        <f>VLOOKUP(A725,Planilha1!B:E,4,0)</f>
        <v>11.476197020267191</v>
      </c>
    </row>
    <row r="726" spans="1:22" x14ac:dyDescent="0.3">
      <c r="A726" t="str">
        <f t="shared" si="22"/>
        <v>LEITE UHTLACTALIS</v>
      </c>
      <c r="B726" t="str">
        <f t="shared" si="23"/>
        <v>5235868LEITE UHTLACTALIS</v>
      </c>
      <c r="C726" s="5" t="s">
        <v>226</v>
      </c>
      <c r="D726" s="5" t="s">
        <v>227</v>
      </c>
      <c r="E726" s="5" t="s">
        <v>1722</v>
      </c>
      <c r="F726" s="5">
        <v>5235868</v>
      </c>
      <c r="G726" s="5" t="s">
        <v>574</v>
      </c>
      <c r="H726" s="5" t="s">
        <v>30</v>
      </c>
      <c r="I726" s="5" t="s">
        <v>22</v>
      </c>
      <c r="J726" s="5" t="s">
        <v>156</v>
      </c>
      <c r="K726" s="6">
        <v>0</v>
      </c>
      <c r="L726" s="7">
        <v>36</v>
      </c>
      <c r="M726" s="8">
        <v>74</v>
      </c>
      <c r="N726" s="8">
        <v>48</v>
      </c>
      <c r="O726" s="8">
        <v>21.803386333327275</v>
      </c>
      <c r="P726" s="8">
        <v>0</v>
      </c>
      <c r="Q726" s="8">
        <v>120</v>
      </c>
      <c r="R726" s="8">
        <v>0</v>
      </c>
      <c r="S726" s="8">
        <v>0</v>
      </c>
      <c r="T726" s="5">
        <v>0</v>
      </c>
      <c r="U726" s="5">
        <v>0</v>
      </c>
      <c r="V726" s="5">
        <f>VLOOKUP(A726,Planilha1!B:E,4,0)</f>
        <v>0.37177548115779385</v>
      </c>
    </row>
    <row r="727" spans="1:22" x14ac:dyDescent="0.3">
      <c r="A727" t="str">
        <f t="shared" si="22"/>
        <v>LEITE UHTLACTALIS</v>
      </c>
      <c r="B727" t="str">
        <f t="shared" si="23"/>
        <v>5247513LEITE UHTLACTALIS</v>
      </c>
      <c r="C727" s="5" t="s">
        <v>226</v>
      </c>
      <c r="D727" s="5" t="s">
        <v>227</v>
      </c>
      <c r="E727" s="5" t="s">
        <v>1722</v>
      </c>
      <c r="F727" s="5">
        <v>5247513</v>
      </c>
      <c r="G727" s="5" t="s">
        <v>575</v>
      </c>
      <c r="H727" s="5" t="s">
        <v>30</v>
      </c>
      <c r="I727" s="5" t="s">
        <v>22</v>
      </c>
      <c r="J727" s="5" t="s">
        <v>156</v>
      </c>
      <c r="K727" s="6">
        <v>0</v>
      </c>
      <c r="L727" s="7">
        <v>600</v>
      </c>
      <c r="M727" s="8">
        <v>764</v>
      </c>
      <c r="N727" s="8">
        <v>1008</v>
      </c>
      <c r="O727" s="8">
        <v>218.0624892234259</v>
      </c>
      <c r="P727" s="8">
        <v>0</v>
      </c>
      <c r="Q727" s="8">
        <v>0</v>
      </c>
      <c r="R727" s="8">
        <v>0</v>
      </c>
      <c r="S727" s="8">
        <v>0</v>
      </c>
      <c r="T727" s="5">
        <v>0</v>
      </c>
      <c r="U727" s="5">
        <v>0</v>
      </c>
      <c r="V727" s="5">
        <f>VLOOKUP(A727,Planilha1!B:E,4,0)</f>
        <v>0.37177548115779385</v>
      </c>
    </row>
    <row r="728" spans="1:22" x14ac:dyDescent="0.3">
      <c r="A728" t="str">
        <f t="shared" si="22"/>
        <v>LEITE UHTLACTALIS</v>
      </c>
      <c r="B728" t="str">
        <f t="shared" si="23"/>
        <v>5247982LEITE UHTLACTALIS</v>
      </c>
      <c r="C728" s="5" t="s">
        <v>226</v>
      </c>
      <c r="D728" s="5" t="s">
        <v>227</v>
      </c>
      <c r="E728" s="5" t="s">
        <v>1722</v>
      </c>
      <c r="F728" s="5">
        <v>5247982</v>
      </c>
      <c r="G728" s="5" t="s">
        <v>576</v>
      </c>
      <c r="H728" s="5" t="s">
        <v>30</v>
      </c>
      <c r="I728" s="5" t="s">
        <v>22</v>
      </c>
      <c r="J728" s="5" t="s">
        <v>156</v>
      </c>
      <c r="K728" s="6">
        <v>0</v>
      </c>
      <c r="L728" s="7">
        <v>0</v>
      </c>
      <c r="M728" s="8">
        <v>66</v>
      </c>
      <c r="N728" s="8">
        <v>0</v>
      </c>
      <c r="O728" s="8">
        <v>32.709850481683105</v>
      </c>
      <c r="P728" s="8">
        <v>0</v>
      </c>
      <c r="Q728" s="8">
        <v>0</v>
      </c>
      <c r="R728" s="8">
        <v>0</v>
      </c>
      <c r="S728" s="8">
        <v>0</v>
      </c>
      <c r="T728" s="5">
        <v>0</v>
      </c>
      <c r="U728" s="5">
        <v>0</v>
      </c>
      <c r="V728" s="5">
        <f>VLOOKUP(A728,Planilha1!B:E,4,0)</f>
        <v>0.37177548115779385</v>
      </c>
    </row>
    <row r="729" spans="1:22" x14ac:dyDescent="0.3">
      <c r="A729" t="str">
        <f t="shared" si="22"/>
        <v>LEITE UHTLACTALIS</v>
      </c>
      <c r="B729" t="str">
        <f t="shared" si="23"/>
        <v>5248507LEITE UHTLACTALIS</v>
      </c>
      <c r="C729" s="5" t="s">
        <v>226</v>
      </c>
      <c r="D729" s="5" t="s">
        <v>227</v>
      </c>
      <c r="E729" s="5" t="s">
        <v>1722</v>
      </c>
      <c r="F729" s="5">
        <v>5248507</v>
      </c>
      <c r="G729" s="5" t="s">
        <v>577</v>
      </c>
      <c r="H729" s="5" t="s">
        <v>30</v>
      </c>
      <c r="I729" s="5" t="s">
        <v>22</v>
      </c>
      <c r="J729" s="5" t="s">
        <v>156</v>
      </c>
      <c r="K729" s="6">
        <v>0</v>
      </c>
      <c r="L729" s="7">
        <v>240</v>
      </c>
      <c r="M729" s="8">
        <v>120</v>
      </c>
      <c r="N729" s="8">
        <v>40</v>
      </c>
      <c r="O729" s="8">
        <v>43.60677266665455</v>
      </c>
      <c r="P729" s="8">
        <v>0</v>
      </c>
      <c r="Q729" s="8">
        <v>0</v>
      </c>
      <c r="R729" s="8">
        <v>0</v>
      </c>
      <c r="S729" s="8">
        <v>0</v>
      </c>
      <c r="T729" s="5">
        <v>0</v>
      </c>
      <c r="U729" s="5">
        <v>0</v>
      </c>
      <c r="V729" s="5">
        <f>VLOOKUP(A729,Planilha1!B:E,4,0)</f>
        <v>0.37177548115779385</v>
      </c>
    </row>
    <row r="730" spans="1:22" x14ac:dyDescent="0.3">
      <c r="A730" t="str">
        <f t="shared" si="22"/>
        <v>LEITE UHTLACTALIS</v>
      </c>
      <c r="B730" t="str">
        <f t="shared" si="23"/>
        <v>5248870LEITE UHTLACTALIS</v>
      </c>
      <c r="C730" s="5" t="s">
        <v>226</v>
      </c>
      <c r="D730" s="5" t="s">
        <v>227</v>
      </c>
      <c r="E730" s="5" t="s">
        <v>1722</v>
      </c>
      <c r="F730" s="5">
        <v>5248870</v>
      </c>
      <c r="G730" s="5" t="s">
        <v>578</v>
      </c>
      <c r="H730" s="5" t="s">
        <v>30</v>
      </c>
      <c r="I730" s="5" t="s">
        <v>22</v>
      </c>
      <c r="J730" s="5" t="s">
        <v>156</v>
      </c>
      <c r="K730" s="6">
        <v>0</v>
      </c>
      <c r="L730" s="7">
        <v>0</v>
      </c>
      <c r="M730" s="8">
        <v>200</v>
      </c>
      <c r="N730" s="8">
        <v>0</v>
      </c>
      <c r="O730" s="8">
        <v>130.8346309450402</v>
      </c>
      <c r="P730" s="8">
        <v>0</v>
      </c>
      <c r="Q730" s="8">
        <v>0</v>
      </c>
      <c r="R730" s="8">
        <v>0</v>
      </c>
      <c r="S730" s="8">
        <v>0</v>
      </c>
      <c r="T730" s="5">
        <v>0</v>
      </c>
      <c r="U730" s="5">
        <v>0</v>
      </c>
      <c r="V730" s="5">
        <f>VLOOKUP(A730,Planilha1!B:E,4,0)</f>
        <v>0.37177548115779385</v>
      </c>
    </row>
    <row r="731" spans="1:22" x14ac:dyDescent="0.3">
      <c r="A731" t="str">
        <f t="shared" si="22"/>
        <v>LEITE UHTLACTALIS</v>
      </c>
      <c r="B731" t="str">
        <f t="shared" si="23"/>
        <v>5249172LEITE UHTLACTALIS</v>
      </c>
      <c r="C731" s="5" t="s">
        <v>226</v>
      </c>
      <c r="D731" s="5" t="s">
        <v>227</v>
      </c>
      <c r="E731" s="5" t="s">
        <v>1722</v>
      </c>
      <c r="F731" s="5">
        <v>5249172</v>
      </c>
      <c r="G731" s="5" t="s">
        <v>579</v>
      </c>
      <c r="H731" s="5" t="s">
        <v>30</v>
      </c>
      <c r="I731" s="5" t="s">
        <v>22</v>
      </c>
      <c r="J731" s="5" t="s">
        <v>156</v>
      </c>
      <c r="K731" s="6">
        <v>0</v>
      </c>
      <c r="L731" s="7">
        <v>180</v>
      </c>
      <c r="M731" s="8">
        <v>140</v>
      </c>
      <c r="N731" s="8">
        <v>60</v>
      </c>
      <c r="O731" s="8">
        <v>196.25433190840641</v>
      </c>
      <c r="P731" s="8">
        <v>0</v>
      </c>
      <c r="Q731" s="8">
        <v>0</v>
      </c>
      <c r="R731" s="8">
        <v>0</v>
      </c>
      <c r="S731" s="8">
        <v>0</v>
      </c>
      <c r="T731" s="5">
        <v>0</v>
      </c>
      <c r="U731" s="5">
        <v>0</v>
      </c>
      <c r="V731" s="5">
        <f>VLOOKUP(A731,Planilha1!B:E,4,0)</f>
        <v>0.37177548115779385</v>
      </c>
    </row>
    <row r="732" spans="1:22" x14ac:dyDescent="0.3">
      <c r="A732" t="str">
        <f t="shared" si="22"/>
        <v>BLISTERLACTALIS</v>
      </c>
      <c r="B732" t="str">
        <f t="shared" si="23"/>
        <v>5249870BLISTERLACTALIS</v>
      </c>
      <c r="C732" s="5" t="s">
        <v>226</v>
      </c>
      <c r="D732" s="5" t="s">
        <v>227</v>
      </c>
      <c r="E732" s="5" t="s">
        <v>1722</v>
      </c>
      <c r="F732" s="5">
        <v>5249870</v>
      </c>
      <c r="G732" s="5" t="s">
        <v>580</v>
      </c>
      <c r="H732" s="5" t="s">
        <v>30</v>
      </c>
      <c r="I732" s="5" t="s">
        <v>22</v>
      </c>
      <c r="J732" s="5" t="s">
        <v>199</v>
      </c>
      <c r="K732" s="6">
        <v>0</v>
      </c>
      <c r="L732" s="7">
        <v>9.6</v>
      </c>
      <c r="M732" s="8">
        <v>8.32</v>
      </c>
      <c r="N732" s="8">
        <v>7.04</v>
      </c>
      <c r="O732" s="8">
        <v>3.3346712590410603</v>
      </c>
      <c r="P732" s="8">
        <v>0</v>
      </c>
      <c r="Q732" s="8">
        <v>5.76</v>
      </c>
      <c r="R732" s="8">
        <v>0</v>
      </c>
      <c r="S732" s="8">
        <v>6</v>
      </c>
      <c r="T732" s="5">
        <v>6</v>
      </c>
      <c r="U732" s="5">
        <v>6</v>
      </c>
      <c r="V732" s="5">
        <f>VLOOKUP(A732,Planilha1!B:E,4,0)</f>
        <v>13.783871706210666</v>
      </c>
    </row>
    <row r="733" spans="1:22" x14ac:dyDescent="0.3">
      <c r="A733" t="str">
        <f t="shared" si="22"/>
        <v>LEITE UHTLACTALIS</v>
      </c>
      <c r="B733" t="str">
        <f t="shared" si="23"/>
        <v>5249870LEITE UHTLACTALIS</v>
      </c>
      <c r="C733" s="5" t="s">
        <v>226</v>
      </c>
      <c r="D733" s="5" t="s">
        <v>227</v>
      </c>
      <c r="E733" s="5" t="s">
        <v>1722</v>
      </c>
      <c r="F733" s="5">
        <v>5249870</v>
      </c>
      <c r="G733" s="5" t="s">
        <v>580</v>
      </c>
      <c r="H733" s="5" t="s">
        <v>30</v>
      </c>
      <c r="I733" s="5" t="s">
        <v>22</v>
      </c>
      <c r="J733" s="5" t="s">
        <v>156</v>
      </c>
      <c r="K733" s="6">
        <v>0</v>
      </c>
      <c r="L733" s="7">
        <v>288</v>
      </c>
      <c r="M733" s="8">
        <v>0</v>
      </c>
      <c r="N733" s="8">
        <v>0</v>
      </c>
      <c r="O733" s="8">
        <v>47.967449933320005</v>
      </c>
      <c r="P733" s="8">
        <v>0</v>
      </c>
      <c r="Q733" s="8">
        <v>0</v>
      </c>
      <c r="R733" s="8">
        <v>0</v>
      </c>
      <c r="S733" s="8">
        <v>0</v>
      </c>
      <c r="T733" s="5">
        <v>0</v>
      </c>
      <c r="U733" s="5">
        <v>0</v>
      </c>
      <c r="V733" s="5">
        <f>VLOOKUP(A733,Planilha1!B:E,4,0)</f>
        <v>0.37177548115779385</v>
      </c>
    </row>
    <row r="734" spans="1:22" x14ac:dyDescent="0.3">
      <c r="A734" t="str">
        <f t="shared" si="22"/>
        <v>MANTEIGA 5KGLACTALIS</v>
      </c>
      <c r="B734" t="str">
        <f t="shared" si="23"/>
        <v>5250457MANTEIGA 5KGLACTALIS</v>
      </c>
      <c r="C734" s="5" t="s">
        <v>226</v>
      </c>
      <c r="D734" s="5" t="s">
        <v>227</v>
      </c>
      <c r="E734" s="5" t="s">
        <v>1722</v>
      </c>
      <c r="F734" s="5">
        <v>5250457</v>
      </c>
      <c r="G734" s="5" t="s">
        <v>581</v>
      </c>
      <c r="H734" s="5" t="s">
        <v>30</v>
      </c>
      <c r="I734" s="5" t="s">
        <v>22</v>
      </c>
      <c r="J734" s="5" t="s">
        <v>60</v>
      </c>
      <c r="K734" s="6">
        <v>0</v>
      </c>
      <c r="L734" s="7">
        <v>0</v>
      </c>
      <c r="M734" s="8">
        <v>15</v>
      </c>
      <c r="N734" s="8">
        <v>3.3333333333333335</v>
      </c>
      <c r="O734" s="8">
        <v>17.537779984337551</v>
      </c>
      <c r="P734" s="8">
        <v>0</v>
      </c>
      <c r="Q734" s="8">
        <v>0</v>
      </c>
      <c r="R734" s="8">
        <v>0</v>
      </c>
      <c r="S734" s="8">
        <v>0</v>
      </c>
      <c r="T734" s="5">
        <v>0</v>
      </c>
      <c r="U734" s="5">
        <v>0</v>
      </c>
      <c r="V734" s="5">
        <f>VLOOKUP(A734,Planilha1!B:E,4,0)</f>
        <v>11.476197020267191</v>
      </c>
    </row>
    <row r="735" spans="1:22" x14ac:dyDescent="0.3">
      <c r="A735" t="str">
        <f t="shared" si="22"/>
        <v>PARMESÃOLACTALIS</v>
      </c>
      <c r="B735" t="str">
        <f t="shared" si="23"/>
        <v>5253127PARMESÃOLACTALIS</v>
      </c>
      <c r="C735" s="5" t="s">
        <v>226</v>
      </c>
      <c r="D735" s="5" t="s">
        <v>227</v>
      </c>
      <c r="E735" s="5" t="s">
        <v>1722</v>
      </c>
      <c r="F735" s="5">
        <v>5253127</v>
      </c>
      <c r="G735" s="5" t="s">
        <v>582</v>
      </c>
      <c r="H735" s="5" t="s">
        <v>30</v>
      </c>
      <c r="I735" s="5" t="s">
        <v>22</v>
      </c>
      <c r="J735" s="5" t="s">
        <v>195</v>
      </c>
      <c r="K735" s="6">
        <v>0</v>
      </c>
      <c r="L735" s="7">
        <v>0</v>
      </c>
      <c r="M735" s="8">
        <v>2.2025000000000001</v>
      </c>
      <c r="N735" s="8">
        <v>0</v>
      </c>
      <c r="O735" s="8">
        <v>15.112713318642639</v>
      </c>
      <c r="P735" s="8">
        <v>0</v>
      </c>
      <c r="Q735" s="8">
        <v>0</v>
      </c>
      <c r="R735" s="8">
        <v>0</v>
      </c>
      <c r="S735" s="8">
        <v>0</v>
      </c>
      <c r="T735" s="5">
        <v>0</v>
      </c>
      <c r="U735" s="5">
        <v>0</v>
      </c>
      <c r="V735" s="5">
        <f>VLOOKUP(A735,Planilha1!B:E,4,0)</f>
        <v>6.310326960724681</v>
      </c>
    </row>
    <row r="736" spans="1:22" x14ac:dyDescent="0.3">
      <c r="A736" t="str">
        <f t="shared" si="22"/>
        <v>LEITE UHTLACTALIS</v>
      </c>
      <c r="B736" t="str">
        <f t="shared" si="23"/>
        <v>5253698LEITE UHTLACTALIS</v>
      </c>
      <c r="C736" s="5" t="s">
        <v>226</v>
      </c>
      <c r="D736" s="5" t="s">
        <v>227</v>
      </c>
      <c r="E736" s="5" t="s">
        <v>1722</v>
      </c>
      <c r="F736" s="5">
        <v>5253698</v>
      </c>
      <c r="G736" s="5" t="s">
        <v>583</v>
      </c>
      <c r="H736" s="5" t="s">
        <v>30</v>
      </c>
      <c r="I736" s="5" t="s">
        <v>22</v>
      </c>
      <c r="J736" s="5" t="s">
        <v>156</v>
      </c>
      <c r="K736" s="6">
        <v>0</v>
      </c>
      <c r="L736" s="7">
        <v>0</v>
      </c>
      <c r="M736" s="8">
        <v>130</v>
      </c>
      <c r="N736" s="8">
        <v>40</v>
      </c>
      <c r="O736" s="8">
        <v>32.709850481683105</v>
      </c>
      <c r="P736" s="8">
        <v>0</v>
      </c>
      <c r="Q736" s="8">
        <v>0</v>
      </c>
      <c r="R736" s="8">
        <v>0</v>
      </c>
      <c r="S736" s="8">
        <v>0</v>
      </c>
      <c r="T736" s="5">
        <v>0</v>
      </c>
      <c r="U736" s="5">
        <v>0</v>
      </c>
      <c r="V736" s="5">
        <f>VLOOKUP(A736,Planilha1!B:E,4,0)</f>
        <v>0.37177548115779385</v>
      </c>
    </row>
    <row r="737" spans="1:22" x14ac:dyDescent="0.3">
      <c r="A737" t="str">
        <f t="shared" si="22"/>
        <v>MANTEIGA 5KGLACTALIS</v>
      </c>
      <c r="B737" t="str">
        <f t="shared" si="23"/>
        <v>5253958MANTEIGA 5KGLACTALIS</v>
      </c>
      <c r="C737" s="5" t="s">
        <v>226</v>
      </c>
      <c r="D737" s="5" t="s">
        <v>227</v>
      </c>
      <c r="E737" s="5" t="s">
        <v>1722</v>
      </c>
      <c r="F737" s="5">
        <v>5253958</v>
      </c>
      <c r="G737" s="5" t="s">
        <v>584</v>
      </c>
      <c r="H737" s="5" t="s">
        <v>30</v>
      </c>
      <c r="I737" s="5" t="s">
        <v>22</v>
      </c>
      <c r="J737" s="5" t="s">
        <v>60</v>
      </c>
      <c r="K737" s="6">
        <v>0</v>
      </c>
      <c r="L737" s="7">
        <v>25</v>
      </c>
      <c r="M737" s="8">
        <v>44.166666666666671</v>
      </c>
      <c r="N737" s="8">
        <v>50</v>
      </c>
      <c r="O737" s="8">
        <v>64.869169986655919</v>
      </c>
      <c r="P737" s="8">
        <v>0</v>
      </c>
      <c r="Q737" s="8">
        <v>25</v>
      </c>
      <c r="R737" s="8">
        <v>0</v>
      </c>
      <c r="S737" s="8">
        <v>50</v>
      </c>
      <c r="T737" s="5">
        <v>50</v>
      </c>
      <c r="U737" s="5">
        <v>20</v>
      </c>
      <c r="V737" s="5">
        <f>VLOOKUP(A737,Planilha1!B:E,4,0)</f>
        <v>11.476197020267191</v>
      </c>
    </row>
    <row r="738" spans="1:22" x14ac:dyDescent="0.3">
      <c r="A738" t="str">
        <f t="shared" si="22"/>
        <v>BLISTERLACTALIS</v>
      </c>
      <c r="B738" t="str">
        <f t="shared" si="23"/>
        <v>5254158BLISTERLACTALIS</v>
      </c>
      <c r="C738" s="5" t="s">
        <v>226</v>
      </c>
      <c r="D738" s="5" t="s">
        <v>227</v>
      </c>
      <c r="E738" s="5" t="s">
        <v>1722</v>
      </c>
      <c r="F738" s="5">
        <v>5254158</v>
      </c>
      <c r="G738" s="5" t="s">
        <v>585</v>
      </c>
      <c r="H738" s="5" t="s">
        <v>30</v>
      </c>
      <c r="I738" s="5" t="s">
        <v>22</v>
      </c>
      <c r="J738" s="5" t="s">
        <v>199</v>
      </c>
      <c r="K738" s="6">
        <v>0</v>
      </c>
      <c r="L738" s="7">
        <v>1.92</v>
      </c>
      <c r="M738" s="8">
        <v>2.2399999999999998</v>
      </c>
      <c r="N738" s="8">
        <v>0</v>
      </c>
      <c r="O738" s="8">
        <v>0.73683954165779808</v>
      </c>
      <c r="P738" s="8">
        <v>0</v>
      </c>
      <c r="Q738" s="8">
        <v>0</v>
      </c>
      <c r="R738" s="8">
        <v>0</v>
      </c>
      <c r="S738" s="8">
        <v>6</v>
      </c>
      <c r="T738" s="5">
        <v>6</v>
      </c>
      <c r="U738" s="5">
        <v>6</v>
      </c>
      <c r="V738" s="5">
        <f>VLOOKUP(A738,Planilha1!B:E,4,0)</f>
        <v>13.783871706210666</v>
      </c>
    </row>
    <row r="739" spans="1:22" x14ac:dyDescent="0.3">
      <c r="A739" t="str">
        <f t="shared" si="22"/>
        <v>BLISTERLACTALIS</v>
      </c>
      <c r="B739" t="str">
        <f t="shared" si="23"/>
        <v>5256555BLISTERLACTALIS</v>
      </c>
      <c r="C739" s="5" t="s">
        <v>226</v>
      </c>
      <c r="D739" s="5" t="s">
        <v>227</v>
      </c>
      <c r="E739" s="5" t="s">
        <v>1722</v>
      </c>
      <c r="F739" s="5">
        <v>5256555</v>
      </c>
      <c r="G739" s="5" t="s">
        <v>586</v>
      </c>
      <c r="H739" s="5" t="s">
        <v>30</v>
      </c>
      <c r="I739" s="5" t="s">
        <v>22</v>
      </c>
      <c r="J739" s="5" t="s">
        <v>199</v>
      </c>
      <c r="K739" s="6">
        <v>0</v>
      </c>
      <c r="L739" s="7">
        <v>10.8</v>
      </c>
      <c r="M739" s="8">
        <v>10.16</v>
      </c>
      <c r="N739" s="8">
        <v>3.84</v>
      </c>
      <c r="O739" s="8">
        <v>5.847483029309962</v>
      </c>
      <c r="P739" s="8">
        <v>0</v>
      </c>
      <c r="Q739" s="8">
        <v>0</v>
      </c>
      <c r="R739" s="8">
        <v>0</v>
      </c>
      <c r="S739" s="8">
        <v>0</v>
      </c>
      <c r="T739" s="5">
        <v>0</v>
      </c>
      <c r="U739" s="5">
        <v>0</v>
      </c>
      <c r="V739" s="5">
        <f>VLOOKUP(A739,Planilha1!B:E,4,0)</f>
        <v>13.783871706210666</v>
      </c>
    </row>
    <row r="740" spans="1:22" x14ac:dyDescent="0.3">
      <c r="A740" t="str">
        <f t="shared" si="22"/>
        <v>PARMESÃOLACTALIS</v>
      </c>
      <c r="B740" t="str">
        <f t="shared" si="23"/>
        <v>5256555PARMESÃOLACTALIS</v>
      </c>
      <c r="C740" s="5" t="s">
        <v>226</v>
      </c>
      <c r="D740" s="5" t="s">
        <v>227</v>
      </c>
      <c r="E740" s="5" t="s">
        <v>1722</v>
      </c>
      <c r="F740" s="5">
        <v>5256555</v>
      </c>
      <c r="G740" s="5" t="s">
        <v>586</v>
      </c>
      <c r="H740" s="5" t="s">
        <v>30</v>
      </c>
      <c r="I740" s="5" t="s">
        <v>22</v>
      </c>
      <c r="J740" s="5" t="s">
        <v>195</v>
      </c>
      <c r="K740" s="6">
        <v>0</v>
      </c>
      <c r="L740" s="7">
        <v>0</v>
      </c>
      <c r="M740" s="8">
        <v>0</v>
      </c>
      <c r="N740" s="8">
        <v>0</v>
      </c>
      <c r="O740" s="8">
        <v>21.810561287972501</v>
      </c>
      <c r="P740" s="8">
        <v>0</v>
      </c>
      <c r="Q740" s="8">
        <v>0</v>
      </c>
      <c r="R740" s="8">
        <v>0</v>
      </c>
      <c r="S740" s="8">
        <v>0</v>
      </c>
      <c r="T740" s="5">
        <v>0</v>
      </c>
      <c r="U740" s="5">
        <v>0</v>
      </c>
      <c r="V740" s="5">
        <f>VLOOKUP(A740,Planilha1!B:E,4,0)</f>
        <v>6.310326960724681</v>
      </c>
    </row>
    <row r="741" spans="1:22" x14ac:dyDescent="0.3">
      <c r="A741" t="str">
        <f t="shared" si="22"/>
        <v>LEITE UHTLACTALIS</v>
      </c>
      <c r="B741" t="str">
        <f t="shared" si="23"/>
        <v>5256555LEITE UHTLACTALIS</v>
      </c>
      <c r="C741" s="5" t="s">
        <v>226</v>
      </c>
      <c r="D741" s="5" t="s">
        <v>227</v>
      </c>
      <c r="E741" s="5" t="s">
        <v>1722</v>
      </c>
      <c r="F741" s="5">
        <v>5256555</v>
      </c>
      <c r="G741" s="5" t="s">
        <v>586</v>
      </c>
      <c r="H741" s="5" t="s">
        <v>30</v>
      </c>
      <c r="I741" s="5" t="s">
        <v>22</v>
      </c>
      <c r="J741" s="5" t="s">
        <v>156</v>
      </c>
      <c r="K741" s="6">
        <v>0</v>
      </c>
      <c r="L741" s="7">
        <v>0</v>
      </c>
      <c r="M741" s="8">
        <v>2</v>
      </c>
      <c r="N741" s="8">
        <v>0</v>
      </c>
      <c r="O741" s="8">
        <v>58.873914081675835</v>
      </c>
      <c r="P741" s="8">
        <v>0</v>
      </c>
      <c r="Q741" s="8">
        <v>0</v>
      </c>
      <c r="R741" s="8">
        <v>0</v>
      </c>
      <c r="S741" s="8">
        <v>0</v>
      </c>
      <c r="T741" s="5">
        <v>0</v>
      </c>
      <c r="U741" s="5">
        <v>0</v>
      </c>
      <c r="V741" s="5">
        <f>VLOOKUP(A741,Planilha1!B:E,4,0)</f>
        <v>0.37177548115779385</v>
      </c>
    </row>
    <row r="742" spans="1:22" x14ac:dyDescent="0.3">
      <c r="A742" t="str">
        <f t="shared" si="22"/>
        <v>LEITE UHTLACTALIS</v>
      </c>
      <c r="B742" t="str">
        <f t="shared" si="23"/>
        <v>5256567LEITE UHTLACTALIS</v>
      </c>
      <c r="C742" s="5" t="s">
        <v>226</v>
      </c>
      <c r="D742" s="5" t="s">
        <v>227</v>
      </c>
      <c r="E742" s="5" t="s">
        <v>1722</v>
      </c>
      <c r="F742" s="5">
        <v>5256567</v>
      </c>
      <c r="G742" s="5" t="s">
        <v>587</v>
      </c>
      <c r="H742" s="5" t="s">
        <v>30</v>
      </c>
      <c r="I742" s="5" t="s">
        <v>22</v>
      </c>
      <c r="J742" s="5" t="s">
        <v>156</v>
      </c>
      <c r="K742" s="6">
        <v>0</v>
      </c>
      <c r="L742" s="7">
        <v>972</v>
      </c>
      <c r="M742" s="8">
        <v>640</v>
      </c>
      <c r="N742" s="8">
        <v>680</v>
      </c>
      <c r="O742" s="8">
        <v>213.70181195676045</v>
      </c>
      <c r="P742" s="8">
        <v>0</v>
      </c>
      <c r="Q742" s="8">
        <v>0</v>
      </c>
      <c r="R742" s="8">
        <v>0</v>
      </c>
      <c r="S742" s="8">
        <v>0</v>
      </c>
      <c r="T742" s="5">
        <v>0</v>
      </c>
      <c r="U742" s="5">
        <v>0</v>
      </c>
      <c r="V742" s="5">
        <f>VLOOKUP(A742,Planilha1!B:E,4,0)</f>
        <v>0.37177548115779385</v>
      </c>
    </row>
    <row r="743" spans="1:22" x14ac:dyDescent="0.3">
      <c r="A743" t="str">
        <f t="shared" si="22"/>
        <v>MANTEIGA 5KGLACTALIS</v>
      </c>
      <c r="B743" t="str">
        <f t="shared" si="23"/>
        <v>5260140MANTEIGA 5KGLACTALIS</v>
      </c>
      <c r="C743" s="5" t="s">
        <v>226</v>
      </c>
      <c r="D743" s="5" t="s">
        <v>227</v>
      </c>
      <c r="E743" s="5" t="s">
        <v>1722</v>
      </c>
      <c r="F743" s="5">
        <v>5260140</v>
      </c>
      <c r="G743" s="5" t="s">
        <v>588</v>
      </c>
      <c r="H743" s="5" t="s">
        <v>30</v>
      </c>
      <c r="I743" s="5" t="s">
        <v>22</v>
      </c>
      <c r="J743" s="5" t="s">
        <v>60</v>
      </c>
      <c r="K743" s="6">
        <v>0</v>
      </c>
      <c r="L743" s="7">
        <v>0</v>
      </c>
      <c r="M743" s="8">
        <v>3.3333333333333335</v>
      </c>
      <c r="N743" s="8">
        <v>3.3333333333333335</v>
      </c>
      <c r="O743" s="8">
        <v>5.2535141501521885</v>
      </c>
      <c r="P743" s="8">
        <v>0</v>
      </c>
      <c r="Q743" s="8">
        <v>0</v>
      </c>
      <c r="R743" s="8">
        <v>0</v>
      </c>
      <c r="S743" s="8">
        <v>0</v>
      </c>
      <c r="T743" s="5">
        <v>0</v>
      </c>
      <c r="U743" s="5">
        <v>0</v>
      </c>
      <c r="V743" s="5">
        <f>VLOOKUP(A743,Planilha1!B:E,4,0)</f>
        <v>11.476197020267191</v>
      </c>
    </row>
    <row r="744" spans="1:22" x14ac:dyDescent="0.3">
      <c r="A744" t="str">
        <f t="shared" si="22"/>
        <v>LEITE UHTLACTALIS</v>
      </c>
      <c r="B744" t="str">
        <f t="shared" si="23"/>
        <v>5260140LEITE UHTLACTALIS</v>
      </c>
      <c r="C744" s="5" t="s">
        <v>226</v>
      </c>
      <c r="D744" s="5" t="s">
        <v>227</v>
      </c>
      <c r="E744" s="5" t="s">
        <v>1722</v>
      </c>
      <c r="F744" s="5">
        <v>5260140</v>
      </c>
      <c r="G744" s="5" t="s">
        <v>588</v>
      </c>
      <c r="H744" s="5" t="s">
        <v>30</v>
      </c>
      <c r="I744" s="5" t="s">
        <v>22</v>
      </c>
      <c r="J744" s="5" t="s">
        <v>156</v>
      </c>
      <c r="K744" s="6">
        <v>0</v>
      </c>
      <c r="L744" s="7">
        <v>72</v>
      </c>
      <c r="M744" s="8">
        <v>82</v>
      </c>
      <c r="N744" s="8">
        <v>56</v>
      </c>
      <c r="O744" s="8">
        <v>69.780378230031658</v>
      </c>
      <c r="P744" s="8">
        <v>0</v>
      </c>
      <c r="Q744" s="8">
        <v>0</v>
      </c>
      <c r="R744" s="8">
        <v>0</v>
      </c>
      <c r="S744" s="8">
        <v>0</v>
      </c>
      <c r="T744" s="5">
        <v>0</v>
      </c>
      <c r="U744" s="5">
        <v>0</v>
      </c>
      <c r="V744" s="5">
        <f>VLOOKUP(A744,Planilha1!B:E,4,0)</f>
        <v>0.37177548115779385</v>
      </c>
    </row>
    <row r="745" spans="1:22" x14ac:dyDescent="0.3">
      <c r="A745" t="str">
        <f t="shared" si="22"/>
        <v>LEITE UHTLACTALIS</v>
      </c>
      <c r="B745" t="str">
        <f t="shared" si="23"/>
        <v>5260967LEITE UHTLACTALIS</v>
      </c>
      <c r="C745" s="5" t="s">
        <v>226</v>
      </c>
      <c r="D745" s="5" t="s">
        <v>227</v>
      </c>
      <c r="E745" s="5" t="s">
        <v>1722</v>
      </c>
      <c r="F745" s="5">
        <v>5260967</v>
      </c>
      <c r="G745" s="5" t="s">
        <v>589</v>
      </c>
      <c r="H745" s="5" t="s">
        <v>30</v>
      </c>
      <c r="I745" s="5" t="s">
        <v>22</v>
      </c>
      <c r="J745" s="5" t="s">
        <v>156</v>
      </c>
      <c r="K745" s="6">
        <v>0</v>
      </c>
      <c r="L745" s="7">
        <v>0</v>
      </c>
      <c r="M745" s="8">
        <v>0</v>
      </c>
      <c r="N745" s="8">
        <v>0</v>
      </c>
      <c r="O745" s="8">
        <v>28.34917321501765</v>
      </c>
      <c r="P745" s="8">
        <v>0</v>
      </c>
      <c r="Q745" s="8">
        <v>0</v>
      </c>
      <c r="R745" s="8">
        <v>0</v>
      </c>
      <c r="S745" s="8">
        <v>0</v>
      </c>
      <c r="T745" s="5">
        <v>0</v>
      </c>
      <c r="U745" s="5">
        <v>0</v>
      </c>
      <c r="V745" s="5">
        <f>VLOOKUP(A745,Planilha1!B:E,4,0)</f>
        <v>0.37177548115779385</v>
      </c>
    </row>
    <row r="746" spans="1:22" x14ac:dyDescent="0.3">
      <c r="A746" t="str">
        <f t="shared" si="22"/>
        <v>LEITE UHTLACTALIS</v>
      </c>
      <c r="B746" t="str">
        <f t="shared" si="23"/>
        <v>5261087LEITE UHTLACTALIS</v>
      </c>
      <c r="C746" s="5" t="s">
        <v>226</v>
      </c>
      <c r="D746" s="5" t="s">
        <v>227</v>
      </c>
      <c r="E746" s="5" t="s">
        <v>1722</v>
      </c>
      <c r="F746" s="5">
        <v>5261087</v>
      </c>
      <c r="G746" s="5" t="s">
        <v>590</v>
      </c>
      <c r="H746" s="5" t="s">
        <v>30</v>
      </c>
      <c r="I746" s="5" t="s">
        <v>22</v>
      </c>
      <c r="J746" s="5" t="s">
        <v>156</v>
      </c>
      <c r="K746" s="6">
        <v>0</v>
      </c>
      <c r="L746" s="7">
        <v>0</v>
      </c>
      <c r="M746" s="8">
        <v>195</v>
      </c>
      <c r="N746" s="8">
        <v>120</v>
      </c>
      <c r="O746" s="8">
        <v>43.611543648346739</v>
      </c>
      <c r="P746" s="8">
        <v>0</v>
      </c>
      <c r="Q746" s="8">
        <v>240</v>
      </c>
      <c r="R746" s="8">
        <v>0</v>
      </c>
      <c r="S746" s="8">
        <v>0</v>
      </c>
      <c r="T746" s="5">
        <v>0</v>
      </c>
      <c r="U746" s="5">
        <v>0</v>
      </c>
      <c r="V746" s="5">
        <f>VLOOKUP(A746,Planilha1!B:E,4,0)</f>
        <v>0.37177548115779385</v>
      </c>
    </row>
    <row r="747" spans="1:22" x14ac:dyDescent="0.3">
      <c r="A747" t="str">
        <f t="shared" si="22"/>
        <v>LEITE UHTLACTALIS</v>
      </c>
      <c r="B747" t="str">
        <f t="shared" si="23"/>
        <v>5261200LEITE UHTLACTALIS</v>
      </c>
      <c r="C747" s="5" t="s">
        <v>226</v>
      </c>
      <c r="D747" s="5" t="s">
        <v>227</v>
      </c>
      <c r="E747" s="5" t="s">
        <v>1722</v>
      </c>
      <c r="F747" s="5">
        <v>5261200</v>
      </c>
      <c r="G747" s="5" t="s">
        <v>591</v>
      </c>
      <c r="H747" s="5" t="s">
        <v>30</v>
      </c>
      <c r="I747" s="5" t="s">
        <v>22</v>
      </c>
      <c r="J747" s="5" t="s">
        <v>156</v>
      </c>
      <c r="K747" s="6">
        <v>0</v>
      </c>
      <c r="L747" s="7">
        <v>180</v>
      </c>
      <c r="M747" s="8">
        <v>72</v>
      </c>
      <c r="N747" s="8">
        <v>0</v>
      </c>
      <c r="O747" s="8">
        <v>82.86718101172022</v>
      </c>
      <c r="P747" s="8">
        <v>0</v>
      </c>
      <c r="Q747" s="8">
        <v>0</v>
      </c>
      <c r="R747" s="8">
        <v>0</v>
      </c>
      <c r="S747" s="8">
        <v>0</v>
      </c>
      <c r="T747" s="5">
        <v>0</v>
      </c>
      <c r="U747" s="5">
        <v>0</v>
      </c>
      <c r="V747" s="5">
        <f>VLOOKUP(A747,Planilha1!B:E,4,0)</f>
        <v>0.37177548115779385</v>
      </c>
    </row>
    <row r="748" spans="1:22" x14ac:dyDescent="0.3">
      <c r="A748" t="str">
        <f t="shared" si="22"/>
        <v>LEITE UHTLACTALIS</v>
      </c>
      <c r="B748" t="str">
        <f t="shared" si="23"/>
        <v>5261641LEITE UHTLACTALIS</v>
      </c>
      <c r="C748" s="5" t="s">
        <v>226</v>
      </c>
      <c r="D748" s="5" t="s">
        <v>227</v>
      </c>
      <c r="E748" s="5" t="s">
        <v>1722</v>
      </c>
      <c r="F748" s="5">
        <v>5261641</v>
      </c>
      <c r="G748" s="5" t="s">
        <v>592</v>
      </c>
      <c r="H748" s="5" t="s">
        <v>30</v>
      </c>
      <c r="I748" s="5" t="s">
        <v>22</v>
      </c>
      <c r="J748" s="5" t="s">
        <v>156</v>
      </c>
      <c r="K748" s="6">
        <v>0</v>
      </c>
      <c r="L748" s="7">
        <v>0</v>
      </c>
      <c r="M748" s="8">
        <v>36</v>
      </c>
      <c r="N748" s="8">
        <v>48</v>
      </c>
      <c r="O748" s="8">
        <v>21.803386333327275</v>
      </c>
      <c r="P748" s="8">
        <v>0</v>
      </c>
      <c r="Q748" s="8">
        <v>0</v>
      </c>
      <c r="R748" s="8">
        <v>0</v>
      </c>
      <c r="S748" s="8">
        <v>0</v>
      </c>
      <c r="T748" s="5">
        <v>0</v>
      </c>
      <c r="U748" s="5">
        <v>0</v>
      </c>
      <c r="V748" s="5">
        <f>VLOOKUP(A748,Planilha1!B:E,4,0)</f>
        <v>0.37177548115779385</v>
      </c>
    </row>
    <row r="749" spans="1:22" x14ac:dyDescent="0.3">
      <c r="A749" t="str">
        <f t="shared" si="22"/>
        <v>LEITE UHTLACTALIS</v>
      </c>
      <c r="B749" t="str">
        <f t="shared" si="23"/>
        <v>5261759LEITE UHTLACTALIS</v>
      </c>
      <c r="C749" s="5" t="s">
        <v>226</v>
      </c>
      <c r="D749" s="5" t="s">
        <v>227</v>
      </c>
      <c r="E749" s="5" t="s">
        <v>1722</v>
      </c>
      <c r="F749" s="5">
        <v>5261759</v>
      </c>
      <c r="G749" s="5" t="s">
        <v>593</v>
      </c>
      <c r="H749" s="5" t="s">
        <v>30</v>
      </c>
      <c r="I749" s="5" t="s">
        <v>22</v>
      </c>
      <c r="J749" s="5" t="s">
        <v>156</v>
      </c>
      <c r="K749" s="6">
        <v>0</v>
      </c>
      <c r="L749" s="7">
        <v>0</v>
      </c>
      <c r="M749" s="8">
        <v>36</v>
      </c>
      <c r="N749" s="8">
        <v>36</v>
      </c>
      <c r="O749" s="8">
        <v>4.360677266665455</v>
      </c>
      <c r="P749" s="8">
        <v>0</v>
      </c>
      <c r="Q749" s="8">
        <v>0</v>
      </c>
      <c r="R749" s="8">
        <v>0</v>
      </c>
      <c r="S749" s="8">
        <v>0</v>
      </c>
      <c r="T749" s="5">
        <v>0</v>
      </c>
      <c r="U749" s="5">
        <v>0</v>
      </c>
      <c r="V749" s="5">
        <f>VLOOKUP(A749,Planilha1!B:E,4,0)</f>
        <v>0.37177548115779385</v>
      </c>
    </row>
    <row r="750" spans="1:22" x14ac:dyDescent="0.3">
      <c r="A750" t="str">
        <f t="shared" si="22"/>
        <v>MANTEIGA 5KGLACTALIS</v>
      </c>
      <c r="B750" t="str">
        <f t="shared" si="23"/>
        <v>5261912MANTEIGA 5KGLACTALIS</v>
      </c>
      <c r="C750" s="5" t="s">
        <v>226</v>
      </c>
      <c r="D750" s="5" t="s">
        <v>227</v>
      </c>
      <c r="E750" s="5" t="s">
        <v>1722</v>
      </c>
      <c r="F750" s="5">
        <v>5261912</v>
      </c>
      <c r="G750" s="5" t="s">
        <v>594</v>
      </c>
      <c r="H750" s="5" t="s">
        <v>30</v>
      </c>
      <c r="I750" s="5" t="s">
        <v>22</v>
      </c>
      <c r="J750" s="5" t="s">
        <v>60</v>
      </c>
      <c r="K750" s="6">
        <v>0</v>
      </c>
      <c r="L750" s="7">
        <v>0</v>
      </c>
      <c r="M750" s="8">
        <v>0</v>
      </c>
      <c r="N750" s="8">
        <v>0</v>
      </c>
      <c r="O750" s="8">
        <v>15.774760350727615</v>
      </c>
      <c r="P750" s="8">
        <v>0</v>
      </c>
      <c r="Q750" s="8">
        <v>0</v>
      </c>
      <c r="R750" s="8">
        <v>0</v>
      </c>
      <c r="S750" s="8">
        <v>75</v>
      </c>
      <c r="T750" s="5">
        <v>75</v>
      </c>
      <c r="U750" s="5">
        <v>0</v>
      </c>
      <c r="V750" s="5">
        <f>VLOOKUP(A750,Planilha1!B:E,4,0)</f>
        <v>11.476197020267191</v>
      </c>
    </row>
    <row r="751" spans="1:22" x14ac:dyDescent="0.3">
      <c r="A751" t="str">
        <f t="shared" si="22"/>
        <v>MANTEIGA 5KGLACTALIS</v>
      </c>
      <c r="B751" t="str">
        <f t="shared" si="23"/>
        <v>5262129MANTEIGA 5KGLACTALIS</v>
      </c>
      <c r="C751" s="5" t="s">
        <v>226</v>
      </c>
      <c r="D751" s="5" t="s">
        <v>227</v>
      </c>
      <c r="E751" s="5" t="s">
        <v>1722</v>
      </c>
      <c r="F751" s="5">
        <v>5262129</v>
      </c>
      <c r="G751" s="5" t="s">
        <v>595</v>
      </c>
      <c r="H751" s="5" t="s">
        <v>30</v>
      </c>
      <c r="I751" s="5" t="s">
        <v>22</v>
      </c>
      <c r="J751" s="5" t="s">
        <v>60</v>
      </c>
      <c r="K751" s="6">
        <v>0</v>
      </c>
      <c r="L751" s="7">
        <v>25</v>
      </c>
      <c r="M751" s="8">
        <v>15.000000000000002</v>
      </c>
      <c r="N751" s="8">
        <v>18.333333333333332</v>
      </c>
      <c r="O751" s="8">
        <v>12.270047933914315</v>
      </c>
      <c r="P751" s="8">
        <v>0</v>
      </c>
      <c r="Q751" s="8">
        <v>0</v>
      </c>
      <c r="R751" s="8">
        <v>0</v>
      </c>
      <c r="S751" s="8">
        <v>15</v>
      </c>
      <c r="T751" s="5">
        <v>15</v>
      </c>
      <c r="U751" s="5">
        <v>5</v>
      </c>
      <c r="V751" s="5">
        <f>VLOOKUP(A751,Planilha1!B:E,4,0)</f>
        <v>11.476197020267191</v>
      </c>
    </row>
    <row r="752" spans="1:22" x14ac:dyDescent="0.3">
      <c r="A752" t="str">
        <f t="shared" si="22"/>
        <v>LEITE UHTLACTALIS</v>
      </c>
      <c r="B752" t="str">
        <f t="shared" si="23"/>
        <v>5262129LEITE UHTLACTALIS</v>
      </c>
      <c r="C752" s="5" t="s">
        <v>226</v>
      </c>
      <c r="D752" s="5" t="s">
        <v>227</v>
      </c>
      <c r="E752" s="5" t="s">
        <v>1722</v>
      </c>
      <c r="F752" s="5">
        <v>5262129</v>
      </c>
      <c r="G752" s="5" t="s">
        <v>595</v>
      </c>
      <c r="H752" s="5" t="s">
        <v>30</v>
      </c>
      <c r="I752" s="5" t="s">
        <v>22</v>
      </c>
      <c r="J752" s="5" t="s">
        <v>156</v>
      </c>
      <c r="K752" s="6">
        <v>0</v>
      </c>
      <c r="L752" s="7">
        <v>36</v>
      </c>
      <c r="M752" s="8">
        <v>10</v>
      </c>
      <c r="N752" s="8">
        <v>4</v>
      </c>
      <c r="O752" s="8">
        <v>8.7213545333309099</v>
      </c>
      <c r="P752" s="8">
        <v>0</v>
      </c>
      <c r="Q752" s="8">
        <v>0</v>
      </c>
      <c r="R752" s="8">
        <v>0</v>
      </c>
      <c r="S752" s="8">
        <v>0</v>
      </c>
      <c r="T752" s="5">
        <v>0</v>
      </c>
      <c r="U752" s="5">
        <v>0</v>
      </c>
      <c r="V752" s="5">
        <f>VLOOKUP(A752,Planilha1!B:E,4,0)</f>
        <v>0.37177548115779385</v>
      </c>
    </row>
    <row r="753" spans="1:22" x14ac:dyDescent="0.3">
      <c r="A753" t="str">
        <f t="shared" si="22"/>
        <v>LEITE UHTLACTALIS</v>
      </c>
      <c r="B753" t="str">
        <f t="shared" si="23"/>
        <v>5262284LEITE UHTLACTALIS</v>
      </c>
      <c r="C753" s="5" t="s">
        <v>226</v>
      </c>
      <c r="D753" s="5" t="s">
        <v>227</v>
      </c>
      <c r="E753" s="5" t="s">
        <v>1722</v>
      </c>
      <c r="F753" s="5">
        <v>5262284</v>
      </c>
      <c r="G753" s="5" t="s">
        <v>596</v>
      </c>
      <c r="H753" s="5" t="s">
        <v>30</v>
      </c>
      <c r="I753" s="5" t="s">
        <v>22</v>
      </c>
      <c r="J753" s="5" t="s">
        <v>156</v>
      </c>
      <c r="K753" s="6">
        <v>0</v>
      </c>
      <c r="L753" s="7">
        <v>0</v>
      </c>
      <c r="M753" s="8">
        <v>60</v>
      </c>
      <c r="N753" s="8">
        <v>48</v>
      </c>
      <c r="O753" s="8">
        <v>52.32812719998546</v>
      </c>
      <c r="P753" s="8">
        <v>0</v>
      </c>
      <c r="Q753" s="8">
        <v>0</v>
      </c>
      <c r="R753" s="8">
        <v>0</v>
      </c>
      <c r="S753" s="8">
        <v>0</v>
      </c>
      <c r="T753" s="5">
        <v>0</v>
      </c>
      <c r="U753" s="5">
        <v>0</v>
      </c>
      <c r="V753" s="5">
        <f>VLOOKUP(A753,Planilha1!B:E,4,0)</f>
        <v>0.37177548115779385</v>
      </c>
    </row>
    <row r="754" spans="1:22" x14ac:dyDescent="0.3">
      <c r="A754" t="str">
        <f t="shared" si="22"/>
        <v>LEITE UHTLACTALIS</v>
      </c>
      <c r="B754" t="str">
        <f t="shared" si="23"/>
        <v>5262293LEITE UHTLACTALIS</v>
      </c>
      <c r="C754" s="5" t="s">
        <v>226</v>
      </c>
      <c r="D754" s="5" t="s">
        <v>227</v>
      </c>
      <c r="E754" s="5" t="s">
        <v>1722</v>
      </c>
      <c r="F754" s="5">
        <v>5262293</v>
      </c>
      <c r="G754" s="5" t="s">
        <v>597</v>
      </c>
      <c r="H754" s="5" t="s">
        <v>30</v>
      </c>
      <c r="I754" s="5" t="s">
        <v>22</v>
      </c>
      <c r="J754" s="5" t="s">
        <v>156</v>
      </c>
      <c r="K754" s="6">
        <v>0</v>
      </c>
      <c r="L754" s="7">
        <v>156</v>
      </c>
      <c r="M754" s="8">
        <v>120</v>
      </c>
      <c r="N754" s="8">
        <v>104</v>
      </c>
      <c r="O754" s="8">
        <v>87.227858278385668</v>
      </c>
      <c r="P754" s="8">
        <v>0</v>
      </c>
      <c r="Q754" s="8">
        <v>0</v>
      </c>
      <c r="R754" s="8">
        <v>0</v>
      </c>
      <c r="S754" s="8">
        <v>0</v>
      </c>
      <c r="T754" s="5">
        <v>0</v>
      </c>
      <c r="U754" s="5">
        <v>0</v>
      </c>
      <c r="V754" s="5">
        <f>VLOOKUP(A754,Planilha1!B:E,4,0)</f>
        <v>0.37177548115779385</v>
      </c>
    </row>
    <row r="755" spans="1:22" x14ac:dyDescent="0.3">
      <c r="A755" t="str">
        <f t="shared" si="22"/>
        <v>MANTEIGA 5KGLACTALIS</v>
      </c>
      <c r="B755" t="str">
        <f t="shared" si="23"/>
        <v>5262782MANTEIGA 5KGLACTALIS</v>
      </c>
      <c r="C755" s="5" t="s">
        <v>226</v>
      </c>
      <c r="D755" s="5" t="s">
        <v>227</v>
      </c>
      <c r="E755" s="5" t="s">
        <v>1722</v>
      </c>
      <c r="F755" s="5">
        <v>5262782</v>
      </c>
      <c r="G755" s="5" t="s">
        <v>598</v>
      </c>
      <c r="H755" s="5" t="s">
        <v>30</v>
      </c>
      <c r="I755" s="5" t="s">
        <v>22</v>
      </c>
      <c r="J755" s="5" t="s">
        <v>60</v>
      </c>
      <c r="K755" s="6">
        <v>0</v>
      </c>
      <c r="L755" s="7">
        <v>0</v>
      </c>
      <c r="M755" s="8">
        <v>3.3333333333333335</v>
      </c>
      <c r="N755" s="8">
        <v>3.3333333333333335</v>
      </c>
      <c r="O755" s="8">
        <v>1.7488017333388881</v>
      </c>
      <c r="P755" s="8">
        <v>0</v>
      </c>
      <c r="Q755" s="8">
        <v>0</v>
      </c>
      <c r="R755" s="8">
        <v>0</v>
      </c>
      <c r="S755" s="8">
        <v>0</v>
      </c>
      <c r="T755" s="5">
        <v>0</v>
      </c>
      <c r="U755" s="5">
        <v>0</v>
      </c>
      <c r="V755" s="5">
        <f>VLOOKUP(A755,Planilha1!B:E,4,0)</f>
        <v>11.476197020267191</v>
      </c>
    </row>
    <row r="756" spans="1:22" x14ac:dyDescent="0.3">
      <c r="A756" t="str">
        <f t="shared" si="22"/>
        <v>MANTEIGA 5KGLACTALIS</v>
      </c>
      <c r="B756" t="str">
        <f t="shared" si="23"/>
        <v>5262840MANTEIGA 5KGLACTALIS</v>
      </c>
      <c r="C756" s="5" t="s">
        <v>226</v>
      </c>
      <c r="D756" s="5" t="s">
        <v>227</v>
      </c>
      <c r="E756" s="5" t="s">
        <v>1722</v>
      </c>
      <c r="F756" s="5">
        <v>5262840</v>
      </c>
      <c r="G756" s="5" t="s">
        <v>599</v>
      </c>
      <c r="H756" s="5" t="s">
        <v>30</v>
      </c>
      <c r="I756" s="5" t="s">
        <v>22</v>
      </c>
      <c r="J756" s="5" t="s">
        <v>60</v>
      </c>
      <c r="K756" s="6">
        <v>0</v>
      </c>
      <c r="L756" s="7">
        <v>0</v>
      </c>
      <c r="M756" s="8">
        <v>2.5</v>
      </c>
      <c r="N756" s="8">
        <v>0</v>
      </c>
      <c r="O756" s="8">
        <v>3.5047124168133004</v>
      </c>
      <c r="P756" s="8">
        <v>0</v>
      </c>
      <c r="Q756" s="8">
        <v>0</v>
      </c>
      <c r="R756" s="8">
        <v>0</v>
      </c>
      <c r="S756" s="8">
        <v>0</v>
      </c>
      <c r="T756" s="5">
        <v>0</v>
      </c>
      <c r="U756" s="5">
        <v>0</v>
      </c>
      <c r="V756" s="5">
        <f>VLOOKUP(A756,Planilha1!B:E,4,0)</f>
        <v>11.476197020267191</v>
      </c>
    </row>
    <row r="757" spans="1:22" x14ac:dyDescent="0.3">
      <c r="A757" t="str">
        <f t="shared" si="22"/>
        <v>LEITE UHTLACTALIS</v>
      </c>
      <c r="B757" t="str">
        <f t="shared" si="23"/>
        <v>5262840LEITE UHTLACTALIS</v>
      </c>
      <c r="C757" s="5" t="s">
        <v>226</v>
      </c>
      <c r="D757" s="5" t="s">
        <v>227</v>
      </c>
      <c r="E757" s="5" t="s">
        <v>1722</v>
      </c>
      <c r="F757" s="5">
        <v>5262840</v>
      </c>
      <c r="G757" s="5" t="s">
        <v>599</v>
      </c>
      <c r="H757" s="5" t="s">
        <v>30</v>
      </c>
      <c r="I757" s="5" t="s">
        <v>22</v>
      </c>
      <c r="J757" s="5" t="s">
        <v>156</v>
      </c>
      <c r="K757" s="6">
        <v>0</v>
      </c>
      <c r="L757" s="7">
        <v>0</v>
      </c>
      <c r="M757" s="8">
        <v>270</v>
      </c>
      <c r="N757" s="8">
        <v>160</v>
      </c>
      <c r="O757" s="8">
        <v>146.10177236006152</v>
      </c>
      <c r="P757" s="8">
        <v>0</v>
      </c>
      <c r="Q757" s="8">
        <v>180</v>
      </c>
      <c r="R757" s="8">
        <v>0</v>
      </c>
      <c r="S757" s="8">
        <v>0</v>
      </c>
      <c r="T757" s="5">
        <v>0</v>
      </c>
      <c r="U757" s="5">
        <v>0</v>
      </c>
      <c r="V757" s="5">
        <f>VLOOKUP(A757,Planilha1!B:E,4,0)</f>
        <v>0.37177548115779385</v>
      </c>
    </row>
    <row r="758" spans="1:22" x14ac:dyDescent="0.3">
      <c r="A758" t="str">
        <f t="shared" si="22"/>
        <v>MANTEIGA 5KGLACTALIS</v>
      </c>
      <c r="B758" t="str">
        <f t="shared" si="23"/>
        <v>5263140MANTEIGA 5KGLACTALIS</v>
      </c>
      <c r="C758" s="5" t="s">
        <v>226</v>
      </c>
      <c r="D758" s="5" t="s">
        <v>227</v>
      </c>
      <c r="E758" s="5" t="s">
        <v>1722</v>
      </c>
      <c r="F758" s="5">
        <v>5263140</v>
      </c>
      <c r="G758" s="5" t="s">
        <v>600</v>
      </c>
      <c r="H758" s="5" t="s">
        <v>30</v>
      </c>
      <c r="I758" s="5" t="s">
        <v>22</v>
      </c>
      <c r="J758" s="5" t="s">
        <v>60</v>
      </c>
      <c r="K758" s="6">
        <v>0</v>
      </c>
      <c r="L758" s="7">
        <v>0</v>
      </c>
      <c r="M758" s="8">
        <v>2.5</v>
      </c>
      <c r="N758" s="8">
        <v>3.3333333333333335</v>
      </c>
      <c r="O758" s="8">
        <v>1.7488017333388881</v>
      </c>
      <c r="P758" s="8">
        <v>0</v>
      </c>
      <c r="Q758" s="8">
        <v>0</v>
      </c>
      <c r="R758" s="8">
        <v>0</v>
      </c>
      <c r="S758" s="8">
        <v>5</v>
      </c>
      <c r="T758" s="5">
        <v>5</v>
      </c>
      <c r="U758" s="5">
        <v>0</v>
      </c>
      <c r="V758" s="5">
        <f>VLOOKUP(A758,Planilha1!B:E,4,0)</f>
        <v>11.476197020267191</v>
      </c>
    </row>
    <row r="759" spans="1:22" x14ac:dyDescent="0.3">
      <c r="A759" t="str">
        <f t="shared" si="22"/>
        <v>LEITE UHTLACTALIS</v>
      </c>
      <c r="B759" t="str">
        <f t="shared" si="23"/>
        <v>5263140LEITE UHTLACTALIS</v>
      </c>
      <c r="C759" s="5" t="s">
        <v>226</v>
      </c>
      <c r="D759" s="5" t="s">
        <v>227</v>
      </c>
      <c r="E759" s="5" t="s">
        <v>1722</v>
      </c>
      <c r="F759" s="5">
        <v>5263140</v>
      </c>
      <c r="G759" s="5" t="s">
        <v>600</v>
      </c>
      <c r="H759" s="5" t="s">
        <v>30</v>
      </c>
      <c r="I759" s="5" t="s">
        <v>22</v>
      </c>
      <c r="J759" s="5" t="s">
        <v>156</v>
      </c>
      <c r="K759" s="6">
        <v>0</v>
      </c>
      <c r="L759" s="7">
        <v>120</v>
      </c>
      <c r="M759" s="8">
        <v>80</v>
      </c>
      <c r="N759" s="8">
        <v>0</v>
      </c>
      <c r="O759" s="8">
        <v>87.223087296693478</v>
      </c>
      <c r="P759" s="8">
        <v>0</v>
      </c>
      <c r="Q759" s="8">
        <v>180</v>
      </c>
      <c r="R759" s="8">
        <v>0</v>
      </c>
      <c r="S759" s="8">
        <v>0</v>
      </c>
      <c r="T759" s="5">
        <v>0</v>
      </c>
      <c r="U759" s="5">
        <v>0</v>
      </c>
      <c r="V759" s="5">
        <f>VLOOKUP(A759,Planilha1!B:E,4,0)</f>
        <v>0.37177548115779385</v>
      </c>
    </row>
    <row r="760" spans="1:22" x14ac:dyDescent="0.3">
      <c r="A760" t="str">
        <f t="shared" si="22"/>
        <v>LEITE UHTLACTALIS</v>
      </c>
      <c r="B760" t="str">
        <f t="shared" si="23"/>
        <v>5263196LEITE UHTLACTALIS</v>
      </c>
      <c r="C760" s="5" t="s">
        <v>226</v>
      </c>
      <c r="D760" s="5" t="s">
        <v>227</v>
      </c>
      <c r="E760" s="5" t="s">
        <v>1722</v>
      </c>
      <c r="F760" s="5">
        <v>5263196</v>
      </c>
      <c r="G760" s="5" t="s">
        <v>601</v>
      </c>
      <c r="H760" s="5" t="s">
        <v>30</v>
      </c>
      <c r="I760" s="5" t="s">
        <v>22</v>
      </c>
      <c r="J760" s="5" t="s">
        <v>156</v>
      </c>
      <c r="K760" s="6">
        <v>0</v>
      </c>
      <c r="L760" s="7">
        <v>0</v>
      </c>
      <c r="M760" s="8">
        <v>30</v>
      </c>
      <c r="N760" s="8">
        <v>0</v>
      </c>
      <c r="O760" s="8">
        <v>54.51800779670257</v>
      </c>
      <c r="P760" s="8">
        <v>0</v>
      </c>
      <c r="Q760" s="8">
        <v>0</v>
      </c>
      <c r="R760" s="8">
        <v>0</v>
      </c>
      <c r="S760" s="8">
        <v>0</v>
      </c>
      <c r="T760" s="5">
        <v>0</v>
      </c>
      <c r="U760" s="5">
        <v>0</v>
      </c>
      <c r="V760" s="5">
        <f>VLOOKUP(A760,Planilha1!B:E,4,0)</f>
        <v>0.37177548115779385</v>
      </c>
    </row>
    <row r="761" spans="1:22" x14ac:dyDescent="0.3">
      <c r="A761" t="str">
        <f t="shared" si="22"/>
        <v>LEITE UHTLACTALIS</v>
      </c>
      <c r="B761" t="str">
        <f t="shared" si="23"/>
        <v>5263679LEITE UHTLACTALIS</v>
      </c>
      <c r="C761" s="5" t="s">
        <v>226</v>
      </c>
      <c r="D761" s="5" t="s">
        <v>227</v>
      </c>
      <c r="E761" s="5" t="s">
        <v>1722</v>
      </c>
      <c r="F761" s="5">
        <v>5263679</v>
      </c>
      <c r="G761" s="5" t="s">
        <v>602</v>
      </c>
      <c r="H761" s="5" t="s">
        <v>30</v>
      </c>
      <c r="I761" s="5" t="s">
        <v>22</v>
      </c>
      <c r="J761" s="5" t="s">
        <v>156</v>
      </c>
      <c r="K761" s="6">
        <v>0</v>
      </c>
      <c r="L761" s="7">
        <v>240</v>
      </c>
      <c r="M761" s="8">
        <v>400</v>
      </c>
      <c r="N761" s="8">
        <v>420</v>
      </c>
      <c r="O761" s="8">
        <v>228.95941140839733</v>
      </c>
      <c r="P761" s="8">
        <v>0</v>
      </c>
      <c r="Q761" s="8">
        <v>240</v>
      </c>
      <c r="R761" s="8">
        <v>0</v>
      </c>
      <c r="S761" s="8">
        <v>0</v>
      </c>
      <c r="T761" s="5">
        <v>0</v>
      </c>
      <c r="U761" s="5">
        <v>0</v>
      </c>
      <c r="V761" s="5">
        <f>VLOOKUP(A761,Planilha1!B:E,4,0)</f>
        <v>0.37177548115779385</v>
      </c>
    </row>
    <row r="762" spans="1:22" x14ac:dyDescent="0.3">
      <c r="A762" t="str">
        <f t="shared" si="22"/>
        <v>LEITE UHTLACTALIS</v>
      </c>
      <c r="B762" t="str">
        <f t="shared" si="23"/>
        <v>5264044LEITE UHTLACTALIS</v>
      </c>
      <c r="C762" s="5" t="s">
        <v>226</v>
      </c>
      <c r="D762" s="5" t="s">
        <v>227</v>
      </c>
      <c r="E762" s="5" t="s">
        <v>1722</v>
      </c>
      <c r="F762" s="5">
        <v>5264044</v>
      </c>
      <c r="G762" s="5" t="s">
        <v>603</v>
      </c>
      <c r="H762" s="5" t="s">
        <v>30</v>
      </c>
      <c r="I762" s="5" t="s">
        <v>22</v>
      </c>
      <c r="J762" s="5" t="s">
        <v>156</v>
      </c>
      <c r="K762" s="6">
        <v>0</v>
      </c>
      <c r="L762" s="7">
        <v>48</v>
      </c>
      <c r="M762" s="8">
        <v>0</v>
      </c>
      <c r="N762" s="8">
        <v>0</v>
      </c>
      <c r="O762" s="8">
        <v>13.082031799996365</v>
      </c>
      <c r="P762" s="8">
        <v>0</v>
      </c>
      <c r="Q762" s="8">
        <v>0</v>
      </c>
      <c r="R762" s="8">
        <v>0</v>
      </c>
      <c r="S762" s="8">
        <v>0</v>
      </c>
      <c r="T762" s="5">
        <v>0</v>
      </c>
      <c r="U762" s="5">
        <v>0</v>
      </c>
      <c r="V762" s="5">
        <f>VLOOKUP(A762,Planilha1!B:E,4,0)</f>
        <v>0.37177548115779385</v>
      </c>
    </row>
    <row r="763" spans="1:22" x14ac:dyDescent="0.3">
      <c r="A763" t="str">
        <f t="shared" si="22"/>
        <v>LEITE UHTLACTALIS</v>
      </c>
      <c r="B763" t="str">
        <f t="shared" si="23"/>
        <v>5264168LEITE UHTLACTALIS</v>
      </c>
      <c r="C763" s="5" t="s">
        <v>226</v>
      </c>
      <c r="D763" s="5" t="s">
        <v>227</v>
      </c>
      <c r="E763" s="5" t="s">
        <v>1722</v>
      </c>
      <c r="F763" s="5">
        <v>5264168</v>
      </c>
      <c r="G763" s="5" t="s">
        <v>604</v>
      </c>
      <c r="H763" s="5" t="s">
        <v>30</v>
      </c>
      <c r="I763" s="5" t="s">
        <v>22</v>
      </c>
      <c r="J763" s="5" t="s">
        <v>156</v>
      </c>
      <c r="K763" s="6">
        <v>0</v>
      </c>
      <c r="L763" s="7">
        <v>0</v>
      </c>
      <c r="M763" s="8">
        <v>28</v>
      </c>
      <c r="N763" s="8">
        <v>24</v>
      </c>
      <c r="O763" s="8">
        <v>17.447480048354013</v>
      </c>
      <c r="P763" s="8">
        <v>0</v>
      </c>
      <c r="Q763" s="8">
        <v>0</v>
      </c>
      <c r="R763" s="8">
        <v>0</v>
      </c>
      <c r="S763" s="8">
        <v>0</v>
      </c>
      <c r="T763" s="5">
        <v>0</v>
      </c>
      <c r="U763" s="5">
        <v>0</v>
      </c>
      <c r="V763" s="5">
        <f>VLOOKUP(A763,Planilha1!B:E,4,0)</f>
        <v>0.37177548115779385</v>
      </c>
    </row>
    <row r="764" spans="1:22" x14ac:dyDescent="0.3">
      <c r="A764" t="str">
        <f t="shared" si="22"/>
        <v>LEITE UHTLACTALIS</v>
      </c>
      <c r="B764" t="str">
        <f t="shared" si="23"/>
        <v>5264404LEITE UHTLACTALIS</v>
      </c>
      <c r="C764" s="5" t="s">
        <v>226</v>
      </c>
      <c r="D764" s="5" t="s">
        <v>227</v>
      </c>
      <c r="E764" s="5" t="s">
        <v>1722</v>
      </c>
      <c r="F764" s="5">
        <v>5264404</v>
      </c>
      <c r="G764" s="5" t="s">
        <v>605</v>
      </c>
      <c r="H764" s="5" t="s">
        <v>30</v>
      </c>
      <c r="I764" s="5" t="s">
        <v>22</v>
      </c>
      <c r="J764" s="5" t="s">
        <v>156</v>
      </c>
      <c r="K764" s="6">
        <v>0</v>
      </c>
      <c r="L764" s="7">
        <v>180</v>
      </c>
      <c r="M764" s="8">
        <v>143</v>
      </c>
      <c r="N764" s="8">
        <v>48</v>
      </c>
      <c r="O764" s="8">
        <v>107.94346078589268</v>
      </c>
      <c r="P764" s="8">
        <v>0</v>
      </c>
      <c r="Q764" s="8">
        <v>0</v>
      </c>
      <c r="R764" s="8">
        <v>0</v>
      </c>
      <c r="S764" s="8">
        <v>0</v>
      </c>
      <c r="T764" s="5">
        <v>0</v>
      </c>
      <c r="U764" s="5">
        <v>0</v>
      </c>
      <c r="V764" s="5">
        <f>VLOOKUP(A764,Planilha1!B:E,4,0)</f>
        <v>0.37177548115779385</v>
      </c>
    </row>
    <row r="765" spans="1:22" x14ac:dyDescent="0.3">
      <c r="A765" t="str">
        <f t="shared" si="22"/>
        <v>LEITE UHTLACTALIS</v>
      </c>
      <c r="B765" t="str">
        <f t="shared" si="23"/>
        <v>5264441LEITE UHTLACTALIS</v>
      </c>
      <c r="C765" s="5" t="s">
        <v>226</v>
      </c>
      <c r="D765" s="5" t="s">
        <v>227</v>
      </c>
      <c r="E765" s="5" t="s">
        <v>1722</v>
      </c>
      <c r="F765" s="5">
        <v>5264441</v>
      </c>
      <c r="G765" s="5" t="s">
        <v>606</v>
      </c>
      <c r="H765" s="5" t="s">
        <v>30</v>
      </c>
      <c r="I765" s="5" t="s">
        <v>22</v>
      </c>
      <c r="J765" s="5" t="s">
        <v>156</v>
      </c>
      <c r="K765" s="6">
        <v>0</v>
      </c>
      <c r="L765" s="7">
        <v>0</v>
      </c>
      <c r="M765" s="8">
        <v>190</v>
      </c>
      <c r="N765" s="8">
        <v>120</v>
      </c>
      <c r="O765" s="8">
        <v>152.64278826005969</v>
      </c>
      <c r="P765" s="8">
        <v>0</v>
      </c>
      <c r="Q765" s="8">
        <v>0</v>
      </c>
      <c r="R765" s="8">
        <v>0</v>
      </c>
      <c r="S765" s="8">
        <v>0</v>
      </c>
      <c r="T765" s="5">
        <v>0</v>
      </c>
      <c r="U765" s="5">
        <v>0</v>
      </c>
      <c r="V765" s="5">
        <f>VLOOKUP(A765,Planilha1!B:E,4,0)</f>
        <v>0.37177548115779385</v>
      </c>
    </row>
    <row r="766" spans="1:22" x14ac:dyDescent="0.3">
      <c r="A766" t="str">
        <f t="shared" si="22"/>
        <v>MANTEIGA 5KGLACTALIS</v>
      </c>
      <c r="B766" t="str">
        <f t="shared" si="23"/>
        <v>5265320MANTEIGA 5KGLACTALIS</v>
      </c>
      <c r="C766" s="5" t="s">
        <v>226</v>
      </c>
      <c r="D766" s="5" t="s">
        <v>227</v>
      </c>
      <c r="E766" s="5" t="s">
        <v>1722</v>
      </c>
      <c r="F766" s="5">
        <v>5265320</v>
      </c>
      <c r="G766" s="5" t="s">
        <v>607</v>
      </c>
      <c r="H766" s="5" t="s">
        <v>30</v>
      </c>
      <c r="I766" s="5" t="s">
        <v>22</v>
      </c>
      <c r="J766" s="5" t="s">
        <v>60</v>
      </c>
      <c r="K766" s="6">
        <v>0</v>
      </c>
      <c r="L766" s="7">
        <v>50</v>
      </c>
      <c r="M766" s="8">
        <v>70.833333333333329</v>
      </c>
      <c r="N766" s="8">
        <v>0</v>
      </c>
      <c r="O766" s="8">
        <v>87.667573071281168</v>
      </c>
      <c r="P766" s="8">
        <v>0</v>
      </c>
      <c r="Q766" s="8">
        <v>60</v>
      </c>
      <c r="R766" s="8">
        <v>0</v>
      </c>
      <c r="S766" s="8">
        <v>0</v>
      </c>
      <c r="T766" s="5">
        <v>0</v>
      </c>
      <c r="U766" s="5">
        <v>0</v>
      </c>
      <c r="V766" s="5">
        <f>VLOOKUP(A766,Planilha1!B:E,4,0)</f>
        <v>11.476197020267191</v>
      </c>
    </row>
    <row r="767" spans="1:22" x14ac:dyDescent="0.3">
      <c r="A767" t="str">
        <f t="shared" si="22"/>
        <v>PARMESÃOLACTALIS</v>
      </c>
      <c r="B767" t="str">
        <f t="shared" si="23"/>
        <v>5265320PARMESÃOLACTALIS</v>
      </c>
      <c r="C767" s="5" t="s">
        <v>226</v>
      </c>
      <c r="D767" s="5" t="s">
        <v>227</v>
      </c>
      <c r="E767" s="5" t="s">
        <v>1722</v>
      </c>
      <c r="F767" s="5">
        <v>5265320</v>
      </c>
      <c r="G767" s="5" t="s">
        <v>607</v>
      </c>
      <c r="H767" s="5" t="s">
        <v>30</v>
      </c>
      <c r="I767" s="5" t="s">
        <v>22</v>
      </c>
      <c r="J767" s="5" t="s">
        <v>195</v>
      </c>
      <c r="K767" s="6">
        <v>0</v>
      </c>
      <c r="L767" s="7">
        <v>0</v>
      </c>
      <c r="M767" s="8">
        <v>29.146666666666668</v>
      </c>
      <c r="N767" s="8">
        <v>38.571666666666665</v>
      </c>
      <c r="O767" s="8">
        <v>36.753053056013385</v>
      </c>
      <c r="P767" s="8">
        <v>0</v>
      </c>
      <c r="Q767" s="8">
        <v>0</v>
      </c>
      <c r="R767" s="8">
        <v>0</v>
      </c>
      <c r="S767" s="8">
        <v>0</v>
      </c>
      <c r="T767" s="5">
        <v>0</v>
      </c>
      <c r="U767" s="5">
        <v>0</v>
      </c>
      <c r="V767" s="5">
        <f>VLOOKUP(A767,Planilha1!B:E,4,0)</f>
        <v>6.310326960724681</v>
      </c>
    </row>
    <row r="768" spans="1:22" x14ac:dyDescent="0.3">
      <c r="A768" t="str">
        <f t="shared" si="22"/>
        <v>MANTEIGA 5KGLACTALIS</v>
      </c>
      <c r="B768" t="str">
        <f t="shared" si="23"/>
        <v>5266191MANTEIGA 5KGLACTALIS</v>
      </c>
      <c r="C768" s="5" t="s">
        <v>226</v>
      </c>
      <c r="D768" s="5" t="s">
        <v>227</v>
      </c>
      <c r="E768" s="5" t="s">
        <v>1722</v>
      </c>
      <c r="F768" s="5">
        <v>5266191</v>
      </c>
      <c r="G768" s="5" t="s">
        <v>608</v>
      </c>
      <c r="H768" s="5" t="s">
        <v>30</v>
      </c>
      <c r="I768" s="5" t="s">
        <v>22</v>
      </c>
      <c r="J768" s="5" t="s">
        <v>60</v>
      </c>
      <c r="K768" s="6">
        <v>0</v>
      </c>
      <c r="L768" s="7">
        <v>20</v>
      </c>
      <c r="M768" s="8">
        <v>30</v>
      </c>
      <c r="N768" s="8">
        <v>26.666666666666668</v>
      </c>
      <c r="O768" s="8">
        <v>35.061342068404052</v>
      </c>
      <c r="P768" s="8">
        <v>0</v>
      </c>
      <c r="Q768" s="8">
        <v>0</v>
      </c>
      <c r="R768" s="8">
        <v>0</v>
      </c>
      <c r="S768" s="8">
        <v>20</v>
      </c>
      <c r="T768" s="5">
        <v>20</v>
      </c>
      <c r="U768" s="5">
        <v>20</v>
      </c>
      <c r="V768" s="5">
        <f>VLOOKUP(A768,Planilha1!B:E,4,0)</f>
        <v>11.476197020267191</v>
      </c>
    </row>
    <row r="769" spans="1:22" x14ac:dyDescent="0.3">
      <c r="A769" t="str">
        <f t="shared" si="22"/>
        <v>LEITE UHTLACTALIS</v>
      </c>
      <c r="B769" t="str">
        <f t="shared" si="23"/>
        <v>5266825LEITE UHTLACTALIS</v>
      </c>
      <c r="C769" s="5" t="s">
        <v>226</v>
      </c>
      <c r="D769" s="5" t="s">
        <v>227</v>
      </c>
      <c r="E769" s="5" t="s">
        <v>1722</v>
      </c>
      <c r="F769" s="5">
        <v>5266825</v>
      </c>
      <c r="G769" s="5" t="s">
        <v>609</v>
      </c>
      <c r="H769" s="5" t="s">
        <v>30</v>
      </c>
      <c r="I769" s="5" t="s">
        <v>22</v>
      </c>
      <c r="J769" s="5" t="s">
        <v>156</v>
      </c>
      <c r="K769" s="6">
        <v>0</v>
      </c>
      <c r="L769" s="7">
        <v>96</v>
      </c>
      <c r="M769" s="8">
        <v>60</v>
      </c>
      <c r="N769" s="8">
        <v>48</v>
      </c>
      <c r="O769" s="8">
        <v>28.344402233325454</v>
      </c>
      <c r="P769" s="8">
        <v>0</v>
      </c>
      <c r="Q769" s="8">
        <v>0</v>
      </c>
      <c r="R769" s="8">
        <v>0</v>
      </c>
      <c r="S769" s="8">
        <v>0</v>
      </c>
      <c r="T769" s="5">
        <v>0</v>
      </c>
      <c r="U769" s="5">
        <v>0</v>
      </c>
      <c r="V769" s="5">
        <f>VLOOKUP(A769,Planilha1!B:E,4,0)</f>
        <v>0.37177548115779385</v>
      </c>
    </row>
    <row r="770" spans="1:22" x14ac:dyDescent="0.3">
      <c r="A770" t="str">
        <f t="shared" ref="A770:A833" si="24">J770&amp;I770</f>
        <v>LEITE UHTLACTALIS</v>
      </c>
      <c r="B770" t="str">
        <f t="shared" si="23"/>
        <v>5270191LEITE UHTLACTALIS</v>
      </c>
      <c r="C770" s="5" t="s">
        <v>226</v>
      </c>
      <c r="D770" s="5" t="s">
        <v>227</v>
      </c>
      <c r="E770" s="5" t="s">
        <v>1722</v>
      </c>
      <c r="F770" s="5">
        <v>5270191</v>
      </c>
      <c r="G770" s="5" t="s">
        <v>610</v>
      </c>
      <c r="H770" s="5" t="s">
        <v>30</v>
      </c>
      <c r="I770" s="5" t="s">
        <v>22</v>
      </c>
      <c r="J770" s="5" t="s">
        <v>156</v>
      </c>
      <c r="K770" s="6">
        <v>0</v>
      </c>
      <c r="L770" s="7">
        <v>0</v>
      </c>
      <c r="M770" s="8">
        <v>400</v>
      </c>
      <c r="N770" s="8">
        <v>400</v>
      </c>
      <c r="O770" s="8">
        <v>1338.8901342438292</v>
      </c>
      <c r="P770" s="8">
        <v>0</v>
      </c>
      <c r="Q770" s="8">
        <v>0</v>
      </c>
      <c r="R770" s="8">
        <v>0</v>
      </c>
      <c r="S770" s="8">
        <v>0</v>
      </c>
      <c r="T770" s="5">
        <v>0</v>
      </c>
      <c r="U770" s="5">
        <v>0</v>
      </c>
      <c r="V770" s="5">
        <f>VLOOKUP(A770,Planilha1!B:E,4,0)</f>
        <v>0.37177548115779385</v>
      </c>
    </row>
    <row r="771" spans="1:22" x14ac:dyDescent="0.3">
      <c r="A771" t="str">
        <f t="shared" si="24"/>
        <v>LEITE UHTLACTALIS</v>
      </c>
      <c r="B771" t="str">
        <f t="shared" ref="B771:B834" si="25">F771&amp;J771&amp;I771</f>
        <v>5270331LEITE UHTLACTALIS</v>
      </c>
      <c r="C771" s="5" t="s">
        <v>226</v>
      </c>
      <c r="D771" s="5" t="s">
        <v>227</v>
      </c>
      <c r="E771" s="5" t="s">
        <v>1722</v>
      </c>
      <c r="F771" s="5">
        <v>5270331</v>
      </c>
      <c r="G771" s="5" t="s">
        <v>611</v>
      </c>
      <c r="H771" s="5" t="s">
        <v>30</v>
      </c>
      <c r="I771" s="5" t="s">
        <v>22</v>
      </c>
      <c r="J771" s="5" t="s">
        <v>156</v>
      </c>
      <c r="K771" s="6">
        <v>0</v>
      </c>
      <c r="L771" s="7">
        <v>60</v>
      </c>
      <c r="M771" s="8">
        <v>86</v>
      </c>
      <c r="N771" s="8">
        <v>96</v>
      </c>
      <c r="O771" s="8">
        <v>18.54480583755867</v>
      </c>
      <c r="P771" s="8">
        <v>0</v>
      </c>
      <c r="Q771" s="8">
        <v>0</v>
      </c>
      <c r="R771" s="8">
        <v>0</v>
      </c>
      <c r="S771" s="8">
        <v>0</v>
      </c>
      <c r="T771" s="5">
        <v>0</v>
      </c>
      <c r="U771" s="5">
        <v>0</v>
      </c>
      <c r="V771" s="5">
        <f>VLOOKUP(A771,Planilha1!B:E,4,0)</f>
        <v>0.37177548115779385</v>
      </c>
    </row>
    <row r="772" spans="1:22" x14ac:dyDescent="0.3">
      <c r="A772" t="str">
        <f t="shared" si="24"/>
        <v>MANTEIGA 5KGLACTALIS</v>
      </c>
      <c r="B772" t="str">
        <f t="shared" si="25"/>
        <v>5273270MANTEIGA 5KGLACTALIS</v>
      </c>
      <c r="C772" s="5" t="s">
        <v>226</v>
      </c>
      <c r="D772" s="5" t="s">
        <v>227</v>
      </c>
      <c r="E772" s="5" t="s">
        <v>1722</v>
      </c>
      <c r="F772" s="5">
        <v>5273270</v>
      </c>
      <c r="G772" s="5" t="s">
        <v>612</v>
      </c>
      <c r="H772" s="5" t="s">
        <v>30</v>
      </c>
      <c r="I772" s="5" t="s">
        <v>22</v>
      </c>
      <c r="J772" s="5" t="s">
        <v>60</v>
      </c>
      <c r="K772" s="6">
        <v>0</v>
      </c>
      <c r="L772" s="7">
        <v>10</v>
      </c>
      <c r="M772" s="8">
        <v>35.833333333333336</v>
      </c>
      <c r="N772" s="8">
        <v>30</v>
      </c>
      <c r="O772" s="8">
        <v>38.56605448521735</v>
      </c>
      <c r="P772" s="8">
        <v>0</v>
      </c>
      <c r="Q772" s="8">
        <v>10</v>
      </c>
      <c r="R772" s="8">
        <v>0</v>
      </c>
      <c r="S772" s="8">
        <v>5</v>
      </c>
      <c r="T772" s="5">
        <v>5</v>
      </c>
      <c r="U772" s="5">
        <v>5</v>
      </c>
      <c r="V772" s="5">
        <f>VLOOKUP(A772,Planilha1!B:E,4,0)</f>
        <v>11.476197020267191</v>
      </c>
    </row>
    <row r="773" spans="1:22" x14ac:dyDescent="0.3">
      <c r="A773" t="str">
        <f t="shared" si="24"/>
        <v>LEITE UHTLACTALIS</v>
      </c>
      <c r="B773" t="str">
        <f t="shared" si="25"/>
        <v>5274577LEITE UHTLACTALIS</v>
      </c>
      <c r="C773" s="5" t="s">
        <v>226</v>
      </c>
      <c r="D773" s="5" t="s">
        <v>227</v>
      </c>
      <c r="E773" s="5" t="s">
        <v>1722</v>
      </c>
      <c r="F773" s="5">
        <v>5274577</v>
      </c>
      <c r="G773" s="5" t="s">
        <v>613</v>
      </c>
      <c r="H773" s="5" t="s">
        <v>30</v>
      </c>
      <c r="I773" s="5" t="s">
        <v>22</v>
      </c>
      <c r="J773" s="5" t="s">
        <v>156</v>
      </c>
      <c r="K773" s="6">
        <v>0</v>
      </c>
      <c r="L773" s="7">
        <v>0</v>
      </c>
      <c r="M773" s="8">
        <v>46</v>
      </c>
      <c r="N773" s="8">
        <v>0</v>
      </c>
      <c r="O773" s="8">
        <v>95.953983793408781</v>
      </c>
      <c r="P773" s="8">
        <v>0</v>
      </c>
      <c r="Q773" s="8">
        <v>0</v>
      </c>
      <c r="R773" s="8">
        <v>0</v>
      </c>
      <c r="S773" s="8">
        <v>0</v>
      </c>
      <c r="T773" s="5">
        <v>0</v>
      </c>
      <c r="U773" s="5">
        <v>0</v>
      </c>
      <c r="V773" s="5">
        <f>VLOOKUP(A773,Planilha1!B:E,4,0)</f>
        <v>0.37177548115779385</v>
      </c>
    </row>
    <row r="774" spans="1:22" x14ac:dyDescent="0.3">
      <c r="A774" t="str">
        <f t="shared" si="24"/>
        <v>LEITE UHTLACTALIS</v>
      </c>
      <c r="B774" t="str">
        <f t="shared" si="25"/>
        <v>5274613LEITE UHTLACTALIS</v>
      </c>
      <c r="C774" s="5" t="s">
        <v>226</v>
      </c>
      <c r="D774" s="5" t="s">
        <v>227</v>
      </c>
      <c r="E774" s="5" t="s">
        <v>1722</v>
      </c>
      <c r="F774" s="5">
        <v>5274613</v>
      </c>
      <c r="G774" s="5" t="s">
        <v>614</v>
      </c>
      <c r="H774" s="5" t="s">
        <v>30</v>
      </c>
      <c r="I774" s="5" t="s">
        <v>22</v>
      </c>
      <c r="J774" s="5" t="s">
        <v>156</v>
      </c>
      <c r="K774" s="6">
        <v>0</v>
      </c>
      <c r="L774" s="7">
        <v>0</v>
      </c>
      <c r="M774" s="8">
        <v>174</v>
      </c>
      <c r="N774" s="8">
        <v>80</v>
      </c>
      <c r="O774" s="8">
        <v>95.949212811716592</v>
      </c>
      <c r="P774" s="8">
        <v>0</v>
      </c>
      <c r="Q774" s="8">
        <v>0</v>
      </c>
      <c r="R774" s="8">
        <v>0</v>
      </c>
      <c r="S774" s="8">
        <v>0</v>
      </c>
      <c r="T774" s="5">
        <v>0</v>
      </c>
      <c r="U774" s="5">
        <v>0</v>
      </c>
      <c r="V774" s="5">
        <f>VLOOKUP(A774,Planilha1!B:E,4,0)</f>
        <v>0.37177548115779385</v>
      </c>
    </row>
    <row r="775" spans="1:22" x14ac:dyDescent="0.3">
      <c r="A775" t="str">
        <f t="shared" si="24"/>
        <v>LEITE UHTLACTALIS</v>
      </c>
      <c r="B775" t="str">
        <f t="shared" si="25"/>
        <v>5278282LEITE UHTLACTALIS</v>
      </c>
      <c r="C775" s="5" t="s">
        <v>226</v>
      </c>
      <c r="D775" s="5" t="s">
        <v>227</v>
      </c>
      <c r="E775" s="5" t="s">
        <v>1722</v>
      </c>
      <c r="F775" s="5">
        <v>5278282</v>
      </c>
      <c r="G775" s="5" t="s">
        <v>615</v>
      </c>
      <c r="H775" s="5" t="s">
        <v>30</v>
      </c>
      <c r="I775" s="5" t="s">
        <v>22</v>
      </c>
      <c r="J775" s="5" t="s">
        <v>156</v>
      </c>
      <c r="K775" s="6">
        <v>0</v>
      </c>
      <c r="L775" s="7">
        <v>96</v>
      </c>
      <c r="M775" s="8">
        <v>84</v>
      </c>
      <c r="N775" s="8">
        <v>32</v>
      </c>
      <c r="O775" s="8">
        <v>61.068565660085142</v>
      </c>
      <c r="P775" s="8">
        <v>0</v>
      </c>
      <c r="Q775" s="8">
        <v>0</v>
      </c>
      <c r="R775" s="8">
        <v>0</v>
      </c>
      <c r="S775" s="8">
        <v>0</v>
      </c>
      <c r="T775" s="5">
        <v>0</v>
      </c>
      <c r="U775" s="5">
        <v>0</v>
      </c>
      <c r="V775" s="5">
        <f>VLOOKUP(A775,Planilha1!B:E,4,0)</f>
        <v>0.37177548115779385</v>
      </c>
    </row>
    <row r="776" spans="1:22" x14ac:dyDescent="0.3">
      <c r="A776" t="str">
        <f t="shared" si="24"/>
        <v>LEITE UHTLACTALIS</v>
      </c>
      <c r="B776" t="str">
        <f t="shared" si="25"/>
        <v>5278297LEITE UHTLACTALIS</v>
      </c>
      <c r="C776" s="5" t="s">
        <v>226</v>
      </c>
      <c r="D776" s="5" t="s">
        <v>227</v>
      </c>
      <c r="E776" s="5" t="s">
        <v>1722</v>
      </c>
      <c r="F776" s="5">
        <v>5278297</v>
      </c>
      <c r="G776" s="5" t="s">
        <v>616</v>
      </c>
      <c r="H776" s="5" t="s">
        <v>30</v>
      </c>
      <c r="I776" s="5" t="s">
        <v>22</v>
      </c>
      <c r="J776" s="5" t="s">
        <v>156</v>
      </c>
      <c r="K776" s="6">
        <v>0</v>
      </c>
      <c r="L776" s="7">
        <v>0</v>
      </c>
      <c r="M776" s="8">
        <v>24</v>
      </c>
      <c r="N776" s="8">
        <v>24</v>
      </c>
      <c r="O776" s="8">
        <v>82.852868066643651</v>
      </c>
      <c r="P776" s="8">
        <v>0</v>
      </c>
      <c r="Q776" s="8">
        <v>0</v>
      </c>
      <c r="R776" s="8">
        <v>0</v>
      </c>
      <c r="S776" s="8">
        <v>0</v>
      </c>
      <c r="T776" s="5">
        <v>0</v>
      </c>
      <c r="U776" s="5">
        <v>0</v>
      </c>
      <c r="V776" s="5">
        <f>VLOOKUP(A776,Planilha1!B:E,4,0)</f>
        <v>0.37177548115779385</v>
      </c>
    </row>
    <row r="777" spans="1:22" x14ac:dyDescent="0.3">
      <c r="A777" t="str">
        <f t="shared" si="24"/>
        <v>LEITE UHTLACTALIS</v>
      </c>
      <c r="B777" t="str">
        <f t="shared" si="25"/>
        <v>5278763LEITE UHTLACTALIS</v>
      </c>
      <c r="C777" s="5" t="s">
        <v>226</v>
      </c>
      <c r="D777" s="5" t="s">
        <v>227</v>
      </c>
      <c r="E777" s="5" t="s">
        <v>1722</v>
      </c>
      <c r="F777" s="5">
        <v>5278763</v>
      </c>
      <c r="G777" s="5" t="s">
        <v>617</v>
      </c>
      <c r="H777" s="5" t="s">
        <v>30</v>
      </c>
      <c r="I777" s="5" t="s">
        <v>22</v>
      </c>
      <c r="J777" s="5" t="s">
        <v>156</v>
      </c>
      <c r="K777" s="6">
        <v>0</v>
      </c>
      <c r="L777" s="7">
        <v>0</v>
      </c>
      <c r="M777" s="8">
        <v>140</v>
      </c>
      <c r="N777" s="8">
        <v>104</v>
      </c>
      <c r="O777" s="8">
        <v>41.431205015014015</v>
      </c>
      <c r="P777" s="8">
        <v>0</v>
      </c>
      <c r="Q777" s="8">
        <v>0</v>
      </c>
      <c r="R777" s="8">
        <v>0</v>
      </c>
      <c r="S777" s="8">
        <v>0</v>
      </c>
      <c r="T777" s="5">
        <v>0</v>
      </c>
      <c r="U777" s="5">
        <v>0</v>
      </c>
      <c r="V777" s="5">
        <f>VLOOKUP(A777,Planilha1!B:E,4,0)</f>
        <v>0.37177548115779385</v>
      </c>
    </row>
    <row r="778" spans="1:22" x14ac:dyDescent="0.3">
      <c r="A778" t="str">
        <f t="shared" si="24"/>
        <v>LEITE UHTLACTALIS</v>
      </c>
      <c r="B778" t="str">
        <f t="shared" si="25"/>
        <v>5279575LEITE UHTLACTALIS</v>
      </c>
      <c r="C778" s="5" t="s">
        <v>226</v>
      </c>
      <c r="D778" s="5" t="s">
        <v>227</v>
      </c>
      <c r="E778" s="5" t="s">
        <v>1722</v>
      </c>
      <c r="F778" s="5">
        <v>5279575</v>
      </c>
      <c r="G778" s="5" t="s">
        <v>618</v>
      </c>
      <c r="H778" s="5" t="s">
        <v>30</v>
      </c>
      <c r="I778" s="5" t="s">
        <v>22</v>
      </c>
      <c r="J778" s="5" t="s">
        <v>156</v>
      </c>
      <c r="K778" s="6">
        <v>0</v>
      </c>
      <c r="L778" s="7">
        <v>528</v>
      </c>
      <c r="M778" s="8">
        <v>220</v>
      </c>
      <c r="N778" s="8">
        <v>128</v>
      </c>
      <c r="O778" s="8">
        <v>174.44140361169477</v>
      </c>
      <c r="P778" s="8">
        <v>0</v>
      </c>
      <c r="Q778" s="8">
        <v>144</v>
      </c>
      <c r="R778" s="8">
        <v>0</v>
      </c>
      <c r="S778" s="8">
        <v>0</v>
      </c>
      <c r="T778" s="5">
        <v>0</v>
      </c>
      <c r="U778" s="5">
        <v>0</v>
      </c>
      <c r="V778" s="5">
        <f>VLOOKUP(A778,Planilha1!B:E,4,0)</f>
        <v>0.37177548115779385</v>
      </c>
    </row>
    <row r="779" spans="1:22" x14ac:dyDescent="0.3">
      <c r="A779" t="str">
        <f t="shared" si="24"/>
        <v>BLISTERLACTALIS</v>
      </c>
      <c r="B779" t="str">
        <f t="shared" si="25"/>
        <v>5280106BLISTERLACTALIS</v>
      </c>
      <c r="C779" s="5" t="s">
        <v>226</v>
      </c>
      <c r="D779" s="5" t="s">
        <v>227</v>
      </c>
      <c r="E779" s="5" t="s">
        <v>1722</v>
      </c>
      <c r="F779" s="5">
        <v>5280106</v>
      </c>
      <c r="G779" s="5" t="s">
        <v>619</v>
      </c>
      <c r="H779" s="5" t="s">
        <v>30</v>
      </c>
      <c r="I779" s="5" t="s">
        <v>22</v>
      </c>
      <c r="J779" s="5" t="s">
        <v>199</v>
      </c>
      <c r="K779" s="6">
        <v>0</v>
      </c>
      <c r="L779" s="7">
        <v>9.6</v>
      </c>
      <c r="M779" s="8">
        <v>26.04</v>
      </c>
      <c r="N779" s="8">
        <v>15.999999999999998</v>
      </c>
      <c r="O779" s="8">
        <v>11.128166411190847</v>
      </c>
      <c r="P779" s="8">
        <v>0</v>
      </c>
      <c r="Q779" s="8">
        <v>0</v>
      </c>
      <c r="R779" s="8">
        <v>0</v>
      </c>
      <c r="S779" s="8">
        <v>18</v>
      </c>
      <c r="T779" s="5">
        <v>18</v>
      </c>
      <c r="U779" s="5">
        <v>18</v>
      </c>
      <c r="V779" s="5">
        <f>VLOOKUP(A779,Planilha1!B:E,4,0)</f>
        <v>13.783871706210666</v>
      </c>
    </row>
    <row r="780" spans="1:22" x14ac:dyDescent="0.3">
      <c r="A780" t="str">
        <f t="shared" si="24"/>
        <v>LEITE UHTLACTALIS</v>
      </c>
      <c r="B780" t="str">
        <f t="shared" si="25"/>
        <v>5280106LEITE UHTLACTALIS</v>
      </c>
      <c r="C780" s="5" t="s">
        <v>226</v>
      </c>
      <c r="D780" s="5" t="s">
        <v>227</v>
      </c>
      <c r="E780" s="5" t="s">
        <v>1722</v>
      </c>
      <c r="F780" s="5">
        <v>5280106</v>
      </c>
      <c r="G780" s="5" t="s">
        <v>619</v>
      </c>
      <c r="H780" s="5" t="s">
        <v>30</v>
      </c>
      <c r="I780" s="5" t="s">
        <v>22</v>
      </c>
      <c r="J780" s="5" t="s">
        <v>156</v>
      </c>
      <c r="K780" s="6">
        <v>0</v>
      </c>
      <c r="L780" s="7">
        <v>0</v>
      </c>
      <c r="M780" s="8">
        <v>8</v>
      </c>
      <c r="N780" s="8">
        <v>0</v>
      </c>
      <c r="O780" s="8">
        <v>17.44270906666182</v>
      </c>
      <c r="P780" s="8">
        <v>0</v>
      </c>
      <c r="Q780" s="8">
        <v>72</v>
      </c>
      <c r="R780" s="8">
        <v>0</v>
      </c>
      <c r="S780" s="8">
        <v>0</v>
      </c>
      <c r="T780" s="5">
        <v>0</v>
      </c>
      <c r="U780" s="5">
        <v>0</v>
      </c>
      <c r="V780" s="5">
        <f>VLOOKUP(A780,Planilha1!B:E,4,0)</f>
        <v>0.37177548115779385</v>
      </c>
    </row>
    <row r="781" spans="1:22" x14ac:dyDescent="0.3">
      <c r="A781" t="str">
        <f t="shared" si="24"/>
        <v>LEITE UHTLACTALIS</v>
      </c>
      <c r="B781" t="str">
        <f t="shared" si="25"/>
        <v>5281095LEITE UHTLACTALIS</v>
      </c>
      <c r="C781" s="5" t="s">
        <v>226</v>
      </c>
      <c r="D781" s="5" t="s">
        <v>227</v>
      </c>
      <c r="E781" s="5" t="s">
        <v>1722</v>
      </c>
      <c r="F781" s="5">
        <v>5281095</v>
      </c>
      <c r="G781" s="5" t="s">
        <v>620</v>
      </c>
      <c r="H781" s="5" t="s">
        <v>30</v>
      </c>
      <c r="I781" s="5" t="s">
        <v>22</v>
      </c>
      <c r="J781" s="5" t="s">
        <v>156</v>
      </c>
      <c r="K781" s="6">
        <v>0</v>
      </c>
      <c r="L781" s="7">
        <v>420</v>
      </c>
      <c r="M781" s="8">
        <v>50</v>
      </c>
      <c r="N781" s="8">
        <v>0</v>
      </c>
      <c r="O781" s="8">
        <v>228.96418239008955</v>
      </c>
      <c r="P781" s="8">
        <v>0</v>
      </c>
      <c r="Q781" s="8">
        <v>0</v>
      </c>
      <c r="R781" s="8">
        <v>0</v>
      </c>
      <c r="S781" s="8">
        <v>0</v>
      </c>
      <c r="T781" s="5">
        <v>0</v>
      </c>
      <c r="U781" s="5">
        <v>0</v>
      </c>
      <c r="V781" s="5">
        <f>VLOOKUP(A781,Planilha1!B:E,4,0)</f>
        <v>0.37177548115779385</v>
      </c>
    </row>
    <row r="782" spans="1:22" x14ac:dyDescent="0.3">
      <c r="A782" t="str">
        <f t="shared" si="24"/>
        <v>LEITE UHTLACTALIS</v>
      </c>
      <c r="B782" t="str">
        <f t="shared" si="25"/>
        <v>5282188LEITE UHTLACTALIS</v>
      </c>
      <c r="C782" s="5" t="s">
        <v>226</v>
      </c>
      <c r="D782" s="5" t="s">
        <v>227</v>
      </c>
      <c r="E782" s="5" t="s">
        <v>1722</v>
      </c>
      <c r="F782" s="5">
        <v>5282188</v>
      </c>
      <c r="G782" s="5" t="s">
        <v>621</v>
      </c>
      <c r="H782" s="5" t="s">
        <v>30</v>
      </c>
      <c r="I782" s="5" t="s">
        <v>22</v>
      </c>
      <c r="J782" s="5" t="s">
        <v>156</v>
      </c>
      <c r="K782" s="6">
        <v>0</v>
      </c>
      <c r="L782" s="7">
        <v>0</v>
      </c>
      <c r="M782" s="8">
        <v>220</v>
      </c>
      <c r="N782" s="8">
        <v>120</v>
      </c>
      <c r="O782" s="8">
        <v>65.410158999981832</v>
      </c>
      <c r="P782" s="8">
        <v>0</v>
      </c>
      <c r="Q782" s="8">
        <v>0</v>
      </c>
      <c r="R782" s="8">
        <v>0</v>
      </c>
      <c r="S782" s="8">
        <v>0</v>
      </c>
      <c r="T782" s="5">
        <v>0</v>
      </c>
      <c r="U782" s="5">
        <v>0</v>
      </c>
      <c r="V782" s="5">
        <f>VLOOKUP(A782,Planilha1!B:E,4,0)</f>
        <v>0.37177548115779385</v>
      </c>
    </row>
    <row r="783" spans="1:22" x14ac:dyDescent="0.3">
      <c r="A783" t="str">
        <f t="shared" si="24"/>
        <v>LEITE UHTLACTALIS</v>
      </c>
      <c r="B783" t="str">
        <f t="shared" si="25"/>
        <v>5282216LEITE UHTLACTALIS</v>
      </c>
      <c r="C783" s="5" t="s">
        <v>226</v>
      </c>
      <c r="D783" s="5" t="s">
        <v>227</v>
      </c>
      <c r="E783" s="5" t="s">
        <v>1722</v>
      </c>
      <c r="F783" s="5">
        <v>5282216</v>
      </c>
      <c r="G783" s="5" t="s">
        <v>622</v>
      </c>
      <c r="H783" s="5" t="s">
        <v>30</v>
      </c>
      <c r="I783" s="5" t="s">
        <v>22</v>
      </c>
      <c r="J783" s="5" t="s">
        <v>156</v>
      </c>
      <c r="K783" s="6">
        <v>0</v>
      </c>
      <c r="L783" s="7">
        <v>120</v>
      </c>
      <c r="M783" s="8">
        <v>120</v>
      </c>
      <c r="N783" s="8">
        <v>120</v>
      </c>
      <c r="O783" s="8">
        <v>65.414929981674021</v>
      </c>
      <c r="P783" s="8">
        <v>0</v>
      </c>
      <c r="Q783" s="8">
        <v>0</v>
      </c>
      <c r="R783" s="8">
        <v>0</v>
      </c>
      <c r="S783" s="8">
        <v>0</v>
      </c>
      <c r="T783" s="5">
        <v>0</v>
      </c>
      <c r="U783" s="5">
        <v>0</v>
      </c>
      <c r="V783" s="5">
        <f>VLOOKUP(A783,Planilha1!B:E,4,0)</f>
        <v>0.37177548115779385</v>
      </c>
    </row>
    <row r="784" spans="1:22" x14ac:dyDescent="0.3">
      <c r="A784" t="str">
        <f t="shared" si="24"/>
        <v>LEITE UHTLACTALIS</v>
      </c>
      <c r="B784" t="str">
        <f t="shared" si="25"/>
        <v>5282224LEITE UHTLACTALIS</v>
      </c>
      <c r="C784" s="5" t="s">
        <v>226</v>
      </c>
      <c r="D784" s="5" t="s">
        <v>227</v>
      </c>
      <c r="E784" s="5" t="s">
        <v>1722</v>
      </c>
      <c r="F784" s="5">
        <v>5282224</v>
      </c>
      <c r="G784" s="5" t="s">
        <v>623</v>
      </c>
      <c r="H784" s="5" t="s">
        <v>30</v>
      </c>
      <c r="I784" s="5" t="s">
        <v>22</v>
      </c>
      <c r="J784" s="5" t="s">
        <v>156</v>
      </c>
      <c r="K784" s="6">
        <v>0</v>
      </c>
      <c r="L784" s="7">
        <v>180</v>
      </c>
      <c r="M784" s="8">
        <v>166</v>
      </c>
      <c r="N784" s="8">
        <v>92</v>
      </c>
      <c r="O784" s="8">
        <v>98.129551445049316</v>
      </c>
      <c r="P784" s="8">
        <v>0</v>
      </c>
      <c r="Q784" s="8">
        <v>0</v>
      </c>
      <c r="R784" s="8">
        <v>0</v>
      </c>
      <c r="S784" s="8">
        <v>0</v>
      </c>
      <c r="T784" s="5">
        <v>0</v>
      </c>
      <c r="U784" s="5">
        <v>0</v>
      </c>
      <c r="V784" s="5">
        <f>VLOOKUP(A784,Planilha1!B:E,4,0)</f>
        <v>0.37177548115779385</v>
      </c>
    </row>
    <row r="785" spans="1:22" x14ac:dyDescent="0.3">
      <c r="A785" t="str">
        <f t="shared" si="24"/>
        <v>LEITE UHTLACTALIS</v>
      </c>
      <c r="B785" t="str">
        <f t="shared" si="25"/>
        <v>5282722LEITE UHTLACTALIS</v>
      </c>
      <c r="C785" s="5" t="s">
        <v>226</v>
      </c>
      <c r="D785" s="5" t="s">
        <v>227</v>
      </c>
      <c r="E785" s="5" t="s">
        <v>1722</v>
      </c>
      <c r="F785" s="5">
        <v>5282722</v>
      </c>
      <c r="G785" s="5" t="s">
        <v>624</v>
      </c>
      <c r="H785" s="5" t="s">
        <v>30</v>
      </c>
      <c r="I785" s="5" t="s">
        <v>22</v>
      </c>
      <c r="J785" s="5" t="s">
        <v>156</v>
      </c>
      <c r="K785" s="6">
        <v>0</v>
      </c>
      <c r="L785" s="7">
        <v>0</v>
      </c>
      <c r="M785" s="8">
        <v>0</v>
      </c>
      <c r="N785" s="8">
        <v>0</v>
      </c>
      <c r="O785" s="8">
        <v>21.803386333327275</v>
      </c>
      <c r="P785" s="8">
        <v>0</v>
      </c>
      <c r="Q785" s="8">
        <v>0</v>
      </c>
      <c r="R785" s="8">
        <v>0</v>
      </c>
      <c r="S785" s="8">
        <v>0</v>
      </c>
      <c r="T785" s="5">
        <v>0</v>
      </c>
      <c r="U785" s="5">
        <v>0</v>
      </c>
      <c r="V785" s="5">
        <f>VLOOKUP(A785,Planilha1!B:E,4,0)</f>
        <v>0.37177548115779385</v>
      </c>
    </row>
    <row r="786" spans="1:22" x14ac:dyDescent="0.3">
      <c r="A786" t="str">
        <f t="shared" si="24"/>
        <v>LEITE UHTLACTALIS</v>
      </c>
      <c r="B786" t="str">
        <f t="shared" si="25"/>
        <v>5282868LEITE UHTLACTALIS</v>
      </c>
      <c r="C786" s="5" t="s">
        <v>226</v>
      </c>
      <c r="D786" s="5" t="s">
        <v>227</v>
      </c>
      <c r="E786" s="5" t="s">
        <v>1722</v>
      </c>
      <c r="F786" s="5">
        <v>5282868</v>
      </c>
      <c r="G786" s="5" t="s">
        <v>625</v>
      </c>
      <c r="H786" s="5" t="s">
        <v>30</v>
      </c>
      <c r="I786" s="5" t="s">
        <v>22</v>
      </c>
      <c r="J786" s="5" t="s">
        <v>156</v>
      </c>
      <c r="K786" s="6">
        <v>0</v>
      </c>
      <c r="L786" s="7">
        <v>72</v>
      </c>
      <c r="M786" s="8">
        <v>92</v>
      </c>
      <c r="N786" s="8">
        <v>88</v>
      </c>
      <c r="O786" s="8">
        <v>47.967449933320005</v>
      </c>
      <c r="P786" s="8">
        <v>0</v>
      </c>
      <c r="Q786" s="8">
        <v>96</v>
      </c>
      <c r="R786" s="8">
        <v>0</v>
      </c>
      <c r="S786" s="8">
        <v>0</v>
      </c>
      <c r="T786" s="5">
        <v>0</v>
      </c>
      <c r="U786" s="5">
        <v>0</v>
      </c>
      <c r="V786" s="5">
        <f>VLOOKUP(A786,Planilha1!B:E,4,0)</f>
        <v>0.37177548115779385</v>
      </c>
    </row>
    <row r="787" spans="1:22" x14ac:dyDescent="0.3">
      <c r="A787" t="str">
        <f t="shared" si="24"/>
        <v>BLISTERLACTALIS</v>
      </c>
      <c r="B787" t="str">
        <f t="shared" si="25"/>
        <v>5285369BLISTERLACTALIS</v>
      </c>
      <c r="C787" s="5" t="s">
        <v>226</v>
      </c>
      <c r="D787" s="5" t="s">
        <v>227</v>
      </c>
      <c r="E787" s="5" t="s">
        <v>1722</v>
      </c>
      <c r="F787" s="5">
        <v>5285369</v>
      </c>
      <c r="G787" s="5" t="s">
        <v>626</v>
      </c>
      <c r="H787" s="5" t="s">
        <v>30</v>
      </c>
      <c r="I787" s="5" t="s">
        <v>22</v>
      </c>
      <c r="J787" s="5" t="s">
        <v>199</v>
      </c>
      <c r="K787" s="6">
        <v>0</v>
      </c>
      <c r="L787" s="7">
        <v>7.68</v>
      </c>
      <c r="M787" s="8">
        <v>6.08</v>
      </c>
      <c r="N787" s="8">
        <v>3.84</v>
      </c>
      <c r="O787" s="8">
        <v>1.4831257441060808</v>
      </c>
      <c r="P787" s="8">
        <v>0</v>
      </c>
      <c r="Q787" s="8">
        <v>0</v>
      </c>
      <c r="R787" s="8">
        <v>0</v>
      </c>
      <c r="S787" s="8">
        <v>0</v>
      </c>
      <c r="T787" s="5">
        <v>0</v>
      </c>
      <c r="U787" s="5">
        <v>0</v>
      </c>
      <c r="V787" s="5">
        <f>VLOOKUP(A787,Planilha1!B:E,4,0)</f>
        <v>13.783871706210666</v>
      </c>
    </row>
    <row r="788" spans="1:22" x14ac:dyDescent="0.3">
      <c r="A788" t="str">
        <f t="shared" si="24"/>
        <v>LEITE UHTLACTALIS</v>
      </c>
      <c r="B788" t="str">
        <f t="shared" si="25"/>
        <v>5285369LEITE UHTLACTALIS</v>
      </c>
      <c r="C788" s="5" t="s">
        <v>226</v>
      </c>
      <c r="D788" s="5" t="s">
        <v>227</v>
      </c>
      <c r="E788" s="5" t="s">
        <v>1722</v>
      </c>
      <c r="F788" s="5">
        <v>5285369</v>
      </c>
      <c r="G788" s="5" t="s">
        <v>626</v>
      </c>
      <c r="H788" s="5" t="s">
        <v>30</v>
      </c>
      <c r="I788" s="5" t="s">
        <v>22</v>
      </c>
      <c r="J788" s="5" t="s">
        <v>156</v>
      </c>
      <c r="K788" s="6">
        <v>0</v>
      </c>
      <c r="L788" s="7">
        <v>36</v>
      </c>
      <c r="M788" s="8">
        <v>26</v>
      </c>
      <c r="N788" s="8">
        <v>40</v>
      </c>
      <c r="O788" s="8">
        <v>6.5457868816903764</v>
      </c>
      <c r="P788" s="8">
        <v>0</v>
      </c>
      <c r="Q788" s="8">
        <v>0</v>
      </c>
      <c r="R788" s="8">
        <v>0</v>
      </c>
      <c r="S788" s="8">
        <v>0</v>
      </c>
      <c r="T788" s="5">
        <v>0</v>
      </c>
      <c r="U788" s="5">
        <v>0</v>
      </c>
      <c r="V788" s="5">
        <f>VLOOKUP(A788,Planilha1!B:E,4,0)</f>
        <v>0.37177548115779385</v>
      </c>
    </row>
    <row r="789" spans="1:22" x14ac:dyDescent="0.3">
      <c r="A789" t="str">
        <f t="shared" si="24"/>
        <v>LEITE UHTLACTALIS</v>
      </c>
      <c r="B789" t="str">
        <f t="shared" si="25"/>
        <v>5285409LEITE UHTLACTALIS</v>
      </c>
      <c r="C789" s="5" t="s">
        <v>226</v>
      </c>
      <c r="D789" s="5" t="s">
        <v>227</v>
      </c>
      <c r="E789" s="5" t="s">
        <v>1722</v>
      </c>
      <c r="F789" s="5">
        <v>5285409</v>
      </c>
      <c r="G789" s="5" t="s">
        <v>627</v>
      </c>
      <c r="H789" s="5" t="s">
        <v>30</v>
      </c>
      <c r="I789" s="5" t="s">
        <v>22</v>
      </c>
      <c r="J789" s="5" t="s">
        <v>156</v>
      </c>
      <c r="K789" s="6">
        <v>0</v>
      </c>
      <c r="L789" s="7">
        <v>648</v>
      </c>
      <c r="M789" s="8">
        <v>520</v>
      </c>
      <c r="N789" s="8">
        <v>392</v>
      </c>
      <c r="O789" s="8">
        <v>255.13778795346667</v>
      </c>
      <c r="P789" s="8">
        <v>0</v>
      </c>
      <c r="Q789" s="8">
        <v>156</v>
      </c>
      <c r="R789" s="8">
        <v>0</v>
      </c>
      <c r="S789" s="8">
        <v>0</v>
      </c>
      <c r="T789" s="5">
        <v>0</v>
      </c>
      <c r="U789" s="5">
        <v>0</v>
      </c>
      <c r="V789" s="5">
        <f>VLOOKUP(A789,Planilha1!B:E,4,0)</f>
        <v>0.37177548115779385</v>
      </c>
    </row>
    <row r="790" spans="1:22" x14ac:dyDescent="0.3">
      <c r="A790" t="str">
        <f t="shared" si="24"/>
        <v>LEITE UHTLACTALIS</v>
      </c>
      <c r="B790" t="str">
        <f t="shared" si="25"/>
        <v>5285931LEITE UHTLACTALIS</v>
      </c>
      <c r="C790" s="5" t="s">
        <v>226</v>
      </c>
      <c r="D790" s="5" t="s">
        <v>227</v>
      </c>
      <c r="E790" s="5" t="s">
        <v>1722</v>
      </c>
      <c r="F790" s="5">
        <v>5285931</v>
      </c>
      <c r="G790" s="5" t="s">
        <v>628</v>
      </c>
      <c r="H790" s="5" t="s">
        <v>30</v>
      </c>
      <c r="I790" s="5" t="s">
        <v>22</v>
      </c>
      <c r="J790" s="5" t="s">
        <v>156</v>
      </c>
      <c r="K790" s="6">
        <v>0</v>
      </c>
      <c r="L790" s="7">
        <v>240</v>
      </c>
      <c r="M790" s="8">
        <v>156</v>
      </c>
      <c r="N790" s="8">
        <v>132</v>
      </c>
      <c r="O790" s="8">
        <v>141.74109509339604</v>
      </c>
      <c r="P790" s="8">
        <v>0</v>
      </c>
      <c r="Q790" s="8">
        <v>180</v>
      </c>
      <c r="R790" s="8">
        <v>0</v>
      </c>
      <c r="S790" s="8">
        <v>0</v>
      </c>
      <c r="T790" s="5">
        <v>0</v>
      </c>
      <c r="U790" s="5">
        <v>0</v>
      </c>
      <c r="V790" s="5">
        <f>VLOOKUP(A790,Planilha1!B:E,4,0)</f>
        <v>0.37177548115779385</v>
      </c>
    </row>
    <row r="791" spans="1:22" x14ac:dyDescent="0.3">
      <c r="A791" t="str">
        <f t="shared" si="24"/>
        <v>LEITE UHTLACTALIS</v>
      </c>
      <c r="B791" t="str">
        <f t="shared" si="25"/>
        <v>5286104LEITE UHTLACTALIS</v>
      </c>
      <c r="C791" s="5" t="s">
        <v>226</v>
      </c>
      <c r="D791" s="5" t="s">
        <v>227</v>
      </c>
      <c r="E791" s="5" t="s">
        <v>1722</v>
      </c>
      <c r="F791" s="5">
        <v>5286104</v>
      </c>
      <c r="G791" s="5" t="s">
        <v>629</v>
      </c>
      <c r="H791" s="5" t="s">
        <v>30</v>
      </c>
      <c r="I791" s="5" t="s">
        <v>22</v>
      </c>
      <c r="J791" s="5" t="s">
        <v>156</v>
      </c>
      <c r="K791" s="6">
        <v>0</v>
      </c>
      <c r="L791" s="7">
        <v>648</v>
      </c>
      <c r="M791" s="8">
        <v>352</v>
      </c>
      <c r="N791" s="8">
        <v>244</v>
      </c>
      <c r="O791" s="8">
        <v>290.01366412340593</v>
      </c>
      <c r="P791" s="8">
        <v>0</v>
      </c>
      <c r="Q791" s="8">
        <v>120</v>
      </c>
      <c r="R791" s="8">
        <v>0</v>
      </c>
      <c r="S791" s="8">
        <v>0</v>
      </c>
      <c r="T791" s="5">
        <v>0</v>
      </c>
      <c r="U791" s="5">
        <v>0</v>
      </c>
      <c r="V791" s="5">
        <f>VLOOKUP(A791,Planilha1!B:E,4,0)</f>
        <v>0.37177548115779385</v>
      </c>
    </row>
    <row r="792" spans="1:22" x14ac:dyDescent="0.3">
      <c r="A792" t="str">
        <f t="shared" si="24"/>
        <v>BLISTERLACTALIS</v>
      </c>
      <c r="B792" t="str">
        <f t="shared" si="25"/>
        <v>5286846BLISTERLACTALIS</v>
      </c>
      <c r="C792" s="5" t="s">
        <v>226</v>
      </c>
      <c r="D792" s="5" t="s">
        <v>227</v>
      </c>
      <c r="E792" s="5" t="s">
        <v>1722</v>
      </c>
      <c r="F792" s="5">
        <v>5286846</v>
      </c>
      <c r="G792" s="5" t="s">
        <v>630</v>
      </c>
      <c r="H792" s="5" t="s">
        <v>30</v>
      </c>
      <c r="I792" s="5" t="s">
        <v>22</v>
      </c>
      <c r="J792" s="5" t="s">
        <v>199</v>
      </c>
      <c r="K792" s="6">
        <v>0</v>
      </c>
      <c r="L792" s="7">
        <v>1.92</v>
      </c>
      <c r="M792" s="8">
        <v>3.8400000000000003</v>
      </c>
      <c r="N792" s="8">
        <v>3.84</v>
      </c>
      <c r="O792" s="8">
        <v>2.9756981490026457</v>
      </c>
      <c r="P792" s="8">
        <v>0</v>
      </c>
      <c r="Q792" s="8">
        <v>1.92</v>
      </c>
      <c r="R792" s="8">
        <v>0</v>
      </c>
      <c r="S792" s="8">
        <v>2</v>
      </c>
      <c r="T792" s="5">
        <v>2</v>
      </c>
      <c r="U792" s="5">
        <v>0</v>
      </c>
      <c r="V792" s="5">
        <f>VLOOKUP(A792,Planilha1!B:E,4,0)</f>
        <v>13.783871706210666</v>
      </c>
    </row>
    <row r="793" spans="1:22" x14ac:dyDescent="0.3">
      <c r="A793" t="str">
        <f t="shared" si="24"/>
        <v>MANTEIGA 5KGLACTALIS</v>
      </c>
      <c r="B793" t="str">
        <f t="shared" si="25"/>
        <v>5286846MANTEIGA 5KGLACTALIS</v>
      </c>
      <c r="C793" s="5" t="s">
        <v>226</v>
      </c>
      <c r="D793" s="5" t="s">
        <v>227</v>
      </c>
      <c r="E793" s="5" t="s">
        <v>1722</v>
      </c>
      <c r="F793" s="5">
        <v>5286846</v>
      </c>
      <c r="G793" s="5" t="s">
        <v>630</v>
      </c>
      <c r="H793" s="5" t="s">
        <v>30</v>
      </c>
      <c r="I793" s="5" t="s">
        <v>22</v>
      </c>
      <c r="J793" s="5" t="s">
        <v>60</v>
      </c>
      <c r="K793" s="6">
        <v>0</v>
      </c>
      <c r="L793" s="7">
        <v>10</v>
      </c>
      <c r="M793" s="8">
        <v>10</v>
      </c>
      <c r="N793" s="8">
        <v>8.3333333333333339</v>
      </c>
      <c r="O793" s="8">
        <v>12.270047933914315</v>
      </c>
      <c r="P793" s="8">
        <v>0</v>
      </c>
      <c r="Q793" s="8">
        <v>5</v>
      </c>
      <c r="R793" s="8">
        <v>0</v>
      </c>
      <c r="S793" s="8">
        <v>10</v>
      </c>
      <c r="T793" s="5">
        <v>10</v>
      </c>
      <c r="U793" s="5">
        <v>5</v>
      </c>
      <c r="V793" s="5">
        <f>VLOOKUP(A793,Planilha1!B:E,4,0)</f>
        <v>11.476197020267191</v>
      </c>
    </row>
    <row r="794" spans="1:22" x14ac:dyDescent="0.3">
      <c r="A794" t="str">
        <f t="shared" si="24"/>
        <v>LEITE UHTLACTALIS</v>
      </c>
      <c r="B794" t="str">
        <f t="shared" si="25"/>
        <v>5286846LEITE UHTLACTALIS</v>
      </c>
      <c r="C794" s="5" t="s">
        <v>226</v>
      </c>
      <c r="D794" s="5" t="s">
        <v>227</v>
      </c>
      <c r="E794" s="5" t="s">
        <v>1722</v>
      </c>
      <c r="F794" s="5">
        <v>5286846</v>
      </c>
      <c r="G794" s="5" t="s">
        <v>630</v>
      </c>
      <c r="H794" s="5" t="s">
        <v>30</v>
      </c>
      <c r="I794" s="5" t="s">
        <v>22</v>
      </c>
      <c r="J794" s="5" t="s">
        <v>156</v>
      </c>
      <c r="K794" s="6">
        <v>0</v>
      </c>
      <c r="L794" s="7">
        <v>156</v>
      </c>
      <c r="M794" s="8">
        <v>110</v>
      </c>
      <c r="N794" s="8">
        <v>136</v>
      </c>
      <c r="O794" s="8">
        <v>65.419700963366211</v>
      </c>
      <c r="P794" s="8">
        <v>0</v>
      </c>
      <c r="Q794" s="8">
        <v>84</v>
      </c>
      <c r="R794" s="8">
        <v>0</v>
      </c>
      <c r="S794" s="8">
        <v>0</v>
      </c>
      <c r="T794" s="5">
        <v>0</v>
      </c>
      <c r="U794" s="5">
        <v>0</v>
      </c>
      <c r="V794" s="5">
        <f>VLOOKUP(A794,Planilha1!B:E,4,0)</f>
        <v>0.37177548115779385</v>
      </c>
    </row>
    <row r="795" spans="1:22" x14ac:dyDescent="0.3">
      <c r="A795" t="str">
        <f t="shared" si="24"/>
        <v>MANTEIGA 5KGLACTALIS</v>
      </c>
      <c r="B795" t="str">
        <f t="shared" si="25"/>
        <v>5288228MANTEIGA 5KGLACTALIS</v>
      </c>
      <c r="C795" s="5" t="s">
        <v>226</v>
      </c>
      <c r="D795" s="5" t="s">
        <v>227</v>
      </c>
      <c r="E795" s="5" t="s">
        <v>1722</v>
      </c>
      <c r="F795" s="5">
        <v>5288228</v>
      </c>
      <c r="G795" s="5" t="s">
        <v>631</v>
      </c>
      <c r="H795" s="5" t="s">
        <v>30</v>
      </c>
      <c r="I795" s="5" t="s">
        <v>22</v>
      </c>
      <c r="J795" s="5" t="s">
        <v>60</v>
      </c>
      <c r="K795" s="6">
        <v>0</v>
      </c>
      <c r="L795" s="7">
        <v>50</v>
      </c>
      <c r="M795" s="8">
        <v>71.666666666666671</v>
      </c>
      <c r="N795" s="8">
        <v>65</v>
      </c>
      <c r="O795" s="8">
        <v>70.129793086943636</v>
      </c>
      <c r="P795" s="8">
        <v>0</v>
      </c>
      <c r="Q795" s="8">
        <v>35</v>
      </c>
      <c r="R795" s="8">
        <v>0</v>
      </c>
      <c r="S795" s="8">
        <v>45</v>
      </c>
      <c r="T795" s="5">
        <v>45</v>
      </c>
      <c r="U795" s="5">
        <v>15</v>
      </c>
      <c r="V795" s="5">
        <f>VLOOKUP(A795,Planilha1!B:E,4,0)</f>
        <v>11.476197020267191</v>
      </c>
    </row>
    <row r="796" spans="1:22" x14ac:dyDescent="0.3">
      <c r="A796" t="str">
        <f t="shared" si="24"/>
        <v>LEITE UHTLACTALIS</v>
      </c>
      <c r="B796" t="str">
        <f t="shared" si="25"/>
        <v>5288228LEITE UHTLACTALIS</v>
      </c>
      <c r="C796" s="5" t="s">
        <v>226</v>
      </c>
      <c r="D796" s="5" t="s">
        <v>227</v>
      </c>
      <c r="E796" s="5" t="s">
        <v>1722</v>
      </c>
      <c r="F796" s="5">
        <v>5288228</v>
      </c>
      <c r="G796" s="5" t="s">
        <v>631</v>
      </c>
      <c r="H796" s="5" t="s">
        <v>30</v>
      </c>
      <c r="I796" s="5" t="s">
        <v>22</v>
      </c>
      <c r="J796" s="5" t="s">
        <v>156</v>
      </c>
      <c r="K796" s="6">
        <v>0</v>
      </c>
      <c r="L796" s="7">
        <v>36</v>
      </c>
      <c r="M796" s="8">
        <v>88</v>
      </c>
      <c r="N796" s="8">
        <v>84</v>
      </c>
      <c r="O796" s="8">
        <v>21.808157315019468</v>
      </c>
      <c r="P796" s="8">
        <v>0</v>
      </c>
      <c r="Q796" s="8">
        <v>0</v>
      </c>
      <c r="R796" s="8">
        <v>0</v>
      </c>
      <c r="S796" s="8">
        <v>0</v>
      </c>
      <c r="T796" s="5">
        <v>0</v>
      </c>
      <c r="U796" s="5">
        <v>0</v>
      </c>
      <c r="V796" s="5">
        <f>VLOOKUP(A796,Planilha1!B:E,4,0)</f>
        <v>0.37177548115779385</v>
      </c>
    </row>
    <row r="797" spans="1:22" x14ac:dyDescent="0.3">
      <c r="A797" t="str">
        <f t="shared" si="24"/>
        <v>BLISTERLACTALIS</v>
      </c>
      <c r="B797" t="str">
        <f t="shared" si="25"/>
        <v>5288519BLISTERLACTALIS</v>
      </c>
      <c r="C797" s="5" t="s">
        <v>226</v>
      </c>
      <c r="D797" s="5" t="s">
        <v>227</v>
      </c>
      <c r="E797" s="5" t="s">
        <v>1722</v>
      </c>
      <c r="F797" s="5">
        <v>5288519</v>
      </c>
      <c r="G797" s="5" t="s">
        <v>632</v>
      </c>
      <c r="H797" s="5" t="s">
        <v>30</v>
      </c>
      <c r="I797" s="5" t="s">
        <v>22</v>
      </c>
      <c r="J797" s="5" t="s">
        <v>199</v>
      </c>
      <c r="K797" s="6">
        <v>0</v>
      </c>
      <c r="L797" s="7">
        <v>0</v>
      </c>
      <c r="M797" s="8">
        <v>0</v>
      </c>
      <c r="N797" s="8">
        <v>0</v>
      </c>
      <c r="O797" s="8">
        <v>0.73683954165779808</v>
      </c>
      <c r="P797" s="8">
        <v>0</v>
      </c>
      <c r="Q797" s="8">
        <v>0</v>
      </c>
      <c r="R797" s="8">
        <v>0</v>
      </c>
      <c r="S797" s="8">
        <v>0</v>
      </c>
      <c r="T797" s="5">
        <v>0</v>
      </c>
      <c r="U797" s="5">
        <v>0</v>
      </c>
      <c r="V797" s="5">
        <f>VLOOKUP(A797,Planilha1!B:E,4,0)</f>
        <v>13.783871706210666</v>
      </c>
    </row>
    <row r="798" spans="1:22" x14ac:dyDescent="0.3">
      <c r="A798" t="str">
        <f t="shared" si="24"/>
        <v>MANTEIGA 5KGLACTALIS</v>
      </c>
      <c r="B798" t="str">
        <f t="shared" si="25"/>
        <v>5289223MANTEIGA 5KGLACTALIS</v>
      </c>
      <c r="C798" s="5" t="s">
        <v>226</v>
      </c>
      <c r="D798" s="5" t="s">
        <v>227</v>
      </c>
      <c r="E798" s="5" t="s">
        <v>1722</v>
      </c>
      <c r="F798" s="5">
        <v>5289223</v>
      </c>
      <c r="G798" s="5" t="s">
        <v>633</v>
      </c>
      <c r="H798" s="5" t="s">
        <v>30</v>
      </c>
      <c r="I798" s="5" t="s">
        <v>22</v>
      </c>
      <c r="J798" s="5" t="s">
        <v>60</v>
      </c>
      <c r="K798" s="6">
        <v>0</v>
      </c>
      <c r="L798" s="7">
        <v>30</v>
      </c>
      <c r="M798" s="8">
        <v>46.666666666666664</v>
      </c>
      <c r="N798" s="8">
        <v>40</v>
      </c>
      <c r="O798" s="8">
        <v>56.103834469554904</v>
      </c>
      <c r="P798" s="8">
        <v>0</v>
      </c>
      <c r="Q798" s="8">
        <v>0</v>
      </c>
      <c r="R798" s="8">
        <v>0</v>
      </c>
      <c r="S798" s="8">
        <v>60</v>
      </c>
      <c r="T798" s="5">
        <v>60</v>
      </c>
      <c r="U798" s="5">
        <v>30</v>
      </c>
      <c r="V798" s="5">
        <f>VLOOKUP(A798,Planilha1!B:E,4,0)</f>
        <v>11.476197020267191</v>
      </c>
    </row>
    <row r="799" spans="1:22" x14ac:dyDescent="0.3">
      <c r="A799" t="str">
        <f t="shared" si="24"/>
        <v>LEITE UHTLACTALIS</v>
      </c>
      <c r="B799" t="str">
        <f t="shared" si="25"/>
        <v>5291033LEITE UHTLACTALIS</v>
      </c>
      <c r="C799" s="5" t="s">
        <v>226</v>
      </c>
      <c r="D799" s="5" t="s">
        <v>227</v>
      </c>
      <c r="E799" s="5" t="s">
        <v>1722</v>
      </c>
      <c r="F799" s="5">
        <v>5291033</v>
      </c>
      <c r="G799" s="5" t="s">
        <v>634</v>
      </c>
      <c r="H799" s="5" t="s">
        <v>30</v>
      </c>
      <c r="I799" s="5" t="s">
        <v>22</v>
      </c>
      <c r="J799" s="5" t="s">
        <v>156</v>
      </c>
      <c r="K799" s="6">
        <v>0</v>
      </c>
      <c r="L799" s="7">
        <v>168</v>
      </c>
      <c r="M799" s="8">
        <v>56</v>
      </c>
      <c r="N799" s="8">
        <v>24</v>
      </c>
      <c r="O799" s="8">
        <v>17.44270906666182</v>
      </c>
      <c r="P799" s="8">
        <v>0</v>
      </c>
      <c r="Q799" s="8">
        <v>0</v>
      </c>
      <c r="R799" s="8">
        <v>0</v>
      </c>
      <c r="S799" s="8">
        <v>0</v>
      </c>
      <c r="T799" s="5">
        <v>0</v>
      </c>
      <c r="U799" s="5">
        <v>0</v>
      </c>
      <c r="V799" s="5">
        <f>VLOOKUP(A799,Planilha1!B:E,4,0)</f>
        <v>0.37177548115779385</v>
      </c>
    </row>
    <row r="800" spans="1:22" x14ac:dyDescent="0.3">
      <c r="A800" t="str">
        <f t="shared" si="24"/>
        <v>BLISTERLACTALIS</v>
      </c>
      <c r="B800" t="str">
        <f t="shared" si="25"/>
        <v>5291412BLISTERLACTALIS</v>
      </c>
      <c r="C800" s="5" t="s">
        <v>226</v>
      </c>
      <c r="D800" s="5" t="s">
        <v>227</v>
      </c>
      <c r="E800" s="5" t="s">
        <v>1722</v>
      </c>
      <c r="F800" s="5">
        <v>5291412</v>
      </c>
      <c r="G800" s="5" t="s">
        <v>635</v>
      </c>
      <c r="H800" s="5" t="s">
        <v>30</v>
      </c>
      <c r="I800" s="5" t="s">
        <v>22</v>
      </c>
      <c r="J800" s="5" t="s">
        <v>199</v>
      </c>
      <c r="K800" s="6">
        <v>0</v>
      </c>
      <c r="L800" s="7">
        <v>1.92</v>
      </c>
      <c r="M800" s="8">
        <v>0.64</v>
      </c>
      <c r="N800" s="8">
        <v>0.64</v>
      </c>
      <c r="O800" s="8">
        <v>0.73683954165779808</v>
      </c>
      <c r="P800" s="8">
        <v>0</v>
      </c>
      <c r="Q800" s="8">
        <v>0</v>
      </c>
      <c r="R800" s="8">
        <v>0</v>
      </c>
      <c r="S800" s="8">
        <v>0</v>
      </c>
      <c r="T800" s="5">
        <v>0</v>
      </c>
      <c r="U800" s="5">
        <v>0</v>
      </c>
      <c r="V800" s="5">
        <f>VLOOKUP(A800,Planilha1!B:E,4,0)</f>
        <v>13.783871706210666</v>
      </c>
    </row>
    <row r="801" spans="1:22" x14ac:dyDescent="0.3">
      <c r="A801" t="str">
        <f t="shared" si="24"/>
        <v>MANTEIGA 5KGLACTALIS</v>
      </c>
      <c r="B801" t="str">
        <f t="shared" si="25"/>
        <v>5291412MANTEIGA 5KGLACTALIS</v>
      </c>
      <c r="C801" s="5" t="s">
        <v>226</v>
      </c>
      <c r="D801" s="5" t="s">
        <v>227</v>
      </c>
      <c r="E801" s="5" t="s">
        <v>1722</v>
      </c>
      <c r="F801" s="5">
        <v>5291412</v>
      </c>
      <c r="G801" s="5" t="s">
        <v>635</v>
      </c>
      <c r="H801" s="5" t="s">
        <v>30</v>
      </c>
      <c r="I801" s="5" t="s">
        <v>22</v>
      </c>
      <c r="J801" s="5" t="s">
        <v>60</v>
      </c>
      <c r="K801" s="6">
        <v>0</v>
      </c>
      <c r="L801" s="7">
        <v>25</v>
      </c>
      <c r="M801" s="8">
        <v>35</v>
      </c>
      <c r="N801" s="8">
        <v>30</v>
      </c>
      <c r="O801" s="8">
        <v>47.345607902589407</v>
      </c>
      <c r="P801" s="8">
        <v>0</v>
      </c>
      <c r="Q801" s="8">
        <v>5</v>
      </c>
      <c r="R801" s="8">
        <v>0</v>
      </c>
      <c r="S801" s="8">
        <v>25</v>
      </c>
      <c r="T801" s="5">
        <v>25</v>
      </c>
      <c r="U801" s="5">
        <v>25</v>
      </c>
      <c r="V801" s="5">
        <f>VLOOKUP(A801,Planilha1!B:E,4,0)</f>
        <v>11.476197020267191</v>
      </c>
    </row>
    <row r="802" spans="1:22" x14ac:dyDescent="0.3">
      <c r="A802" t="str">
        <f t="shared" si="24"/>
        <v>MANTEIGA 5KGLACTALIS</v>
      </c>
      <c r="B802" t="str">
        <f t="shared" si="25"/>
        <v>5292598MANTEIGA 5KGLACTALIS</v>
      </c>
      <c r="C802" s="5" t="s">
        <v>226</v>
      </c>
      <c r="D802" s="5" t="s">
        <v>227</v>
      </c>
      <c r="E802" s="5" t="s">
        <v>1722</v>
      </c>
      <c r="F802" s="5">
        <v>5292598</v>
      </c>
      <c r="G802" s="5" t="s">
        <v>636</v>
      </c>
      <c r="H802" s="5" t="s">
        <v>30</v>
      </c>
      <c r="I802" s="5" t="s">
        <v>22</v>
      </c>
      <c r="J802" s="5" t="s">
        <v>60</v>
      </c>
      <c r="K802" s="6">
        <v>0</v>
      </c>
      <c r="L802" s="7">
        <v>165</v>
      </c>
      <c r="M802" s="8">
        <v>141.66666666666666</v>
      </c>
      <c r="N802" s="8">
        <v>96.666666666666671</v>
      </c>
      <c r="O802" s="8">
        <v>161.28786067476705</v>
      </c>
      <c r="P802" s="8">
        <v>0</v>
      </c>
      <c r="Q802" s="8">
        <v>50</v>
      </c>
      <c r="R802" s="8">
        <v>0</v>
      </c>
      <c r="S802" s="8">
        <v>110</v>
      </c>
      <c r="T802" s="5">
        <v>110</v>
      </c>
      <c r="U802" s="5">
        <v>70</v>
      </c>
      <c r="V802" s="5">
        <f>VLOOKUP(A802,Planilha1!B:E,4,0)</f>
        <v>11.476197020267191</v>
      </c>
    </row>
    <row r="803" spans="1:22" x14ac:dyDescent="0.3">
      <c r="A803" t="str">
        <f t="shared" si="24"/>
        <v>MANTEIGA 5KGLACTALIS</v>
      </c>
      <c r="B803" t="str">
        <f t="shared" si="25"/>
        <v>5294651MANTEIGA 5KGLACTALIS</v>
      </c>
      <c r="C803" s="5" t="s">
        <v>226</v>
      </c>
      <c r="D803" s="5" t="s">
        <v>227</v>
      </c>
      <c r="E803" s="5" t="s">
        <v>1722</v>
      </c>
      <c r="F803" s="5">
        <v>5294651</v>
      </c>
      <c r="G803" s="5" t="s">
        <v>637</v>
      </c>
      <c r="H803" s="5" t="s">
        <v>30</v>
      </c>
      <c r="I803" s="5" t="s">
        <v>22</v>
      </c>
      <c r="J803" s="5" t="s">
        <v>60</v>
      </c>
      <c r="K803" s="6">
        <v>0</v>
      </c>
      <c r="L803" s="7">
        <v>5</v>
      </c>
      <c r="M803" s="8">
        <v>37.500000000000007</v>
      </c>
      <c r="N803" s="8">
        <v>31.666666666666668</v>
      </c>
      <c r="O803" s="8">
        <v>35.061342068404052</v>
      </c>
      <c r="P803" s="8">
        <v>0</v>
      </c>
      <c r="Q803" s="8">
        <v>10</v>
      </c>
      <c r="R803" s="8">
        <v>0</v>
      </c>
      <c r="S803" s="8">
        <v>20</v>
      </c>
      <c r="T803" s="5">
        <v>20</v>
      </c>
      <c r="U803" s="5">
        <v>20</v>
      </c>
      <c r="V803" s="5">
        <f>VLOOKUP(A803,Planilha1!B:E,4,0)</f>
        <v>11.476197020267191</v>
      </c>
    </row>
    <row r="804" spans="1:22" x14ac:dyDescent="0.3">
      <c r="A804" t="str">
        <f t="shared" si="24"/>
        <v>LEITE UHTLACTALIS</v>
      </c>
      <c r="B804" t="str">
        <f t="shared" si="25"/>
        <v>5298640LEITE UHTLACTALIS</v>
      </c>
      <c r="C804" s="5" t="s">
        <v>226</v>
      </c>
      <c r="D804" s="5" t="s">
        <v>227</v>
      </c>
      <c r="E804" s="5" t="s">
        <v>1722</v>
      </c>
      <c r="F804" s="5">
        <v>5298640</v>
      </c>
      <c r="G804" s="5" t="s">
        <v>272</v>
      </c>
      <c r="H804" s="5" t="s">
        <v>30</v>
      </c>
      <c r="I804" s="5" t="s">
        <v>22</v>
      </c>
      <c r="J804" s="5" t="s">
        <v>156</v>
      </c>
      <c r="K804" s="6">
        <v>0</v>
      </c>
      <c r="L804" s="7">
        <v>192</v>
      </c>
      <c r="M804" s="8">
        <v>232</v>
      </c>
      <c r="N804" s="8">
        <v>120</v>
      </c>
      <c r="O804" s="8">
        <v>105.75835117086774</v>
      </c>
      <c r="P804" s="8">
        <v>0</v>
      </c>
      <c r="Q804" s="8">
        <v>144</v>
      </c>
      <c r="R804" s="8">
        <v>0</v>
      </c>
      <c r="S804" s="8">
        <v>0</v>
      </c>
      <c r="T804" s="5">
        <v>0</v>
      </c>
      <c r="U804" s="5">
        <v>0</v>
      </c>
      <c r="V804" s="5">
        <f>VLOOKUP(A804,Planilha1!B:E,4,0)</f>
        <v>0.37177548115779385</v>
      </c>
    </row>
    <row r="805" spans="1:22" x14ac:dyDescent="0.3">
      <c r="A805" t="str">
        <f t="shared" si="24"/>
        <v>LEITE UHTLACTALIS</v>
      </c>
      <c r="B805" t="str">
        <f t="shared" si="25"/>
        <v>5300119LEITE UHTLACTALIS</v>
      </c>
      <c r="C805" s="5" t="s">
        <v>226</v>
      </c>
      <c r="D805" s="5" t="s">
        <v>227</v>
      </c>
      <c r="E805" s="5" t="s">
        <v>1722</v>
      </c>
      <c r="F805" s="5">
        <v>5300119</v>
      </c>
      <c r="G805" s="5" t="s">
        <v>638</v>
      </c>
      <c r="H805" s="5" t="s">
        <v>30</v>
      </c>
      <c r="I805" s="5" t="s">
        <v>22</v>
      </c>
      <c r="J805" s="5" t="s">
        <v>156</v>
      </c>
      <c r="K805" s="6">
        <v>0</v>
      </c>
      <c r="L805" s="7">
        <v>864</v>
      </c>
      <c r="M805" s="8">
        <v>280</v>
      </c>
      <c r="N805" s="8">
        <v>200</v>
      </c>
      <c r="O805" s="8">
        <v>111.21158324504567</v>
      </c>
      <c r="P805" s="8">
        <v>0</v>
      </c>
      <c r="Q805" s="8">
        <v>144</v>
      </c>
      <c r="R805" s="8">
        <v>0</v>
      </c>
      <c r="S805" s="8">
        <v>0</v>
      </c>
      <c r="T805" s="5">
        <v>0</v>
      </c>
      <c r="U805" s="5">
        <v>0</v>
      </c>
      <c r="V805" s="5">
        <f>VLOOKUP(A805,Planilha1!B:E,4,0)</f>
        <v>0.37177548115779385</v>
      </c>
    </row>
    <row r="806" spans="1:22" x14ac:dyDescent="0.3">
      <c r="A806" t="str">
        <f t="shared" si="24"/>
        <v>MANTEIGA 5KGLACTALIS</v>
      </c>
      <c r="B806" t="str">
        <f t="shared" si="25"/>
        <v>5301791MANTEIGA 5KGLACTALIS</v>
      </c>
      <c r="C806" s="5" t="s">
        <v>226</v>
      </c>
      <c r="D806" s="5" t="s">
        <v>227</v>
      </c>
      <c r="E806" s="5" t="s">
        <v>1722</v>
      </c>
      <c r="F806" s="5">
        <v>5301791</v>
      </c>
      <c r="G806" s="5" t="s">
        <v>639</v>
      </c>
      <c r="H806" s="5" t="s">
        <v>30</v>
      </c>
      <c r="I806" s="5" t="s">
        <v>22</v>
      </c>
      <c r="J806" s="5" t="s">
        <v>60</v>
      </c>
      <c r="K806" s="6">
        <v>0</v>
      </c>
      <c r="L806" s="7">
        <v>80</v>
      </c>
      <c r="M806" s="8">
        <v>90</v>
      </c>
      <c r="N806" s="8">
        <v>66.666666666666671</v>
      </c>
      <c r="O806" s="8">
        <v>122.71469723941419</v>
      </c>
      <c r="P806" s="8">
        <v>0</v>
      </c>
      <c r="Q806" s="8">
        <v>50</v>
      </c>
      <c r="R806" s="8">
        <v>0</v>
      </c>
      <c r="S806" s="8">
        <v>75</v>
      </c>
      <c r="T806" s="5">
        <v>75</v>
      </c>
      <c r="U806" s="5">
        <v>50</v>
      </c>
      <c r="V806" s="5">
        <f>VLOOKUP(A806,Planilha1!B:E,4,0)</f>
        <v>11.476197020267191</v>
      </c>
    </row>
    <row r="807" spans="1:22" x14ac:dyDescent="0.3">
      <c r="A807" t="str">
        <f t="shared" si="24"/>
        <v>LEITE UHTLACTALIS</v>
      </c>
      <c r="B807" t="str">
        <f t="shared" si="25"/>
        <v>5301791LEITE UHTLACTALIS</v>
      </c>
      <c r="C807" s="5" t="s">
        <v>226</v>
      </c>
      <c r="D807" s="5" t="s">
        <v>227</v>
      </c>
      <c r="E807" s="5" t="s">
        <v>1722</v>
      </c>
      <c r="F807" s="5">
        <v>5301791</v>
      </c>
      <c r="G807" s="5" t="s">
        <v>639</v>
      </c>
      <c r="H807" s="5" t="s">
        <v>30</v>
      </c>
      <c r="I807" s="5" t="s">
        <v>22</v>
      </c>
      <c r="J807" s="5" t="s">
        <v>156</v>
      </c>
      <c r="K807" s="6">
        <v>0</v>
      </c>
      <c r="L807" s="7">
        <v>0</v>
      </c>
      <c r="M807" s="8">
        <v>0</v>
      </c>
      <c r="N807" s="8">
        <v>0</v>
      </c>
      <c r="O807" s="8">
        <v>6.5457868816903764</v>
      </c>
      <c r="P807" s="8">
        <v>0</v>
      </c>
      <c r="Q807" s="8">
        <v>0</v>
      </c>
      <c r="R807" s="8">
        <v>0</v>
      </c>
      <c r="S807" s="8">
        <v>0</v>
      </c>
      <c r="T807" s="5">
        <v>0</v>
      </c>
      <c r="U807" s="5">
        <v>0</v>
      </c>
      <c r="V807" s="5">
        <f>VLOOKUP(A807,Planilha1!B:E,4,0)</f>
        <v>0.37177548115779385</v>
      </c>
    </row>
    <row r="808" spans="1:22" x14ac:dyDescent="0.3">
      <c r="A808" t="str">
        <f t="shared" si="24"/>
        <v>LEITE UHTLACTALIS</v>
      </c>
      <c r="B808" t="str">
        <f t="shared" si="25"/>
        <v>5302013LEITE UHTLACTALIS</v>
      </c>
      <c r="C808" s="5" t="s">
        <v>226</v>
      </c>
      <c r="D808" s="5" t="s">
        <v>227</v>
      </c>
      <c r="E808" s="5" t="s">
        <v>1722</v>
      </c>
      <c r="F808" s="5">
        <v>5302013</v>
      </c>
      <c r="G808" s="5" t="s">
        <v>640</v>
      </c>
      <c r="H808" s="5" t="s">
        <v>30</v>
      </c>
      <c r="I808" s="5" t="s">
        <v>22</v>
      </c>
      <c r="J808" s="5" t="s">
        <v>156</v>
      </c>
      <c r="K808" s="6">
        <v>0</v>
      </c>
      <c r="L808" s="7">
        <v>288</v>
      </c>
      <c r="M808" s="8">
        <v>230</v>
      </c>
      <c r="N808" s="8">
        <v>244</v>
      </c>
      <c r="O808" s="8">
        <v>106.84613499668802</v>
      </c>
      <c r="P808" s="8">
        <v>0</v>
      </c>
      <c r="Q808" s="8">
        <v>0</v>
      </c>
      <c r="R808" s="8">
        <v>0</v>
      </c>
      <c r="S808" s="8">
        <v>0</v>
      </c>
      <c r="T808" s="5">
        <v>0</v>
      </c>
      <c r="U808" s="5">
        <v>0</v>
      </c>
      <c r="V808" s="5">
        <f>VLOOKUP(A808,Planilha1!B:E,4,0)</f>
        <v>0.37177548115779385</v>
      </c>
    </row>
    <row r="809" spans="1:22" x14ac:dyDescent="0.3">
      <c r="A809" t="str">
        <f t="shared" si="24"/>
        <v>MANTEIGA 5KGLACTALIS</v>
      </c>
      <c r="B809" t="str">
        <f t="shared" si="25"/>
        <v>5302766MANTEIGA 5KGLACTALIS</v>
      </c>
      <c r="C809" s="5" t="s">
        <v>226</v>
      </c>
      <c r="D809" s="5" t="s">
        <v>227</v>
      </c>
      <c r="E809" s="5" t="s">
        <v>1722</v>
      </c>
      <c r="F809" s="5">
        <v>5302766</v>
      </c>
      <c r="G809" s="5" t="s">
        <v>641</v>
      </c>
      <c r="H809" s="5" t="s">
        <v>30</v>
      </c>
      <c r="I809" s="5" t="s">
        <v>22</v>
      </c>
      <c r="J809" s="5" t="s">
        <v>60</v>
      </c>
      <c r="K809" s="6">
        <v>0</v>
      </c>
      <c r="L809" s="7">
        <v>55</v>
      </c>
      <c r="M809" s="8">
        <v>48.333333333333336</v>
      </c>
      <c r="N809" s="8">
        <v>41.666666666666664</v>
      </c>
      <c r="O809" s="8">
        <v>77.146326870705749</v>
      </c>
      <c r="P809" s="8">
        <v>0</v>
      </c>
      <c r="Q809" s="8">
        <v>35</v>
      </c>
      <c r="R809" s="8">
        <v>0</v>
      </c>
      <c r="S809" s="8">
        <v>55</v>
      </c>
      <c r="T809" s="5">
        <v>55</v>
      </c>
      <c r="U809" s="5">
        <v>35</v>
      </c>
      <c r="V809" s="5">
        <f>VLOOKUP(A809,Planilha1!B:E,4,0)</f>
        <v>11.476197020267191</v>
      </c>
    </row>
    <row r="810" spans="1:22" x14ac:dyDescent="0.3">
      <c r="A810" t="str">
        <f t="shared" si="24"/>
        <v>MANTEIGA 5KGLACTALIS</v>
      </c>
      <c r="B810" t="str">
        <f t="shared" si="25"/>
        <v>5303071MANTEIGA 5KGLACTALIS</v>
      </c>
      <c r="C810" s="5" t="s">
        <v>226</v>
      </c>
      <c r="D810" s="5" t="s">
        <v>227</v>
      </c>
      <c r="E810" s="5" t="s">
        <v>1722</v>
      </c>
      <c r="F810" s="5">
        <v>5303071</v>
      </c>
      <c r="G810" s="5" t="s">
        <v>642</v>
      </c>
      <c r="H810" s="5" t="s">
        <v>30</v>
      </c>
      <c r="I810" s="5" t="s">
        <v>22</v>
      </c>
      <c r="J810" s="5" t="s">
        <v>60</v>
      </c>
      <c r="K810" s="6">
        <v>0</v>
      </c>
      <c r="L810" s="7">
        <v>15</v>
      </c>
      <c r="M810" s="8">
        <v>48.333333333333336</v>
      </c>
      <c r="N810" s="8">
        <v>25</v>
      </c>
      <c r="O810" s="8">
        <v>66.62508067013033</v>
      </c>
      <c r="P810" s="8">
        <v>0</v>
      </c>
      <c r="Q810" s="8">
        <v>50</v>
      </c>
      <c r="R810" s="8">
        <v>0</v>
      </c>
      <c r="S810" s="8">
        <v>30</v>
      </c>
      <c r="T810" s="5">
        <v>30</v>
      </c>
      <c r="U810" s="5">
        <v>15</v>
      </c>
      <c r="V810" s="5">
        <f>VLOOKUP(A810,Planilha1!B:E,4,0)</f>
        <v>11.476197020267191</v>
      </c>
    </row>
    <row r="811" spans="1:22" x14ac:dyDescent="0.3">
      <c r="A811" t="str">
        <f t="shared" si="24"/>
        <v>MANTEIGA 5KGLACTALIS</v>
      </c>
      <c r="B811" t="str">
        <f t="shared" si="25"/>
        <v>5303461MANTEIGA 5KGLACTALIS</v>
      </c>
      <c r="C811" s="5" t="s">
        <v>226</v>
      </c>
      <c r="D811" s="5" t="s">
        <v>227</v>
      </c>
      <c r="E811" s="5" t="s">
        <v>1722</v>
      </c>
      <c r="F811" s="5">
        <v>5303461</v>
      </c>
      <c r="G811" s="5" t="s">
        <v>643</v>
      </c>
      <c r="H811" s="5" t="s">
        <v>30</v>
      </c>
      <c r="I811" s="5" t="s">
        <v>22</v>
      </c>
      <c r="J811" s="5" t="s">
        <v>60</v>
      </c>
      <c r="K811" s="6">
        <v>0</v>
      </c>
      <c r="L811" s="7">
        <v>10</v>
      </c>
      <c r="M811" s="8">
        <v>0</v>
      </c>
      <c r="N811" s="8">
        <v>0</v>
      </c>
      <c r="O811" s="8">
        <v>1.7488017333388881</v>
      </c>
      <c r="P811" s="8">
        <v>0</v>
      </c>
      <c r="Q811" s="8">
        <v>0</v>
      </c>
      <c r="R811" s="8">
        <v>0</v>
      </c>
      <c r="S811" s="8">
        <v>0</v>
      </c>
      <c r="T811" s="5">
        <v>0</v>
      </c>
      <c r="U811" s="5">
        <v>0</v>
      </c>
      <c r="V811" s="5">
        <f>VLOOKUP(A811,Planilha1!B:E,4,0)</f>
        <v>11.476197020267191</v>
      </c>
    </row>
    <row r="812" spans="1:22" x14ac:dyDescent="0.3">
      <c r="A812" t="str">
        <f t="shared" si="24"/>
        <v>LEITE UHTLACTALIS</v>
      </c>
      <c r="B812" t="str">
        <f t="shared" si="25"/>
        <v>5303461LEITE UHTLACTALIS</v>
      </c>
      <c r="C812" s="5" t="s">
        <v>226</v>
      </c>
      <c r="D812" s="5" t="s">
        <v>227</v>
      </c>
      <c r="E812" s="5" t="s">
        <v>1722</v>
      </c>
      <c r="F812" s="5">
        <v>5303461</v>
      </c>
      <c r="G812" s="5" t="s">
        <v>643</v>
      </c>
      <c r="H812" s="5" t="s">
        <v>30</v>
      </c>
      <c r="I812" s="5" t="s">
        <v>22</v>
      </c>
      <c r="J812" s="5" t="s">
        <v>156</v>
      </c>
      <c r="K812" s="6">
        <v>0</v>
      </c>
      <c r="L812" s="7">
        <v>0</v>
      </c>
      <c r="M812" s="8">
        <v>28</v>
      </c>
      <c r="N812" s="8">
        <v>40</v>
      </c>
      <c r="O812" s="8">
        <v>8.7213545333309099</v>
      </c>
      <c r="P812" s="8">
        <v>0</v>
      </c>
      <c r="Q812" s="8">
        <v>48</v>
      </c>
      <c r="R812" s="8">
        <v>0</v>
      </c>
      <c r="S812" s="8">
        <v>0</v>
      </c>
      <c r="T812" s="5">
        <v>0</v>
      </c>
      <c r="U812" s="5">
        <v>0</v>
      </c>
      <c r="V812" s="5">
        <f>VLOOKUP(A812,Planilha1!B:E,4,0)</f>
        <v>0.37177548115779385</v>
      </c>
    </row>
    <row r="813" spans="1:22" x14ac:dyDescent="0.3">
      <c r="A813" t="str">
        <f t="shared" si="24"/>
        <v>MANTEIGA 5KGLACTALIS</v>
      </c>
      <c r="B813" t="str">
        <f t="shared" si="25"/>
        <v>5304919MANTEIGA 5KGLACTALIS</v>
      </c>
      <c r="C813" s="5" t="s">
        <v>226</v>
      </c>
      <c r="D813" s="5" t="s">
        <v>227</v>
      </c>
      <c r="E813" s="5" t="s">
        <v>1722</v>
      </c>
      <c r="F813" s="5">
        <v>5304919</v>
      </c>
      <c r="G813" s="5" t="s">
        <v>644</v>
      </c>
      <c r="H813" s="5" t="s">
        <v>30</v>
      </c>
      <c r="I813" s="5" t="s">
        <v>22</v>
      </c>
      <c r="J813" s="5" t="s">
        <v>60</v>
      </c>
      <c r="K813" s="6">
        <v>0</v>
      </c>
      <c r="L813" s="7">
        <v>1200</v>
      </c>
      <c r="M813" s="8">
        <v>0</v>
      </c>
      <c r="N813" s="8">
        <v>0</v>
      </c>
      <c r="O813" s="8">
        <v>70.129793086943636</v>
      </c>
      <c r="P813" s="8">
        <v>0</v>
      </c>
      <c r="Q813" s="8">
        <v>0</v>
      </c>
      <c r="R813" s="8">
        <v>0</v>
      </c>
      <c r="S813" s="8">
        <v>0</v>
      </c>
      <c r="T813" s="5">
        <v>0</v>
      </c>
      <c r="U813" s="5">
        <v>0</v>
      </c>
      <c r="V813" s="5">
        <f>VLOOKUP(A813,Planilha1!B:E,4,0)</f>
        <v>11.476197020267191</v>
      </c>
    </row>
    <row r="814" spans="1:22" x14ac:dyDescent="0.3">
      <c r="A814" t="str">
        <f t="shared" si="24"/>
        <v>LEITE UHTLACTALIS</v>
      </c>
      <c r="B814" t="str">
        <f t="shared" si="25"/>
        <v>5307426LEITE UHTLACTALIS</v>
      </c>
      <c r="C814" s="5" t="s">
        <v>226</v>
      </c>
      <c r="D814" s="5" t="s">
        <v>227</v>
      </c>
      <c r="E814" s="5" t="s">
        <v>1722</v>
      </c>
      <c r="F814" s="5">
        <v>5307426</v>
      </c>
      <c r="G814" s="5" t="s">
        <v>645</v>
      </c>
      <c r="H814" s="5" t="s">
        <v>30</v>
      </c>
      <c r="I814" s="5" t="s">
        <v>22</v>
      </c>
      <c r="J814" s="5" t="s">
        <v>156</v>
      </c>
      <c r="K814" s="6">
        <v>0</v>
      </c>
      <c r="L814" s="7">
        <v>48</v>
      </c>
      <c r="M814" s="8">
        <v>26</v>
      </c>
      <c r="N814" s="8">
        <v>52</v>
      </c>
      <c r="O814" s="8">
        <v>8.7213545333309099</v>
      </c>
      <c r="P814" s="8">
        <v>0</v>
      </c>
      <c r="Q814" s="8">
        <v>0</v>
      </c>
      <c r="R814" s="8">
        <v>0</v>
      </c>
      <c r="S814" s="8">
        <v>0</v>
      </c>
      <c r="T814" s="5">
        <v>0</v>
      </c>
      <c r="U814" s="5">
        <v>0</v>
      </c>
      <c r="V814" s="5">
        <f>VLOOKUP(A814,Planilha1!B:E,4,0)</f>
        <v>0.37177548115779385</v>
      </c>
    </row>
    <row r="815" spans="1:22" x14ac:dyDescent="0.3">
      <c r="A815" t="str">
        <f t="shared" si="24"/>
        <v>LEITE UHTLACTALIS</v>
      </c>
      <c r="B815" t="str">
        <f t="shared" si="25"/>
        <v>5307427LEITE UHTLACTALIS</v>
      </c>
      <c r="C815" s="5" t="s">
        <v>226</v>
      </c>
      <c r="D815" s="5" t="s">
        <v>227</v>
      </c>
      <c r="E815" s="5" t="s">
        <v>1722</v>
      </c>
      <c r="F815" s="5">
        <v>5307427</v>
      </c>
      <c r="G815" s="5" t="s">
        <v>646</v>
      </c>
      <c r="H815" s="5" t="s">
        <v>30</v>
      </c>
      <c r="I815" s="5" t="s">
        <v>22</v>
      </c>
      <c r="J815" s="5" t="s">
        <v>156</v>
      </c>
      <c r="K815" s="6">
        <v>0</v>
      </c>
      <c r="L815" s="7">
        <v>252</v>
      </c>
      <c r="M815" s="8">
        <v>176</v>
      </c>
      <c r="N815" s="8">
        <v>164</v>
      </c>
      <c r="O815" s="8">
        <v>91.593306526743319</v>
      </c>
      <c r="P815" s="8">
        <v>0</v>
      </c>
      <c r="Q815" s="8">
        <v>0</v>
      </c>
      <c r="R815" s="8">
        <v>0</v>
      </c>
      <c r="S815" s="8">
        <v>0</v>
      </c>
      <c r="T815" s="5">
        <v>0</v>
      </c>
      <c r="U815" s="5">
        <v>0</v>
      </c>
      <c r="V815" s="5">
        <f>VLOOKUP(A815,Planilha1!B:E,4,0)</f>
        <v>0.37177548115779385</v>
      </c>
    </row>
    <row r="816" spans="1:22" x14ac:dyDescent="0.3">
      <c r="A816" t="str">
        <f t="shared" si="24"/>
        <v>MANTEIGA 5KGLACTALIS</v>
      </c>
      <c r="B816" t="str">
        <f t="shared" si="25"/>
        <v>5307436MANTEIGA 5KGLACTALIS</v>
      </c>
      <c r="C816" s="5" t="s">
        <v>226</v>
      </c>
      <c r="D816" s="5" t="s">
        <v>227</v>
      </c>
      <c r="E816" s="5" t="s">
        <v>1722</v>
      </c>
      <c r="F816" s="5">
        <v>5307436</v>
      </c>
      <c r="G816" s="5" t="s">
        <v>647</v>
      </c>
      <c r="H816" s="5" t="s">
        <v>30</v>
      </c>
      <c r="I816" s="5" t="s">
        <v>22</v>
      </c>
      <c r="J816" s="5" t="s">
        <v>60</v>
      </c>
      <c r="K816" s="6">
        <v>0</v>
      </c>
      <c r="L816" s="7">
        <v>0</v>
      </c>
      <c r="M816" s="8">
        <v>1.6666666666666667</v>
      </c>
      <c r="N816" s="8">
        <v>0</v>
      </c>
      <c r="O816" s="8">
        <v>5.2535141501521885</v>
      </c>
      <c r="P816" s="8">
        <v>0</v>
      </c>
      <c r="Q816" s="8">
        <v>0</v>
      </c>
      <c r="R816" s="8">
        <v>0</v>
      </c>
      <c r="S816" s="8">
        <v>0</v>
      </c>
      <c r="T816" s="5">
        <v>0</v>
      </c>
      <c r="U816" s="5">
        <v>0</v>
      </c>
      <c r="V816" s="5">
        <f>VLOOKUP(A816,Planilha1!B:E,4,0)</f>
        <v>11.476197020267191</v>
      </c>
    </row>
    <row r="817" spans="1:22" x14ac:dyDescent="0.3">
      <c r="A817" t="str">
        <f t="shared" si="24"/>
        <v>BLISTERLACTALIS</v>
      </c>
      <c r="B817" t="str">
        <f t="shared" si="25"/>
        <v>5307768BLISTERLACTALIS</v>
      </c>
      <c r="C817" s="5" t="s">
        <v>226</v>
      </c>
      <c r="D817" s="5" t="s">
        <v>227</v>
      </c>
      <c r="E817" s="5" t="s">
        <v>1722</v>
      </c>
      <c r="F817" s="5">
        <v>5307768</v>
      </c>
      <c r="G817" s="5" t="s">
        <v>648</v>
      </c>
      <c r="H817" s="5" t="s">
        <v>30</v>
      </c>
      <c r="I817" s="5" t="s">
        <v>22</v>
      </c>
      <c r="J817" s="5" t="s">
        <v>199</v>
      </c>
      <c r="K817" s="6">
        <v>0</v>
      </c>
      <c r="L817" s="7">
        <v>0</v>
      </c>
      <c r="M817" s="8">
        <v>0.64</v>
      </c>
      <c r="N817" s="8">
        <v>0</v>
      </c>
      <c r="O817" s="8">
        <v>0.73683954165779808</v>
      </c>
      <c r="P817" s="8">
        <v>0</v>
      </c>
      <c r="Q817" s="8">
        <v>0</v>
      </c>
      <c r="R817" s="8">
        <v>0</v>
      </c>
      <c r="S817" s="8">
        <v>0</v>
      </c>
      <c r="T817" s="5">
        <v>0</v>
      </c>
      <c r="U817" s="5">
        <v>0</v>
      </c>
      <c r="V817" s="5">
        <f>VLOOKUP(A817,Planilha1!B:E,4,0)</f>
        <v>13.783871706210666</v>
      </c>
    </row>
    <row r="818" spans="1:22" x14ac:dyDescent="0.3">
      <c r="A818" t="str">
        <f t="shared" si="24"/>
        <v>MANTEIGA 5KGLACTALIS</v>
      </c>
      <c r="B818" t="str">
        <f t="shared" si="25"/>
        <v>5309881MANTEIGA 5KGLACTALIS</v>
      </c>
      <c r="C818" s="5" t="s">
        <v>226</v>
      </c>
      <c r="D818" s="5" t="s">
        <v>227</v>
      </c>
      <c r="E818" s="5" t="s">
        <v>1722</v>
      </c>
      <c r="F818" s="5">
        <v>5309881</v>
      </c>
      <c r="G818" s="5" t="s">
        <v>649</v>
      </c>
      <c r="H818" s="5" t="s">
        <v>30</v>
      </c>
      <c r="I818" s="5" t="s">
        <v>22</v>
      </c>
      <c r="J818" s="5" t="s">
        <v>60</v>
      </c>
      <c r="K818" s="6">
        <v>0</v>
      </c>
      <c r="L818" s="7">
        <v>50</v>
      </c>
      <c r="M818" s="8">
        <v>77.5</v>
      </c>
      <c r="N818" s="8">
        <v>65</v>
      </c>
      <c r="O818" s="8">
        <v>80.658148237654572</v>
      </c>
      <c r="P818" s="8">
        <v>0</v>
      </c>
      <c r="Q818" s="8">
        <v>20</v>
      </c>
      <c r="R818" s="8">
        <v>0</v>
      </c>
      <c r="S818" s="8">
        <v>75</v>
      </c>
      <c r="T818" s="5">
        <v>75</v>
      </c>
      <c r="U818" s="5">
        <v>45</v>
      </c>
      <c r="V818" s="5">
        <f>VLOOKUP(A818,Planilha1!B:E,4,0)</f>
        <v>11.476197020267191</v>
      </c>
    </row>
    <row r="819" spans="1:22" x14ac:dyDescent="0.3">
      <c r="A819" t="str">
        <f t="shared" si="24"/>
        <v>LEITE UHTLACTALIS</v>
      </c>
      <c r="B819" t="str">
        <f t="shared" si="25"/>
        <v>5311652LEITE UHTLACTALIS</v>
      </c>
      <c r="C819" s="5" t="s">
        <v>226</v>
      </c>
      <c r="D819" s="5" t="s">
        <v>227</v>
      </c>
      <c r="E819" s="5" t="s">
        <v>1722</v>
      </c>
      <c r="F819" s="5">
        <v>5311652</v>
      </c>
      <c r="G819" s="5" t="s">
        <v>650</v>
      </c>
      <c r="H819" s="5" t="s">
        <v>30</v>
      </c>
      <c r="I819" s="5" t="s">
        <v>22</v>
      </c>
      <c r="J819" s="5" t="s">
        <v>156</v>
      </c>
      <c r="K819" s="6">
        <v>0</v>
      </c>
      <c r="L819" s="7">
        <v>0</v>
      </c>
      <c r="M819" s="8">
        <v>0</v>
      </c>
      <c r="N819" s="8">
        <v>0</v>
      </c>
      <c r="O819" s="8">
        <v>8.7213545333309099</v>
      </c>
      <c r="P819" s="8">
        <v>0</v>
      </c>
      <c r="Q819" s="8">
        <v>0</v>
      </c>
      <c r="R819" s="8">
        <v>0</v>
      </c>
      <c r="S819" s="8">
        <v>0</v>
      </c>
      <c r="T819" s="5">
        <v>0</v>
      </c>
      <c r="U819" s="5">
        <v>0</v>
      </c>
      <c r="V819" s="5">
        <f>VLOOKUP(A819,Planilha1!B:E,4,0)</f>
        <v>0.37177548115779385</v>
      </c>
    </row>
    <row r="820" spans="1:22" x14ac:dyDescent="0.3">
      <c r="A820" t="str">
        <f t="shared" si="24"/>
        <v>LEITE UHTLACTALIS</v>
      </c>
      <c r="B820" t="str">
        <f t="shared" si="25"/>
        <v>5312763LEITE UHTLACTALIS</v>
      </c>
      <c r="C820" s="5" t="s">
        <v>226</v>
      </c>
      <c r="D820" s="5" t="s">
        <v>227</v>
      </c>
      <c r="E820" s="5" t="s">
        <v>1722</v>
      </c>
      <c r="F820" s="5">
        <v>5312763</v>
      </c>
      <c r="G820" s="5" t="s">
        <v>651</v>
      </c>
      <c r="H820" s="5" t="s">
        <v>30</v>
      </c>
      <c r="I820" s="5" t="s">
        <v>22</v>
      </c>
      <c r="J820" s="5" t="s">
        <v>156</v>
      </c>
      <c r="K820" s="6">
        <v>0</v>
      </c>
      <c r="L820" s="7">
        <v>0</v>
      </c>
      <c r="M820" s="8">
        <v>48</v>
      </c>
      <c r="N820" s="8">
        <v>48</v>
      </c>
      <c r="O820" s="8">
        <v>26.16406359999273</v>
      </c>
      <c r="P820" s="8">
        <v>0</v>
      </c>
      <c r="Q820" s="8">
        <v>144</v>
      </c>
      <c r="R820" s="8">
        <v>0</v>
      </c>
      <c r="S820" s="8">
        <v>0</v>
      </c>
      <c r="T820" s="5">
        <v>0</v>
      </c>
      <c r="U820" s="5">
        <v>0</v>
      </c>
      <c r="V820" s="5">
        <f>VLOOKUP(A820,Planilha1!B:E,4,0)</f>
        <v>0.37177548115779385</v>
      </c>
    </row>
    <row r="821" spans="1:22" x14ac:dyDescent="0.3">
      <c r="A821" t="str">
        <f t="shared" si="24"/>
        <v>MANTEIGA 5KGLACTALIS</v>
      </c>
      <c r="B821" t="str">
        <f t="shared" si="25"/>
        <v>5313518MANTEIGA 5KGLACTALIS</v>
      </c>
      <c r="C821" s="5" t="s">
        <v>226</v>
      </c>
      <c r="D821" s="5" t="s">
        <v>227</v>
      </c>
      <c r="E821" s="5" t="s">
        <v>1722</v>
      </c>
      <c r="F821" s="5">
        <v>5313518</v>
      </c>
      <c r="G821" s="5" t="s">
        <v>652</v>
      </c>
      <c r="H821" s="5" t="s">
        <v>30</v>
      </c>
      <c r="I821" s="5" t="s">
        <v>22</v>
      </c>
      <c r="J821" s="5" t="s">
        <v>60</v>
      </c>
      <c r="K821" s="6">
        <v>0</v>
      </c>
      <c r="L821" s="7">
        <v>0</v>
      </c>
      <c r="M821" s="8">
        <v>1.6666666666666667</v>
      </c>
      <c r="N821" s="8">
        <v>1.6666666666666667</v>
      </c>
      <c r="O821" s="8">
        <v>1.7488017333388881</v>
      </c>
      <c r="P821" s="8">
        <v>0</v>
      </c>
      <c r="Q821" s="8">
        <v>5</v>
      </c>
      <c r="R821" s="8">
        <v>0</v>
      </c>
      <c r="S821" s="8">
        <v>0</v>
      </c>
      <c r="T821" s="5">
        <v>0</v>
      </c>
      <c r="U821" s="5">
        <v>0</v>
      </c>
      <c r="V821" s="5">
        <f>VLOOKUP(A821,Planilha1!B:E,4,0)</f>
        <v>11.476197020267191</v>
      </c>
    </row>
    <row r="822" spans="1:22" x14ac:dyDescent="0.3">
      <c r="A822" t="str">
        <f t="shared" si="24"/>
        <v>LEITE UHTLACTALIS</v>
      </c>
      <c r="B822" t="str">
        <f t="shared" si="25"/>
        <v>5315003LEITE UHTLACTALIS</v>
      </c>
      <c r="C822" s="5" t="s">
        <v>226</v>
      </c>
      <c r="D822" s="5" t="s">
        <v>227</v>
      </c>
      <c r="E822" s="5" t="s">
        <v>1722</v>
      </c>
      <c r="F822" s="5">
        <v>5315003</v>
      </c>
      <c r="G822" s="5" t="s">
        <v>607</v>
      </c>
      <c r="H822" s="5" t="s">
        <v>30</v>
      </c>
      <c r="I822" s="5" t="s">
        <v>22</v>
      </c>
      <c r="J822" s="5" t="s">
        <v>156</v>
      </c>
      <c r="K822" s="6">
        <v>0</v>
      </c>
      <c r="L822" s="7">
        <v>0</v>
      </c>
      <c r="M822" s="8">
        <v>0</v>
      </c>
      <c r="N822" s="8">
        <v>0</v>
      </c>
      <c r="O822" s="8">
        <v>21.812928296711661</v>
      </c>
      <c r="P822" s="8">
        <v>0</v>
      </c>
      <c r="Q822" s="8">
        <v>0</v>
      </c>
      <c r="R822" s="8">
        <v>0</v>
      </c>
      <c r="S822" s="8">
        <v>0</v>
      </c>
      <c r="T822" s="5">
        <v>0</v>
      </c>
      <c r="U822" s="5">
        <v>0</v>
      </c>
      <c r="V822" s="5">
        <f>VLOOKUP(A822,Planilha1!B:E,4,0)</f>
        <v>0.37177548115779385</v>
      </c>
    </row>
    <row r="823" spans="1:22" x14ac:dyDescent="0.3">
      <c r="A823" t="str">
        <f t="shared" si="24"/>
        <v>LEITE UHTLACTALIS</v>
      </c>
      <c r="B823" t="str">
        <f t="shared" si="25"/>
        <v>5315014LEITE UHTLACTALIS</v>
      </c>
      <c r="C823" s="5" t="s">
        <v>226</v>
      </c>
      <c r="D823" s="5" t="s">
        <v>227</v>
      </c>
      <c r="E823" s="5" t="s">
        <v>1722</v>
      </c>
      <c r="F823" s="5">
        <v>5315014</v>
      </c>
      <c r="G823" s="5" t="s">
        <v>653</v>
      </c>
      <c r="H823" s="5" t="s">
        <v>30</v>
      </c>
      <c r="I823" s="5" t="s">
        <v>22</v>
      </c>
      <c r="J823" s="5" t="s">
        <v>156</v>
      </c>
      <c r="K823" s="6">
        <v>0</v>
      </c>
      <c r="L823" s="7">
        <v>0</v>
      </c>
      <c r="M823" s="8">
        <v>20</v>
      </c>
      <c r="N823" s="8">
        <v>0</v>
      </c>
      <c r="O823" s="8">
        <v>32.709850481683105</v>
      </c>
      <c r="P823" s="8">
        <v>0</v>
      </c>
      <c r="Q823" s="8">
        <v>0</v>
      </c>
      <c r="R823" s="8">
        <v>0</v>
      </c>
      <c r="S823" s="8">
        <v>0</v>
      </c>
      <c r="T823" s="5">
        <v>0</v>
      </c>
      <c r="U823" s="5">
        <v>0</v>
      </c>
      <c r="V823" s="5">
        <f>VLOOKUP(A823,Planilha1!B:E,4,0)</f>
        <v>0.37177548115779385</v>
      </c>
    </row>
    <row r="824" spans="1:22" x14ac:dyDescent="0.3">
      <c r="A824" t="str">
        <f t="shared" si="24"/>
        <v>LEITE UHTLACTALIS</v>
      </c>
      <c r="B824" t="str">
        <f t="shared" si="25"/>
        <v>5316731LEITE UHTLACTALIS</v>
      </c>
      <c r="C824" s="5" t="s">
        <v>226</v>
      </c>
      <c r="D824" s="5" t="s">
        <v>227</v>
      </c>
      <c r="E824" s="5" t="s">
        <v>1722</v>
      </c>
      <c r="F824" s="5">
        <v>5316731</v>
      </c>
      <c r="G824" s="5" t="s">
        <v>654</v>
      </c>
      <c r="H824" s="5" t="s">
        <v>30</v>
      </c>
      <c r="I824" s="5" t="s">
        <v>22</v>
      </c>
      <c r="J824" s="5" t="s">
        <v>156</v>
      </c>
      <c r="K824" s="6">
        <v>0</v>
      </c>
      <c r="L824" s="7">
        <v>0</v>
      </c>
      <c r="M824" s="8">
        <v>4</v>
      </c>
      <c r="N824" s="8">
        <v>0</v>
      </c>
      <c r="O824" s="8">
        <v>4.360677266665455</v>
      </c>
      <c r="P824" s="8">
        <v>0</v>
      </c>
      <c r="Q824" s="8">
        <v>0</v>
      </c>
      <c r="R824" s="8">
        <v>0</v>
      </c>
      <c r="S824" s="8">
        <v>0</v>
      </c>
      <c r="T824" s="5">
        <v>0</v>
      </c>
      <c r="U824" s="5">
        <v>0</v>
      </c>
      <c r="V824" s="5">
        <f>VLOOKUP(A824,Planilha1!B:E,4,0)</f>
        <v>0.37177548115779385</v>
      </c>
    </row>
    <row r="825" spans="1:22" x14ac:dyDescent="0.3">
      <c r="A825" t="str">
        <f t="shared" si="24"/>
        <v>LEITE UHTLACTALIS</v>
      </c>
      <c r="B825" t="str">
        <f t="shared" si="25"/>
        <v>5316901LEITE UHTLACTALIS</v>
      </c>
      <c r="C825" s="5" t="s">
        <v>226</v>
      </c>
      <c r="D825" s="5" t="s">
        <v>227</v>
      </c>
      <c r="E825" s="5" t="s">
        <v>1722</v>
      </c>
      <c r="F825" s="5">
        <v>5316901</v>
      </c>
      <c r="G825" s="5" t="s">
        <v>655</v>
      </c>
      <c r="H825" s="5" t="s">
        <v>30</v>
      </c>
      <c r="I825" s="5" t="s">
        <v>22</v>
      </c>
      <c r="J825" s="5" t="s">
        <v>156</v>
      </c>
      <c r="K825" s="6">
        <v>0</v>
      </c>
      <c r="L825" s="7">
        <v>0</v>
      </c>
      <c r="M825" s="8">
        <v>6</v>
      </c>
      <c r="N825" s="8">
        <v>0</v>
      </c>
      <c r="O825" s="8">
        <v>4.360677266665455</v>
      </c>
      <c r="P825" s="8">
        <v>0</v>
      </c>
      <c r="Q825" s="8">
        <v>0</v>
      </c>
      <c r="R825" s="8">
        <v>0</v>
      </c>
      <c r="S825" s="8">
        <v>0</v>
      </c>
      <c r="T825" s="5">
        <v>0</v>
      </c>
      <c r="U825" s="5">
        <v>0</v>
      </c>
      <c r="V825" s="5">
        <f>VLOOKUP(A825,Planilha1!B:E,4,0)</f>
        <v>0.37177548115779385</v>
      </c>
    </row>
    <row r="826" spans="1:22" x14ac:dyDescent="0.3">
      <c r="A826" t="str">
        <f t="shared" si="24"/>
        <v>LEITE UHTLACTALIS</v>
      </c>
      <c r="B826" t="str">
        <f t="shared" si="25"/>
        <v>5318911LEITE UHTLACTALIS</v>
      </c>
      <c r="C826" s="5" t="s">
        <v>226</v>
      </c>
      <c r="D826" s="5" t="s">
        <v>227</v>
      </c>
      <c r="E826" s="5" t="s">
        <v>1722</v>
      </c>
      <c r="F826" s="5">
        <v>5318911</v>
      </c>
      <c r="G826" s="5" t="s">
        <v>656</v>
      </c>
      <c r="H826" s="5" t="s">
        <v>30</v>
      </c>
      <c r="I826" s="5" t="s">
        <v>22</v>
      </c>
      <c r="J826" s="5" t="s">
        <v>156</v>
      </c>
      <c r="K826" s="6">
        <v>0</v>
      </c>
      <c r="L826" s="7">
        <v>0</v>
      </c>
      <c r="M826" s="8">
        <v>0</v>
      </c>
      <c r="N826" s="8">
        <v>0</v>
      </c>
      <c r="O826" s="8">
        <v>87.223087296693478</v>
      </c>
      <c r="P826" s="8">
        <v>0</v>
      </c>
      <c r="Q826" s="8">
        <v>0</v>
      </c>
      <c r="R826" s="8">
        <v>0</v>
      </c>
      <c r="S826" s="8">
        <v>0</v>
      </c>
      <c r="T826" s="5">
        <v>0</v>
      </c>
      <c r="U826" s="5">
        <v>0</v>
      </c>
      <c r="V826" s="5">
        <f>VLOOKUP(A826,Planilha1!B:E,4,0)</f>
        <v>0.37177548115779385</v>
      </c>
    </row>
    <row r="827" spans="1:22" x14ac:dyDescent="0.3">
      <c r="A827" t="str">
        <f t="shared" si="24"/>
        <v>MANTEIGA 5KGLACTALIS</v>
      </c>
      <c r="B827" t="str">
        <f t="shared" si="25"/>
        <v>5321058MANTEIGA 5KGLACTALIS</v>
      </c>
      <c r="C827" s="5" t="s">
        <v>226</v>
      </c>
      <c r="D827" s="5" t="s">
        <v>227</v>
      </c>
      <c r="E827" s="5" t="s">
        <v>1722</v>
      </c>
      <c r="F827" s="5">
        <v>5321058</v>
      </c>
      <c r="G827" s="5" t="s">
        <v>657</v>
      </c>
      <c r="H827" s="5" t="s">
        <v>30</v>
      </c>
      <c r="I827" s="5" t="s">
        <v>22</v>
      </c>
      <c r="J827" s="5" t="s">
        <v>60</v>
      </c>
      <c r="K827" s="6">
        <v>0</v>
      </c>
      <c r="L827" s="7">
        <v>25</v>
      </c>
      <c r="M827" s="8">
        <v>29.166666666666668</v>
      </c>
      <c r="N827" s="8">
        <v>30</v>
      </c>
      <c r="O827" s="8">
        <v>19.286581717676437</v>
      </c>
      <c r="P827" s="8">
        <v>0</v>
      </c>
      <c r="Q827" s="8">
        <v>15</v>
      </c>
      <c r="R827" s="8">
        <v>0</v>
      </c>
      <c r="S827" s="8">
        <v>35</v>
      </c>
      <c r="T827" s="5">
        <v>35</v>
      </c>
      <c r="U827" s="5">
        <v>25</v>
      </c>
      <c r="V827" s="5">
        <f>VLOOKUP(A827,Planilha1!B:E,4,0)</f>
        <v>11.476197020267191</v>
      </c>
    </row>
    <row r="828" spans="1:22" x14ac:dyDescent="0.3">
      <c r="A828" t="str">
        <f t="shared" si="24"/>
        <v>MANTEIGA 5KGLACTALIS</v>
      </c>
      <c r="B828" t="str">
        <f t="shared" si="25"/>
        <v>5321889MANTEIGA 5KGLACTALIS</v>
      </c>
      <c r="C828" s="5" t="s">
        <v>226</v>
      </c>
      <c r="D828" s="5" t="s">
        <v>227</v>
      </c>
      <c r="E828" s="5" t="s">
        <v>1722</v>
      </c>
      <c r="F828" s="5">
        <v>5321889</v>
      </c>
      <c r="G828" s="5" t="s">
        <v>658</v>
      </c>
      <c r="H828" s="5" t="s">
        <v>30</v>
      </c>
      <c r="I828" s="5" t="s">
        <v>22</v>
      </c>
      <c r="J828" s="5" t="s">
        <v>60</v>
      </c>
      <c r="K828" s="6">
        <v>0</v>
      </c>
      <c r="L828" s="7">
        <v>15</v>
      </c>
      <c r="M828" s="8">
        <v>30</v>
      </c>
      <c r="N828" s="8">
        <v>30</v>
      </c>
      <c r="O828" s="8">
        <v>31.556629651590754</v>
      </c>
      <c r="P828" s="8">
        <v>0</v>
      </c>
      <c r="Q828" s="8">
        <v>15</v>
      </c>
      <c r="R828" s="8">
        <v>0</v>
      </c>
      <c r="S828" s="8">
        <v>30</v>
      </c>
      <c r="T828" s="5">
        <v>30</v>
      </c>
      <c r="U828" s="5">
        <v>30</v>
      </c>
      <c r="V828" s="5">
        <f>VLOOKUP(A828,Planilha1!B:E,4,0)</f>
        <v>11.476197020267191</v>
      </c>
    </row>
    <row r="829" spans="1:22" x14ac:dyDescent="0.3">
      <c r="A829" t="str">
        <f t="shared" si="24"/>
        <v>LEITE UHTLACTALIS</v>
      </c>
      <c r="B829" t="str">
        <f t="shared" si="25"/>
        <v>5323737LEITE UHTLACTALIS</v>
      </c>
      <c r="C829" s="5" t="s">
        <v>226</v>
      </c>
      <c r="D829" s="5" t="s">
        <v>227</v>
      </c>
      <c r="E829" s="5" t="s">
        <v>1722</v>
      </c>
      <c r="F829" s="5">
        <v>5323737</v>
      </c>
      <c r="G829" s="5" t="s">
        <v>659</v>
      </c>
      <c r="H829" s="5" t="s">
        <v>30</v>
      </c>
      <c r="I829" s="5" t="s">
        <v>22</v>
      </c>
      <c r="J829" s="5" t="s">
        <v>156</v>
      </c>
      <c r="K829" s="6">
        <v>0</v>
      </c>
      <c r="L829" s="7">
        <v>0</v>
      </c>
      <c r="M829" s="8">
        <v>100</v>
      </c>
      <c r="N829" s="8">
        <v>72</v>
      </c>
      <c r="O829" s="8">
        <v>32.709850481683105</v>
      </c>
      <c r="P829" s="8">
        <v>0</v>
      </c>
      <c r="Q829" s="8">
        <v>0</v>
      </c>
      <c r="R829" s="8">
        <v>0</v>
      </c>
      <c r="S829" s="8">
        <v>0</v>
      </c>
      <c r="T829" s="5">
        <v>0</v>
      </c>
      <c r="U829" s="5">
        <v>0</v>
      </c>
      <c r="V829" s="5">
        <f>VLOOKUP(A829,Planilha1!B:E,4,0)</f>
        <v>0.37177548115779385</v>
      </c>
    </row>
    <row r="830" spans="1:22" x14ac:dyDescent="0.3">
      <c r="A830" t="str">
        <f t="shared" si="24"/>
        <v>LEITE UHTLACTALIS</v>
      </c>
      <c r="B830" t="str">
        <f t="shared" si="25"/>
        <v>5326107LEITE UHTLACTALIS</v>
      </c>
      <c r="C830" s="5" t="s">
        <v>226</v>
      </c>
      <c r="D830" s="5" t="s">
        <v>227</v>
      </c>
      <c r="E830" s="5" t="s">
        <v>1722</v>
      </c>
      <c r="F830" s="5">
        <v>5326107</v>
      </c>
      <c r="G830" s="5" t="s">
        <v>660</v>
      </c>
      <c r="H830" s="5" t="s">
        <v>30</v>
      </c>
      <c r="I830" s="5" t="s">
        <v>22</v>
      </c>
      <c r="J830" s="5" t="s">
        <v>156</v>
      </c>
      <c r="K830" s="6">
        <v>0</v>
      </c>
      <c r="L830" s="7">
        <v>144</v>
      </c>
      <c r="M830" s="8">
        <v>65</v>
      </c>
      <c r="N830" s="8">
        <v>64</v>
      </c>
      <c r="O830" s="8">
        <v>30.534282830042571</v>
      </c>
      <c r="P830" s="8">
        <v>0</v>
      </c>
      <c r="Q830" s="8">
        <v>0</v>
      </c>
      <c r="R830" s="8">
        <v>0</v>
      </c>
      <c r="S830" s="8">
        <v>0</v>
      </c>
      <c r="T830" s="5">
        <v>0</v>
      </c>
      <c r="U830" s="5">
        <v>0</v>
      </c>
      <c r="V830" s="5">
        <f>VLOOKUP(A830,Planilha1!B:E,4,0)</f>
        <v>0.37177548115779385</v>
      </c>
    </row>
    <row r="831" spans="1:22" x14ac:dyDescent="0.3">
      <c r="A831" t="str">
        <f t="shared" si="24"/>
        <v>MANTEIGA 5KGLACTALIS</v>
      </c>
      <c r="B831" t="str">
        <f t="shared" si="25"/>
        <v>5327252MANTEIGA 5KGLACTALIS</v>
      </c>
      <c r="C831" s="5" t="s">
        <v>226</v>
      </c>
      <c r="D831" s="5" t="s">
        <v>227</v>
      </c>
      <c r="E831" s="5" t="s">
        <v>1722</v>
      </c>
      <c r="F831" s="5">
        <v>5327252</v>
      </c>
      <c r="G831" s="5" t="s">
        <v>661</v>
      </c>
      <c r="H831" s="5" t="s">
        <v>30</v>
      </c>
      <c r="I831" s="5" t="s">
        <v>22</v>
      </c>
      <c r="J831" s="5" t="s">
        <v>60</v>
      </c>
      <c r="K831" s="6">
        <v>0</v>
      </c>
      <c r="L831" s="7">
        <v>0</v>
      </c>
      <c r="M831" s="8">
        <v>1.6666666666666667</v>
      </c>
      <c r="N831" s="8">
        <v>1.6666666666666667</v>
      </c>
      <c r="O831" s="8">
        <v>1.7488017333388881</v>
      </c>
      <c r="P831" s="8">
        <v>0</v>
      </c>
      <c r="Q831" s="8">
        <v>0</v>
      </c>
      <c r="R831" s="8">
        <v>0</v>
      </c>
      <c r="S831" s="8">
        <v>0</v>
      </c>
      <c r="T831" s="5">
        <v>0</v>
      </c>
      <c r="U831" s="5">
        <v>0</v>
      </c>
      <c r="V831" s="5">
        <f>VLOOKUP(A831,Planilha1!B:E,4,0)</f>
        <v>11.476197020267191</v>
      </c>
    </row>
    <row r="832" spans="1:22" x14ac:dyDescent="0.3">
      <c r="A832" t="str">
        <f t="shared" si="24"/>
        <v>LEITE UHTLACTALIS</v>
      </c>
      <c r="B832" t="str">
        <f t="shared" si="25"/>
        <v>5331205LEITE UHTLACTALIS</v>
      </c>
      <c r="C832" s="5" t="s">
        <v>226</v>
      </c>
      <c r="D832" s="5" t="s">
        <v>227</v>
      </c>
      <c r="E832" s="5" t="s">
        <v>1722</v>
      </c>
      <c r="F832" s="5">
        <v>5331205</v>
      </c>
      <c r="G832" s="5" t="s">
        <v>662</v>
      </c>
      <c r="H832" s="5" t="s">
        <v>30</v>
      </c>
      <c r="I832" s="5" t="s">
        <v>22</v>
      </c>
      <c r="J832" s="5" t="s">
        <v>156</v>
      </c>
      <c r="K832" s="6">
        <v>0</v>
      </c>
      <c r="L832" s="7">
        <v>432</v>
      </c>
      <c r="M832" s="8">
        <v>104</v>
      </c>
      <c r="N832" s="8">
        <v>0</v>
      </c>
      <c r="O832" s="8">
        <v>71.960716863364382</v>
      </c>
      <c r="P832" s="8">
        <v>0</v>
      </c>
      <c r="Q832" s="8">
        <v>0</v>
      </c>
      <c r="R832" s="8">
        <v>0</v>
      </c>
      <c r="S832" s="8">
        <v>0</v>
      </c>
      <c r="T832" s="5">
        <v>0</v>
      </c>
      <c r="U832" s="5">
        <v>0</v>
      </c>
      <c r="V832" s="5">
        <f>VLOOKUP(A832,Planilha1!B:E,4,0)</f>
        <v>0.37177548115779385</v>
      </c>
    </row>
    <row r="833" spans="1:22" x14ac:dyDescent="0.3">
      <c r="A833" t="str">
        <f t="shared" si="24"/>
        <v>MANTEIGA 5KGLACTALIS</v>
      </c>
      <c r="B833" t="str">
        <f t="shared" si="25"/>
        <v>5331644MANTEIGA 5KGLACTALIS</v>
      </c>
      <c r="C833" s="5" t="s">
        <v>226</v>
      </c>
      <c r="D833" s="5" t="s">
        <v>227</v>
      </c>
      <c r="E833" s="5" t="s">
        <v>1722</v>
      </c>
      <c r="F833" s="5">
        <v>5331644</v>
      </c>
      <c r="G833" s="5" t="s">
        <v>595</v>
      </c>
      <c r="H833" s="5" t="s">
        <v>30</v>
      </c>
      <c r="I833" s="5" t="s">
        <v>22</v>
      </c>
      <c r="J833" s="5" t="s">
        <v>60</v>
      </c>
      <c r="K833" s="6">
        <v>0</v>
      </c>
      <c r="L833" s="7">
        <v>0</v>
      </c>
      <c r="M833" s="8">
        <v>4.166666666666667</v>
      </c>
      <c r="N833" s="8">
        <v>3.3333333333333335</v>
      </c>
      <c r="O833" s="8">
        <v>8.7582265669654902</v>
      </c>
      <c r="P833" s="8">
        <v>0</v>
      </c>
      <c r="Q833" s="8">
        <v>0</v>
      </c>
      <c r="R833" s="8">
        <v>0</v>
      </c>
      <c r="S833" s="8">
        <v>0</v>
      </c>
      <c r="T833" s="5">
        <v>0</v>
      </c>
      <c r="U833" s="5">
        <v>0</v>
      </c>
      <c r="V833" s="5">
        <f>VLOOKUP(A833,Planilha1!B:E,4,0)</f>
        <v>11.476197020267191</v>
      </c>
    </row>
    <row r="834" spans="1:22" x14ac:dyDescent="0.3">
      <c r="A834" t="str">
        <f t="shared" ref="A834:A897" si="26">J834&amp;I834</f>
        <v>PARMESÃOLACTALIS</v>
      </c>
      <c r="B834" t="str">
        <f t="shared" si="25"/>
        <v>5331644PARMESÃOLACTALIS</v>
      </c>
      <c r="C834" s="5" t="s">
        <v>226</v>
      </c>
      <c r="D834" s="5" t="s">
        <v>227</v>
      </c>
      <c r="E834" s="5" t="s">
        <v>1722</v>
      </c>
      <c r="F834" s="5">
        <v>5331644</v>
      </c>
      <c r="G834" s="5" t="s">
        <v>595</v>
      </c>
      <c r="H834" s="5" t="s">
        <v>30</v>
      </c>
      <c r="I834" s="5" t="s">
        <v>22</v>
      </c>
      <c r="J834" s="5" t="s">
        <v>195</v>
      </c>
      <c r="K834" s="6">
        <v>0</v>
      </c>
      <c r="L834" s="7">
        <v>0</v>
      </c>
      <c r="M834" s="8">
        <v>7.3141666666666669</v>
      </c>
      <c r="N834" s="8">
        <v>0</v>
      </c>
      <c r="O834" s="8">
        <v>15.245930184330966</v>
      </c>
      <c r="P834" s="8">
        <v>0</v>
      </c>
      <c r="Q834" s="8">
        <v>0</v>
      </c>
      <c r="R834" s="8">
        <v>0</v>
      </c>
      <c r="S834" s="8">
        <v>15</v>
      </c>
      <c r="T834" s="5">
        <v>15</v>
      </c>
      <c r="U834" s="5">
        <v>15</v>
      </c>
      <c r="V834" s="5">
        <f>VLOOKUP(A834,Planilha1!B:E,4,0)</f>
        <v>6.310326960724681</v>
      </c>
    </row>
    <row r="835" spans="1:22" x14ac:dyDescent="0.3">
      <c r="A835" t="str">
        <f t="shared" si="26"/>
        <v>MANTEIGA 5KGLACTALIS</v>
      </c>
      <c r="B835" t="str">
        <f t="shared" ref="B835:B898" si="27">F835&amp;J835&amp;I835</f>
        <v>5335701MANTEIGA 5KGLACTALIS</v>
      </c>
      <c r="C835" s="5" t="s">
        <v>226</v>
      </c>
      <c r="D835" s="5" t="s">
        <v>227</v>
      </c>
      <c r="E835" s="5" t="s">
        <v>1722</v>
      </c>
      <c r="F835" s="5">
        <v>5335701</v>
      </c>
      <c r="G835" s="5" t="s">
        <v>663</v>
      </c>
      <c r="H835" s="5" t="s">
        <v>30</v>
      </c>
      <c r="I835" s="5" t="s">
        <v>22</v>
      </c>
      <c r="J835" s="5" t="s">
        <v>60</v>
      </c>
      <c r="K835" s="6">
        <v>0</v>
      </c>
      <c r="L835" s="7">
        <v>0</v>
      </c>
      <c r="M835" s="8">
        <v>5</v>
      </c>
      <c r="N835" s="8">
        <v>0</v>
      </c>
      <c r="O835" s="8">
        <v>19.286581717676437</v>
      </c>
      <c r="P835" s="8">
        <v>0</v>
      </c>
      <c r="Q835" s="8">
        <v>0</v>
      </c>
      <c r="R835" s="8">
        <v>0</v>
      </c>
      <c r="S835" s="8">
        <v>0</v>
      </c>
      <c r="T835" s="5">
        <v>0</v>
      </c>
      <c r="U835" s="5">
        <v>0</v>
      </c>
      <c r="V835" s="5">
        <f>VLOOKUP(A835,Planilha1!B:E,4,0)</f>
        <v>11.476197020267191</v>
      </c>
    </row>
    <row r="836" spans="1:22" x14ac:dyDescent="0.3">
      <c r="A836" t="str">
        <f t="shared" si="26"/>
        <v>LEITE UHTLACTALIS</v>
      </c>
      <c r="B836" t="str">
        <f t="shared" si="27"/>
        <v>5339972LEITE UHTLACTALIS</v>
      </c>
      <c r="C836" s="5" t="s">
        <v>226</v>
      </c>
      <c r="D836" s="5" t="s">
        <v>227</v>
      </c>
      <c r="E836" s="5" t="s">
        <v>1722</v>
      </c>
      <c r="F836" s="5">
        <v>5339972</v>
      </c>
      <c r="G836" s="5" t="s">
        <v>664</v>
      </c>
      <c r="H836" s="5" t="s">
        <v>30</v>
      </c>
      <c r="I836" s="5" t="s">
        <v>22</v>
      </c>
      <c r="J836" s="5" t="s">
        <v>156</v>
      </c>
      <c r="K836" s="6">
        <v>0</v>
      </c>
      <c r="L836" s="7">
        <v>0</v>
      </c>
      <c r="M836" s="8">
        <v>8</v>
      </c>
      <c r="N836" s="8">
        <v>0</v>
      </c>
      <c r="O836" s="8">
        <v>8.7213545333309099</v>
      </c>
      <c r="P836" s="8">
        <v>0</v>
      </c>
      <c r="Q836" s="8">
        <v>0</v>
      </c>
      <c r="R836" s="8">
        <v>0</v>
      </c>
      <c r="S836" s="8">
        <v>0</v>
      </c>
      <c r="T836" s="5">
        <v>0</v>
      </c>
      <c r="U836" s="5">
        <v>0</v>
      </c>
      <c r="V836" s="5">
        <f>VLOOKUP(A836,Planilha1!B:E,4,0)</f>
        <v>0.37177548115779385</v>
      </c>
    </row>
    <row r="837" spans="1:22" x14ac:dyDescent="0.3">
      <c r="A837" t="str">
        <f t="shared" si="26"/>
        <v>LEITE UHTLACTALIS</v>
      </c>
      <c r="B837" t="str">
        <f t="shared" si="27"/>
        <v>5341995LEITE UHTLACTALIS</v>
      </c>
      <c r="C837" s="5" t="s">
        <v>226</v>
      </c>
      <c r="D837" s="5" t="s">
        <v>227</v>
      </c>
      <c r="E837" s="5" t="s">
        <v>1722</v>
      </c>
      <c r="F837" s="5">
        <v>5341995</v>
      </c>
      <c r="G837" s="5" t="s">
        <v>665</v>
      </c>
      <c r="H837" s="5" t="s">
        <v>30</v>
      </c>
      <c r="I837" s="5" t="s">
        <v>22</v>
      </c>
      <c r="J837" s="5" t="s">
        <v>156</v>
      </c>
      <c r="K837" s="6">
        <v>0</v>
      </c>
      <c r="L837" s="7">
        <v>0</v>
      </c>
      <c r="M837" s="8">
        <v>72</v>
      </c>
      <c r="N837" s="8">
        <v>20</v>
      </c>
      <c r="O837" s="8">
        <v>23.983724966659999</v>
      </c>
      <c r="P837" s="8">
        <v>0</v>
      </c>
      <c r="Q837" s="8">
        <v>0</v>
      </c>
      <c r="R837" s="8">
        <v>0</v>
      </c>
      <c r="S837" s="8">
        <v>0</v>
      </c>
      <c r="T837" s="5">
        <v>0</v>
      </c>
      <c r="U837" s="5">
        <v>0</v>
      </c>
      <c r="V837" s="5">
        <f>VLOOKUP(A837,Planilha1!B:E,4,0)</f>
        <v>0.37177548115779385</v>
      </c>
    </row>
    <row r="838" spans="1:22" x14ac:dyDescent="0.3">
      <c r="A838" t="str">
        <f t="shared" si="26"/>
        <v>MANTEIGA 5KGLACTALIS</v>
      </c>
      <c r="B838" t="str">
        <f t="shared" si="27"/>
        <v>5344075MANTEIGA 5KGLACTALIS</v>
      </c>
      <c r="C838" s="5" t="s">
        <v>226</v>
      </c>
      <c r="D838" s="5" t="s">
        <v>227</v>
      </c>
      <c r="E838" s="5" t="s">
        <v>1722</v>
      </c>
      <c r="F838" s="5">
        <v>5344075</v>
      </c>
      <c r="G838" s="5" t="s">
        <v>666</v>
      </c>
      <c r="H838" s="5" t="s">
        <v>30</v>
      </c>
      <c r="I838" s="5" t="s">
        <v>22</v>
      </c>
      <c r="J838" s="5" t="s">
        <v>60</v>
      </c>
      <c r="K838" s="6">
        <v>0</v>
      </c>
      <c r="L838" s="7">
        <v>0</v>
      </c>
      <c r="M838" s="8">
        <v>0</v>
      </c>
      <c r="N838" s="8">
        <v>0</v>
      </c>
      <c r="O838" s="8">
        <v>3.5047124168133004</v>
      </c>
      <c r="P838" s="8">
        <v>0</v>
      </c>
      <c r="Q838" s="8">
        <v>0</v>
      </c>
      <c r="R838" s="8">
        <v>0</v>
      </c>
      <c r="S838" s="8">
        <v>0</v>
      </c>
      <c r="T838" s="5">
        <v>0</v>
      </c>
      <c r="U838" s="5">
        <v>0</v>
      </c>
      <c r="V838" s="5">
        <f>VLOOKUP(A838,Planilha1!B:E,4,0)</f>
        <v>11.476197020267191</v>
      </c>
    </row>
    <row r="839" spans="1:22" x14ac:dyDescent="0.3">
      <c r="A839" t="str">
        <f t="shared" si="26"/>
        <v>LEITE UHTLACTALIS</v>
      </c>
      <c r="B839" t="str">
        <f t="shared" si="27"/>
        <v>5344622LEITE UHTLACTALIS</v>
      </c>
      <c r="C839" s="5" t="s">
        <v>226</v>
      </c>
      <c r="D839" s="5" t="s">
        <v>227</v>
      </c>
      <c r="E839" s="5" t="s">
        <v>1722</v>
      </c>
      <c r="F839" s="5">
        <v>5344622</v>
      </c>
      <c r="G839" s="5" t="s">
        <v>667</v>
      </c>
      <c r="H839" s="5" t="s">
        <v>30</v>
      </c>
      <c r="I839" s="5" t="s">
        <v>22</v>
      </c>
      <c r="J839" s="5" t="s">
        <v>156</v>
      </c>
      <c r="K839" s="6">
        <v>0</v>
      </c>
      <c r="L839" s="7">
        <v>0</v>
      </c>
      <c r="M839" s="8">
        <v>0</v>
      </c>
      <c r="N839" s="8">
        <v>0</v>
      </c>
      <c r="O839" s="8">
        <v>65.4244719450584</v>
      </c>
      <c r="P839" s="8">
        <v>0</v>
      </c>
      <c r="Q839" s="8">
        <v>0</v>
      </c>
      <c r="R839" s="8">
        <v>0</v>
      </c>
      <c r="S839" s="8">
        <v>0</v>
      </c>
      <c r="T839" s="5">
        <v>0</v>
      </c>
      <c r="U839" s="5">
        <v>0</v>
      </c>
      <c r="V839" s="5">
        <f>VLOOKUP(A839,Planilha1!B:E,4,0)</f>
        <v>0.37177548115779385</v>
      </c>
    </row>
    <row r="840" spans="1:22" x14ac:dyDescent="0.3">
      <c r="A840" t="str">
        <f t="shared" si="26"/>
        <v>LEITE UHTLACTALIS</v>
      </c>
      <c r="B840" t="str">
        <f t="shared" si="27"/>
        <v>5346650LEITE UHTLACTALIS</v>
      </c>
      <c r="C840" s="5" t="s">
        <v>226</v>
      </c>
      <c r="D840" s="5" t="s">
        <v>227</v>
      </c>
      <c r="E840" s="5" t="s">
        <v>1722</v>
      </c>
      <c r="F840" s="5">
        <v>5346650</v>
      </c>
      <c r="G840" s="5" t="s">
        <v>668</v>
      </c>
      <c r="H840" s="5" t="s">
        <v>30</v>
      </c>
      <c r="I840" s="5" t="s">
        <v>22</v>
      </c>
      <c r="J840" s="5" t="s">
        <v>156</v>
      </c>
      <c r="K840" s="6">
        <v>0</v>
      </c>
      <c r="L840" s="7">
        <v>48</v>
      </c>
      <c r="M840" s="8">
        <v>10</v>
      </c>
      <c r="N840" s="8">
        <v>0</v>
      </c>
      <c r="O840" s="8">
        <v>6.5457868816903764</v>
      </c>
      <c r="P840" s="8">
        <v>0</v>
      </c>
      <c r="Q840" s="8">
        <v>0</v>
      </c>
      <c r="R840" s="8">
        <v>0</v>
      </c>
      <c r="S840" s="8">
        <v>0</v>
      </c>
      <c r="T840" s="5">
        <v>0</v>
      </c>
      <c r="U840" s="5">
        <v>0</v>
      </c>
      <c r="V840" s="5">
        <f>VLOOKUP(A840,Planilha1!B:E,4,0)</f>
        <v>0.37177548115779385</v>
      </c>
    </row>
    <row r="841" spans="1:22" x14ac:dyDescent="0.3">
      <c r="A841" t="str">
        <f t="shared" si="26"/>
        <v>LEITE UHTLACTALIS</v>
      </c>
      <c r="B841" t="str">
        <f t="shared" si="27"/>
        <v>5346651LEITE UHTLACTALIS</v>
      </c>
      <c r="C841" s="5" t="s">
        <v>226</v>
      </c>
      <c r="D841" s="5" t="s">
        <v>227</v>
      </c>
      <c r="E841" s="5" t="s">
        <v>1722</v>
      </c>
      <c r="F841" s="5">
        <v>5346651</v>
      </c>
      <c r="G841" s="5" t="s">
        <v>669</v>
      </c>
      <c r="H841" s="5" t="s">
        <v>30</v>
      </c>
      <c r="I841" s="5" t="s">
        <v>22</v>
      </c>
      <c r="J841" s="5" t="s">
        <v>156</v>
      </c>
      <c r="K841" s="6">
        <v>0</v>
      </c>
      <c r="L841" s="7">
        <v>0</v>
      </c>
      <c r="M841" s="8">
        <v>26</v>
      </c>
      <c r="N841" s="8">
        <v>0</v>
      </c>
      <c r="O841" s="8">
        <v>17.447480048354013</v>
      </c>
      <c r="P841" s="8">
        <v>0</v>
      </c>
      <c r="Q841" s="8">
        <v>0</v>
      </c>
      <c r="R841" s="8">
        <v>0</v>
      </c>
      <c r="S841" s="8">
        <v>0</v>
      </c>
      <c r="T841" s="5">
        <v>0</v>
      </c>
      <c r="U841" s="5">
        <v>0</v>
      </c>
      <c r="V841" s="5">
        <f>VLOOKUP(A841,Planilha1!B:E,4,0)</f>
        <v>0.37177548115779385</v>
      </c>
    </row>
    <row r="842" spans="1:22" x14ac:dyDescent="0.3">
      <c r="A842" t="str">
        <f t="shared" si="26"/>
        <v>LEITE UHTLACTALIS</v>
      </c>
      <c r="B842" t="str">
        <f t="shared" si="27"/>
        <v>5346654LEITE UHTLACTALIS</v>
      </c>
      <c r="C842" s="5" t="s">
        <v>226</v>
      </c>
      <c r="D842" s="5" t="s">
        <v>227</v>
      </c>
      <c r="E842" s="5" t="s">
        <v>1722</v>
      </c>
      <c r="F842" s="5">
        <v>5346654</v>
      </c>
      <c r="G842" s="5" t="s">
        <v>670</v>
      </c>
      <c r="H842" s="5" t="s">
        <v>30</v>
      </c>
      <c r="I842" s="5" t="s">
        <v>22</v>
      </c>
      <c r="J842" s="5" t="s">
        <v>156</v>
      </c>
      <c r="K842" s="6">
        <v>0</v>
      </c>
      <c r="L842" s="7">
        <v>60</v>
      </c>
      <c r="M842" s="8">
        <v>48</v>
      </c>
      <c r="N842" s="8">
        <v>44</v>
      </c>
      <c r="O842" s="8">
        <v>23.988495948352195</v>
      </c>
      <c r="P842" s="8">
        <v>0</v>
      </c>
      <c r="Q842" s="8">
        <v>0</v>
      </c>
      <c r="R842" s="8">
        <v>0</v>
      </c>
      <c r="S842" s="8">
        <v>0</v>
      </c>
      <c r="T842" s="5">
        <v>0</v>
      </c>
      <c r="U842" s="5">
        <v>0</v>
      </c>
      <c r="V842" s="5">
        <f>VLOOKUP(A842,Planilha1!B:E,4,0)</f>
        <v>0.37177548115779385</v>
      </c>
    </row>
    <row r="843" spans="1:22" x14ac:dyDescent="0.3">
      <c r="A843" t="str">
        <f t="shared" si="26"/>
        <v>LEITE UHTLACTALIS</v>
      </c>
      <c r="B843" t="str">
        <f t="shared" si="27"/>
        <v>5346682LEITE UHTLACTALIS</v>
      </c>
      <c r="C843" s="5" t="s">
        <v>226</v>
      </c>
      <c r="D843" s="5" t="s">
        <v>227</v>
      </c>
      <c r="E843" s="5" t="s">
        <v>1722</v>
      </c>
      <c r="F843" s="5">
        <v>5346682</v>
      </c>
      <c r="G843" s="5" t="s">
        <v>671</v>
      </c>
      <c r="H843" s="5" t="s">
        <v>30</v>
      </c>
      <c r="I843" s="5" t="s">
        <v>22</v>
      </c>
      <c r="J843" s="5" t="s">
        <v>156</v>
      </c>
      <c r="K843" s="6">
        <v>0</v>
      </c>
      <c r="L843" s="7">
        <v>216</v>
      </c>
      <c r="M843" s="8">
        <v>0</v>
      </c>
      <c r="N843" s="8">
        <v>0</v>
      </c>
      <c r="O843" s="8">
        <v>4.360677266665455</v>
      </c>
      <c r="P843" s="8">
        <v>0</v>
      </c>
      <c r="Q843" s="8">
        <v>0</v>
      </c>
      <c r="R843" s="8">
        <v>0</v>
      </c>
      <c r="S843" s="8">
        <v>0</v>
      </c>
      <c r="T843" s="5">
        <v>0</v>
      </c>
      <c r="U843" s="5">
        <v>0</v>
      </c>
      <c r="V843" s="5">
        <f>VLOOKUP(A843,Planilha1!B:E,4,0)</f>
        <v>0.37177548115779385</v>
      </c>
    </row>
    <row r="844" spans="1:22" x14ac:dyDescent="0.3">
      <c r="A844" t="str">
        <f t="shared" si="26"/>
        <v>MANTEIGA 5KGLACTALIS</v>
      </c>
      <c r="B844" t="str">
        <f t="shared" si="27"/>
        <v>5346823MANTEIGA 5KGLACTALIS</v>
      </c>
      <c r="C844" s="5" t="s">
        <v>226</v>
      </c>
      <c r="D844" s="5" t="s">
        <v>227</v>
      </c>
      <c r="E844" s="5" t="s">
        <v>1722</v>
      </c>
      <c r="F844" s="5">
        <v>5346823</v>
      </c>
      <c r="G844" s="5" t="s">
        <v>672</v>
      </c>
      <c r="H844" s="5" t="s">
        <v>30</v>
      </c>
      <c r="I844" s="5" t="s">
        <v>22</v>
      </c>
      <c r="J844" s="5" t="s">
        <v>60</v>
      </c>
      <c r="K844" s="6">
        <v>0</v>
      </c>
      <c r="L844" s="7">
        <v>40</v>
      </c>
      <c r="M844" s="8">
        <v>82.5</v>
      </c>
      <c r="N844" s="8">
        <v>31.666666666666668</v>
      </c>
      <c r="O844" s="8">
        <v>115.69816345565206</v>
      </c>
      <c r="P844" s="8">
        <v>0</v>
      </c>
      <c r="Q844" s="8">
        <v>0</v>
      </c>
      <c r="R844" s="8">
        <v>0</v>
      </c>
      <c r="S844" s="8">
        <v>0</v>
      </c>
      <c r="T844" s="5">
        <v>0</v>
      </c>
      <c r="U844" s="5">
        <v>0</v>
      </c>
      <c r="V844" s="5">
        <f>VLOOKUP(A844,Planilha1!B:E,4,0)</f>
        <v>11.476197020267191</v>
      </c>
    </row>
    <row r="845" spans="1:22" x14ac:dyDescent="0.3">
      <c r="A845" t="str">
        <f t="shared" si="26"/>
        <v>LEITE UHTLACTALIS</v>
      </c>
      <c r="B845" t="str">
        <f t="shared" si="27"/>
        <v>5348883LEITE UHTLACTALIS</v>
      </c>
      <c r="C845" s="5" t="s">
        <v>226</v>
      </c>
      <c r="D845" s="5" t="s">
        <v>227</v>
      </c>
      <c r="E845" s="5" t="s">
        <v>1722</v>
      </c>
      <c r="F845" s="5">
        <v>5348883</v>
      </c>
      <c r="G845" s="5" t="s">
        <v>673</v>
      </c>
      <c r="H845" s="5" t="s">
        <v>30</v>
      </c>
      <c r="I845" s="5" t="s">
        <v>22</v>
      </c>
      <c r="J845" s="5" t="s">
        <v>156</v>
      </c>
      <c r="K845" s="6">
        <v>0</v>
      </c>
      <c r="L845" s="7">
        <v>0</v>
      </c>
      <c r="M845" s="8">
        <v>190</v>
      </c>
      <c r="N845" s="8">
        <v>128</v>
      </c>
      <c r="O845" s="8">
        <v>71.955945881672193</v>
      </c>
      <c r="P845" s="8">
        <v>0</v>
      </c>
      <c r="Q845" s="8">
        <v>132</v>
      </c>
      <c r="R845" s="8">
        <v>0</v>
      </c>
      <c r="S845" s="8">
        <v>0</v>
      </c>
      <c r="T845" s="5">
        <v>0</v>
      </c>
      <c r="U845" s="5">
        <v>0</v>
      </c>
      <c r="V845" s="5">
        <f>VLOOKUP(A845,Planilha1!B:E,4,0)</f>
        <v>0.37177548115779385</v>
      </c>
    </row>
    <row r="846" spans="1:22" x14ac:dyDescent="0.3">
      <c r="A846" t="str">
        <f t="shared" si="26"/>
        <v>LEITE UHTLACTALIS</v>
      </c>
      <c r="B846" t="str">
        <f t="shared" si="27"/>
        <v>5349410LEITE UHTLACTALIS</v>
      </c>
      <c r="C846" s="5" t="s">
        <v>226</v>
      </c>
      <c r="D846" s="5" t="s">
        <v>227</v>
      </c>
      <c r="E846" s="5" t="s">
        <v>1722</v>
      </c>
      <c r="F846" s="5">
        <v>5349410</v>
      </c>
      <c r="G846" s="5" t="s">
        <v>674</v>
      </c>
      <c r="H846" s="5" t="s">
        <v>30</v>
      </c>
      <c r="I846" s="5" t="s">
        <v>22</v>
      </c>
      <c r="J846" s="5" t="s">
        <v>156</v>
      </c>
      <c r="K846" s="6">
        <v>0</v>
      </c>
      <c r="L846" s="7">
        <v>0</v>
      </c>
      <c r="M846" s="8">
        <v>288</v>
      </c>
      <c r="N846" s="8">
        <v>296</v>
      </c>
      <c r="O846" s="8">
        <v>196.24956092671422</v>
      </c>
      <c r="P846" s="8">
        <v>0</v>
      </c>
      <c r="Q846" s="8">
        <v>240</v>
      </c>
      <c r="R846" s="8">
        <v>0</v>
      </c>
      <c r="S846" s="8">
        <v>0</v>
      </c>
      <c r="T846" s="5">
        <v>0</v>
      </c>
      <c r="U846" s="5">
        <v>0</v>
      </c>
      <c r="V846" s="5">
        <f>VLOOKUP(A846,Planilha1!B:E,4,0)</f>
        <v>0.37177548115779385</v>
      </c>
    </row>
    <row r="847" spans="1:22" x14ac:dyDescent="0.3">
      <c r="A847" t="str">
        <f t="shared" si="26"/>
        <v>LEITE UHTLACTALIS</v>
      </c>
      <c r="B847" t="str">
        <f t="shared" si="27"/>
        <v>5349416LEITE UHTLACTALIS</v>
      </c>
      <c r="C847" s="5" t="s">
        <v>226</v>
      </c>
      <c r="D847" s="5" t="s">
        <v>227</v>
      </c>
      <c r="E847" s="5" t="s">
        <v>1722</v>
      </c>
      <c r="F847" s="5">
        <v>5349416</v>
      </c>
      <c r="G847" s="5" t="s">
        <v>675</v>
      </c>
      <c r="H847" s="5" t="s">
        <v>30</v>
      </c>
      <c r="I847" s="5" t="s">
        <v>22</v>
      </c>
      <c r="J847" s="5" t="s">
        <v>156</v>
      </c>
      <c r="K847" s="6">
        <v>0</v>
      </c>
      <c r="L847" s="7">
        <v>0</v>
      </c>
      <c r="M847" s="8">
        <v>86</v>
      </c>
      <c r="N847" s="8">
        <v>108</v>
      </c>
      <c r="O847" s="8">
        <v>21.803386333327275</v>
      </c>
      <c r="P847" s="8">
        <v>0</v>
      </c>
      <c r="Q847" s="8">
        <v>120</v>
      </c>
      <c r="R847" s="8">
        <v>0</v>
      </c>
      <c r="S847" s="8">
        <v>0</v>
      </c>
      <c r="T847" s="5">
        <v>0</v>
      </c>
      <c r="U847" s="5">
        <v>0</v>
      </c>
      <c r="V847" s="5">
        <f>VLOOKUP(A847,Planilha1!B:E,4,0)</f>
        <v>0.37177548115779385</v>
      </c>
    </row>
    <row r="848" spans="1:22" x14ac:dyDescent="0.3">
      <c r="A848" t="str">
        <f t="shared" si="26"/>
        <v>MANTEIGA 5KGLACTALIS</v>
      </c>
      <c r="B848" t="str">
        <f t="shared" si="27"/>
        <v>5349834MANTEIGA 5KGLACTALIS</v>
      </c>
      <c r="C848" s="5" t="s">
        <v>226</v>
      </c>
      <c r="D848" s="5" t="s">
        <v>227</v>
      </c>
      <c r="E848" s="5" t="s">
        <v>1722</v>
      </c>
      <c r="F848" s="5">
        <v>5349834</v>
      </c>
      <c r="G848" s="5" t="s">
        <v>676</v>
      </c>
      <c r="H848" s="5" t="s">
        <v>30</v>
      </c>
      <c r="I848" s="5" t="s">
        <v>22</v>
      </c>
      <c r="J848" s="5" t="s">
        <v>60</v>
      </c>
      <c r="K848" s="6">
        <v>0</v>
      </c>
      <c r="L848" s="7">
        <v>0</v>
      </c>
      <c r="M848" s="8">
        <v>65</v>
      </c>
      <c r="N848" s="8">
        <v>66.666666666666671</v>
      </c>
      <c r="O848" s="8">
        <v>35.061342068404052</v>
      </c>
      <c r="P848" s="8">
        <v>0</v>
      </c>
      <c r="Q848" s="8">
        <v>0</v>
      </c>
      <c r="R848" s="8">
        <v>0</v>
      </c>
      <c r="S848" s="8">
        <v>50</v>
      </c>
      <c r="T848" s="5">
        <v>50</v>
      </c>
      <c r="U848" s="5">
        <v>50</v>
      </c>
      <c r="V848" s="5">
        <f>VLOOKUP(A848,Planilha1!B:E,4,0)</f>
        <v>11.476197020267191</v>
      </c>
    </row>
    <row r="849" spans="1:22" x14ac:dyDescent="0.3">
      <c r="A849" t="str">
        <f t="shared" si="26"/>
        <v>LEITE UHTLACTALIS</v>
      </c>
      <c r="B849" t="str">
        <f t="shared" si="27"/>
        <v>5351307LEITE UHTLACTALIS</v>
      </c>
      <c r="C849" s="5" t="s">
        <v>226</v>
      </c>
      <c r="D849" s="5" t="s">
        <v>227</v>
      </c>
      <c r="E849" s="5" t="s">
        <v>1722</v>
      </c>
      <c r="F849" s="5">
        <v>5351307</v>
      </c>
      <c r="G849" s="5" t="s">
        <v>677</v>
      </c>
      <c r="H849" s="5" t="s">
        <v>30</v>
      </c>
      <c r="I849" s="5" t="s">
        <v>22</v>
      </c>
      <c r="J849" s="5" t="s">
        <v>156</v>
      </c>
      <c r="K849" s="6">
        <v>0</v>
      </c>
      <c r="L849" s="7">
        <v>0</v>
      </c>
      <c r="M849" s="8">
        <v>32</v>
      </c>
      <c r="N849" s="8">
        <v>64</v>
      </c>
      <c r="O849" s="8">
        <v>43.60677266665455</v>
      </c>
      <c r="P849" s="8">
        <v>0</v>
      </c>
      <c r="Q849" s="8">
        <v>0</v>
      </c>
      <c r="R849" s="8">
        <v>0</v>
      </c>
      <c r="S849" s="8">
        <v>0</v>
      </c>
      <c r="T849" s="5">
        <v>0</v>
      </c>
      <c r="U849" s="5">
        <v>0</v>
      </c>
      <c r="V849" s="5">
        <f>VLOOKUP(A849,Planilha1!B:E,4,0)</f>
        <v>0.37177548115779385</v>
      </c>
    </row>
    <row r="850" spans="1:22" x14ac:dyDescent="0.3">
      <c r="A850" t="str">
        <f t="shared" si="26"/>
        <v>MANTEIGA 5KGLACTALIS</v>
      </c>
      <c r="B850" t="str">
        <f t="shared" si="27"/>
        <v>5352687MANTEIGA 5KGLACTALIS</v>
      </c>
      <c r="C850" s="5" t="s">
        <v>226</v>
      </c>
      <c r="D850" s="5" t="s">
        <v>227</v>
      </c>
      <c r="E850" s="5" t="s">
        <v>1722</v>
      </c>
      <c r="F850" s="5">
        <v>5352687</v>
      </c>
      <c r="G850" s="5" t="s">
        <v>678</v>
      </c>
      <c r="H850" s="5" t="s">
        <v>30</v>
      </c>
      <c r="I850" s="5" t="s">
        <v>22</v>
      </c>
      <c r="J850" s="5" t="s">
        <v>60</v>
      </c>
      <c r="K850" s="6">
        <v>0</v>
      </c>
      <c r="L850" s="7">
        <v>0</v>
      </c>
      <c r="M850" s="8">
        <v>16.666666666666668</v>
      </c>
      <c r="N850" s="8">
        <v>16.666666666666668</v>
      </c>
      <c r="O850" s="8">
        <v>14.025958617388726</v>
      </c>
      <c r="P850" s="8">
        <v>0</v>
      </c>
      <c r="Q850" s="8">
        <v>10</v>
      </c>
      <c r="R850" s="8">
        <v>0</v>
      </c>
      <c r="S850" s="8">
        <v>15</v>
      </c>
      <c r="T850" s="5">
        <v>15</v>
      </c>
      <c r="U850" s="5">
        <v>10</v>
      </c>
      <c r="V850" s="5">
        <f>VLOOKUP(A850,Planilha1!B:E,4,0)</f>
        <v>11.476197020267191</v>
      </c>
    </row>
    <row r="851" spans="1:22" x14ac:dyDescent="0.3">
      <c r="A851" t="str">
        <f t="shared" si="26"/>
        <v>MANTEIGA 5KGLACTALIS</v>
      </c>
      <c r="B851" t="str">
        <f t="shared" si="27"/>
        <v>5353769MANTEIGA 5KGLACTALIS</v>
      </c>
      <c r="C851" s="5" t="s">
        <v>226</v>
      </c>
      <c r="D851" s="5" t="s">
        <v>227</v>
      </c>
      <c r="E851" s="5" t="s">
        <v>1722</v>
      </c>
      <c r="F851" s="5">
        <v>5353769</v>
      </c>
      <c r="G851" s="5" t="s">
        <v>679</v>
      </c>
      <c r="H851" s="5" t="s">
        <v>30</v>
      </c>
      <c r="I851" s="5" t="s">
        <v>22</v>
      </c>
      <c r="J851" s="5" t="s">
        <v>60</v>
      </c>
      <c r="K851" s="6">
        <v>0</v>
      </c>
      <c r="L851" s="7">
        <v>0</v>
      </c>
      <c r="M851" s="8">
        <v>27.5</v>
      </c>
      <c r="N851" s="8">
        <v>26.666666666666668</v>
      </c>
      <c r="O851" s="8">
        <v>24.554313768099675</v>
      </c>
      <c r="P851" s="8">
        <v>0</v>
      </c>
      <c r="Q851" s="8">
        <v>5</v>
      </c>
      <c r="R851" s="8">
        <v>0</v>
      </c>
      <c r="S851" s="8">
        <v>25</v>
      </c>
      <c r="T851" s="5">
        <v>25</v>
      </c>
      <c r="U851" s="5">
        <v>25</v>
      </c>
      <c r="V851" s="5">
        <f>VLOOKUP(A851,Planilha1!B:E,4,0)</f>
        <v>11.476197020267191</v>
      </c>
    </row>
    <row r="852" spans="1:22" x14ac:dyDescent="0.3">
      <c r="A852" t="str">
        <f t="shared" si="26"/>
        <v>MANTEIGA 5KGLACTALIS</v>
      </c>
      <c r="B852" t="str">
        <f t="shared" si="27"/>
        <v>5355260MANTEIGA 5KGLACTALIS</v>
      </c>
      <c r="C852" s="5" t="s">
        <v>226</v>
      </c>
      <c r="D852" s="5" t="s">
        <v>227</v>
      </c>
      <c r="E852" s="5" t="s">
        <v>1722</v>
      </c>
      <c r="F852" s="5">
        <v>5355260</v>
      </c>
      <c r="G852" s="5" t="s">
        <v>680</v>
      </c>
      <c r="H852" s="5" t="s">
        <v>30</v>
      </c>
      <c r="I852" s="5" t="s">
        <v>22</v>
      </c>
      <c r="J852" s="5" t="s">
        <v>60</v>
      </c>
      <c r="K852" s="6">
        <v>0</v>
      </c>
      <c r="L852" s="7">
        <v>0</v>
      </c>
      <c r="M852" s="8">
        <v>2.5</v>
      </c>
      <c r="N852" s="8">
        <v>1.6666666666666667</v>
      </c>
      <c r="O852" s="8">
        <v>1.7488017333388881</v>
      </c>
      <c r="P852" s="8">
        <v>0</v>
      </c>
      <c r="Q852" s="8">
        <v>5</v>
      </c>
      <c r="R852" s="8">
        <v>0</v>
      </c>
      <c r="S852" s="8">
        <v>0</v>
      </c>
      <c r="T852" s="5">
        <v>0</v>
      </c>
      <c r="U852" s="5">
        <v>0</v>
      </c>
      <c r="V852" s="5">
        <f>VLOOKUP(A852,Planilha1!B:E,4,0)</f>
        <v>11.476197020267191</v>
      </c>
    </row>
    <row r="853" spans="1:22" x14ac:dyDescent="0.3">
      <c r="A853" t="str">
        <f t="shared" si="26"/>
        <v>MANTEIGA 5KGLACTALIS</v>
      </c>
      <c r="B853" t="str">
        <f t="shared" si="27"/>
        <v>5356487MANTEIGA 5KGLACTALIS</v>
      </c>
      <c r="C853" s="5" t="s">
        <v>226</v>
      </c>
      <c r="D853" s="5" t="s">
        <v>227</v>
      </c>
      <c r="E853" s="5" t="s">
        <v>1722</v>
      </c>
      <c r="F853" s="5">
        <v>5356487</v>
      </c>
      <c r="G853" s="5" t="s">
        <v>681</v>
      </c>
      <c r="H853" s="5" t="s">
        <v>30</v>
      </c>
      <c r="I853" s="5" t="s">
        <v>22</v>
      </c>
      <c r="J853" s="5" t="s">
        <v>60</v>
      </c>
      <c r="K853" s="6">
        <v>0</v>
      </c>
      <c r="L853" s="7">
        <v>0</v>
      </c>
      <c r="M853" s="8">
        <v>10</v>
      </c>
      <c r="N853" s="8">
        <v>11.666666666666666</v>
      </c>
      <c r="O853" s="8">
        <v>1.7488017333388881</v>
      </c>
      <c r="P853" s="8">
        <v>0</v>
      </c>
      <c r="Q853" s="8">
        <v>15</v>
      </c>
      <c r="R853" s="8">
        <v>0</v>
      </c>
      <c r="S853" s="8">
        <v>0</v>
      </c>
      <c r="T853" s="5">
        <v>0</v>
      </c>
      <c r="U853" s="5">
        <v>0</v>
      </c>
      <c r="V853" s="5">
        <f>VLOOKUP(A853,Planilha1!B:E,4,0)</f>
        <v>11.476197020267191</v>
      </c>
    </row>
    <row r="854" spans="1:22" x14ac:dyDescent="0.3">
      <c r="A854" t="str">
        <f t="shared" si="26"/>
        <v>MANTEIGA 5KGLACTALIS</v>
      </c>
      <c r="B854" t="str">
        <f t="shared" si="27"/>
        <v>5225724MANTEIGA 5KGLACTALIS</v>
      </c>
      <c r="C854" s="5" t="s">
        <v>226</v>
      </c>
      <c r="D854" s="5" t="s">
        <v>227</v>
      </c>
      <c r="E854" s="5" t="s">
        <v>1722</v>
      </c>
      <c r="F854" s="5">
        <v>5225724</v>
      </c>
      <c r="G854" s="5" t="s">
        <v>682</v>
      </c>
      <c r="H854" s="5" t="s">
        <v>30</v>
      </c>
      <c r="I854" s="5" t="s">
        <v>22</v>
      </c>
      <c r="J854" s="5" t="s">
        <v>60</v>
      </c>
      <c r="K854" s="6">
        <v>0</v>
      </c>
      <c r="L854" s="7">
        <v>0</v>
      </c>
      <c r="M854" s="8">
        <v>25</v>
      </c>
      <c r="N854" s="8">
        <v>16.666666666666668</v>
      </c>
      <c r="O854" s="8">
        <v>26.296006551303041</v>
      </c>
      <c r="P854" s="8">
        <v>0</v>
      </c>
      <c r="Q854" s="8">
        <v>0</v>
      </c>
      <c r="R854" s="8">
        <v>0</v>
      </c>
      <c r="S854" s="8">
        <v>0</v>
      </c>
      <c r="T854" s="5">
        <v>0</v>
      </c>
      <c r="U854" s="5">
        <v>0</v>
      </c>
      <c r="V854" s="5">
        <f>VLOOKUP(A854,Planilha1!B:E,4,0)</f>
        <v>11.476197020267191</v>
      </c>
    </row>
    <row r="855" spans="1:22" x14ac:dyDescent="0.3">
      <c r="A855" t="str">
        <f t="shared" si="26"/>
        <v>MANTEIGA 5KGLACTALIS</v>
      </c>
      <c r="B855" t="str">
        <f t="shared" si="27"/>
        <v>5264538MANTEIGA 5KGLACTALIS</v>
      </c>
      <c r="C855" s="5" t="s">
        <v>226</v>
      </c>
      <c r="D855" s="5" t="s">
        <v>227</v>
      </c>
      <c r="E855" s="5" t="s">
        <v>1722</v>
      </c>
      <c r="F855" s="5">
        <v>5264538</v>
      </c>
      <c r="G855" s="5" t="s">
        <v>683</v>
      </c>
      <c r="H855" s="5" t="s">
        <v>30</v>
      </c>
      <c r="I855" s="5" t="s">
        <v>22</v>
      </c>
      <c r="J855" s="5" t="s">
        <v>60</v>
      </c>
      <c r="K855" s="6">
        <v>0</v>
      </c>
      <c r="L855" s="7">
        <v>110</v>
      </c>
      <c r="M855" s="8">
        <v>143.33333333333334</v>
      </c>
      <c r="N855" s="8">
        <v>136.66666666666666</v>
      </c>
      <c r="O855" s="8">
        <v>192.8444903263578</v>
      </c>
      <c r="P855" s="8">
        <v>0</v>
      </c>
      <c r="Q855" s="8">
        <v>0</v>
      </c>
      <c r="R855" s="8">
        <v>0</v>
      </c>
      <c r="S855" s="8">
        <v>200</v>
      </c>
      <c r="T855" s="5">
        <v>200</v>
      </c>
      <c r="U855" s="5">
        <v>200</v>
      </c>
      <c r="V855" s="5">
        <f>VLOOKUP(A855,Planilha1!B:E,4,0)</f>
        <v>11.476197020267191</v>
      </c>
    </row>
    <row r="856" spans="1:22" x14ac:dyDescent="0.3">
      <c r="A856" t="str">
        <f t="shared" si="26"/>
        <v>MANTEIGA 5KGLACTALIS</v>
      </c>
      <c r="B856" t="str">
        <f t="shared" si="27"/>
        <v>5273105MANTEIGA 5KGLACTALIS</v>
      </c>
      <c r="C856" s="5" t="s">
        <v>226</v>
      </c>
      <c r="D856" s="5" t="s">
        <v>227</v>
      </c>
      <c r="E856" s="5" t="s">
        <v>1722</v>
      </c>
      <c r="F856" s="5">
        <v>5273105</v>
      </c>
      <c r="G856" s="5" t="s">
        <v>684</v>
      </c>
      <c r="H856" s="5" t="s">
        <v>30</v>
      </c>
      <c r="I856" s="5" t="s">
        <v>22</v>
      </c>
      <c r="J856" s="5" t="s">
        <v>60</v>
      </c>
      <c r="K856" s="6">
        <v>0</v>
      </c>
      <c r="L856" s="7">
        <v>0</v>
      </c>
      <c r="M856" s="8">
        <v>55.833333333333343</v>
      </c>
      <c r="N856" s="8">
        <v>33.333333333333336</v>
      </c>
      <c r="O856" s="8">
        <v>42.070766902030655</v>
      </c>
      <c r="P856" s="8">
        <v>0</v>
      </c>
      <c r="Q856" s="8">
        <v>0</v>
      </c>
      <c r="R856" s="8">
        <v>0</v>
      </c>
      <c r="S856" s="8">
        <v>100</v>
      </c>
      <c r="T856" s="5">
        <v>100</v>
      </c>
      <c r="U856" s="5">
        <v>100</v>
      </c>
      <c r="V856" s="5">
        <f>VLOOKUP(A856,Planilha1!B:E,4,0)</f>
        <v>11.476197020267191</v>
      </c>
    </row>
    <row r="857" spans="1:22" x14ac:dyDescent="0.3">
      <c r="A857" t="str">
        <f t="shared" si="26"/>
        <v>MANTEIGA 5KGLACTALIS</v>
      </c>
      <c r="B857" t="str">
        <f t="shared" si="27"/>
        <v>5290476MANTEIGA 5KGLACTALIS</v>
      </c>
      <c r="C857" s="5" t="s">
        <v>226</v>
      </c>
      <c r="D857" s="5" t="s">
        <v>227</v>
      </c>
      <c r="E857" s="5" t="s">
        <v>1722</v>
      </c>
      <c r="F857" s="5">
        <v>5290476</v>
      </c>
      <c r="G857" s="5" t="s">
        <v>685</v>
      </c>
      <c r="H857" s="5" t="s">
        <v>30</v>
      </c>
      <c r="I857" s="5" t="s">
        <v>22</v>
      </c>
      <c r="J857" s="5" t="s">
        <v>60</v>
      </c>
      <c r="K857" s="6">
        <v>0</v>
      </c>
      <c r="L857" s="7">
        <v>120</v>
      </c>
      <c r="M857" s="8">
        <v>87.5</v>
      </c>
      <c r="N857" s="8">
        <v>100</v>
      </c>
      <c r="O857" s="8">
        <v>112.20766893910981</v>
      </c>
      <c r="P857" s="8">
        <v>0</v>
      </c>
      <c r="Q857" s="8">
        <v>70</v>
      </c>
      <c r="R857" s="8">
        <v>0</v>
      </c>
      <c r="S857" s="8">
        <v>75</v>
      </c>
      <c r="T857" s="5">
        <v>75</v>
      </c>
      <c r="U857" s="5">
        <v>75</v>
      </c>
      <c r="V857" s="5">
        <f>VLOOKUP(A857,Planilha1!B:E,4,0)</f>
        <v>11.476197020267191</v>
      </c>
    </row>
    <row r="858" spans="1:22" x14ac:dyDescent="0.3">
      <c r="A858" t="str">
        <f t="shared" si="26"/>
        <v>LEITE UHTLACTALIS</v>
      </c>
      <c r="B858" t="str">
        <f t="shared" si="27"/>
        <v>5320370LEITE UHTLACTALIS</v>
      </c>
      <c r="C858" s="5" t="s">
        <v>226</v>
      </c>
      <c r="D858" s="5" t="s">
        <v>227</v>
      </c>
      <c r="E858" s="5" t="s">
        <v>1722</v>
      </c>
      <c r="F858" s="5">
        <v>5320370</v>
      </c>
      <c r="G858" s="5" t="s">
        <v>686</v>
      </c>
      <c r="H858" s="5" t="s">
        <v>30</v>
      </c>
      <c r="I858" s="5" t="s">
        <v>22</v>
      </c>
      <c r="J858" s="5" t="s">
        <v>156</v>
      </c>
      <c r="K858" s="6">
        <v>0</v>
      </c>
      <c r="L858" s="7">
        <v>0</v>
      </c>
      <c r="M858" s="8">
        <v>30</v>
      </c>
      <c r="N858" s="8">
        <v>0</v>
      </c>
      <c r="O858" s="8">
        <v>45.79188228167947</v>
      </c>
      <c r="P858" s="8">
        <v>0</v>
      </c>
      <c r="Q858" s="8">
        <v>0</v>
      </c>
      <c r="R858" s="8">
        <v>0</v>
      </c>
      <c r="S858" s="8">
        <v>0</v>
      </c>
      <c r="T858" s="5">
        <v>0</v>
      </c>
      <c r="U858" s="5">
        <v>0</v>
      </c>
      <c r="V858" s="5">
        <f>VLOOKUP(A858,Planilha1!B:E,4,0)</f>
        <v>0.37177548115779385</v>
      </c>
    </row>
    <row r="859" spans="1:22" x14ac:dyDescent="0.3">
      <c r="A859" t="str">
        <f t="shared" si="26"/>
        <v>LEITE UHTLACTALIS</v>
      </c>
      <c r="B859" t="str">
        <f t="shared" si="27"/>
        <v>5320542LEITE UHTLACTALIS</v>
      </c>
      <c r="C859" s="5" t="s">
        <v>226</v>
      </c>
      <c r="D859" s="5" t="s">
        <v>227</v>
      </c>
      <c r="E859" s="5" t="s">
        <v>1722</v>
      </c>
      <c r="F859" s="5">
        <v>5320542</v>
      </c>
      <c r="G859" s="5" t="s">
        <v>687</v>
      </c>
      <c r="H859" s="5" t="s">
        <v>30</v>
      </c>
      <c r="I859" s="5" t="s">
        <v>22</v>
      </c>
      <c r="J859" s="5" t="s">
        <v>156</v>
      </c>
      <c r="K859" s="6">
        <v>0</v>
      </c>
      <c r="L859" s="7">
        <v>0</v>
      </c>
      <c r="M859" s="8">
        <v>10</v>
      </c>
      <c r="N859" s="8">
        <v>0</v>
      </c>
      <c r="O859" s="8">
        <v>23.988495948352195</v>
      </c>
      <c r="P859" s="8">
        <v>0</v>
      </c>
      <c r="Q859" s="8">
        <v>0</v>
      </c>
      <c r="R859" s="8">
        <v>0</v>
      </c>
      <c r="S859" s="8">
        <v>0</v>
      </c>
      <c r="T859" s="5">
        <v>0</v>
      </c>
      <c r="U859" s="5">
        <v>0</v>
      </c>
      <c r="V859" s="5">
        <f>VLOOKUP(A859,Planilha1!B:E,4,0)</f>
        <v>0.37177548115779385</v>
      </c>
    </row>
    <row r="860" spans="1:22" x14ac:dyDescent="0.3">
      <c r="A860" t="str">
        <f t="shared" si="26"/>
        <v>MANTEIGA 5KGLACTALIS</v>
      </c>
      <c r="B860" t="str">
        <f t="shared" si="27"/>
        <v>5338011MANTEIGA 5KGLACTALIS</v>
      </c>
      <c r="C860" s="5" t="s">
        <v>226</v>
      </c>
      <c r="D860" s="5" t="s">
        <v>227</v>
      </c>
      <c r="E860" s="5" t="s">
        <v>1722</v>
      </c>
      <c r="F860" s="5">
        <v>5338011</v>
      </c>
      <c r="G860" s="5" t="s">
        <v>688</v>
      </c>
      <c r="H860" s="5" t="s">
        <v>30</v>
      </c>
      <c r="I860" s="5" t="s">
        <v>22</v>
      </c>
      <c r="J860" s="5" t="s">
        <v>60</v>
      </c>
      <c r="K860" s="6">
        <v>0</v>
      </c>
      <c r="L860" s="7">
        <v>0</v>
      </c>
      <c r="M860" s="8">
        <v>52.5</v>
      </c>
      <c r="N860" s="8">
        <v>45</v>
      </c>
      <c r="O860" s="8">
        <v>31.556629651590754</v>
      </c>
      <c r="P860" s="8">
        <v>0</v>
      </c>
      <c r="Q860" s="8">
        <v>60</v>
      </c>
      <c r="R860" s="8">
        <v>0</v>
      </c>
      <c r="S860" s="8">
        <v>60</v>
      </c>
      <c r="T860" s="5">
        <v>60</v>
      </c>
      <c r="U860" s="5">
        <v>60</v>
      </c>
      <c r="V860" s="5">
        <f>VLOOKUP(A860,Planilha1!B:E,4,0)</f>
        <v>11.476197020267191</v>
      </c>
    </row>
    <row r="861" spans="1:22" x14ac:dyDescent="0.3">
      <c r="A861" t="str">
        <f t="shared" si="26"/>
        <v>MANTEIGA 5KGLACTALIS</v>
      </c>
      <c r="B861" t="str">
        <f t="shared" si="27"/>
        <v>5339798MANTEIGA 5KGLACTALIS</v>
      </c>
      <c r="C861" s="5" t="s">
        <v>226</v>
      </c>
      <c r="D861" s="5" t="s">
        <v>227</v>
      </c>
      <c r="E861" s="5" t="s">
        <v>1722</v>
      </c>
      <c r="F861" s="5">
        <v>5339798</v>
      </c>
      <c r="G861" s="5" t="s">
        <v>689</v>
      </c>
      <c r="H861" s="5" t="s">
        <v>30</v>
      </c>
      <c r="I861" s="5" t="s">
        <v>22</v>
      </c>
      <c r="J861" s="5" t="s">
        <v>60</v>
      </c>
      <c r="K861" s="6">
        <v>0</v>
      </c>
      <c r="L861" s="7">
        <v>0</v>
      </c>
      <c r="M861" s="8">
        <v>100</v>
      </c>
      <c r="N861" s="8">
        <v>120</v>
      </c>
      <c r="O861" s="8">
        <v>63.120368253317032</v>
      </c>
      <c r="P861" s="8">
        <v>0</v>
      </c>
      <c r="Q861" s="8">
        <v>0</v>
      </c>
      <c r="R861" s="8">
        <v>0</v>
      </c>
      <c r="S861" s="8">
        <v>150</v>
      </c>
      <c r="T861" s="5">
        <v>150</v>
      </c>
      <c r="U861" s="5">
        <v>120</v>
      </c>
      <c r="V861" s="5">
        <f>VLOOKUP(A861,Planilha1!B:E,4,0)</f>
        <v>11.476197020267191</v>
      </c>
    </row>
    <row r="862" spans="1:22" x14ac:dyDescent="0.3">
      <c r="A862" t="str">
        <f t="shared" si="26"/>
        <v>LEITE UHTLACTALIS</v>
      </c>
      <c r="B862" t="str">
        <f t="shared" si="27"/>
        <v>5347543LEITE UHTLACTALIS</v>
      </c>
      <c r="C862" s="5" t="s">
        <v>226</v>
      </c>
      <c r="D862" s="5" t="s">
        <v>227</v>
      </c>
      <c r="E862" s="5" t="s">
        <v>1722</v>
      </c>
      <c r="F862" s="5">
        <v>5347543</v>
      </c>
      <c r="G862" s="5" t="s">
        <v>690</v>
      </c>
      <c r="H862" s="5" t="s">
        <v>30</v>
      </c>
      <c r="I862" s="5" t="s">
        <v>22</v>
      </c>
      <c r="J862" s="5" t="s">
        <v>156</v>
      </c>
      <c r="K862" s="6">
        <v>0</v>
      </c>
      <c r="L862" s="7">
        <v>0</v>
      </c>
      <c r="M862" s="8">
        <v>20</v>
      </c>
      <c r="N862" s="8">
        <v>0</v>
      </c>
      <c r="O862" s="8">
        <v>65.419700963366211</v>
      </c>
      <c r="P862" s="8">
        <v>0</v>
      </c>
      <c r="Q862" s="8">
        <v>0</v>
      </c>
      <c r="R862" s="8">
        <v>0</v>
      </c>
      <c r="S862" s="8">
        <v>0</v>
      </c>
      <c r="T862" s="5">
        <v>0</v>
      </c>
      <c r="U862" s="5">
        <v>0</v>
      </c>
      <c r="V862" s="5">
        <f>VLOOKUP(A862,Planilha1!B:E,4,0)</f>
        <v>0.37177548115779385</v>
      </c>
    </row>
    <row r="863" spans="1:22" x14ac:dyDescent="0.3">
      <c r="A863" t="str">
        <f t="shared" si="26"/>
        <v>MANTEIGA 5KGLACTALIS</v>
      </c>
      <c r="B863" t="str">
        <f t="shared" si="27"/>
        <v>5349275MANTEIGA 5KGLACTALIS</v>
      </c>
      <c r="C863" s="5" t="s">
        <v>226</v>
      </c>
      <c r="D863" s="5" t="s">
        <v>227</v>
      </c>
      <c r="E863" s="5" t="s">
        <v>1722</v>
      </c>
      <c r="F863" s="5">
        <v>5349275</v>
      </c>
      <c r="G863" s="5" t="s">
        <v>691</v>
      </c>
      <c r="H863" s="5" t="s">
        <v>30</v>
      </c>
      <c r="I863" s="5" t="s">
        <v>22</v>
      </c>
      <c r="J863" s="5" t="s">
        <v>60</v>
      </c>
      <c r="K863" s="6">
        <v>0</v>
      </c>
      <c r="L863" s="7">
        <v>0</v>
      </c>
      <c r="M863" s="8">
        <v>83.333333333333343</v>
      </c>
      <c r="N863" s="8">
        <v>86.666666666666671</v>
      </c>
      <c r="O863" s="8">
        <v>84.162860654467877</v>
      </c>
      <c r="P863" s="8">
        <v>0</v>
      </c>
      <c r="Q863" s="8">
        <v>0</v>
      </c>
      <c r="R863" s="8">
        <v>0</v>
      </c>
      <c r="S863" s="8">
        <v>70</v>
      </c>
      <c r="T863" s="5">
        <v>70</v>
      </c>
      <c r="U863" s="5">
        <v>70</v>
      </c>
      <c r="V863" s="5">
        <f>VLOOKUP(A863,Planilha1!B:E,4,0)</f>
        <v>11.476197020267191</v>
      </c>
    </row>
    <row r="864" spans="1:22" x14ac:dyDescent="0.3">
      <c r="A864" t="str">
        <f t="shared" si="26"/>
        <v>MANTEIGA 5KGLACTALIS</v>
      </c>
      <c r="B864" t="str">
        <f t="shared" si="27"/>
        <v>5350369MANTEIGA 5KGLACTALIS</v>
      </c>
      <c r="C864" s="5" t="s">
        <v>226</v>
      </c>
      <c r="D864" s="5" t="s">
        <v>227</v>
      </c>
      <c r="E864" s="5" t="s">
        <v>1722</v>
      </c>
      <c r="F864" s="5">
        <v>5350369</v>
      </c>
      <c r="G864" s="5" t="s">
        <v>692</v>
      </c>
      <c r="H864" s="5" t="s">
        <v>30</v>
      </c>
      <c r="I864" s="5" t="s">
        <v>22</v>
      </c>
      <c r="J864" s="5" t="s">
        <v>60</v>
      </c>
      <c r="K864" s="6">
        <v>0</v>
      </c>
      <c r="L864" s="7">
        <v>0</v>
      </c>
      <c r="M864" s="8">
        <v>40</v>
      </c>
      <c r="N864" s="8">
        <v>40</v>
      </c>
      <c r="O864" s="8">
        <v>21.042492401150852</v>
      </c>
      <c r="P864" s="8">
        <v>0</v>
      </c>
      <c r="Q864" s="8">
        <v>0</v>
      </c>
      <c r="R864" s="8">
        <v>0</v>
      </c>
      <c r="S864" s="8">
        <v>0</v>
      </c>
      <c r="T864" s="5">
        <v>0</v>
      </c>
      <c r="U864" s="5">
        <v>0</v>
      </c>
      <c r="V864" s="5">
        <f>VLOOKUP(A864,Planilha1!B:E,4,0)</f>
        <v>11.476197020267191</v>
      </c>
    </row>
    <row r="865" spans="1:22" x14ac:dyDescent="0.3">
      <c r="A865" t="str">
        <f t="shared" si="26"/>
        <v>LEITE UHTLACTALIS</v>
      </c>
      <c r="B865" t="str">
        <f t="shared" si="27"/>
        <v>5351187LEITE UHTLACTALIS</v>
      </c>
      <c r="C865" s="5" t="s">
        <v>226</v>
      </c>
      <c r="D865" s="5" t="s">
        <v>227</v>
      </c>
      <c r="E865" s="5" t="s">
        <v>1722</v>
      </c>
      <c r="F865" s="5">
        <v>5351187</v>
      </c>
      <c r="G865" s="5" t="s">
        <v>490</v>
      </c>
      <c r="H865" s="5" t="s">
        <v>30</v>
      </c>
      <c r="I865" s="5" t="s">
        <v>22</v>
      </c>
      <c r="J865" s="5" t="s">
        <v>156</v>
      </c>
      <c r="K865" s="6">
        <v>0</v>
      </c>
      <c r="L865" s="7">
        <v>0</v>
      </c>
      <c r="M865" s="8">
        <v>28</v>
      </c>
      <c r="N865" s="8">
        <v>0</v>
      </c>
      <c r="O865" s="8">
        <v>87.223087296693478</v>
      </c>
      <c r="P865" s="8">
        <v>0</v>
      </c>
      <c r="Q865" s="8">
        <v>0</v>
      </c>
      <c r="R865" s="8">
        <v>0</v>
      </c>
      <c r="S865" s="8">
        <v>0</v>
      </c>
      <c r="T865" s="5">
        <v>0</v>
      </c>
      <c r="U865" s="5">
        <v>0</v>
      </c>
      <c r="V865" s="5">
        <f>VLOOKUP(A865,Planilha1!B:E,4,0)</f>
        <v>0.37177548115779385</v>
      </c>
    </row>
    <row r="866" spans="1:22" x14ac:dyDescent="0.3">
      <c r="A866" t="str">
        <f t="shared" si="26"/>
        <v>LEITE UHTLACTALIS</v>
      </c>
      <c r="B866" t="str">
        <f t="shared" si="27"/>
        <v>5352493LEITE UHTLACTALIS</v>
      </c>
      <c r="C866" s="5" t="s">
        <v>226</v>
      </c>
      <c r="D866" s="5" t="s">
        <v>227</v>
      </c>
      <c r="E866" s="5" t="s">
        <v>1722</v>
      </c>
      <c r="F866" s="5">
        <v>5352493</v>
      </c>
      <c r="G866" s="5" t="s">
        <v>693</v>
      </c>
      <c r="H866" s="5" t="s">
        <v>30</v>
      </c>
      <c r="I866" s="5" t="s">
        <v>22</v>
      </c>
      <c r="J866" s="5" t="s">
        <v>156</v>
      </c>
      <c r="K866" s="6">
        <v>0</v>
      </c>
      <c r="L866" s="7">
        <v>0</v>
      </c>
      <c r="M866" s="8">
        <v>0</v>
      </c>
      <c r="N866" s="8">
        <v>0</v>
      </c>
      <c r="O866" s="8">
        <v>6.5457868816903764</v>
      </c>
      <c r="P866" s="8">
        <v>0</v>
      </c>
      <c r="Q866" s="8">
        <v>0</v>
      </c>
      <c r="R866" s="8">
        <v>0</v>
      </c>
      <c r="S866" s="8">
        <v>0</v>
      </c>
      <c r="T866" s="5">
        <v>0</v>
      </c>
      <c r="U866" s="5">
        <v>0</v>
      </c>
      <c r="V866" s="5">
        <f>VLOOKUP(A866,Planilha1!B:E,4,0)</f>
        <v>0.37177548115779385</v>
      </c>
    </row>
    <row r="867" spans="1:22" x14ac:dyDescent="0.3">
      <c r="A867" t="str">
        <f t="shared" si="26"/>
        <v>MANTEIGA 5KGLACTALIS</v>
      </c>
      <c r="B867" t="str">
        <f t="shared" si="27"/>
        <v>5354795MANTEIGA 5KGLACTALIS</v>
      </c>
      <c r="C867" s="5" t="s">
        <v>226</v>
      </c>
      <c r="D867" s="5" t="s">
        <v>227</v>
      </c>
      <c r="E867" s="5" t="s">
        <v>1722</v>
      </c>
      <c r="F867" s="5">
        <v>5354795</v>
      </c>
      <c r="G867" s="5" t="s">
        <v>694</v>
      </c>
      <c r="H867" s="5" t="s">
        <v>30</v>
      </c>
      <c r="I867" s="5" t="s">
        <v>22</v>
      </c>
      <c r="J867" s="5" t="s">
        <v>60</v>
      </c>
      <c r="K867" s="6">
        <v>0</v>
      </c>
      <c r="L867" s="7">
        <v>0</v>
      </c>
      <c r="M867" s="8">
        <v>60</v>
      </c>
      <c r="N867" s="8">
        <v>60</v>
      </c>
      <c r="O867" s="8">
        <v>31.556629651590754</v>
      </c>
      <c r="P867" s="8">
        <v>0</v>
      </c>
      <c r="Q867" s="8">
        <v>60</v>
      </c>
      <c r="R867" s="8">
        <v>0</v>
      </c>
      <c r="S867" s="8">
        <v>60</v>
      </c>
      <c r="T867" s="5">
        <v>60</v>
      </c>
      <c r="U867" s="5">
        <v>60</v>
      </c>
      <c r="V867" s="5">
        <f>VLOOKUP(A867,Planilha1!B:E,4,0)</f>
        <v>11.476197020267191</v>
      </c>
    </row>
    <row r="868" spans="1:22" x14ac:dyDescent="0.3">
      <c r="A868" t="str">
        <f t="shared" si="26"/>
        <v>MANTEIGA 5KGLACTALIS</v>
      </c>
      <c r="B868" t="str">
        <f t="shared" si="27"/>
        <v>5356296MANTEIGA 5KGLACTALIS</v>
      </c>
      <c r="C868" s="5" t="s">
        <v>226</v>
      </c>
      <c r="D868" s="5" t="s">
        <v>227</v>
      </c>
      <c r="E868" s="5" t="s">
        <v>1722</v>
      </c>
      <c r="F868" s="5">
        <v>5356296</v>
      </c>
      <c r="G868" s="5" t="s">
        <v>695</v>
      </c>
      <c r="H868" s="5" t="s">
        <v>30</v>
      </c>
      <c r="I868" s="5" t="s">
        <v>22</v>
      </c>
      <c r="J868" s="5" t="s">
        <v>60</v>
      </c>
      <c r="K868" s="6">
        <v>0</v>
      </c>
      <c r="L868" s="7">
        <v>0</v>
      </c>
      <c r="M868" s="8">
        <v>35</v>
      </c>
      <c r="N868" s="8">
        <v>25</v>
      </c>
      <c r="O868" s="8">
        <v>21.042492401150852</v>
      </c>
      <c r="P868" s="8">
        <v>0</v>
      </c>
      <c r="Q868" s="8">
        <v>0</v>
      </c>
      <c r="R868" s="8">
        <v>0</v>
      </c>
      <c r="S868" s="8">
        <v>0</v>
      </c>
      <c r="T868" s="5">
        <v>0</v>
      </c>
      <c r="U868" s="5">
        <v>0</v>
      </c>
      <c r="V868" s="5">
        <f>VLOOKUP(A868,Planilha1!B:E,4,0)</f>
        <v>11.476197020267191</v>
      </c>
    </row>
    <row r="869" spans="1:22" x14ac:dyDescent="0.3">
      <c r="A869" t="str">
        <f t="shared" si="26"/>
        <v>BLISTERLACTALIS</v>
      </c>
      <c r="B869" t="str">
        <f t="shared" si="27"/>
        <v>5191729BLISTERLACTALIS</v>
      </c>
      <c r="C869" s="5" t="s">
        <v>226</v>
      </c>
      <c r="D869" s="5" t="s">
        <v>227</v>
      </c>
      <c r="E869" s="5" t="s">
        <v>1722</v>
      </c>
      <c r="F869" s="5">
        <v>5191729</v>
      </c>
      <c r="G869" s="5" t="s">
        <v>696</v>
      </c>
      <c r="H869" s="5" t="s">
        <v>30</v>
      </c>
      <c r="I869" s="5" t="s">
        <v>22</v>
      </c>
      <c r="J869" s="5" t="s">
        <v>199</v>
      </c>
      <c r="K869" s="6">
        <v>0</v>
      </c>
      <c r="L869" s="7">
        <v>86.4</v>
      </c>
      <c r="M869" s="8">
        <v>0</v>
      </c>
      <c r="N869" s="8">
        <v>0</v>
      </c>
      <c r="O869" s="8">
        <v>12.516825547392083</v>
      </c>
      <c r="P869" s="8">
        <v>0</v>
      </c>
      <c r="Q869" s="8">
        <v>0</v>
      </c>
      <c r="R869" s="8">
        <v>0</v>
      </c>
      <c r="S869" s="8">
        <v>0</v>
      </c>
      <c r="T869" s="5">
        <v>0</v>
      </c>
      <c r="U869" s="5">
        <v>0</v>
      </c>
      <c r="V869" s="5">
        <f>VLOOKUP(A869,Planilha1!B:E,4,0)</f>
        <v>13.783871706210666</v>
      </c>
    </row>
    <row r="870" spans="1:22" x14ac:dyDescent="0.3">
      <c r="A870" t="str">
        <f t="shared" si="26"/>
        <v>BLISTERLACTALIS</v>
      </c>
      <c r="B870" t="str">
        <f t="shared" si="27"/>
        <v>5200105BLISTERLACTALIS</v>
      </c>
      <c r="C870" s="5" t="s">
        <v>226</v>
      </c>
      <c r="D870" s="5" t="s">
        <v>227</v>
      </c>
      <c r="E870" s="5" t="s">
        <v>1722</v>
      </c>
      <c r="F870" s="5">
        <v>5200105</v>
      </c>
      <c r="G870" s="5" t="s">
        <v>697</v>
      </c>
      <c r="H870" s="5" t="s">
        <v>30</v>
      </c>
      <c r="I870" s="5" t="s">
        <v>22</v>
      </c>
      <c r="J870" s="5" t="s">
        <v>199</v>
      </c>
      <c r="K870" s="6">
        <v>0</v>
      </c>
      <c r="L870" s="7">
        <v>0</v>
      </c>
      <c r="M870" s="8">
        <v>0</v>
      </c>
      <c r="N870" s="8">
        <v>0</v>
      </c>
      <c r="O870" s="8">
        <v>30.635520943541525</v>
      </c>
      <c r="P870" s="8">
        <v>0</v>
      </c>
      <c r="Q870" s="8">
        <v>0</v>
      </c>
      <c r="R870" s="8">
        <v>0</v>
      </c>
      <c r="S870" s="8">
        <v>48</v>
      </c>
      <c r="T870" s="5">
        <v>48</v>
      </c>
      <c r="U870" s="5">
        <v>0</v>
      </c>
      <c r="V870" s="5">
        <f>VLOOKUP(A870,Planilha1!B:E,4,0)</f>
        <v>13.783871706210666</v>
      </c>
    </row>
    <row r="871" spans="1:22" x14ac:dyDescent="0.3">
      <c r="A871" t="str">
        <f t="shared" si="26"/>
        <v>BLISTERLACTALIS</v>
      </c>
      <c r="B871" t="str">
        <f t="shared" si="27"/>
        <v>5207341BLISTERLACTALIS</v>
      </c>
      <c r="C871" s="5" t="s">
        <v>226</v>
      </c>
      <c r="D871" s="5" t="s">
        <v>227</v>
      </c>
      <c r="E871" s="5" t="s">
        <v>1722</v>
      </c>
      <c r="F871" s="5">
        <v>5207341</v>
      </c>
      <c r="G871" s="5" t="s">
        <v>698</v>
      </c>
      <c r="H871" s="5" t="s">
        <v>30</v>
      </c>
      <c r="I871" s="5" t="s">
        <v>22</v>
      </c>
      <c r="J871" s="5" t="s">
        <v>199</v>
      </c>
      <c r="K871" s="6">
        <v>0</v>
      </c>
      <c r="L871" s="7">
        <v>0</v>
      </c>
      <c r="M871" s="8">
        <v>34.879999999999995</v>
      </c>
      <c r="N871" s="8">
        <v>32</v>
      </c>
      <c r="O871" s="8">
        <v>52.64624058537062</v>
      </c>
      <c r="P871" s="8">
        <v>0</v>
      </c>
      <c r="Q871" s="8">
        <v>0</v>
      </c>
      <c r="R871" s="8">
        <v>0</v>
      </c>
      <c r="S871" s="8">
        <v>96</v>
      </c>
      <c r="T871" s="5">
        <v>96</v>
      </c>
      <c r="U871" s="5">
        <v>0</v>
      </c>
      <c r="V871" s="5">
        <f>VLOOKUP(A871,Planilha1!B:E,4,0)</f>
        <v>13.783871706210666</v>
      </c>
    </row>
    <row r="872" spans="1:22" x14ac:dyDescent="0.3">
      <c r="A872" t="str">
        <f t="shared" si="26"/>
        <v>MANTEIGA 5KGLACTALIS</v>
      </c>
      <c r="B872" t="str">
        <f t="shared" si="27"/>
        <v>5264167MANTEIGA 5KGLACTALIS</v>
      </c>
      <c r="C872" s="5" t="s">
        <v>226</v>
      </c>
      <c r="D872" s="5" t="s">
        <v>227</v>
      </c>
      <c r="E872" s="5" t="s">
        <v>1722</v>
      </c>
      <c r="F872" s="5">
        <v>5264167</v>
      </c>
      <c r="G872" s="5" t="s">
        <v>699</v>
      </c>
      <c r="H872" s="5" t="s">
        <v>30</v>
      </c>
      <c r="I872" s="5" t="s">
        <v>22</v>
      </c>
      <c r="J872" s="5" t="s">
        <v>60</v>
      </c>
      <c r="K872" s="6">
        <v>0</v>
      </c>
      <c r="L872" s="7">
        <v>170</v>
      </c>
      <c r="M872" s="8">
        <v>95</v>
      </c>
      <c r="N872" s="8">
        <v>116.66666666666667</v>
      </c>
      <c r="O872" s="8">
        <v>120.95878655593978</v>
      </c>
      <c r="P872" s="8">
        <v>0</v>
      </c>
      <c r="Q872" s="8">
        <v>0</v>
      </c>
      <c r="R872" s="8">
        <v>0</v>
      </c>
      <c r="S872" s="8">
        <v>50</v>
      </c>
      <c r="T872" s="5">
        <v>50</v>
      </c>
      <c r="U872" s="5">
        <v>50</v>
      </c>
      <c r="V872" s="5">
        <f>VLOOKUP(A872,Planilha1!B:E,4,0)</f>
        <v>11.476197020267191</v>
      </c>
    </row>
    <row r="873" spans="1:22" x14ac:dyDescent="0.3">
      <c r="A873" t="str">
        <f t="shared" si="26"/>
        <v>PARMESÃOLACTALIS</v>
      </c>
      <c r="B873" t="str">
        <f t="shared" si="27"/>
        <v>5273675PARMESÃOLACTALIS</v>
      </c>
      <c r="C873" s="5" t="s">
        <v>226</v>
      </c>
      <c r="D873" s="5" t="s">
        <v>227</v>
      </c>
      <c r="E873" s="5" t="s">
        <v>1722</v>
      </c>
      <c r="F873" s="5">
        <v>5273675</v>
      </c>
      <c r="G873" s="5" t="s">
        <v>700</v>
      </c>
      <c r="H873" s="5" t="s">
        <v>30</v>
      </c>
      <c r="I873" s="5" t="s">
        <v>22</v>
      </c>
      <c r="J873" s="5" t="s">
        <v>195</v>
      </c>
      <c r="K873" s="6">
        <v>0</v>
      </c>
      <c r="L873" s="7">
        <v>0</v>
      </c>
      <c r="M873" s="8">
        <v>172.83833333333334</v>
      </c>
      <c r="N873" s="8">
        <v>0</v>
      </c>
      <c r="O873" s="8">
        <v>261.37889141748383</v>
      </c>
      <c r="P873" s="8">
        <v>0</v>
      </c>
      <c r="Q873" s="8">
        <v>0</v>
      </c>
      <c r="R873" s="8">
        <v>0</v>
      </c>
      <c r="S873" s="8">
        <v>0</v>
      </c>
      <c r="T873" s="5">
        <v>300</v>
      </c>
      <c r="U873" s="5">
        <v>0</v>
      </c>
      <c r="V873" s="5">
        <f>VLOOKUP(A873,Planilha1!B:E,4,0)</f>
        <v>6.310326960724681</v>
      </c>
    </row>
    <row r="874" spans="1:22" x14ac:dyDescent="0.3">
      <c r="A874" t="str">
        <f t="shared" si="26"/>
        <v>BLISTERLACTALIS</v>
      </c>
      <c r="B874" t="str">
        <f t="shared" si="27"/>
        <v>5340377BLISTERLACTALIS</v>
      </c>
      <c r="C874" s="5" t="s">
        <v>226</v>
      </c>
      <c r="D874" s="5" t="s">
        <v>227</v>
      </c>
      <c r="E874" s="5" t="s">
        <v>1722</v>
      </c>
      <c r="F874" s="5">
        <v>5340377</v>
      </c>
      <c r="G874" s="5" t="s">
        <v>701</v>
      </c>
      <c r="H874" s="5" t="s">
        <v>30</v>
      </c>
      <c r="I874" s="5" t="s">
        <v>22</v>
      </c>
      <c r="J874" s="5" t="s">
        <v>199</v>
      </c>
      <c r="K874" s="6">
        <v>0</v>
      </c>
      <c r="L874" s="7">
        <v>0</v>
      </c>
      <c r="M874" s="8">
        <v>69.760000000000005</v>
      </c>
      <c r="N874" s="8">
        <v>89.600000000000009</v>
      </c>
      <c r="O874" s="8">
        <v>7.4156287205304032</v>
      </c>
      <c r="P874" s="8">
        <v>0</v>
      </c>
      <c r="Q874" s="8">
        <v>0</v>
      </c>
      <c r="R874" s="8">
        <v>0</v>
      </c>
      <c r="S874" s="8">
        <v>46</v>
      </c>
      <c r="T874" s="5">
        <v>46</v>
      </c>
      <c r="U874" s="5">
        <v>8</v>
      </c>
      <c r="V874" s="5">
        <f>VLOOKUP(A874,Planilha1!B:E,4,0)</f>
        <v>13.783871706210666</v>
      </c>
    </row>
    <row r="875" spans="1:22" x14ac:dyDescent="0.3">
      <c r="A875" t="str">
        <f t="shared" si="26"/>
        <v>MANTEIGA 5KGLACTALIS</v>
      </c>
      <c r="B875" t="str">
        <f t="shared" si="27"/>
        <v>5341784MANTEIGA 5KGLACTALIS</v>
      </c>
      <c r="C875" s="5" t="s">
        <v>226</v>
      </c>
      <c r="D875" s="5" t="s">
        <v>227</v>
      </c>
      <c r="E875" s="5" t="s">
        <v>1722</v>
      </c>
      <c r="F875" s="5">
        <v>5341784</v>
      </c>
      <c r="G875" s="5" t="s">
        <v>702</v>
      </c>
      <c r="H875" s="5" t="s">
        <v>30</v>
      </c>
      <c r="I875" s="5" t="s">
        <v>22</v>
      </c>
      <c r="J875" s="5" t="s">
        <v>60</v>
      </c>
      <c r="K875" s="6">
        <v>0</v>
      </c>
      <c r="L875" s="7">
        <v>50</v>
      </c>
      <c r="M875" s="8">
        <v>52.500000000000007</v>
      </c>
      <c r="N875" s="8">
        <v>51.666666666666664</v>
      </c>
      <c r="O875" s="8">
        <v>63.120368253317032</v>
      </c>
      <c r="P875" s="8">
        <v>0</v>
      </c>
      <c r="Q875" s="8">
        <v>0</v>
      </c>
      <c r="R875" s="8">
        <v>0</v>
      </c>
      <c r="S875" s="8">
        <v>100</v>
      </c>
      <c r="T875" s="5">
        <v>100</v>
      </c>
      <c r="U875" s="5">
        <v>100</v>
      </c>
      <c r="V875" s="5">
        <f>VLOOKUP(A875,Planilha1!B:E,4,0)</f>
        <v>11.476197020267191</v>
      </c>
    </row>
    <row r="876" spans="1:22" x14ac:dyDescent="0.3">
      <c r="A876" t="str">
        <f t="shared" si="26"/>
        <v>LEITE CONDENSADOITAMBÉ</v>
      </c>
      <c r="B876" t="str">
        <f t="shared" si="27"/>
        <v>5012641LEITE CONDENSADOITAMBÉ</v>
      </c>
      <c r="C876" s="5" t="s">
        <v>226</v>
      </c>
      <c r="D876" s="5" t="s">
        <v>227</v>
      </c>
      <c r="E876" s="5" t="s">
        <v>703</v>
      </c>
      <c r="F876" s="5">
        <v>5012641</v>
      </c>
      <c r="G876" s="5" t="s">
        <v>704</v>
      </c>
      <c r="H876" s="5" t="s">
        <v>30</v>
      </c>
      <c r="I876" s="5" t="s">
        <v>27</v>
      </c>
      <c r="J876" s="5" t="s">
        <v>33</v>
      </c>
      <c r="K876" s="6">
        <v>0</v>
      </c>
      <c r="L876" s="7">
        <v>0</v>
      </c>
      <c r="M876" s="8">
        <v>183.33333333333331</v>
      </c>
      <c r="N876" s="8">
        <v>166.66666666666666</v>
      </c>
      <c r="O876" s="8">
        <v>185.9966520602629</v>
      </c>
      <c r="P876" s="8">
        <v>0</v>
      </c>
      <c r="Q876" s="8">
        <v>0</v>
      </c>
      <c r="R876" s="8">
        <v>0</v>
      </c>
      <c r="S876" s="8">
        <v>0</v>
      </c>
      <c r="T876" s="5">
        <v>0</v>
      </c>
      <c r="U876" s="5">
        <v>0</v>
      </c>
      <c r="V876" s="5">
        <f>VLOOKUP(A876,Planilha1!B:E,4,0)</f>
        <v>1.4766792698630664</v>
      </c>
    </row>
    <row r="877" spans="1:22" x14ac:dyDescent="0.3">
      <c r="A877" t="str">
        <f t="shared" si="26"/>
        <v>CREME UHTITAMBÉ</v>
      </c>
      <c r="B877" t="str">
        <f t="shared" si="27"/>
        <v>5012641CREME UHTITAMBÉ</v>
      </c>
      <c r="C877" s="5" t="s">
        <v>226</v>
      </c>
      <c r="D877" s="5" t="s">
        <v>227</v>
      </c>
      <c r="E877" s="5" t="s">
        <v>703</v>
      </c>
      <c r="F877" s="5">
        <v>5012641</v>
      </c>
      <c r="G877" s="5" t="s">
        <v>704</v>
      </c>
      <c r="H877" s="5" t="s">
        <v>30</v>
      </c>
      <c r="I877" s="5" t="s">
        <v>27</v>
      </c>
      <c r="J877" s="5" t="s">
        <v>34</v>
      </c>
      <c r="K877" s="6">
        <v>0</v>
      </c>
      <c r="L877" s="7">
        <v>0</v>
      </c>
      <c r="M877" s="8">
        <v>40.4</v>
      </c>
      <c r="N877" s="8">
        <v>0</v>
      </c>
      <c r="O877" s="8">
        <v>72.997161221508065</v>
      </c>
      <c r="P877" s="8">
        <v>0</v>
      </c>
      <c r="Q877" s="8">
        <v>0</v>
      </c>
      <c r="R877" s="8">
        <v>0</v>
      </c>
      <c r="S877" s="8">
        <v>242</v>
      </c>
      <c r="T877" s="5">
        <v>242</v>
      </c>
      <c r="U877" s="5">
        <v>242</v>
      </c>
      <c r="V877" s="5">
        <f>VLOOKUP(A877,Planilha1!B:E,4,0)</f>
        <v>1.2362540170747773</v>
      </c>
    </row>
    <row r="878" spans="1:22" x14ac:dyDescent="0.3">
      <c r="A878" t="str">
        <f t="shared" si="26"/>
        <v>DOCE DE LEITEITAMBÉ</v>
      </c>
      <c r="B878" t="str">
        <f t="shared" si="27"/>
        <v>5012641DOCE DE LEITEITAMBÉ</v>
      </c>
      <c r="C878" s="5" t="s">
        <v>226</v>
      </c>
      <c r="D878" s="5" t="s">
        <v>227</v>
      </c>
      <c r="E878" s="5" t="s">
        <v>703</v>
      </c>
      <c r="F878" s="5">
        <v>5012641</v>
      </c>
      <c r="G878" s="5" t="s">
        <v>704</v>
      </c>
      <c r="H878" s="5" t="s">
        <v>30</v>
      </c>
      <c r="I878" s="5" t="s">
        <v>27</v>
      </c>
      <c r="J878" s="5" t="s">
        <v>46</v>
      </c>
      <c r="K878" s="6">
        <v>0</v>
      </c>
      <c r="L878" s="7">
        <v>0</v>
      </c>
      <c r="M878" s="8">
        <v>0</v>
      </c>
      <c r="N878" s="8">
        <v>0</v>
      </c>
      <c r="O878" s="8">
        <v>54.00308589062233</v>
      </c>
      <c r="P878" s="8">
        <v>0</v>
      </c>
      <c r="Q878" s="8">
        <v>0</v>
      </c>
      <c r="R878" s="8">
        <v>0</v>
      </c>
      <c r="S878" s="8">
        <v>0</v>
      </c>
      <c r="T878" s="5">
        <v>0</v>
      </c>
      <c r="U878" s="5">
        <v>0</v>
      </c>
      <c r="V878" s="5">
        <f>VLOOKUP(A878,Planilha1!B:E,4,0)</f>
        <v>5.8210743907543439</v>
      </c>
    </row>
    <row r="879" spans="1:22" x14ac:dyDescent="0.3">
      <c r="A879" t="str">
        <f t="shared" si="26"/>
        <v>LEITE UHTITAMBÉ</v>
      </c>
      <c r="B879" t="str">
        <f t="shared" si="27"/>
        <v>5012641LEITE UHTITAMBÉ</v>
      </c>
      <c r="C879" s="5" t="s">
        <v>226</v>
      </c>
      <c r="D879" s="5" t="s">
        <v>227</v>
      </c>
      <c r="E879" s="5" t="s">
        <v>703</v>
      </c>
      <c r="F879" s="5">
        <v>5012641</v>
      </c>
      <c r="G879" s="5" t="s">
        <v>704</v>
      </c>
      <c r="H879" s="5" t="s">
        <v>30</v>
      </c>
      <c r="I879" s="5" t="s">
        <v>27</v>
      </c>
      <c r="J879" s="5" t="s">
        <v>156</v>
      </c>
      <c r="K879" s="6">
        <v>0</v>
      </c>
      <c r="L879" s="7">
        <v>0</v>
      </c>
      <c r="M879" s="8">
        <v>30</v>
      </c>
      <c r="N879" s="8">
        <v>40</v>
      </c>
      <c r="O879" s="8">
        <v>29.999666670370328</v>
      </c>
      <c r="P879" s="8">
        <v>0</v>
      </c>
      <c r="Q879" s="8">
        <v>0</v>
      </c>
      <c r="R879" s="8">
        <v>0</v>
      </c>
      <c r="S879" s="8">
        <v>0</v>
      </c>
      <c r="T879" s="5">
        <v>0</v>
      </c>
      <c r="U879" s="5">
        <v>0</v>
      </c>
      <c r="V879" s="5">
        <f>VLOOKUP(A879,Planilha1!B:E,4,0)</f>
        <v>-0.14425288609148015</v>
      </c>
    </row>
    <row r="880" spans="1:22" x14ac:dyDescent="0.3">
      <c r="A880" t="str">
        <f t="shared" si="26"/>
        <v>COMPOSTOITAMBÉ</v>
      </c>
      <c r="B880" t="str">
        <f t="shared" si="27"/>
        <v>5020347COMPOSTOITAMBÉ</v>
      </c>
      <c r="C880" s="5" t="s">
        <v>226</v>
      </c>
      <c r="D880" s="5" t="s">
        <v>227</v>
      </c>
      <c r="E880" s="5" t="s">
        <v>703</v>
      </c>
      <c r="F880" s="5">
        <v>5020347</v>
      </c>
      <c r="G880" s="5" t="s">
        <v>705</v>
      </c>
      <c r="H880" s="5" t="s">
        <v>30</v>
      </c>
      <c r="I880" s="5" t="s">
        <v>27</v>
      </c>
      <c r="J880" s="5" t="s">
        <v>26</v>
      </c>
      <c r="K880" s="6">
        <v>0</v>
      </c>
      <c r="L880" s="7">
        <v>700</v>
      </c>
      <c r="M880" s="8">
        <v>755</v>
      </c>
      <c r="N880" s="8">
        <v>333.33333333333331</v>
      </c>
      <c r="O880" s="8">
        <v>1037.0483955917944</v>
      </c>
      <c r="P880" s="8">
        <v>0</v>
      </c>
      <c r="Q880" s="8">
        <v>0</v>
      </c>
      <c r="R880" s="8">
        <v>0</v>
      </c>
      <c r="S880" s="8">
        <v>0</v>
      </c>
      <c r="T880" s="5">
        <v>700</v>
      </c>
      <c r="U880" s="5">
        <v>0</v>
      </c>
      <c r="V880" s="5">
        <f>VLOOKUP(A880,Planilha1!B:E,4,0)</f>
        <v>0.15618217875936719</v>
      </c>
    </row>
    <row r="881" spans="1:22" x14ac:dyDescent="0.3">
      <c r="A881" t="str">
        <f t="shared" si="26"/>
        <v>LEITE CONDENSADOITAMBÉ</v>
      </c>
      <c r="B881" t="str">
        <f t="shared" si="27"/>
        <v>5020347LEITE CONDENSADOITAMBÉ</v>
      </c>
      <c r="C881" s="5" t="s">
        <v>226</v>
      </c>
      <c r="D881" s="5" t="s">
        <v>227</v>
      </c>
      <c r="E881" s="5" t="s">
        <v>703</v>
      </c>
      <c r="F881" s="5">
        <v>5020347</v>
      </c>
      <c r="G881" s="5" t="s">
        <v>705</v>
      </c>
      <c r="H881" s="5" t="s">
        <v>30</v>
      </c>
      <c r="I881" s="5" t="s">
        <v>27</v>
      </c>
      <c r="J881" s="5" t="s">
        <v>33</v>
      </c>
      <c r="K881" s="6">
        <v>0</v>
      </c>
      <c r="L881" s="7">
        <v>9070</v>
      </c>
      <c r="M881" s="8">
        <v>11640.000000000002</v>
      </c>
      <c r="N881" s="8">
        <v>11023.333333333334</v>
      </c>
      <c r="O881" s="8">
        <v>11196.798457627763</v>
      </c>
      <c r="P881" s="8">
        <v>0</v>
      </c>
      <c r="Q881" s="8">
        <v>0</v>
      </c>
      <c r="R881" s="8">
        <v>0</v>
      </c>
      <c r="S881" s="8">
        <v>12710</v>
      </c>
      <c r="T881" s="5">
        <v>12700</v>
      </c>
      <c r="U881" s="5">
        <v>12710</v>
      </c>
      <c r="V881" s="5">
        <f>VLOOKUP(A881,Planilha1!B:E,4,0)</f>
        <v>1.4766792698630664</v>
      </c>
    </row>
    <row r="882" spans="1:22" x14ac:dyDescent="0.3">
      <c r="A882" t="str">
        <f t="shared" si="26"/>
        <v>CREME UHTITAMBÉ</v>
      </c>
      <c r="B882" t="str">
        <f t="shared" si="27"/>
        <v>5020347CREME UHTITAMBÉ</v>
      </c>
      <c r="C882" s="5" t="s">
        <v>226</v>
      </c>
      <c r="D882" s="5" t="s">
        <v>227</v>
      </c>
      <c r="E882" s="5" t="s">
        <v>703</v>
      </c>
      <c r="F882" s="5">
        <v>5020347</v>
      </c>
      <c r="G882" s="5" t="s">
        <v>705</v>
      </c>
      <c r="H882" s="5" t="s">
        <v>30</v>
      </c>
      <c r="I882" s="5" t="s">
        <v>27</v>
      </c>
      <c r="J882" s="5" t="s">
        <v>34</v>
      </c>
      <c r="K882" s="6">
        <v>0</v>
      </c>
      <c r="L882" s="7">
        <v>2060.4</v>
      </c>
      <c r="M882" s="8">
        <v>1712.9600000000003</v>
      </c>
      <c r="N882" s="8">
        <v>1030</v>
      </c>
      <c r="O882" s="8">
        <v>1546.939841228397</v>
      </c>
      <c r="P882" s="8">
        <v>0</v>
      </c>
      <c r="Q882" s="8">
        <v>0</v>
      </c>
      <c r="R882" s="8">
        <v>0</v>
      </c>
      <c r="S882" s="8">
        <v>3091</v>
      </c>
      <c r="T882" s="5">
        <v>1800</v>
      </c>
      <c r="U882" s="5">
        <v>3091</v>
      </c>
      <c r="V882" s="5">
        <f>VLOOKUP(A882,Planilha1!B:E,4,0)</f>
        <v>1.2362540170747773</v>
      </c>
    </row>
    <row r="883" spans="1:22" x14ac:dyDescent="0.3">
      <c r="A883" t="str">
        <f t="shared" si="26"/>
        <v>DOCE DE LEITEITAMBÉ</v>
      </c>
      <c r="B883" t="str">
        <f t="shared" si="27"/>
        <v>5020347DOCE DE LEITEITAMBÉ</v>
      </c>
      <c r="C883" s="5" t="s">
        <v>226</v>
      </c>
      <c r="D883" s="5" t="s">
        <v>227</v>
      </c>
      <c r="E883" s="5" t="s">
        <v>703</v>
      </c>
      <c r="F883" s="5">
        <v>5020347</v>
      </c>
      <c r="G883" s="5" t="s">
        <v>705</v>
      </c>
      <c r="H883" s="5" t="s">
        <v>30</v>
      </c>
      <c r="I883" s="5" t="s">
        <v>27</v>
      </c>
      <c r="J883" s="5" t="s">
        <v>46</v>
      </c>
      <c r="K883" s="6">
        <v>0</v>
      </c>
      <c r="L883" s="7">
        <v>0</v>
      </c>
      <c r="M883" s="8">
        <v>750</v>
      </c>
      <c r="N883" s="8">
        <v>600</v>
      </c>
      <c r="O883" s="8">
        <v>713.04074518543928</v>
      </c>
      <c r="P883" s="8">
        <v>0</v>
      </c>
      <c r="Q883" s="8">
        <v>0</v>
      </c>
      <c r="R883" s="8">
        <v>0</v>
      </c>
      <c r="S883" s="8">
        <v>900</v>
      </c>
      <c r="T883" s="5">
        <v>900</v>
      </c>
      <c r="U883" s="5">
        <v>900</v>
      </c>
      <c r="V883" s="5">
        <f>VLOOKUP(A883,Planilha1!B:E,4,0)</f>
        <v>5.8210743907543439</v>
      </c>
    </row>
    <row r="884" spans="1:22" x14ac:dyDescent="0.3">
      <c r="A884" t="str">
        <f t="shared" si="26"/>
        <v>MANTEIGA 5KGITAMBÉ</v>
      </c>
      <c r="B884" t="str">
        <f t="shared" si="27"/>
        <v>5020347MANTEIGA 5KGITAMBÉ</v>
      </c>
      <c r="C884" s="5" t="s">
        <v>226</v>
      </c>
      <c r="D884" s="5" t="s">
        <v>227</v>
      </c>
      <c r="E884" s="5" t="s">
        <v>703</v>
      </c>
      <c r="F884" s="5">
        <v>5020347</v>
      </c>
      <c r="G884" s="5" t="s">
        <v>705</v>
      </c>
      <c r="H884" s="5" t="s">
        <v>30</v>
      </c>
      <c r="I884" s="5" t="s">
        <v>27</v>
      </c>
      <c r="J884" s="5" t="s">
        <v>60</v>
      </c>
      <c r="K884" s="6">
        <v>0</v>
      </c>
      <c r="L884" s="7">
        <v>0</v>
      </c>
      <c r="M884" s="8">
        <v>121.66666666666667</v>
      </c>
      <c r="N884" s="8">
        <v>0</v>
      </c>
      <c r="O884" s="8">
        <v>225.99246691776941</v>
      </c>
      <c r="P884" s="8">
        <v>0</v>
      </c>
      <c r="Q884" s="8">
        <v>0</v>
      </c>
      <c r="R884" s="8">
        <v>0</v>
      </c>
      <c r="S884" s="8">
        <v>0</v>
      </c>
      <c r="T884" s="5">
        <v>0</v>
      </c>
      <c r="U884" s="5">
        <v>0</v>
      </c>
      <c r="V884" s="5">
        <f>VLOOKUP(A884,Planilha1!B:E,4,0)</f>
        <v>5.819800475298738</v>
      </c>
    </row>
    <row r="885" spans="1:22" x14ac:dyDescent="0.3">
      <c r="A885" t="str">
        <f t="shared" si="26"/>
        <v>MANTEIGA 5KGLACTALIS</v>
      </c>
      <c r="B885" t="str">
        <f t="shared" si="27"/>
        <v>5020347MANTEIGA 5KGLACTALIS</v>
      </c>
      <c r="C885" s="5" t="s">
        <v>226</v>
      </c>
      <c r="D885" s="5" t="s">
        <v>227</v>
      </c>
      <c r="E885" s="5" t="s">
        <v>703</v>
      </c>
      <c r="F885" s="5">
        <v>5020347</v>
      </c>
      <c r="G885" s="5" t="s">
        <v>705</v>
      </c>
      <c r="H885" s="5" t="s">
        <v>30</v>
      </c>
      <c r="I885" s="5" t="s">
        <v>22</v>
      </c>
      <c r="J885" s="5" t="s">
        <v>60</v>
      </c>
      <c r="K885" s="6">
        <v>0</v>
      </c>
      <c r="L885" s="7">
        <v>0</v>
      </c>
      <c r="M885" s="8">
        <v>1200</v>
      </c>
      <c r="N885" s="8">
        <v>763.33333333333337</v>
      </c>
      <c r="O885" s="8">
        <v>788.92995919003988</v>
      </c>
      <c r="P885" s="8">
        <v>0</v>
      </c>
      <c r="Q885" s="8">
        <v>0</v>
      </c>
      <c r="R885" s="8">
        <v>0</v>
      </c>
      <c r="S885" s="8">
        <v>0</v>
      </c>
      <c r="T885" s="5">
        <v>750</v>
      </c>
      <c r="U885" s="5">
        <v>1000</v>
      </c>
      <c r="V885" s="5">
        <f>VLOOKUP(A885,Planilha1!B:E,4,0)</f>
        <v>11.476197020267191</v>
      </c>
    </row>
    <row r="886" spans="1:22" x14ac:dyDescent="0.3">
      <c r="A886" t="str">
        <f t="shared" si="26"/>
        <v>COMPOSTOITAMBÉ</v>
      </c>
      <c r="B886" t="str">
        <f t="shared" si="27"/>
        <v>5020352COMPOSTOITAMBÉ</v>
      </c>
      <c r="C886" s="5" t="s">
        <v>226</v>
      </c>
      <c r="D886" s="5" t="s">
        <v>227</v>
      </c>
      <c r="E886" s="5" t="s">
        <v>703</v>
      </c>
      <c r="F886" s="5">
        <v>5020352</v>
      </c>
      <c r="G886" s="5" t="s">
        <v>706</v>
      </c>
      <c r="H886" s="5" t="s">
        <v>30</v>
      </c>
      <c r="I886" s="5" t="s">
        <v>27</v>
      </c>
      <c r="J886" s="5" t="s">
        <v>26</v>
      </c>
      <c r="K886" s="6">
        <v>0</v>
      </c>
      <c r="L886" s="7">
        <v>0</v>
      </c>
      <c r="M886" s="8">
        <v>535</v>
      </c>
      <c r="N886" s="8">
        <v>333.33333333333331</v>
      </c>
      <c r="O886" s="8">
        <v>741.03458161380877</v>
      </c>
      <c r="P886" s="8">
        <v>0</v>
      </c>
      <c r="Q886" s="8">
        <v>0</v>
      </c>
      <c r="R886" s="8">
        <v>0</v>
      </c>
      <c r="S886" s="8">
        <v>0</v>
      </c>
      <c r="T886" s="5">
        <v>650</v>
      </c>
      <c r="U886" s="5">
        <v>0</v>
      </c>
      <c r="V886" s="5">
        <f>VLOOKUP(A886,Planilha1!B:E,4,0)</f>
        <v>0.15618217875936719</v>
      </c>
    </row>
    <row r="887" spans="1:22" x14ac:dyDescent="0.3">
      <c r="A887" t="str">
        <f t="shared" si="26"/>
        <v>LEITE CONDENSADOITAMBÉ</v>
      </c>
      <c r="B887" t="str">
        <f t="shared" si="27"/>
        <v>5020352LEITE CONDENSADOITAMBÉ</v>
      </c>
      <c r="C887" s="5" t="s">
        <v>226</v>
      </c>
      <c r="D887" s="5" t="s">
        <v>227</v>
      </c>
      <c r="E887" s="5" t="s">
        <v>703</v>
      </c>
      <c r="F887" s="5">
        <v>5020352</v>
      </c>
      <c r="G887" s="5" t="s">
        <v>706</v>
      </c>
      <c r="H887" s="5" t="s">
        <v>30</v>
      </c>
      <c r="I887" s="5" t="s">
        <v>27</v>
      </c>
      <c r="J887" s="5" t="s">
        <v>33</v>
      </c>
      <c r="K887" s="6">
        <v>0</v>
      </c>
      <c r="L887" s="7">
        <v>0</v>
      </c>
      <c r="M887" s="8">
        <v>8745.6333333333332</v>
      </c>
      <c r="N887" s="8">
        <v>8406.6666666666661</v>
      </c>
      <c r="O887" s="8">
        <v>9325.8321350215701</v>
      </c>
      <c r="P887" s="8">
        <v>0</v>
      </c>
      <c r="Q887" s="8">
        <v>0</v>
      </c>
      <c r="R887" s="8">
        <v>0</v>
      </c>
      <c r="S887" s="8">
        <v>9080</v>
      </c>
      <c r="T887" s="5">
        <v>9100</v>
      </c>
      <c r="U887" s="5">
        <v>9080</v>
      </c>
      <c r="V887" s="5">
        <f>VLOOKUP(A887,Planilha1!B:E,4,0)</f>
        <v>1.4766792698630664</v>
      </c>
    </row>
    <row r="888" spans="1:22" x14ac:dyDescent="0.3">
      <c r="A888" t="str">
        <f t="shared" si="26"/>
        <v>CREME UHTITAMBÉ</v>
      </c>
      <c r="B888" t="str">
        <f t="shared" si="27"/>
        <v>5020352CREME UHTITAMBÉ</v>
      </c>
      <c r="C888" s="5" t="s">
        <v>226</v>
      </c>
      <c r="D888" s="5" t="s">
        <v>227</v>
      </c>
      <c r="E888" s="5" t="s">
        <v>703</v>
      </c>
      <c r="F888" s="5">
        <v>5020352</v>
      </c>
      <c r="G888" s="5" t="s">
        <v>706</v>
      </c>
      <c r="H888" s="5" t="s">
        <v>30</v>
      </c>
      <c r="I888" s="5" t="s">
        <v>27</v>
      </c>
      <c r="J888" s="5" t="s">
        <v>34</v>
      </c>
      <c r="K888" s="6">
        <v>0</v>
      </c>
      <c r="L888" s="7">
        <v>0</v>
      </c>
      <c r="M888" s="8">
        <v>573.62</v>
      </c>
      <c r="N888" s="8">
        <v>343.33333333333331</v>
      </c>
      <c r="O888" s="8">
        <v>211.99175587616037</v>
      </c>
      <c r="P888" s="8">
        <v>0</v>
      </c>
      <c r="Q888" s="8">
        <v>606</v>
      </c>
      <c r="R888" s="8">
        <v>0</v>
      </c>
      <c r="S888" s="8">
        <v>0</v>
      </c>
      <c r="T888" s="5">
        <v>606</v>
      </c>
      <c r="U888" s="5">
        <v>600</v>
      </c>
      <c r="V888" s="5">
        <f>VLOOKUP(A888,Planilha1!B:E,4,0)</f>
        <v>1.2362540170747773</v>
      </c>
    </row>
    <row r="889" spans="1:22" x14ac:dyDescent="0.3">
      <c r="A889" t="str">
        <f t="shared" si="26"/>
        <v>MANTEIGA 5KGITAMBÉ</v>
      </c>
      <c r="B889" t="str">
        <f t="shared" si="27"/>
        <v>5020352MANTEIGA 5KGITAMBÉ</v>
      </c>
      <c r="C889" s="5" t="s">
        <v>226</v>
      </c>
      <c r="D889" s="5" t="s">
        <v>227</v>
      </c>
      <c r="E889" s="5" t="s">
        <v>703</v>
      </c>
      <c r="F889" s="5">
        <v>5020352</v>
      </c>
      <c r="G889" s="5" t="s">
        <v>706</v>
      </c>
      <c r="H889" s="5" t="s">
        <v>30</v>
      </c>
      <c r="I889" s="5" t="s">
        <v>27</v>
      </c>
      <c r="J889" s="5" t="s">
        <v>60</v>
      </c>
      <c r="K889" s="6">
        <v>0</v>
      </c>
      <c r="L889" s="7">
        <v>0</v>
      </c>
      <c r="M889" s="8">
        <v>88.333333333333329</v>
      </c>
      <c r="N889" s="8">
        <v>0</v>
      </c>
      <c r="O889" s="8">
        <v>1.9999333355554816</v>
      </c>
      <c r="P889" s="8">
        <v>0</v>
      </c>
      <c r="Q889" s="8">
        <v>0</v>
      </c>
      <c r="R889" s="8">
        <v>0</v>
      </c>
      <c r="S889" s="8">
        <v>0</v>
      </c>
      <c r="T889" s="5">
        <v>0</v>
      </c>
      <c r="U889" s="5">
        <v>0</v>
      </c>
      <c r="V889" s="5">
        <f>VLOOKUP(A889,Planilha1!B:E,4,0)</f>
        <v>5.819800475298738</v>
      </c>
    </row>
    <row r="890" spans="1:22" x14ac:dyDescent="0.3">
      <c r="A890" t="str">
        <f t="shared" si="26"/>
        <v>MANTEIGA 5KGLACTALIS</v>
      </c>
      <c r="B890" t="str">
        <f t="shared" si="27"/>
        <v>5020352MANTEIGA 5KGLACTALIS</v>
      </c>
      <c r="C890" s="5" t="s">
        <v>226</v>
      </c>
      <c r="D890" s="5" t="s">
        <v>227</v>
      </c>
      <c r="E890" s="5" t="s">
        <v>703</v>
      </c>
      <c r="F890" s="5">
        <v>5020352</v>
      </c>
      <c r="G890" s="5" t="s">
        <v>706</v>
      </c>
      <c r="H890" s="5" t="s">
        <v>30</v>
      </c>
      <c r="I890" s="5" t="s">
        <v>22</v>
      </c>
      <c r="J890" s="5" t="s">
        <v>60</v>
      </c>
      <c r="K890" s="6">
        <v>0</v>
      </c>
      <c r="L890" s="7">
        <v>0</v>
      </c>
      <c r="M890" s="8">
        <v>316.66666666666669</v>
      </c>
      <c r="N890" s="8">
        <v>383.33333333333331</v>
      </c>
      <c r="O890" s="8">
        <v>175.31381929215578</v>
      </c>
      <c r="P890" s="8">
        <v>0</v>
      </c>
      <c r="Q890" s="8">
        <v>0</v>
      </c>
      <c r="R890" s="8">
        <v>0</v>
      </c>
      <c r="S890" s="8">
        <v>0</v>
      </c>
      <c r="T890" s="5">
        <v>180</v>
      </c>
      <c r="U890" s="5">
        <v>500</v>
      </c>
      <c r="V890" s="5">
        <f>VLOOKUP(A890,Planilha1!B:E,4,0)</f>
        <v>11.476197020267191</v>
      </c>
    </row>
    <row r="891" spans="1:22" x14ac:dyDescent="0.3">
      <c r="A891" t="str">
        <f t="shared" si="26"/>
        <v>LEITE CONDENSADOITAMBÉ</v>
      </c>
      <c r="B891" t="str">
        <f t="shared" si="27"/>
        <v>5031156LEITE CONDENSADOITAMBÉ</v>
      </c>
      <c r="C891" s="5" t="s">
        <v>226</v>
      </c>
      <c r="D891" s="5" t="s">
        <v>227</v>
      </c>
      <c r="E891" s="5" t="s">
        <v>703</v>
      </c>
      <c r="F891" s="5">
        <v>5031156</v>
      </c>
      <c r="G891" s="5" t="s">
        <v>707</v>
      </c>
      <c r="H891" s="5" t="s">
        <v>30</v>
      </c>
      <c r="I891" s="5" t="s">
        <v>27</v>
      </c>
      <c r="J891" s="5" t="s">
        <v>33</v>
      </c>
      <c r="K891" s="6">
        <v>0</v>
      </c>
      <c r="L891" s="7">
        <v>1000</v>
      </c>
      <c r="M891" s="8">
        <v>666.66666666666663</v>
      </c>
      <c r="N891" s="8">
        <v>666.66666666666663</v>
      </c>
      <c r="O891" s="8">
        <v>851.98466427604308</v>
      </c>
      <c r="P891" s="8">
        <v>0</v>
      </c>
      <c r="Q891" s="8">
        <v>0</v>
      </c>
      <c r="R891" s="8">
        <v>0</v>
      </c>
      <c r="S891" s="8">
        <v>0</v>
      </c>
      <c r="T891" s="5">
        <v>910</v>
      </c>
      <c r="U891" s="5">
        <v>1000</v>
      </c>
      <c r="V891" s="5">
        <f>VLOOKUP(A891,Planilha1!B:E,4,0)</f>
        <v>1.4766792698630664</v>
      </c>
    </row>
    <row r="892" spans="1:22" x14ac:dyDescent="0.3">
      <c r="A892" t="str">
        <f t="shared" si="26"/>
        <v>LEITE CONDENSADOITAMBÉ</v>
      </c>
      <c r="B892" t="str">
        <f t="shared" si="27"/>
        <v>5070522LEITE CONDENSADOITAMBÉ</v>
      </c>
      <c r="C892" s="5" t="s">
        <v>226</v>
      </c>
      <c r="D892" s="5" t="s">
        <v>227</v>
      </c>
      <c r="E892" s="5" t="s">
        <v>703</v>
      </c>
      <c r="F892" s="5">
        <v>5070522</v>
      </c>
      <c r="G892" s="5" t="s">
        <v>708</v>
      </c>
      <c r="H892" s="5" t="s">
        <v>30</v>
      </c>
      <c r="I892" s="5" t="s">
        <v>27</v>
      </c>
      <c r="J892" s="5" t="s">
        <v>33</v>
      </c>
      <c r="K892" s="6">
        <v>0</v>
      </c>
      <c r="L892" s="7">
        <v>1190</v>
      </c>
      <c r="M892" s="8">
        <v>4625</v>
      </c>
      <c r="N892" s="8">
        <v>4376.666666666667</v>
      </c>
      <c r="O892" s="8">
        <v>3965.9286132849611</v>
      </c>
      <c r="P892" s="8">
        <v>0</v>
      </c>
      <c r="Q892" s="8">
        <v>0</v>
      </c>
      <c r="R892" s="8">
        <v>0</v>
      </c>
      <c r="S892" s="8">
        <v>5400</v>
      </c>
      <c r="T892" s="5">
        <v>5400</v>
      </c>
      <c r="U892" s="5">
        <v>5400</v>
      </c>
      <c r="V892" s="5">
        <f>VLOOKUP(A892,Planilha1!B:E,4,0)</f>
        <v>1.4766792698630664</v>
      </c>
    </row>
    <row r="893" spans="1:22" x14ac:dyDescent="0.3">
      <c r="A893" t="str">
        <f t="shared" si="26"/>
        <v>CREME UHTITAMBÉ</v>
      </c>
      <c r="B893" t="str">
        <f t="shared" si="27"/>
        <v>5070522CREME UHTITAMBÉ</v>
      </c>
      <c r="C893" s="5" t="s">
        <v>226</v>
      </c>
      <c r="D893" s="5" t="s">
        <v>227</v>
      </c>
      <c r="E893" s="5" t="s">
        <v>703</v>
      </c>
      <c r="F893" s="5">
        <v>5070522</v>
      </c>
      <c r="G893" s="5" t="s">
        <v>708</v>
      </c>
      <c r="H893" s="5" t="s">
        <v>30</v>
      </c>
      <c r="I893" s="5" t="s">
        <v>27</v>
      </c>
      <c r="J893" s="5" t="s">
        <v>34</v>
      </c>
      <c r="K893" s="6">
        <v>0</v>
      </c>
      <c r="L893" s="7">
        <v>0</v>
      </c>
      <c r="M893" s="8">
        <v>1121.1000000000001</v>
      </c>
      <c r="N893" s="8">
        <v>1090.6666666666667</v>
      </c>
      <c r="O893" s="8">
        <v>672.97382879554698</v>
      </c>
      <c r="P893" s="8">
        <v>0</v>
      </c>
      <c r="Q893" s="8">
        <v>0</v>
      </c>
      <c r="R893" s="8">
        <v>0</v>
      </c>
      <c r="S893" s="8">
        <v>0</v>
      </c>
      <c r="T893" s="5">
        <v>0</v>
      </c>
      <c r="U893" s="5">
        <v>1000</v>
      </c>
      <c r="V893" s="5">
        <f>VLOOKUP(A893,Planilha1!B:E,4,0)</f>
        <v>1.2362540170747773</v>
      </c>
    </row>
    <row r="894" spans="1:22" x14ac:dyDescent="0.3">
      <c r="A894" t="str">
        <f t="shared" si="26"/>
        <v>BLISTERITAMBÉ</v>
      </c>
      <c r="B894" t="str">
        <f t="shared" si="27"/>
        <v>5079293BLISTERITAMBÉ</v>
      </c>
      <c r="C894" s="5" t="s">
        <v>226</v>
      </c>
      <c r="D894" s="5" t="s">
        <v>227</v>
      </c>
      <c r="E894" s="5" t="s">
        <v>703</v>
      </c>
      <c r="F894" s="5">
        <v>5079293</v>
      </c>
      <c r="G894" s="5" t="s">
        <v>709</v>
      </c>
      <c r="H894" s="5" t="s">
        <v>30</v>
      </c>
      <c r="I894" s="5" t="s">
        <v>27</v>
      </c>
      <c r="J894" s="5" t="s">
        <v>199</v>
      </c>
      <c r="K894" s="6">
        <v>0</v>
      </c>
      <c r="L894" s="7">
        <v>0</v>
      </c>
      <c r="M894" s="8">
        <v>64.64</v>
      </c>
      <c r="N894" s="8">
        <v>0</v>
      </c>
      <c r="O894" s="8">
        <v>38.00542944013899</v>
      </c>
      <c r="P894" s="8">
        <v>0</v>
      </c>
      <c r="Q894" s="8">
        <v>0</v>
      </c>
      <c r="R894" s="8">
        <v>0</v>
      </c>
      <c r="S894" s="8">
        <v>0</v>
      </c>
      <c r="T894" s="5">
        <v>0</v>
      </c>
      <c r="U894" s="5">
        <v>0</v>
      </c>
      <c r="V894" s="5">
        <f>VLOOKUP(A894,Planilha1!B:E,4,0)</f>
        <v>10.339882680976428</v>
      </c>
    </row>
    <row r="895" spans="1:22" x14ac:dyDescent="0.3">
      <c r="A895" t="str">
        <f t="shared" si="26"/>
        <v>BLISTERLACTALIS</v>
      </c>
      <c r="B895" t="str">
        <f t="shared" si="27"/>
        <v>5079293BLISTERLACTALIS</v>
      </c>
      <c r="C895" s="5" t="s">
        <v>226</v>
      </c>
      <c r="D895" s="5" t="s">
        <v>227</v>
      </c>
      <c r="E895" s="5" t="s">
        <v>703</v>
      </c>
      <c r="F895" s="5">
        <v>5079293</v>
      </c>
      <c r="G895" s="5" t="s">
        <v>709</v>
      </c>
      <c r="H895" s="5" t="s">
        <v>30</v>
      </c>
      <c r="I895" s="5" t="s">
        <v>22</v>
      </c>
      <c r="J895" s="5" t="s">
        <v>199</v>
      </c>
      <c r="K895" s="6">
        <v>0</v>
      </c>
      <c r="L895" s="7">
        <v>0</v>
      </c>
      <c r="M895" s="8">
        <v>147.19999999999999</v>
      </c>
      <c r="N895" s="8">
        <v>0</v>
      </c>
      <c r="O895" s="8">
        <v>345.60608501987872</v>
      </c>
      <c r="P895" s="8">
        <v>0</v>
      </c>
      <c r="Q895" s="8">
        <v>0</v>
      </c>
      <c r="R895" s="8">
        <v>0</v>
      </c>
      <c r="S895" s="8">
        <v>0</v>
      </c>
      <c r="T895" s="5">
        <v>0</v>
      </c>
      <c r="U895" s="5">
        <v>0</v>
      </c>
      <c r="V895" s="5">
        <f>VLOOKUP(A895,Planilha1!B:E,4,0)</f>
        <v>13.783871706210666</v>
      </c>
    </row>
    <row r="896" spans="1:22" x14ac:dyDescent="0.3">
      <c r="A896" t="str">
        <f t="shared" si="26"/>
        <v>COMPOSTOITAMBÉ</v>
      </c>
      <c r="B896" t="str">
        <f t="shared" si="27"/>
        <v>5107112COMPOSTOITAMBÉ</v>
      </c>
      <c r="C896" s="5" t="s">
        <v>226</v>
      </c>
      <c r="D896" s="5" t="s">
        <v>227</v>
      </c>
      <c r="E896" s="5" t="s">
        <v>703</v>
      </c>
      <c r="F896" s="5">
        <v>5107112</v>
      </c>
      <c r="G896" s="5" t="s">
        <v>710</v>
      </c>
      <c r="H896" s="5" t="s">
        <v>30</v>
      </c>
      <c r="I896" s="5" t="s">
        <v>27</v>
      </c>
      <c r="J896" s="5" t="s">
        <v>26</v>
      </c>
      <c r="K896" s="6">
        <v>0</v>
      </c>
      <c r="L896" s="7">
        <v>0</v>
      </c>
      <c r="M896" s="8">
        <v>680</v>
      </c>
      <c r="N896" s="8">
        <v>426.66666666666669</v>
      </c>
      <c r="O896" s="8">
        <v>496.02314774689489</v>
      </c>
      <c r="P896" s="8">
        <v>0</v>
      </c>
      <c r="Q896" s="8">
        <v>0</v>
      </c>
      <c r="R896" s="8">
        <v>0</v>
      </c>
      <c r="S896" s="8">
        <v>0</v>
      </c>
      <c r="T896" s="5">
        <v>440</v>
      </c>
      <c r="U896" s="5">
        <v>0</v>
      </c>
      <c r="V896" s="5">
        <f>VLOOKUP(A896,Planilha1!B:E,4,0)</f>
        <v>0.15618217875936719</v>
      </c>
    </row>
    <row r="897" spans="1:22" x14ac:dyDescent="0.3">
      <c r="A897" t="str">
        <f t="shared" si="26"/>
        <v>LEITE CONDENSADOITAMBÉ</v>
      </c>
      <c r="B897" t="str">
        <f t="shared" si="27"/>
        <v>5107112LEITE CONDENSADOITAMBÉ</v>
      </c>
      <c r="C897" s="5" t="s">
        <v>226</v>
      </c>
      <c r="D897" s="5" t="s">
        <v>227</v>
      </c>
      <c r="E897" s="5" t="s">
        <v>703</v>
      </c>
      <c r="F897" s="5">
        <v>5107112</v>
      </c>
      <c r="G897" s="5" t="s">
        <v>710</v>
      </c>
      <c r="H897" s="5" t="s">
        <v>30</v>
      </c>
      <c r="I897" s="5" t="s">
        <v>27</v>
      </c>
      <c r="J897" s="5" t="s">
        <v>33</v>
      </c>
      <c r="K897" s="6">
        <v>0</v>
      </c>
      <c r="L897" s="7">
        <v>13515.68</v>
      </c>
      <c r="M897" s="8">
        <v>10232.126666666667</v>
      </c>
      <c r="N897" s="8">
        <v>11276</v>
      </c>
      <c r="O897" s="8">
        <v>17715.681117739881</v>
      </c>
      <c r="P897" s="8">
        <v>0</v>
      </c>
      <c r="Q897" s="8">
        <v>0</v>
      </c>
      <c r="R897" s="8">
        <v>0</v>
      </c>
      <c r="S897" s="8">
        <v>14174</v>
      </c>
      <c r="T897" s="5">
        <v>21300</v>
      </c>
      <c r="U897" s="5">
        <v>17900</v>
      </c>
      <c r="V897" s="5">
        <f>VLOOKUP(A897,Planilha1!B:E,4,0)</f>
        <v>1.4766792698630664</v>
      </c>
    </row>
    <row r="898" spans="1:22" x14ac:dyDescent="0.3">
      <c r="A898" t="str">
        <f t="shared" ref="A898:A961" si="28">J898&amp;I898</f>
        <v>CREME UHTITAMBÉ</v>
      </c>
      <c r="B898" t="str">
        <f t="shared" si="27"/>
        <v>5107112CREME UHTITAMBÉ</v>
      </c>
      <c r="C898" s="5" t="s">
        <v>226</v>
      </c>
      <c r="D898" s="5" t="s">
        <v>227</v>
      </c>
      <c r="E898" s="5" t="s">
        <v>703</v>
      </c>
      <c r="F898" s="5">
        <v>5107112</v>
      </c>
      <c r="G898" s="5" t="s">
        <v>710</v>
      </c>
      <c r="H898" s="5" t="s">
        <v>30</v>
      </c>
      <c r="I898" s="5" t="s">
        <v>27</v>
      </c>
      <c r="J898" s="5" t="s">
        <v>34</v>
      </c>
      <c r="K898" s="6">
        <v>0</v>
      </c>
      <c r="L898" s="7">
        <v>864</v>
      </c>
      <c r="M898" s="8">
        <v>812.04000000000008</v>
      </c>
      <c r="N898" s="8">
        <v>686.66666666666663</v>
      </c>
      <c r="O898" s="8">
        <v>1862.9275528173907</v>
      </c>
      <c r="P898" s="8">
        <v>0</v>
      </c>
      <c r="Q898" s="8">
        <v>0</v>
      </c>
      <c r="R898" s="8">
        <v>0</v>
      </c>
      <c r="S898" s="8">
        <v>1172</v>
      </c>
      <c r="T898" s="5">
        <v>2070</v>
      </c>
      <c r="U898" s="5">
        <v>1030</v>
      </c>
      <c r="V898" s="5">
        <f>VLOOKUP(A898,Planilha1!B:E,4,0)</f>
        <v>1.2362540170747773</v>
      </c>
    </row>
    <row r="899" spans="1:22" x14ac:dyDescent="0.3">
      <c r="A899" t="str">
        <f t="shared" si="28"/>
        <v>DOCE DE LEITEITAMBÉ</v>
      </c>
      <c r="B899" t="str">
        <f t="shared" ref="B899:B962" si="29">F899&amp;J899&amp;I899</f>
        <v>5107112DOCE DE LEITEITAMBÉ</v>
      </c>
      <c r="C899" s="5" t="s">
        <v>226</v>
      </c>
      <c r="D899" s="5" t="s">
        <v>227</v>
      </c>
      <c r="E899" s="5" t="s">
        <v>703</v>
      </c>
      <c r="F899" s="5">
        <v>5107112</v>
      </c>
      <c r="G899" s="5" t="s">
        <v>710</v>
      </c>
      <c r="H899" s="5" t="s">
        <v>30</v>
      </c>
      <c r="I899" s="5" t="s">
        <v>27</v>
      </c>
      <c r="J899" s="5" t="s">
        <v>46</v>
      </c>
      <c r="K899" s="6">
        <v>0</v>
      </c>
      <c r="L899" s="7">
        <v>7094.4</v>
      </c>
      <c r="M899" s="8">
        <v>4642.3333333333321</v>
      </c>
      <c r="N899" s="8">
        <v>5068</v>
      </c>
      <c r="O899" s="8">
        <v>3642.2081261786398</v>
      </c>
      <c r="P899" s="8">
        <v>0</v>
      </c>
      <c r="Q899" s="8">
        <v>0</v>
      </c>
      <c r="R899" s="8">
        <v>0</v>
      </c>
      <c r="S899" s="8">
        <v>5853</v>
      </c>
      <c r="T899" s="5">
        <v>4200</v>
      </c>
      <c r="U899" s="5">
        <v>6000</v>
      </c>
      <c r="V899" s="5">
        <f>VLOOKUP(A899,Planilha1!B:E,4,0)</f>
        <v>5.8210743907543439</v>
      </c>
    </row>
    <row r="900" spans="1:22" x14ac:dyDescent="0.3">
      <c r="A900" t="str">
        <f t="shared" si="28"/>
        <v>COMPOSTOITAMBÉ</v>
      </c>
      <c r="B900" t="str">
        <f t="shared" si="29"/>
        <v>5118346COMPOSTOITAMBÉ</v>
      </c>
      <c r="C900" s="5" t="s">
        <v>226</v>
      </c>
      <c r="D900" s="5" t="s">
        <v>227</v>
      </c>
      <c r="E900" s="5" t="s">
        <v>703</v>
      </c>
      <c r="F900" s="5">
        <v>5118346</v>
      </c>
      <c r="G900" s="5" t="s">
        <v>711</v>
      </c>
      <c r="H900" s="5" t="s">
        <v>30</v>
      </c>
      <c r="I900" s="5" t="s">
        <v>27</v>
      </c>
      <c r="J900" s="5" t="s">
        <v>26</v>
      </c>
      <c r="K900" s="6">
        <v>0</v>
      </c>
      <c r="L900" s="7">
        <v>0</v>
      </c>
      <c r="M900" s="8">
        <v>179.16666666666666</v>
      </c>
      <c r="N900" s="8">
        <v>258.33333333333331</v>
      </c>
      <c r="O900" s="8">
        <v>222.01036048348925</v>
      </c>
      <c r="P900" s="8">
        <v>0</v>
      </c>
      <c r="Q900" s="8">
        <v>0</v>
      </c>
      <c r="R900" s="8">
        <v>0</v>
      </c>
      <c r="S900" s="8">
        <v>0</v>
      </c>
      <c r="T900" s="5">
        <v>200</v>
      </c>
      <c r="U900" s="5">
        <v>0</v>
      </c>
      <c r="V900" s="5">
        <f>VLOOKUP(A900,Planilha1!B:E,4,0)</f>
        <v>0.15618217875936719</v>
      </c>
    </row>
    <row r="901" spans="1:22" x14ac:dyDescent="0.3">
      <c r="A901" t="str">
        <f t="shared" si="28"/>
        <v>LEITE CONDENSADOITAMBÉ</v>
      </c>
      <c r="B901" t="str">
        <f t="shared" si="29"/>
        <v>5118346LEITE CONDENSADOITAMBÉ</v>
      </c>
      <c r="C901" s="5" t="s">
        <v>226</v>
      </c>
      <c r="D901" s="5" t="s">
        <v>227</v>
      </c>
      <c r="E901" s="5" t="s">
        <v>703</v>
      </c>
      <c r="F901" s="5">
        <v>5118346</v>
      </c>
      <c r="G901" s="5" t="s">
        <v>711</v>
      </c>
      <c r="H901" s="5" t="s">
        <v>30</v>
      </c>
      <c r="I901" s="5" t="s">
        <v>27</v>
      </c>
      <c r="J901" s="5" t="s">
        <v>33</v>
      </c>
      <c r="K901" s="6">
        <v>0</v>
      </c>
      <c r="L901" s="7">
        <v>0</v>
      </c>
      <c r="M901" s="8">
        <v>6363.333333333333</v>
      </c>
      <c r="N901" s="8">
        <v>3943.3333333333335</v>
      </c>
      <c r="O901" s="8">
        <v>6241.8876460223719</v>
      </c>
      <c r="P901" s="8">
        <v>0</v>
      </c>
      <c r="Q901" s="8">
        <v>0</v>
      </c>
      <c r="R901" s="8">
        <v>0</v>
      </c>
      <c r="S901" s="8">
        <v>7260</v>
      </c>
      <c r="T901" s="5">
        <v>7500</v>
      </c>
      <c r="U901" s="5">
        <v>7260</v>
      </c>
      <c r="V901" s="5">
        <f>VLOOKUP(A901,Planilha1!B:E,4,0)</f>
        <v>1.4766792698630664</v>
      </c>
    </row>
    <row r="902" spans="1:22" x14ac:dyDescent="0.3">
      <c r="A902" t="str">
        <f t="shared" si="28"/>
        <v>DOCE DE LEITEITAMBÉ</v>
      </c>
      <c r="B902" t="str">
        <f t="shared" si="29"/>
        <v>5118346DOCE DE LEITEITAMBÉ</v>
      </c>
      <c r="C902" s="5" t="s">
        <v>226</v>
      </c>
      <c r="D902" s="5" t="s">
        <v>227</v>
      </c>
      <c r="E902" s="5" t="s">
        <v>703</v>
      </c>
      <c r="F902" s="5">
        <v>5118346</v>
      </c>
      <c r="G902" s="5" t="s">
        <v>711</v>
      </c>
      <c r="H902" s="5" t="s">
        <v>30</v>
      </c>
      <c r="I902" s="5" t="s">
        <v>27</v>
      </c>
      <c r="J902" s="5" t="s">
        <v>46</v>
      </c>
      <c r="K902" s="6">
        <v>0</v>
      </c>
      <c r="L902" s="7">
        <v>0</v>
      </c>
      <c r="M902" s="8">
        <v>450</v>
      </c>
      <c r="N902" s="8">
        <v>300</v>
      </c>
      <c r="O902" s="8">
        <v>488.02788730784624</v>
      </c>
      <c r="P902" s="8">
        <v>0</v>
      </c>
      <c r="Q902" s="8">
        <v>0</v>
      </c>
      <c r="R902" s="8">
        <v>0</v>
      </c>
      <c r="S902" s="8">
        <v>0</v>
      </c>
      <c r="T902" s="5">
        <v>300</v>
      </c>
      <c r="U902" s="5">
        <v>0</v>
      </c>
      <c r="V902" s="5">
        <f>VLOOKUP(A902,Planilha1!B:E,4,0)</f>
        <v>5.8210743907543439</v>
      </c>
    </row>
    <row r="903" spans="1:22" x14ac:dyDescent="0.3">
      <c r="A903" t="str">
        <f t="shared" si="28"/>
        <v>MANTEIGA 5KGITAMBÉ</v>
      </c>
      <c r="B903" t="str">
        <f t="shared" si="29"/>
        <v>5118346MANTEIGA 5KGITAMBÉ</v>
      </c>
      <c r="C903" s="5" t="s">
        <v>226</v>
      </c>
      <c r="D903" s="5" t="s">
        <v>227</v>
      </c>
      <c r="E903" s="5" t="s">
        <v>703</v>
      </c>
      <c r="F903" s="5">
        <v>5118346</v>
      </c>
      <c r="G903" s="5" t="s">
        <v>711</v>
      </c>
      <c r="H903" s="5" t="s">
        <v>30</v>
      </c>
      <c r="I903" s="5" t="s">
        <v>27</v>
      </c>
      <c r="J903" s="5" t="s">
        <v>60</v>
      </c>
      <c r="K903" s="6">
        <v>0</v>
      </c>
      <c r="L903" s="7">
        <v>50</v>
      </c>
      <c r="M903" s="8">
        <v>20.833333333333336</v>
      </c>
      <c r="N903" s="8">
        <v>41.666666666666664</v>
      </c>
      <c r="O903" s="8">
        <v>79.99733342221927</v>
      </c>
      <c r="P903" s="8">
        <v>0</v>
      </c>
      <c r="Q903" s="8">
        <v>100</v>
      </c>
      <c r="R903" s="8">
        <v>0</v>
      </c>
      <c r="S903" s="8">
        <v>100</v>
      </c>
      <c r="T903" s="5">
        <v>100</v>
      </c>
      <c r="U903" s="5">
        <v>100</v>
      </c>
      <c r="V903" s="5">
        <f>VLOOKUP(A903,Planilha1!B:E,4,0)</f>
        <v>5.819800475298738</v>
      </c>
    </row>
    <row r="904" spans="1:22" x14ac:dyDescent="0.3">
      <c r="A904" t="str">
        <f t="shared" si="28"/>
        <v>MANTEIGA 5KGLACTALIS</v>
      </c>
      <c r="B904" t="str">
        <f t="shared" si="29"/>
        <v>5118346MANTEIGA 5KGLACTALIS</v>
      </c>
      <c r="C904" s="5" t="s">
        <v>226</v>
      </c>
      <c r="D904" s="5" t="s">
        <v>227</v>
      </c>
      <c r="E904" s="5" t="s">
        <v>703</v>
      </c>
      <c r="F904" s="5">
        <v>5118346</v>
      </c>
      <c r="G904" s="5" t="s">
        <v>711</v>
      </c>
      <c r="H904" s="5" t="s">
        <v>30</v>
      </c>
      <c r="I904" s="5" t="s">
        <v>22</v>
      </c>
      <c r="J904" s="5" t="s">
        <v>60</v>
      </c>
      <c r="K904" s="6">
        <v>0</v>
      </c>
      <c r="L904" s="7">
        <v>0</v>
      </c>
      <c r="M904" s="8">
        <v>50</v>
      </c>
      <c r="N904" s="8">
        <v>0</v>
      </c>
      <c r="O904" s="8">
        <v>175.31381929215578</v>
      </c>
      <c r="P904" s="8">
        <v>0</v>
      </c>
      <c r="Q904" s="8">
        <v>0</v>
      </c>
      <c r="R904" s="8">
        <v>0</v>
      </c>
      <c r="S904" s="8">
        <v>100</v>
      </c>
      <c r="T904" s="5">
        <v>100</v>
      </c>
      <c r="U904" s="5">
        <v>0</v>
      </c>
      <c r="V904" s="5">
        <f>VLOOKUP(A904,Planilha1!B:E,4,0)</f>
        <v>11.476197020267191</v>
      </c>
    </row>
    <row r="905" spans="1:22" x14ac:dyDescent="0.3">
      <c r="A905" t="str">
        <f t="shared" si="28"/>
        <v>DOCE DE LEITEITAMBÉ</v>
      </c>
      <c r="B905" t="str">
        <f t="shared" si="29"/>
        <v>5130343DOCE DE LEITEITAMBÉ</v>
      </c>
      <c r="C905" s="5" t="s">
        <v>226</v>
      </c>
      <c r="D905" s="5" t="s">
        <v>227</v>
      </c>
      <c r="E905" s="5" t="s">
        <v>703</v>
      </c>
      <c r="F905" s="5">
        <v>5130343</v>
      </c>
      <c r="G905" s="5" t="s">
        <v>712</v>
      </c>
      <c r="H905" s="5" t="s">
        <v>30</v>
      </c>
      <c r="I905" s="5" t="s">
        <v>27</v>
      </c>
      <c r="J905" s="5" t="s">
        <v>46</v>
      </c>
      <c r="K905" s="6">
        <v>0</v>
      </c>
      <c r="L905" s="7">
        <v>440</v>
      </c>
      <c r="M905" s="8">
        <v>493.33333333333331</v>
      </c>
      <c r="N905" s="8">
        <v>513.33333333333337</v>
      </c>
      <c r="O905" s="8">
        <v>397.02268701068641</v>
      </c>
      <c r="P905" s="8">
        <v>0</v>
      </c>
      <c r="Q905" s="8">
        <v>0</v>
      </c>
      <c r="R905" s="8">
        <v>0</v>
      </c>
      <c r="S905" s="8">
        <v>1080</v>
      </c>
      <c r="T905" s="5">
        <v>1000</v>
      </c>
      <c r="U905" s="5">
        <v>580</v>
      </c>
      <c r="V905" s="5">
        <f>VLOOKUP(A905,Planilha1!B:E,4,0)</f>
        <v>5.8210743907543439</v>
      </c>
    </row>
    <row r="906" spans="1:22" x14ac:dyDescent="0.3">
      <c r="A906" t="str">
        <f t="shared" si="28"/>
        <v>LEITE CONDENSADOITAMBÉ</v>
      </c>
      <c r="B906" t="str">
        <f t="shared" si="29"/>
        <v>5149985LEITE CONDENSADOITAMBÉ</v>
      </c>
      <c r="C906" s="5" t="s">
        <v>226</v>
      </c>
      <c r="D906" s="5" t="s">
        <v>227</v>
      </c>
      <c r="E906" s="5" t="s">
        <v>703</v>
      </c>
      <c r="F906" s="5">
        <v>5149985</v>
      </c>
      <c r="G906" s="5" t="s">
        <v>713</v>
      </c>
      <c r="H906" s="5" t="s">
        <v>30</v>
      </c>
      <c r="I906" s="5" t="s">
        <v>27</v>
      </c>
      <c r="J906" s="5" t="s">
        <v>33</v>
      </c>
      <c r="K906" s="6">
        <v>0</v>
      </c>
      <c r="L906" s="7">
        <v>11800</v>
      </c>
      <c r="M906" s="8">
        <v>5446.666666666667</v>
      </c>
      <c r="N906" s="8">
        <v>6513.3333333333339</v>
      </c>
      <c r="O906" s="8">
        <v>6494.8830921043418</v>
      </c>
      <c r="P906" s="8">
        <v>0</v>
      </c>
      <c r="Q906" s="8">
        <v>0</v>
      </c>
      <c r="R906" s="8">
        <v>0</v>
      </c>
      <c r="S906" s="8">
        <v>6340</v>
      </c>
      <c r="T906" s="5">
        <v>9100</v>
      </c>
      <c r="U906" s="5">
        <v>0</v>
      </c>
      <c r="V906" s="5">
        <f>VLOOKUP(A906,Planilha1!B:E,4,0)</f>
        <v>1.4766792698630664</v>
      </c>
    </row>
    <row r="907" spans="1:22" x14ac:dyDescent="0.3">
      <c r="A907" t="str">
        <f t="shared" si="28"/>
        <v>DOCE DE LEITEITAMBÉ</v>
      </c>
      <c r="B907" t="str">
        <f t="shared" si="29"/>
        <v>5149985DOCE DE LEITEITAMBÉ</v>
      </c>
      <c r="C907" s="5" t="s">
        <v>226</v>
      </c>
      <c r="D907" s="5" t="s">
        <v>227</v>
      </c>
      <c r="E907" s="5" t="s">
        <v>703</v>
      </c>
      <c r="F907" s="5">
        <v>5149985</v>
      </c>
      <c r="G907" s="5" t="s">
        <v>713</v>
      </c>
      <c r="H907" s="5" t="s">
        <v>30</v>
      </c>
      <c r="I907" s="5" t="s">
        <v>27</v>
      </c>
      <c r="J907" s="5" t="s">
        <v>46</v>
      </c>
      <c r="K907" s="6">
        <v>0</v>
      </c>
      <c r="L907" s="7">
        <v>3600</v>
      </c>
      <c r="M907" s="8">
        <v>940</v>
      </c>
      <c r="N907" s="8">
        <v>380</v>
      </c>
      <c r="O907" s="8">
        <v>241.01377221555521</v>
      </c>
      <c r="P907" s="8">
        <v>0</v>
      </c>
      <c r="Q907" s="8">
        <v>1140</v>
      </c>
      <c r="R907" s="8">
        <v>0</v>
      </c>
      <c r="S907" s="8">
        <v>0</v>
      </c>
      <c r="T907" s="5">
        <v>1140</v>
      </c>
      <c r="U907" s="5">
        <v>0</v>
      </c>
      <c r="V907" s="5">
        <f>VLOOKUP(A907,Planilha1!B:E,4,0)</f>
        <v>5.8210743907543439</v>
      </c>
    </row>
    <row r="908" spans="1:22" x14ac:dyDescent="0.3">
      <c r="A908" t="str">
        <f t="shared" si="28"/>
        <v>LEITE CONDENSADOITAMBÉ</v>
      </c>
      <c r="B908" t="str">
        <f t="shared" si="29"/>
        <v>5150495LEITE CONDENSADOITAMBÉ</v>
      </c>
      <c r="C908" s="5" t="s">
        <v>226</v>
      </c>
      <c r="D908" s="5" t="s">
        <v>227</v>
      </c>
      <c r="E908" s="5" t="s">
        <v>703</v>
      </c>
      <c r="F908" s="5">
        <v>5150495</v>
      </c>
      <c r="G908" s="5" t="s">
        <v>714</v>
      </c>
      <c r="H908" s="5" t="s">
        <v>30</v>
      </c>
      <c r="I908" s="5" t="s">
        <v>27</v>
      </c>
      <c r="J908" s="5" t="s">
        <v>33</v>
      </c>
      <c r="K908" s="6">
        <v>0</v>
      </c>
      <c r="L908" s="7">
        <v>0</v>
      </c>
      <c r="M908" s="8">
        <v>614.40000000000009</v>
      </c>
      <c r="N908" s="8">
        <v>333.33333333333331</v>
      </c>
      <c r="O908" s="8">
        <v>1070.9807223469979</v>
      </c>
      <c r="P908" s="8">
        <v>0</v>
      </c>
      <c r="Q908" s="8">
        <v>0</v>
      </c>
      <c r="R908" s="8">
        <v>0</v>
      </c>
      <c r="S908" s="8">
        <v>0</v>
      </c>
      <c r="T908" s="5">
        <v>0</v>
      </c>
      <c r="U908" s="5">
        <v>0</v>
      </c>
      <c r="V908" s="5">
        <f>VLOOKUP(A908,Planilha1!B:E,4,0)</f>
        <v>1.4766792698630664</v>
      </c>
    </row>
    <row r="909" spans="1:22" x14ac:dyDescent="0.3">
      <c r="A909" t="str">
        <f t="shared" si="28"/>
        <v>CREME UHTITAMBÉ</v>
      </c>
      <c r="B909" t="str">
        <f t="shared" si="29"/>
        <v>5150495CREME UHTITAMBÉ</v>
      </c>
      <c r="C909" s="5" t="s">
        <v>226</v>
      </c>
      <c r="D909" s="5" t="s">
        <v>227</v>
      </c>
      <c r="E909" s="5" t="s">
        <v>703</v>
      </c>
      <c r="F909" s="5">
        <v>5150495</v>
      </c>
      <c r="G909" s="5" t="s">
        <v>714</v>
      </c>
      <c r="H909" s="5" t="s">
        <v>30</v>
      </c>
      <c r="I909" s="5" t="s">
        <v>27</v>
      </c>
      <c r="J909" s="5" t="s">
        <v>34</v>
      </c>
      <c r="K909" s="6">
        <v>0</v>
      </c>
      <c r="L909" s="7">
        <v>0</v>
      </c>
      <c r="M909" s="8">
        <v>240</v>
      </c>
      <c r="N909" s="8">
        <v>0</v>
      </c>
      <c r="O909" s="8">
        <v>863.96640130661604</v>
      </c>
      <c r="P909" s="8">
        <v>0</v>
      </c>
      <c r="Q909" s="8">
        <v>0</v>
      </c>
      <c r="R909" s="8">
        <v>0</v>
      </c>
      <c r="S909" s="8">
        <v>0</v>
      </c>
      <c r="T909" s="5">
        <v>0</v>
      </c>
      <c r="U909" s="5">
        <v>0</v>
      </c>
      <c r="V909" s="5">
        <f>VLOOKUP(A909,Planilha1!B:E,4,0)</f>
        <v>1.2362540170747773</v>
      </c>
    </row>
    <row r="910" spans="1:22" x14ac:dyDescent="0.3">
      <c r="A910" t="str">
        <f t="shared" si="28"/>
        <v>DOCE DE LEITEITAMBÉ</v>
      </c>
      <c r="B910" t="str">
        <f t="shared" si="29"/>
        <v>5150495DOCE DE LEITEITAMBÉ</v>
      </c>
      <c r="C910" s="5" t="s">
        <v>226</v>
      </c>
      <c r="D910" s="5" t="s">
        <v>227</v>
      </c>
      <c r="E910" s="5" t="s">
        <v>703</v>
      </c>
      <c r="F910" s="5">
        <v>5150495</v>
      </c>
      <c r="G910" s="5" t="s">
        <v>714</v>
      </c>
      <c r="H910" s="5" t="s">
        <v>30</v>
      </c>
      <c r="I910" s="5" t="s">
        <v>27</v>
      </c>
      <c r="J910" s="5" t="s">
        <v>46</v>
      </c>
      <c r="K910" s="6">
        <v>0</v>
      </c>
      <c r="L910" s="7">
        <v>2000</v>
      </c>
      <c r="M910" s="8">
        <v>2213.333333333333</v>
      </c>
      <c r="N910" s="8">
        <v>2593.3333333333335</v>
      </c>
      <c r="O910" s="8">
        <v>2018.115320875479</v>
      </c>
      <c r="P910" s="8">
        <v>0</v>
      </c>
      <c r="Q910" s="8">
        <v>0</v>
      </c>
      <c r="R910" s="8">
        <v>0</v>
      </c>
      <c r="S910" s="8">
        <v>2000</v>
      </c>
      <c r="T910" s="5">
        <v>2000</v>
      </c>
      <c r="U910" s="5">
        <v>2000</v>
      </c>
      <c r="V910" s="5">
        <f>VLOOKUP(A910,Planilha1!B:E,4,0)</f>
        <v>5.8210743907543439</v>
      </c>
    </row>
    <row r="911" spans="1:22" x14ac:dyDescent="0.3">
      <c r="A911" t="str">
        <f t="shared" si="28"/>
        <v>BLISTERITAMBÉ</v>
      </c>
      <c r="B911" t="str">
        <f t="shared" si="29"/>
        <v>5159289BLISTERITAMBÉ</v>
      </c>
      <c r="C911" s="5" t="s">
        <v>226</v>
      </c>
      <c r="D911" s="5" t="s">
        <v>227</v>
      </c>
      <c r="E911" s="5" t="s">
        <v>703</v>
      </c>
      <c r="F911" s="5">
        <v>5159289</v>
      </c>
      <c r="G911" s="5" t="s">
        <v>715</v>
      </c>
      <c r="H911" s="5" t="s">
        <v>30</v>
      </c>
      <c r="I911" s="5" t="s">
        <v>27</v>
      </c>
      <c r="J911" s="5" t="s">
        <v>199</v>
      </c>
      <c r="K911" s="6">
        <v>0</v>
      </c>
      <c r="L911" s="7">
        <v>0</v>
      </c>
      <c r="M911" s="8">
        <v>0.96</v>
      </c>
      <c r="N911" s="8">
        <v>0</v>
      </c>
      <c r="O911" s="8">
        <v>81.011573280296261</v>
      </c>
      <c r="P911" s="8">
        <v>0</v>
      </c>
      <c r="Q911" s="8">
        <v>0</v>
      </c>
      <c r="R911" s="8">
        <v>0</v>
      </c>
      <c r="S911" s="8">
        <v>0</v>
      </c>
      <c r="T911" s="5">
        <v>0</v>
      </c>
      <c r="U911" s="5">
        <v>0</v>
      </c>
      <c r="V911" s="5">
        <f>VLOOKUP(A911,Planilha1!B:E,4,0)</f>
        <v>10.339882680976428</v>
      </c>
    </row>
    <row r="912" spans="1:22" x14ac:dyDescent="0.3">
      <c r="A912" t="str">
        <f t="shared" si="28"/>
        <v>LEITE CONDENSADOITAMBÉ</v>
      </c>
      <c r="B912" t="str">
        <f t="shared" si="29"/>
        <v>5159289LEITE CONDENSADOITAMBÉ</v>
      </c>
      <c r="C912" s="5" t="s">
        <v>226</v>
      </c>
      <c r="D912" s="5" t="s">
        <v>227</v>
      </c>
      <c r="E912" s="5" t="s">
        <v>703</v>
      </c>
      <c r="F912" s="5">
        <v>5159289</v>
      </c>
      <c r="G912" s="5" t="s">
        <v>715</v>
      </c>
      <c r="H912" s="5" t="s">
        <v>30</v>
      </c>
      <c r="I912" s="5" t="s">
        <v>27</v>
      </c>
      <c r="J912" s="5" t="s">
        <v>33</v>
      </c>
      <c r="K912" s="6">
        <v>0</v>
      </c>
      <c r="L912" s="7">
        <v>677.96</v>
      </c>
      <c r="M912" s="8">
        <v>273.37416666666661</v>
      </c>
      <c r="N912" s="8">
        <v>150</v>
      </c>
      <c r="O912" s="8">
        <v>398.9928181292737</v>
      </c>
      <c r="P912" s="8">
        <v>0</v>
      </c>
      <c r="Q912" s="8">
        <v>0</v>
      </c>
      <c r="R912" s="8">
        <v>0</v>
      </c>
      <c r="S912" s="8">
        <v>146.36000000000001</v>
      </c>
      <c r="T912" s="5">
        <v>146.36000000000001</v>
      </c>
      <c r="U912" s="5">
        <v>146.36000000000001</v>
      </c>
      <c r="V912" s="5">
        <f>VLOOKUP(A912,Planilha1!B:E,4,0)</f>
        <v>1.4766792698630664</v>
      </c>
    </row>
    <row r="913" spans="1:22" x14ac:dyDescent="0.3">
      <c r="A913" t="str">
        <f t="shared" si="28"/>
        <v>CREME UHTITAMBÉ</v>
      </c>
      <c r="B913" t="str">
        <f t="shared" si="29"/>
        <v>5159289CREME UHTITAMBÉ</v>
      </c>
      <c r="C913" s="5" t="s">
        <v>226</v>
      </c>
      <c r="D913" s="5" t="s">
        <v>227</v>
      </c>
      <c r="E913" s="5" t="s">
        <v>703</v>
      </c>
      <c r="F913" s="5">
        <v>5159289</v>
      </c>
      <c r="G913" s="5" t="s">
        <v>715</v>
      </c>
      <c r="H913" s="5" t="s">
        <v>30</v>
      </c>
      <c r="I913" s="5" t="s">
        <v>27</v>
      </c>
      <c r="J913" s="5" t="s">
        <v>34</v>
      </c>
      <c r="K913" s="6">
        <v>0</v>
      </c>
      <c r="L913" s="7">
        <v>52.56</v>
      </c>
      <c r="M913" s="8">
        <v>153.85999999999999</v>
      </c>
      <c r="N913" s="8">
        <v>194.66666666666669</v>
      </c>
      <c r="O913" s="8">
        <v>128.99498352841835</v>
      </c>
      <c r="P913" s="8">
        <v>0</v>
      </c>
      <c r="Q913" s="8">
        <v>0</v>
      </c>
      <c r="R913" s="8">
        <v>0</v>
      </c>
      <c r="S913" s="8">
        <v>256.2</v>
      </c>
      <c r="T913" s="5">
        <v>256.2</v>
      </c>
      <c r="U913" s="5">
        <v>256.2</v>
      </c>
      <c r="V913" s="5">
        <f>VLOOKUP(A913,Planilha1!B:E,4,0)</f>
        <v>1.2362540170747773</v>
      </c>
    </row>
    <row r="914" spans="1:22" x14ac:dyDescent="0.3">
      <c r="A914" t="str">
        <f t="shared" si="28"/>
        <v>DOCE DE LEITEITAMBÉ</v>
      </c>
      <c r="B914" t="str">
        <f t="shared" si="29"/>
        <v>5159289DOCE DE LEITEITAMBÉ</v>
      </c>
      <c r="C914" s="5" t="s">
        <v>226</v>
      </c>
      <c r="D914" s="5" t="s">
        <v>227</v>
      </c>
      <c r="E914" s="5" t="s">
        <v>703</v>
      </c>
      <c r="F914" s="5">
        <v>5159289</v>
      </c>
      <c r="G914" s="5" t="s">
        <v>715</v>
      </c>
      <c r="H914" s="5" t="s">
        <v>30</v>
      </c>
      <c r="I914" s="5" t="s">
        <v>27</v>
      </c>
      <c r="J914" s="5" t="s">
        <v>46</v>
      </c>
      <c r="K914" s="6">
        <v>0</v>
      </c>
      <c r="L914" s="7">
        <v>519.96</v>
      </c>
      <c r="M914" s="8">
        <v>361.54666666666662</v>
      </c>
      <c r="N914" s="8">
        <v>413.33333333333331</v>
      </c>
      <c r="O914" s="8">
        <v>432.0246871249787</v>
      </c>
      <c r="P914" s="8">
        <v>0</v>
      </c>
      <c r="Q914" s="8">
        <v>0</v>
      </c>
      <c r="R914" s="8">
        <v>0</v>
      </c>
      <c r="S914" s="8">
        <v>99.24</v>
      </c>
      <c r="T914" s="5">
        <v>99.24</v>
      </c>
      <c r="U914" s="5">
        <v>99.24</v>
      </c>
      <c r="V914" s="5">
        <f>VLOOKUP(A914,Planilha1!B:E,4,0)</f>
        <v>5.8210743907543439</v>
      </c>
    </row>
    <row r="915" spans="1:22" x14ac:dyDescent="0.3">
      <c r="A915" t="str">
        <f t="shared" si="28"/>
        <v>LEITE CONDENSADOITAMBÉ</v>
      </c>
      <c r="B915" t="str">
        <f t="shared" si="29"/>
        <v>5164717LEITE CONDENSADOITAMBÉ</v>
      </c>
      <c r="C915" s="5" t="s">
        <v>226</v>
      </c>
      <c r="D915" s="5" t="s">
        <v>227</v>
      </c>
      <c r="E915" s="5" t="s">
        <v>703</v>
      </c>
      <c r="F915" s="5">
        <v>5164717</v>
      </c>
      <c r="G915" s="5" t="s">
        <v>716</v>
      </c>
      <c r="H915" s="5" t="s">
        <v>30</v>
      </c>
      <c r="I915" s="5" t="s">
        <v>27</v>
      </c>
      <c r="J915" s="5" t="s">
        <v>33</v>
      </c>
      <c r="K915" s="6">
        <v>0</v>
      </c>
      <c r="L915" s="7">
        <v>7360</v>
      </c>
      <c r="M915" s="8">
        <v>2709.166666666667</v>
      </c>
      <c r="N915" s="8">
        <v>4418.333333333333</v>
      </c>
      <c r="O915" s="8">
        <v>2973.9464689635583</v>
      </c>
      <c r="P915" s="8">
        <v>0</v>
      </c>
      <c r="Q915" s="8">
        <v>0</v>
      </c>
      <c r="R915" s="8">
        <v>0</v>
      </c>
      <c r="S915" s="8">
        <v>900</v>
      </c>
      <c r="T915" s="5">
        <v>3500</v>
      </c>
      <c r="U915" s="5">
        <v>0</v>
      </c>
      <c r="V915" s="5">
        <f>VLOOKUP(A915,Planilha1!B:E,4,0)</f>
        <v>1.4766792698630664</v>
      </c>
    </row>
    <row r="916" spans="1:22" x14ac:dyDescent="0.3">
      <c r="A916" t="str">
        <f t="shared" si="28"/>
        <v>CREME UHTITAMBÉ</v>
      </c>
      <c r="B916" t="str">
        <f t="shared" si="29"/>
        <v>5164717CREME UHTITAMBÉ</v>
      </c>
      <c r="C916" s="5" t="s">
        <v>226</v>
      </c>
      <c r="D916" s="5" t="s">
        <v>227</v>
      </c>
      <c r="E916" s="5" t="s">
        <v>703</v>
      </c>
      <c r="F916" s="5">
        <v>5164717</v>
      </c>
      <c r="G916" s="5" t="s">
        <v>716</v>
      </c>
      <c r="H916" s="5" t="s">
        <v>30</v>
      </c>
      <c r="I916" s="5" t="s">
        <v>27</v>
      </c>
      <c r="J916" s="5" t="s">
        <v>34</v>
      </c>
      <c r="K916" s="6">
        <v>0</v>
      </c>
      <c r="L916" s="7">
        <v>193.92000000000002</v>
      </c>
      <c r="M916" s="8">
        <v>191.9</v>
      </c>
      <c r="N916" s="8">
        <v>242.33333333333334</v>
      </c>
      <c r="O916" s="8">
        <v>53.997900081663502</v>
      </c>
      <c r="P916" s="8">
        <v>0</v>
      </c>
      <c r="Q916" s="8">
        <v>0</v>
      </c>
      <c r="R916" s="8">
        <v>0</v>
      </c>
      <c r="S916" s="8">
        <v>0</v>
      </c>
      <c r="T916" s="5">
        <v>182</v>
      </c>
      <c r="U916" s="5">
        <v>0</v>
      </c>
      <c r="V916" s="5">
        <f>VLOOKUP(A916,Planilha1!B:E,4,0)</f>
        <v>1.2362540170747773</v>
      </c>
    </row>
    <row r="917" spans="1:22" x14ac:dyDescent="0.3">
      <c r="A917" t="str">
        <f t="shared" si="28"/>
        <v>DOCE DE LEITEITAMBÉ</v>
      </c>
      <c r="B917" t="str">
        <f t="shared" si="29"/>
        <v>5164717DOCE DE LEITEITAMBÉ</v>
      </c>
      <c r="C917" s="5" t="s">
        <v>226</v>
      </c>
      <c r="D917" s="5" t="s">
        <v>227</v>
      </c>
      <c r="E917" s="5" t="s">
        <v>703</v>
      </c>
      <c r="F917" s="5">
        <v>5164717</v>
      </c>
      <c r="G917" s="5" t="s">
        <v>716</v>
      </c>
      <c r="H917" s="5" t="s">
        <v>30</v>
      </c>
      <c r="I917" s="5" t="s">
        <v>27</v>
      </c>
      <c r="J917" s="5" t="s">
        <v>46</v>
      </c>
      <c r="K917" s="6">
        <v>0</v>
      </c>
      <c r="L917" s="7">
        <v>0</v>
      </c>
      <c r="M917" s="8">
        <v>60</v>
      </c>
      <c r="N917" s="8">
        <v>40</v>
      </c>
      <c r="O917" s="8">
        <v>43.002457283273337</v>
      </c>
      <c r="P917" s="8">
        <v>0</v>
      </c>
      <c r="Q917" s="8">
        <v>0</v>
      </c>
      <c r="R917" s="8">
        <v>0</v>
      </c>
      <c r="S917" s="8">
        <v>0</v>
      </c>
      <c r="T917" s="5">
        <v>40</v>
      </c>
      <c r="U917" s="5">
        <v>0</v>
      </c>
      <c r="V917" s="5">
        <f>VLOOKUP(A917,Planilha1!B:E,4,0)</f>
        <v>5.8210743907543439</v>
      </c>
    </row>
    <row r="918" spans="1:22" x14ac:dyDescent="0.3">
      <c r="A918" t="str">
        <f t="shared" si="28"/>
        <v>COMPOSTOITAMBÉ</v>
      </c>
      <c r="B918" t="str">
        <f t="shared" si="29"/>
        <v>5172699COMPOSTOITAMBÉ</v>
      </c>
      <c r="C918" s="5" t="s">
        <v>226</v>
      </c>
      <c r="D918" s="5" t="s">
        <v>227</v>
      </c>
      <c r="E918" s="5" t="s">
        <v>703</v>
      </c>
      <c r="F918" s="5">
        <v>5172699</v>
      </c>
      <c r="G918" s="5" t="s">
        <v>717</v>
      </c>
      <c r="H918" s="5" t="s">
        <v>30</v>
      </c>
      <c r="I918" s="5" t="s">
        <v>27</v>
      </c>
      <c r="J918" s="5" t="s">
        <v>26</v>
      </c>
      <c r="K918" s="6">
        <v>0</v>
      </c>
      <c r="L918" s="7">
        <v>300</v>
      </c>
      <c r="M918" s="8">
        <v>50</v>
      </c>
      <c r="N918" s="8">
        <v>0</v>
      </c>
      <c r="O918" s="8">
        <v>222.01036048348925</v>
      </c>
      <c r="P918" s="8">
        <v>0</v>
      </c>
      <c r="Q918" s="8">
        <v>0</v>
      </c>
      <c r="R918" s="8">
        <v>0</v>
      </c>
      <c r="S918" s="8">
        <v>0</v>
      </c>
      <c r="T918" s="5">
        <v>0</v>
      </c>
      <c r="U918" s="5">
        <v>0</v>
      </c>
      <c r="V918" s="5">
        <f>VLOOKUP(A918,Planilha1!B:E,4,0)</f>
        <v>0.15618217875936719</v>
      </c>
    </row>
    <row r="919" spans="1:22" x14ac:dyDescent="0.3">
      <c r="A919" t="str">
        <f t="shared" si="28"/>
        <v>LEITE CONDENSADOITAMBÉ</v>
      </c>
      <c r="B919" t="str">
        <f t="shared" si="29"/>
        <v>5172699LEITE CONDENSADOITAMBÉ</v>
      </c>
      <c r="C919" s="5" t="s">
        <v>226</v>
      </c>
      <c r="D919" s="5" t="s">
        <v>227</v>
      </c>
      <c r="E919" s="5" t="s">
        <v>703</v>
      </c>
      <c r="F919" s="5">
        <v>5172699</v>
      </c>
      <c r="G919" s="5" t="s">
        <v>717</v>
      </c>
      <c r="H919" s="5" t="s">
        <v>30</v>
      </c>
      <c r="I919" s="5" t="s">
        <v>27</v>
      </c>
      <c r="J919" s="5" t="s">
        <v>33</v>
      </c>
      <c r="K919" s="6">
        <v>0</v>
      </c>
      <c r="L919" s="7">
        <v>250</v>
      </c>
      <c r="M919" s="8">
        <v>453.33333333333331</v>
      </c>
      <c r="N919" s="8">
        <v>606.66666666666663</v>
      </c>
      <c r="O919" s="8">
        <v>136.99753404438721</v>
      </c>
      <c r="P919" s="8">
        <v>0</v>
      </c>
      <c r="Q919" s="8">
        <v>0</v>
      </c>
      <c r="R919" s="8">
        <v>0</v>
      </c>
      <c r="S919" s="8">
        <v>0</v>
      </c>
      <c r="T919" s="5">
        <v>0</v>
      </c>
      <c r="U919" s="5">
        <v>0</v>
      </c>
      <c r="V919" s="5">
        <f>VLOOKUP(A919,Planilha1!B:E,4,0)</f>
        <v>1.4766792698630664</v>
      </c>
    </row>
    <row r="920" spans="1:22" x14ac:dyDescent="0.3">
      <c r="A920" t="str">
        <f t="shared" si="28"/>
        <v>BLISTERITAMBÉ</v>
      </c>
      <c r="B920" t="str">
        <f t="shared" si="29"/>
        <v>5196867BLISTERITAMBÉ</v>
      </c>
      <c r="C920" s="5" t="s">
        <v>226</v>
      </c>
      <c r="D920" s="5" t="s">
        <v>227</v>
      </c>
      <c r="E920" s="5" t="s">
        <v>703</v>
      </c>
      <c r="F920" s="5">
        <v>5196867</v>
      </c>
      <c r="G920" s="5" t="s">
        <v>718</v>
      </c>
      <c r="H920" s="5" t="s">
        <v>30</v>
      </c>
      <c r="I920" s="5" t="s">
        <v>27</v>
      </c>
      <c r="J920" s="5" t="s">
        <v>199</v>
      </c>
      <c r="K920" s="6">
        <v>0</v>
      </c>
      <c r="L920" s="7">
        <v>0</v>
      </c>
      <c r="M920" s="8">
        <v>1.92</v>
      </c>
      <c r="N920" s="8">
        <v>0</v>
      </c>
      <c r="O920" s="8">
        <v>60.008572800219454</v>
      </c>
      <c r="P920" s="8">
        <v>0</v>
      </c>
      <c r="Q920" s="8">
        <v>0</v>
      </c>
      <c r="R920" s="8">
        <v>0</v>
      </c>
      <c r="S920" s="8">
        <v>0</v>
      </c>
      <c r="T920" s="5">
        <v>0</v>
      </c>
      <c r="U920" s="5">
        <v>0</v>
      </c>
      <c r="V920" s="5">
        <f>VLOOKUP(A920,Planilha1!B:E,4,0)</f>
        <v>10.339882680976428</v>
      </c>
    </row>
    <row r="921" spans="1:22" x14ac:dyDescent="0.3">
      <c r="A921" t="str">
        <f t="shared" si="28"/>
        <v>LEITE CONDENSADOITAMBÉ</v>
      </c>
      <c r="B921" t="str">
        <f t="shared" si="29"/>
        <v>5196867LEITE CONDENSADOITAMBÉ</v>
      </c>
      <c r="C921" s="5" t="s">
        <v>226</v>
      </c>
      <c r="D921" s="5" t="s">
        <v>227</v>
      </c>
      <c r="E921" s="5" t="s">
        <v>703</v>
      </c>
      <c r="F921" s="5">
        <v>5196867</v>
      </c>
      <c r="G921" s="5" t="s">
        <v>718</v>
      </c>
      <c r="H921" s="5" t="s">
        <v>30</v>
      </c>
      <c r="I921" s="5" t="s">
        <v>27</v>
      </c>
      <c r="J921" s="5" t="s">
        <v>33</v>
      </c>
      <c r="K921" s="6">
        <v>0</v>
      </c>
      <c r="L921" s="7">
        <v>503.1</v>
      </c>
      <c r="M921" s="8">
        <v>75.960833333333341</v>
      </c>
      <c r="N921" s="8">
        <v>0</v>
      </c>
      <c r="O921" s="8">
        <v>124.99775004049928</v>
      </c>
      <c r="P921" s="8">
        <v>0</v>
      </c>
      <c r="Q921" s="8">
        <v>0</v>
      </c>
      <c r="R921" s="8">
        <v>0</v>
      </c>
      <c r="S921" s="8">
        <v>0</v>
      </c>
      <c r="T921" s="5">
        <v>0</v>
      </c>
      <c r="U921" s="5">
        <v>0</v>
      </c>
      <c r="V921" s="5">
        <f>VLOOKUP(A921,Planilha1!B:E,4,0)</f>
        <v>1.4766792698630664</v>
      </c>
    </row>
    <row r="922" spans="1:22" x14ac:dyDescent="0.3">
      <c r="A922" t="str">
        <f t="shared" si="28"/>
        <v>CREME UHTITAMBÉ</v>
      </c>
      <c r="B922" t="str">
        <f t="shared" si="29"/>
        <v>5196867CREME UHTITAMBÉ</v>
      </c>
      <c r="C922" s="5" t="s">
        <v>226</v>
      </c>
      <c r="D922" s="5" t="s">
        <v>227</v>
      </c>
      <c r="E922" s="5" t="s">
        <v>703</v>
      </c>
      <c r="F922" s="5">
        <v>5196867</v>
      </c>
      <c r="G922" s="5" t="s">
        <v>718</v>
      </c>
      <c r="H922" s="5" t="s">
        <v>30</v>
      </c>
      <c r="I922" s="5" t="s">
        <v>27</v>
      </c>
      <c r="J922" s="5" t="s">
        <v>34</v>
      </c>
      <c r="K922" s="6">
        <v>0</v>
      </c>
      <c r="L922" s="7">
        <v>60.6</v>
      </c>
      <c r="M922" s="8">
        <v>10.1</v>
      </c>
      <c r="N922" s="8">
        <v>0</v>
      </c>
      <c r="O922" s="8">
        <v>17.999300027221167</v>
      </c>
      <c r="P922" s="8">
        <v>0</v>
      </c>
      <c r="Q922" s="8">
        <v>0</v>
      </c>
      <c r="R922" s="8">
        <v>0</v>
      </c>
      <c r="S922" s="8">
        <v>0</v>
      </c>
      <c r="T922" s="5">
        <v>0</v>
      </c>
      <c r="U922" s="5">
        <v>0</v>
      </c>
      <c r="V922" s="5">
        <f>VLOOKUP(A922,Planilha1!B:E,4,0)</f>
        <v>1.2362540170747773</v>
      </c>
    </row>
    <row r="923" spans="1:22" x14ac:dyDescent="0.3">
      <c r="A923" t="str">
        <f t="shared" si="28"/>
        <v>DOCE DE LEITEITAMBÉ</v>
      </c>
      <c r="B923" t="str">
        <f t="shared" si="29"/>
        <v>5196867DOCE DE LEITEITAMBÉ</v>
      </c>
      <c r="C923" s="5" t="s">
        <v>226</v>
      </c>
      <c r="D923" s="5" t="s">
        <v>227</v>
      </c>
      <c r="E923" s="5" t="s">
        <v>703</v>
      </c>
      <c r="F923" s="5">
        <v>5196867</v>
      </c>
      <c r="G923" s="5" t="s">
        <v>718</v>
      </c>
      <c r="H923" s="5" t="s">
        <v>30</v>
      </c>
      <c r="I923" s="5" t="s">
        <v>27</v>
      </c>
      <c r="J923" s="5" t="s">
        <v>46</v>
      </c>
      <c r="K923" s="6">
        <v>0</v>
      </c>
      <c r="L923" s="7">
        <v>30</v>
      </c>
      <c r="M923" s="8">
        <v>19.399999999999999</v>
      </c>
      <c r="N923" s="8">
        <v>0</v>
      </c>
      <c r="O923" s="8">
        <v>31.001771529801708</v>
      </c>
      <c r="P923" s="8">
        <v>0</v>
      </c>
      <c r="Q923" s="8">
        <v>0</v>
      </c>
      <c r="R923" s="8">
        <v>0</v>
      </c>
      <c r="S923" s="8">
        <v>0</v>
      </c>
      <c r="T923" s="5">
        <v>0</v>
      </c>
      <c r="U923" s="5">
        <v>0</v>
      </c>
      <c r="V923" s="5">
        <f>VLOOKUP(A923,Planilha1!B:E,4,0)</f>
        <v>5.8210743907543439</v>
      </c>
    </row>
    <row r="924" spans="1:22" x14ac:dyDescent="0.3">
      <c r="A924" t="str">
        <f t="shared" si="28"/>
        <v>BLISTERITAMBÉ</v>
      </c>
      <c r="B924" t="str">
        <f t="shared" si="29"/>
        <v>5216557BLISTERITAMBÉ</v>
      </c>
      <c r="C924" s="5" t="s">
        <v>226</v>
      </c>
      <c r="D924" s="5" t="s">
        <v>227</v>
      </c>
      <c r="E924" s="5" t="s">
        <v>703</v>
      </c>
      <c r="F924" s="5">
        <v>5216557</v>
      </c>
      <c r="G924" s="5" t="s">
        <v>719</v>
      </c>
      <c r="H924" s="5" t="s">
        <v>30</v>
      </c>
      <c r="I924" s="5" t="s">
        <v>27</v>
      </c>
      <c r="J924" s="5" t="s">
        <v>199</v>
      </c>
      <c r="K924" s="6">
        <v>0</v>
      </c>
      <c r="L924" s="7">
        <v>0</v>
      </c>
      <c r="M924" s="8">
        <v>79.040000000000006</v>
      </c>
      <c r="N924" s="8">
        <v>94</v>
      </c>
      <c r="O924" s="8">
        <v>1015.1450232037124</v>
      </c>
      <c r="P924" s="8">
        <v>0</v>
      </c>
      <c r="Q924" s="8">
        <v>0</v>
      </c>
      <c r="R924" s="8">
        <v>0</v>
      </c>
      <c r="S924" s="8">
        <v>50</v>
      </c>
      <c r="T924" s="5">
        <v>50</v>
      </c>
      <c r="U924" s="5">
        <v>50</v>
      </c>
      <c r="V924" s="5">
        <f>VLOOKUP(A924,Planilha1!B:E,4,0)</f>
        <v>10.339882680976428</v>
      </c>
    </row>
    <row r="925" spans="1:22" x14ac:dyDescent="0.3">
      <c r="A925" t="str">
        <f t="shared" si="28"/>
        <v>BLISTERLACTALIS</v>
      </c>
      <c r="B925" t="str">
        <f t="shared" si="29"/>
        <v>5259915BLISTERLACTALIS</v>
      </c>
      <c r="C925" s="5" t="s">
        <v>226</v>
      </c>
      <c r="D925" s="5" t="s">
        <v>227</v>
      </c>
      <c r="E925" s="5" t="s">
        <v>703</v>
      </c>
      <c r="F925" s="5">
        <v>5259915</v>
      </c>
      <c r="G925" s="5" t="s">
        <v>720</v>
      </c>
      <c r="H925" s="5" t="s">
        <v>30</v>
      </c>
      <c r="I925" s="5" t="s">
        <v>22</v>
      </c>
      <c r="J925" s="5" t="s">
        <v>199</v>
      </c>
      <c r="K925" s="6">
        <v>0</v>
      </c>
      <c r="L925" s="7">
        <v>1065.5999999999999</v>
      </c>
      <c r="M925" s="8">
        <v>588.48</v>
      </c>
      <c r="N925" s="8">
        <v>471.20000000000005</v>
      </c>
      <c r="O925" s="8">
        <v>570.86171156898376</v>
      </c>
      <c r="P925" s="8">
        <v>0</v>
      </c>
      <c r="Q925" s="8">
        <v>0</v>
      </c>
      <c r="R925" s="8">
        <v>0</v>
      </c>
      <c r="S925" s="8">
        <v>662</v>
      </c>
      <c r="T925" s="5">
        <v>570</v>
      </c>
      <c r="U925" s="5">
        <v>470</v>
      </c>
      <c r="V925" s="5">
        <f>VLOOKUP(A925,Planilha1!B:E,4,0)</f>
        <v>13.783871706210666</v>
      </c>
    </row>
    <row r="926" spans="1:22" x14ac:dyDescent="0.3">
      <c r="A926" t="str">
        <f t="shared" si="28"/>
        <v>LEITE CONDENSADOITAMBÉ</v>
      </c>
      <c r="B926" t="str">
        <f t="shared" si="29"/>
        <v>5259915LEITE CONDENSADOITAMBÉ</v>
      </c>
      <c r="C926" s="5" t="s">
        <v>226</v>
      </c>
      <c r="D926" s="5" t="s">
        <v>227</v>
      </c>
      <c r="E926" s="5" t="s">
        <v>703</v>
      </c>
      <c r="F926" s="5">
        <v>5259915</v>
      </c>
      <c r="G926" s="5" t="s">
        <v>720</v>
      </c>
      <c r="H926" s="5" t="s">
        <v>30</v>
      </c>
      <c r="I926" s="5" t="s">
        <v>27</v>
      </c>
      <c r="J926" s="5" t="s">
        <v>33</v>
      </c>
      <c r="K926" s="6">
        <v>0</v>
      </c>
      <c r="L926" s="7">
        <v>121.2</v>
      </c>
      <c r="M926" s="8">
        <v>638.58000000000004</v>
      </c>
      <c r="N926" s="8">
        <v>763.33333333333337</v>
      </c>
      <c r="O926" s="8">
        <v>49.999100016199712</v>
      </c>
      <c r="P926" s="8">
        <v>0</v>
      </c>
      <c r="Q926" s="8">
        <v>0</v>
      </c>
      <c r="R926" s="8">
        <v>0</v>
      </c>
      <c r="S926" s="8">
        <v>303</v>
      </c>
      <c r="T926" s="5">
        <v>60</v>
      </c>
      <c r="U926" s="5">
        <v>380</v>
      </c>
      <c r="V926" s="5">
        <f>VLOOKUP(A926,Planilha1!B:E,4,0)</f>
        <v>1.4766792698630664</v>
      </c>
    </row>
    <row r="927" spans="1:22" x14ac:dyDescent="0.3">
      <c r="A927" t="str">
        <f t="shared" si="28"/>
        <v>LEITE CONDENSADOITAMBÉ</v>
      </c>
      <c r="B927" t="str">
        <f t="shared" si="29"/>
        <v>5261089LEITE CONDENSADOITAMBÉ</v>
      </c>
      <c r="C927" s="5" t="s">
        <v>226</v>
      </c>
      <c r="D927" s="5" t="s">
        <v>227</v>
      </c>
      <c r="E927" s="5" t="s">
        <v>703</v>
      </c>
      <c r="F927" s="5">
        <v>5261089</v>
      </c>
      <c r="G927" s="5" t="s">
        <v>721</v>
      </c>
      <c r="H927" s="5" t="s">
        <v>30</v>
      </c>
      <c r="I927" s="5" t="s">
        <v>27</v>
      </c>
      <c r="J927" s="5" t="s">
        <v>33</v>
      </c>
      <c r="K927" s="6">
        <v>0</v>
      </c>
      <c r="L927" s="7">
        <v>900</v>
      </c>
      <c r="M927" s="8">
        <v>1458.3333333333335</v>
      </c>
      <c r="N927" s="8">
        <v>1033.3333333333333</v>
      </c>
      <c r="O927" s="8">
        <v>892.98392628932686</v>
      </c>
      <c r="P927" s="8">
        <v>0</v>
      </c>
      <c r="Q927" s="8">
        <v>300</v>
      </c>
      <c r="R927" s="8">
        <v>0</v>
      </c>
      <c r="S927" s="8">
        <v>200</v>
      </c>
      <c r="T927" s="5">
        <v>1100</v>
      </c>
      <c r="U927" s="5">
        <v>200</v>
      </c>
      <c r="V927" s="5">
        <f>VLOOKUP(A927,Planilha1!B:E,4,0)</f>
        <v>1.4766792698630664</v>
      </c>
    </row>
    <row r="928" spans="1:22" x14ac:dyDescent="0.3">
      <c r="A928" t="str">
        <f t="shared" si="28"/>
        <v>CREME UHTITAMBÉ</v>
      </c>
      <c r="B928" t="str">
        <f t="shared" si="29"/>
        <v>5261089CREME UHTITAMBÉ</v>
      </c>
      <c r="C928" s="5" t="s">
        <v>226</v>
      </c>
      <c r="D928" s="5" t="s">
        <v>227</v>
      </c>
      <c r="E928" s="5" t="s">
        <v>703</v>
      </c>
      <c r="F928" s="5">
        <v>5261089</v>
      </c>
      <c r="G928" s="5" t="s">
        <v>721</v>
      </c>
      <c r="H928" s="5" t="s">
        <v>30</v>
      </c>
      <c r="I928" s="5" t="s">
        <v>27</v>
      </c>
      <c r="J928" s="5" t="s">
        <v>34</v>
      </c>
      <c r="K928" s="6">
        <v>0</v>
      </c>
      <c r="L928" s="7">
        <v>0</v>
      </c>
      <c r="M928" s="8">
        <v>164.4</v>
      </c>
      <c r="N928" s="8">
        <v>110.66666666666667</v>
      </c>
      <c r="O928" s="8">
        <v>114.99552795169079</v>
      </c>
      <c r="P928" s="8">
        <v>0</v>
      </c>
      <c r="Q928" s="8">
        <v>0</v>
      </c>
      <c r="R928" s="8">
        <v>0</v>
      </c>
      <c r="S928" s="8">
        <v>0</v>
      </c>
      <c r="T928" s="5">
        <v>0</v>
      </c>
      <c r="U928" s="5">
        <v>0</v>
      </c>
      <c r="V928" s="5">
        <f>VLOOKUP(A928,Planilha1!B:E,4,0)</f>
        <v>1.2362540170747773</v>
      </c>
    </row>
    <row r="929" spans="1:22" x14ac:dyDescent="0.3">
      <c r="A929" t="str">
        <f t="shared" si="28"/>
        <v>DOCE DE LEITEITAMBÉ</v>
      </c>
      <c r="B929" t="str">
        <f t="shared" si="29"/>
        <v>5261089DOCE DE LEITEITAMBÉ</v>
      </c>
      <c r="C929" s="5" t="s">
        <v>226</v>
      </c>
      <c r="D929" s="5" t="s">
        <v>227</v>
      </c>
      <c r="E929" s="5" t="s">
        <v>703</v>
      </c>
      <c r="F929" s="5">
        <v>5261089</v>
      </c>
      <c r="G929" s="5" t="s">
        <v>721</v>
      </c>
      <c r="H929" s="5" t="s">
        <v>30</v>
      </c>
      <c r="I929" s="5" t="s">
        <v>27</v>
      </c>
      <c r="J929" s="5" t="s">
        <v>46</v>
      </c>
      <c r="K929" s="6">
        <v>0</v>
      </c>
      <c r="L929" s="7">
        <v>0</v>
      </c>
      <c r="M929" s="8">
        <v>252.93333333333334</v>
      </c>
      <c r="N929" s="8">
        <v>312</v>
      </c>
      <c r="O929" s="8">
        <v>123.0070289730842</v>
      </c>
      <c r="P929" s="8">
        <v>0</v>
      </c>
      <c r="Q929" s="8">
        <v>328.8</v>
      </c>
      <c r="R929" s="8">
        <v>0</v>
      </c>
      <c r="S929" s="8">
        <v>189</v>
      </c>
      <c r="T929" s="5">
        <v>329</v>
      </c>
      <c r="U929" s="5">
        <v>189</v>
      </c>
      <c r="V929" s="5">
        <f>VLOOKUP(A929,Planilha1!B:E,4,0)</f>
        <v>5.8210743907543439</v>
      </c>
    </row>
    <row r="930" spans="1:22" x14ac:dyDescent="0.3">
      <c r="A930" t="str">
        <f t="shared" si="28"/>
        <v>LEITE CONDENSADOITAMBÉ</v>
      </c>
      <c r="B930" t="str">
        <f t="shared" si="29"/>
        <v>5261294LEITE CONDENSADOITAMBÉ</v>
      </c>
      <c r="C930" s="5" t="s">
        <v>226</v>
      </c>
      <c r="D930" s="5" t="s">
        <v>227</v>
      </c>
      <c r="E930" s="5" t="s">
        <v>703</v>
      </c>
      <c r="F930" s="5">
        <v>5261294</v>
      </c>
      <c r="G930" s="5" t="s">
        <v>722</v>
      </c>
      <c r="H930" s="5" t="s">
        <v>30</v>
      </c>
      <c r="I930" s="5" t="s">
        <v>27</v>
      </c>
      <c r="J930" s="5" t="s">
        <v>33</v>
      </c>
      <c r="K930" s="6">
        <v>0</v>
      </c>
      <c r="L930" s="7">
        <v>0</v>
      </c>
      <c r="M930" s="8">
        <v>74.13333333333334</v>
      </c>
      <c r="N930" s="8">
        <v>0</v>
      </c>
      <c r="O930" s="8">
        <v>204.9963100664188</v>
      </c>
      <c r="P930" s="8">
        <v>0</v>
      </c>
      <c r="Q930" s="8">
        <v>0</v>
      </c>
      <c r="R930" s="8">
        <v>0</v>
      </c>
      <c r="S930" s="8">
        <v>0</v>
      </c>
      <c r="T930" s="5">
        <v>0</v>
      </c>
      <c r="U930" s="5">
        <v>0</v>
      </c>
      <c r="V930" s="5">
        <f>VLOOKUP(A930,Planilha1!B:E,4,0)</f>
        <v>1.4766792698630664</v>
      </c>
    </row>
    <row r="931" spans="1:22" x14ac:dyDescent="0.3">
      <c r="A931" t="str">
        <f t="shared" si="28"/>
        <v>CREME UHTITAMBÉ</v>
      </c>
      <c r="B931" t="str">
        <f t="shared" si="29"/>
        <v>5261294CREME UHTITAMBÉ</v>
      </c>
      <c r="C931" s="5" t="s">
        <v>226</v>
      </c>
      <c r="D931" s="5" t="s">
        <v>227</v>
      </c>
      <c r="E931" s="5" t="s">
        <v>703</v>
      </c>
      <c r="F931" s="5">
        <v>5261294</v>
      </c>
      <c r="G931" s="5" t="s">
        <v>722</v>
      </c>
      <c r="H931" s="5" t="s">
        <v>30</v>
      </c>
      <c r="I931" s="5" t="s">
        <v>27</v>
      </c>
      <c r="J931" s="5" t="s">
        <v>34</v>
      </c>
      <c r="K931" s="6">
        <v>0</v>
      </c>
      <c r="L931" s="7">
        <v>0</v>
      </c>
      <c r="M931" s="8">
        <v>21</v>
      </c>
      <c r="N931" s="8">
        <v>0</v>
      </c>
      <c r="O931" s="8">
        <v>44.998250068052918</v>
      </c>
      <c r="P931" s="8">
        <v>0</v>
      </c>
      <c r="Q931" s="8">
        <v>0</v>
      </c>
      <c r="R931" s="8">
        <v>0</v>
      </c>
      <c r="S931" s="8">
        <v>0</v>
      </c>
      <c r="T931" s="5">
        <v>0</v>
      </c>
      <c r="U931" s="5">
        <v>0</v>
      </c>
      <c r="V931" s="5">
        <f>VLOOKUP(A931,Planilha1!B:E,4,0)</f>
        <v>1.2362540170747773</v>
      </c>
    </row>
    <row r="932" spans="1:22" x14ac:dyDescent="0.3">
      <c r="A932" t="str">
        <f t="shared" si="28"/>
        <v>DOCE DE LEITEITAMBÉ</v>
      </c>
      <c r="B932" t="str">
        <f t="shared" si="29"/>
        <v>5261294DOCE DE LEITEITAMBÉ</v>
      </c>
      <c r="C932" s="5" t="s">
        <v>226</v>
      </c>
      <c r="D932" s="5" t="s">
        <v>227</v>
      </c>
      <c r="E932" s="5" t="s">
        <v>703</v>
      </c>
      <c r="F932" s="5">
        <v>5261294</v>
      </c>
      <c r="G932" s="5" t="s">
        <v>722</v>
      </c>
      <c r="H932" s="5" t="s">
        <v>30</v>
      </c>
      <c r="I932" s="5" t="s">
        <v>27</v>
      </c>
      <c r="J932" s="5" t="s">
        <v>46</v>
      </c>
      <c r="K932" s="6">
        <v>0</v>
      </c>
      <c r="L932" s="7">
        <v>0</v>
      </c>
      <c r="M932" s="8">
        <v>123.86666666666667</v>
      </c>
      <c r="N932" s="8">
        <v>0</v>
      </c>
      <c r="O932" s="8">
        <v>491.02805874621413</v>
      </c>
      <c r="P932" s="8">
        <v>0</v>
      </c>
      <c r="Q932" s="8">
        <v>0</v>
      </c>
      <c r="R932" s="8">
        <v>0</v>
      </c>
      <c r="S932" s="8">
        <v>0</v>
      </c>
      <c r="T932" s="5">
        <v>0</v>
      </c>
      <c r="U932" s="5">
        <v>0</v>
      </c>
      <c r="V932" s="5">
        <f>VLOOKUP(A932,Planilha1!B:E,4,0)</f>
        <v>5.8210743907543439</v>
      </c>
    </row>
    <row r="933" spans="1:22" x14ac:dyDescent="0.3">
      <c r="A933" t="str">
        <f t="shared" si="28"/>
        <v>PARMESÃOLACTALIS</v>
      </c>
      <c r="B933" t="str">
        <f t="shared" si="29"/>
        <v>5278208PARMESÃOLACTALIS</v>
      </c>
      <c r="C933" s="5" t="s">
        <v>226</v>
      </c>
      <c r="D933" s="5" t="s">
        <v>227</v>
      </c>
      <c r="E933" s="5" t="s">
        <v>703</v>
      </c>
      <c r="F933" s="5">
        <v>5278208</v>
      </c>
      <c r="G933" s="5" t="s">
        <v>723</v>
      </c>
      <c r="H933" s="5" t="s">
        <v>30</v>
      </c>
      <c r="I933" s="5" t="s">
        <v>22</v>
      </c>
      <c r="J933" s="5" t="s">
        <v>195</v>
      </c>
      <c r="K933" s="6">
        <v>0</v>
      </c>
      <c r="L933" s="7">
        <v>0</v>
      </c>
      <c r="M933" s="8">
        <v>37.152833333333334</v>
      </c>
      <c r="N933" s="8">
        <v>74.305666666666667</v>
      </c>
      <c r="O933" s="8">
        <v>370.04684913424671</v>
      </c>
      <c r="P933" s="8">
        <v>0</v>
      </c>
      <c r="Q933" s="8">
        <v>0</v>
      </c>
      <c r="R933" s="8">
        <v>0</v>
      </c>
      <c r="S933" s="8">
        <v>138</v>
      </c>
      <c r="T933" s="5">
        <v>370</v>
      </c>
      <c r="U933" s="5">
        <v>138</v>
      </c>
      <c r="V933" s="5">
        <f>VLOOKUP(A933,Planilha1!B:E,4,0)</f>
        <v>6.310326960724681</v>
      </c>
    </row>
    <row r="934" spans="1:22" x14ac:dyDescent="0.3">
      <c r="A934" t="str">
        <f t="shared" si="28"/>
        <v>LEITE CONDENSADOITAMBÉ</v>
      </c>
      <c r="B934" t="str">
        <f t="shared" si="29"/>
        <v>5302744LEITE CONDENSADOITAMBÉ</v>
      </c>
      <c r="C934" s="5" t="s">
        <v>226</v>
      </c>
      <c r="D934" s="5" t="s">
        <v>227</v>
      </c>
      <c r="E934" s="5" t="s">
        <v>703</v>
      </c>
      <c r="F934" s="5">
        <v>5302744</v>
      </c>
      <c r="G934" s="5" t="s">
        <v>724</v>
      </c>
      <c r="H934" s="5" t="s">
        <v>30</v>
      </c>
      <c r="I934" s="5" t="s">
        <v>27</v>
      </c>
      <c r="J934" s="5" t="s">
        <v>33</v>
      </c>
      <c r="K934" s="6">
        <v>0</v>
      </c>
      <c r="L934" s="7">
        <v>0</v>
      </c>
      <c r="M934" s="8">
        <v>0</v>
      </c>
      <c r="N934" s="8">
        <v>0</v>
      </c>
      <c r="O934" s="8">
        <v>246.99555408002658</v>
      </c>
      <c r="P934" s="8">
        <v>0</v>
      </c>
      <c r="Q934" s="8">
        <v>0</v>
      </c>
      <c r="R934" s="8">
        <v>0</v>
      </c>
      <c r="S934" s="8">
        <v>0</v>
      </c>
      <c r="T934" s="5">
        <v>0</v>
      </c>
      <c r="U934" s="5">
        <v>0</v>
      </c>
      <c r="V934" s="5">
        <f>VLOOKUP(A934,Planilha1!B:E,4,0)</f>
        <v>1.4766792698630664</v>
      </c>
    </row>
    <row r="935" spans="1:22" x14ac:dyDescent="0.3">
      <c r="A935" t="str">
        <f t="shared" si="28"/>
        <v>CREME UHTITAMBÉ</v>
      </c>
      <c r="B935" t="str">
        <f t="shared" si="29"/>
        <v>5302744CREME UHTITAMBÉ</v>
      </c>
      <c r="C935" s="5" t="s">
        <v>226</v>
      </c>
      <c r="D935" s="5" t="s">
        <v>227</v>
      </c>
      <c r="E935" s="5" t="s">
        <v>703</v>
      </c>
      <c r="F935" s="5">
        <v>5302744</v>
      </c>
      <c r="G935" s="5" t="s">
        <v>724</v>
      </c>
      <c r="H935" s="5" t="s">
        <v>30</v>
      </c>
      <c r="I935" s="5" t="s">
        <v>27</v>
      </c>
      <c r="J935" s="5" t="s">
        <v>34</v>
      </c>
      <c r="K935" s="6">
        <v>0</v>
      </c>
      <c r="L935" s="7">
        <v>0</v>
      </c>
      <c r="M935" s="8">
        <v>0</v>
      </c>
      <c r="N935" s="8">
        <v>0</v>
      </c>
      <c r="O935" s="8">
        <v>116.99545017693758</v>
      </c>
      <c r="P935" s="8">
        <v>0</v>
      </c>
      <c r="Q935" s="8">
        <v>0</v>
      </c>
      <c r="R935" s="8">
        <v>0</v>
      </c>
      <c r="S935" s="8">
        <v>0</v>
      </c>
      <c r="T935" s="5">
        <v>0</v>
      </c>
      <c r="U935" s="5">
        <v>0</v>
      </c>
      <c r="V935" s="5">
        <f>VLOOKUP(A935,Planilha1!B:E,4,0)</f>
        <v>1.2362540170747773</v>
      </c>
    </row>
    <row r="936" spans="1:22" x14ac:dyDescent="0.3">
      <c r="A936" t="str">
        <f t="shared" si="28"/>
        <v>LEITE UHTITAMBÉ</v>
      </c>
      <c r="B936" t="str">
        <f t="shared" si="29"/>
        <v>5339674LEITE UHTITAMBÉ</v>
      </c>
      <c r="C936" s="5" t="s">
        <v>226</v>
      </c>
      <c r="D936" s="5" t="s">
        <v>227</v>
      </c>
      <c r="E936" s="5" t="s">
        <v>703</v>
      </c>
      <c r="F936" s="5">
        <v>5339674</v>
      </c>
      <c r="G936" s="5" t="s">
        <v>725</v>
      </c>
      <c r="H936" s="5" t="s">
        <v>30</v>
      </c>
      <c r="I936" s="5" t="s">
        <v>27</v>
      </c>
      <c r="J936" s="5" t="s">
        <v>156</v>
      </c>
      <c r="K936" s="6">
        <v>0</v>
      </c>
      <c r="L936" s="7">
        <v>0</v>
      </c>
      <c r="M936" s="8">
        <v>10</v>
      </c>
      <c r="N936" s="8">
        <v>0</v>
      </c>
      <c r="O936" s="8">
        <v>12.999855557160476</v>
      </c>
      <c r="P936" s="8">
        <v>0</v>
      </c>
      <c r="Q936" s="8">
        <v>0</v>
      </c>
      <c r="R936" s="8">
        <v>0</v>
      </c>
      <c r="S936" s="8">
        <v>0</v>
      </c>
      <c r="T936" s="5">
        <v>0</v>
      </c>
      <c r="U936" s="5">
        <v>0</v>
      </c>
      <c r="V936" s="5">
        <f>VLOOKUP(A936,Planilha1!B:E,4,0)</f>
        <v>-0.14425288609148015</v>
      </c>
    </row>
    <row r="937" spans="1:22" x14ac:dyDescent="0.3">
      <c r="A937" t="str">
        <f t="shared" si="28"/>
        <v>LEITE CONDENSADOITAMBÉ</v>
      </c>
      <c r="B937" t="str">
        <f t="shared" si="29"/>
        <v>5340656LEITE CONDENSADOITAMBÉ</v>
      </c>
      <c r="C937" s="5" t="s">
        <v>226</v>
      </c>
      <c r="D937" s="5" t="s">
        <v>227</v>
      </c>
      <c r="E937" s="5" t="s">
        <v>703</v>
      </c>
      <c r="F937" s="5">
        <v>5340656</v>
      </c>
      <c r="G937" s="5" t="s">
        <v>726</v>
      </c>
      <c r="H937" s="5" t="s">
        <v>30</v>
      </c>
      <c r="I937" s="5" t="s">
        <v>27</v>
      </c>
      <c r="J937" s="5" t="s">
        <v>33</v>
      </c>
      <c r="K937" s="6">
        <v>0</v>
      </c>
      <c r="L937" s="7">
        <v>1089.5999999999999</v>
      </c>
      <c r="M937" s="8">
        <v>431.5333333333333</v>
      </c>
      <c r="N937" s="8">
        <v>125</v>
      </c>
      <c r="O937" s="8">
        <v>189.99658006155889</v>
      </c>
      <c r="P937" s="8">
        <v>0</v>
      </c>
      <c r="Q937" s="8">
        <v>0</v>
      </c>
      <c r="R937" s="8">
        <v>0</v>
      </c>
      <c r="S937" s="8">
        <v>200</v>
      </c>
      <c r="T937" s="5">
        <v>200</v>
      </c>
      <c r="U937" s="5">
        <v>200</v>
      </c>
      <c r="V937" s="5">
        <f>VLOOKUP(A937,Planilha1!B:E,4,0)</f>
        <v>1.4766792698630664</v>
      </c>
    </row>
    <row r="938" spans="1:22" x14ac:dyDescent="0.3">
      <c r="A938" t="str">
        <f t="shared" si="28"/>
        <v>CREME UHTITAMBÉ</v>
      </c>
      <c r="B938" t="str">
        <f t="shared" si="29"/>
        <v>5340656CREME UHTITAMBÉ</v>
      </c>
      <c r="C938" s="5" t="s">
        <v>226</v>
      </c>
      <c r="D938" s="5" t="s">
        <v>227</v>
      </c>
      <c r="E938" s="5" t="s">
        <v>703</v>
      </c>
      <c r="F938" s="5">
        <v>5340656</v>
      </c>
      <c r="G938" s="5" t="s">
        <v>726</v>
      </c>
      <c r="H938" s="5" t="s">
        <v>30</v>
      </c>
      <c r="I938" s="5" t="s">
        <v>27</v>
      </c>
      <c r="J938" s="5" t="s">
        <v>34</v>
      </c>
      <c r="K938" s="6">
        <v>0</v>
      </c>
      <c r="L938" s="7">
        <v>1199.8800000000001</v>
      </c>
      <c r="M938" s="8">
        <v>171.70000000000002</v>
      </c>
      <c r="N938" s="8">
        <v>343.33333333333331</v>
      </c>
      <c r="O938" s="8">
        <v>490.98090629808848</v>
      </c>
      <c r="P938" s="8">
        <v>0</v>
      </c>
      <c r="Q938" s="8">
        <v>0</v>
      </c>
      <c r="R938" s="8">
        <v>0</v>
      </c>
      <c r="S938" s="8">
        <v>1030</v>
      </c>
      <c r="T938" s="5">
        <v>550</v>
      </c>
      <c r="U938" s="5">
        <v>0</v>
      </c>
      <c r="V938" s="5">
        <f>VLOOKUP(A938,Planilha1!B:E,4,0)</f>
        <v>1.2362540170747773</v>
      </c>
    </row>
    <row r="939" spans="1:22" x14ac:dyDescent="0.3">
      <c r="A939" t="str">
        <f t="shared" si="28"/>
        <v>DOCE DE LEITEITAMBÉ</v>
      </c>
      <c r="B939" t="str">
        <f t="shared" si="29"/>
        <v>5340656DOCE DE LEITEITAMBÉ</v>
      </c>
      <c r="C939" s="5" t="s">
        <v>226</v>
      </c>
      <c r="D939" s="5" t="s">
        <v>227</v>
      </c>
      <c r="E939" s="5" t="s">
        <v>703</v>
      </c>
      <c r="F939" s="5">
        <v>5340656</v>
      </c>
      <c r="G939" s="5" t="s">
        <v>726</v>
      </c>
      <c r="H939" s="5" t="s">
        <v>30</v>
      </c>
      <c r="I939" s="5" t="s">
        <v>27</v>
      </c>
      <c r="J939" s="5" t="s">
        <v>46</v>
      </c>
      <c r="K939" s="6">
        <v>0</v>
      </c>
      <c r="L939" s="7">
        <v>0</v>
      </c>
      <c r="M939" s="8">
        <v>173.33333333333334</v>
      </c>
      <c r="N939" s="8">
        <v>180</v>
      </c>
      <c r="O939" s="8">
        <v>123.0070289730842</v>
      </c>
      <c r="P939" s="8">
        <v>0</v>
      </c>
      <c r="Q939" s="8">
        <v>0</v>
      </c>
      <c r="R939" s="8">
        <v>0</v>
      </c>
      <c r="S939" s="8">
        <v>100</v>
      </c>
      <c r="T939" s="5">
        <v>140</v>
      </c>
      <c r="U939" s="5">
        <v>100</v>
      </c>
      <c r="V939" s="5">
        <f>VLOOKUP(A939,Planilha1!B:E,4,0)</f>
        <v>5.8210743907543439</v>
      </c>
    </row>
    <row r="940" spans="1:22" x14ac:dyDescent="0.3">
      <c r="A940" t="str">
        <f t="shared" si="28"/>
        <v>LEITE UHTITAMBÉ</v>
      </c>
      <c r="B940" t="str">
        <f t="shared" si="29"/>
        <v>5340656LEITE UHTITAMBÉ</v>
      </c>
      <c r="C940" s="5" t="s">
        <v>226</v>
      </c>
      <c r="D940" s="5" t="s">
        <v>227</v>
      </c>
      <c r="E940" s="5" t="s">
        <v>703</v>
      </c>
      <c r="F940" s="5">
        <v>5340656</v>
      </c>
      <c r="G940" s="5" t="s">
        <v>726</v>
      </c>
      <c r="H940" s="5" t="s">
        <v>30</v>
      </c>
      <c r="I940" s="5" t="s">
        <v>27</v>
      </c>
      <c r="J940" s="5" t="s">
        <v>156</v>
      </c>
      <c r="K940" s="6">
        <v>0</v>
      </c>
      <c r="L940" s="7">
        <v>60</v>
      </c>
      <c r="M940" s="8">
        <v>350</v>
      </c>
      <c r="N940" s="8">
        <v>620</v>
      </c>
      <c r="O940" s="8">
        <v>93.998955567160365</v>
      </c>
      <c r="P940" s="8">
        <v>0</v>
      </c>
      <c r="Q940" s="8">
        <v>0</v>
      </c>
      <c r="R940" s="8">
        <v>0</v>
      </c>
      <c r="S940" s="8">
        <v>0</v>
      </c>
      <c r="T940" s="5">
        <v>0</v>
      </c>
      <c r="U940" s="5">
        <v>0</v>
      </c>
      <c r="V940" s="5">
        <f>VLOOKUP(A940,Planilha1!B:E,4,0)</f>
        <v>-0.14425288609148015</v>
      </c>
    </row>
    <row r="941" spans="1:22" x14ac:dyDescent="0.3">
      <c r="A941" t="str">
        <f t="shared" si="28"/>
        <v>BLISTERITAMBÉ</v>
      </c>
      <c r="B941" t="str">
        <f t="shared" si="29"/>
        <v>5011709BLISTERITAMBÉ</v>
      </c>
      <c r="C941" s="5" t="s">
        <v>226</v>
      </c>
      <c r="D941" s="5" t="s">
        <v>727</v>
      </c>
      <c r="E941" s="5" t="s">
        <v>727</v>
      </c>
      <c r="F941" s="5">
        <v>5011709</v>
      </c>
      <c r="G941" s="5" t="s">
        <v>728</v>
      </c>
      <c r="H941" s="5" t="s">
        <v>25</v>
      </c>
      <c r="I941" s="5" t="s">
        <v>27</v>
      </c>
      <c r="J941" s="5" t="s">
        <v>199</v>
      </c>
      <c r="K941" s="6">
        <v>0</v>
      </c>
      <c r="L941" s="7">
        <v>0</v>
      </c>
      <c r="M941" s="8">
        <v>89.600000000000009</v>
      </c>
      <c r="N941" s="8">
        <v>140.66666666666666</v>
      </c>
      <c r="O941" s="8">
        <v>266.03800608097293</v>
      </c>
      <c r="P941" s="8">
        <v>0</v>
      </c>
      <c r="Q941" s="8">
        <v>0</v>
      </c>
      <c r="R941" s="8">
        <v>0</v>
      </c>
      <c r="S941" s="8">
        <v>300</v>
      </c>
      <c r="T941" s="5">
        <v>234</v>
      </c>
      <c r="U941" s="5">
        <v>400</v>
      </c>
      <c r="V941" s="5">
        <f>VLOOKUP(A941,Planilha1!B:E,4,0)</f>
        <v>10.339882680976428</v>
      </c>
    </row>
    <row r="942" spans="1:22" x14ac:dyDescent="0.3">
      <c r="A942" t="str">
        <f t="shared" si="28"/>
        <v>LEITE CONDENSADOITAMBÉ</v>
      </c>
      <c r="B942" t="str">
        <f t="shared" si="29"/>
        <v>5011709LEITE CONDENSADOITAMBÉ</v>
      </c>
      <c r="C942" s="5" t="s">
        <v>226</v>
      </c>
      <c r="D942" s="5" t="s">
        <v>727</v>
      </c>
      <c r="E942" s="5" t="s">
        <v>727</v>
      </c>
      <c r="F942" s="5">
        <v>5011709</v>
      </c>
      <c r="G942" s="5" t="s">
        <v>728</v>
      </c>
      <c r="H942" s="5" t="s">
        <v>25</v>
      </c>
      <c r="I942" s="5" t="s">
        <v>27</v>
      </c>
      <c r="J942" s="5" t="s">
        <v>33</v>
      </c>
      <c r="K942" s="6">
        <v>0</v>
      </c>
      <c r="L942" s="7">
        <v>8180</v>
      </c>
      <c r="M942" s="8">
        <v>1300</v>
      </c>
      <c r="N942" s="8">
        <v>0</v>
      </c>
      <c r="O942" s="8">
        <v>2137.9615166926997</v>
      </c>
      <c r="P942" s="8">
        <v>0</v>
      </c>
      <c r="Q942" s="8">
        <v>0</v>
      </c>
      <c r="R942" s="8">
        <v>0</v>
      </c>
      <c r="S942" s="8">
        <v>2000</v>
      </c>
      <c r="T942" s="5">
        <v>2000</v>
      </c>
      <c r="U942" s="5">
        <v>400</v>
      </c>
      <c r="V942" s="5">
        <f>VLOOKUP(A942,Planilha1!B:E,4,0)</f>
        <v>1.4766792698630664</v>
      </c>
    </row>
    <row r="943" spans="1:22" x14ac:dyDescent="0.3">
      <c r="A943" t="str">
        <f t="shared" si="28"/>
        <v>CREME UHTITAMBÉ</v>
      </c>
      <c r="B943" t="str">
        <f t="shared" si="29"/>
        <v>5011709CREME UHTITAMBÉ</v>
      </c>
      <c r="C943" s="5" t="s">
        <v>226</v>
      </c>
      <c r="D943" s="5" t="s">
        <v>727</v>
      </c>
      <c r="E943" s="5" t="s">
        <v>727</v>
      </c>
      <c r="F943" s="5">
        <v>5011709</v>
      </c>
      <c r="G943" s="5" t="s">
        <v>728</v>
      </c>
      <c r="H943" s="5" t="s">
        <v>25</v>
      </c>
      <c r="I943" s="5" t="s">
        <v>27</v>
      </c>
      <c r="J943" s="5" t="s">
        <v>34</v>
      </c>
      <c r="K943" s="6">
        <v>0</v>
      </c>
      <c r="L943" s="7">
        <v>3090.6</v>
      </c>
      <c r="M943" s="8">
        <v>755.48</v>
      </c>
      <c r="N943" s="8">
        <v>905</v>
      </c>
      <c r="O943" s="8">
        <v>457.98218958151637</v>
      </c>
      <c r="P943" s="8">
        <v>0</v>
      </c>
      <c r="Q943" s="8">
        <v>0</v>
      </c>
      <c r="R943" s="8">
        <v>0</v>
      </c>
      <c r="S943" s="8">
        <v>1700</v>
      </c>
      <c r="T943" s="5">
        <v>600</v>
      </c>
      <c r="U943" s="5">
        <v>1515</v>
      </c>
      <c r="V943" s="5">
        <f>VLOOKUP(A943,Planilha1!B:E,4,0)</f>
        <v>1.2362540170747773</v>
      </c>
    </row>
    <row r="944" spans="1:22" x14ac:dyDescent="0.3">
      <c r="A944" t="str">
        <f t="shared" si="28"/>
        <v>DOCE DE LEITEITAMBÉ</v>
      </c>
      <c r="B944" t="str">
        <f t="shared" si="29"/>
        <v>5011709DOCE DE LEITEITAMBÉ</v>
      </c>
      <c r="C944" s="5" t="s">
        <v>226</v>
      </c>
      <c r="D944" s="5" t="s">
        <v>727</v>
      </c>
      <c r="E944" s="5" t="s">
        <v>727</v>
      </c>
      <c r="F944" s="5">
        <v>5011709</v>
      </c>
      <c r="G944" s="5" t="s">
        <v>728</v>
      </c>
      <c r="H944" s="5" t="s">
        <v>25</v>
      </c>
      <c r="I944" s="5" t="s">
        <v>27</v>
      </c>
      <c r="J944" s="5" t="s">
        <v>46</v>
      </c>
      <c r="K944" s="6">
        <v>0</v>
      </c>
      <c r="L944" s="7">
        <v>0</v>
      </c>
      <c r="M944" s="8">
        <v>60</v>
      </c>
      <c r="N944" s="8">
        <v>43.333333333333336</v>
      </c>
      <c r="O944" s="8">
        <v>50.002857306131787</v>
      </c>
      <c r="P944" s="8">
        <v>0</v>
      </c>
      <c r="Q944" s="8">
        <v>0</v>
      </c>
      <c r="R944" s="8">
        <v>0</v>
      </c>
      <c r="S944" s="8">
        <v>90</v>
      </c>
      <c r="T944" s="5">
        <v>0</v>
      </c>
      <c r="U944" s="5">
        <v>90</v>
      </c>
      <c r="V944" s="5">
        <f>VLOOKUP(A944,Planilha1!B:E,4,0)</f>
        <v>5.8210743907543439</v>
      </c>
    </row>
    <row r="945" spans="1:22" x14ac:dyDescent="0.3">
      <c r="A945" t="str">
        <f t="shared" si="28"/>
        <v>MANTEIGA 5KGITAMBÉ</v>
      </c>
      <c r="B945" t="str">
        <f t="shared" si="29"/>
        <v>5011709MANTEIGA 5KGITAMBÉ</v>
      </c>
      <c r="C945" s="5" t="s">
        <v>226</v>
      </c>
      <c r="D945" s="5" t="s">
        <v>727</v>
      </c>
      <c r="E945" s="5" t="s">
        <v>727</v>
      </c>
      <c r="F945" s="5">
        <v>5011709</v>
      </c>
      <c r="G945" s="5" t="s">
        <v>728</v>
      </c>
      <c r="H945" s="5" t="s">
        <v>25</v>
      </c>
      <c r="I945" s="5" t="s">
        <v>27</v>
      </c>
      <c r="J945" s="5" t="s">
        <v>60</v>
      </c>
      <c r="K945" s="6">
        <v>0</v>
      </c>
      <c r="L945" s="7">
        <v>250</v>
      </c>
      <c r="M945" s="8">
        <v>183.33333333333334</v>
      </c>
      <c r="N945" s="8">
        <v>200</v>
      </c>
      <c r="O945" s="8">
        <v>127.99573347555082</v>
      </c>
      <c r="P945" s="8">
        <v>0</v>
      </c>
      <c r="Q945" s="8">
        <v>0</v>
      </c>
      <c r="R945" s="8">
        <v>0</v>
      </c>
      <c r="S945" s="8">
        <v>200</v>
      </c>
      <c r="T945" s="5">
        <v>300</v>
      </c>
      <c r="U945" s="5">
        <v>300</v>
      </c>
      <c r="V945" s="5">
        <f>VLOOKUP(A945,Planilha1!B:E,4,0)</f>
        <v>5.819800475298738</v>
      </c>
    </row>
    <row r="946" spans="1:22" x14ac:dyDescent="0.3">
      <c r="A946" t="str">
        <f t="shared" si="28"/>
        <v>CREME UHTITAMBÉ</v>
      </c>
      <c r="B946" t="str">
        <f t="shared" si="29"/>
        <v>5335628CREME UHTITAMBÉ</v>
      </c>
      <c r="C946" s="5" t="s">
        <v>226</v>
      </c>
      <c r="D946" s="5" t="s">
        <v>727</v>
      </c>
      <c r="E946" s="5" t="s">
        <v>727</v>
      </c>
      <c r="F946" s="5">
        <v>5335628</v>
      </c>
      <c r="G946" s="5" t="s">
        <v>729</v>
      </c>
      <c r="H946" s="5" t="s">
        <v>25</v>
      </c>
      <c r="I946" s="5" t="s">
        <v>27</v>
      </c>
      <c r="J946" s="5" t="s">
        <v>34</v>
      </c>
      <c r="K946" s="6">
        <v>0</v>
      </c>
      <c r="L946" s="7">
        <v>0</v>
      </c>
      <c r="M946" s="8">
        <v>634.28</v>
      </c>
      <c r="N946" s="8">
        <v>808</v>
      </c>
      <c r="O946" s="8">
        <v>381.98514502213811</v>
      </c>
      <c r="P946" s="8">
        <v>0</v>
      </c>
      <c r="Q946" s="8">
        <v>0</v>
      </c>
      <c r="R946" s="8">
        <v>0</v>
      </c>
      <c r="S946" s="8">
        <v>1600</v>
      </c>
      <c r="T946" s="5">
        <v>500</v>
      </c>
      <c r="U946" s="5">
        <v>1515</v>
      </c>
      <c r="V946" s="5">
        <f>VLOOKUP(A946,Planilha1!B:E,4,0)</f>
        <v>1.2362540170747773</v>
      </c>
    </row>
    <row r="947" spans="1:22" x14ac:dyDescent="0.3">
      <c r="A947" t="str">
        <f t="shared" si="28"/>
        <v>DOCE DE LEITEITAMBÉ</v>
      </c>
      <c r="B947" t="str">
        <f t="shared" si="29"/>
        <v>5335628DOCE DE LEITEITAMBÉ</v>
      </c>
      <c r="C947" s="5" t="s">
        <v>226</v>
      </c>
      <c r="D947" s="5" t="s">
        <v>727</v>
      </c>
      <c r="E947" s="5" t="s">
        <v>727</v>
      </c>
      <c r="F947" s="5">
        <v>5335628</v>
      </c>
      <c r="G947" s="5" t="s">
        <v>729</v>
      </c>
      <c r="H947" s="5" t="s">
        <v>25</v>
      </c>
      <c r="I947" s="5" t="s">
        <v>27</v>
      </c>
      <c r="J947" s="5" t="s">
        <v>46</v>
      </c>
      <c r="K947" s="6">
        <v>0</v>
      </c>
      <c r="L947" s="7">
        <v>0</v>
      </c>
      <c r="M947" s="8">
        <v>29.166666666666671</v>
      </c>
      <c r="N947" s="8">
        <v>16.666666666666668</v>
      </c>
      <c r="O947" s="8">
        <v>43.002457283273337</v>
      </c>
      <c r="P947" s="8">
        <v>0</v>
      </c>
      <c r="Q947" s="8">
        <v>0</v>
      </c>
      <c r="R947" s="8">
        <v>0</v>
      </c>
      <c r="S947" s="8">
        <v>200</v>
      </c>
      <c r="T947" s="5">
        <v>200</v>
      </c>
      <c r="U947" s="5">
        <v>120</v>
      </c>
      <c r="V947" s="5">
        <f>VLOOKUP(A947,Planilha1!B:E,4,0)</f>
        <v>5.8210743907543439</v>
      </c>
    </row>
    <row r="948" spans="1:22" x14ac:dyDescent="0.3">
      <c r="A948" t="str">
        <f t="shared" si="28"/>
        <v>PARMESÃOLACTALIS</v>
      </c>
      <c r="B948" t="str">
        <f t="shared" si="29"/>
        <v>5226805PARMESÃOLACTALIS</v>
      </c>
      <c r="C948" s="5" t="s">
        <v>226</v>
      </c>
      <c r="D948" s="5" t="s">
        <v>727</v>
      </c>
      <c r="E948" s="5" t="s">
        <v>730</v>
      </c>
      <c r="F948" s="5">
        <v>5226805</v>
      </c>
      <c r="G948" s="5" t="s">
        <v>731</v>
      </c>
      <c r="H948" s="5" t="s">
        <v>25</v>
      </c>
      <c r="I948" s="5" t="s">
        <v>22</v>
      </c>
      <c r="J948" s="5" t="s">
        <v>195</v>
      </c>
      <c r="K948" s="6">
        <v>0</v>
      </c>
      <c r="L948" s="7">
        <v>0</v>
      </c>
      <c r="M948" s="8">
        <v>0</v>
      </c>
      <c r="N948" s="8">
        <v>0</v>
      </c>
      <c r="O948" s="8">
        <v>444.04141708713075</v>
      </c>
      <c r="P948" s="8">
        <v>0</v>
      </c>
      <c r="Q948" s="8">
        <v>0</v>
      </c>
      <c r="R948" s="8">
        <v>0</v>
      </c>
      <c r="S948" s="8">
        <v>300</v>
      </c>
      <c r="T948" s="5">
        <v>300</v>
      </c>
      <c r="U948" s="5">
        <v>0</v>
      </c>
      <c r="V948" s="5">
        <f>VLOOKUP(A948,Planilha1!B:E,4,0)</f>
        <v>6.310326960724681</v>
      </c>
    </row>
    <row r="949" spans="1:22" x14ac:dyDescent="0.3">
      <c r="A949" t="str">
        <f t="shared" si="28"/>
        <v>BLISTERITAMBÉ</v>
      </c>
      <c r="B949" t="str">
        <f t="shared" si="29"/>
        <v>5226805BLISTERITAMBÉ</v>
      </c>
      <c r="C949" s="5" t="s">
        <v>226</v>
      </c>
      <c r="D949" s="5" t="s">
        <v>727</v>
      </c>
      <c r="E949" s="5" t="s">
        <v>730</v>
      </c>
      <c r="F949" s="5">
        <v>5226805</v>
      </c>
      <c r="G949" s="5" t="s">
        <v>732</v>
      </c>
      <c r="H949" s="5" t="s">
        <v>25</v>
      </c>
      <c r="I949" s="5" t="s">
        <v>27</v>
      </c>
      <c r="J949" s="5" t="s">
        <v>199</v>
      </c>
      <c r="K949" s="6">
        <v>0</v>
      </c>
      <c r="L949" s="7">
        <v>201.6</v>
      </c>
      <c r="M949" s="8">
        <v>309.43999999999994</v>
      </c>
      <c r="N949" s="8">
        <v>108.66666666666667</v>
      </c>
      <c r="O949" s="8">
        <v>842.12030496307966</v>
      </c>
      <c r="P949" s="8">
        <v>102.69000000000003</v>
      </c>
      <c r="Q949" s="8">
        <v>57.6</v>
      </c>
      <c r="R949" s="8">
        <v>228.48</v>
      </c>
      <c r="S949" s="8">
        <v>150</v>
      </c>
      <c r="T949" s="5">
        <v>150</v>
      </c>
      <c r="U949" s="5">
        <v>400</v>
      </c>
      <c r="V949" s="5">
        <f>VLOOKUP(A949,Planilha1!B:E,4,0)</f>
        <v>10.339882680976428</v>
      </c>
    </row>
    <row r="950" spans="1:22" x14ac:dyDescent="0.3">
      <c r="A950" t="str">
        <f t="shared" si="28"/>
        <v>COMPOSTOITAMBÉ</v>
      </c>
      <c r="B950" t="str">
        <f t="shared" si="29"/>
        <v>5226805COMPOSTOITAMBÉ</v>
      </c>
      <c r="C950" s="5" t="s">
        <v>226</v>
      </c>
      <c r="D950" s="5" t="s">
        <v>727</v>
      </c>
      <c r="E950" s="5" t="s">
        <v>730</v>
      </c>
      <c r="F950" s="5">
        <v>5226805</v>
      </c>
      <c r="G950" s="5" t="s">
        <v>732</v>
      </c>
      <c r="H950" s="5" t="s">
        <v>25</v>
      </c>
      <c r="I950" s="5" t="s">
        <v>27</v>
      </c>
      <c r="J950" s="5" t="s">
        <v>26</v>
      </c>
      <c r="K950" s="6">
        <v>0</v>
      </c>
      <c r="L950" s="7">
        <v>220</v>
      </c>
      <c r="M950" s="8">
        <v>420.00000000000006</v>
      </c>
      <c r="N950" s="8">
        <v>253.33333333333331</v>
      </c>
      <c r="O950" s="8">
        <v>1249</v>
      </c>
      <c r="P950" s="8">
        <v>38</v>
      </c>
      <c r="Q950" s="8">
        <v>100</v>
      </c>
      <c r="R950" s="8">
        <v>114</v>
      </c>
      <c r="S950" s="8">
        <v>900</v>
      </c>
      <c r="T950" s="5">
        <v>300</v>
      </c>
      <c r="U950" s="5">
        <v>520</v>
      </c>
      <c r="V950" s="5">
        <f>VLOOKUP(A950,Planilha1!B:E,4,0)</f>
        <v>0.15618217875936719</v>
      </c>
    </row>
    <row r="951" spans="1:22" x14ac:dyDescent="0.3">
      <c r="A951" t="str">
        <f t="shared" si="28"/>
        <v>LEITE CONDENSADOITAMBÉ</v>
      </c>
      <c r="B951" t="str">
        <f t="shared" si="29"/>
        <v>5226805LEITE CONDENSADOITAMBÉ</v>
      </c>
      <c r="C951" s="5" t="s">
        <v>226</v>
      </c>
      <c r="D951" s="5" t="s">
        <v>727</v>
      </c>
      <c r="E951" s="5" t="s">
        <v>730</v>
      </c>
      <c r="F951" s="5">
        <v>5226805</v>
      </c>
      <c r="G951" s="5" t="s">
        <v>732</v>
      </c>
      <c r="H951" s="5" t="s">
        <v>25</v>
      </c>
      <c r="I951" s="5" t="s">
        <v>27</v>
      </c>
      <c r="J951" s="5" t="s">
        <v>33</v>
      </c>
      <c r="K951" s="6">
        <v>0</v>
      </c>
      <c r="L951" s="7">
        <v>3630</v>
      </c>
      <c r="M951" s="8">
        <v>4453.7299999999996</v>
      </c>
      <c r="N951" s="8">
        <v>4779</v>
      </c>
      <c r="O951" s="8">
        <v>1281.9769244153606</v>
      </c>
      <c r="P951" s="8">
        <v>1357.3399999999995</v>
      </c>
      <c r="Q951" s="8">
        <v>3689.85</v>
      </c>
      <c r="R951" s="8">
        <v>3996.66</v>
      </c>
      <c r="S951" s="8">
        <v>2500</v>
      </c>
      <c r="T951" s="5">
        <v>3700</v>
      </c>
      <c r="U951" s="5">
        <v>0</v>
      </c>
      <c r="V951" s="5">
        <f>VLOOKUP(A951,Planilha1!B:E,4,0)</f>
        <v>1.4766792698630664</v>
      </c>
    </row>
    <row r="952" spans="1:22" x14ac:dyDescent="0.3">
      <c r="A952" t="str">
        <f t="shared" si="28"/>
        <v>CREME UHTITAMBÉ</v>
      </c>
      <c r="B952" t="str">
        <f t="shared" si="29"/>
        <v>5226805CREME UHTITAMBÉ</v>
      </c>
      <c r="C952" s="5" t="s">
        <v>226</v>
      </c>
      <c r="D952" s="5" t="s">
        <v>727</v>
      </c>
      <c r="E952" s="5" t="s">
        <v>730</v>
      </c>
      <c r="F952" s="5">
        <v>5226805</v>
      </c>
      <c r="G952" s="5" t="s">
        <v>732</v>
      </c>
      <c r="H952" s="5" t="s">
        <v>25</v>
      </c>
      <c r="I952" s="5" t="s">
        <v>27</v>
      </c>
      <c r="J952" s="5" t="s">
        <v>34</v>
      </c>
      <c r="K952" s="6">
        <v>0</v>
      </c>
      <c r="L952" s="7">
        <v>7066.8</v>
      </c>
      <c r="M952" s="8">
        <v>7981.3600000000006</v>
      </c>
      <c r="N952" s="8">
        <v>8125</v>
      </c>
      <c r="O952" s="8">
        <v>5452.7879471353899</v>
      </c>
      <c r="P952" s="8">
        <v>2926.5299999999988</v>
      </c>
      <c r="Q952" s="8">
        <v>9132.6</v>
      </c>
      <c r="R952" s="8">
        <v>3124.94</v>
      </c>
      <c r="S952" s="8">
        <v>5000</v>
      </c>
      <c r="T952" s="5">
        <v>9000</v>
      </c>
      <c r="U952" s="5">
        <v>0</v>
      </c>
      <c r="V952" s="5">
        <f>VLOOKUP(A952,Planilha1!B:E,4,0)</f>
        <v>1.2362540170747773</v>
      </c>
    </row>
    <row r="953" spans="1:22" x14ac:dyDescent="0.3">
      <c r="A953" t="str">
        <f t="shared" si="28"/>
        <v>DOCE DE LEITEITAMBÉ</v>
      </c>
      <c r="B953" t="str">
        <f t="shared" si="29"/>
        <v>5226805DOCE DE LEITEITAMBÉ</v>
      </c>
      <c r="C953" s="5" t="s">
        <v>226</v>
      </c>
      <c r="D953" s="5" t="s">
        <v>727</v>
      </c>
      <c r="E953" s="5" t="s">
        <v>730</v>
      </c>
      <c r="F953" s="5">
        <v>5226805</v>
      </c>
      <c r="G953" s="5" t="s">
        <v>732</v>
      </c>
      <c r="H953" s="5" t="s">
        <v>25</v>
      </c>
      <c r="I953" s="5" t="s">
        <v>27</v>
      </c>
      <c r="J953" s="5" t="s">
        <v>46</v>
      </c>
      <c r="K953" s="6">
        <v>0</v>
      </c>
      <c r="L953" s="7">
        <v>900</v>
      </c>
      <c r="M953" s="8">
        <v>1426</v>
      </c>
      <c r="N953" s="8">
        <v>1462</v>
      </c>
      <c r="O953" s="8">
        <v>1320.0754328818791</v>
      </c>
      <c r="P953" s="8">
        <v>295</v>
      </c>
      <c r="Q953" s="8">
        <v>910</v>
      </c>
      <c r="R953" s="8">
        <v>1160.9000000000001</v>
      </c>
      <c r="S953" s="8">
        <v>1300</v>
      </c>
      <c r="T953" s="5">
        <v>910</v>
      </c>
      <c r="U953" s="5">
        <v>432</v>
      </c>
      <c r="V953" s="5">
        <f>VLOOKUP(A953,Planilha1!B:E,4,0)</f>
        <v>5.8210743907543439</v>
      </c>
    </row>
    <row r="954" spans="1:22" x14ac:dyDescent="0.3">
      <c r="A954" t="str">
        <f t="shared" si="28"/>
        <v>LPI 25KGITAMBÉ</v>
      </c>
      <c r="B954" t="str">
        <f t="shared" si="29"/>
        <v>5226805LPI 25KGITAMBÉ</v>
      </c>
      <c r="C954" s="5" t="s">
        <v>226</v>
      </c>
      <c r="D954" s="5" t="s">
        <v>727</v>
      </c>
      <c r="E954" s="5" t="s">
        <v>730</v>
      </c>
      <c r="F954" s="5">
        <v>5226805</v>
      </c>
      <c r="G954" s="5" t="s">
        <v>732</v>
      </c>
      <c r="H954" s="5" t="s">
        <v>25</v>
      </c>
      <c r="I954" s="5" t="s">
        <v>27</v>
      </c>
      <c r="J954" s="5" t="s">
        <v>21</v>
      </c>
      <c r="K954" s="6">
        <v>0</v>
      </c>
      <c r="L954" s="7">
        <v>400</v>
      </c>
      <c r="M954" s="8">
        <v>225</v>
      </c>
      <c r="N954" s="8">
        <v>0</v>
      </c>
      <c r="O954" s="8">
        <v>0</v>
      </c>
      <c r="P954" s="8">
        <v>25</v>
      </c>
      <c r="Q954" s="8">
        <v>500</v>
      </c>
      <c r="R954" s="8">
        <v>100</v>
      </c>
      <c r="S954" s="8">
        <v>0</v>
      </c>
      <c r="T954" s="5">
        <v>0</v>
      </c>
      <c r="U954" s="5">
        <v>0</v>
      </c>
      <c r="V954" s="5">
        <f>VLOOKUP(A954,Planilha1!B:E,4,0)</f>
        <v>-1.218192805504376</v>
      </c>
    </row>
    <row r="955" spans="1:22" x14ac:dyDescent="0.3">
      <c r="A955" t="str">
        <f t="shared" si="28"/>
        <v>MANTEIGA 5KGITAMBÉ</v>
      </c>
      <c r="B955" t="str">
        <f t="shared" si="29"/>
        <v>5226805MANTEIGA 5KGITAMBÉ</v>
      </c>
      <c r="C955" s="5" t="s">
        <v>226</v>
      </c>
      <c r="D955" s="5" t="s">
        <v>727</v>
      </c>
      <c r="E955" s="5" t="s">
        <v>730</v>
      </c>
      <c r="F955" s="5">
        <v>5226805</v>
      </c>
      <c r="G955" s="5" t="s">
        <v>732</v>
      </c>
      <c r="H955" s="5" t="s">
        <v>25</v>
      </c>
      <c r="I955" s="5" t="s">
        <v>27</v>
      </c>
      <c r="J955" s="5" t="s">
        <v>60</v>
      </c>
      <c r="K955" s="6">
        <v>0</v>
      </c>
      <c r="L955" s="7">
        <v>0</v>
      </c>
      <c r="M955" s="8">
        <v>743.33333333333337</v>
      </c>
      <c r="N955" s="8">
        <v>625</v>
      </c>
      <c r="O955" s="8">
        <v>525.98246725109163</v>
      </c>
      <c r="P955" s="8">
        <v>210</v>
      </c>
      <c r="Q955" s="8">
        <v>360</v>
      </c>
      <c r="R955" s="8">
        <v>370</v>
      </c>
      <c r="S955" s="8">
        <v>700</v>
      </c>
      <c r="T955" s="5">
        <v>400</v>
      </c>
      <c r="U955" s="5">
        <v>700</v>
      </c>
      <c r="V955" s="5">
        <f>VLOOKUP(A955,Planilha1!B:E,4,0)</f>
        <v>5.819800475298738</v>
      </c>
    </row>
    <row r="956" spans="1:22" x14ac:dyDescent="0.3">
      <c r="A956" t="str">
        <f t="shared" si="28"/>
        <v>LEITE UHTITAMBÉ</v>
      </c>
      <c r="B956" t="str">
        <f t="shared" si="29"/>
        <v>5226805LEITE UHTITAMBÉ</v>
      </c>
      <c r="C956" s="5" t="s">
        <v>226</v>
      </c>
      <c r="D956" s="5" t="s">
        <v>727</v>
      </c>
      <c r="E956" s="5" t="s">
        <v>730</v>
      </c>
      <c r="F956" s="5">
        <v>5226805</v>
      </c>
      <c r="G956" s="5" t="s">
        <v>732</v>
      </c>
      <c r="H956" s="5" t="s">
        <v>25</v>
      </c>
      <c r="I956" s="5" t="s">
        <v>27</v>
      </c>
      <c r="J956" s="5" t="s">
        <v>156</v>
      </c>
      <c r="K956" s="6">
        <v>0</v>
      </c>
      <c r="L956" s="7">
        <v>6024</v>
      </c>
      <c r="M956" s="8">
        <v>11176</v>
      </c>
      <c r="N956" s="8">
        <v>6076</v>
      </c>
      <c r="O956" s="8">
        <v>11729.869668114799</v>
      </c>
      <c r="P956" s="8">
        <v>346.08000000000015</v>
      </c>
      <c r="Q956" s="8">
        <v>13740</v>
      </c>
      <c r="R956" s="8">
        <v>24.72</v>
      </c>
      <c r="S956" s="8">
        <v>0</v>
      </c>
      <c r="T956" s="5">
        <v>0</v>
      </c>
      <c r="U956" s="5">
        <v>0</v>
      </c>
      <c r="V956" s="5">
        <f>VLOOKUP(A956,Planilha1!B:E,4,0)</f>
        <v>-0.14425288609148015</v>
      </c>
    </row>
    <row r="957" spans="1:22" x14ac:dyDescent="0.3">
      <c r="A957" t="str">
        <f t="shared" si="28"/>
        <v>MANTEIGA 5KGITAMBÉ</v>
      </c>
      <c r="B957" t="str">
        <f t="shared" si="29"/>
        <v>5318875MANTEIGA 5KGITAMBÉ</v>
      </c>
      <c r="C957" s="5" t="s">
        <v>226</v>
      </c>
      <c r="D957" s="5" t="s">
        <v>727</v>
      </c>
      <c r="E957" s="5" t="s">
        <v>730</v>
      </c>
      <c r="F957" s="5">
        <v>5318875</v>
      </c>
      <c r="G957" s="5" t="s">
        <v>731</v>
      </c>
      <c r="H957" s="5" t="s">
        <v>25</v>
      </c>
      <c r="I957" s="5" t="s">
        <v>27</v>
      </c>
      <c r="J957" s="5" t="s">
        <v>60</v>
      </c>
      <c r="K957" s="6">
        <v>0</v>
      </c>
      <c r="L957" s="7">
        <v>0</v>
      </c>
      <c r="M957" s="8">
        <v>75.833333333333343</v>
      </c>
      <c r="N957" s="8">
        <v>51.666666666666671</v>
      </c>
      <c r="O957" s="8">
        <v>225.99246691776941</v>
      </c>
      <c r="P957" s="8">
        <v>5</v>
      </c>
      <c r="Q957" s="8">
        <v>30</v>
      </c>
      <c r="R957" s="8">
        <v>75</v>
      </c>
      <c r="S957" s="8">
        <v>250</v>
      </c>
      <c r="T957" s="5">
        <v>250</v>
      </c>
      <c r="U957" s="5">
        <v>200</v>
      </c>
      <c r="V957" s="5">
        <f>VLOOKUP(A957,Planilha1!B:E,4,0)</f>
        <v>5.819800475298738</v>
      </c>
    </row>
    <row r="958" spans="1:22" x14ac:dyDescent="0.3">
      <c r="A958" t="str">
        <f t="shared" si="28"/>
        <v>LEITE CONDENSADOITAMBÉ</v>
      </c>
      <c r="B958" t="str">
        <f t="shared" si="29"/>
        <v>5002362LEITE CONDENSADOITAMBÉ</v>
      </c>
      <c r="C958" s="5" t="s">
        <v>226</v>
      </c>
      <c r="D958" s="5" t="s">
        <v>727</v>
      </c>
      <c r="E958" s="5" t="s">
        <v>733</v>
      </c>
      <c r="F958" s="5">
        <v>5002362</v>
      </c>
      <c r="G958" s="5" t="s">
        <v>734</v>
      </c>
      <c r="H958" s="5" t="s">
        <v>25</v>
      </c>
      <c r="I958" s="5" t="s">
        <v>27</v>
      </c>
      <c r="J958" s="5" t="s">
        <v>33</v>
      </c>
      <c r="K958" s="6">
        <v>0</v>
      </c>
      <c r="L958" s="7">
        <v>500</v>
      </c>
      <c r="M958" s="8">
        <v>1041.6666666666665</v>
      </c>
      <c r="N958" s="8">
        <v>700</v>
      </c>
      <c r="O958" s="8">
        <v>925.98333230001867</v>
      </c>
      <c r="P958" s="8">
        <v>0</v>
      </c>
      <c r="Q958" s="8">
        <v>400</v>
      </c>
      <c r="R958" s="8">
        <v>0</v>
      </c>
      <c r="S958" s="8">
        <v>600</v>
      </c>
      <c r="T958" s="5">
        <v>900</v>
      </c>
      <c r="U958" s="5">
        <v>500</v>
      </c>
      <c r="V958" s="5">
        <f>VLOOKUP(A958,Planilha1!B:E,4,0)</f>
        <v>1.4766792698630664</v>
      </c>
    </row>
    <row r="959" spans="1:22" x14ac:dyDescent="0.3">
      <c r="A959" t="str">
        <f t="shared" si="28"/>
        <v>CREME UHTITAMBÉ</v>
      </c>
      <c r="B959" t="str">
        <f t="shared" si="29"/>
        <v>5002362CREME UHTITAMBÉ</v>
      </c>
      <c r="C959" s="5" t="s">
        <v>226</v>
      </c>
      <c r="D959" s="5" t="s">
        <v>727</v>
      </c>
      <c r="E959" s="5" t="s">
        <v>733</v>
      </c>
      <c r="F959" s="5">
        <v>5002362</v>
      </c>
      <c r="G959" s="5" t="s">
        <v>734</v>
      </c>
      <c r="H959" s="5" t="s">
        <v>25</v>
      </c>
      <c r="I959" s="5" t="s">
        <v>27</v>
      </c>
      <c r="J959" s="5" t="s">
        <v>34</v>
      </c>
      <c r="K959" s="6">
        <v>0</v>
      </c>
      <c r="L959" s="7">
        <v>606</v>
      </c>
      <c r="M959" s="8">
        <v>890.74</v>
      </c>
      <c r="N959" s="8">
        <v>448.66666666666669</v>
      </c>
      <c r="O959" s="8">
        <v>923.9640680640199</v>
      </c>
      <c r="P959" s="8">
        <v>0</v>
      </c>
      <c r="Q959" s="8">
        <v>436.32</v>
      </c>
      <c r="R959" s="8">
        <v>0</v>
      </c>
      <c r="S959" s="8">
        <v>600</v>
      </c>
      <c r="T959" s="5">
        <v>500</v>
      </c>
      <c r="U959" s="5">
        <v>242</v>
      </c>
      <c r="V959" s="5">
        <f>VLOOKUP(A959,Planilha1!B:E,4,0)</f>
        <v>1.2362540170747773</v>
      </c>
    </row>
    <row r="960" spans="1:22" x14ac:dyDescent="0.3">
      <c r="A960" t="str">
        <f t="shared" si="28"/>
        <v>LEITE CONDENSADOITAMBÉ</v>
      </c>
      <c r="B960" t="str">
        <f t="shared" si="29"/>
        <v>5006419LEITE CONDENSADOITAMBÉ</v>
      </c>
      <c r="C960" s="5" t="s">
        <v>226</v>
      </c>
      <c r="D960" s="5" t="s">
        <v>727</v>
      </c>
      <c r="E960" s="5" t="s">
        <v>733</v>
      </c>
      <c r="F960" s="5">
        <v>5006419</v>
      </c>
      <c r="G960" s="5" t="s">
        <v>735</v>
      </c>
      <c r="H960" s="5" t="s">
        <v>25</v>
      </c>
      <c r="I960" s="5" t="s">
        <v>27</v>
      </c>
      <c r="J960" s="5" t="s">
        <v>33</v>
      </c>
      <c r="K960" s="6">
        <v>0</v>
      </c>
      <c r="L960" s="7">
        <v>0</v>
      </c>
      <c r="M960" s="8">
        <v>56.287500000000009</v>
      </c>
      <c r="N960" s="8">
        <v>57</v>
      </c>
      <c r="O960" s="8">
        <v>93.998308030455462</v>
      </c>
      <c r="P960" s="8">
        <v>0</v>
      </c>
      <c r="Q960" s="8">
        <v>0</v>
      </c>
      <c r="R960" s="8">
        <v>0</v>
      </c>
      <c r="S960" s="8">
        <v>94</v>
      </c>
      <c r="T960" s="5">
        <v>115</v>
      </c>
      <c r="U960" s="5">
        <v>0</v>
      </c>
      <c r="V960" s="5">
        <f>VLOOKUP(A960,Planilha1!B:E,4,0)</f>
        <v>1.4766792698630664</v>
      </c>
    </row>
    <row r="961" spans="1:22" x14ac:dyDescent="0.3">
      <c r="A961" t="str">
        <f t="shared" si="28"/>
        <v>CREME UHTITAMBÉ</v>
      </c>
      <c r="B961" t="str">
        <f t="shared" si="29"/>
        <v>5006419CREME UHTITAMBÉ</v>
      </c>
      <c r="C961" s="5" t="s">
        <v>226</v>
      </c>
      <c r="D961" s="5" t="s">
        <v>727</v>
      </c>
      <c r="E961" s="5" t="s">
        <v>733</v>
      </c>
      <c r="F961" s="5">
        <v>5006419</v>
      </c>
      <c r="G961" s="5" t="s">
        <v>735</v>
      </c>
      <c r="H961" s="5" t="s">
        <v>25</v>
      </c>
      <c r="I961" s="5" t="s">
        <v>27</v>
      </c>
      <c r="J961" s="5" t="s">
        <v>34</v>
      </c>
      <c r="K961" s="6">
        <v>0</v>
      </c>
      <c r="L961" s="7">
        <v>81</v>
      </c>
      <c r="M961" s="8">
        <v>119.7</v>
      </c>
      <c r="N961" s="8">
        <v>180</v>
      </c>
      <c r="O961" s="8">
        <v>54.997861194286898</v>
      </c>
      <c r="P961" s="8">
        <v>0</v>
      </c>
      <c r="Q961" s="8">
        <v>0</v>
      </c>
      <c r="R961" s="8">
        <v>0</v>
      </c>
      <c r="S961" s="8">
        <v>160</v>
      </c>
      <c r="T961" s="5">
        <v>160</v>
      </c>
      <c r="U961" s="5">
        <v>54</v>
      </c>
      <c r="V961" s="5">
        <f>VLOOKUP(A961,Planilha1!B:E,4,0)</f>
        <v>1.2362540170747773</v>
      </c>
    </row>
    <row r="962" spans="1:22" x14ac:dyDescent="0.3">
      <c r="A962" t="str">
        <f t="shared" ref="A962:A1025" si="30">J962&amp;I962</f>
        <v>DOCE DE LEITEITAMBÉ</v>
      </c>
      <c r="B962" t="str">
        <f t="shared" si="29"/>
        <v>5006419DOCE DE LEITEITAMBÉ</v>
      </c>
      <c r="C962" s="5" t="s">
        <v>226</v>
      </c>
      <c r="D962" s="5" t="s">
        <v>727</v>
      </c>
      <c r="E962" s="5" t="s">
        <v>733</v>
      </c>
      <c r="F962" s="5">
        <v>5006419</v>
      </c>
      <c r="G962" s="5" t="s">
        <v>735</v>
      </c>
      <c r="H962" s="5" t="s">
        <v>25</v>
      </c>
      <c r="I962" s="5" t="s">
        <v>27</v>
      </c>
      <c r="J962" s="5" t="s">
        <v>46</v>
      </c>
      <c r="K962" s="6">
        <v>0</v>
      </c>
      <c r="L962" s="7">
        <v>521.4</v>
      </c>
      <c r="M962" s="8">
        <v>158.26</v>
      </c>
      <c r="N962" s="8">
        <v>157.66666666666666</v>
      </c>
      <c r="O962" s="8">
        <v>184.01051488656498</v>
      </c>
      <c r="P962" s="8">
        <v>0</v>
      </c>
      <c r="Q962" s="8">
        <v>0</v>
      </c>
      <c r="R962" s="8">
        <v>0</v>
      </c>
      <c r="S962" s="8">
        <v>184</v>
      </c>
      <c r="T962" s="5">
        <v>184</v>
      </c>
      <c r="U962" s="5">
        <v>84</v>
      </c>
      <c r="V962" s="5">
        <f>VLOOKUP(A962,Planilha1!B:E,4,0)</f>
        <v>5.8210743907543439</v>
      </c>
    </row>
    <row r="963" spans="1:22" x14ac:dyDescent="0.3">
      <c r="A963" t="str">
        <f t="shared" si="30"/>
        <v>LEITE UHTITAMBÉ</v>
      </c>
      <c r="B963" t="str">
        <f t="shared" ref="B963:B1026" si="31">F963&amp;J963&amp;I963</f>
        <v>5006419LEITE UHTITAMBÉ</v>
      </c>
      <c r="C963" s="5" t="s">
        <v>226</v>
      </c>
      <c r="D963" s="5" t="s">
        <v>727</v>
      </c>
      <c r="E963" s="5" t="s">
        <v>733</v>
      </c>
      <c r="F963" s="5">
        <v>5006419</v>
      </c>
      <c r="G963" s="5" t="s">
        <v>735</v>
      </c>
      <c r="H963" s="5" t="s">
        <v>25</v>
      </c>
      <c r="I963" s="5" t="s">
        <v>27</v>
      </c>
      <c r="J963" s="5" t="s">
        <v>156</v>
      </c>
      <c r="K963" s="6">
        <v>0</v>
      </c>
      <c r="L963" s="7">
        <v>180</v>
      </c>
      <c r="M963" s="8">
        <v>210</v>
      </c>
      <c r="N963" s="8">
        <v>240</v>
      </c>
      <c r="O963" s="8">
        <v>68.999233341851749</v>
      </c>
      <c r="P963" s="8">
        <v>0</v>
      </c>
      <c r="Q963" s="8">
        <v>0</v>
      </c>
      <c r="R963" s="8">
        <v>0</v>
      </c>
      <c r="S963" s="8">
        <v>0</v>
      </c>
      <c r="T963" s="5">
        <v>0</v>
      </c>
      <c r="U963" s="5">
        <v>0</v>
      </c>
      <c r="V963" s="5">
        <f>VLOOKUP(A963,Planilha1!B:E,4,0)</f>
        <v>-0.14425288609148015</v>
      </c>
    </row>
    <row r="964" spans="1:22" x14ac:dyDescent="0.3">
      <c r="A964" t="str">
        <f t="shared" si="30"/>
        <v>BLISTERITAMBÉ</v>
      </c>
      <c r="B964" t="str">
        <f t="shared" si="31"/>
        <v>5013871BLISTERITAMBÉ</v>
      </c>
      <c r="C964" s="5" t="s">
        <v>226</v>
      </c>
      <c r="D964" s="5" t="s">
        <v>727</v>
      </c>
      <c r="E964" s="5" t="s">
        <v>733</v>
      </c>
      <c r="F964" s="5">
        <v>5013871</v>
      </c>
      <c r="G964" s="5" t="s">
        <v>736</v>
      </c>
      <c r="H964" s="5" t="s">
        <v>25</v>
      </c>
      <c r="I964" s="5" t="s">
        <v>27</v>
      </c>
      <c r="J964" s="5" t="s">
        <v>199</v>
      </c>
      <c r="K964" s="6">
        <v>0</v>
      </c>
      <c r="L964" s="7">
        <v>197.76</v>
      </c>
      <c r="M964" s="8">
        <v>158.08000000000001</v>
      </c>
      <c r="N964" s="8">
        <v>137.66666666666669</v>
      </c>
      <c r="O964" s="8">
        <v>123.01757424044987</v>
      </c>
      <c r="P964" s="8">
        <v>0</v>
      </c>
      <c r="Q964" s="8">
        <v>0</v>
      </c>
      <c r="R964" s="8">
        <v>0</v>
      </c>
      <c r="S964" s="8">
        <v>600</v>
      </c>
      <c r="T964" s="5">
        <v>200</v>
      </c>
      <c r="U964" s="5">
        <v>131</v>
      </c>
      <c r="V964" s="5">
        <f>VLOOKUP(A964,Planilha1!B:E,4,0)</f>
        <v>10.339882680976428</v>
      </c>
    </row>
    <row r="965" spans="1:22" x14ac:dyDescent="0.3">
      <c r="A965" t="str">
        <f t="shared" si="30"/>
        <v>CREME UHTITAMBÉ</v>
      </c>
      <c r="B965" t="str">
        <f t="shared" si="31"/>
        <v>5016060CREME UHTITAMBÉ</v>
      </c>
      <c r="C965" s="5" t="s">
        <v>226</v>
      </c>
      <c r="D965" s="5" t="s">
        <v>727</v>
      </c>
      <c r="E965" s="5" t="s">
        <v>733</v>
      </c>
      <c r="F965" s="5">
        <v>5016060</v>
      </c>
      <c r="G965" s="5" t="s">
        <v>737</v>
      </c>
      <c r="H965" s="5" t="s">
        <v>25</v>
      </c>
      <c r="I965" s="5" t="s">
        <v>27</v>
      </c>
      <c r="J965" s="5" t="s">
        <v>34</v>
      </c>
      <c r="K965" s="6">
        <v>0</v>
      </c>
      <c r="L965" s="7">
        <v>48.48</v>
      </c>
      <c r="M965" s="8">
        <v>74.739999999999995</v>
      </c>
      <c r="N965" s="8">
        <v>72.666666666666671</v>
      </c>
      <c r="O965" s="8">
        <v>116.99545017693758</v>
      </c>
      <c r="P965" s="8">
        <v>0</v>
      </c>
      <c r="Q965" s="8">
        <v>0</v>
      </c>
      <c r="R965" s="8">
        <v>0</v>
      </c>
      <c r="S965" s="8">
        <v>73</v>
      </c>
      <c r="T965" s="5">
        <v>80</v>
      </c>
      <c r="U965" s="5">
        <v>0</v>
      </c>
      <c r="V965" s="5">
        <f>VLOOKUP(A965,Planilha1!B:E,4,0)</f>
        <v>1.2362540170747773</v>
      </c>
    </row>
    <row r="966" spans="1:22" x14ac:dyDescent="0.3">
      <c r="A966" t="str">
        <f t="shared" si="30"/>
        <v>LEITE UHTITAMBÉ</v>
      </c>
      <c r="B966" t="str">
        <f t="shared" si="31"/>
        <v>5016060LEITE UHTITAMBÉ</v>
      </c>
      <c r="C966" s="5" t="s">
        <v>226</v>
      </c>
      <c r="D966" s="5" t="s">
        <v>727</v>
      </c>
      <c r="E966" s="5" t="s">
        <v>733</v>
      </c>
      <c r="F966" s="5">
        <v>5016060</v>
      </c>
      <c r="G966" s="5" t="s">
        <v>737</v>
      </c>
      <c r="H966" s="5" t="s">
        <v>25</v>
      </c>
      <c r="I966" s="5" t="s">
        <v>27</v>
      </c>
      <c r="J966" s="5" t="s">
        <v>156</v>
      </c>
      <c r="K966" s="6">
        <v>0</v>
      </c>
      <c r="L966" s="7">
        <v>72</v>
      </c>
      <c r="M966" s="8">
        <v>146</v>
      </c>
      <c r="N966" s="8">
        <v>156</v>
      </c>
      <c r="O966" s="8">
        <v>281.99686670148111</v>
      </c>
      <c r="P966" s="8">
        <v>0</v>
      </c>
      <c r="Q966" s="8">
        <v>0</v>
      </c>
      <c r="R966" s="8">
        <v>0</v>
      </c>
      <c r="S966" s="8">
        <v>0</v>
      </c>
      <c r="T966" s="5">
        <v>0</v>
      </c>
      <c r="U966" s="5">
        <v>0</v>
      </c>
      <c r="V966" s="5">
        <f>VLOOKUP(A966,Planilha1!B:E,4,0)</f>
        <v>-0.14425288609148015</v>
      </c>
    </row>
    <row r="967" spans="1:22" x14ac:dyDescent="0.3">
      <c r="A967" t="str">
        <f t="shared" si="30"/>
        <v>CREME UHTITAMBÉ</v>
      </c>
      <c r="B967" t="str">
        <f t="shared" si="31"/>
        <v>5023997CREME UHTITAMBÉ</v>
      </c>
      <c r="C967" s="5" t="s">
        <v>226</v>
      </c>
      <c r="D967" s="5" t="s">
        <v>727</v>
      </c>
      <c r="E967" s="5" t="s">
        <v>733</v>
      </c>
      <c r="F967" s="5">
        <v>5023997</v>
      </c>
      <c r="G967" s="5" t="s">
        <v>738</v>
      </c>
      <c r="H967" s="5" t="s">
        <v>25</v>
      </c>
      <c r="I967" s="5" t="s">
        <v>27</v>
      </c>
      <c r="J967" s="5" t="s">
        <v>34</v>
      </c>
      <c r="K967" s="6">
        <v>0</v>
      </c>
      <c r="L967" s="7">
        <v>0</v>
      </c>
      <c r="M967" s="8">
        <v>38.4</v>
      </c>
      <c r="N967" s="8">
        <v>76.666666666666671</v>
      </c>
      <c r="O967" s="8">
        <v>66.997394545767676</v>
      </c>
      <c r="P967" s="8">
        <v>0</v>
      </c>
      <c r="Q967" s="8">
        <v>0</v>
      </c>
      <c r="R967" s="8">
        <v>0</v>
      </c>
      <c r="S967" s="8">
        <v>0</v>
      </c>
      <c r="T967" s="5">
        <v>0</v>
      </c>
      <c r="U967" s="5">
        <v>0</v>
      </c>
      <c r="V967" s="5">
        <f>VLOOKUP(A967,Planilha1!B:E,4,0)</f>
        <v>1.2362540170747773</v>
      </c>
    </row>
    <row r="968" spans="1:22" x14ac:dyDescent="0.3">
      <c r="A968" t="str">
        <f t="shared" si="30"/>
        <v>DOCE DE LEITEITAMBÉ</v>
      </c>
      <c r="B968" t="str">
        <f t="shared" si="31"/>
        <v>5023997DOCE DE LEITEITAMBÉ</v>
      </c>
      <c r="C968" s="5" t="s">
        <v>226</v>
      </c>
      <c r="D968" s="5" t="s">
        <v>727</v>
      </c>
      <c r="E968" s="5" t="s">
        <v>733</v>
      </c>
      <c r="F968" s="5">
        <v>5023997</v>
      </c>
      <c r="G968" s="5" t="s">
        <v>738</v>
      </c>
      <c r="H968" s="5" t="s">
        <v>25</v>
      </c>
      <c r="I968" s="5" t="s">
        <v>27</v>
      </c>
      <c r="J968" s="5" t="s">
        <v>46</v>
      </c>
      <c r="K968" s="6">
        <v>0</v>
      </c>
      <c r="L968" s="7">
        <v>0</v>
      </c>
      <c r="M968" s="8">
        <v>120.4</v>
      </c>
      <c r="N968" s="8">
        <v>193.66666666666669</v>
      </c>
      <c r="O968" s="8">
        <v>180.01028630207443</v>
      </c>
      <c r="P968" s="8">
        <v>0</v>
      </c>
      <c r="Q968" s="8">
        <v>0</v>
      </c>
      <c r="R968" s="8">
        <v>0</v>
      </c>
      <c r="S968" s="8">
        <v>180</v>
      </c>
      <c r="T968" s="5">
        <v>180</v>
      </c>
      <c r="U968" s="5">
        <v>82</v>
      </c>
      <c r="V968" s="5">
        <f>VLOOKUP(A968,Planilha1!B:E,4,0)</f>
        <v>5.8210743907543439</v>
      </c>
    </row>
    <row r="969" spans="1:22" x14ac:dyDescent="0.3">
      <c r="A969" t="str">
        <f t="shared" si="30"/>
        <v>BLISTERITAMBÉ</v>
      </c>
      <c r="B969" t="str">
        <f t="shared" si="31"/>
        <v>5051163BLISTERITAMBÉ</v>
      </c>
      <c r="C969" s="5" t="s">
        <v>226</v>
      </c>
      <c r="D969" s="5" t="s">
        <v>727</v>
      </c>
      <c r="E969" s="5" t="s">
        <v>733</v>
      </c>
      <c r="F969" s="5">
        <v>5051163</v>
      </c>
      <c r="G969" s="5" t="s">
        <v>739</v>
      </c>
      <c r="H969" s="5" t="s">
        <v>25</v>
      </c>
      <c r="I969" s="5" t="s">
        <v>27</v>
      </c>
      <c r="J969" s="5" t="s">
        <v>199</v>
      </c>
      <c r="K969" s="6">
        <v>0</v>
      </c>
      <c r="L969" s="7">
        <v>480</v>
      </c>
      <c r="M969" s="8">
        <v>348.8</v>
      </c>
      <c r="N969" s="8">
        <v>326.33333333333337</v>
      </c>
      <c r="O969" s="8">
        <v>289.04129232105703</v>
      </c>
      <c r="P969" s="8">
        <v>0</v>
      </c>
      <c r="Q969" s="8">
        <v>192</v>
      </c>
      <c r="R969" s="8">
        <v>0</v>
      </c>
      <c r="S969" s="8">
        <v>271</v>
      </c>
      <c r="T969" s="5">
        <v>270</v>
      </c>
      <c r="U969" s="5">
        <v>300</v>
      </c>
      <c r="V969" s="5">
        <f>VLOOKUP(A969,Planilha1!B:E,4,0)</f>
        <v>10.339882680976428</v>
      </c>
    </row>
    <row r="970" spans="1:22" x14ac:dyDescent="0.3">
      <c r="A970" t="str">
        <f t="shared" si="30"/>
        <v>DOCE DE LEITEITAMBÉ</v>
      </c>
      <c r="B970" t="str">
        <f t="shared" si="31"/>
        <v>5051163DOCE DE LEITEITAMBÉ</v>
      </c>
      <c r="C970" s="5" t="s">
        <v>226</v>
      </c>
      <c r="D970" s="5" t="s">
        <v>727</v>
      </c>
      <c r="E970" s="5" t="s">
        <v>733</v>
      </c>
      <c r="F970" s="5">
        <v>5051163</v>
      </c>
      <c r="G970" s="5" t="s">
        <v>739</v>
      </c>
      <c r="H970" s="5" t="s">
        <v>25</v>
      </c>
      <c r="I970" s="5" t="s">
        <v>27</v>
      </c>
      <c r="J970" s="5" t="s">
        <v>46</v>
      </c>
      <c r="K970" s="6">
        <v>0</v>
      </c>
      <c r="L970" s="7">
        <v>0</v>
      </c>
      <c r="M970" s="8">
        <v>103.33333333333334</v>
      </c>
      <c r="N970" s="8">
        <v>120</v>
      </c>
      <c r="O970" s="8">
        <v>86.004914566546674</v>
      </c>
      <c r="P970" s="8">
        <v>0</v>
      </c>
      <c r="Q970" s="8">
        <v>172.8</v>
      </c>
      <c r="R970" s="8">
        <v>0</v>
      </c>
      <c r="S970" s="8">
        <v>90</v>
      </c>
      <c r="T970" s="5">
        <v>90</v>
      </c>
      <c r="U970" s="5">
        <v>0</v>
      </c>
      <c r="V970" s="5">
        <f>VLOOKUP(A970,Planilha1!B:E,4,0)</f>
        <v>5.8210743907543439</v>
      </c>
    </row>
    <row r="971" spans="1:22" x14ac:dyDescent="0.3">
      <c r="A971" t="str">
        <f t="shared" si="30"/>
        <v>LEITE CONDENSADOITAMBÉ</v>
      </c>
      <c r="B971" t="str">
        <f t="shared" si="31"/>
        <v>5115690LEITE CONDENSADOITAMBÉ</v>
      </c>
      <c r="C971" s="5" t="s">
        <v>226</v>
      </c>
      <c r="D971" s="5" t="s">
        <v>727</v>
      </c>
      <c r="E971" s="5" t="s">
        <v>733</v>
      </c>
      <c r="F971" s="5">
        <v>5115690</v>
      </c>
      <c r="G971" s="5" t="s">
        <v>740</v>
      </c>
      <c r="H971" s="5" t="s">
        <v>25</v>
      </c>
      <c r="I971" s="5" t="s">
        <v>27</v>
      </c>
      <c r="J971" s="5" t="s">
        <v>33</v>
      </c>
      <c r="K971" s="6">
        <v>0</v>
      </c>
      <c r="L971" s="7">
        <v>600</v>
      </c>
      <c r="M971" s="8">
        <v>341.66666666666669</v>
      </c>
      <c r="N971" s="8">
        <v>500</v>
      </c>
      <c r="O971" s="8">
        <v>368.99335811955387</v>
      </c>
      <c r="P971" s="8">
        <v>0</v>
      </c>
      <c r="Q971" s="8">
        <v>0</v>
      </c>
      <c r="R971" s="8">
        <v>0</v>
      </c>
      <c r="S971" s="8">
        <v>350</v>
      </c>
      <c r="T971" s="5">
        <v>300</v>
      </c>
      <c r="U971" s="5">
        <v>0</v>
      </c>
      <c r="V971" s="5">
        <f>VLOOKUP(A971,Planilha1!B:E,4,0)</f>
        <v>1.4766792698630664</v>
      </c>
    </row>
    <row r="972" spans="1:22" x14ac:dyDescent="0.3">
      <c r="A972" t="str">
        <f t="shared" si="30"/>
        <v>CREME UHTITAMBÉ</v>
      </c>
      <c r="B972" t="str">
        <f t="shared" si="31"/>
        <v>5115690CREME UHTITAMBÉ</v>
      </c>
      <c r="C972" s="5" t="s">
        <v>226</v>
      </c>
      <c r="D972" s="5" t="s">
        <v>727</v>
      </c>
      <c r="E972" s="5" t="s">
        <v>733</v>
      </c>
      <c r="F972" s="5">
        <v>5115690</v>
      </c>
      <c r="G972" s="5" t="s">
        <v>740</v>
      </c>
      <c r="H972" s="5" t="s">
        <v>25</v>
      </c>
      <c r="I972" s="5" t="s">
        <v>27</v>
      </c>
      <c r="J972" s="5" t="s">
        <v>34</v>
      </c>
      <c r="K972" s="6">
        <v>0</v>
      </c>
      <c r="L972" s="7">
        <v>72</v>
      </c>
      <c r="M972" s="8">
        <v>42</v>
      </c>
      <c r="N972" s="8">
        <v>72</v>
      </c>
      <c r="O972" s="8">
        <v>77.996966784625059</v>
      </c>
      <c r="P972" s="8">
        <v>0</v>
      </c>
      <c r="Q972" s="8">
        <v>0</v>
      </c>
      <c r="R972" s="8">
        <v>0</v>
      </c>
      <c r="S972" s="8">
        <v>0</v>
      </c>
      <c r="T972" s="5">
        <v>0</v>
      </c>
      <c r="U972" s="5">
        <v>0</v>
      </c>
      <c r="V972" s="5">
        <f>VLOOKUP(A972,Planilha1!B:E,4,0)</f>
        <v>1.2362540170747773</v>
      </c>
    </row>
    <row r="973" spans="1:22" x14ac:dyDescent="0.3">
      <c r="A973" t="str">
        <f t="shared" si="30"/>
        <v>BLISTERITAMBÉ</v>
      </c>
      <c r="B973" t="str">
        <f t="shared" si="31"/>
        <v>5127060BLISTERITAMBÉ</v>
      </c>
      <c r="C973" s="5" t="s">
        <v>226</v>
      </c>
      <c r="D973" s="5" t="s">
        <v>727</v>
      </c>
      <c r="E973" s="5" t="s">
        <v>733</v>
      </c>
      <c r="F973" s="5">
        <v>5127060</v>
      </c>
      <c r="G973" s="5" t="s">
        <v>741</v>
      </c>
      <c r="H973" s="5" t="s">
        <v>25</v>
      </c>
      <c r="I973" s="5" t="s">
        <v>27</v>
      </c>
      <c r="J973" s="5" t="s">
        <v>199</v>
      </c>
      <c r="K973" s="6">
        <v>0</v>
      </c>
      <c r="L973" s="7">
        <v>503.03999999999996</v>
      </c>
      <c r="M973" s="8">
        <v>543.03999999999985</v>
      </c>
      <c r="N973" s="8">
        <v>411</v>
      </c>
      <c r="O973" s="8">
        <v>329.04700752120334</v>
      </c>
      <c r="P973" s="8">
        <v>0</v>
      </c>
      <c r="Q973" s="8">
        <v>19.2</v>
      </c>
      <c r="R973" s="8">
        <v>0</v>
      </c>
      <c r="S973" s="8">
        <v>329</v>
      </c>
      <c r="T973" s="5">
        <v>400</v>
      </c>
      <c r="U973" s="5">
        <v>400</v>
      </c>
      <c r="V973" s="5">
        <f>VLOOKUP(A973,Planilha1!B:E,4,0)</f>
        <v>10.339882680976428</v>
      </c>
    </row>
    <row r="974" spans="1:22" x14ac:dyDescent="0.3">
      <c r="A974" t="str">
        <f t="shared" si="30"/>
        <v>LEITE CONDENSADOITAMBÉ</v>
      </c>
      <c r="B974" t="str">
        <f t="shared" si="31"/>
        <v>5127060LEITE CONDENSADOITAMBÉ</v>
      </c>
      <c r="C974" s="5" t="s">
        <v>226</v>
      </c>
      <c r="D974" s="5" t="s">
        <v>727</v>
      </c>
      <c r="E974" s="5" t="s">
        <v>733</v>
      </c>
      <c r="F974" s="5">
        <v>5127060</v>
      </c>
      <c r="G974" s="5" t="s">
        <v>741</v>
      </c>
      <c r="H974" s="5" t="s">
        <v>25</v>
      </c>
      <c r="I974" s="5" t="s">
        <v>27</v>
      </c>
      <c r="J974" s="5" t="s">
        <v>33</v>
      </c>
      <c r="K974" s="6">
        <v>0</v>
      </c>
      <c r="L974" s="7">
        <v>0</v>
      </c>
      <c r="M974" s="8">
        <v>12.442499999999999</v>
      </c>
      <c r="N974" s="8">
        <v>0</v>
      </c>
      <c r="O974" s="8">
        <v>5.999892001943965</v>
      </c>
      <c r="P974" s="8">
        <v>0</v>
      </c>
      <c r="Q974" s="8">
        <v>0</v>
      </c>
      <c r="R974" s="8">
        <v>0</v>
      </c>
      <c r="S974" s="8">
        <v>0</v>
      </c>
      <c r="T974" s="5">
        <v>0</v>
      </c>
      <c r="U974" s="5">
        <v>0</v>
      </c>
      <c r="V974" s="5">
        <f>VLOOKUP(A974,Planilha1!B:E,4,0)</f>
        <v>1.4766792698630664</v>
      </c>
    </row>
    <row r="975" spans="1:22" x14ac:dyDescent="0.3">
      <c r="A975" t="str">
        <f t="shared" si="30"/>
        <v>CREME UHTITAMBÉ</v>
      </c>
      <c r="B975" t="str">
        <f t="shared" si="31"/>
        <v>5127060CREME UHTITAMBÉ</v>
      </c>
      <c r="C975" s="5" t="s">
        <v>226</v>
      </c>
      <c r="D975" s="5" t="s">
        <v>727</v>
      </c>
      <c r="E975" s="5" t="s">
        <v>733</v>
      </c>
      <c r="F975" s="5">
        <v>5127060</v>
      </c>
      <c r="G975" s="5" t="s">
        <v>741</v>
      </c>
      <c r="H975" s="5" t="s">
        <v>25</v>
      </c>
      <c r="I975" s="5" t="s">
        <v>27</v>
      </c>
      <c r="J975" s="5" t="s">
        <v>34</v>
      </c>
      <c r="K975" s="6">
        <v>0</v>
      </c>
      <c r="L975" s="7">
        <v>59.279999999999994</v>
      </c>
      <c r="M975" s="8">
        <v>68.040000000000006</v>
      </c>
      <c r="N975" s="8">
        <v>1.6666666666666667</v>
      </c>
      <c r="O975" s="8">
        <v>168.99342803335429</v>
      </c>
      <c r="P975" s="8">
        <v>0</v>
      </c>
      <c r="Q975" s="8">
        <v>0</v>
      </c>
      <c r="R975" s="8">
        <v>0</v>
      </c>
      <c r="S975" s="8">
        <v>0</v>
      </c>
      <c r="T975" s="5">
        <v>0</v>
      </c>
      <c r="U975" s="5">
        <v>5</v>
      </c>
      <c r="V975" s="5">
        <f>VLOOKUP(A975,Planilha1!B:E,4,0)</f>
        <v>1.2362540170747773</v>
      </c>
    </row>
    <row r="976" spans="1:22" x14ac:dyDescent="0.3">
      <c r="A976" t="str">
        <f t="shared" si="30"/>
        <v>LEITE UHTITAMBÉ</v>
      </c>
      <c r="B976" t="str">
        <f t="shared" si="31"/>
        <v>5127060LEITE UHTITAMBÉ</v>
      </c>
      <c r="C976" s="5" t="s">
        <v>226</v>
      </c>
      <c r="D976" s="5" t="s">
        <v>727</v>
      </c>
      <c r="E976" s="5" t="s">
        <v>733</v>
      </c>
      <c r="F976" s="5">
        <v>5127060</v>
      </c>
      <c r="G976" s="5" t="s">
        <v>741</v>
      </c>
      <c r="H976" s="5" t="s">
        <v>25</v>
      </c>
      <c r="I976" s="5" t="s">
        <v>27</v>
      </c>
      <c r="J976" s="5" t="s">
        <v>156</v>
      </c>
      <c r="K976" s="6">
        <v>0</v>
      </c>
      <c r="L976" s="7">
        <v>600</v>
      </c>
      <c r="M976" s="8">
        <v>497.16666666666669</v>
      </c>
      <c r="N976" s="8">
        <v>120</v>
      </c>
      <c r="O976" s="8">
        <v>1586.9823668625904</v>
      </c>
      <c r="P976" s="8">
        <v>0</v>
      </c>
      <c r="Q976" s="8">
        <v>72</v>
      </c>
      <c r="R976" s="8">
        <v>0</v>
      </c>
      <c r="S976" s="8">
        <v>0</v>
      </c>
      <c r="T976" s="5">
        <v>0</v>
      </c>
      <c r="U976" s="5">
        <v>0</v>
      </c>
      <c r="V976" s="5">
        <f>VLOOKUP(A976,Planilha1!B:E,4,0)</f>
        <v>-0.14425288609148015</v>
      </c>
    </row>
    <row r="977" spans="1:22" x14ac:dyDescent="0.3">
      <c r="A977" t="str">
        <f t="shared" si="30"/>
        <v>LEITE CONDENSADOITAMBÉ</v>
      </c>
      <c r="B977" t="str">
        <f t="shared" si="31"/>
        <v>5151763LEITE CONDENSADOITAMBÉ</v>
      </c>
      <c r="C977" s="5" t="s">
        <v>226</v>
      </c>
      <c r="D977" s="5" t="s">
        <v>727</v>
      </c>
      <c r="E977" s="5" t="s">
        <v>733</v>
      </c>
      <c r="F977" s="5">
        <v>5151763</v>
      </c>
      <c r="G977" s="5" t="s">
        <v>742</v>
      </c>
      <c r="H977" s="5" t="s">
        <v>25</v>
      </c>
      <c r="I977" s="5" t="s">
        <v>27</v>
      </c>
      <c r="J977" s="5" t="s">
        <v>33</v>
      </c>
      <c r="K977" s="6">
        <v>0</v>
      </c>
      <c r="L977" s="7">
        <v>0</v>
      </c>
      <c r="M977" s="8">
        <v>0</v>
      </c>
      <c r="N977" s="8">
        <v>0</v>
      </c>
      <c r="O977" s="8">
        <v>465.99161215098133</v>
      </c>
      <c r="P977" s="8">
        <v>0</v>
      </c>
      <c r="Q977" s="8">
        <v>0</v>
      </c>
      <c r="R977" s="8">
        <v>0</v>
      </c>
      <c r="S977" s="8">
        <v>400</v>
      </c>
      <c r="T977" s="5">
        <v>400</v>
      </c>
      <c r="U977" s="5">
        <v>0</v>
      </c>
      <c r="V977" s="5">
        <f>VLOOKUP(A977,Planilha1!B:E,4,0)</f>
        <v>1.4766792698630664</v>
      </c>
    </row>
    <row r="978" spans="1:22" x14ac:dyDescent="0.3">
      <c r="A978" t="str">
        <f t="shared" si="30"/>
        <v>BLISTERITAMBÉ</v>
      </c>
      <c r="B978" t="str">
        <f t="shared" si="31"/>
        <v>5159222BLISTERITAMBÉ</v>
      </c>
      <c r="C978" s="5" t="s">
        <v>226</v>
      </c>
      <c r="D978" s="5" t="s">
        <v>727</v>
      </c>
      <c r="E978" s="5" t="s">
        <v>733</v>
      </c>
      <c r="F978" s="5">
        <v>5159222</v>
      </c>
      <c r="G978" s="5" t="s">
        <v>743</v>
      </c>
      <c r="H978" s="5" t="s">
        <v>25</v>
      </c>
      <c r="I978" s="5" t="s">
        <v>27</v>
      </c>
      <c r="J978" s="5" t="s">
        <v>199</v>
      </c>
      <c r="K978" s="6">
        <v>0</v>
      </c>
      <c r="L978" s="7">
        <v>192</v>
      </c>
      <c r="M978" s="8">
        <v>78.08</v>
      </c>
      <c r="N978" s="8">
        <v>73.333333333333343</v>
      </c>
      <c r="O978" s="8">
        <v>102.01457376037307</v>
      </c>
      <c r="P978" s="8">
        <v>0</v>
      </c>
      <c r="Q978" s="8">
        <v>192</v>
      </c>
      <c r="R978" s="8">
        <v>0</v>
      </c>
      <c r="S978" s="8">
        <v>155</v>
      </c>
      <c r="T978" s="5">
        <v>200</v>
      </c>
      <c r="U978" s="5">
        <v>115</v>
      </c>
      <c r="V978" s="5">
        <f>VLOOKUP(A978,Planilha1!B:E,4,0)</f>
        <v>10.339882680976428</v>
      </c>
    </row>
    <row r="979" spans="1:22" x14ac:dyDescent="0.3">
      <c r="A979" t="str">
        <f t="shared" si="30"/>
        <v>LEITE CONDENSADOITAMBÉ</v>
      </c>
      <c r="B979" t="str">
        <f t="shared" si="31"/>
        <v>5159222LEITE CONDENSADOITAMBÉ</v>
      </c>
      <c r="C979" s="5" t="s">
        <v>226</v>
      </c>
      <c r="D979" s="5" t="s">
        <v>727</v>
      </c>
      <c r="E979" s="5" t="s">
        <v>733</v>
      </c>
      <c r="F979" s="5">
        <v>5159222</v>
      </c>
      <c r="G979" s="5" t="s">
        <v>743</v>
      </c>
      <c r="H979" s="5" t="s">
        <v>25</v>
      </c>
      <c r="I979" s="5" t="s">
        <v>27</v>
      </c>
      <c r="J979" s="5" t="s">
        <v>33</v>
      </c>
      <c r="K979" s="6">
        <v>0</v>
      </c>
      <c r="L979" s="7">
        <v>600</v>
      </c>
      <c r="M979" s="8">
        <v>1141.6666666666665</v>
      </c>
      <c r="N979" s="8">
        <v>610</v>
      </c>
      <c r="O979" s="8">
        <v>1868.9663586055451</v>
      </c>
      <c r="P979" s="8">
        <v>0</v>
      </c>
      <c r="Q979" s="8">
        <v>400</v>
      </c>
      <c r="R979" s="8">
        <v>0</v>
      </c>
      <c r="S979" s="8">
        <v>800</v>
      </c>
      <c r="T979" s="5">
        <v>800</v>
      </c>
      <c r="U979" s="5">
        <v>300</v>
      </c>
      <c r="V979" s="5">
        <f>VLOOKUP(A979,Planilha1!B:E,4,0)</f>
        <v>1.4766792698630664</v>
      </c>
    </row>
    <row r="980" spans="1:22" x14ac:dyDescent="0.3">
      <c r="A980" t="str">
        <f t="shared" si="30"/>
        <v>CREME UHTITAMBÉ</v>
      </c>
      <c r="B980" t="str">
        <f t="shared" si="31"/>
        <v>5159222CREME UHTITAMBÉ</v>
      </c>
      <c r="C980" s="5" t="s">
        <v>226</v>
      </c>
      <c r="D980" s="5" t="s">
        <v>727</v>
      </c>
      <c r="E980" s="5" t="s">
        <v>733</v>
      </c>
      <c r="F980" s="5">
        <v>5159222</v>
      </c>
      <c r="G980" s="5" t="s">
        <v>743</v>
      </c>
      <c r="H980" s="5" t="s">
        <v>25</v>
      </c>
      <c r="I980" s="5" t="s">
        <v>27</v>
      </c>
      <c r="J980" s="5" t="s">
        <v>34</v>
      </c>
      <c r="K980" s="6">
        <v>0</v>
      </c>
      <c r="L980" s="7">
        <v>36.36</v>
      </c>
      <c r="M980" s="8">
        <v>846.38000000000011</v>
      </c>
      <c r="N980" s="8">
        <v>844.33333333333337</v>
      </c>
      <c r="O980" s="8">
        <v>564.97802863222</v>
      </c>
      <c r="P980" s="8">
        <v>0</v>
      </c>
      <c r="Q980" s="8">
        <v>545.4</v>
      </c>
      <c r="R980" s="8">
        <v>0</v>
      </c>
      <c r="S980" s="8">
        <v>154</v>
      </c>
      <c r="T980" s="5">
        <v>600</v>
      </c>
      <c r="U980" s="5">
        <v>0</v>
      </c>
      <c r="V980" s="5">
        <f>VLOOKUP(A980,Planilha1!B:E,4,0)</f>
        <v>1.2362540170747773</v>
      </c>
    </row>
    <row r="981" spans="1:22" x14ac:dyDescent="0.3">
      <c r="A981" t="str">
        <f t="shared" si="30"/>
        <v>DOCE DE LEITEITAMBÉ</v>
      </c>
      <c r="B981" t="str">
        <f t="shared" si="31"/>
        <v>5159222DOCE DE LEITEITAMBÉ</v>
      </c>
      <c r="C981" s="5" t="s">
        <v>226</v>
      </c>
      <c r="D981" s="5" t="s">
        <v>727</v>
      </c>
      <c r="E981" s="5" t="s">
        <v>733</v>
      </c>
      <c r="F981" s="5">
        <v>5159222</v>
      </c>
      <c r="G981" s="5" t="s">
        <v>743</v>
      </c>
      <c r="H981" s="5" t="s">
        <v>25</v>
      </c>
      <c r="I981" s="5" t="s">
        <v>27</v>
      </c>
      <c r="J981" s="5" t="s">
        <v>46</v>
      </c>
      <c r="K981" s="6">
        <v>0</v>
      </c>
      <c r="L981" s="7">
        <v>0</v>
      </c>
      <c r="M981" s="8">
        <v>28.333333333333336</v>
      </c>
      <c r="N981" s="8">
        <v>0</v>
      </c>
      <c r="O981" s="8">
        <v>107.00611463512203</v>
      </c>
      <c r="P981" s="8">
        <v>0</v>
      </c>
      <c r="Q981" s="8">
        <v>20</v>
      </c>
      <c r="R981" s="8">
        <v>0</v>
      </c>
      <c r="S981" s="8">
        <v>50</v>
      </c>
      <c r="T981" s="5">
        <v>50</v>
      </c>
      <c r="U981" s="5">
        <v>107</v>
      </c>
      <c r="V981" s="5">
        <f>VLOOKUP(A981,Planilha1!B:E,4,0)</f>
        <v>5.8210743907543439</v>
      </c>
    </row>
    <row r="982" spans="1:22" x14ac:dyDescent="0.3">
      <c r="A982" t="str">
        <f t="shared" si="30"/>
        <v>MANTEIGA 5KGITAMBÉ</v>
      </c>
      <c r="B982" t="str">
        <f t="shared" si="31"/>
        <v>5159222MANTEIGA 5KGITAMBÉ</v>
      </c>
      <c r="C982" s="5" t="s">
        <v>226</v>
      </c>
      <c r="D982" s="5" t="s">
        <v>727</v>
      </c>
      <c r="E982" s="5" t="s">
        <v>733</v>
      </c>
      <c r="F982" s="5">
        <v>5159222</v>
      </c>
      <c r="G982" s="5" t="s">
        <v>743</v>
      </c>
      <c r="H982" s="5" t="s">
        <v>25</v>
      </c>
      <c r="I982" s="5" t="s">
        <v>27</v>
      </c>
      <c r="J982" s="5" t="s">
        <v>60</v>
      </c>
      <c r="K982" s="6">
        <v>0</v>
      </c>
      <c r="L982" s="7">
        <v>0</v>
      </c>
      <c r="M982" s="8">
        <v>0</v>
      </c>
      <c r="N982" s="8">
        <v>0</v>
      </c>
      <c r="O982" s="8">
        <v>500</v>
      </c>
      <c r="P982" s="8">
        <v>0</v>
      </c>
      <c r="Q982" s="8">
        <v>0</v>
      </c>
      <c r="R982" s="8">
        <v>0</v>
      </c>
      <c r="S982" s="8">
        <v>0</v>
      </c>
      <c r="T982" s="5">
        <v>100</v>
      </c>
      <c r="U982" s="5">
        <v>0</v>
      </c>
      <c r="V982" s="5">
        <f>VLOOKUP(A982,Planilha1!B:E,4,0)</f>
        <v>5.819800475298738</v>
      </c>
    </row>
    <row r="983" spans="1:22" x14ac:dyDescent="0.3">
      <c r="A983" t="str">
        <f t="shared" si="30"/>
        <v>LEITE CONDENSADOITAMBÉ</v>
      </c>
      <c r="B983" t="str">
        <f t="shared" si="31"/>
        <v>5159508LEITE CONDENSADOITAMBÉ</v>
      </c>
      <c r="C983" s="5" t="s">
        <v>226</v>
      </c>
      <c r="D983" s="5" t="s">
        <v>727</v>
      </c>
      <c r="E983" s="5" t="s">
        <v>733</v>
      </c>
      <c r="F983" s="5">
        <v>5159508</v>
      </c>
      <c r="G983" s="5" t="s">
        <v>744</v>
      </c>
      <c r="H983" s="5" t="s">
        <v>25</v>
      </c>
      <c r="I983" s="5" t="s">
        <v>27</v>
      </c>
      <c r="J983" s="5" t="s">
        <v>33</v>
      </c>
      <c r="K983" s="6">
        <v>0</v>
      </c>
      <c r="L983" s="7">
        <v>0</v>
      </c>
      <c r="M983" s="8">
        <v>215.28666666666666</v>
      </c>
      <c r="N983" s="8">
        <v>62</v>
      </c>
      <c r="O983" s="8">
        <v>74.998650024299565</v>
      </c>
      <c r="P983" s="8">
        <v>0</v>
      </c>
      <c r="Q983" s="8">
        <v>896.55</v>
      </c>
      <c r="R983" s="8">
        <v>0</v>
      </c>
      <c r="S983" s="8">
        <v>75</v>
      </c>
      <c r="T983" s="5">
        <v>80</v>
      </c>
      <c r="U983" s="5">
        <v>0</v>
      </c>
      <c r="V983" s="5">
        <f>VLOOKUP(A983,Planilha1!B:E,4,0)</f>
        <v>1.4766792698630664</v>
      </c>
    </row>
    <row r="984" spans="1:22" x14ac:dyDescent="0.3">
      <c r="A984" t="str">
        <f t="shared" si="30"/>
        <v>CREME UHTITAMBÉ</v>
      </c>
      <c r="B984" t="str">
        <f t="shared" si="31"/>
        <v>5159508CREME UHTITAMBÉ</v>
      </c>
      <c r="C984" s="5" t="s">
        <v>226</v>
      </c>
      <c r="D984" s="5" t="s">
        <v>727</v>
      </c>
      <c r="E984" s="5" t="s">
        <v>733</v>
      </c>
      <c r="F984" s="5">
        <v>5159508</v>
      </c>
      <c r="G984" s="5" t="s">
        <v>744</v>
      </c>
      <c r="H984" s="5" t="s">
        <v>25</v>
      </c>
      <c r="I984" s="5" t="s">
        <v>27</v>
      </c>
      <c r="J984" s="5" t="s">
        <v>34</v>
      </c>
      <c r="K984" s="6">
        <v>0</v>
      </c>
      <c r="L984" s="7">
        <v>0</v>
      </c>
      <c r="M984" s="8">
        <v>159.58000000000001</v>
      </c>
      <c r="N984" s="8">
        <v>24.333333333333332</v>
      </c>
      <c r="O984" s="8">
        <v>276.98922819668132</v>
      </c>
      <c r="P984" s="8">
        <v>0</v>
      </c>
      <c r="Q984" s="8">
        <v>218.16</v>
      </c>
      <c r="R984" s="8">
        <v>0</v>
      </c>
      <c r="S984" s="8">
        <v>0</v>
      </c>
      <c r="T984" s="5">
        <v>0</v>
      </c>
      <c r="U984" s="5">
        <v>0</v>
      </c>
      <c r="V984" s="5">
        <f>VLOOKUP(A984,Planilha1!B:E,4,0)</f>
        <v>1.2362540170747773</v>
      </c>
    </row>
    <row r="985" spans="1:22" x14ac:dyDescent="0.3">
      <c r="A985" t="str">
        <f t="shared" si="30"/>
        <v>COMPOSTOITAMBÉ</v>
      </c>
      <c r="B985" t="str">
        <f t="shared" si="31"/>
        <v>5160852COMPOSTOITAMBÉ</v>
      </c>
      <c r="C985" s="5" t="s">
        <v>226</v>
      </c>
      <c r="D985" s="5" t="s">
        <v>727</v>
      </c>
      <c r="E985" s="5" t="s">
        <v>733</v>
      </c>
      <c r="F985" s="5">
        <v>5160852</v>
      </c>
      <c r="G985" s="5" t="s">
        <v>745</v>
      </c>
      <c r="H985" s="5" t="s">
        <v>25</v>
      </c>
      <c r="I985" s="5" t="s">
        <v>27</v>
      </c>
      <c r="J985" s="5" t="s">
        <v>26</v>
      </c>
      <c r="K985" s="6">
        <v>0</v>
      </c>
      <c r="L985" s="7">
        <v>-75</v>
      </c>
      <c r="M985" s="8">
        <v>2304.1666666666665</v>
      </c>
      <c r="N985" s="8">
        <v>1946.6666666666667</v>
      </c>
      <c r="O985" s="8">
        <v>1668.077843632703</v>
      </c>
      <c r="P985" s="8">
        <v>0</v>
      </c>
      <c r="Q985" s="8">
        <v>0</v>
      </c>
      <c r="R985" s="8">
        <v>0</v>
      </c>
      <c r="S985" s="8">
        <v>2000</v>
      </c>
      <c r="T985" s="5">
        <v>1500</v>
      </c>
      <c r="U985" s="5">
        <v>700</v>
      </c>
      <c r="V985" s="5">
        <f>VLOOKUP(A985,Planilha1!B:E,4,0)</f>
        <v>0.15618217875936719</v>
      </c>
    </row>
    <row r="986" spans="1:22" x14ac:dyDescent="0.3">
      <c r="A986" t="str">
        <f t="shared" si="30"/>
        <v>COMPOSTOITAMBÉ</v>
      </c>
      <c r="B986" t="str">
        <f t="shared" si="31"/>
        <v>5194928COMPOSTOITAMBÉ</v>
      </c>
      <c r="C986" s="5" t="s">
        <v>226</v>
      </c>
      <c r="D986" s="5" t="s">
        <v>727</v>
      </c>
      <c r="E986" s="5" t="s">
        <v>733</v>
      </c>
      <c r="F986" s="5">
        <v>5194928</v>
      </c>
      <c r="G986" s="5" t="s">
        <v>746</v>
      </c>
      <c r="H986" s="5" t="s">
        <v>25</v>
      </c>
      <c r="I986" s="5" t="s">
        <v>27</v>
      </c>
      <c r="J986" s="5" t="s">
        <v>26</v>
      </c>
      <c r="K986" s="6">
        <v>0</v>
      </c>
      <c r="L986" s="7">
        <v>0</v>
      </c>
      <c r="M986" s="8">
        <v>1187.5</v>
      </c>
      <c r="N986" s="8">
        <v>1066.6666666666667</v>
      </c>
      <c r="O986" s="8">
        <v>913.04260865507069</v>
      </c>
      <c r="P986" s="8">
        <v>0</v>
      </c>
      <c r="Q986" s="8">
        <v>0</v>
      </c>
      <c r="R986" s="8">
        <v>0</v>
      </c>
      <c r="S986" s="8">
        <v>1000</v>
      </c>
      <c r="T986" s="5">
        <v>800</v>
      </c>
      <c r="U986" s="5">
        <v>500</v>
      </c>
      <c r="V986" s="5">
        <f>VLOOKUP(A986,Planilha1!B:E,4,0)</f>
        <v>0.15618217875936719</v>
      </c>
    </row>
    <row r="987" spans="1:22" x14ac:dyDescent="0.3">
      <c r="A987" t="str">
        <f t="shared" si="30"/>
        <v>COMPOSTOITAMBÉ</v>
      </c>
      <c r="B987" t="str">
        <f t="shared" si="31"/>
        <v>5224404COMPOSTOITAMBÉ</v>
      </c>
      <c r="C987" s="5" t="s">
        <v>226</v>
      </c>
      <c r="D987" s="5" t="s">
        <v>727</v>
      </c>
      <c r="E987" s="5" t="s">
        <v>733</v>
      </c>
      <c r="F987" s="5">
        <v>5224404</v>
      </c>
      <c r="G987" s="5" t="s">
        <v>747</v>
      </c>
      <c r="H987" s="5" t="s">
        <v>25</v>
      </c>
      <c r="I987" s="5" t="s">
        <v>27</v>
      </c>
      <c r="J987" s="5" t="s">
        <v>26</v>
      </c>
      <c r="K987" s="6">
        <v>0</v>
      </c>
      <c r="L987" s="7">
        <v>4000</v>
      </c>
      <c r="M987" s="8">
        <v>0</v>
      </c>
      <c r="N987" s="8">
        <v>0</v>
      </c>
      <c r="O987" s="8">
        <v>1176</v>
      </c>
      <c r="P987" s="8">
        <v>0</v>
      </c>
      <c r="Q987" s="8">
        <v>0</v>
      </c>
      <c r="R987" s="8">
        <v>0</v>
      </c>
      <c r="S987" s="8">
        <v>600</v>
      </c>
      <c r="T987" s="5">
        <v>500</v>
      </c>
      <c r="U987" s="5">
        <v>200</v>
      </c>
      <c r="V987" s="5">
        <f>VLOOKUP(A987,Planilha1!B:E,4,0)</f>
        <v>0.15618217875936719</v>
      </c>
    </row>
    <row r="988" spans="1:22" x14ac:dyDescent="0.3">
      <c r="A988" t="str">
        <f t="shared" si="30"/>
        <v>COMPOSTOITAMBÉ</v>
      </c>
      <c r="B988" t="str">
        <f t="shared" si="31"/>
        <v>5308411COMPOSTOITAMBÉ</v>
      </c>
      <c r="C988" s="5" t="s">
        <v>226</v>
      </c>
      <c r="D988" s="5" t="s">
        <v>727</v>
      </c>
      <c r="E988" s="5" t="s">
        <v>733</v>
      </c>
      <c r="F988" s="5">
        <v>5308411</v>
      </c>
      <c r="G988" s="5" t="s">
        <v>748</v>
      </c>
      <c r="H988" s="5" t="s">
        <v>25</v>
      </c>
      <c r="I988" s="5" t="s">
        <v>27</v>
      </c>
      <c r="J988" s="5" t="s">
        <v>26</v>
      </c>
      <c r="K988" s="6">
        <v>0</v>
      </c>
      <c r="L988" s="7">
        <v>0</v>
      </c>
      <c r="M988" s="8">
        <v>750.99999999999989</v>
      </c>
      <c r="N988" s="8">
        <v>896.66666666666663</v>
      </c>
      <c r="O988" s="8">
        <v>1498.0699099291301</v>
      </c>
      <c r="P988" s="8">
        <v>0</v>
      </c>
      <c r="Q988" s="8">
        <v>2100</v>
      </c>
      <c r="R988" s="8">
        <v>0</v>
      </c>
      <c r="S988" s="8">
        <v>1500</v>
      </c>
      <c r="T988" s="5">
        <v>2000</v>
      </c>
      <c r="U988" s="5">
        <v>2100</v>
      </c>
      <c r="V988" s="5">
        <f>VLOOKUP(A988,Planilha1!B:E,4,0)</f>
        <v>0.15618217875936719</v>
      </c>
    </row>
    <row r="989" spans="1:22" x14ac:dyDescent="0.3">
      <c r="A989" t="str">
        <f t="shared" si="30"/>
        <v>LEITE CONDENSADOITAMBÉ</v>
      </c>
      <c r="B989" t="str">
        <f t="shared" si="31"/>
        <v>5308411LEITE CONDENSADOITAMBÉ</v>
      </c>
      <c r="C989" s="5" t="s">
        <v>226</v>
      </c>
      <c r="D989" s="5" t="s">
        <v>727</v>
      </c>
      <c r="E989" s="5" t="s">
        <v>733</v>
      </c>
      <c r="F989" s="5">
        <v>5308411</v>
      </c>
      <c r="G989" s="5" t="s">
        <v>748</v>
      </c>
      <c r="H989" s="5" t="s">
        <v>25</v>
      </c>
      <c r="I989" s="5" t="s">
        <v>27</v>
      </c>
      <c r="J989" s="5" t="s">
        <v>33</v>
      </c>
      <c r="K989" s="6">
        <v>0</v>
      </c>
      <c r="L989" s="7">
        <v>0</v>
      </c>
      <c r="M989" s="8">
        <v>2801.6</v>
      </c>
      <c r="N989" s="8">
        <v>2676.333333333333</v>
      </c>
      <c r="O989" s="8">
        <v>1887.966016611701</v>
      </c>
      <c r="P989" s="8">
        <v>0</v>
      </c>
      <c r="Q989" s="8">
        <v>0</v>
      </c>
      <c r="R989" s="8">
        <v>0</v>
      </c>
      <c r="S989" s="8">
        <v>2500</v>
      </c>
      <c r="T989" s="5">
        <v>2000</v>
      </c>
      <c r="U989" s="5">
        <v>8454</v>
      </c>
      <c r="V989" s="5">
        <f>VLOOKUP(A989,Planilha1!B:E,4,0)</f>
        <v>1.4766792698630664</v>
      </c>
    </row>
    <row r="990" spans="1:22" x14ac:dyDescent="0.3">
      <c r="A990" t="str">
        <f t="shared" si="30"/>
        <v>CREME UHTITAMBÉ</v>
      </c>
      <c r="B990" t="str">
        <f t="shared" si="31"/>
        <v>5308411CREME UHTITAMBÉ</v>
      </c>
      <c r="C990" s="5" t="s">
        <v>226</v>
      </c>
      <c r="D990" s="5" t="s">
        <v>727</v>
      </c>
      <c r="E990" s="5" t="s">
        <v>733</v>
      </c>
      <c r="F990" s="5">
        <v>5308411</v>
      </c>
      <c r="G990" s="5" t="s">
        <v>748</v>
      </c>
      <c r="H990" s="5" t="s">
        <v>25</v>
      </c>
      <c r="I990" s="5" t="s">
        <v>27</v>
      </c>
      <c r="J990" s="5" t="s">
        <v>34</v>
      </c>
      <c r="K990" s="6">
        <v>0</v>
      </c>
      <c r="L990" s="7">
        <v>0</v>
      </c>
      <c r="M990" s="8">
        <v>4586</v>
      </c>
      <c r="N990" s="8">
        <v>2341</v>
      </c>
      <c r="O990" s="8">
        <v>1956.9238974039902</v>
      </c>
      <c r="P990" s="8">
        <v>0</v>
      </c>
      <c r="Q990" s="8">
        <v>0</v>
      </c>
      <c r="R990" s="8">
        <v>0</v>
      </c>
      <c r="S990" s="8">
        <v>1900</v>
      </c>
      <c r="T990" s="5">
        <v>1000</v>
      </c>
      <c r="U990" s="5">
        <v>12752</v>
      </c>
      <c r="V990" s="5">
        <f>VLOOKUP(A990,Planilha1!B:E,4,0)</f>
        <v>1.2362540170747773</v>
      </c>
    </row>
    <row r="991" spans="1:22" x14ac:dyDescent="0.3">
      <c r="A991" t="str">
        <f t="shared" si="30"/>
        <v>DOCE DE LEITEITAMBÉ</v>
      </c>
      <c r="B991" t="str">
        <f t="shared" si="31"/>
        <v>5308411DOCE DE LEITEITAMBÉ</v>
      </c>
      <c r="C991" s="5" t="s">
        <v>226</v>
      </c>
      <c r="D991" s="5" t="s">
        <v>727</v>
      </c>
      <c r="E991" s="5" t="s">
        <v>733</v>
      </c>
      <c r="F991" s="5">
        <v>5308411</v>
      </c>
      <c r="G991" s="5" t="s">
        <v>748</v>
      </c>
      <c r="H991" s="5" t="s">
        <v>25</v>
      </c>
      <c r="I991" s="5" t="s">
        <v>27</v>
      </c>
      <c r="J991" s="5" t="s">
        <v>46</v>
      </c>
      <c r="K991" s="6">
        <v>0</v>
      </c>
      <c r="L991" s="7">
        <v>0</v>
      </c>
      <c r="M991" s="8">
        <v>460.79999999999995</v>
      </c>
      <c r="N991" s="8">
        <v>614.66666666666663</v>
      </c>
      <c r="O991" s="8">
        <v>723.04131664666568</v>
      </c>
      <c r="P991" s="8">
        <v>0</v>
      </c>
      <c r="Q991" s="8">
        <v>0</v>
      </c>
      <c r="R991" s="8">
        <v>0</v>
      </c>
      <c r="S991" s="8">
        <v>723</v>
      </c>
      <c r="T991" s="5">
        <v>700</v>
      </c>
      <c r="U991" s="5">
        <v>1843</v>
      </c>
      <c r="V991" s="5">
        <f>VLOOKUP(A991,Planilha1!B:E,4,0)</f>
        <v>5.8210743907543439</v>
      </c>
    </row>
    <row r="992" spans="1:22" x14ac:dyDescent="0.3">
      <c r="A992" t="str">
        <f t="shared" si="30"/>
        <v>DOCE DE LEITEITAMBÉ</v>
      </c>
      <c r="B992" t="str">
        <f t="shared" si="31"/>
        <v>5348271DOCE DE LEITEITAMBÉ</v>
      </c>
      <c r="C992" s="5" t="s">
        <v>226</v>
      </c>
      <c r="D992" s="5" t="s">
        <v>727</v>
      </c>
      <c r="E992" s="5" t="s">
        <v>733</v>
      </c>
      <c r="F992" s="5">
        <v>5348271</v>
      </c>
      <c r="G992" s="5" t="s">
        <v>749</v>
      </c>
      <c r="H992" s="5" t="s">
        <v>25</v>
      </c>
      <c r="I992" s="5" t="s">
        <v>27</v>
      </c>
      <c r="J992" s="5" t="s">
        <v>46</v>
      </c>
      <c r="K992" s="6">
        <v>0</v>
      </c>
      <c r="L992" s="7">
        <v>0</v>
      </c>
      <c r="M992" s="8">
        <v>59</v>
      </c>
      <c r="N992" s="8">
        <v>0</v>
      </c>
      <c r="O992" s="8">
        <v>109.00622892736729</v>
      </c>
      <c r="P992" s="8">
        <v>0</v>
      </c>
      <c r="Q992" s="8">
        <v>0</v>
      </c>
      <c r="R992" s="8">
        <v>0</v>
      </c>
      <c r="S992" s="8">
        <v>0</v>
      </c>
      <c r="T992" s="5">
        <v>0</v>
      </c>
      <c r="U992" s="5">
        <v>109</v>
      </c>
      <c r="V992" s="5">
        <f>VLOOKUP(A992,Planilha1!B:E,4,0)</f>
        <v>5.8210743907543439</v>
      </c>
    </row>
    <row r="993" spans="1:22" x14ac:dyDescent="0.3">
      <c r="A993" t="str">
        <f t="shared" si="30"/>
        <v>LEITE CONDENSADOITAMBÉ</v>
      </c>
      <c r="B993" t="str">
        <f t="shared" si="31"/>
        <v>5349287LEITE CONDENSADOITAMBÉ</v>
      </c>
      <c r="C993" s="5" t="s">
        <v>226</v>
      </c>
      <c r="D993" s="5" t="s">
        <v>727</v>
      </c>
      <c r="E993" s="5" t="s">
        <v>733</v>
      </c>
      <c r="F993" s="5">
        <v>5349287</v>
      </c>
      <c r="G993" s="5" t="s">
        <v>750</v>
      </c>
      <c r="H993" s="5" t="s">
        <v>25</v>
      </c>
      <c r="I993" s="5" t="s">
        <v>27</v>
      </c>
      <c r="J993" s="5" t="s">
        <v>33</v>
      </c>
      <c r="K993" s="6">
        <v>0</v>
      </c>
      <c r="L993" s="7">
        <v>0</v>
      </c>
      <c r="M993" s="8">
        <v>194.99833333333336</v>
      </c>
      <c r="N993" s="8">
        <v>172</v>
      </c>
      <c r="O993" s="8">
        <v>255.99539208294252</v>
      </c>
      <c r="P993" s="8">
        <v>0</v>
      </c>
      <c r="Q993" s="8">
        <v>0</v>
      </c>
      <c r="R993" s="8">
        <v>0</v>
      </c>
      <c r="S993" s="8">
        <v>250</v>
      </c>
      <c r="T993" s="5">
        <v>250</v>
      </c>
      <c r="U993" s="5">
        <v>107</v>
      </c>
      <c r="V993" s="5">
        <f>VLOOKUP(A993,Planilha1!B:E,4,0)</f>
        <v>1.4766792698630664</v>
      </c>
    </row>
    <row r="994" spans="1:22" x14ac:dyDescent="0.3">
      <c r="A994" t="str">
        <f t="shared" si="30"/>
        <v>CREME UHTITAMBÉ</v>
      </c>
      <c r="B994" t="str">
        <f t="shared" si="31"/>
        <v>5349287CREME UHTITAMBÉ</v>
      </c>
      <c r="C994" s="5" t="s">
        <v>226</v>
      </c>
      <c r="D994" s="5" t="s">
        <v>727</v>
      </c>
      <c r="E994" s="5" t="s">
        <v>733</v>
      </c>
      <c r="F994" s="5">
        <v>5349287</v>
      </c>
      <c r="G994" s="5" t="s">
        <v>750</v>
      </c>
      <c r="H994" s="5" t="s">
        <v>25</v>
      </c>
      <c r="I994" s="5" t="s">
        <v>27</v>
      </c>
      <c r="J994" s="5" t="s">
        <v>34</v>
      </c>
      <c r="K994" s="6">
        <v>0</v>
      </c>
      <c r="L994" s="7">
        <v>0</v>
      </c>
      <c r="M994" s="8">
        <v>607.5</v>
      </c>
      <c r="N994" s="8">
        <v>897</v>
      </c>
      <c r="O994" s="8">
        <v>674.97375102079377</v>
      </c>
      <c r="P994" s="8">
        <v>0</v>
      </c>
      <c r="Q994" s="8">
        <v>540</v>
      </c>
      <c r="R994" s="8">
        <v>0</v>
      </c>
      <c r="S994" s="8">
        <v>550</v>
      </c>
      <c r="T994" s="5">
        <v>550</v>
      </c>
      <c r="U994" s="5">
        <v>540</v>
      </c>
      <c r="V994" s="5">
        <f>VLOOKUP(A994,Planilha1!B:E,4,0)</f>
        <v>1.2362540170747773</v>
      </c>
    </row>
    <row r="995" spans="1:22" x14ac:dyDescent="0.3">
      <c r="A995" t="str">
        <f t="shared" si="30"/>
        <v>DOCE DE LEITEITAMBÉ</v>
      </c>
      <c r="B995" t="str">
        <f t="shared" si="31"/>
        <v>5349287DOCE DE LEITEITAMBÉ</v>
      </c>
      <c r="C995" s="5" t="s">
        <v>226</v>
      </c>
      <c r="D995" s="5" t="s">
        <v>727</v>
      </c>
      <c r="E995" s="5" t="s">
        <v>733</v>
      </c>
      <c r="F995" s="5">
        <v>5349287</v>
      </c>
      <c r="G995" s="5" t="s">
        <v>750</v>
      </c>
      <c r="H995" s="5" t="s">
        <v>25</v>
      </c>
      <c r="I995" s="5" t="s">
        <v>27</v>
      </c>
      <c r="J995" s="5" t="s">
        <v>46</v>
      </c>
      <c r="K995" s="6">
        <v>0</v>
      </c>
      <c r="L995" s="7">
        <v>0</v>
      </c>
      <c r="M995" s="8">
        <v>794.6</v>
      </c>
      <c r="N995" s="8">
        <v>1057.6666666666665</v>
      </c>
      <c r="O995" s="8">
        <v>1327.0758329047376</v>
      </c>
      <c r="P995" s="8">
        <v>0</v>
      </c>
      <c r="Q995" s="8">
        <v>0</v>
      </c>
      <c r="R995" s="8">
        <v>0</v>
      </c>
      <c r="S995" s="8">
        <v>474</v>
      </c>
      <c r="T995" s="5">
        <v>500</v>
      </c>
      <c r="U995" s="5">
        <v>474</v>
      </c>
      <c r="V995" s="5">
        <f>VLOOKUP(A995,Planilha1!B:E,4,0)</f>
        <v>5.8210743907543439</v>
      </c>
    </row>
    <row r="996" spans="1:22" x14ac:dyDescent="0.3">
      <c r="A996" t="str">
        <f t="shared" si="30"/>
        <v>LEITE UHTITAMBÉ</v>
      </c>
      <c r="B996" t="str">
        <f t="shared" si="31"/>
        <v>5349287LEITE UHTITAMBÉ</v>
      </c>
      <c r="C996" s="5" t="s">
        <v>226</v>
      </c>
      <c r="D996" s="5" t="s">
        <v>727</v>
      </c>
      <c r="E996" s="5" t="s">
        <v>733</v>
      </c>
      <c r="F996" s="5">
        <v>5349287</v>
      </c>
      <c r="G996" s="5" t="s">
        <v>750</v>
      </c>
      <c r="H996" s="5" t="s">
        <v>25</v>
      </c>
      <c r="I996" s="5" t="s">
        <v>27</v>
      </c>
      <c r="J996" s="5" t="s">
        <v>156</v>
      </c>
      <c r="K996" s="6">
        <v>0</v>
      </c>
      <c r="L996" s="7">
        <v>0</v>
      </c>
      <c r="M996" s="8">
        <v>2030</v>
      </c>
      <c r="N996" s="8">
        <v>2700</v>
      </c>
      <c r="O996" s="8">
        <v>3022.9664114843167</v>
      </c>
      <c r="P996" s="8">
        <v>0</v>
      </c>
      <c r="Q996" s="8">
        <v>0</v>
      </c>
      <c r="R996" s="8">
        <v>0</v>
      </c>
      <c r="S996" s="8">
        <v>0</v>
      </c>
      <c r="T996" s="5">
        <v>0</v>
      </c>
      <c r="U996" s="5">
        <v>0</v>
      </c>
      <c r="V996" s="5">
        <f>VLOOKUP(A996,Planilha1!B:E,4,0)</f>
        <v>-0.14425288609148015</v>
      </c>
    </row>
    <row r="997" spans="1:22" x14ac:dyDescent="0.3">
      <c r="A997" t="str">
        <f t="shared" si="30"/>
        <v>LEITE CONDENSADOITAMBÉ</v>
      </c>
      <c r="B997" t="str">
        <f t="shared" si="31"/>
        <v>5349486LEITE CONDENSADOITAMBÉ</v>
      </c>
      <c r="C997" s="5" t="s">
        <v>226</v>
      </c>
      <c r="D997" s="5" t="s">
        <v>727</v>
      </c>
      <c r="E997" s="5" t="s">
        <v>733</v>
      </c>
      <c r="F997" s="5">
        <v>5349486</v>
      </c>
      <c r="G997" s="5" t="s">
        <v>751</v>
      </c>
      <c r="H997" s="5" t="s">
        <v>25</v>
      </c>
      <c r="I997" s="5" t="s">
        <v>27</v>
      </c>
      <c r="J997" s="5" t="s">
        <v>33</v>
      </c>
      <c r="K997" s="6">
        <v>0</v>
      </c>
      <c r="L997" s="7">
        <v>0</v>
      </c>
      <c r="M997" s="8">
        <v>53.324999999999996</v>
      </c>
      <c r="N997" s="8">
        <v>0</v>
      </c>
      <c r="O997" s="8">
        <v>463.99164815033333</v>
      </c>
      <c r="P997" s="8">
        <v>0</v>
      </c>
      <c r="Q997" s="8">
        <v>0</v>
      </c>
      <c r="R997" s="8">
        <v>0</v>
      </c>
      <c r="S997" s="8">
        <v>464</v>
      </c>
      <c r="T997" s="5">
        <v>400</v>
      </c>
      <c r="U997" s="5">
        <v>0</v>
      </c>
      <c r="V997" s="5">
        <f>VLOOKUP(A997,Planilha1!B:E,4,0)</f>
        <v>1.4766792698630664</v>
      </c>
    </row>
    <row r="998" spans="1:22" x14ac:dyDescent="0.3">
      <c r="A998" t="str">
        <f t="shared" si="30"/>
        <v>CREME UHTITAMBÉ</v>
      </c>
      <c r="B998" t="str">
        <f t="shared" si="31"/>
        <v>5349486CREME UHTITAMBÉ</v>
      </c>
      <c r="C998" s="5" t="s">
        <v>226</v>
      </c>
      <c r="D998" s="5" t="s">
        <v>727</v>
      </c>
      <c r="E998" s="5" t="s">
        <v>733</v>
      </c>
      <c r="F998" s="5">
        <v>5349486</v>
      </c>
      <c r="G998" s="5" t="s">
        <v>751</v>
      </c>
      <c r="H998" s="5" t="s">
        <v>25</v>
      </c>
      <c r="I998" s="5" t="s">
        <v>27</v>
      </c>
      <c r="J998" s="5" t="s">
        <v>34</v>
      </c>
      <c r="K998" s="6">
        <v>0</v>
      </c>
      <c r="L998" s="7">
        <v>0</v>
      </c>
      <c r="M998" s="8">
        <v>0</v>
      </c>
      <c r="N998" s="8">
        <v>0</v>
      </c>
      <c r="O998" s="8">
        <v>76.997005672001649</v>
      </c>
      <c r="P998" s="8">
        <v>0</v>
      </c>
      <c r="Q998" s="8">
        <v>0</v>
      </c>
      <c r="R998" s="8">
        <v>0</v>
      </c>
      <c r="S998" s="8">
        <v>0</v>
      </c>
      <c r="T998" s="5">
        <v>0</v>
      </c>
      <c r="U998" s="5">
        <v>0</v>
      </c>
      <c r="V998" s="5">
        <f>VLOOKUP(A998,Planilha1!B:E,4,0)</f>
        <v>1.2362540170747773</v>
      </c>
    </row>
    <row r="999" spans="1:22" x14ac:dyDescent="0.3">
      <c r="A999" t="str">
        <f t="shared" si="30"/>
        <v>DOCE DE LEITEITAMBÉ</v>
      </c>
      <c r="B999" t="str">
        <f t="shared" si="31"/>
        <v>5349486DOCE DE LEITEITAMBÉ</v>
      </c>
      <c r="C999" s="5" t="s">
        <v>226</v>
      </c>
      <c r="D999" s="5" t="s">
        <v>727</v>
      </c>
      <c r="E999" s="5" t="s">
        <v>733</v>
      </c>
      <c r="F999" s="5">
        <v>5349486</v>
      </c>
      <c r="G999" s="5" t="s">
        <v>751</v>
      </c>
      <c r="H999" s="5" t="s">
        <v>25</v>
      </c>
      <c r="I999" s="5" t="s">
        <v>27</v>
      </c>
      <c r="J999" s="5" t="s">
        <v>46</v>
      </c>
      <c r="K999" s="6">
        <v>0</v>
      </c>
      <c r="L999" s="7">
        <v>0</v>
      </c>
      <c r="M999" s="8">
        <v>237</v>
      </c>
      <c r="N999" s="8">
        <v>221.33333333333334</v>
      </c>
      <c r="O999" s="8">
        <v>389.02222984170533</v>
      </c>
      <c r="P999" s="8">
        <v>0</v>
      </c>
      <c r="Q999" s="8">
        <v>0</v>
      </c>
      <c r="R999" s="8">
        <v>0</v>
      </c>
      <c r="S999" s="8">
        <v>300</v>
      </c>
      <c r="T999" s="5">
        <v>300</v>
      </c>
      <c r="U999" s="5">
        <v>0</v>
      </c>
      <c r="V999" s="5">
        <f>VLOOKUP(A999,Planilha1!B:E,4,0)</f>
        <v>5.8210743907543439</v>
      </c>
    </row>
    <row r="1000" spans="1:22" x14ac:dyDescent="0.3">
      <c r="A1000" t="str">
        <f t="shared" si="30"/>
        <v>MANTEIGA 5KGLACTALIS</v>
      </c>
      <c r="B1000" t="str">
        <f t="shared" si="31"/>
        <v>5040108MANTEIGA 5KGLACTALIS</v>
      </c>
      <c r="C1000" s="5" t="s">
        <v>226</v>
      </c>
      <c r="D1000" s="5" t="s">
        <v>752</v>
      </c>
      <c r="E1000" s="5" t="s">
        <v>753</v>
      </c>
      <c r="F1000" s="5">
        <v>5040108</v>
      </c>
      <c r="G1000" s="5" t="s">
        <v>754</v>
      </c>
      <c r="H1000" s="5" t="s">
        <v>154</v>
      </c>
      <c r="I1000" s="5" t="s">
        <v>22</v>
      </c>
      <c r="J1000" s="5" t="s">
        <v>60</v>
      </c>
      <c r="K1000" s="6">
        <v>0</v>
      </c>
      <c r="L1000" s="7">
        <v>0</v>
      </c>
      <c r="M1000" s="8">
        <v>0</v>
      </c>
      <c r="N1000" s="8">
        <v>0</v>
      </c>
      <c r="O1000" s="8">
        <v>500</v>
      </c>
      <c r="P1000" s="8">
        <v>0</v>
      </c>
      <c r="Q1000" s="8">
        <v>0</v>
      </c>
      <c r="R1000" s="8">
        <v>0</v>
      </c>
      <c r="S1000" s="8">
        <v>0</v>
      </c>
      <c r="T1000" s="5">
        <v>0</v>
      </c>
      <c r="U1000" s="5">
        <v>0</v>
      </c>
      <c r="V1000" s="5">
        <f>VLOOKUP(A1000,Planilha1!B:E,4,0)</f>
        <v>11.476197020267191</v>
      </c>
    </row>
    <row r="1001" spans="1:22" x14ac:dyDescent="0.3">
      <c r="A1001" t="str">
        <f t="shared" si="30"/>
        <v>COMPOSTOITAMBÉ</v>
      </c>
      <c r="B1001" t="str">
        <f t="shared" si="31"/>
        <v>5040108COMPOSTOITAMBÉ</v>
      </c>
      <c r="C1001" s="5" t="s">
        <v>226</v>
      </c>
      <c r="D1001" s="5" t="s">
        <v>752</v>
      </c>
      <c r="E1001" s="5" t="s">
        <v>753</v>
      </c>
      <c r="F1001" s="5">
        <v>5040108</v>
      </c>
      <c r="G1001" s="5" t="s">
        <v>755</v>
      </c>
      <c r="H1001" s="5" t="s">
        <v>154</v>
      </c>
      <c r="I1001" s="5" t="s">
        <v>27</v>
      </c>
      <c r="J1001" s="5" t="s">
        <v>26</v>
      </c>
      <c r="K1001" s="6">
        <v>0</v>
      </c>
      <c r="L1001" s="7">
        <v>1430</v>
      </c>
      <c r="M1001" s="8">
        <v>583.33333333333337</v>
      </c>
      <c r="N1001" s="8">
        <v>466.66666666666669</v>
      </c>
      <c r="O1001" s="8">
        <v>1000</v>
      </c>
      <c r="P1001" s="8">
        <v>0</v>
      </c>
      <c r="Q1001" s="8">
        <v>0</v>
      </c>
      <c r="R1001" s="8">
        <v>0</v>
      </c>
      <c r="S1001" s="8">
        <v>700</v>
      </c>
      <c r="T1001" s="5">
        <v>700</v>
      </c>
      <c r="U1001" s="5">
        <v>0</v>
      </c>
      <c r="V1001" s="5">
        <f>VLOOKUP(A1001,Planilha1!B:E,4,0)</f>
        <v>0.15618217875936719</v>
      </c>
    </row>
    <row r="1002" spans="1:22" x14ac:dyDescent="0.3">
      <c r="A1002" t="str">
        <f t="shared" si="30"/>
        <v>LEITE CONDENSADOITAMBÉ</v>
      </c>
      <c r="B1002" t="str">
        <f t="shared" si="31"/>
        <v>5040108LEITE CONDENSADOITAMBÉ</v>
      </c>
      <c r="C1002" s="5" t="s">
        <v>226</v>
      </c>
      <c r="D1002" s="5" t="s">
        <v>752</v>
      </c>
      <c r="E1002" s="5" t="s">
        <v>753</v>
      </c>
      <c r="F1002" s="5">
        <v>5040108</v>
      </c>
      <c r="G1002" s="5" t="s">
        <v>755</v>
      </c>
      <c r="H1002" s="5" t="s">
        <v>154</v>
      </c>
      <c r="I1002" s="5" t="s">
        <v>27</v>
      </c>
      <c r="J1002" s="5" t="s">
        <v>33</v>
      </c>
      <c r="K1002" s="6">
        <v>0</v>
      </c>
      <c r="L1002" s="7">
        <v>8055.68</v>
      </c>
      <c r="M1002" s="8">
        <v>15833.535</v>
      </c>
      <c r="N1002" s="8">
        <v>13292</v>
      </c>
      <c r="O1002" s="8">
        <v>14581.028368598205</v>
      </c>
      <c r="P1002" s="8">
        <v>0</v>
      </c>
      <c r="Q1002" s="8">
        <v>0</v>
      </c>
      <c r="R1002" s="8">
        <v>0</v>
      </c>
      <c r="S1002" s="8">
        <v>8000</v>
      </c>
      <c r="T1002" s="5">
        <v>8000</v>
      </c>
      <c r="U1002" s="5">
        <v>0</v>
      </c>
      <c r="V1002" s="5">
        <f>VLOOKUP(A1002,Planilha1!B:E,4,0)</f>
        <v>1.4766792698630664</v>
      </c>
    </row>
    <row r="1003" spans="1:22" x14ac:dyDescent="0.3">
      <c r="A1003" t="str">
        <f t="shared" si="30"/>
        <v>CREME UHTITAMBÉ</v>
      </c>
      <c r="B1003" t="str">
        <f t="shared" si="31"/>
        <v>5040108CREME UHTITAMBÉ</v>
      </c>
      <c r="C1003" s="5" t="s">
        <v>226</v>
      </c>
      <c r="D1003" s="5" t="s">
        <v>752</v>
      </c>
      <c r="E1003" s="5" t="s">
        <v>753</v>
      </c>
      <c r="F1003" s="5">
        <v>5040108</v>
      </c>
      <c r="G1003" s="5" t="s">
        <v>755</v>
      </c>
      <c r="H1003" s="5" t="s">
        <v>154</v>
      </c>
      <c r="I1003" s="5" t="s">
        <v>27</v>
      </c>
      <c r="J1003" s="5" t="s">
        <v>34</v>
      </c>
      <c r="K1003" s="6">
        <v>0</v>
      </c>
      <c r="L1003" s="7">
        <v>4120.8</v>
      </c>
      <c r="M1003" s="8">
        <v>5837.8</v>
      </c>
      <c r="N1003" s="8">
        <v>5494.333333333333</v>
      </c>
      <c r="O1003" s="8">
        <v>4588.8215458287741</v>
      </c>
      <c r="P1003" s="8">
        <v>0</v>
      </c>
      <c r="Q1003" s="8">
        <v>0</v>
      </c>
      <c r="R1003" s="8">
        <v>0</v>
      </c>
      <c r="S1003" s="8">
        <v>3060</v>
      </c>
      <c r="T1003" s="5">
        <v>3060</v>
      </c>
      <c r="U1003" s="5">
        <v>0</v>
      </c>
      <c r="V1003" s="5">
        <f>VLOOKUP(A1003,Planilha1!B:E,4,0)</f>
        <v>1.2362540170747773</v>
      </c>
    </row>
    <row r="1004" spans="1:22" x14ac:dyDescent="0.3">
      <c r="A1004" t="str">
        <f t="shared" si="30"/>
        <v>DOCE DE LEITEITAMBÉ</v>
      </c>
      <c r="B1004" t="str">
        <f t="shared" si="31"/>
        <v>5040108DOCE DE LEITEITAMBÉ</v>
      </c>
      <c r="C1004" s="5" t="s">
        <v>226</v>
      </c>
      <c r="D1004" s="5" t="s">
        <v>752</v>
      </c>
      <c r="E1004" s="5" t="s">
        <v>753</v>
      </c>
      <c r="F1004" s="5">
        <v>5040108</v>
      </c>
      <c r="G1004" s="5" t="s">
        <v>755</v>
      </c>
      <c r="H1004" s="5" t="s">
        <v>154</v>
      </c>
      <c r="I1004" s="5" t="s">
        <v>27</v>
      </c>
      <c r="J1004" s="5" t="s">
        <v>46</v>
      </c>
      <c r="K1004" s="6">
        <v>0</v>
      </c>
      <c r="L1004" s="7">
        <v>1810</v>
      </c>
      <c r="M1004" s="8">
        <v>1351.6666666666665</v>
      </c>
      <c r="N1004" s="8">
        <v>1500</v>
      </c>
      <c r="O1004" s="8">
        <v>1000</v>
      </c>
      <c r="P1004" s="8">
        <v>0</v>
      </c>
      <c r="Q1004" s="8">
        <v>0</v>
      </c>
      <c r="R1004" s="8">
        <v>0</v>
      </c>
      <c r="S1004" s="8">
        <v>910</v>
      </c>
      <c r="T1004" s="5">
        <v>910</v>
      </c>
      <c r="U1004" s="5">
        <v>0</v>
      </c>
      <c r="V1004" s="5">
        <f>VLOOKUP(A1004,Planilha1!B:E,4,0)</f>
        <v>5.8210743907543439</v>
      </c>
    </row>
    <row r="1005" spans="1:22" x14ac:dyDescent="0.3">
      <c r="A1005" t="str">
        <f t="shared" si="30"/>
        <v>BLISTERITAMBÉ</v>
      </c>
      <c r="B1005" t="str">
        <f t="shared" si="31"/>
        <v>5026399BLISTERITAMBÉ</v>
      </c>
      <c r="C1005" s="5" t="s">
        <v>226</v>
      </c>
      <c r="D1005" s="5" t="s">
        <v>752</v>
      </c>
      <c r="E1005" s="5" t="s">
        <v>756</v>
      </c>
      <c r="F1005" s="5">
        <v>5026399</v>
      </c>
      <c r="G1005" s="5" t="s">
        <v>757</v>
      </c>
      <c r="H1005" s="5" t="s">
        <v>154</v>
      </c>
      <c r="I1005" s="5" t="s">
        <v>27</v>
      </c>
      <c r="J1005" s="5" t="s">
        <v>199</v>
      </c>
      <c r="K1005" s="6">
        <v>0</v>
      </c>
      <c r="L1005" s="7">
        <v>0</v>
      </c>
      <c r="M1005" s="8">
        <v>4646.72</v>
      </c>
      <c r="N1005" s="8">
        <v>4456.333333333333</v>
      </c>
      <c r="O1005" s="8">
        <v>2660.380060809729</v>
      </c>
      <c r="P1005" s="8">
        <v>2158.5600000000009</v>
      </c>
      <c r="Q1005" s="8">
        <v>0</v>
      </c>
      <c r="R1005" s="8">
        <v>3160.32</v>
      </c>
      <c r="S1005" s="8">
        <v>5000</v>
      </c>
      <c r="T1005" s="5">
        <v>5000</v>
      </c>
      <c r="U1005" s="5">
        <v>6000</v>
      </c>
      <c r="V1005" s="5">
        <f>VLOOKUP(A1005,Planilha1!B:E,4,0)</f>
        <v>10.339882680976428</v>
      </c>
    </row>
    <row r="1006" spans="1:22" x14ac:dyDescent="0.3">
      <c r="A1006" t="str">
        <f t="shared" si="30"/>
        <v>BLISTERLACTALIS</v>
      </c>
      <c r="B1006" t="str">
        <f t="shared" si="31"/>
        <v>5026399BLISTERLACTALIS</v>
      </c>
      <c r="C1006" s="5" t="s">
        <v>226</v>
      </c>
      <c r="D1006" s="5" t="s">
        <v>752</v>
      </c>
      <c r="E1006" s="5" t="s">
        <v>756</v>
      </c>
      <c r="F1006" s="5">
        <v>5026399</v>
      </c>
      <c r="G1006" s="5" t="s">
        <v>757</v>
      </c>
      <c r="H1006" s="5" t="s">
        <v>154</v>
      </c>
      <c r="I1006" s="5" t="s">
        <v>22</v>
      </c>
      <c r="J1006" s="5" t="s">
        <v>199</v>
      </c>
      <c r="K1006" s="6">
        <v>0</v>
      </c>
      <c r="L1006" s="7">
        <v>839.76</v>
      </c>
      <c r="M1006" s="8">
        <v>779.36000000000013</v>
      </c>
      <c r="N1006" s="8">
        <v>642.72</v>
      </c>
      <c r="O1006" s="8">
        <v>512.26407468560785</v>
      </c>
      <c r="P1006" s="8">
        <v>136.32000000000002</v>
      </c>
      <c r="Q1006" s="8">
        <v>0</v>
      </c>
      <c r="R1006" s="8">
        <v>30.72</v>
      </c>
      <c r="S1006" s="8">
        <v>400</v>
      </c>
      <c r="T1006" s="5">
        <v>400</v>
      </c>
      <c r="U1006" s="5">
        <v>600</v>
      </c>
      <c r="V1006" s="5">
        <f>VLOOKUP(A1006,Planilha1!B:E,4,0)</f>
        <v>13.783871706210666</v>
      </c>
    </row>
    <row r="1007" spans="1:22" x14ac:dyDescent="0.3">
      <c r="A1007" t="str">
        <f t="shared" si="30"/>
        <v>COMPOSTOITAMBÉ</v>
      </c>
      <c r="B1007" t="str">
        <f t="shared" si="31"/>
        <v>5026399COMPOSTOITAMBÉ</v>
      </c>
      <c r="C1007" s="5" t="s">
        <v>226</v>
      </c>
      <c r="D1007" s="5" t="s">
        <v>752</v>
      </c>
      <c r="E1007" s="5" t="s">
        <v>756</v>
      </c>
      <c r="F1007" s="5">
        <v>5026399</v>
      </c>
      <c r="G1007" s="5" t="s">
        <v>757</v>
      </c>
      <c r="H1007" s="5" t="s">
        <v>154</v>
      </c>
      <c r="I1007" s="5" t="s">
        <v>27</v>
      </c>
      <c r="J1007" s="5" t="s">
        <v>26</v>
      </c>
      <c r="K1007" s="6">
        <v>0</v>
      </c>
      <c r="L1007" s="7">
        <v>0</v>
      </c>
      <c r="M1007" s="8">
        <v>1866.6666666666667</v>
      </c>
      <c r="N1007" s="8">
        <v>1400</v>
      </c>
      <c r="O1007" s="8">
        <v>2075.0968378524335</v>
      </c>
      <c r="P1007" s="8">
        <v>708</v>
      </c>
      <c r="Q1007" s="8">
        <v>0</v>
      </c>
      <c r="R1007" s="8">
        <v>22</v>
      </c>
      <c r="S1007" s="8">
        <v>2100</v>
      </c>
      <c r="T1007" s="5">
        <v>2100</v>
      </c>
      <c r="U1007" s="5">
        <v>2800</v>
      </c>
      <c r="V1007" s="5">
        <f>VLOOKUP(A1007,Planilha1!B:E,4,0)</f>
        <v>0.15618217875936719</v>
      </c>
    </row>
    <row r="1008" spans="1:22" x14ac:dyDescent="0.3">
      <c r="A1008" t="str">
        <f t="shared" si="30"/>
        <v>LEITE CONDENSADOITAMBÉ</v>
      </c>
      <c r="B1008" t="str">
        <f t="shared" si="31"/>
        <v>5026399LEITE CONDENSADOITAMBÉ</v>
      </c>
      <c r="C1008" s="5" t="s">
        <v>226</v>
      </c>
      <c r="D1008" s="5" t="s">
        <v>752</v>
      </c>
      <c r="E1008" s="5" t="s">
        <v>756</v>
      </c>
      <c r="F1008" s="5">
        <v>5026399</v>
      </c>
      <c r="G1008" s="5" t="s">
        <v>757</v>
      </c>
      <c r="H1008" s="5" t="s">
        <v>154</v>
      </c>
      <c r="I1008" s="5" t="s">
        <v>27</v>
      </c>
      <c r="J1008" s="5" t="s">
        <v>33</v>
      </c>
      <c r="K1008" s="6">
        <v>0</v>
      </c>
      <c r="L1008" s="7">
        <v>50301.78</v>
      </c>
      <c r="M1008" s="8">
        <v>58336.215833333328</v>
      </c>
      <c r="N1008" s="8">
        <v>69202</v>
      </c>
      <c r="O1008" s="8">
        <v>38581.188201582845</v>
      </c>
      <c r="P1008" s="8">
        <v>17110.295000000089</v>
      </c>
      <c r="Q1008" s="8">
        <v>0</v>
      </c>
      <c r="R1008" s="8">
        <v>56339.955000000002</v>
      </c>
      <c r="S1008" s="8">
        <v>60000</v>
      </c>
      <c r="T1008" s="5">
        <v>60000</v>
      </c>
      <c r="U1008" s="5">
        <v>48548</v>
      </c>
      <c r="V1008" s="5">
        <f>VLOOKUP(A1008,Planilha1!B:E,4,0)</f>
        <v>1.4766792698630664</v>
      </c>
    </row>
    <row r="1009" spans="1:22" x14ac:dyDescent="0.3">
      <c r="A1009" t="str">
        <f t="shared" si="30"/>
        <v>CREME UHTITAMBÉ</v>
      </c>
      <c r="B1009" t="str">
        <f t="shared" si="31"/>
        <v>5026399CREME UHTITAMBÉ</v>
      </c>
      <c r="C1009" s="5" t="s">
        <v>226</v>
      </c>
      <c r="D1009" s="5" t="s">
        <v>752</v>
      </c>
      <c r="E1009" s="5" t="s">
        <v>756</v>
      </c>
      <c r="F1009" s="5">
        <v>5026399</v>
      </c>
      <c r="G1009" s="5" t="s">
        <v>757</v>
      </c>
      <c r="H1009" s="5" t="s">
        <v>154</v>
      </c>
      <c r="I1009" s="5" t="s">
        <v>27</v>
      </c>
      <c r="J1009" s="5" t="s">
        <v>34</v>
      </c>
      <c r="K1009" s="6">
        <v>0</v>
      </c>
      <c r="L1009" s="7">
        <v>20493.599999999999</v>
      </c>
      <c r="M1009" s="8">
        <v>24057.100000000002</v>
      </c>
      <c r="N1009" s="8">
        <v>24028.666666666668</v>
      </c>
      <c r="O1009" s="8">
        <v>17054.336775792057</v>
      </c>
      <c r="P1009" s="8">
        <v>7853.8999999999633</v>
      </c>
      <c r="Q1009" s="8">
        <v>0</v>
      </c>
      <c r="R1009" s="8">
        <v>14474.089999999998</v>
      </c>
      <c r="S1009" s="8">
        <v>20000</v>
      </c>
      <c r="T1009" s="5">
        <v>20000</v>
      </c>
      <c r="U1009" s="5">
        <v>26698</v>
      </c>
      <c r="V1009" s="5">
        <f>VLOOKUP(A1009,Planilha1!B:E,4,0)</f>
        <v>1.2362540170747773</v>
      </c>
    </row>
    <row r="1010" spans="1:22" x14ac:dyDescent="0.3">
      <c r="A1010" t="str">
        <f t="shared" si="30"/>
        <v>DOCE DE LEITEITAMBÉ</v>
      </c>
      <c r="B1010" t="str">
        <f t="shared" si="31"/>
        <v>5026399DOCE DE LEITEITAMBÉ</v>
      </c>
      <c r="C1010" s="5" t="s">
        <v>226</v>
      </c>
      <c r="D1010" s="5" t="s">
        <v>752</v>
      </c>
      <c r="E1010" s="5" t="s">
        <v>756</v>
      </c>
      <c r="F1010" s="5">
        <v>5026399</v>
      </c>
      <c r="G1010" s="5" t="s">
        <v>757</v>
      </c>
      <c r="H1010" s="5" t="s">
        <v>154</v>
      </c>
      <c r="I1010" s="5" t="s">
        <v>27</v>
      </c>
      <c r="J1010" s="5" t="s">
        <v>46</v>
      </c>
      <c r="K1010" s="6">
        <v>0</v>
      </c>
      <c r="L1010" s="7">
        <v>5348</v>
      </c>
      <c r="M1010" s="8">
        <v>9181.6166666666668</v>
      </c>
      <c r="N1010" s="8">
        <v>7429.9999999999991</v>
      </c>
      <c r="O1010" s="8">
        <v>9622.4207097548442</v>
      </c>
      <c r="P1010" s="8">
        <v>2874.3999999999996</v>
      </c>
      <c r="Q1010" s="8">
        <v>0</v>
      </c>
      <c r="R1010" s="8">
        <v>2857.5</v>
      </c>
      <c r="S1010" s="8">
        <v>10000</v>
      </c>
      <c r="T1010" s="5">
        <v>10000</v>
      </c>
      <c r="U1010" s="5">
        <v>11776</v>
      </c>
      <c r="V1010" s="5">
        <f>VLOOKUP(A1010,Planilha1!B:E,4,0)</f>
        <v>5.8210743907543439</v>
      </c>
    </row>
    <row r="1011" spans="1:22" x14ac:dyDescent="0.3">
      <c r="A1011" t="str">
        <f t="shared" si="30"/>
        <v>MANTEIGA 5KGITAMBÉ</v>
      </c>
      <c r="B1011" t="str">
        <f t="shared" si="31"/>
        <v>5026399MANTEIGA 5KGITAMBÉ</v>
      </c>
      <c r="C1011" s="5" t="s">
        <v>226</v>
      </c>
      <c r="D1011" s="5" t="s">
        <v>752</v>
      </c>
      <c r="E1011" s="5" t="s">
        <v>756</v>
      </c>
      <c r="F1011" s="5">
        <v>5026399</v>
      </c>
      <c r="G1011" s="5" t="s">
        <v>757</v>
      </c>
      <c r="H1011" s="5" t="s">
        <v>154</v>
      </c>
      <c r="I1011" s="5" t="s">
        <v>27</v>
      </c>
      <c r="J1011" s="5" t="s">
        <v>60</v>
      </c>
      <c r="K1011" s="6">
        <v>0</v>
      </c>
      <c r="L1011" s="7">
        <v>5880</v>
      </c>
      <c r="M1011" s="8">
        <v>5155</v>
      </c>
      <c r="N1011" s="8">
        <v>5225</v>
      </c>
      <c r="O1011" s="8">
        <v>3177.9211026299126</v>
      </c>
      <c r="P1011" s="8">
        <v>2595</v>
      </c>
      <c r="Q1011" s="8">
        <v>0</v>
      </c>
      <c r="R1011" s="8">
        <v>6175</v>
      </c>
      <c r="S1011" s="8">
        <v>6000</v>
      </c>
      <c r="T1011" s="5">
        <v>6000</v>
      </c>
      <c r="U1011" s="5">
        <v>5880</v>
      </c>
      <c r="V1011" s="5">
        <f>VLOOKUP(A1011,Planilha1!B:E,4,0)</f>
        <v>5.819800475298738</v>
      </c>
    </row>
    <row r="1012" spans="1:22" x14ac:dyDescent="0.3">
      <c r="A1012" t="str">
        <f t="shared" si="30"/>
        <v>MANTEIGA 5KGLACTALIS</v>
      </c>
      <c r="B1012" t="str">
        <f t="shared" si="31"/>
        <v>5026399MANTEIGA 5KGLACTALIS</v>
      </c>
      <c r="C1012" s="5" t="s">
        <v>226</v>
      </c>
      <c r="D1012" s="5" t="s">
        <v>752</v>
      </c>
      <c r="E1012" s="5" t="s">
        <v>756</v>
      </c>
      <c r="F1012" s="5">
        <v>5026399</v>
      </c>
      <c r="G1012" s="5" t="s">
        <v>757</v>
      </c>
      <c r="H1012" s="5" t="s">
        <v>154</v>
      </c>
      <c r="I1012" s="5" t="s">
        <v>22</v>
      </c>
      <c r="J1012" s="5" t="s">
        <v>60</v>
      </c>
      <c r="K1012" s="6">
        <v>0</v>
      </c>
      <c r="L1012" s="7">
        <v>3920</v>
      </c>
      <c r="M1012" s="8">
        <v>4173.3333333333339</v>
      </c>
      <c r="N1012" s="8">
        <v>3700</v>
      </c>
      <c r="O1012" s="8">
        <v>1706.0698340742538</v>
      </c>
      <c r="P1012" s="8">
        <v>0</v>
      </c>
      <c r="Q1012" s="8">
        <v>0</v>
      </c>
      <c r="R1012" s="8">
        <v>0</v>
      </c>
      <c r="S1012" s="8">
        <v>2880</v>
      </c>
      <c r="T1012" s="5">
        <v>2880</v>
      </c>
      <c r="U1012" s="5">
        <v>0</v>
      </c>
      <c r="V1012" s="5">
        <f>VLOOKUP(A1012,Planilha1!B:E,4,0)</f>
        <v>11.476197020267191</v>
      </c>
    </row>
    <row r="1013" spans="1:22" x14ac:dyDescent="0.3">
      <c r="A1013" t="str">
        <f t="shared" si="30"/>
        <v>PARMESÃOLACTALIS</v>
      </c>
      <c r="B1013" t="str">
        <f t="shared" si="31"/>
        <v>5026399PARMESÃOLACTALIS</v>
      </c>
      <c r="C1013" s="5" t="s">
        <v>226</v>
      </c>
      <c r="D1013" s="5" t="s">
        <v>752</v>
      </c>
      <c r="E1013" s="5" t="s">
        <v>756</v>
      </c>
      <c r="F1013" s="5">
        <v>5026399</v>
      </c>
      <c r="G1013" s="5" t="s">
        <v>757</v>
      </c>
      <c r="H1013" s="5" t="s">
        <v>154</v>
      </c>
      <c r="I1013" s="5" t="s">
        <v>22</v>
      </c>
      <c r="J1013" s="5" t="s">
        <v>195</v>
      </c>
      <c r="K1013" s="6">
        <v>0</v>
      </c>
      <c r="L1013" s="7">
        <v>1125.27</v>
      </c>
      <c r="M1013" s="8">
        <v>2587.6061666666669</v>
      </c>
      <c r="N1013" s="8">
        <v>2952.1643333333336</v>
      </c>
      <c r="O1013" s="8">
        <v>1628.1395277578413</v>
      </c>
      <c r="P1013" s="8">
        <v>1053.8283000000001</v>
      </c>
      <c r="Q1013" s="8">
        <v>0</v>
      </c>
      <c r="R1013" s="8">
        <v>1856.2572</v>
      </c>
      <c r="S1013" s="8">
        <v>2600</v>
      </c>
      <c r="T1013" s="5">
        <v>2600</v>
      </c>
      <c r="U1013" s="5">
        <v>2600</v>
      </c>
      <c r="V1013" s="5">
        <f>VLOOKUP(A1013,Planilha1!B:E,4,0)</f>
        <v>6.310326960724681</v>
      </c>
    </row>
    <row r="1014" spans="1:22" x14ac:dyDescent="0.3">
      <c r="A1014" t="str">
        <f t="shared" si="30"/>
        <v>LEITE UHTITAMBÉ</v>
      </c>
      <c r="B1014" t="str">
        <f t="shared" si="31"/>
        <v>5026399LEITE UHTITAMBÉ</v>
      </c>
      <c r="C1014" s="5" t="s">
        <v>226</v>
      </c>
      <c r="D1014" s="5" t="s">
        <v>752</v>
      </c>
      <c r="E1014" s="5" t="s">
        <v>756</v>
      </c>
      <c r="F1014" s="5">
        <v>5026399</v>
      </c>
      <c r="G1014" s="5" t="s">
        <v>757</v>
      </c>
      <c r="H1014" s="5" t="s">
        <v>154</v>
      </c>
      <c r="I1014" s="5" t="s">
        <v>27</v>
      </c>
      <c r="J1014" s="5" t="s">
        <v>156</v>
      </c>
      <c r="K1014" s="6">
        <v>0</v>
      </c>
      <c r="L1014" s="7">
        <v>2040</v>
      </c>
      <c r="M1014" s="8">
        <v>11528</v>
      </c>
      <c r="N1014" s="8">
        <v>2380</v>
      </c>
      <c r="O1014" s="8">
        <v>8584.9046121709762</v>
      </c>
      <c r="P1014" s="8">
        <v>1161.8399999999999</v>
      </c>
      <c r="Q1014" s="8">
        <v>0</v>
      </c>
      <c r="R1014" s="8">
        <v>0</v>
      </c>
      <c r="S1014" s="8">
        <v>0</v>
      </c>
      <c r="T1014" s="5">
        <v>0</v>
      </c>
      <c r="U1014" s="5">
        <v>0</v>
      </c>
      <c r="V1014" s="5">
        <f>VLOOKUP(A1014,Planilha1!B:E,4,0)</f>
        <v>-0.14425288609148015</v>
      </c>
    </row>
    <row r="1015" spans="1:22" x14ac:dyDescent="0.3">
      <c r="A1015" t="str">
        <f t="shared" si="30"/>
        <v>LEITE UHTLACTALIS</v>
      </c>
      <c r="B1015" t="str">
        <f t="shared" si="31"/>
        <v>5026399LEITE UHTLACTALIS</v>
      </c>
      <c r="C1015" s="5" t="s">
        <v>226</v>
      </c>
      <c r="D1015" s="5" t="s">
        <v>752</v>
      </c>
      <c r="E1015" s="5" t="s">
        <v>756</v>
      </c>
      <c r="F1015" s="5">
        <v>5026399</v>
      </c>
      <c r="G1015" s="5" t="s">
        <v>757</v>
      </c>
      <c r="H1015" s="5" t="s">
        <v>154</v>
      </c>
      <c r="I1015" s="5" t="s">
        <v>22</v>
      </c>
      <c r="J1015" s="5" t="s">
        <v>156</v>
      </c>
      <c r="K1015" s="6">
        <v>0</v>
      </c>
      <c r="L1015" s="7">
        <v>79920</v>
      </c>
      <c r="M1015" s="8">
        <v>27264</v>
      </c>
      <c r="N1015" s="8">
        <v>45888</v>
      </c>
      <c r="O1015" s="8">
        <v>19293.663894947153</v>
      </c>
      <c r="P1015" s="8">
        <v>15820.799999999996</v>
      </c>
      <c r="Q1015" s="8">
        <v>60480</v>
      </c>
      <c r="R1015" s="8">
        <v>20072.64</v>
      </c>
      <c r="S1015" s="8">
        <v>0</v>
      </c>
      <c r="T1015" s="5">
        <v>0</v>
      </c>
      <c r="U1015" s="5">
        <v>0</v>
      </c>
      <c r="V1015" s="5">
        <f>VLOOKUP(A1015,Planilha1!B:E,4,0)</f>
        <v>0.37177548115779385</v>
      </c>
    </row>
    <row r="1016" spans="1:22" x14ac:dyDescent="0.3">
      <c r="A1016" t="str">
        <f t="shared" si="30"/>
        <v>BLISTERITAMBÉ</v>
      </c>
      <c r="B1016" t="str">
        <f t="shared" si="31"/>
        <v>5161386BLISTERITAMBÉ</v>
      </c>
      <c r="C1016" s="5" t="s">
        <v>226</v>
      </c>
      <c r="D1016" s="5" t="s">
        <v>752</v>
      </c>
      <c r="E1016" s="5" t="s">
        <v>756</v>
      </c>
      <c r="F1016" s="5">
        <v>5161386</v>
      </c>
      <c r="G1016" s="5" t="s">
        <v>758</v>
      </c>
      <c r="H1016" s="5" t="s">
        <v>154</v>
      </c>
      <c r="I1016" s="5" t="s">
        <v>27</v>
      </c>
      <c r="J1016" s="5" t="s">
        <v>199</v>
      </c>
      <c r="K1016" s="6">
        <v>0</v>
      </c>
      <c r="L1016" s="7">
        <v>0</v>
      </c>
      <c r="M1016" s="8">
        <v>880.32</v>
      </c>
      <c r="N1016" s="8">
        <v>376.33333333333331</v>
      </c>
      <c r="O1016" s="8">
        <v>1773.2533262464849</v>
      </c>
      <c r="P1016" s="8">
        <v>0</v>
      </c>
      <c r="Q1016" s="8">
        <v>0</v>
      </c>
      <c r="R1016" s="8">
        <v>0</v>
      </c>
      <c r="S1016" s="8">
        <v>0</v>
      </c>
      <c r="T1016" s="5">
        <v>0</v>
      </c>
      <c r="U1016" s="5">
        <v>2258</v>
      </c>
      <c r="V1016" s="5">
        <f>VLOOKUP(A1016,Planilha1!B:E,4,0)</f>
        <v>10.339882680976428</v>
      </c>
    </row>
    <row r="1017" spans="1:22" x14ac:dyDescent="0.3">
      <c r="A1017" t="str">
        <f t="shared" si="30"/>
        <v>LEITE CONDENSADOITAMBÉ</v>
      </c>
      <c r="B1017" t="str">
        <f t="shared" si="31"/>
        <v>5161386LEITE CONDENSADOITAMBÉ</v>
      </c>
      <c r="C1017" s="5" t="s">
        <v>226</v>
      </c>
      <c r="D1017" s="5" t="s">
        <v>752</v>
      </c>
      <c r="E1017" s="5" t="s">
        <v>756</v>
      </c>
      <c r="F1017" s="5">
        <v>5161386</v>
      </c>
      <c r="G1017" s="5" t="s">
        <v>758</v>
      </c>
      <c r="H1017" s="5" t="s">
        <v>154</v>
      </c>
      <c r="I1017" s="5" t="s">
        <v>27</v>
      </c>
      <c r="J1017" s="5" t="s">
        <v>33</v>
      </c>
      <c r="K1017" s="6">
        <v>0</v>
      </c>
      <c r="L1017" s="7">
        <v>0</v>
      </c>
      <c r="M1017" s="8">
        <v>2318.6733333333332</v>
      </c>
      <c r="N1017" s="8">
        <v>1743.6666666666667</v>
      </c>
      <c r="O1017" s="8">
        <v>1740.7586506868017</v>
      </c>
      <c r="P1017" s="8">
        <v>0</v>
      </c>
      <c r="Q1017" s="8">
        <v>0</v>
      </c>
      <c r="R1017" s="8">
        <v>0</v>
      </c>
      <c r="S1017" s="8">
        <v>0</v>
      </c>
      <c r="T1017" s="5">
        <v>0</v>
      </c>
      <c r="U1017" s="5">
        <v>0</v>
      </c>
      <c r="V1017" s="5">
        <f>VLOOKUP(A1017,Planilha1!B:E,4,0)</f>
        <v>1.4766792698630664</v>
      </c>
    </row>
    <row r="1018" spans="1:22" x14ac:dyDescent="0.3">
      <c r="A1018" t="str">
        <f t="shared" si="30"/>
        <v>CREME UHTITAMBÉ</v>
      </c>
      <c r="B1018" t="str">
        <f t="shared" si="31"/>
        <v>5161386CREME UHTITAMBÉ</v>
      </c>
      <c r="C1018" s="5" t="s">
        <v>226</v>
      </c>
      <c r="D1018" s="5" t="s">
        <v>752</v>
      </c>
      <c r="E1018" s="5" t="s">
        <v>756</v>
      </c>
      <c r="F1018" s="5">
        <v>5161386</v>
      </c>
      <c r="G1018" s="5" t="s">
        <v>758</v>
      </c>
      <c r="H1018" s="5" t="s">
        <v>154</v>
      </c>
      <c r="I1018" s="5" t="s">
        <v>27</v>
      </c>
      <c r="J1018" s="5" t="s">
        <v>34</v>
      </c>
      <c r="K1018" s="6">
        <v>0</v>
      </c>
      <c r="L1018" s="7">
        <v>0</v>
      </c>
      <c r="M1018" s="8">
        <v>1714.98</v>
      </c>
      <c r="N1018" s="8">
        <v>1717</v>
      </c>
      <c r="O1018" s="8">
        <v>8144.6832623175778</v>
      </c>
      <c r="P1018" s="8">
        <v>0</v>
      </c>
      <c r="Q1018" s="8">
        <v>0</v>
      </c>
      <c r="R1018" s="8">
        <v>0</v>
      </c>
      <c r="S1018" s="8">
        <v>0</v>
      </c>
      <c r="T1018" s="5">
        <v>0</v>
      </c>
      <c r="U1018" s="5">
        <v>0</v>
      </c>
      <c r="V1018" s="5">
        <f>VLOOKUP(A1018,Planilha1!B:E,4,0)</f>
        <v>1.2362540170747773</v>
      </c>
    </row>
    <row r="1019" spans="1:22" x14ac:dyDescent="0.3">
      <c r="A1019" t="str">
        <f t="shared" si="30"/>
        <v>DOCE DE LEITEITAMBÉ</v>
      </c>
      <c r="B1019" t="str">
        <f t="shared" si="31"/>
        <v>5161386DOCE DE LEITEITAMBÉ</v>
      </c>
      <c r="C1019" s="5" t="s">
        <v>226</v>
      </c>
      <c r="D1019" s="5" t="s">
        <v>752</v>
      </c>
      <c r="E1019" s="5" t="s">
        <v>756</v>
      </c>
      <c r="F1019" s="5">
        <v>5161386</v>
      </c>
      <c r="G1019" s="5" t="s">
        <v>758</v>
      </c>
      <c r="H1019" s="5" t="s">
        <v>154</v>
      </c>
      <c r="I1019" s="5" t="s">
        <v>27</v>
      </c>
      <c r="J1019" s="5" t="s">
        <v>46</v>
      </c>
      <c r="K1019" s="6">
        <v>0</v>
      </c>
      <c r="L1019" s="7">
        <v>0</v>
      </c>
      <c r="M1019" s="8">
        <v>2741.1</v>
      </c>
      <c r="N1019" s="8">
        <v>2535.666666666667</v>
      </c>
      <c r="O1019" s="8">
        <v>2574.1470941196644</v>
      </c>
      <c r="P1019" s="8">
        <v>0</v>
      </c>
      <c r="Q1019" s="8">
        <v>0</v>
      </c>
      <c r="R1019" s="8">
        <v>0</v>
      </c>
      <c r="S1019" s="8">
        <v>0</v>
      </c>
      <c r="T1019" s="5">
        <v>0</v>
      </c>
      <c r="U1019" s="5">
        <v>0</v>
      </c>
      <c r="V1019" s="5">
        <f>VLOOKUP(A1019,Planilha1!B:E,4,0)</f>
        <v>5.8210743907543439</v>
      </c>
    </row>
    <row r="1020" spans="1:22" x14ac:dyDescent="0.3">
      <c r="A1020" t="str">
        <f t="shared" si="30"/>
        <v>MANTEIGA 5KGITAMBÉ</v>
      </c>
      <c r="B1020" t="str">
        <f t="shared" si="31"/>
        <v>5161386MANTEIGA 5KGITAMBÉ</v>
      </c>
      <c r="C1020" s="5" t="s">
        <v>226</v>
      </c>
      <c r="D1020" s="5" t="s">
        <v>752</v>
      </c>
      <c r="E1020" s="5" t="s">
        <v>756</v>
      </c>
      <c r="F1020" s="5">
        <v>5161386</v>
      </c>
      <c r="G1020" s="5" t="s">
        <v>758</v>
      </c>
      <c r="H1020" s="5" t="s">
        <v>154</v>
      </c>
      <c r="I1020" s="5" t="s">
        <v>27</v>
      </c>
      <c r="J1020" s="5" t="s">
        <v>60</v>
      </c>
      <c r="K1020" s="6">
        <v>0</v>
      </c>
      <c r="L1020" s="7">
        <v>0</v>
      </c>
      <c r="M1020" s="8">
        <v>1572.5</v>
      </c>
      <c r="N1020" s="8">
        <v>1960</v>
      </c>
      <c r="O1020" s="8">
        <v>1919.9360021332623</v>
      </c>
      <c r="P1020" s="8">
        <v>0</v>
      </c>
      <c r="Q1020" s="8">
        <v>0</v>
      </c>
      <c r="R1020" s="8">
        <v>0</v>
      </c>
      <c r="S1020" s="8">
        <v>0</v>
      </c>
      <c r="T1020" s="5">
        <v>0</v>
      </c>
      <c r="U1020" s="5">
        <v>3920</v>
      </c>
      <c r="V1020" s="5">
        <f>VLOOKUP(A1020,Planilha1!B:E,4,0)</f>
        <v>5.819800475298738</v>
      </c>
    </row>
    <row r="1021" spans="1:22" x14ac:dyDescent="0.3">
      <c r="A1021" t="str">
        <f t="shared" si="30"/>
        <v>BLISTERITAMBÉ</v>
      </c>
      <c r="B1021" t="str">
        <f t="shared" si="31"/>
        <v>5115019BLISTERITAMBÉ</v>
      </c>
      <c r="C1021" s="5" t="s">
        <v>226</v>
      </c>
      <c r="D1021" s="5" t="s">
        <v>752</v>
      </c>
      <c r="E1021" s="5" t="s">
        <v>759</v>
      </c>
      <c r="F1021" s="5">
        <v>5115019</v>
      </c>
      <c r="G1021" s="5" t="s">
        <v>760</v>
      </c>
      <c r="H1021" s="5" t="s">
        <v>154</v>
      </c>
      <c r="I1021" s="5" t="s">
        <v>27</v>
      </c>
      <c r="J1021" s="5" t="s">
        <v>199</v>
      </c>
      <c r="K1021" s="6">
        <v>0</v>
      </c>
      <c r="L1021" s="7">
        <v>2822.4</v>
      </c>
      <c r="M1021" s="8">
        <v>1664.32</v>
      </c>
      <c r="N1021" s="8">
        <v>1881.333333333333</v>
      </c>
      <c r="O1021" s="8">
        <v>798.11401824291875</v>
      </c>
      <c r="P1021" s="8">
        <v>662.39999999999941</v>
      </c>
      <c r="Q1021" s="8">
        <v>-17.28</v>
      </c>
      <c r="R1021" s="8">
        <v>639.36</v>
      </c>
      <c r="S1021" s="8">
        <v>2258</v>
      </c>
      <c r="T1021" s="5">
        <v>2258</v>
      </c>
      <c r="U1021" s="5">
        <v>2258</v>
      </c>
      <c r="V1021" s="5">
        <f>VLOOKUP(A1021,Planilha1!B:E,4,0)</f>
        <v>10.339882680976428</v>
      </c>
    </row>
    <row r="1022" spans="1:22" x14ac:dyDescent="0.3">
      <c r="A1022" t="str">
        <f t="shared" si="30"/>
        <v>BLISTERLACTALIS</v>
      </c>
      <c r="B1022" t="str">
        <f t="shared" si="31"/>
        <v>5115019BLISTERLACTALIS</v>
      </c>
      <c r="C1022" s="5" t="s">
        <v>226</v>
      </c>
      <c r="D1022" s="5" t="s">
        <v>752</v>
      </c>
      <c r="E1022" s="5" t="s">
        <v>759</v>
      </c>
      <c r="F1022" s="5">
        <v>5115019</v>
      </c>
      <c r="G1022" s="5" t="s">
        <v>760</v>
      </c>
      <c r="H1022" s="5" t="s">
        <v>154</v>
      </c>
      <c r="I1022" s="5" t="s">
        <v>22</v>
      </c>
      <c r="J1022" s="5" t="s">
        <v>199</v>
      </c>
      <c r="K1022" s="6">
        <v>0</v>
      </c>
      <c r="L1022" s="7">
        <v>0</v>
      </c>
      <c r="M1022" s="8">
        <v>322.55999999999995</v>
      </c>
      <c r="N1022" s="8">
        <v>239.52</v>
      </c>
      <c r="O1022" s="8">
        <v>262.4471300812429</v>
      </c>
      <c r="P1022" s="8">
        <v>7.68</v>
      </c>
      <c r="Q1022" s="8">
        <v>0</v>
      </c>
      <c r="R1022" s="8">
        <v>142.08000000000001</v>
      </c>
      <c r="S1022" s="8">
        <v>200</v>
      </c>
      <c r="T1022" s="5">
        <v>200</v>
      </c>
      <c r="U1022" s="5">
        <v>200</v>
      </c>
      <c r="V1022" s="5">
        <f>VLOOKUP(A1022,Planilha1!B:E,4,0)</f>
        <v>13.783871706210666</v>
      </c>
    </row>
    <row r="1023" spans="1:22" x14ac:dyDescent="0.3">
      <c r="A1023" t="str">
        <f t="shared" si="30"/>
        <v>COMPOSTOITAMBÉ</v>
      </c>
      <c r="B1023" t="str">
        <f t="shared" si="31"/>
        <v>5115019COMPOSTOITAMBÉ</v>
      </c>
      <c r="C1023" s="5" t="s">
        <v>226</v>
      </c>
      <c r="D1023" s="5" t="s">
        <v>752</v>
      </c>
      <c r="E1023" s="5" t="s">
        <v>759</v>
      </c>
      <c r="F1023" s="5">
        <v>5115019</v>
      </c>
      <c r="G1023" s="5" t="s">
        <v>760</v>
      </c>
      <c r="H1023" s="5" t="s">
        <v>154</v>
      </c>
      <c r="I1023" s="5" t="s">
        <v>27</v>
      </c>
      <c r="J1023" s="5" t="s">
        <v>26</v>
      </c>
      <c r="K1023" s="6">
        <v>0</v>
      </c>
      <c r="L1023" s="7">
        <v>0</v>
      </c>
      <c r="M1023" s="8">
        <v>1394.9999999999998</v>
      </c>
      <c r="N1023" s="8">
        <v>1393.3333333333333</v>
      </c>
      <c r="O1023" s="8">
        <v>830.03873514097336</v>
      </c>
      <c r="P1023" s="8">
        <v>424</v>
      </c>
      <c r="Q1023" s="8">
        <v>0</v>
      </c>
      <c r="R1023" s="8">
        <v>1255</v>
      </c>
      <c r="S1023" s="8">
        <v>700</v>
      </c>
      <c r="T1023" s="5">
        <v>700</v>
      </c>
      <c r="U1023" s="5">
        <v>1400</v>
      </c>
      <c r="V1023" s="5">
        <f>VLOOKUP(A1023,Planilha1!B:E,4,0)</f>
        <v>0.15618217875936719</v>
      </c>
    </row>
    <row r="1024" spans="1:22" x14ac:dyDescent="0.3">
      <c r="A1024" t="str">
        <f t="shared" si="30"/>
        <v>LEITE CONDENSADOITAMBÉ</v>
      </c>
      <c r="B1024" t="str">
        <f t="shared" si="31"/>
        <v>5115019LEITE CONDENSADOITAMBÉ</v>
      </c>
      <c r="C1024" s="5" t="s">
        <v>226</v>
      </c>
      <c r="D1024" s="5" t="s">
        <v>752</v>
      </c>
      <c r="E1024" s="5" t="s">
        <v>759</v>
      </c>
      <c r="F1024" s="5">
        <v>5115019</v>
      </c>
      <c r="G1024" s="5" t="s">
        <v>760</v>
      </c>
      <c r="H1024" s="5" t="s">
        <v>154</v>
      </c>
      <c r="I1024" s="5" t="s">
        <v>27</v>
      </c>
      <c r="J1024" s="5" t="s">
        <v>33</v>
      </c>
      <c r="K1024" s="6">
        <v>0</v>
      </c>
      <c r="L1024" s="7">
        <v>22615.68</v>
      </c>
      <c r="M1024" s="8">
        <v>57163.593333333338</v>
      </c>
      <c r="N1024" s="8">
        <v>49207.666666666672</v>
      </c>
      <c r="O1024" s="8">
        <v>44470.703801055242</v>
      </c>
      <c r="P1024" s="8">
        <v>17950.940000000068</v>
      </c>
      <c r="Q1024" s="8">
        <v>0</v>
      </c>
      <c r="R1024" s="8">
        <v>32111.834999999999</v>
      </c>
      <c r="S1024" s="8">
        <v>40000</v>
      </c>
      <c r="T1024" s="5">
        <v>40000</v>
      </c>
      <c r="U1024" s="5">
        <v>41445</v>
      </c>
      <c r="V1024" s="5">
        <f>VLOOKUP(A1024,Planilha1!B:E,4,0)</f>
        <v>1.4766792698630664</v>
      </c>
    </row>
    <row r="1025" spans="1:22" x14ac:dyDescent="0.3">
      <c r="A1025" t="str">
        <f t="shared" si="30"/>
        <v>CREME UHTITAMBÉ</v>
      </c>
      <c r="B1025" t="str">
        <f t="shared" si="31"/>
        <v>5115019CREME UHTITAMBÉ</v>
      </c>
      <c r="C1025" s="5" t="s">
        <v>226</v>
      </c>
      <c r="D1025" s="5" t="s">
        <v>752</v>
      </c>
      <c r="E1025" s="5" t="s">
        <v>759</v>
      </c>
      <c r="F1025" s="5">
        <v>5115019</v>
      </c>
      <c r="G1025" s="5" t="s">
        <v>760</v>
      </c>
      <c r="H1025" s="5" t="s">
        <v>154</v>
      </c>
      <c r="I1025" s="5" t="s">
        <v>27</v>
      </c>
      <c r="J1025" s="5" t="s">
        <v>34</v>
      </c>
      <c r="K1025" s="6">
        <v>0</v>
      </c>
      <c r="L1025" s="7">
        <v>4594.2</v>
      </c>
      <c r="M1025" s="8">
        <v>16143.32</v>
      </c>
      <c r="N1025" s="8">
        <v>13839</v>
      </c>
      <c r="O1025" s="8">
        <v>11934.730004944253</v>
      </c>
      <c r="P1025" s="8">
        <v>4990.2099999999946</v>
      </c>
      <c r="Q1025" s="8">
        <v>0</v>
      </c>
      <c r="R1025" s="8">
        <v>3879.6899999999996</v>
      </c>
      <c r="S1025" s="8">
        <v>15000</v>
      </c>
      <c r="T1025" s="5">
        <v>15000</v>
      </c>
      <c r="U1025" s="5">
        <v>22083</v>
      </c>
      <c r="V1025" s="5">
        <f>VLOOKUP(A1025,Planilha1!B:E,4,0)</f>
        <v>1.2362540170747773</v>
      </c>
    </row>
    <row r="1026" spans="1:22" x14ac:dyDescent="0.3">
      <c r="A1026" t="str">
        <f t="shared" ref="A1026:A1089" si="32">J1026&amp;I1026</f>
        <v>DOCE DE LEITEITAMBÉ</v>
      </c>
      <c r="B1026" t="str">
        <f t="shared" si="31"/>
        <v>5115019DOCE DE LEITEITAMBÉ</v>
      </c>
      <c r="C1026" s="5" t="s">
        <v>226</v>
      </c>
      <c r="D1026" s="5" t="s">
        <v>752</v>
      </c>
      <c r="E1026" s="5" t="s">
        <v>759</v>
      </c>
      <c r="F1026" s="5">
        <v>5115019</v>
      </c>
      <c r="G1026" s="5" t="s">
        <v>760</v>
      </c>
      <c r="H1026" s="5" t="s">
        <v>154</v>
      </c>
      <c r="I1026" s="5" t="s">
        <v>27</v>
      </c>
      <c r="J1026" s="5" t="s">
        <v>46</v>
      </c>
      <c r="K1026" s="6">
        <v>0</v>
      </c>
      <c r="L1026" s="7">
        <v>6321.6</v>
      </c>
      <c r="M1026" s="8">
        <v>6962.4666666666672</v>
      </c>
      <c r="N1026" s="8">
        <v>6030.666666666667</v>
      </c>
      <c r="O1026" s="8">
        <v>4533.2560146294081</v>
      </c>
      <c r="P1026" s="8">
        <v>1703.9</v>
      </c>
      <c r="Q1026" s="8">
        <v>0</v>
      </c>
      <c r="R1026" s="8">
        <v>4234.7</v>
      </c>
      <c r="S1026" s="8">
        <v>8000</v>
      </c>
      <c r="T1026" s="5">
        <v>8000</v>
      </c>
      <c r="U1026" s="5">
        <v>8852</v>
      </c>
      <c r="V1026" s="5">
        <f>VLOOKUP(A1026,Planilha1!B:E,4,0)</f>
        <v>5.8210743907543439</v>
      </c>
    </row>
    <row r="1027" spans="1:22" x14ac:dyDescent="0.3">
      <c r="A1027" t="str">
        <f t="shared" si="32"/>
        <v>MANTEIGA 5KGITAMBÉ</v>
      </c>
      <c r="B1027" t="str">
        <f t="shared" ref="B1027:B1090" si="33">F1027&amp;J1027&amp;I1027</f>
        <v>5115019MANTEIGA 5KGITAMBÉ</v>
      </c>
      <c r="C1027" s="5" t="s">
        <v>226</v>
      </c>
      <c r="D1027" s="5" t="s">
        <v>752</v>
      </c>
      <c r="E1027" s="5" t="s">
        <v>759</v>
      </c>
      <c r="F1027" s="5">
        <v>5115019</v>
      </c>
      <c r="G1027" s="5" t="s">
        <v>760</v>
      </c>
      <c r="H1027" s="5" t="s">
        <v>154</v>
      </c>
      <c r="I1027" s="5" t="s">
        <v>27</v>
      </c>
      <c r="J1027" s="5" t="s">
        <v>60</v>
      </c>
      <c r="K1027" s="6">
        <v>0</v>
      </c>
      <c r="L1027" s="7">
        <v>1960</v>
      </c>
      <c r="M1027" s="8">
        <v>1103.3333333333335</v>
      </c>
      <c r="N1027" s="8">
        <v>911.66666666666674</v>
      </c>
      <c r="O1027" s="8">
        <v>633.97886737108763</v>
      </c>
      <c r="P1027" s="8">
        <v>170</v>
      </c>
      <c r="Q1027" s="8">
        <v>0</v>
      </c>
      <c r="R1027" s="8">
        <v>190</v>
      </c>
      <c r="S1027" s="8">
        <v>0</v>
      </c>
      <c r="T1027" s="5">
        <v>0</v>
      </c>
      <c r="U1027" s="5">
        <v>1960</v>
      </c>
      <c r="V1027" s="5">
        <f>VLOOKUP(A1027,Planilha1!B:E,4,0)</f>
        <v>5.819800475298738</v>
      </c>
    </row>
    <row r="1028" spans="1:22" x14ac:dyDescent="0.3">
      <c r="A1028" t="str">
        <f t="shared" si="32"/>
        <v>MANTEIGA 5KGLACTALIS</v>
      </c>
      <c r="B1028" t="str">
        <f t="shared" si="33"/>
        <v>5115019MANTEIGA 5KGLACTALIS</v>
      </c>
      <c r="C1028" s="5" t="s">
        <v>226</v>
      </c>
      <c r="D1028" s="5" t="s">
        <v>752</v>
      </c>
      <c r="E1028" s="5" t="s">
        <v>759</v>
      </c>
      <c r="F1028" s="5">
        <v>5115019</v>
      </c>
      <c r="G1028" s="5" t="s">
        <v>760</v>
      </c>
      <c r="H1028" s="5" t="s">
        <v>154</v>
      </c>
      <c r="I1028" s="5" t="s">
        <v>22</v>
      </c>
      <c r="J1028" s="5" t="s">
        <v>60</v>
      </c>
      <c r="K1028" s="6">
        <v>0</v>
      </c>
      <c r="L1028" s="7">
        <v>0</v>
      </c>
      <c r="M1028" s="8">
        <v>653.33333333333337</v>
      </c>
      <c r="N1028" s="8">
        <v>653.33333333333337</v>
      </c>
      <c r="O1028" s="8">
        <v>1902.7460485236593</v>
      </c>
      <c r="P1028" s="8">
        <v>0</v>
      </c>
      <c r="Q1028" s="8">
        <v>0</v>
      </c>
      <c r="R1028" s="8">
        <v>0</v>
      </c>
      <c r="S1028" s="8">
        <v>980</v>
      </c>
      <c r="T1028" s="5">
        <v>980</v>
      </c>
      <c r="U1028" s="5">
        <v>980</v>
      </c>
      <c r="V1028" s="5">
        <f>VLOOKUP(A1028,Planilha1!B:E,4,0)</f>
        <v>11.476197020267191</v>
      </c>
    </row>
    <row r="1029" spans="1:22" x14ac:dyDescent="0.3">
      <c r="A1029" t="str">
        <f t="shared" si="32"/>
        <v>PARMESÃOLACTALIS</v>
      </c>
      <c r="B1029" t="str">
        <f t="shared" si="33"/>
        <v>5115019PARMESÃOLACTALIS</v>
      </c>
      <c r="C1029" s="5" t="s">
        <v>226</v>
      </c>
      <c r="D1029" s="5" t="s">
        <v>752</v>
      </c>
      <c r="E1029" s="5" t="s">
        <v>759</v>
      </c>
      <c r="F1029" s="5">
        <v>5115019</v>
      </c>
      <c r="G1029" s="5" t="s">
        <v>760</v>
      </c>
      <c r="H1029" s="5" t="s">
        <v>154</v>
      </c>
      <c r="I1029" s="5" t="s">
        <v>22</v>
      </c>
      <c r="J1029" s="5" t="s">
        <v>195</v>
      </c>
      <c r="K1029" s="6">
        <v>0</v>
      </c>
      <c r="L1029" s="7">
        <v>0</v>
      </c>
      <c r="M1029" s="8">
        <v>253.41666666666669</v>
      </c>
      <c r="N1029" s="8">
        <v>359.565</v>
      </c>
      <c r="O1029" s="8">
        <v>153.70265925640072</v>
      </c>
      <c r="P1029" s="8">
        <v>7</v>
      </c>
      <c r="Q1029" s="8">
        <v>0</v>
      </c>
      <c r="R1029" s="8">
        <v>826</v>
      </c>
      <c r="S1029" s="8">
        <v>200</v>
      </c>
      <c r="T1029" s="5">
        <v>200</v>
      </c>
      <c r="U1029" s="5">
        <v>0</v>
      </c>
      <c r="V1029" s="5">
        <f>VLOOKUP(A1029,Planilha1!B:E,4,0)</f>
        <v>6.310326960724681</v>
      </c>
    </row>
    <row r="1030" spans="1:22" x14ac:dyDescent="0.3">
      <c r="A1030" t="str">
        <f t="shared" si="32"/>
        <v>LEITE UHTITAMBÉ</v>
      </c>
      <c r="B1030" t="str">
        <f t="shared" si="33"/>
        <v>5115019LEITE UHTITAMBÉ</v>
      </c>
      <c r="C1030" s="5" t="s">
        <v>226</v>
      </c>
      <c r="D1030" s="5" t="s">
        <v>752</v>
      </c>
      <c r="E1030" s="5" t="s">
        <v>759</v>
      </c>
      <c r="F1030" s="5">
        <v>5115019</v>
      </c>
      <c r="G1030" s="5" t="s">
        <v>760</v>
      </c>
      <c r="H1030" s="5" t="s">
        <v>154</v>
      </c>
      <c r="I1030" s="5" t="s">
        <v>27</v>
      </c>
      <c r="J1030" s="5" t="s">
        <v>156</v>
      </c>
      <c r="K1030" s="6">
        <v>0</v>
      </c>
      <c r="L1030" s="7">
        <v>0</v>
      </c>
      <c r="M1030" s="8">
        <v>27367.833333333336</v>
      </c>
      <c r="N1030" s="8">
        <v>18020</v>
      </c>
      <c r="O1030" s="8">
        <v>15451.828313018745</v>
      </c>
      <c r="P1030" s="8">
        <v>11813.070000000003</v>
      </c>
      <c r="Q1030" s="8">
        <v>27959.999999999996</v>
      </c>
      <c r="R1030" s="8">
        <v>981.16599999999994</v>
      </c>
      <c r="S1030" s="8">
        <v>0</v>
      </c>
      <c r="T1030" s="5">
        <v>0</v>
      </c>
      <c r="U1030" s="5">
        <v>0</v>
      </c>
      <c r="V1030" s="5">
        <f>VLOOKUP(A1030,Planilha1!B:E,4,0)</f>
        <v>-0.14425288609148015</v>
      </c>
    </row>
    <row r="1031" spans="1:22" x14ac:dyDescent="0.3">
      <c r="A1031" t="str">
        <f t="shared" si="32"/>
        <v>COMPOSTOITAMBÉ</v>
      </c>
      <c r="B1031" t="str">
        <f t="shared" si="33"/>
        <v>5115814COMPOSTOITAMBÉ</v>
      </c>
      <c r="C1031" s="5" t="s">
        <v>226</v>
      </c>
      <c r="D1031" s="5" t="s">
        <v>752</v>
      </c>
      <c r="E1031" s="5" t="s">
        <v>759</v>
      </c>
      <c r="F1031" s="5">
        <v>5115814</v>
      </c>
      <c r="G1031" s="5" t="s">
        <v>761</v>
      </c>
      <c r="H1031" s="5" t="s">
        <v>154</v>
      </c>
      <c r="I1031" s="5" t="s">
        <v>27</v>
      </c>
      <c r="J1031" s="5" t="s">
        <v>26</v>
      </c>
      <c r="K1031" s="6">
        <v>0</v>
      </c>
      <c r="L1031" s="7">
        <v>200</v>
      </c>
      <c r="M1031" s="8">
        <v>116.66666666666669</v>
      </c>
      <c r="N1031" s="8">
        <v>66.666666666666671</v>
      </c>
      <c r="O1031" s="8">
        <v>500</v>
      </c>
      <c r="P1031" s="8">
        <v>0</v>
      </c>
      <c r="Q1031" s="8">
        <v>0</v>
      </c>
      <c r="R1031" s="8">
        <v>0</v>
      </c>
      <c r="S1031" s="8">
        <v>0</v>
      </c>
      <c r="T1031" s="5">
        <v>0</v>
      </c>
      <c r="U1031" s="5">
        <v>0</v>
      </c>
      <c r="V1031" s="5">
        <f>VLOOKUP(A1031,Planilha1!B:E,4,0)</f>
        <v>0.15618217875936719</v>
      </c>
    </row>
    <row r="1032" spans="1:22" x14ac:dyDescent="0.3">
      <c r="A1032" t="str">
        <f t="shared" si="32"/>
        <v>LEITE CONDENSADOITAMBÉ</v>
      </c>
      <c r="B1032" t="str">
        <f t="shared" si="33"/>
        <v>5115814LEITE CONDENSADOITAMBÉ</v>
      </c>
      <c r="C1032" s="5" t="s">
        <v>226</v>
      </c>
      <c r="D1032" s="5" t="s">
        <v>752</v>
      </c>
      <c r="E1032" s="5" t="s">
        <v>759</v>
      </c>
      <c r="F1032" s="5">
        <v>5115814</v>
      </c>
      <c r="G1032" s="5" t="s">
        <v>761</v>
      </c>
      <c r="H1032" s="5" t="s">
        <v>154</v>
      </c>
      <c r="I1032" s="5" t="s">
        <v>27</v>
      </c>
      <c r="J1032" s="5" t="s">
        <v>33</v>
      </c>
      <c r="K1032" s="6">
        <v>0</v>
      </c>
      <c r="L1032" s="7">
        <v>300</v>
      </c>
      <c r="M1032" s="8">
        <v>191.66666666666669</v>
      </c>
      <c r="N1032" s="8">
        <v>150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5">
        <v>0</v>
      </c>
      <c r="U1032" s="5">
        <v>95</v>
      </c>
      <c r="V1032" s="5">
        <f>VLOOKUP(A1032,Planilha1!B:E,4,0)</f>
        <v>1.4766792698630664</v>
      </c>
    </row>
    <row r="1033" spans="1:22" x14ac:dyDescent="0.3">
      <c r="A1033" t="str">
        <f t="shared" si="32"/>
        <v>LEITE UHTITAMBÉ</v>
      </c>
      <c r="B1033" t="str">
        <f t="shared" si="33"/>
        <v>5115814LEITE UHTITAMBÉ</v>
      </c>
      <c r="C1033" s="5" t="s">
        <v>226</v>
      </c>
      <c r="D1033" s="5" t="s">
        <v>752</v>
      </c>
      <c r="E1033" s="5" t="s">
        <v>759</v>
      </c>
      <c r="F1033" s="5">
        <v>5115814</v>
      </c>
      <c r="G1033" s="5" t="s">
        <v>761</v>
      </c>
      <c r="H1033" s="5" t="s">
        <v>154</v>
      </c>
      <c r="I1033" s="5" t="s">
        <v>27</v>
      </c>
      <c r="J1033" s="5" t="s">
        <v>156</v>
      </c>
      <c r="K1033" s="6">
        <v>0</v>
      </c>
      <c r="L1033" s="7">
        <v>0</v>
      </c>
      <c r="M1033" s="8">
        <v>18</v>
      </c>
      <c r="N1033" s="8">
        <v>24</v>
      </c>
      <c r="O1033" s="8">
        <v>29.999666670370328</v>
      </c>
      <c r="P1033" s="8">
        <v>0</v>
      </c>
      <c r="Q1033" s="8">
        <v>0</v>
      </c>
      <c r="R1033" s="8">
        <v>0</v>
      </c>
      <c r="S1033" s="8">
        <v>0</v>
      </c>
      <c r="T1033" s="5">
        <v>0</v>
      </c>
      <c r="U1033" s="5">
        <v>0</v>
      </c>
      <c r="V1033" s="5">
        <f>VLOOKUP(A1033,Planilha1!B:E,4,0)</f>
        <v>-0.14425288609148015</v>
      </c>
    </row>
    <row r="1034" spans="1:22" x14ac:dyDescent="0.3">
      <c r="A1034" t="str">
        <f t="shared" si="32"/>
        <v>LEITE CONDENSADOITAMBÉ</v>
      </c>
      <c r="B1034" t="str">
        <f t="shared" si="33"/>
        <v>5191804LEITE CONDENSADOITAMBÉ</v>
      </c>
      <c r="C1034" s="5" t="s">
        <v>226</v>
      </c>
      <c r="D1034" s="5" t="s">
        <v>752</v>
      </c>
      <c r="E1034" s="5" t="s">
        <v>759</v>
      </c>
      <c r="F1034" s="5">
        <v>5191804</v>
      </c>
      <c r="G1034" s="5" t="s">
        <v>762</v>
      </c>
      <c r="H1034" s="5" t="s">
        <v>154</v>
      </c>
      <c r="I1034" s="5" t="s">
        <v>27</v>
      </c>
      <c r="J1034" s="5" t="s">
        <v>33</v>
      </c>
      <c r="K1034" s="6">
        <v>0</v>
      </c>
      <c r="L1034" s="7">
        <v>0</v>
      </c>
      <c r="M1034" s="8">
        <v>4159.3499999999995</v>
      </c>
      <c r="N1034" s="8">
        <v>0</v>
      </c>
      <c r="O1034" s="8">
        <v>1000</v>
      </c>
      <c r="P1034" s="8">
        <v>0</v>
      </c>
      <c r="Q1034" s="8">
        <v>0</v>
      </c>
      <c r="R1034" s="8">
        <v>0</v>
      </c>
      <c r="S1034" s="8">
        <v>0</v>
      </c>
      <c r="T1034" s="5">
        <v>0</v>
      </c>
      <c r="U1034" s="5">
        <v>0</v>
      </c>
      <c r="V1034" s="5">
        <f>VLOOKUP(A1034,Planilha1!B:E,4,0)</f>
        <v>1.4766792698630664</v>
      </c>
    </row>
    <row r="1035" spans="1:22" x14ac:dyDescent="0.3">
      <c r="A1035" t="str">
        <f t="shared" si="32"/>
        <v>BLISTERITAMBÉ</v>
      </c>
      <c r="B1035" t="str">
        <f t="shared" si="33"/>
        <v>5192611BLISTERITAMBÉ</v>
      </c>
      <c r="C1035" s="5" t="s">
        <v>226</v>
      </c>
      <c r="D1035" s="5" t="s">
        <v>752</v>
      </c>
      <c r="E1035" s="5" t="s">
        <v>759</v>
      </c>
      <c r="F1035" s="5">
        <v>5192611</v>
      </c>
      <c r="G1035" s="5" t="s">
        <v>763</v>
      </c>
      <c r="H1035" s="5" t="s">
        <v>154</v>
      </c>
      <c r="I1035" s="5" t="s">
        <v>27</v>
      </c>
      <c r="J1035" s="5" t="s">
        <v>199</v>
      </c>
      <c r="K1035" s="6">
        <v>0</v>
      </c>
      <c r="L1035" s="7">
        <v>0</v>
      </c>
      <c r="M1035" s="8">
        <v>788.16</v>
      </c>
      <c r="N1035" s="8">
        <v>832</v>
      </c>
      <c r="O1035" s="8">
        <v>326.04657888119237</v>
      </c>
      <c r="P1035" s="8">
        <v>0</v>
      </c>
      <c r="Q1035" s="8">
        <v>0</v>
      </c>
      <c r="R1035" s="8">
        <v>0</v>
      </c>
      <c r="S1035" s="8">
        <v>0</v>
      </c>
      <c r="T1035" s="5">
        <v>0</v>
      </c>
      <c r="U1035" s="5">
        <v>1344</v>
      </c>
      <c r="V1035" s="5">
        <f>VLOOKUP(A1035,Planilha1!B:E,4,0)</f>
        <v>10.339882680976428</v>
      </c>
    </row>
    <row r="1036" spans="1:22" x14ac:dyDescent="0.3">
      <c r="A1036" t="str">
        <f t="shared" si="32"/>
        <v>COMPOSTOITAMBÉ</v>
      </c>
      <c r="B1036" t="str">
        <f t="shared" si="33"/>
        <v>5221391COMPOSTOITAMBÉ</v>
      </c>
      <c r="C1036" s="5" t="s">
        <v>226</v>
      </c>
      <c r="D1036" s="5" t="s">
        <v>752</v>
      </c>
      <c r="E1036" s="5" t="s">
        <v>759</v>
      </c>
      <c r="F1036" s="5">
        <v>5221391</v>
      </c>
      <c r="G1036" s="5" t="s">
        <v>764</v>
      </c>
      <c r="H1036" s="5" t="s">
        <v>154</v>
      </c>
      <c r="I1036" s="5" t="s">
        <v>27</v>
      </c>
      <c r="J1036" s="5" t="s">
        <v>26</v>
      </c>
      <c r="K1036" s="6">
        <v>0</v>
      </c>
      <c r="L1036" s="7">
        <v>0</v>
      </c>
      <c r="M1036" s="8">
        <v>343.33333333333331</v>
      </c>
      <c r="N1036" s="8">
        <v>233.33333333333334</v>
      </c>
      <c r="O1036" s="8">
        <v>500</v>
      </c>
      <c r="P1036" s="8">
        <v>0</v>
      </c>
      <c r="Q1036" s="8">
        <v>0</v>
      </c>
      <c r="R1036" s="8">
        <v>0</v>
      </c>
      <c r="S1036" s="8">
        <v>0</v>
      </c>
      <c r="T1036" s="5">
        <v>0</v>
      </c>
      <c r="U1036" s="5">
        <v>0</v>
      </c>
      <c r="V1036" s="5">
        <f>VLOOKUP(A1036,Planilha1!B:E,4,0)</f>
        <v>0.15618217875936719</v>
      </c>
    </row>
    <row r="1037" spans="1:22" x14ac:dyDescent="0.3">
      <c r="A1037" t="str">
        <f t="shared" si="32"/>
        <v>LEITE CONDENSADOITAMBÉ</v>
      </c>
      <c r="B1037" t="str">
        <f t="shared" si="33"/>
        <v>5221391LEITE CONDENSADOITAMBÉ</v>
      </c>
      <c r="C1037" s="5" t="s">
        <v>226</v>
      </c>
      <c r="D1037" s="5" t="s">
        <v>752</v>
      </c>
      <c r="E1037" s="5" t="s">
        <v>759</v>
      </c>
      <c r="F1037" s="5">
        <v>5221391</v>
      </c>
      <c r="G1037" s="5" t="s">
        <v>764</v>
      </c>
      <c r="H1037" s="5" t="s">
        <v>154</v>
      </c>
      <c r="I1037" s="5" t="s">
        <v>27</v>
      </c>
      <c r="J1037" s="5" t="s">
        <v>33</v>
      </c>
      <c r="K1037" s="6">
        <v>0</v>
      </c>
      <c r="L1037" s="7">
        <v>0</v>
      </c>
      <c r="M1037" s="8">
        <v>159.97499999999999</v>
      </c>
      <c r="N1037" s="8">
        <v>320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5">
        <v>0</v>
      </c>
      <c r="U1037" s="5">
        <v>0</v>
      </c>
      <c r="V1037" s="5">
        <f>VLOOKUP(A1037,Planilha1!B:E,4,0)</f>
        <v>1.4766792698630664</v>
      </c>
    </row>
    <row r="1038" spans="1:22" x14ac:dyDescent="0.3">
      <c r="A1038" t="str">
        <f t="shared" si="32"/>
        <v>CREME UHTITAMBÉ</v>
      </c>
      <c r="B1038" t="str">
        <f t="shared" si="33"/>
        <v>5221391CREME UHTITAMBÉ</v>
      </c>
      <c r="C1038" s="5" t="s">
        <v>226</v>
      </c>
      <c r="D1038" s="5" t="s">
        <v>752</v>
      </c>
      <c r="E1038" s="5" t="s">
        <v>759</v>
      </c>
      <c r="F1038" s="5">
        <v>5221391</v>
      </c>
      <c r="G1038" s="5" t="s">
        <v>764</v>
      </c>
      <c r="H1038" s="5" t="s">
        <v>154</v>
      </c>
      <c r="I1038" s="5" t="s">
        <v>27</v>
      </c>
      <c r="J1038" s="5" t="s">
        <v>34</v>
      </c>
      <c r="K1038" s="6">
        <v>0</v>
      </c>
      <c r="L1038" s="7">
        <v>0</v>
      </c>
      <c r="M1038" s="8">
        <v>47.2</v>
      </c>
      <c r="N1038" s="8">
        <v>94.333333333333343</v>
      </c>
      <c r="O1038" s="8">
        <v>1000</v>
      </c>
      <c r="P1038" s="8">
        <v>0</v>
      </c>
      <c r="Q1038" s="8">
        <v>0</v>
      </c>
      <c r="R1038" s="8">
        <v>0</v>
      </c>
      <c r="S1038" s="8">
        <v>0</v>
      </c>
      <c r="T1038" s="5">
        <v>0</v>
      </c>
      <c r="U1038" s="5">
        <v>0</v>
      </c>
      <c r="V1038" s="5">
        <f>VLOOKUP(A1038,Planilha1!B:E,4,0)</f>
        <v>1.2362540170747773</v>
      </c>
    </row>
    <row r="1039" spans="1:22" x14ac:dyDescent="0.3">
      <c r="A1039" t="str">
        <f t="shared" si="32"/>
        <v>DOCE DE LEITEITAMBÉ</v>
      </c>
      <c r="B1039" t="str">
        <f t="shared" si="33"/>
        <v>5221391DOCE DE LEITEITAMBÉ</v>
      </c>
      <c r="C1039" s="5" t="s">
        <v>226</v>
      </c>
      <c r="D1039" s="5" t="s">
        <v>752</v>
      </c>
      <c r="E1039" s="5" t="s">
        <v>759</v>
      </c>
      <c r="F1039" s="5">
        <v>5221391</v>
      </c>
      <c r="G1039" s="5" t="s">
        <v>764</v>
      </c>
      <c r="H1039" s="5" t="s">
        <v>154</v>
      </c>
      <c r="I1039" s="5" t="s">
        <v>27</v>
      </c>
      <c r="J1039" s="5" t="s">
        <v>46</v>
      </c>
      <c r="K1039" s="6">
        <v>0</v>
      </c>
      <c r="L1039" s="7">
        <v>0</v>
      </c>
      <c r="M1039" s="8">
        <v>0</v>
      </c>
      <c r="N1039" s="8">
        <v>0</v>
      </c>
      <c r="O1039" s="8">
        <v>666.66</v>
      </c>
      <c r="P1039" s="8">
        <v>0</v>
      </c>
      <c r="Q1039" s="8">
        <v>0</v>
      </c>
      <c r="R1039" s="8">
        <v>0</v>
      </c>
      <c r="S1039" s="8">
        <v>0</v>
      </c>
      <c r="T1039" s="5">
        <v>0</v>
      </c>
      <c r="U1039" s="5">
        <v>0</v>
      </c>
      <c r="V1039" s="5">
        <f>VLOOKUP(A1039,Planilha1!B:E,4,0)</f>
        <v>5.8210743907543439</v>
      </c>
    </row>
    <row r="1040" spans="1:22" x14ac:dyDescent="0.3">
      <c r="A1040" t="str">
        <f t="shared" si="32"/>
        <v>LEITE CONDENSADOITAMBÉ</v>
      </c>
      <c r="B1040" t="str">
        <f t="shared" si="33"/>
        <v>5313456LEITE CONDENSADOITAMBÉ</v>
      </c>
      <c r="C1040" s="5" t="s">
        <v>226</v>
      </c>
      <c r="D1040" s="5" t="s">
        <v>752</v>
      </c>
      <c r="E1040" s="5" t="s">
        <v>759</v>
      </c>
      <c r="F1040" s="5">
        <v>5313456</v>
      </c>
      <c r="G1040" s="5" t="s">
        <v>765</v>
      </c>
      <c r="H1040" s="5" t="s">
        <v>154</v>
      </c>
      <c r="I1040" s="5" t="s">
        <v>27</v>
      </c>
      <c r="J1040" s="5" t="s">
        <v>33</v>
      </c>
      <c r="K1040" s="6">
        <v>0</v>
      </c>
      <c r="L1040" s="7">
        <v>0</v>
      </c>
      <c r="M1040" s="8">
        <v>41.666666666666671</v>
      </c>
      <c r="N1040" s="8">
        <v>50</v>
      </c>
      <c r="O1040" s="8">
        <v>0</v>
      </c>
      <c r="P1040" s="8">
        <v>0</v>
      </c>
      <c r="Q1040" s="8">
        <v>1763.2</v>
      </c>
      <c r="R1040" s="8">
        <v>0</v>
      </c>
      <c r="S1040" s="8">
        <v>0</v>
      </c>
      <c r="T1040" s="5">
        <v>0</v>
      </c>
      <c r="U1040" s="5">
        <v>0</v>
      </c>
      <c r="V1040" s="5">
        <f>VLOOKUP(A1040,Planilha1!B:E,4,0)</f>
        <v>1.4766792698630664</v>
      </c>
    </row>
    <row r="1041" spans="1:22" x14ac:dyDescent="0.3">
      <c r="A1041" t="str">
        <f t="shared" si="32"/>
        <v>CREME UHTITAMBÉ</v>
      </c>
      <c r="B1041" t="str">
        <f t="shared" si="33"/>
        <v>5313456CREME UHTITAMBÉ</v>
      </c>
      <c r="C1041" s="5" t="s">
        <v>226</v>
      </c>
      <c r="D1041" s="5" t="s">
        <v>752</v>
      </c>
      <c r="E1041" s="5" t="s">
        <v>759</v>
      </c>
      <c r="F1041" s="5">
        <v>5313456</v>
      </c>
      <c r="G1041" s="5" t="s">
        <v>765</v>
      </c>
      <c r="H1041" s="5" t="s">
        <v>154</v>
      </c>
      <c r="I1041" s="5" t="s">
        <v>27</v>
      </c>
      <c r="J1041" s="5" t="s">
        <v>34</v>
      </c>
      <c r="K1041" s="6">
        <v>0</v>
      </c>
      <c r="L1041" s="7">
        <v>0</v>
      </c>
      <c r="M1041" s="8">
        <v>276.74</v>
      </c>
      <c r="N1041" s="8">
        <v>387.66666666666669</v>
      </c>
      <c r="O1041" s="8">
        <v>234</v>
      </c>
      <c r="P1041" s="8">
        <v>0</v>
      </c>
      <c r="Q1041" s="8">
        <v>1921.2</v>
      </c>
      <c r="R1041" s="8">
        <v>0</v>
      </c>
      <c r="S1041" s="8">
        <v>0</v>
      </c>
      <c r="T1041" s="5">
        <v>0</v>
      </c>
      <c r="U1041" s="5">
        <v>0</v>
      </c>
      <c r="V1041" s="5">
        <f>VLOOKUP(A1041,Planilha1!B:E,4,0)</f>
        <v>1.2362540170747773</v>
      </c>
    </row>
    <row r="1042" spans="1:22" x14ac:dyDescent="0.3">
      <c r="A1042" t="str">
        <f t="shared" si="32"/>
        <v>BLISTERITAMBÉ</v>
      </c>
      <c r="B1042" t="str">
        <f t="shared" si="33"/>
        <v>5349403BLISTERITAMBÉ</v>
      </c>
      <c r="C1042" s="5" t="s">
        <v>226</v>
      </c>
      <c r="D1042" s="5" t="s">
        <v>752</v>
      </c>
      <c r="E1042" s="5" t="s">
        <v>759</v>
      </c>
      <c r="F1042" s="5">
        <v>5349403</v>
      </c>
      <c r="G1042" s="5" t="s">
        <v>766</v>
      </c>
      <c r="H1042" s="5" t="s">
        <v>154</v>
      </c>
      <c r="I1042" s="5" t="s">
        <v>27</v>
      </c>
      <c r="J1042" s="5" t="s">
        <v>199</v>
      </c>
      <c r="K1042" s="6">
        <v>0</v>
      </c>
      <c r="L1042" s="7">
        <v>0</v>
      </c>
      <c r="M1042" s="8">
        <v>0</v>
      </c>
      <c r="N1042" s="8">
        <v>0</v>
      </c>
      <c r="O1042" s="8">
        <v>248.03543424090708</v>
      </c>
      <c r="P1042" s="8">
        <v>0</v>
      </c>
      <c r="Q1042" s="8">
        <v>0</v>
      </c>
      <c r="R1042" s="8">
        <v>0</v>
      </c>
      <c r="S1042" s="8">
        <v>0</v>
      </c>
      <c r="T1042" s="5">
        <v>0</v>
      </c>
      <c r="U1042" s="5">
        <v>0</v>
      </c>
      <c r="V1042" s="5">
        <f>VLOOKUP(A1042,Planilha1!B:E,4,0)</f>
        <v>10.339882680976428</v>
      </c>
    </row>
    <row r="1043" spans="1:22" x14ac:dyDescent="0.3">
      <c r="A1043" t="str">
        <f t="shared" si="32"/>
        <v>BLISTERLACTALIS</v>
      </c>
      <c r="B1043" t="str">
        <f t="shared" si="33"/>
        <v>5108984BLISTERLACTALIS</v>
      </c>
      <c r="C1043" s="5" t="s">
        <v>226</v>
      </c>
      <c r="D1043" s="5" t="s">
        <v>752</v>
      </c>
      <c r="E1043" s="5" t="s">
        <v>767</v>
      </c>
      <c r="F1043" s="5">
        <v>5108984</v>
      </c>
      <c r="G1043" s="5" t="s">
        <v>768</v>
      </c>
      <c r="H1043" s="5" t="s">
        <v>154</v>
      </c>
      <c r="I1043" s="5" t="s">
        <v>22</v>
      </c>
      <c r="J1043" s="5" t="s">
        <v>199</v>
      </c>
      <c r="K1043" s="6">
        <v>0</v>
      </c>
      <c r="L1043" s="7">
        <v>1150.0800000000002</v>
      </c>
      <c r="M1043" s="8">
        <v>266.56</v>
      </c>
      <c r="N1043" s="8">
        <v>477.43999999999994</v>
      </c>
      <c r="O1043" s="8">
        <v>10.344093565580627</v>
      </c>
      <c r="P1043" s="8">
        <v>0</v>
      </c>
      <c r="Q1043" s="8">
        <v>201.6</v>
      </c>
      <c r="R1043" s="8">
        <v>0</v>
      </c>
      <c r="S1043" s="8">
        <v>0</v>
      </c>
      <c r="T1043" s="5">
        <v>0</v>
      </c>
      <c r="U1043" s="5">
        <v>611</v>
      </c>
      <c r="V1043" s="5">
        <f>VLOOKUP(A1043,Planilha1!B:E,4,0)</f>
        <v>13.783871706210666</v>
      </c>
    </row>
    <row r="1044" spans="1:22" x14ac:dyDescent="0.3">
      <c r="A1044" t="str">
        <f t="shared" si="32"/>
        <v>LEITE UHTLACTALIS</v>
      </c>
      <c r="B1044" t="str">
        <f t="shared" si="33"/>
        <v>5108984LEITE UHTLACTALIS</v>
      </c>
      <c r="C1044" s="5" t="s">
        <v>226</v>
      </c>
      <c r="D1044" s="5" t="s">
        <v>752</v>
      </c>
      <c r="E1044" s="5" t="s">
        <v>767</v>
      </c>
      <c r="F1044" s="5">
        <v>5108984</v>
      </c>
      <c r="G1044" s="5" t="s">
        <v>768</v>
      </c>
      <c r="H1044" s="5" t="s">
        <v>154</v>
      </c>
      <c r="I1044" s="5" t="s">
        <v>22</v>
      </c>
      <c r="J1044" s="5" t="s">
        <v>156</v>
      </c>
      <c r="K1044" s="6">
        <v>0</v>
      </c>
      <c r="L1044" s="7">
        <v>54000</v>
      </c>
      <c r="M1044" s="8">
        <v>32</v>
      </c>
      <c r="N1044" s="8">
        <v>40</v>
      </c>
      <c r="O1044" s="8">
        <v>16.48851272822299</v>
      </c>
      <c r="P1044" s="8">
        <v>0</v>
      </c>
      <c r="Q1044" s="8">
        <v>3432</v>
      </c>
      <c r="R1044" s="8">
        <v>0</v>
      </c>
      <c r="S1044" s="8">
        <v>0</v>
      </c>
      <c r="T1044" s="5">
        <v>0</v>
      </c>
      <c r="U1044" s="5">
        <v>0</v>
      </c>
      <c r="V1044" s="5">
        <f>VLOOKUP(A1044,Planilha1!B:E,4,0)</f>
        <v>0.37177548115779385</v>
      </c>
    </row>
    <row r="1045" spans="1:22" x14ac:dyDescent="0.3">
      <c r="A1045" t="str">
        <f t="shared" si="32"/>
        <v>COMPOSTOITAMBÉ</v>
      </c>
      <c r="B1045" t="str">
        <f t="shared" si="33"/>
        <v>5178518COMPOSTOITAMBÉ</v>
      </c>
      <c r="C1045" s="5" t="s">
        <v>226</v>
      </c>
      <c r="D1045" s="5" t="s">
        <v>752</v>
      </c>
      <c r="E1045" s="5" t="s">
        <v>767</v>
      </c>
      <c r="F1045" s="5">
        <v>5178518</v>
      </c>
      <c r="G1045" s="5" t="s">
        <v>769</v>
      </c>
      <c r="H1045" s="5" t="s">
        <v>154</v>
      </c>
      <c r="I1045" s="5" t="s">
        <v>27</v>
      </c>
      <c r="J1045" s="5" t="s">
        <v>26</v>
      </c>
      <c r="K1045" s="6">
        <v>0</v>
      </c>
      <c r="L1045" s="7">
        <v>1080</v>
      </c>
      <c r="M1045" s="8">
        <v>4906.6666666666661</v>
      </c>
      <c r="N1045" s="8">
        <v>4755.0000000000009</v>
      </c>
      <c r="O1045" s="8">
        <v>4820.1554072523386</v>
      </c>
      <c r="P1045" s="8">
        <v>0</v>
      </c>
      <c r="Q1045" s="8">
        <v>2440</v>
      </c>
      <c r="R1045" s="8">
        <v>0</v>
      </c>
      <c r="S1045" s="8">
        <v>3500</v>
      </c>
      <c r="T1045" s="5">
        <v>3500</v>
      </c>
      <c r="U1045" s="5">
        <v>5600</v>
      </c>
      <c r="V1045" s="5">
        <f>VLOOKUP(A1045,Planilha1!B:E,4,0)</f>
        <v>0.15618217875936719</v>
      </c>
    </row>
    <row r="1046" spans="1:22" x14ac:dyDescent="0.3">
      <c r="A1046" t="str">
        <f t="shared" si="32"/>
        <v>LEITE CONDENSADOITAMBÉ</v>
      </c>
      <c r="B1046" t="str">
        <f t="shared" si="33"/>
        <v>5178518LEITE CONDENSADOITAMBÉ</v>
      </c>
      <c r="C1046" s="5" t="s">
        <v>226</v>
      </c>
      <c r="D1046" s="5" t="s">
        <v>752</v>
      </c>
      <c r="E1046" s="5" t="s">
        <v>767</v>
      </c>
      <c r="F1046" s="5">
        <v>5178518</v>
      </c>
      <c r="G1046" s="5" t="s">
        <v>769</v>
      </c>
      <c r="H1046" s="5" t="s">
        <v>154</v>
      </c>
      <c r="I1046" s="5" t="s">
        <v>27</v>
      </c>
      <c r="J1046" s="5" t="s">
        <v>33</v>
      </c>
      <c r="K1046" s="6">
        <v>0</v>
      </c>
      <c r="L1046" s="7">
        <v>242.4</v>
      </c>
      <c r="M1046" s="8">
        <v>561.89333333333332</v>
      </c>
      <c r="N1046" s="8">
        <v>562</v>
      </c>
      <c r="O1046" s="8">
        <v>489.17262494314593</v>
      </c>
      <c r="P1046" s="8">
        <v>0</v>
      </c>
      <c r="Q1046" s="8">
        <v>0</v>
      </c>
      <c r="R1046" s="8">
        <v>0</v>
      </c>
      <c r="S1046" s="8">
        <v>0</v>
      </c>
      <c r="T1046" s="5">
        <v>0</v>
      </c>
      <c r="U1046" s="5">
        <v>1686</v>
      </c>
      <c r="V1046" s="5">
        <f>VLOOKUP(A1046,Planilha1!B:E,4,0)</f>
        <v>1.4766792698630664</v>
      </c>
    </row>
    <row r="1047" spans="1:22" x14ac:dyDescent="0.3">
      <c r="A1047" t="str">
        <f t="shared" si="32"/>
        <v>CREME UHTITAMBÉ</v>
      </c>
      <c r="B1047" t="str">
        <f t="shared" si="33"/>
        <v>5178518CREME UHTITAMBÉ</v>
      </c>
      <c r="C1047" s="5" t="s">
        <v>226</v>
      </c>
      <c r="D1047" s="5" t="s">
        <v>752</v>
      </c>
      <c r="E1047" s="5" t="s">
        <v>767</v>
      </c>
      <c r="F1047" s="5">
        <v>5178518</v>
      </c>
      <c r="G1047" s="5" t="s">
        <v>769</v>
      </c>
      <c r="H1047" s="5" t="s">
        <v>154</v>
      </c>
      <c r="I1047" s="5" t="s">
        <v>27</v>
      </c>
      <c r="J1047" s="5" t="s">
        <v>34</v>
      </c>
      <c r="K1047" s="6">
        <v>0</v>
      </c>
      <c r="L1047" s="7">
        <v>60.6</v>
      </c>
      <c r="M1047" s="8">
        <v>121.2</v>
      </c>
      <c r="N1047" s="8">
        <v>181.66666666666669</v>
      </c>
      <c r="O1047" s="8">
        <v>43.998288955429516</v>
      </c>
      <c r="P1047" s="8">
        <v>0</v>
      </c>
      <c r="Q1047" s="8">
        <v>0</v>
      </c>
      <c r="R1047" s="8">
        <v>0</v>
      </c>
      <c r="S1047" s="8">
        <v>100</v>
      </c>
      <c r="T1047" s="5">
        <v>100</v>
      </c>
      <c r="U1047" s="5">
        <v>0</v>
      </c>
      <c r="V1047" s="5">
        <f>VLOOKUP(A1047,Planilha1!B:E,4,0)</f>
        <v>1.2362540170747773</v>
      </c>
    </row>
    <row r="1048" spans="1:22" x14ac:dyDescent="0.3">
      <c r="A1048" t="str">
        <f t="shared" si="32"/>
        <v>DOCE DE LEITEITAMBÉ</v>
      </c>
      <c r="B1048" t="str">
        <f t="shared" si="33"/>
        <v>5178518DOCE DE LEITEITAMBÉ</v>
      </c>
      <c r="C1048" s="5" t="s">
        <v>226</v>
      </c>
      <c r="D1048" s="5" t="s">
        <v>752</v>
      </c>
      <c r="E1048" s="5" t="s">
        <v>767</v>
      </c>
      <c r="F1048" s="5">
        <v>5178518</v>
      </c>
      <c r="G1048" s="5" t="s">
        <v>769</v>
      </c>
      <c r="H1048" s="5" t="s">
        <v>154</v>
      </c>
      <c r="I1048" s="5" t="s">
        <v>27</v>
      </c>
      <c r="J1048" s="5" t="s">
        <v>46</v>
      </c>
      <c r="K1048" s="6">
        <v>0</v>
      </c>
      <c r="L1048" s="7">
        <v>180</v>
      </c>
      <c r="M1048" s="8">
        <v>390</v>
      </c>
      <c r="N1048" s="8">
        <v>529.33333333333326</v>
      </c>
      <c r="O1048" s="8">
        <v>424.02422995599755</v>
      </c>
      <c r="P1048" s="8">
        <v>0</v>
      </c>
      <c r="Q1048" s="8">
        <v>0</v>
      </c>
      <c r="R1048" s="8">
        <v>0</v>
      </c>
      <c r="S1048" s="8">
        <v>432</v>
      </c>
      <c r="T1048" s="5">
        <v>432</v>
      </c>
      <c r="U1048" s="5">
        <v>432</v>
      </c>
      <c r="V1048" s="5">
        <f>VLOOKUP(A1048,Planilha1!B:E,4,0)</f>
        <v>5.8210743907543439</v>
      </c>
    </row>
    <row r="1049" spans="1:22" x14ac:dyDescent="0.3">
      <c r="A1049" t="str">
        <f t="shared" si="32"/>
        <v>BLISTERITAMBÉ</v>
      </c>
      <c r="B1049" t="str">
        <f t="shared" si="33"/>
        <v>5226531BLISTERITAMBÉ</v>
      </c>
      <c r="C1049" s="5" t="s">
        <v>226</v>
      </c>
      <c r="D1049" s="5" t="s">
        <v>752</v>
      </c>
      <c r="E1049" s="5" t="s">
        <v>767</v>
      </c>
      <c r="F1049" s="5">
        <v>5226531</v>
      </c>
      <c r="G1049" s="5" t="s">
        <v>770</v>
      </c>
      <c r="H1049" s="5" t="s">
        <v>154</v>
      </c>
      <c r="I1049" s="5" t="s">
        <v>27</v>
      </c>
      <c r="J1049" s="5" t="s">
        <v>199</v>
      </c>
      <c r="K1049" s="6">
        <v>0</v>
      </c>
      <c r="L1049" s="7">
        <v>0</v>
      </c>
      <c r="M1049" s="8">
        <v>359.36</v>
      </c>
      <c r="N1049" s="8">
        <v>259.33333333333331</v>
      </c>
      <c r="O1049" s="8">
        <v>445.06358160162767</v>
      </c>
      <c r="P1049" s="8">
        <v>0</v>
      </c>
      <c r="Q1049" s="8">
        <v>0</v>
      </c>
      <c r="R1049" s="8">
        <v>0</v>
      </c>
      <c r="S1049" s="8">
        <v>192</v>
      </c>
      <c r="T1049" s="5">
        <v>192</v>
      </c>
      <c r="U1049" s="5">
        <v>268</v>
      </c>
      <c r="V1049" s="5">
        <f>VLOOKUP(A1049,Planilha1!B:E,4,0)</f>
        <v>10.339882680976428</v>
      </c>
    </row>
    <row r="1050" spans="1:22" x14ac:dyDescent="0.3">
      <c r="A1050" t="str">
        <f t="shared" si="32"/>
        <v>BLISTERLACTALIS</v>
      </c>
      <c r="B1050" t="str">
        <f t="shared" si="33"/>
        <v>5226531BLISTERLACTALIS</v>
      </c>
      <c r="C1050" s="5" t="s">
        <v>226</v>
      </c>
      <c r="D1050" s="5" t="s">
        <v>752</v>
      </c>
      <c r="E1050" s="5" t="s">
        <v>767</v>
      </c>
      <c r="F1050" s="5">
        <v>5226531</v>
      </c>
      <c r="G1050" s="5" t="s">
        <v>770</v>
      </c>
      <c r="H1050" s="5" t="s">
        <v>154</v>
      </c>
      <c r="I1050" s="5" t="s">
        <v>22</v>
      </c>
      <c r="J1050" s="5" t="s">
        <v>199</v>
      </c>
      <c r="K1050" s="6">
        <v>0</v>
      </c>
      <c r="L1050" s="7">
        <v>0</v>
      </c>
      <c r="M1050" s="8">
        <v>922.24</v>
      </c>
      <c r="N1050" s="8">
        <v>912</v>
      </c>
      <c r="O1050" s="8">
        <v>820.33857638489133</v>
      </c>
      <c r="P1050" s="8">
        <v>0</v>
      </c>
      <c r="Q1050" s="8">
        <v>0</v>
      </c>
      <c r="R1050" s="8">
        <v>0</v>
      </c>
      <c r="S1050" s="8">
        <v>384</v>
      </c>
      <c r="T1050" s="5">
        <v>384</v>
      </c>
      <c r="U1050" s="5">
        <v>396</v>
      </c>
      <c r="V1050" s="5">
        <f>VLOOKUP(A1050,Planilha1!B:E,4,0)</f>
        <v>13.783871706210666</v>
      </c>
    </row>
    <row r="1051" spans="1:22" x14ac:dyDescent="0.3">
      <c r="A1051" t="str">
        <f t="shared" si="32"/>
        <v>MANTEIGA 5KGLACTALIS</v>
      </c>
      <c r="B1051" t="str">
        <f t="shared" si="33"/>
        <v>5226531MANTEIGA 5KGLACTALIS</v>
      </c>
      <c r="C1051" s="5" t="s">
        <v>226</v>
      </c>
      <c r="D1051" s="5" t="s">
        <v>752</v>
      </c>
      <c r="E1051" s="5" t="s">
        <v>767</v>
      </c>
      <c r="F1051" s="5">
        <v>5226531</v>
      </c>
      <c r="G1051" s="5" t="s">
        <v>770</v>
      </c>
      <c r="H1051" s="5" t="s">
        <v>154</v>
      </c>
      <c r="I1051" s="5" t="s">
        <v>22</v>
      </c>
      <c r="J1051" s="5" t="s">
        <v>60</v>
      </c>
      <c r="K1051" s="6">
        <v>0</v>
      </c>
      <c r="L1051" s="7">
        <v>0</v>
      </c>
      <c r="M1051" s="8">
        <v>333.33333333333337</v>
      </c>
      <c r="N1051" s="8">
        <v>500</v>
      </c>
      <c r="O1051" s="8">
        <v>498.57910880483576</v>
      </c>
      <c r="P1051" s="8">
        <v>0</v>
      </c>
      <c r="Q1051" s="8">
        <v>0</v>
      </c>
      <c r="R1051" s="8">
        <v>0</v>
      </c>
      <c r="S1051" s="8">
        <v>250</v>
      </c>
      <c r="T1051" s="5">
        <v>250</v>
      </c>
      <c r="U1051" s="5">
        <v>250</v>
      </c>
      <c r="V1051" s="5">
        <f>VLOOKUP(A1051,Planilha1!B:E,4,0)</f>
        <v>11.476197020267191</v>
      </c>
    </row>
    <row r="1052" spans="1:22" x14ac:dyDescent="0.3">
      <c r="A1052" t="str">
        <f t="shared" si="32"/>
        <v>PARMESÃOLACTALIS</v>
      </c>
      <c r="B1052" t="str">
        <f t="shared" si="33"/>
        <v>5226531PARMESÃOLACTALIS</v>
      </c>
      <c r="C1052" s="5" t="s">
        <v>226</v>
      </c>
      <c r="D1052" s="5" t="s">
        <v>752</v>
      </c>
      <c r="E1052" s="5" t="s">
        <v>767</v>
      </c>
      <c r="F1052" s="5">
        <v>5226531</v>
      </c>
      <c r="G1052" s="5" t="s">
        <v>770</v>
      </c>
      <c r="H1052" s="5" t="s">
        <v>154</v>
      </c>
      <c r="I1052" s="5" t="s">
        <v>22</v>
      </c>
      <c r="J1052" s="5" t="s">
        <v>195</v>
      </c>
      <c r="K1052" s="6">
        <v>0</v>
      </c>
      <c r="L1052" s="7">
        <v>0</v>
      </c>
      <c r="M1052" s="8">
        <v>522.4036666666666</v>
      </c>
      <c r="N1052" s="8">
        <v>411.42333333333335</v>
      </c>
      <c r="O1052" s="8">
        <v>444.04141708713075</v>
      </c>
      <c r="P1052" s="8">
        <v>0</v>
      </c>
      <c r="Q1052" s="8">
        <v>0</v>
      </c>
      <c r="R1052" s="8">
        <v>0</v>
      </c>
      <c r="S1052" s="8">
        <v>400</v>
      </c>
      <c r="T1052" s="5">
        <v>400</v>
      </c>
      <c r="U1052" s="5">
        <v>300</v>
      </c>
      <c r="V1052" s="5">
        <f>VLOOKUP(A1052,Planilha1!B:E,4,0)</f>
        <v>6.310326960724681</v>
      </c>
    </row>
    <row r="1053" spans="1:22" x14ac:dyDescent="0.3">
      <c r="A1053" t="str">
        <f t="shared" si="32"/>
        <v>COMPOSTOITAMBÉ</v>
      </c>
      <c r="B1053" t="str">
        <f t="shared" si="33"/>
        <v>5231303COMPOSTOITAMBÉ</v>
      </c>
      <c r="C1053" s="5" t="s">
        <v>226</v>
      </c>
      <c r="D1053" s="5" t="s">
        <v>752</v>
      </c>
      <c r="E1053" s="5" t="s">
        <v>767</v>
      </c>
      <c r="F1053" s="5">
        <v>5231303</v>
      </c>
      <c r="G1053" s="5" t="s">
        <v>771</v>
      </c>
      <c r="H1053" s="5" t="s">
        <v>154</v>
      </c>
      <c r="I1053" s="5" t="s">
        <v>27</v>
      </c>
      <c r="J1053" s="5" t="s">
        <v>26</v>
      </c>
      <c r="K1053" s="6">
        <v>0</v>
      </c>
      <c r="L1053" s="7">
        <v>0</v>
      </c>
      <c r="M1053" s="8">
        <v>466.66666666666669</v>
      </c>
      <c r="N1053" s="8">
        <v>233.33333333333334</v>
      </c>
      <c r="O1053" s="8">
        <v>2060.0508223717106</v>
      </c>
      <c r="P1053" s="8">
        <v>0</v>
      </c>
      <c r="Q1053" s="8">
        <v>0</v>
      </c>
      <c r="R1053" s="8">
        <v>0</v>
      </c>
      <c r="S1053" s="8">
        <v>700</v>
      </c>
      <c r="T1053" s="5">
        <v>700</v>
      </c>
      <c r="U1053" s="5">
        <v>700</v>
      </c>
      <c r="V1053" s="5">
        <f>VLOOKUP(A1053,Planilha1!B:E,4,0)</f>
        <v>0.15618217875936719</v>
      </c>
    </row>
    <row r="1054" spans="1:22" x14ac:dyDescent="0.3">
      <c r="A1054" t="str">
        <f t="shared" si="32"/>
        <v>LEITE CONDENSADOITAMBÉ</v>
      </c>
      <c r="B1054" t="str">
        <f t="shared" si="33"/>
        <v>5231303LEITE CONDENSADOITAMBÉ</v>
      </c>
      <c r="C1054" s="5" t="s">
        <v>226</v>
      </c>
      <c r="D1054" s="5" t="s">
        <v>752</v>
      </c>
      <c r="E1054" s="5" t="s">
        <v>767</v>
      </c>
      <c r="F1054" s="5">
        <v>5231303</v>
      </c>
      <c r="G1054" s="5" t="s">
        <v>771</v>
      </c>
      <c r="H1054" s="5" t="s">
        <v>154</v>
      </c>
      <c r="I1054" s="5" t="s">
        <v>27</v>
      </c>
      <c r="J1054" s="5" t="s">
        <v>33</v>
      </c>
      <c r="K1054" s="6">
        <v>0</v>
      </c>
      <c r="L1054" s="7">
        <v>0</v>
      </c>
      <c r="M1054" s="8">
        <v>9591.0733333333337</v>
      </c>
      <c r="N1054" s="8">
        <v>7125.333333333333</v>
      </c>
      <c r="O1054" s="8">
        <v>6625.3212842718131</v>
      </c>
      <c r="P1054" s="8">
        <v>0</v>
      </c>
      <c r="Q1054" s="8">
        <v>0</v>
      </c>
      <c r="R1054" s="8">
        <v>0</v>
      </c>
      <c r="S1054" s="8">
        <v>4550</v>
      </c>
      <c r="T1054" s="5">
        <v>4550</v>
      </c>
      <c r="U1054" s="5">
        <v>5460</v>
      </c>
      <c r="V1054" s="5">
        <f>VLOOKUP(A1054,Planilha1!B:E,4,0)</f>
        <v>1.4766792698630664</v>
      </c>
    </row>
    <row r="1055" spans="1:22" x14ac:dyDescent="0.3">
      <c r="A1055" t="str">
        <f t="shared" si="32"/>
        <v>CREME UHTITAMBÉ</v>
      </c>
      <c r="B1055" t="str">
        <f t="shared" si="33"/>
        <v>5231303CREME UHTITAMBÉ</v>
      </c>
      <c r="C1055" s="5" t="s">
        <v>226</v>
      </c>
      <c r="D1055" s="5" t="s">
        <v>752</v>
      </c>
      <c r="E1055" s="5" t="s">
        <v>767</v>
      </c>
      <c r="F1055" s="5">
        <v>5231303</v>
      </c>
      <c r="G1055" s="5" t="s">
        <v>771</v>
      </c>
      <c r="H1055" s="5" t="s">
        <v>154</v>
      </c>
      <c r="I1055" s="5" t="s">
        <v>27</v>
      </c>
      <c r="J1055" s="5" t="s">
        <v>34</v>
      </c>
      <c r="K1055" s="6">
        <v>0</v>
      </c>
      <c r="L1055" s="7">
        <v>0</v>
      </c>
      <c r="M1055" s="8">
        <v>1990.8000000000004</v>
      </c>
      <c r="N1055" s="8">
        <v>1280.6666666666665</v>
      </c>
      <c r="O1055" s="8">
        <v>1787.9304693706358</v>
      </c>
      <c r="P1055" s="8">
        <v>0</v>
      </c>
      <c r="Q1055" s="8">
        <v>0</v>
      </c>
      <c r="R1055" s="8">
        <v>0</v>
      </c>
      <c r="S1055" s="8">
        <v>1030</v>
      </c>
      <c r="T1055" s="5">
        <v>1030</v>
      </c>
      <c r="U1055" s="5">
        <v>2931</v>
      </c>
      <c r="V1055" s="5">
        <f>VLOOKUP(A1055,Planilha1!B:E,4,0)</f>
        <v>1.2362540170747773</v>
      </c>
    </row>
    <row r="1056" spans="1:22" x14ac:dyDescent="0.3">
      <c r="A1056" t="str">
        <f t="shared" si="32"/>
        <v>DOCE DE LEITEITAMBÉ</v>
      </c>
      <c r="B1056" t="str">
        <f t="shared" si="33"/>
        <v>5231303DOCE DE LEITEITAMBÉ</v>
      </c>
      <c r="C1056" s="5" t="s">
        <v>226</v>
      </c>
      <c r="D1056" s="5" t="s">
        <v>752</v>
      </c>
      <c r="E1056" s="5" t="s">
        <v>767</v>
      </c>
      <c r="F1056" s="5">
        <v>5231303</v>
      </c>
      <c r="G1056" s="5" t="s">
        <v>771</v>
      </c>
      <c r="H1056" s="5" t="s">
        <v>154</v>
      </c>
      <c r="I1056" s="5" t="s">
        <v>27</v>
      </c>
      <c r="J1056" s="5" t="s">
        <v>46</v>
      </c>
      <c r="K1056" s="6">
        <v>0</v>
      </c>
      <c r="L1056" s="7">
        <v>0</v>
      </c>
      <c r="M1056" s="8">
        <v>2711.2</v>
      </c>
      <c r="N1056" s="8">
        <v>2402</v>
      </c>
      <c r="O1056" s="8">
        <v>2184.1248071318364</v>
      </c>
      <c r="P1056" s="8">
        <v>0</v>
      </c>
      <c r="Q1056" s="8">
        <v>0</v>
      </c>
      <c r="R1056" s="8">
        <v>0</v>
      </c>
      <c r="S1056" s="8">
        <v>1342</v>
      </c>
      <c r="T1056" s="5">
        <v>1342</v>
      </c>
      <c r="U1056" s="5">
        <v>432</v>
      </c>
      <c r="V1056" s="5">
        <f>VLOOKUP(A1056,Planilha1!B:E,4,0)</f>
        <v>5.8210743907543439</v>
      </c>
    </row>
    <row r="1057" spans="1:22" x14ac:dyDescent="0.3">
      <c r="A1057" t="str">
        <f t="shared" si="32"/>
        <v>CREME UHTITAMBÉ</v>
      </c>
      <c r="B1057" t="str">
        <f t="shared" si="33"/>
        <v>5271447CREME UHTITAMBÉ</v>
      </c>
      <c r="C1057" s="5" t="s">
        <v>226</v>
      </c>
      <c r="D1057" s="5" t="s">
        <v>752</v>
      </c>
      <c r="E1057" s="5" t="s">
        <v>767</v>
      </c>
      <c r="F1057" s="5">
        <v>5271447</v>
      </c>
      <c r="G1057" s="5" t="s">
        <v>772</v>
      </c>
      <c r="H1057" s="5" t="s">
        <v>32</v>
      </c>
      <c r="I1057" s="5" t="s">
        <v>27</v>
      </c>
      <c r="J1057" s="5" t="s">
        <v>34</v>
      </c>
      <c r="K1057" s="6">
        <v>0</v>
      </c>
      <c r="L1057" s="7">
        <v>0</v>
      </c>
      <c r="M1057" s="8">
        <v>507.0200000000001</v>
      </c>
      <c r="N1057" s="8">
        <v>686.66666666666663</v>
      </c>
      <c r="O1057" s="8">
        <v>673.97378990817037</v>
      </c>
      <c r="P1057" s="8">
        <v>0</v>
      </c>
      <c r="Q1057" s="8">
        <v>0</v>
      </c>
      <c r="R1057" s="8">
        <v>0</v>
      </c>
      <c r="S1057" s="8">
        <v>1030</v>
      </c>
      <c r="T1057" s="5">
        <v>1030</v>
      </c>
      <c r="U1057" s="5">
        <v>1030</v>
      </c>
      <c r="V1057" s="5">
        <f>VLOOKUP(A1057,Planilha1!B:E,4,0)</f>
        <v>1.2362540170747773</v>
      </c>
    </row>
    <row r="1058" spans="1:22" x14ac:dyDescent="0.3">
      <c r="A1058" t="str">
        <f t="shared" si="32"/>
        <v>DOCE DE LEITEITAMBÉ</v>
      </c>
      <c r="B1058" t="str">
        <f t="shared" si="33"/>
        <v>5271447DOCE DE LEITEITAMBÉ</v>
      </c>
      <c r="C1058" s="5" t="s">
        <v>226</v>
      </c>
      <c r="D1058" s="5" t="s">
        <v>752</v>
      </c>
      <c r="E1058" s="5" t="s">
        <v>767</v>
      </c>
      <c r="F1058" s="5">
        <v>5271447</v>
      </c>
      <c r="G1058" s="5" t="s">
        <v>772</v>
      </c>
      <c r="H1058" s="5" t="s">
        <v>32</v>
      </c>
      <c r="I1058" s="5" t="s">
        <v>27</v>
      </c>
      <c r="J1058" s="5" t="s">
        <v>46</v>
      </c>
      <c r="K1058" s="6">
        <v>0</v>
      </c>
      <c r="L1058" s="7">
        <v>0</v>
      </c>
      <c r="M1058" s="8">
        <v>377.33333333333331</v>
      </c>
      <c r="N1058" s="8">
        <v>307.33333333333331</v>
      </c>
      <c r="O1058" s="8">
        <v>71.004057374707145</v>
      </c>
      <c r="P1058" s="8">
        <v>0</v>
      </c>
      <c r="Q1058" s="8">
        <v>0</v>
      </c>
      <c r="R1058" s="8">
        <v>0</v>
      </c>
      <c r="S1058" s="8">
        <v>432</v>
      </c>
      <c r="T1058" s="5">
        <v>432</v>
      </c>
      <c r="U1058" s="5">
        <v>910</v>
      </c>
      <c r="V1058" s="5">
        <f>VLOOKUP(A1058,Planilha1!B:E,4,0)</f>
        <v>5.8210743907543439</v>
      </c>
    </row>
    <row r="1059" spans="1:22" x14ac:dyDescent="0.3">
      <c r="A1059" t="str">
        <f t="shared" si="32"/>
        <v>DOCE DE LEITEITAMBÉ</v>
      </c>
      <c r="B1059" t="str">
        <f t="shared" si="33"/>
        <v>5346063DOCE DE LEITEITAMBÉ</v>
      </c>
      <c r="C1059" s="5" t="s">
        <v>226</v>
      </c>
      <c r="D1059" s="5" t="s">
        <v>752</v>
      </c>
      <c r="E1059" s="5" t="s">
        <v>767</v>
      </c>
      <c r="F1059" s="5">
        <v>5346063</v>
      </c>
      <c r="G1059" s="5" t="s">
        <v>773</v>
      </c>
      <c r="H1059" s="5" t="s">
        <v>154</v>
      </c>
      <c r="I1059" s="5" t="s">
        <v>27</v>
      </c>
      <c r="J1059" s="5" t="s">
        <v>46</v>
      </c>
      <c r="K1059" s="6">
        <v>0</v>
      </c>
      <c r="L1059" s="7">
        <v>0</v>
      </c>
      <c r="M1059" s="8">
        <v>14</v>
      </c>
      <c r="N1059" s="8">
        <v>0</v>
      </c>
      <c r="O1059" s="8">
        <v>34.001942968169615</v>
      </c>
      <c r="P1059" s="8">
        <v>0</v>
      </c>
      <c r="Q1059" s="8">
        <v>0</v>
      </c>
      <c r="R1059" s="8">
        <v>0</v>
      </c>
      <c r="S1059" s="8">
        <v>0</v>
      </c>
      <c r="T1059" s="5">
        <v>0</v>
      </c>
      <c r="U1059" s="5">
        <v>0</v>
      </c>
      <c r="V1059" s="5">
        <f>VLOOKUP(A1059,Planilha1!B:E,4,0)</f>
        <v>5.8210743907543439</v>
      </c>
    </row>
    <row r="1060" spans="1:22" x14ac:dyDescent="0.3">
      <c r="A1060" t="str">
        <f t="shared" si="32"/>
        <v>MANTEIGA 5KGITAMBÉ</v>
      </c>
      <c r="B1060" t="str">
        <f t="shared" si="33"/>
        <v>5346063MANTEIGA 5KGITAMBÉ</v>
      </c>
      <c r="C1060" s="5" t="s">
        <v>226</v>
      </c>
      <c r="D1060" s="5" t="s">
        <v>752</v>
      </c>
      <c r="E1060" s="5" t="s">
        <v>767</v>
      </c>
      <c r="F1060" s="5">
        <v>5346063</v>
      </c>
      <c r="G1060" s="5" t="s">
        <v>773</v>
      </c>
      <c r="H1060" s="5" t="s">
        <v>154</v>
      </c>
      <c r="I1060" s="5" t="s">
        <v>27</v>
      </c>
      <c r="J1060" s="5" t="s">
        <v>60</v>
      </c>
      <c r="K1060" s="6">
        <v>0</v>
      </c>
      <c r="L1060" s="7">
        <v>0</v>
      </c>
      <c r="M1060" s="8">
        <v>0</v>
      </c>
      <c r="N1060" s="8">
        <v>0</v>
      </c>
      <c r="O1060" s="8">
        <v>225.99246691776941</v>
      </c>
      <c r="P1060" s="8">
        <v>0</v>
      </c>
      <c r="Q1060" s="8">
        <v>0</v>
      </c>
      <c r="R1060" s="8">
        <v>0</v>
      </c>
      <c r="S1060" s="8">
        <v>0</v>
      </c>
      <c r="T1060" s="5">
        <v>0</v>
      </c>
      <c r="U1060" s="5">
        <v>0</v>
      </c>
      <c r="V1060" s="5">
        <f>VLOOKUP(A1060,Planilha1!B:E,4,0)</f>
        <v>5.819800475298738</v>
      </c>
    </row>
    <row r="1061" spans="1:22" x14ac:dyDescent="0.3">
      <c r="A1061" t="str">
        <f t="shared" si="32"/>
        <v>BLISTERITAMBÉ</v>
      </c>
      <c r="B1061" t="str">
        <f t="shared" si="33"/>
        <v>5017576BLISTERITAMBÉ</v>
      </c>
      <c r="C1061" s="5" t="s">
        <v>226</v>
      </c>
      <c r="D1061" s="5" t="s">
        <v>752</v>
      </c>
      <c r="E1061" s="5" t="s">
        <v>774</v>
      </c>
      <c r="F1061" s="5">
        <v>5017576</v>
      </c>
      <c r="G1061" s="5" t="s">
        <v>775</v>
      </c>
      <c r="H1061" s="5" t="s">
        <v>32</v>
      </c>
      <c r="I1061" s="5" t="s">
        <v>27</v>
      </c>
      <c r="J1061" s="5" t="s">
        <v>199</v>
      </c>
      <c r="K1061" s="6">
        <v>0</v>
      </c>
      <c r="L1061" s="7">
        <v>1954.56</v>
      </c>
      <c r="M1061" s="8">
        <v>1607.68</v>
      </c>
      <c r="N1061" s="8">
        <v>1712</v>
      </c>
      <c r="O1061" s="8">
        <v>1274.1820291246597</v>
      </c>
      <c r="P1061" s="8">
        <v>0</v>
      </c>
      <c r="Q1061" s="8">
        <v>988.8</v>
      </c>
      <c r="R1061" s="8">
        <v>0</v>
      </c>
      <c r="S1061" s="8">
        <v>1280</v>
      </c>
      <c r="T1061" s="5">
        <v>1280</v>
      </c>
      <c r="U1061" s="5">
        <v>1274</v>
      </c>
      <c r="V1061" s="5">
        <f>VLOOKUP(A1061,Planilha1!B:E,4,0)</f>
        <v>10.339882680976428</v>
      </c>
    </row>
    <row r="1062" spans="1:22" x14ac:dyDescent="0.3">
      <c r="A1062" t="str">
        <f t="shared" si="32"/>
        <v>BLISTERLACTALIS</v>
      </c>
      <c r="B1062" t="str">
        <f t="shared" si="33"/>
        <v>5017576BLISTERLACTALIS</v>
      </c>
      <c r="C1062" s="5" t="s">
        <v>226</v>
      </c>
      <c r="D1062" s="5" t="s">
        <v>752</v>
      </c>
      <c r="E1062" s="5" t="s">
        <v>774</v>
      </c>
      <c r="F1062" s="5">
        <v>5017576</v>
      </c>
      <c r="G1062" s="5" t="s">
        <v>775</v>
      </c>
      <c r="H1062" s="5" t="s">
        <v>32</v>
      </c>
      <c r="I1062" s="5" t="s">
        <v>22</v>
      </c>
      <c r="J1062" s="5" t="s">
        <v>199</v>
      </c>
      <c r="K1062" s="6">
        <v>0</v>
      </c>
      <c r="L1062" s="7">
        <v>0</v>
      </c>
      <c r="M1062" s="8">
        <v>25.2</v>
      </c>
      <c r="N1062" s="8">
        <v>7.2</v>
      </c>
      <c r="O1062" s="8">
        <v>15.794816841690233</v>
      </c>
      <c r="P1062" s="8">
        <v>0</v>
      </c>
      <c r="Q1062" s="8">
        <v>43.2</v>
      </c>
      <c r="R1062" s="8">
        <v>0</v>
      </c>
      <c r="S1062" s="8">
        <v>16</v>
      </c>
      <c r="T1062" s="5">
        <v>16</v>
      </c>
      <c r="U1062" s="5">
        <v>16</v>
      </c>
      <c r="V1062" s="5">
        <f>VLOOKUP(A1062,Planilha1!B:E,4,0)</f>
        <v>13.783871706210666</v>
      </c>
    </row>
    <row r="1063" spans="1:22" x14ac:dyDescent="0.3">
      <c r="A1063" t="str">
        <f t="shared" si="32"/>
        <v>COMPOSTOITAMBÉ</v>
      </c>
      <c r="B1063" t="str">
        <f t="shared" si="33"/>
        <v>5017576COMPOSTOITAMBÉ</v>
      </c>
      <c r="C1063" s="5" t="s">
        <v>226</v>
      </c>
      <c r="D1063" s="5" t="s">
        <v>752</v>
      </c>
      <c r="E1063" s="5" t="s">
        <v>774</v>
      </c>
      <c r="F1063" s="5">
        <v>5017576</v>
      </c>
      <c r="G1063" s="5" t="s">
        <v>775</v>
      </c>
      <c r="H1063" s="5" t="s">
        <v>32</v>
      </c>
      <c r="I1063" s="5" t="s">
        <v>27</v>
      </c>
      <c r="J1063" s="5" t="s">
        <v>26</v>
      </c>
      <c r="K1063" s="6">
        <v>0</v>
      </c>
      <c r="L1063" s="7">
        <v>9210</v>
      </c>
      <c r="M1063" s="8">
        <v>4799.8333333333339</v>
      </c>
      <c r="N1063" s="8">
        <v>3603</v>
      </c>
      <c r="O1063" s="8">
        <v>5042.235304314202</v>
      </c>
      <c r="P1063" s="8">
        <v>0</v>
      </c>
      <c r="Q1063" s="8">
        <v>4100</v>
      </c>
      <c r="R1063" s="8">
        <v>0</v>
      </c>
      <c r="S1063" s="8">
        <v>2400</v>
      </c>
      <c r="T1063" s="5">
        <v>2400</v>
      </c>
      <c r="U1063" s="5">
        <v>2000</v>
      </c>
      <c r="V1063" s="5">
        <f>VLOOKUP(A1063,Planilha1!B:E,4,0)</f>
        <v>0.15618217875936719</v>
      </c>
    </row>
    <row r="1064" spans="1:22" x14ac:dyDescent="0.3">
      <c r="A1064" t="str">
        <f t="shared" si="32"/>
        <v>LEITE CONDENSADOITAMBÉ</v>
      </c>
      <c r="B1064" t="str">
        <f t="shared" si="33"/>
        <v>5017576LEITE CONDENSADOITAMBÉ</v>
      </c>
      <c r="C1064" s="5" t="s">
        <v>226</v>
      </c>
      <c r="D1064" s="5" t="s">
        <v>752</v>
      </c>
      <c r="E1064" s="5" t="s">
        <v>774</v>
      </c>
      <c r="F1064" s="5">
        <v>5017576</v>
      </c>
      <c r="G1064" s="5" t="s">
        <v>775</v>
      </c>
      <c r="H1064" s="5" t="s">
        <v>32</v>
      </c>
      <c r="I1064" s="5" t="s">
        <v>27</v>
      </c>
      <c r="J1064" s="5" t="s">
        <v>33</v>
      </c>
      <c r="K1064" s="6">
        <v>0</v>
      </c>
      <c r="L1064" s="7">
        <v>29162.71</v>
      </c>
      <c r="M1064" s="8">
        <v>15175.252500000002</v>
      </c>
      <c r="N1064" s="8">
        <v>15041.666666666666</v>
      </c>
      <c r="O1064" s="8">
        <v>8675.1387900482168</v>
      </c>
      <c r="P1064" s="8">
        <v>0</v>
      </c>
      <c r="Q1064" s="8">
        <v>9607.0400000000009</v>
      </c>
      <c r="R1064" s="8">
        <v>0</v>
      </c>
      <c r="S1064" s="8">
        <v>10000</v>
      </c>
      <c r="T1064" s="5">
        <v>10000</v>
      </c>
      <c r="U1064" s="5">
        <v>11000</v>
      </c>
      <c r="V1064" s="5">
        <f>VLOOKUP(A1064,Planilha1!B:E,4,0)</f>
        <v>1.4766792698630664</v>
      </c>
    </row>
    <row r="1065" spans="1:22" x14ac:dyDescent="0.3">
      <c r="A1065" t="str">
        <f t="shared" si="32"/>
        <v>CREME UHTITAMBÉ</v>
      </c>
      <c r="B1065" t="str">
        <f t="shared" si="33"/>
        <v>5017576CREME UHTITAMBÉ</v>
      </c>
      <c r="C1065" s="5" t="s">
        <v>226</v>
      </c>
      <c r="D1065" s="5" t="s">
        <v>752</v>
      </c>
      <c r="E1065" s="5" t="s">
        <v>774</v>
      </c>
      <c r="F1065" s="5">
        <v>5017576</v>
      </c>
      <c r="G1065" s="5" t="s">
        <v>775</v>
      </c>
      <c r="H1065" s="5" t="s">
        <v>32</v>
      </c>
      <c r="I1065" s="5" t="s">
        <v>27</v>
      </c>
      <c r="J1065" s="5" t="s">
        <v>34</v>
      </c>
      <c r="K1065" s="6">
        <v>0</v>
      </c>
      <c r="L1065" s="7">
        <v>17545.8</v>
      </c>
      <c r="M1065" s="8">
        <v>12766.960000000003</v>
      </c>
      <c r="N1065" s="8">
        <v>12723</v>
      </c>
      <c r="O1065" s="8">
        <v>8406.673073824908</v>
      </c>
      <c r="P1065" s="8">
        <v>0</v>
      </c>
      <c r="Q1065" s="8">
        <v>12134.04</v>
      </c>
      <c r="R1065" s="8">
        <v>0</v>
      </c>
      <c r="S1065" s="8">
        <v>10300</v>
      </c>
      <c r="T1065" s="5">
        <v>10300</v>
      </c>
      <c r="U1065" s="5">
        <v>11740</v>
      </c>
      <c r="V1065" s="5">
        <f>VLOOKUP(A1065,Planilha1!B:E,4,0)</f>
        <v>1.2362540170747773</v>
      </c>
    </row>
    <row r="1066" spans="1:22" x14ac:dyDescent="0.3">
      <c r="A1066" t="str">
        <f t="shared" si="32"/>
        <v>DOCE DE LEITEITAMBÉ</v>
      </c>
      <c r="B1066" t="str">
        <f t="shared" si="33"/>
        <v>5017576DOCE DE LEITEITAMBÉ</v>
      </c>
      <c r="C1066" s="5" t="s">
        <v>226</v>
      </c>
      <c r="D1066" s="5" t="s">
        <v>752</v>
      </c>
      <c r="E1066" s="5" t="s">
        <v>774</v>
      </c>
      <c r="F1066" s="5">
        <v>5017576</v>
      </c>
      <c r="G1066" s="5" t="s">
        <v>775</v>
      </c>
      <c r="H1066" s="5" t="s">
        <v>32</v>
      </c>
      <c r="I1066" s="5" t="s">
        <v>27</v>
      </c>
      <c r="J1066" s="5" t="s">
        <v>46</v>
      </c>
      <c r="K1066" s="6">
        <v>0</v>
      </c>
      <c r="L1066" s="7">
        <v>4655.6000000000004</v>
      </c>
      <c r="M1066" s="8">
        <v>2644.3333333333335</v>
      </c>
      <c r="N1066" s="8">
        <v>3094</v>
      </c>
      <c r="O1066" s="8">
        <v>2190.1251500085723</v>
      </c>
      <c r="P1066" s="8">
        <v>0</v>
      </c>
      <c r="Q1066" s="8">
        <v>180</v>
      </c>
      <c r="R1066" s="8">
        <v>0</v>
      </c>
      <c r="S1066" s="8">
        <v>2500</v>
      </c>
      <c r="T1066" s="5">
        <v>2500</v>
      </c>
      <c r="U1066" s="5">
        <v>3974</v>
      </c>
      <c r="V1066" s="5">
        <f>VLOOKUP(A1066,Planilha1!B:E,4,0)</f>
        <v>5.8210743907543439</v>
      </c>
    </row>
    <row r="1067" spans="1:22" x14ac:dyDescent="0.3">
      <c r="A1067" t="str">
        <f t="shared" si="32"/>
        <v>MANTEIGA 5KGITAMBÉ</v>
      </c>
      <c r="B1067" t="str">
        <f t="shared" si="33"/>
        <v>5017576MANTEIGA 5KGITAMBÉ</v>
      </c>
      <c r="C1067" s="5" t="s">
        <v>226</v>
      </c>
      <c r="D1067" s="5" t="s">
        <v>752</v>
      </c>
      <c r="E1067" s="5" t="s">
        <v>774</v>
      </c>
      <c r="F1067" s="5">
        <v>5017576</v>
      </c>
      <c r="G1067" s="5" t="s">
        <v>775</v>
      </c>
      <c r="H1067" s="5" t="s">
        <v>32</v>
      </c>
      <c r="I1067" s="5" t="s">
        <v>27</v>
      </c>
      <c r="J1067" s="5" t="s">
        <v>60</v>
      </c>
      <c r="K1067" s="6">
        <v>0</v>
      </c>
      <c r="L1067" s="7">
        <v>3305</v>
      </c>
      <c r="M1067" s="8">
        <v>1753.3333333333333</v>
      </c>
      <c r="N1067" s="8">
        <v>1183.3333333333333</v>
      </c>
      <c r="O1067" s="8">
        <v>1459.9513349555016</v>
      </c>
      <c r="P1067" s="8">
        <v>0</v>
      </c>
      <c r="Q1067" s="8">
        <v>1285</v>
      </c>
      <c r="R1067" s="8">
        <v>0</v>
      </c>
      <c r="S1067" s="8">
        <v>1000</v>
      </c>
      <c r="T1067" s="5">
        <v>1000</v>
      </c>
      <c r="U1067" s="5">
        <v>1700</v>
      </c>
      <c r="V1067" s="5">
        <f>VLOOKUP(A1067,Planilha1!B:E,4,0)</f>
        <v>5.819800475298738</v>
      </c>
    </row>
    <row r="1068" spans="1:22" x14ac:dyDescent="0.3">
      <c r="A1068" t="str">
        <f t="shared" si="32"/>
        <v>PARMESÃOLACTALIS</v>
      </c>
      <c r="B1068" t="str">
        <f t="shared" si="33"/>
        <v>5017576PARMESÃOLACTALIS</v>
      </c>
      <c r="C1068" s="5" t="s">
        <v>226</v>
      </c>
      <c r="D1068" s="5" t="s">
        <v>752</v>
      </c>
      <c r="E1068" s="5" t="s">
        <v>774</v>
      </c>
      <c r="F1068" s="5">
        <v>5017576</v>
      </c>
      <c r="G1068" s="5" t="s">
        <v>775</v>
      </c>
      <c r="H1068" s="5" t="s">
        <v>32</v>
      </c>
      <c r="I1068" s="5" t="s">
        <v>22</v>
      </c>
      <c r="J1068" s="5" t="s">
        <v>195</v>
      </c>
      <c r="K1068" s="6">
        <v>0</v>
      </c>
      <c r="L1068" s="7">
        <v>0</v>
      </c>
      <c r="M1068" s="8">
        <v>421.23716666666667</v>
      </c>
      <c r="N1068" s="8">
        <v>549.29933333333327</v>
      </c>
      <c r="O1068" s="8">
        <v>444.52247799100525</v>
      </c>
      <c r="P1068" s="8">
        <v>0</v>
      </c>
      <c r="Q1068" s="8">
        <v>0</v>
      </c>
      <c r="R1068" s="8">
        <v>0</v>
      </c>
      <c r="S1068" s="8">
        <v>0</v>
      </c>
      <c r="T1068" s="5">
        <v>0</v>
      </c>
      <c r="U1068" s="5">
        <v>0</v>
      </c>
      <c r="V1068" s="5">
        <f>VLOOKUP(A1068,Planilha1!B:E,4,0)</f>
        <v>6.310326960724681</v>
      </c>
    </row>
    <row r="1069" spans="1:22" x14ac:dyDescent="0.3">
      <c r="A1069" t="str">
        <f t="shared" si="32"/>
        <v>LEITE UHTITAMBÉ</v>
      </c>
      <c r="B1069" t="str">
        <f t="shared" si="33"/>
        <v>5017576LEITE UHTITAMBÉ</v>
      </c>
      <c r="C1069" s="5" t="s">
        <v>226</v>
      </c>
      <c r="D1069" s="5" t="s">
        <v>752</v>
      </c>
      <c r="E1069" s="5" t="s">
        <v>774</v>
      </c>
      <c r="F1069" s="5">
        <v>5017576</v>
      </c>
      <c r="G1069" s="5" t="s">
        <v>775</v>
      </c>
      <c r="H1069" s="5" t="s">
        <v>32</v>
      </c>
      <c r="I1069" s="5" t="s">
        <v>27</v>
      </c>
      <c r="J1069" s="5" t="s">
        <v>156</v>
      </c>
      <c r="K1069" s="6">
        <v>0</v>
      </c>
      <c r="L1069" s="7">
        <v>4200</v>
      </c>
      <c r="M1069" s="8">
        <v>10046</v>
      </c>
      <c r="N1069" s="8">
        <v>15300</v>
      </c>
      <c r="O1069" s="8">
        <v>4375.9513783180182</v>
      </c>
      <c r="P1069" s="8">
        <v>0</v>
      </c>
      <c r="Q1069" s="8">
        <v>0</v>
      </c>
      <c r="R1069" s="8">
        <v>0</v>
      </c>
      <c r="S1069" s="8">
        <v>0</v>
      </c>
      <c r="T1069" s="5">
        <v>0</v>
      </c>
      <c r="U1069" s="5">
        <v>0</v>
      </c>
      <c r="V1069" s="5">
        <f>VLOOKUP(A1069,Planilha1!B:E,4,0)</f>
        <v>-0.14425288609148015</v>
      </c>
    </row>
    <row r="1070" spans="1:22" x14ac:dyDescent="0.3">
      <c r="A1070" t="str">
        <f t="shared" si="32"/>
        <v>LEITE CONDENSADOITAMBÉ</v>
      </c>
      <c r="B1070" t="str">
        <f t="shared" si="33"/>
        <v>5023334LEITE CONDENSADOITAMBÉ</v>
      </c>
      <c r="C1070" s="5" t="s">
        <v>226</v>
      </c>
      <c r="D1070" s="5" t="s">
        <v>752</v>
      </c>
      <c r="E1070" s="5" t="s">
        <v>774</v>
      </c>
      <c r="F1070" s="5">
        <v>5023334</v>
      </c>
      <c r="G1070" s="5" t="s">
        <v>776</v>
      </c>
      <c r="H1070" s="5" t="s">
        <v>32</v>
      </c>
      <c r="I1070" s="5" t="s">
        <v>27</v>
      </c>
      <c r="J1070" s="5" t="s">
        <v>33</v>
      </c>
      <c r="K1070" s="6">
        <v>0</v>
      </c>
      <c r="L1070" s="7">
        <v>2000</v>
      </c>
      <c r="M1070" s="8">
        <v>3309.146666666667</v>
      </c>
      <c r="N1070" s="8">
        <v>2192</v>
      </c>
      <c r="O1070" s="8">
        <v>3144.8273565905592</v>
      </c>
      <c r="P1070" s="8">
        <v>0</v>
      </c>
      <c r="Q1070" s="8">
        <v>0</v>
      </c>
      <c r="R1070" s="8">
        <v>0</v>
      </c>
      <c r="S1070" s="8">
        <v>0</v>
      </c>
      <c r="T1070" s="5">
        <v>0</v>
      </c>
      <c r="U1070" s="5">
        <v>0</v>
      </c>
      <c r="V1070" s="5">
        <f>VLOOKUP(A1070,Planilha1!B:E,4,0)</f>
        <v>1.4766792698630664</v>
      </c>
    </row>
    <row r="1071" spans="1:22" x14ac:dyDescent="0.3">
      <c r="A1071" t="str">
        <f t="shared" si="32"/>
        <v>CREME UHTITAMBÉ</v>
      </c>
      <c r="B1071" t="str">
        <f t="shared" si="33"/>
        <v>5023334CREME UHTITAMBÉ</v>
      </c>
      <c r="C1071" s="5" t="s">
        <v>226</v>
      </c>
      <c r="D1071" s="5" t="s">
        <v>752</v>
      </c>
      <c r="E1071" s="5" t="s">
        <v>774</v>
      </c>
      <c r="F1071" s="5">
        <v>5023334</v>
      </c>
      <c r="G1071" s="5" t="s">
        <v>776</v>
      </c>
      <c r="H1071" s="5" t="s">
        <v>32</v>
      </c>
      <c r="I1071" s="5" t="s">
        <v>27</v>
      </c>
      <c r="J1071" s="5" t="s">
        <v>34</v>
      </c>
      <c r="K1071" s="6">
        <v>0</v>
      </c>
      <c r="L1071" s="7">
        <v>2566.1999999999998</v>
      </c>
      <c r="M1071" s="8">
        <v>792.40000000000009</v>
      </c>
      <c r="N1071" s="8">
        <v>444.33333333333331</v>
      </c>
      <c r="O1071" s="8">
        <v>1490.9420189214866</v>
      </c>
      <c r="P1071" s="8">
        <v>0</v>
      </c>
      <c r="Q1071" s="8">
        <v>0</v>
      </c>
      <c r="R1071" s="8">
        <v>0</v>
      </c>
      <c r="S1071" s="8">
        <v>400</v>
      </c>
      <c r="T1071" s="5">
        <v>400</v>
      </c>
      <c r="U1071" s="5">
        <v>0</v>
      </c>
      <c r="V1071" s="5">
        <f>VLOOKUP(A1071,Planilha1!B:E,4,0)</f>
        <v>1.2362540170747773</v>
      </c>
    </row>
    <row r="1072" spans="1:22" x14ac:dyDescent="0.3">
      <c r="A1072" t="str">
        <f t="shared" si="32"/>
        <v>DOCE DE LEITEITAMBÉ</v>
      </c>
      <c r="B1072" t="str">
        <f t="shared" si="33"/>
        <v>5023334DOCE DE LEITEITAMBÉ</v>
      </c>
      <c r="C1072" s="5" t="s">
        <v>226</v>
      </c>
      <c r="D1072" s="5" t="s">
        <v>752</v>
      </c>
      <c r="E1072" s="5" t="s">
        <v>774</v>
      </c>
      <c r="F1072" s="5">
        <v>5023334</v>
      </c>
      <c r="G1072" s="5" t="s">
        <v>776</v>
      </c>
      <c r="H1072" s="5" t="s">
        <v>32</v>
      </c>
      <c r="I1072" s="5" t="s">
        <v>27</v>
      </c>
      <c r="J1072" s="5" t="s">
        <v>46</v>
      </c>
      <c r="K1072" s="6">
        <v>0</v>
      </c>
      <c r="L1072" s="7">
        <v>150</v>
      </c>
      <c r="M1072" s="8">
        <v>395.33333333333337</v>
      </c>
      <c r="N1072" s="8">
        <v>320</v>
      </c>
      <c r="O1072" s="8">
        <v>319.01822961312081</v>
      </c>
      <c r="P1072" s="8">
        <v>0</v>
      </c>
      <c r="Q1072" s="8">
        <v>0</v>
      </c>
      <c r="R1072" s="8">
        <v>0</v>
      </c>
      <c r="S1072" s="8">
        <v>200</v>
      </c>
      <c r="T1072" s="5">
        <v>200</v>
      </c>
      <c r="U1072" s="5">
        <v>600</v>
      </c>
      <c r="V1072" s="5">
        <f>VLOOKUP(A1072,Planilha1!B:E,4,0)</f>
        <v>5.8210743907543439</v>
      </c>
    </row>
    <row r="1073" spans="1:22" x14ac:dyDescent="0.3">
      <c r="A1073" t="str">
        <f t="shared" si="32"/>
        <v>COMPOSTOITAMBÉ</v>
      </c>
      <c r="B1073" t="str">
        <f t="shared" si="33"/>
        <v>5024011COMPOSTOITAMBÉ</v>
      </c>
      <c r="C1073" s="5" t="s">
        <v>226</v>
      </c>
      <c r="D1073" s="5" t="s">
        <v>752</v>
      </c>
      <c r="E1073" s="5" t="s">
        <v>774</v>
      </c>
      <c r="F1073" s="5">
        <v>5024011</v>
      </c>
      <c r="G1073" s="5" t="s">
        <v>777</v>
      </c>
      <c r="H1073" s="5" t="s">
        <v>32</v>
      </c>
      <c r="I1073" s="5" t="s">
        <v>27</v>
      </c>
      <c r="J1073" s="5" t="s">
        <v>26</v>
      </c>
      <c r="K1073" s="6">
        <v>0</v>
      </c>
      <c r="L1073" s="7">
        <v>0</v>
      </c>
      <c r="M1073" s="8">
        <v>13.333333333333334</v>
      </c>
      <c r="N1073" s="8">
        <v>10</v>
      </c>
      <c r="O1073" s="8">
        <v>8.0003733507563695</v>
      </c>
      <c r="P1073" s="8">
        <v>0</v>
      </c>
      <c r="Q1073" s="8">
        <v>0</v>
      </c>
      <c r="R1073" s="8">
        <v>0</v>
      </c>
      <c r="S1073" s="8">
        <v>0</v>
      </c>
      <c r="T1073" s="5">
        <v>0</v>
      </c>
      <c r="U1073" s="5">
        <v>0</v>
      </c>
      <c r="V1073" s="5">
        <f>VLOOKUP(A1073,Planilha1!B:E,4,0)</f>
        <v>0.15618217875936719</v>
      </c>
    </row>
    <row r="1074" spans="1:22" x14ac:dyDescent="0.3">
      <c r="A1074" t="str">
        <f t="shared" si="32"/>
        <v>LEITE CONDENSADOITAMBÉ</v>
      </c>
      <c r="B1074" t="str">
        <f t="shared" si="33"/>
        <v>5024011LEITE CONDENSADOITAMBÉ</v>
      </c>
      <c r="C1074" s="5" t="s">
        <v>226</v>
      </c>
      <c r="D1074" s="5" t="s">
        <v>752</v>
      </c>
      <c r="E1074" s="5" t="s">
        <v>774</v>
      </c>
      <c r="F1074" s="5">
        <v>5024011</v>
      </c>
      <c r="G1074" s="5" t="s">
        <v>777</v>
      </c>
      <c r="H1074" s="5" t="s">
        <v>32</v>
      </c>
      <c r="I1074" s="5" t="s">
        <v>27</v>
      </c>
      <c r="J1074" s="5" t="s">
        <v>33</v>
      </c>
      <c r="K1074" s="6">
        <v>0</v>
      </c>
      <c r="L1074" s="7">
        <v>177.56</v>
      </c>
      <c r="M1074" s="8">
        <v>67.558333333333337</v>
      </c>
      <c r="N1074" s="8">
        <v>20.333333333333332</v>
      </c>
      <c r="O1074" s="8">
        <v>50.145310925134204</v>
      </c>
      <c r="P1074" s="8">
        <v>0</v>
      </c>
      <c r="Q1074" s="8">
        <v>0</v>
      </c>
      <c r="R1074" s="8">
        <v>0</v>
      </c>
      <c r="S1074" s="8">
        <v>121</v>
      </c>
      <c r="T1074" s="5">
        <v>121</v>
      </c>
      <c r="U1074" s="5">
        <v>131</v>
      </c>
      <c r="V1074" s="5">
        <f>VLOOKUP(A1074,Planilha1!B:E,4,0)</f>
        <v>1.4766792698630664</v>
      </c>
    </row>
    <row r="1075" spans="1:22" x14ac:dyDescent="0.3">
      <c r="A1075" t="str">
        <f t="shared" si="32"/>
        <v>CREME UHTITAMBÉ</v>
      </c>
      <c r="B1075" t="str">
        <f t="shared" si="33"/>
        <v>5024011CREME UHTITAMBÉ</v>
      </c>
      <c r="C1075" s="5" t="s">
        <v>226</v>
      </c>
      <c r="D1075" s="5" t="s">
        <v>752</v>
      </c>
      <c r="E1075" s="5" t="s">
        <v>774</v>
      </c>
      <c r="F1075" s="5">
        <v>5024011</v>
      </c>
      <c r="G1075" s="5" t="s">
        <v>777</v>
      </c>
      <c r="H1075" s="5" t="s">
        <v>32</v>
      </c>
      <c r="I1075" s="5" t="s">
        <v>27</v>
      </c>
      <c r="J1075" s="5" t="s">
        <v>34</v>
      </c>
      <c r="K1075" s="6">
        <v>0</v>
      </c>
      <c r="L1075" s="7">
        <v>10.8</v>
      </c>
      <c r="M1075" s="8">
        <v>28.52</v>
      </c>
      <c r="N1075" s="8">
        <v>9.6666666666666661</v>
      </c>
      <c r="O1075" s="8">
        <v>14.999416689350971</v>
      </c>
      <c r="P1075" s="8">
        <v>0</v>
      </c>
      <c r="Q1075" s="8">
        <v>0</v>
      </c>
      <c r="R1075" s="8">
        <v>0</v>
      </c>
      <c r="S1075" s="8">
        <v>42</v>
      </c>
      <c r="T1075" s="5">
        <v>42</v>
      </c>
      <c r="U1075" s="5">
        <v>47</v>
      </c>
      <c r="V1075" s="5">
        <f>VLOOKUP(A1075,Planilha1!B:E,4,0)</f>
        <v>1.2362540170747773</v>
      </c>
    </row>
    <row r="1076" spans="1:22" x14ac:dyDescent="0.3">
      <c r="A1076" t="str">
        <f t="shared" si="32"/>
        <v>LEITE CONDENSADOITAMBÉ</v>
      </c>
      <c r="B1076" t="str">
        <f t="shared" si="33"/>
        <v>5028457LEITE CONDENSADOITAMBÉ</v>
      </c>
      <c r="C1076" s="5" t="s">
        <v>226</v>
      </c>
      <c r="D1076" s="5" t="s">
        <v>752</v>
      </c>
      <c r="E1076" s="5" t="s">
        <v>774</v>
      </c>
      <c r="F1076" s="5">
        <v>5028457</v>
      </c>
      <c r="G1076" s="5" t="s">
        <v>778</v>
      </c>
      <c r="H1076" s="5" t="s">
        <v>32</v>
      </c>
      <c r="I1076" s="5" t="s">
        <v>27</v>
      </c>
      <c r="J1076" s="5" t="s">
        <v>33</v>
      </c>
      <c r="K1076" s="6">
        <v>0</v>
      </c>
      <c r="L1076" s="7">
        <v>1992.4</v>
      </c>
      <c r="M1076" s="8">
        <v>1160.9466666666667</v>
      </c>
      <c r="N1076" s="8">
        <v>922.00000000000011</v>
      </c>
      <c r="O1076" s="8">
        <v>320.31596570544912</v>
      </c>
      <c r="P1076" s="8">
        <v>0</v>
      </c>
      <c r="Q1076" s="8">
        <v>4000</v>
      </c>
      <c r="R1076" s="8">
        <v>0</v>
      </c>
      <c r="S1076" s="8">
        <v>1500</v>
      </c>
      <c r="T1076" s="5">
        <v>1500</v>
      </c>
      <c r="U1076" s="5">
        <v>2000</v>
      </c>
      <c r="V1076" s="5">
        <f>VLOOKUP(A1076,Planilha1!B:E,4,0)</f>
        <v>1.4766792698630664</v>
      </c>
    </row>
    <row r="1077" spans="1:22" x14ac:dyDescent="0.3">
      <c r="A1077" t="str">
        <f t="shared" si="32"/>
        <v>CREME UHTITAMBÉ</v>
      </c>
      <c r="B1077" t="str">
        <f t="shared" si="33"/>
        <v>5028457CREME UHTITAMBÉ</v>
      </c>
      <c r="C1077" s="5" t="s">
        <v>226</v>
      </c>
      <c r="D1077" s="5" t="s">
        <v>752</v>
      </c>
      <c r="E1077" s="5" t="s">
        <v>774</v>
      </c>
      <c r="F1077" s="5">
        <v>5028457</v>
      </c>
      <c r="G1077" s="5" t="s">
        <v>778</v>
      </c>
      <c r="H1077" s="5" t="s">
        <v>32</v>
      </c>
      <c r="I1077" s="5" t="s">
        <v>27</v>
      </c>
      <c r="J1077" s="5" t="s">
        <v>34</v>
      </c>
      <c r="K1077" s="6">
        <v>0</v>
      </c>
      <c r="L1077" s="7">
        <v>0</v>
      </c>
      <c r="M1077" s="8">
        <v>492.88000000000005</v>
      </c>
      <c r="N1077" s="8">
        <v>359.33333333333331</v>
      </c>
      <c r="O1077" s="8">
        <v>100.99607237496321</v>
      </c>
      <c r="P1077" s="8">
        <v>0</v>
      </c>
      <c r="Q1077" s="8">
        <v>0</v>
      </c>
      <c r="R1077" s="8">
        <v>0</v>
      </c>
      <c r="S1077" s="8">
        <v>0</v>
      </c>
      <c r="T1077" s="5">
        <v>0</v>
      </c>
      <c r="U1077" s="5">
        <v>0</v>
      </c>
      <c r="V1077" s="5">
        <f>VLOOKUP(A1077,Planilha1!B:E,4,0)</f>
        <v>1.2362540170747773</v>
      </c>
    </row>
    <row r="1078" spans="1:22" x14ac:dyDescent="0.3">
      <c r="A1078" t="str">
        <f t="shared" si="32"/>
        <v>DOCE DE LEITEITAMBÉ</v>
      </c>
      <c r="B1078" t="str">
        <f t="shared" si="33"/>
        <v>5028457DOCE DE LEITEITAMBÉ</v>
      </c>
      <c r="C1078" s="5" t="s">
        <v>226</v>
      </c>
      <c r="D1078" s="5" t="s">
        <v>752</v>
      </c>
      <c r="E1078" s="5" t="s">
        <v>774</v>
      </c>
      <c r="F1078" s="5">
        <v>5028457</v>
      </c>
      <c r="G1078" s="5" t="s">
        <v>778</v>
      </c>
      <c r="H1078" s="5" t="s">
        <v>32</v>
      </c>
      <c r="I1078" s="5" t="s">
        <v>27</v>
      </c>
      <c r="J1078" s="5" t="s">
        <v>46</v>
      </c>
      <c r="K1078" s="6">
        <v>0</v>
      </c>
      <c r="L1078" s="7">
        <v>400</v>
      </c>
      <c r="M1078" s="8">
        <v>458.33333333333331</v>
      </c>
      <c r="N1078" s="8">
        <v>550</v>
      </c>
      <c r="O1078" s="8">
        <v>195.01114349391398</v>
      </c>
      <c r="P1078" s="8">
        <v>0</v>
      </c>
      <c r="Q1078" s="8">
        <v>400</v>
      </c>
      <c r="R1078" s="8">
        <v>0</v>
      </c>
      <c r="S1078" s="8">
        <v>200</v>
      </c>
      <c r="T1078" s="5">
        <v>200</v>
      </c>
      <c r="U1078" s="5">
        <v>0</v>
      </c>
      <c r="V1078" s="5">
        <f>VLOOKUP(A1078,Planilha1!B:E,4,0)</f>
        <v>5.8210743907543439</v>
      </c>
    </row>
    <row r="1079" spans="1:22" x14ac:dyDescent="0.3">
      <c r="A1079" t="str">
        <f t="shared" si="32"/>
        <v>LEITE CONDENSADOITAMBÉ</v>
      </c>
      <c r="B1079" t="str">
        <f t="shared" si="33"/>
        <v>5028647LEITE CONDENSADOITAMBÉ</v>
      </c>
      <c r="C1079" s="5" t="s">
        <v>226</v>
      </c>
      <c r="D1079" s="5" t="s">
        <v>752</v>
      </c>
      <c r="E1079" s="5" t="s">
        <v>774</v>
      </c>
      <c r="F1079" s="5">
        <v>5028647</v>
      </c>
      <c r="G1079" s="5" t="s">
        <v>779</v>
      </c>
      <c r="H1079" s="5" t="s">
        <v>32</v>
      </c>
      <c r="I1079" s="5" t="s">
        <v>27</v>
      </c>
      <c r="J1079" s="5" t="s">
        <v>33</v>
      </c>
      <c r="K1079" s="6">
        <v>0</v>
      </c>
      <c r="L1079" s="7">
        <v>0</v>
      </c>
      <c r="M1079" s="8">
        <v>11.149999999999999</v>
      </c>
      <c r="N1079" s="8">
        <v>15</v>
      </c>
      <c r="O1079" s="8">
        <v>4.0934947693987107</v>
      </c>
      <c r="P1079" s="8">
        <v>0</v>
      </c>
      <c r="Q1079" s="8">
        <v>0</v>
      </c>
      <c r="R1079" s="8">
        <v>0</v>
      </c>
      <c r="S1079" s="8">
        <v>0</v>
      </c>
      <c r="T1079" s="5">
        <v>0</v>
      </c>
      <c r="U1079" s="5">
        <v>21</v>
      </c>
      <c r="V1079" s="5">
        <f>VLOOKUP(A1079,Planilha1!B:E,4,0)</f>
        <v>1.4766792698630664</v>
      </c>
    </row>
    <row r="1080" spans="1:22" x14ac:dyDescent="0.3">
      <c r="A1080" t="str">
        <f t="shared" si="32"/>
        <v>CREME UHTITAMBÉ</v>
      </c>
      <c r="B1080" t="str">
        <f t="shared" si="33"/>
        <v>5028647CREME UHTITAMBÉ</v>
      </c>
      <c r="C1080" s="5" t="s">
        <v>226</v>
      </c>
      <c r="D1080" s="5" t="s">
        <v>752</v>
      </c>
      <c r="E1080" s="5" t="s">
        <v>774</v>
      </c>
      <c r="F1080" s="5">
        <v>5028647</v>
      </c>
      <c r="G1080" s="5" t="s">
        <v>779</v>
      </c>
      <c r="H1080" s="5" t="s">
        <v>32</v>
      </c>
      <c r="I1080" s="5" t="s">
        <v>27</v>
      </c>
      <c r="J1080" s="5" t="s">
        <v>34</v>
      </c>
      <c r="K1080" s="6">
        <v>0</v>
      </c>
      <c r="L1080" s="7">
        <v>0</v>
      </c>
      <c r="M1080" s="8">
        <v>10.56</v>
      </c>
      <c r="N1080" s="8">
        <v>3.6666666666666665</v>
      </c>
      <c r="O1080" s="8">
        <v>8.9996500136105837</v>
      </c>
      <c r="P1080" s="8">
        <v>0</v>
      </c>
      <c r="Q1080" s="8">
        <v>0</v>
      </c>
      <c r="R1080" s="8">
        <v>0</v>
      </c>
      <c r="S1080" s="8">
        <v>0</v>
      </c>
      <c r="T1080" s="5">
        <v>0</v>
      </c>
      <c r="U1080" s="5">
        <v>39</v>
      </c>
      <c r="V1080" s="5">
        <f>VLOOKUP(A1080,Planilha1!B:E,4,0)</f>
        <v>1.2362540170747773</v>
      </c>
    </row>
    <row r="1081" spans="1:22" x14ac:dyDescent="0.3">
      <c r="A1081" t="str">
        <f t="shared" si="32"/>
        <v>DOCE DE LEITEITAMBÉ</v>
      </c>
      <c r="B1081" t="str">
        <f t="shared" si="33"/>
        <v>5042001DOCE DE LEITEITAMBÉ</v>
      </c>
      <c r="C1081" s="5" t="s">
        <v>226</v>
      </c>
      <c r="D1081" s="5" t="s">
        <v>752</v>
      </c>
      <c r="E1081" s="5" t="s">
        <v>774</v>
      </c>
      <c r="F1081" s="5">
        <v>5042001</v>
      </c>
      <c r="G1081" s="5" t="s">
        <v>780</v>
      </c>
      <c r="H1081" s="5" t="s">
        <v>32</v>
      </c>
      <c r="I1081" s="5" t="s">
        <v>27</v>
      </c>
      <c r="J1081" s="5" t="s">
        <v>46</v>
      </c>
      <c r="K1081" s="6">
        <v>0</v>
      </c>
      <c r="L1081" s="7">
        <v>0</v>
      </c>
      <c r="M1081" s="8">
        <v>0</v>
      </c>
      <c r="N1081" s="8">
        <v>0</v>
      </c>
      <c r="O1081" s="8">
        <v>25.001428653065894</v>
      </c>
      <c r="P1081" s="8">
        <v>0</v>
      </c>
      <c r="Q1081" s="8">
        <v>0</v>
      </c>
      <c r="R1081" s="8">
        <v>0</v>
      </c>
      <c r="S1081" s="8">
        <v>0</v>
      </c>
      <c r="T1081" s="5">
        <v>0</v>
      </c>
      <c r="U1081" s="5">
        <v>0</v>
      </c>
      <c r="V1081" s="5">
        <f>VLOOKUP(A1081,Planilha1!B:E,4,0)</f>
        <v>5.8210743907543439</v>
      </c>
    </row>
    <row r="1082" spans="1:22" x14ac:dyDescent="0.3">
      <c r="A1082" t="str">
        <f t="shared" si="32"/>
        <v>COMPOSTOITAMBÉ</v>
      </c>
      <c r="B1082" t="str">
        <f t="shared" si="33"/>
        <v>5044784COMPOSTOITAMBÉ</v>
      </c>
      <c r="C1082" s="5" t="s">
        <v>226</v>
      </c>
      <c r="D1082" s="5" t="s">
        <v>752</v>
      </c>
      <c r="E1082" s="5" t="s">
        <v>774</v>
      </c>
      <c r="F1082" s="5">
        <v>5044784</v>
      </c>
      <c r="G1082" s="5" t="s">
        <v>781</v>
      </c>
      <c r="H1082" s="5" t="s">
        <v>32</v>
      </c>
      <c r="I1082" s="5" t="s">
        <v>27</v>
      </c>
      <c r="J1082" s="5" t="s">
        <v>26</v>
      </c>
      <c r="K1082" s="6">
        <v>0</v>
      </c>
      <c r="L1082" s="7">
        <v>0</v>
      </c>
      <c r="M1082" s="8">
        <v>25</v>
      </c>
      <c r="N1082" s="8">
        <v>0</v>
      </c>
      <c r="O1082" s="8">
        <v>29.00135339649184</v>
      </c>
      <c r="P1082" s="8">
        <v>0</v>
      </c>
      <c r="Q1082" s="8">
        <v>0</v>
      </c>
      <c r="R1082" s="8">
        <v>0</v>
      </c>
      <c r="S1082" s="8">
        <v>0</v>
      </c>
      <c r="T1082" s="5">
        <v>0</v>
      </c>
      <c r="U1082" s="5">
        <v>0</v>
      </c>
      <c r="V1082" s="5">
        <f>VLOOKUP(A1082,Planilha1!B:E,4,0)</f>
        <v>0.15618217875936719</v>
      </c>
    </row>
    <row r="1083" spans="1:22" x14ac:dyDescent="0.3">
      <c r="A1083" t="str">
        <f t="shared" si="32"/>
        <v>LEITE CONDENSADOITAMBÉ</v>
      </c>
      <c r="B1083" t="str">
        <f t="shared" si="33"/>
        <v>5044784LEITE CONDENSADOITAMBÉ</v>
      </c>
      <c r="C1083" s="5" t="s">
        <v>226</v>
      </c>
      <c r="D1083" s="5" t="s">
        <v>752</v>
      </c>
      <c r="E1083" s="5" t="s">
        <v>774</v>
      </c>
      <c r="F1083" s="5">
        <v>5044784</v>
      </c>
      <c r="G1083" s="5" t="s">
        <v>781</v>
      </c>
      <c r="H1083" s="5" t="s">
        <v>32</v>
      </c>
      <c r="I1083" s="5" t="s">
        <v>27</v>
      </c>
      <c r="J1083" s="5" t="s">
        <v>33</v>
      </c>
      <c r="K1083" s="6">
        <v>0</v>
      </c>
      <c r="L1083" s="7">
        <v>0</v>
      </c>
      <c r="M1083" s="8">
        <v>19.552500000000002</v>
      </c>
      <c r="N1083" s="8">
        <v>35.666666666666664</v>
      </c>
      <c r="O1083" s="8">
        <v>4.0934947693987107</v>
      </c>
      <c r="P1083" s="8">
        <v>0</v>
      </c>
      <c r="Q1083" s="8">
        <v>0</v>
      </c>
      <c r="R1083" s="8">
        <v>0</v>
      </c>
      <c r="S1083" s="8">
        <v>0</v>
      </c>
      <c r="T1083" s="5">
        <v>0</v>
      </c>
      <c r="U1083" s="5">
        <v>0</v>
      </c>
      <c r="V1083" s="5">
        <f>VLOOKUP(A1083,Planilha1!B:E,4,0)</f>
        <v>1.4766792698630664</v>
      </c>
    </row>
    <row r="1084" spans="1:22" x14ac:dyDescent="0.3">
      <c r="A1084" t="str">
        <f t="shared" si="32"/>
        <v>DOCE DE LEITEITAMBÉ</v>
      </c>
      <c r="B1084" t="str">
        <f t="shared" si="33"/>
        <v>5044784DOCE DE LEITEITAMBÉ</v>
      </c>
      <c r="C1084" s="5" t="s">
        <v>226</v>
      </c>
      <c r="D1084" s="5" t="s">
        <v>752</v>
      </c>
      <c r="E1084" s="5" t="s">
        <v>774</v>
      </c>
      <c r="F1084" s="5">
        <v>5044784</v>
      </c>
      <c r="G1084" s="5" t="s">
        <v>781</v>
      </c>
      <c r="H1084" s="5" t="s">
        <v>32</v>
      </c>
      <c r="I1084" s="5" t="s">
        <v>27</v>
      </c>
      <c r="J1084" s="5" t="s">
        <v>46</v>
      </c>
      <c r="K1084" s="6">
        <v>0</v>
      </c>
      <c r="L1084" s="7">
        <v>0</v>
      </c>
      <c r="M1084" s="8">
        <v>3.98</v>
      </c>
      <c r="N1084" s="8">
        <v>0</v>
      </c>
      <c r="O1084" s="8">
        <v>11.000628607348993</v>
      </c>
      <c r="P1084" s="8">
        <v>0</v>
      </c>
      <c r="Q1084" s="8">
        <v>0</v>
      </c>
      <c r="R1084" s="8">
        <v>0</v>
      </c>
      <c r="S1084" s="8">
        <v>0</v>
      </c>
      <c r="T1084" s="5">
        <v>0</v>
      </c>
      <c r="U1084" s="5">
        <v>0</v>
      </c>
      <c r="V1084" s="5">
        <f>VLOOKUP(A1084,Planilha1!B:E,4,0)</f>
        <v>5.8210743907543439</v>
      </c>
    </row>
    <row r="1085" spans="1:22" x14ac:dyDescent="0.3">
      <c r="A1085" t="str">
        <f t="shared" si="32"/>
        <v>LEITE CONDENSADOITAMBÉ</v>
      </c>
      <c r="B1085" t="str">
        <f t="shared" si="33"/>
        <v>5110498LEITE CONDENSADOITAMBÉ</v>
      </c>
      <c r="C1085" s="5" t="s">
        <v>226</v>
      </c>
      <c r="D1085" s="5" t="s">
        <v>752</v>
      </c>
      <c r="E1085" s="5" t="s">
        <v>774</v>
      </c>
      <c r="F1085" s="5">
        <v>5110498</v>
      </c>
      <c r="G1085" s="5" t="s">
        <v>782</v>
      </c>
      <c r="H1085" s="5" t="s">
        <v>32</v>
      </c>
      <c r="I1085" s="5" t="s">
        <v>27</v>
      </c>
      <c r="J1085" s="5" t="s">
        <v>33</v>
      </c>
      <c r="K1085" s="6">
        <v>0</v>
      </c>
      <c r="L1085" s="7">
        <v>0</v>
      </c>
      <c r="M1085" s="8">
        <v>81.306666666666672</v>
      </c>
      <c r="N1085" s="8">
        <v>0</v>
      </c>
      <c r="O1085" s="8">
        <v>80.846521695624531</v>
      </c>
      <c r="P1085" s="8">
        <v>0</v>
      </c>
      <c r="Q1085" s="8">
        <v>100</v>
      </c>
      <c r="R1085" s="8">
        <v>0</v>
      </c>
      <c r="S1085" s="8">
        <v>100</v>
      </c>
      <c r="T1085" s="5">
        <v>100</v>
      </c>
      <c r="U1085" s="5">
        <v>100</v>
      </c>
      <c r="V1085" s="5">
        <f>VLOOKUP(A1085,Planilha1!B:E,4,0)</f>
        <v>1.4766792698630664</v>
      </c>
    </row>
    <row r="1086" spans="1:22" x14ac:dyDescent="0.3">
      <c r="A1086" t="str">
        <f t="shared" si="32"/>
        <v>CREME UHTITAMBÉ</v>
      </c>
      <c r="B1086" t="str">
        <f t="shared" si="33"/>
        <v>5110498CREME UHTITAMBÉ</v>
      </c>
      <c r="C1086" s="5" t="s">
        <v>226</v>
      </c>
      <c r="D1086" s="5" t="s">
        <v>752</v>
      </c>
      <c r="E1086" s="5" t="s">
        <v>774</v>
      </c>
      <c r="F1086" s="5">
        <v>5110498</v>
      </c>
      <c r="G1086" s="5" t="s">
        <v>782</v>
      </c>
      <c r="H1086" s="5" t="s">
        <v>32</v>
      </c>
      <c r="I1086" s="5" t="s">
        <v>27</v>
      </c>
      <c r="J1086" s="5" t="s">
        <v>34</v>
      </c>
      <c r="K1086" s="6">
        <v>0</v>
      </c>
      <c r="L1086" s="7">
        <v>0</v>
      </c>
      <c r="M1086" s="8">
        <v>0</v>
      </c>
      <c r="N1086" s="8">
        <v>0</v>
      </c>
      <c r="O1086" s="8">
        <v>10.999572238857379</v>
      </c>
      <c r="P1086" s="8">
        <v>0</v>
      </c>
      <c r="Q1086" s="8">
        <v>6.06</v>
      </c>
      <c r="R1086" s="8">
        <v>0</v>
      </c>
      <c r="S1086" s="8">
        <v>61</v>
      </c>
      <c r="T1086" s="5">
        <v>61</v>
      </c>
      <c r="U1086" s="5">
        <v>61</v>
      </c>
      <c r="V1086" s="5">
        <f>VLOOKUP(A1086,Planilha1!B:E,4,0)</f>
        <v>1.2362540170747773</v>
      </c>
    </row>
    <row r="1087" spans="1:22" x14ac:dyDescent="0.3">
      <c r="A1087" t="str">
        <f t="shared" si="32"/>
        <v>DOCE DE LEITEITAMBÉ</v>
      </c>
      <c r="B1087" t="str">
        <f t="shared" si="33"/>
        <v>5110498DOCE DE LEITEITAMBÉ</v>
      </c>
      <c r="C1087" s="5" t="s">
        <v>226</v>
      </c>
      <c r="D1087" s="5" t="s">
        <v>752</v>
      </c>
      <c r="E1087" s="5" t="s">
        <v>774</v>
      </c>
      <c r="F1087" s="5">
        <v>5110498</v>
      </c>
      <c r="G1087" s="5" t="s">
        <v>782</v>
      </c>
      <c r="H1087" s="5" t="s">
        <v>32</v>
      </c>
      <c r="I1087" s="5" t="s">
        <v>27</v>
      </c>
      <c r="J1087" s="5" t="s">
        <v>46</v>
      </c>
      <c r="K1087" s="6">
        <v>0</v>
      </c>
      <c r="L1087" s="7">
        <v>0</v>
      </c>
      <c r="M1087" s="8">
        <v>58.600000000000009</v>
      </c>
      <c r="N1087" s="8">
        <v>100.66666666666666</v>
      </c>
      <c r="O1087" s="8">
        <v>75.004285959197688</v>
      </c>
      <c r="P1087" s="8">
        <v>0</v>
      </c>
      <c r="Q1087" s="8">
        <v>100</v>
      </c>
      <c r="R1087" s="8">
        <v>0</v>
      </c>
      <c r="S1087" s="8">
        <v>100</v>
      </c>
      <c r="T1087" s="5">
        <v>100</v>
      </c>
      <c r="U1087" s="5">
        <v>244</v>
      </c>
      <c r="V1087" s="5">
        <f>VLOOKUP(A1087,Planilha1!B:E,4,0)</f>
        <v>5.8210743907543439</v>
      </c>
    </row>
    <row r="1088" spans="1:22" x14ac:dyDescent="0.3">
      <c r="A1088" t="str">
        <f t="shared" si="32"/>
        <v>LEITE CONDENSADOITAMBÉ</v>
      </c>
      <c r="B1088" t="str">
        <f t="shared" si="33"/>
        <v>5114882LEITE CONDENSADOITAMBÉ</v>
      </c>
      <c r="C1088" s="5" t="s">
        <v>226</v>
      </c>
      <c r="D1088" s="5" t="s">
        <v>752</v>
      </c>
      <c r="E1088" s="5" t="s">
        <v>774</v>
      </c>
      <c r="F1088" s="5">
        <v>5114882</v>
      </c>
      <c r="G1088" s="5" t="s">
        <v>783</v>
      </c>
      <c r="H1088" s="5" t="s">
        <v>32</v>
      </c>
      <c r="I1088" s="5" t="s">
        <v>27</v>
      </c>
      <c r="J1088" s="5" t="s">
        <v>33</v>
      </c>
      <c r="K1088" s="6">
        <v>0</v>
      </c>
      <c r="L1088" s="7">
        <v>839.67</v>
      </c>
      <c r="M1088" s="8">
        <v>17.775000000000002</v>
      </c>
      <c r="N1088" s="8">
        <v>0</v>
      </c>
      <c r="O1088" s="8">
        <v>9.2103632311470971</v>
      </c>
      <c r="P1088" s="8">
        <v>0</v>
      </c>
      <c r="Q1088" s="8">
        <v>0</v>
      </c>
      <c r="R1088" s="8">
        <v>0</v>
      </c>
      <c r="S1088" s="8">
        <v>0</v>
      </c>
      <c r="T1088" s="5">
        <v>0</v>
      </c>
      <c r="U1088" s="5">
        <v>0</v>
      </c>
      <c r="V1088" s="5">
        <f>VLOOKUP(A1088,Planilha1!B:E,4,0)</f>
        <v>1.4766792698630664</v>
      </c>
    </row>
    <row r="1089" spans="1:22" x14ac:dyDescent="0.3">
      <c r="A1089" t="str">
        <f t="shared" si="32"/>
        <v>CREME UHTITAMBÉ</v>
      </c>
      <c r="B1089" t="str">
        <f t="shared" si="33"/>
        <v>5114882CREME UHTITAMBÉ</v>
      </c>
      <c r="C1089" s="5" t="s">
        <v>226</v>
      </c>
      <c r="D1089" s="5" t="s">
        <v>752</v>
      </c>
      <c r="E1089" s="5" t="s">
        <v>774</v>
      </c>
      <c r="F1089" s="5">
        <v>5114882</v>
      </c>
      <c r="G1089" s="5" t="s">
        <v>783</v>
      </c>
      <c r="H1089" s="5" t="s">
        <v>32</v>
      </c>
      <c r="I1089" s="5" t="s">
        <v>27</v>
      </c>
      <c r="J1089" s="5" t="s">
        <v>34</v>
      </c>
      <c r="K1089" s="6">
        <v>0</v>
      </c>
      <c r="L1089" s="7">
        <v>411</v>
      </c>
      <c r="M1089" s="8">
        <v>87.6</v>
      </c>
      <c r="N1089" s="8">
        <v>0</v>
      </c>
      <c r="O1089" s="8">
        <v>25.998988928208352</v>
      </c>
      <c r="P1089" s="8">
        <v>0</v>
      </c>
      <c r="Q1089" s="8">
        <v>0</v>
      </c>
      <c r="R1089" s="8">
        <v>0</v>
      </c>
      <c r="S1089" s="8">
        <v>0</v>
      </c>
      <c r="T1089" s="5">
        <v>0</v>
      </c>
      <c r="U1089" s="5">
        <v>0</v>
      </c>
      <c r="V1089" s="5">
        <f>VLOOKUP(A1089,Planilha1!B:E,4,0)</f>
        <v>1.2362540170747773</v>
      </c>
    </row>
    <row r="1090" spans="1:22" x14ac:dyDescent="0.3">
      <c r="A1090" t="str">
        <f t="shared" ref="A1090:A1153" si="34">J1090&amp;I1090</f>
        <v>DOCE DE LEITEITAMBÉ</v>
      </c>
      <c r="B1090" t="str">
        <f t="shared" si="33"/>
        <v>5114882DOCE DE LEITEITAMBÉ</v>
      </c>
      <c r="C1090" s="5" t="s">
        <v>226</v>
      </c>
      <c r="D1090" s="5" t="s">
        <v>752</v>
      </c>
      <c r="E1090" s="5" t="s">
        <v>774</v>
      </c>
      <c r="F1090" s="5">
        <v>5114882</v>
      </c>
      <c r="G1090" s="5" t="s">
        <v>783</v>
      </c>
      <c r="H1090" s="5" t="s">
        <v>32</v>
      </c>
      <c r="I1090" s="5" t="s">
        <v>27</v>
      </c>
      <c r="J1090" s="5" t="s">
        <v>46</v>
      </c>
      <c r="K1090" s="6">
        <v>0</v>
      </c>
      <c r="L1090" s="7">
        <v>124.32000000000001</v>
      </c>
      <c r="M1090" s="8">
        <v>31.9</v>
      </c>
      <c r="N1090" s="8">
        <v>0</v>
      </c>
      <c r="O1090" s="8">
        <v>33.00188582204698</v>
      </c>
      <c r="P1090" s="8">
        <v>0</v>
      </c>
      <c r="Q1090" s="8">
        <v>0</v>
      </c>
      <c r="R1090" s="8">
        <v>0</v>
      </c>
      <c r="S1090" s="8">
        <v>0</v>
      </c>
      <c r="T1090" s="5">
        <v>0</v>
      </c>
      <c r="U1090" s="5">
        <v>0</v>
      </c>
      <c r="V1090" s="5">
        <f>VLOOKUP(A1090,Planilha1!B:E,4,0)</f>
        <v>5.8210743907543439</v>
      </c>
    </row>
    <row r="1091" spans="1:22" x14ac:dyDescent="0.3">
      <c r="A1091" t="str">
        <f t="shared" si="34"/>
        <v>DOCE DE LEITEITAMBÉ</v>
      </c>
      <c r="B1091" t="str">
        <f t="shared" ref="B1091:B1154" si="35">F1091&amp;J1091&amp;I1091</f>
        <v>5134556DOCE DE LEITEITAMBÉ</v>
      </c>
      <c r="C1091" s="5" t="s">
        <v>226</v>
      </c>
      <c r="D1091" s="5" t="s">
        <v>752</v>
      </c>
      <c r="E1091" s="5" t="s">
        <v>774</v>
      </c>
      <c r="F1091" s="5">
        <v>5134556</v>
      </c>
      <c r="G1091" s="5" t="s">
        <v>776</v>
      </c>
      <c r="H1091" s="5" t="s">
        <v>32</v>
      </c>
      <c r="I1091" s="5" t="s">
        <v>27</v>
      </c>
      <c r="J1091" s="5" t="s">
        <v>46</v>
      </c>
      <c r="K1091" s="6">
        <v>0</v>
      </c>
      <c r="L1091" s="7">
        <v>0</v>
      </c>
      <c r="M1091" s="8">
        <v>0</v>
      </c>
      <c r="N1091" s="8">
        <v>0</v>
      </c>
      <c r="O1091" s="8">
        <v>9.0005143151037217</v>
      </c>
      <c r="P1091" s="8">
        <v>0</v>
      </c>
      <c r="Q1091" s="8">
        <v>0</v>
      </c>
      <c r="R1091" s="8">
        <v>0</v>
      </c>
      <c r="S1091" s="8">
        <v>0</v>
      </c>
      <c r="T1091" s="5">
        <v>0</v>
      </c>
      <c r="U1091" s="5">
        <v>0</v>
      </c>
      <c r="V1091" s="5">
        <f>VLOOKUP(A1091,Planilha1!B:E,4,0)</f>
        <v>5.8210743907543439</v>
      </c>
    </row>
    <row r="1092" spans="1:22" x14ac:dyDescent="0.3">
      <c r="A1092" t="str">
        <f t="shared" si="34"/>
        <v>COMPOSTOITAMBÉ</v>
      </c>
      <c r="B1092" t="str">
        <f t="shared" si="35"/>
        <v>5141759COMPOSTOITAMBÉ</v>
      </c>
      <c r="C1092" s="5" t="s">
        <v>226</v>
      </c>
      <c r="D1092" s="5" t="s">
        <v>752</v>
      </c>
      <c r="E1092" s="5" t="s">
        <v>774</v>
      </c>
      <c r="F1092" s="5">
        <v>5141759</v>
      </c>
      <c r="G1092" s="5" t="s">
        <v>784</v>
      </c>
      <c r="H1092" s="5" t="s">
        <v>32</v>
      </c>
      <c r="I1092" s="5" t="s">
        <v>27</v>
      </c>
      <c r="J1092" s="5" t="s">
        <v>26</v>
      </c>
      <c r="K1092" s="6">
        <v>0</v>
      </c>
      <c r="L1092" s="7">
        <v>0</v>
      </c>
      <c r="M1092" s="8">
        <v>5</v>
      </c>
      <c r="N1092" s="8">
        <v>3.3333333333333335</v>
      </c>
      <c r="O1092" s="8">
        <v>2.0000933376890924</v>
      </c>
      <c r="P1092" s="8">
        <v>0</v>
      </c>
      <c r="Q1092" s="8">
        <v>0</v>
      </c>
      <c r="R1092" s="8">
        <v>0</v>
      </c>
      <c r="S1092" s="8">
        <v>0</v>
      </c>
      <c r="T1092" s="5">
        <v>0</v>
      </c>
      <c r="U1092" s="5">
        <v>0</v>
      </c>
      <c r="V1092" s="5">
        <f>VLOOKUP(A1092,Planilha1!B:E,4,0)</f>
        <v>0.15618217875936719</v>
      </c>
    </row>
    <row r="1093" spans="1:22" x14ac:dyDescent="0.3">
      <c r="A1093" t="str">
        <f t="shared" si="34"/>
        <v>LEITE CONDENSADOITAMBÉ</v>
      </c>
      <c r="B1093" t="str">
        <f t="shared" si="35"/>
        <v>5141759LEITE CONDENSADOITAMBÉ</v>
      </c>
      <c r="C1093" s="5" t="s">
        <v>226</v>
      </c>
      <c r="D1093" s="5" t="s">
        <v>752</v>
      </c>
      <c r="E1093" s="5" t="s">
        <v>774</v>
      </c>
      <c r="F1093" s="5">
        <v>5141759</v>
      </c>
      <c r="G1093" s="5" t="s">
        <v>784</v>
      </c>
      <c r="H1093" s="5" t="s">
        <v>32</v>
      </c>
      <c r="I1093" s="5" t="s">
        <v>27</v>
      </c>
      <c r="J1093" s="5" t="s">
        <v>33</v>
      </c>
      <c r="K1093" s="6">
        <v>0</v>
      </c>
      <c r="L1093" s="7">
        <v>0</v>
      </c>
      <c r="M1093" s="8">
        <v>113.92749999999999</v>
      </c>
      <c r="N1093" s="8">
        <v>14.333333333333334</v>
      </c>
      <c r="O1093" s="8">
        <v>39.911574001637433</v>
      </c>
      <c r="P1093" s="8">
        <v>0</v>
      </c>
      <c r="Q1093" s="8">
        <v>0</v>
      </c>
      <c r="R1093" s="8">
        <v>0</v>
      </c>
      <c r="S1093" s="8">
        <v>0</v>
      </c>
      <c r="T1093" s="5">
        <v>0</v>
      </c>
      <c r="U1093" s="5">
        <v>0</v>
      </c>
      <c r="V1093" s="5">
        <f>VLOOKUP(A1093,Planilha1!B:E,4,0)</f>
        <v>1.4766792698630664</v>
      </c>
    </row>
    <row r="1094" spans="1:22" x14ac:dyDescent="0.3">
      <c r="A1094" t="str">
        <f t="shared" si="34"/>
        <v>CREME UHTITAMBÉ</v>
      </c>
      <c r="B1094" t="str">
        <f t="shared" si="35"/>
        <v>5141759CREME UHTITAMBÉ</v>
      </c>
      <c r="C1094" s="5" t="s">
        <v>226</v>
      </c>
      <c r="D1094" s="5" t="s">
        <v>752</v>
      </c>
      <c r="E1094" s="5" t="s">
        <v>774</v>
      </c>
      <c r="F1094" s="5">
        <v>5141759</v>
      </c>
      <c r="G1094" s="5" t="s">
        <v>784</v>
      </c>
      <c r="H1094" s="5" t="s">
        <v>32</v>
      </c>
      <c r="I1094" s="5" t="s">
        <v>27</v>
      </c>
      <c r="J1094" s="5" t="s">
        <v>34</v>
      </c>
      <c r="K1094" s="6">
        <v>0</v>
      </c>
      <c r="L1094" s="7">
        <v>0</v>
      </c>
      <c r="M1094" s="8">
        <v>19.32</v>
      </c>
      <c r="N1094" s="8">
        <v>17</v>
      </c>
      <c r="O1094" s="8">
        <v>4.9998055631169906</v>
      </c>
      <c r="P1094" s="8">
        <v>0</v>
      </c>
      <c r="Q1094" s="8">
        <v>0</v>
      </c>
      <c r="R1094" s="8">
        <v>0</v>
      </c>
      <c r="S1094" s="8">
        <v>0</v>
      </c>
      <c r="T1094" s="5">
        <v>0</v>
      </c>
      <c r="U1094" s="5">
        <v>0</v>
      </c>
      <c r="V1094" s="5">
        <f>VLOOKUP(A1094,Planilha1!B:E,4,0)</f>
        <v>1.2362540170747773</v>
      </c>
    </row>
    <row r="1095" spans="1:22" x14ac:dyDescent="0.3">
      <c r="A1095" t="str">
        <f t="shared" si="34"/>
        <v>DOCE DE LEITEITAMBÉ</v>
      </c>
      <c r="B1095" t="str">
        <f t="shared" si="35"/>
        <v>5141759DOCE DE LEITEITAMBÉ</v>
      </c>
      <c r="C1095" s="5" t="s">
        <v>226</v>
      </c>
      <c r="D1095" s="5" t="s">
        <v>752</v>
      </c>
      <c r="E1095" s="5" t="s">
        <v>774</v>
      </c>
      <c r="F1095" s="5">
        <v>5141759</v>
      </c>
      <c r="G1095" s="5" t="s">
        <v>784</v>
      </c>
      <c r="H1095" s="5" t="s">
        <v>32</v>
      </c>
      <c r="I1095" s="5" t="s">
        <v>27</v>
      </c>
      <c r="J1095" s="5" t="s">
        <v>46</v>
      </c>
      <c r="K1095" s="6">
        <v>0</v>
      </c>
      <c r="L1095" s="7">
        <v>0</v>
      </c>
      <c r="M1095" s="8">
        <v>48.76</v>
      </c>
      <c r="N1095" s="8">
        <v>27</v>
      </c>
      <c r="O1095" s="8">
        <v>21.001200068575351</v>
      </c>
      <c r="P1095" s="8">
        <v>0</v>
      </c>
      <c r="Q1095" s="8">
        <v>0</v>
      </c>
      <c r="R1095" s="8">
        <v>0</v>
      </c>
      <c r="S1095" s="8">
        <v>0</v>
      </c>
      <c r="T1095" s="5">
        <v>0</v>
      </c>
      <c r="U1095" s="5">
        <v>0</v>
      </c>
      <c r="V1095" s="5">
        <f>VLOOKUP(A1095,Planilha1!B:E,4,0)</f>
        <v>5.8210743907543439</v>
      </c>
    </row>
    <row r="1096" spans="1:22" x14ac:dyDescent="0.3">
      <c r="A1096" t="str">
        <f t="shared" si="34"/>
        <v>COMPOSTOITAMBÉ</v>
      </c>
      <c r="B1096" t="str">
        <f t="shared" si="35"/>
        <v>5174259COMPOSTOITAMBÉ</v>
      </c>
      <c r="C1096" s="5" t="s">
        <v>226</v>
      </c>
      <c r="D1096" s="5" t="s">
        <v>752</v>
      </c>
      <c r="E1096" s="5" t="s">
        <v>774</v>
      </c>
      <c r="F1096" s="5">
        <v>5174259</v>
      </c>
      <c r="G1096" s="5" t="s">
        <v>785</v>
      </c>
      <c r="H1096" s="5" t="s">
        <v>32</v>
      </c>
      <c r="I1096" s="5" t="s">
        <v>27</v>
      </c>
      <c r="J1096" s="5" t="s">
        <v>26</v>
      </c>
      <c r="K1096" s="6">
        <v>0</v>
      </c>
      <c r="L1096" s="7">
        <v>0</v>
      </c>
      <c r="M1096" s="8">
        <v>91.666666666666671</v>
      </c>
      <c r="N1096" s="8">
        <v>66.666666666666671</v>
      </c>
      <c r="O1096" s="8">
        <v>288.01344062722933</v>
      </c>
      <c r="P1096" s="8">
        <v>0</v>
      </c>
      <c r="Q1096" s="8">
        <v>0</v>
      </c>
      <c r="R1096" s="8">
        <v>0</v>
      </c>
      <c r="S1096" s="8">
        <v>200</v>
      </c>
      <c r="T1096" s="5">
        <v>200</v>
      </c>
      <c r="U1096" s="5">
        <v>0</v>
      </c>
      <c r="V1096" s="5">
        <f>VLOOKUP(A1096,Planilha1!B:E,4,0)</f>
        <v>0.15618217875936719</v>
      </c>
    </row>
    <row r="1097" spans="1:22" x14ac:dyDescent="0.3">
      <c r="A1097" t="str">
        <f t="shared" si="34"/>
        <v>LEITE CONDENSADOITAMBÉ</v>
      </c>
      <c r="B1097" t="str">
        <f t="shared" si="35"/>
        <v>5174259LEITE CONDENSADOITAMBÉ</v>
      </c>
      <c r="C1097" s="5" t="s">
        <v>226</v>
      </c>
      <c r="D1097" s="5" t="s">
        <v>752</v>
      </c>
      <c r="E1097" s="5" t="s">
        <v>774</v>
      </c>
      <c r="F1097" s="5">
        <v>5174259</v>
      </c>
      <c r="G1097" s="5" t="s">
        <v>785</v>
      </c>
      <c r="H1097" s="5" t="s">
        <v>32</v>
      </c>
      <c r="I1097" s="5" t="s">
        <v>27</v>
      </c>
      <c r="J1097" s="5" t="s">
        <v>33</v>
      </c>
      <c r="K1097" s="6">
        <v>0</v>
      </c>
      <c r="L1097" s="7">
        <v>787.8</v>
      </c>
      <c r="M1097" s="8">
        <v>1292.8</v>
      </c>
      <c r="N1097" s="8">
        <v>2327</v>
      </c>
      <c r="O1097" s="8">
        <v>639.60855771854847</v>
      </c>
      <c r="P1097" s="8">
        <v>0</v>
      </c>
      <c r="Q1097" s="8">
        <v>0</v>
      </c>
      <c r="R1097" s="8">
        <v>0</v>
      </c>
      <c r="S1097" s="8">
        <v>640</v>
      </c>
      <c r="T1097" s="5">
        <v>640</v>
      </c>
      <c r="U1097" s="5">
        <v>0</v>
      </c>
      <c r="V1097" s="5">
        <f>VLOOKUP(A1097,Planilha1!B:E,4,0)</f>
        <v>1.4766792698630664</v>
      </c>
    </row>
    <row r="1098" spans="1:22" x14ac:dyDescent="0.3">
      <c r="A1098" t="str">
        <f t="shared" si="34"/>
        <v>CREME UHTITAMBÉ</v>
      </c>
      <c r="B1098" t="str">
        <f t="shared" si="35"/>
        <v>5174259CREME UHTITAMBÉ</v>
      </c>
      <c r="C1098" s="5" t="s">
        <v>226</v>
      </c>
      <c r="D1098" s="5" t="s">
        <v>752</v>
      </c>
      <c r="E1098" s="5" t="s">
        <v>774</v>
      </c>
      <c r="F1098" s="5">
        <v>5174259</v>
      </c>
      <c r="G1098" s="5" t="s">
        <v>785</v>
      </c>
      <c r="H1098" s="5" t="s">
        <v>32</v>
      </c>
      <c r="I1098" s="5" t="s">
        <v>27</v>
      </c>
      <c r="J1098" s="5" t="s">
        <v>34</v>
      </c>
      <c r="K1098" s="6">
        <v>0</v>
      </c>
      <c r="L1098" s="7">
        <v>0</v>
      </c>
      <c r="M1098" s="8">
        <v>535.29999999999995</v>
      </c>
      <c r="N1098" s="8">
        <v>795.66666666666663</v>
      </c>
      <c r="O1098" s="8">
        <v>101.99603348758662</v>
      </c>
      <c r="P1098" s="8">
        <v>0</v>
      </c>
      <c r="Q1098" s="8">
        <v>0</v>
      </c>
      <c r="R1098" s="8">
        <v>0</v>
      </c>
      <c r="S1098" s="8">
        <v>0</v>
      </c>
      <c r="T1098" s="5">
        <v>0</v>
      </c>
      <c r="U1098" s="5">
        <v>0</v>
      </c>
      <c r="V1098" s="5">
        <f>VLOOKUP(A1098,Planilha1!B:E,4,0)</f>
        <v>1.2362540170747773</v>
      </c>
    </row>
    <row r="1099" spans="1:22" x14ac:dyDescent="0.3">
      <c r="A1099" t="str">
        <f t="shared" si="34"/>
        <v>DOCE DE LEITEITAMBÉ</v>
      </c>
      <c r="B1099" t="str">
        <f t="shared" si="35"/>
        <v>5174259DOCE DE LEITEITAMBÉ</v>
      </c>
      <c r="C1099" s="5" t="s">
        <v>226</v>
      </c>
      <c r="D1099" s="5" t="s">
        <v>752</v>
      </c>
      <c r="E1099" s="5" t="s">
        <v>774</v>
      </c>
      <c r="F1099" s="5">
        <v>5174259</v>
      </c>
      <c r="G1099" s="5" t="s">
        <v>785</v>
      </c>
      <c r="H1099" s="5" t="s">
        <v>32</v>
      </c>
      <c r="I1099" s="5" t="s">
        <v>27</v>
      </c>
      <c r="J1099" s="5" t="s">
        <v>46</v>
      </c>
      <c r="K1099" s="6">
        <v>0</v>
      </c>
      <c r="L1099" s="7">
        <v>921.6</v>
      </c>
      <c r="M1099" s="8">
        <v>340.5333333333333</v>
      </c>
      <c r="N1099" s="8">
        <v>0</v>
      </c>
      <c r="O1099" s="8">
        <v>291.01662952168698</v>
      </c>
      <c r="P1099" s="8">
        <v>0</v>
      </c>
      <c r="Q1099" s="8">
        <v>921.6</v>
      </c>
      <c r="R1099" s="8">
        <v>0</v>
      </c>
      <c r="S1099" s="8">
        <v>400</v>
      </c>
      <c r="T1099" s="5">
        <v>400</v>
      </c>
      <c r="U1099" s="5">
        <v>1022</v>
      </c>
      <c r="V1099" s="5">
        <f>VLOOKUP(A1099,Planilha1!B:E,4,0)</f>
        <v>5.8210743907543439</v>
      </c>
    </row>
    <row r="1100" spans="1:22" x14ac:dyDescent="0.3">
      <c r="A1100" t="str">
        <f t="shared" si="34"/>
        <v>COMPOSTOITAMBÉ</v>
      </c>
      <c r="B1100" t="str">
        <f t="shared" si="35"/>
        <v>5175205COMPOSTOITAMBÉ</v>
      </c>
      <c r="C1100" s="5" t="s">
        <v>226</v>
      </c>
      <c r="D1100" s="5" t="s">
        <v>752</v>
      </c>
      <c r="E1100" s="5" t="s">
        <v>774</v>
      </c>
      <c r="F1100" s="5">
        <v>5175205</v>
      </c>
      <c r="G1100" s="5" t="s">
        <v>786</v>
      </c>
      <c r="H1100" s="5" t="s">
        <v>32</v>
      </c>
      <c r="I1100" s="5" t="s">
        <v>27</v>
      </c>
      <c r="J1100" s="5" t="s">
        <v>26</v>
      </c>
      <c r="K1100" s="6">
        <v>0</v>
      </c>
      <c r="L1100" s="7">
        <v>30</v>
      </c>
      <c r="M1100" s="8">
        <v>348.33333333333331</v>
      </c>
      <c r="N1100" s="8">
        <v>396.66666666666669</v>
      </c>
      <c r="O1100" s="8">
        <v>357.01666077750298</v>
      </c>
      <c r="P1100" s="8">
        <v>0</v>
      </c>
      <c r="Q1100" s="8">
        <v>300</v>
      </c>
      <c r="R1100" s="8">
        <v>0</v>
      </c>
      <c r="S1100" s="8">
        <v>300</v>
      </c>
      <c r="T1100" s="5">
        <v>300</v>
      </c>
      <c r="U1100" s="5">
        <v>300</v>
      </c>
      <c r="V1100" s="5">
        <f>VLOOKUP(A1100,Planilha1!B:E,4,0)</f>
        <v>0.15618217875936719</v>
      </c>
    </row>
    <row r="1101" spans="1:22" x14ac:dyDescent="0.3">
      <c r="A1101" t="str">
        <f t="shared" si="34"/>
        <v>COMPOSTOITAMBÉ</v>
      </c>
      <c r="B1101" t="str">
        <f t="shared" si="35"/>
        <v>5182195COMPOSTOITAMBÉ</v>
      </c>
      <c r="C1101" s="5" t="s">
        <v>226</v>
      </c>
      <c r="D1101" s="5" t="s">
        <v>752</v>
      </c>
      <c r="E1101" s="5" t="s">
        <v>774</v>
      </c>
      <c r="F1101" s="5">
        <v>5182195</v>
      </c>
      <c r="G1101" s="5" t="s">
        <v>787</v>
      </c>
      <c r="H1101" s="5" t="s">
        <v>32</v>
      </c>
      <c r="I1101" s="5" t="s">
        <v>27</v>
      </c>
      <c r="J1101" s="5" t="s">
        <v>26</v>
      </c>
      <c r="K1101" s="6">
        <v>0</v>
      </c>
      <c r="L1101" s="7">
        <v>9</v>
      </c>
      <c r="M1101" s="8">
        <v>0</v>
      </c>
      <c r="N1101" s="8">
        <v>0</v>
      </c>
      <c r="O1101" s="8">
        <v>12.000560026134554</v>
      </c>
      <c r="P1101" s="8">
        <v>0</v>
      </c>
      <c r="Q1101" s="8">
        <v>0</v>
      </c>
      <c r="R1101" s="8">
        <v>0</v>
      </c>
      <c r="S1101" s="8">
        <v>0</v>
      </c>
      <c r="T1101" s="5">
        <v>0</v>
      </c>
      <c r="U1101" s="5">
        <v>0</v>
      </c>
      <c r="V1101" s="5">
        <f>VLOOKUP(A1101,Planilha1!B:E,4,0)</f>
        <v>0.15618217875936719</v>
      </c>
    </row>
    <row r="1102" spans="1:22" x14ac:dyDescent="0.3">
      <c r="A1102" t="str">
        <f t="shared" si="34"/>
        <v>LEITE CONDENSADOITAMBÉ</v>
      </c>
      <c r="B1102" t="str">
        <f t="shared" si="35"/>
        <v>5182195LEITE CONDENSADOITAMBÉ</v>
      </c>
      <c r="C1102" s="5" t="s">
        <v>226</v>
      </c>
      <c r="D1102" s="5" t="s">
        <v>752</v>
      </c>
      <c r="E1102" s="5" t="s">
        <v>774</v>
      </c>
      <c r="F1102" s="5">
        <v>5182195</v>
      </c>
      <c r="G1102" s="5" t="s">
        <v>787</v>
      </c>
      <c r="H1102" s="5" t="s">
        <v>32</v>
      </c>
      <c r="I1102" s="5" t="s">
        <v>27</v>
      </c>
      <c r="J1102" s="5" t="s">
        <v>33</v>
      </c>
      <c r="K1102" s="6">
        <v>0</v>
      </c>
      <c r="L1102" s="7">
        <v>0</v>
      </c>
      <c r="M1102" s="8">
        <v>10.1</v>
      </c>
      <c r="N1102" s="8">
        <v>0</v>
      </c>
      <c r="O1102" s="8">
        <v>11.257110615846454</v>
      </c>
      <c r="P1102" s="8">
        <v>0</v>
      </c>
      <c r="Q1102" s="8">
        <v>60.6</v>
      </c>
      <c r="R1102" s="8">
        <v>0</v>
      </c>
      <c r="S1102" s="8">
        <v>0</v>
      </c>
      <c r="T1102" s="5">
        <v>0</v>
      </c>
      <c r="U1102" s="5">
        <v>0</v>
      </c>
      <c r="V1102" s="5">
        <f>VLOOKUP(A1102,Planilha1!B:E,4,0)</f>
        <v>1.4766792698630664</v>
      </c>
    </row>
    <row r="1103" spans="1:22" x14ac:dyDescent="0.3">
      <c r="A1103" t="str">
        <f t="shared" si="34"/>
        <v>LEITE CONDENSADOITAMBÉ</v>
      </c>
      <c r="B1103" t="str">
        <f t="shared" si="35"/>
        <v>5186815LEITE CONDENSADOITAMBÉ</v>
      </c>
      <c r="C1103" s="5" t="s">
        <v>226</v>
      </c>
      <c r="D1103" s="5" t="s">
        <v>752</v>
      </c>
      <c r="E1103" s="5" t="s">
        <v>774</v>
      </c>
      <c r="F1103" s="5">
        <v>5186815</v>
      </c>
      <c r="G1103" s="5" t="s">
        <v>788</v>
      </c>
      <c r="H1103" s="5" t="s">
        <v>32</v>
      </c>
      <c r="I1103" s="5" t="s">
        <v>27</v>
      </c>
      <c r="J1103" s="5" t="s">
        <v>33</v>
      </c>
      <c r="K1103" s="6">
        <v>0</v>
      </c>
      <c r="L1103" s="7">
        <v>0</v>
      </c>
      <c r="M1103" s="8">
        <v>6.06</v>
      </c>
      <c r="N1103" s="8">
        <v>0</v>
      </c>
      <c r="O1103" s="8">
        <v>38.888200309287754</v>
      </c>
      <c r="P1103" s="8">
        <v>0</v>
      </c>
      <c r="Q1103" s="8">
        <v>0</v>
      </c>
      <c r="R1103" s="8">
        <v>0</v>
      </c>
      <c r="S1103" s="8">
        <v>0</v>
      </c>
      <c r="T1103" s="5">
        <v>0</v>
      </c>
      <c r="U1103" s="5">
        <v>0</v>
      </c>
      <c r="V1103" s="5">
        <f>VLOOKUP(A1103,Planilha1!B:E,4,0)</f>
        <v>1.4766792698630664</v>
      </c>
    </row>
    <row r="1104" spans="1:22" x14ac:dyDescent="0.3">
      <c r="A1104" t="str">
        <f t="shared" si="34"/>
        <v>DOCE DE LEITEITAMBÉ</v>
      </c>
      <c r="B1104" t="str">
        <f t="shared" si="35"/>
        <v>5194018DOCE DE LEITEITAMBÉ</v>
      </c>
      <c r="C1104" s="5" t="s">
        <v>226</v>
      </c>
      <c r="D1104" s="5" t="s">
        <v>752</v>
      </c>
      <c r="E1104" s="5" t="s">
        <v>774</v>
      </c>
      <c r="F1104" s="5">
        <v>5194018</v>
      </c>
      <c r="G1104" s="5" t="s">
        <v>789</v>
      </c>
      <c r="H1104" s="5" t="s">
        <v>32</v>
      </c>
      <c r="I1104" s="5" t="s">
        <v>27</v>
      </c>
      <c r="J1104" s="5" t="s">
        <v>46</v>
      </c>
      <c r="K1104" s="6">
        <v>0</v>
      </c>
      <c r="L1104" s="7">
        <v>144</v>
      </c>
      <c r="M1104" s="8">
        <v>28.740000000000002</v>
      </c>
      <c r="N1104" s="8">
        <v>0</v>
      </c>
      <c r="O1104" s="8">
        <v>33.00188582204698</v>
      </c>
      <c r="P1104" s="8">
        <v>0</v>
      </c>
      <c r="Q1104" s="8">
        <v>0</v>
      </c>
      <c r="R1104" s="8">
        <v>0</v>
      </c>
      <c r="S1104" s="8">
        <v>0</v>
      </c>
      <c r="T1104" s="5">
        <v>0</v>
      </c>
      <c r="U1104" s="5">
        <v>115</v>
      </c>
      <c r="V1104" s="5">
        <f>VLOOKUP(A1104,Planilha1!B:E,4,0)</f>
        <v>5.8210743907543439</v>
      </c>
    </row>
    <row r="1105" spans="1:22" x14ac:dyDescent="0.3">
      <c r="A1105" t="str">
        <f t="shared" si="34"/>
        <v>MANTEIGA 5KGITAMBÉ</v>
      </c>
      <c r="B1105" t="str">
        <f t="shared" si="35"/>
        <v>5204180MANTEIGA 5KGITAMBÉ</v>
      </c>
      <c r="C1105" s="5" t="s">
        <v>226</v>
      </c>
      <c r="D1105" s="5" t="s">
        <v>752</v>
      </c>
      <c r="E1105" s="5" t="s">
        <v>774</v>
      </c>
      <c r="F1105" s="5">
        <v>5204180</v>
      </c>
      <c r="G1105" s="5" t="s">
        <v>790</v>
      </c>
      <c r="H1105" s="5" t="s">
        <v>32</v>
      </c>
      <c r="I1105" s="5" t="s">
        <v>27</v>
      </c>
      <c r="J1105" s="5" t="s">
        <v>60</v>
      </c>
      <c r="K1105" s="6">
        <v>0</v>
      </c>
      <c r="L1105" s="7">
        <v>0</v>
      </c>
      <c r="M1105" s="8">
        <v>12.5</v>
      </c>
      <c r="N1105" s="8">
        <v>8.3333333333333339</v>
      </c>
      <c r="O1105" s="8">
        <v>10.999633345555148</v>
      </c>
      <c r="P1105" s="8">
        <v>0</v>
      </c>
      <c r="Q1105" s="8">
        <v>0</v>
      </c>
      <c r="R1105" s="8">
        <v>0</v>
      </c>
      <c r="S1105" s="8">
        <v>0</v>
      </c>
      <c r="T1105" s="5">
        <v>0</v>
      </c>
      <c r="U1105" s="5">
        <v>0</v>
      </c>
      <c r="V1105" s="5">
        <f>VLOOKUP(A1105,Planilha1!B:E,4,0)</f>
        <v>5.819800475298738</v>
      </c>
    </row>
    <row r="1106" spans="1:22" x14ac:dyDescent="0.3">
      <c r="A1106" t="str">
        <f t="shared" si="34"/>
        <v>MANTEIGA 5KGLACTALIS</v>
      </c>
      <c r="B1106" t="str">
        <f t="shared" si="35"/>
        <v>5204180MANTEIGA 5KGLACTALIS</v>
      </c>
      <c r="C1106" s="5" t="s">
        <v>226</v>
      </c>
      <c r="D1106" s="5" t="s">
        <v>752</v>
      </c>
      <c r="E1106" s="5" t="s">
        <v>774</v>
      </c>
      <c r="F1106" s="5">
        <v>5204180</v>
      </c>
      <c r="G1106" s="5" t="s">
        <v>790</v>
      </c>
      <c r="H1106" s="5" t="s">
        <v>32</v>
      </c>
      <c r="I1106" s="5" t="s">
        <v>22</v>
      </c>
      <c r="J1106" s="5" t="s">
        <v>60</v>
      </c>
      <c r="K1106" s="6">
        <v>0</v>
      </c>
      <c r="L1106" s="7">
        <v>0</v>
      </c>
      <c r="M1106" s="8">
        <v>8.3333333333333339</v>
      </c>
      <c r="N1106" s="8">
        <v>0</v>
      </c>
      <c r="O1106" s="8">
        <v>42.753226115040952</v>
      </c>
      <c r="P1106" s="8">
        <v>0</v>
      </c>
      <c r="Q1106" s="8">
        <v>0</v>
      </c>
      <c r="R1106" s="8">
        <v>0</v>
      </c>
      <c r="S1106" s="8">
        <v>0</v>
      </c>
      <c r="T1106" s="5">
        <v>0</v>
      </c>
      <c r="U1106" s="5">
        <v>0</v>
      </c>
      <c r="V1106" s="5">
        <f>VLOOKUP(A1106,Planilha1!B:E,4,0)</f>
        <v>11.476197020267191</v>
      </c>
    </row>
    <row r="1107" spans="1:22" x14ac:dyDescent="0.3">
      <c r="A1107" t="str">
        <f t="shared" si="34"/>
        <v>LEITE UHTITAMBÉ</v>
      </c>
      <c r="B1107" t="str">
        <f t="shared" si="35"/>
        <v>5204180LEITE UHTITAMBÉ</v>
      </c>
      <c r="C1107" s="5" t="s">
        <v>226</v>
      </c>
      <c r="D1107" s="5" t="s">
        <v>752</v>
      </c>
      <c r="E1107" s="5" t="s">
        <v>774</v>
      </c>
      <c r="F1107" s="5">
        <v>5204180</v>
      </c>
      <c r="G1107" s="5" t="s">
        <v>790</v>
      </c>
      <c r="H1107" s="5" t="s">
        <v>32</v>
      </c>
      <c r="I1107" s="5" t="s">
        <v>27</v>
      </c>
      <c r="J1107" s="5" t="s">
        <v>156</v>
      </c>
      <c r="K1107" s="6">
        <v>0</v>
      </c>
      <c r="L1107" s="7">
        <v>0</v>
      </c>
      <c r="M1107" s="8">
        <v>40</v>
      </c>
      <c r="N1107" s="8">
        <v>40</v>
      </c>
      <c r="O1107" s="8">
        <v>66.999255563827063</v>
      </c>
      <c r="P1107" s="8">
        <v>0</v>
      </c>
      <c r="Q1107" s="8">
        <v>0</v>
      </c>
      <c r="R1107" s="8">
        <v>0</v>
      </c>
      <c r="S1107" s="8">
        <v>0</v>
      </c>
      <c r="T1107" s="5">
        <v>0</v>
      </c>
      <c r="U1107" s="5">
        <v>0</v>
      </c>
      <c r="V1107" s="5">
        <f>VLOOKUP(A1107,Planilha1!B:E,4,0)</f>
        <v>-0.14425288609148015</v>
      </c>
    </row>
    <row r="1108" spans="1:22" x14ac:dyDescent="0.3">
      <c r="A1108" t="str">
        <f t="shared" si="34"/>
        <v>LEITE CONDENSADOITAMBÉ</v>
      </c>
      <c r="B1108" t="str">
        <f t="shared" si="35"/>
        <v>5213905LEITE CONDENSADOITAMBÉ</v>
      </c>
      <c r="C1108" s="5" t="s">
        <v>226</v>
      </c>
      <c r="D1108" s="5" t="s">
        <v>752</v>
      </c>
      <c r="E1108" s="5" t="s">
        <v>774</v>
      </c>
      <c r="F1108" s="5">
        <v>5213905</v>
      </c>
      <c r="G1108" s="5" t="s">
        <v>791</v>
      </c>
      <c r="H1108" s="5" t="s">
        <v>32</v>
      </c>
      <c r="I1108" s="5" t="s">
        <v>27</v>
      </c>
      <c r="J1108" s="5" t="s">
        <v>33</v>
      </c>
      <c r="K1108" s="6">
        <v>0</v>
      </c>
      <c r="L1108" s="7">
        <v>60.6</v>
      </c>
      <c r="M1108" s="8">
        <v>30.299999999999997</v>
      </c>
      <c r="N1108" s="8">
        <v>20.333333333333332</v>
      </c>
      <c r="O1108" s="8">
        <v>10.233736923496776</v>
      </c>
      <c r="P1108" s="8">
        <v>0</v>
      </c>
      <c r="Q1108" s="8">
        <v>0</v>
      </c>
      <c r="R1108" s="8">
        <v>0</v>
      </c>
      <c r="S1108" s="8">
        <v>61</v>
      </c>
      <c r="T1108" s="5">
        <v>61</v>
      </c>
      <c r="U1108" s="5">
        <v>61</v>
      </c>
      <c r="V1108" s="5">
        <f>VLOOKUP(A1108,Planilha1!B:E,4,0)</f>
        <v>1.4766792698630664</v>
      </c>
    </row>
    <row r="1109" spans="1:22" x14ac:dyDescent="0.3">
      <c r="A1109" t="str">
        <f t="shared" si="34"/>
        <v>CREME UHTITAMBÉ</v>
      </c>
      <c r="B1109" t="str">
        <f t="shared" si="35"/>
        <v>5213905CREME UHTITAMBÉ</v>
      </c>
      <c r="C1109" s="5" t="s">
        <v>226</v>
      </c>
      <c r="D1109" s="5" t="s">
        <v>752</v>
      </c>
      <c r="E1109" s="5" t="s">
        <v>774</v>
      </c>
      <c r="F1109" s="5">
        <v>5213905</v>
      </c>
      <c r="G1109" s="5" t="s">
        <v>791</v>
      </c>
      <c r="H1109" s="5" t="s">
        <v>32</v>
      </c>
      <c r="I1109" s="5" t="s">
        <v>27</v>
      </c>
      <c r="J1109" s="5" t="s">
        <v>34</v>
      </c>
      <c r="K1109" s="6">
        <v>0</v>
      </c>
      <c r="L1109" s="7">
        <v>0</v>
      </c>
      <c r="M1109" s="8">
        <v>4.04</v>
      </c>
      <c r="N1109" s="8">
        <v>4</v>
      </c>
      <c r="O1109" s="8">
        <v>1.9999222252467963</v>
      </c>
      <c r="P1109" s="8">
        <v>0</v>
      </c>
      <c r="Q1109" s="8">
        <v>0</v>
      </c>
      <c r="R1109" s="8">
        <v>0</v>
      </c>
      <c r="S1109" s="8">
        <v>0</v>
      </c>
      <c r="T1109" s="5">
        <v>0</v>
      </c>
      <c r="U1109" s="5">
        <v>12</v>
      </c>
      <c r="V1109" s="5">
        <f>VLOOKUP(A1109,Planilha1!B:E,4,0)</f>
        <v>1.2362540170747773</v>
      </c>
    </row>
    <row r="1110" spans="1:22" x14ac:dyDescent="0.3">
      <c r="A1110" t="str">
        <f t="shared" si="34"/>
        <v>DOCE DE LEITEITAMBÉ</v>
      </c>
      <c r="B1110" t="str">
        <f t="shared" si="35"/>
        <v>5213905DOCE DE LEITEITAMBÉ</v>
      </c>
      <c r="C1110" s="5" t="s">
        <v>226</v>
      </c>
      <c r="D1110" s="5" t="s">
        <v>752</v>
      </c>
      <c r="E1110" s="5" t="s">
        <v>774</v>
      </c>
      <c r="F1110" s="5">
        <v>5213905</v>
      </c>
      <c r="G1110" s="5" t="s">
        <v>791</v>
      </c>
      <c r="H1110" s="5" t="s">
        <v>32</v>
      </c>
      <c r="I1110" s="5" t="s">
        <v>27</v>
      </c>
      <c r="J1110" s="5" t="s">
        <v>46</v>
      </c>
      <c r="K1110" s="6">
        <v>0</v>
      </c>
      <c r="L1110" s="7">
        <v>119.4</v>
      </c>
      <c r="M1110" s="8">
        <v>39.799999999999997</v>
      </c>
      <c r="N1110" s="8">
        <v>39.666666666666664</v>
      </c>
      <c r="O1110" s="8">
        <v>25.001428653065894</v>
      </c>
      <c r="P1110" s="8">
        <v>0</v>
      </c>
      <c r="Q1110" s="8">
        <v>0</v>
      </c>
      <c r="R1110" s="8">
        <v>0</v>
      </c>
      <c r="S1110" s="8">
        <v>0</v>
      </c>
      <c r="T1110" s="5">
        <v>0</v>
      </c>
      <c r="U1110" s="5">
        <v>81</v>
      </c>
      <c r="V1110" s="5">
        <f>VLOOKUP(A1110,Planilha1!B:E,4,0)</f>
        <v>5.8210743907543439</v>
      </c>
    </row>
    <row r="1111" spans="1:22" x14ac:dyDescent="0.3">
      <c r="A1111" t="str">
        <f t="shared" si="34"/>
        <v>LEITE CONDENSADOITAMBÉ</v>
      </c>
      <c r="B1111" t="str">
        <f t="shared" si="35"/>
        <v>5216898LEITE CONDENSADOITAMBÉ</v>
      </c>
      <c r="C1111" s="5" t="s">
        <v>226</v>
      </c>
      <c r="D1111" s="5" t="s">
        <v>752</v>
      </c>
      <c r="E1111" s="5" t="s">
        <v>774</v>
      </c>
      <c r="F1111" s="5">
        <v>5216898</v>
      </c>
      <c r="G1111" s="5" t="s">
        <v>792</v>
      </c>
      <c r="H1111" s="5" t="s">
        <v>32</v>
      </c>
      <c r="I1111" s="5" t="s">
        <v>27</v>
      </c>
      <c r="J1111" s="5" t="s">
        <v>33</v>
      </c>
      <c r="K1111" s="6">
        <v>0</v>
      </c>
      <c r="L1111" s="7">
        <v>0</v>
      </c>
      <c r="M1111" s="8">
        <v>0</v>
      </c>
      <c r="N1111" s="8">
        <v>0</v>
      </c>
      <c r="O1111" s="8">
        <v>1.0233736923496777</v>
      </c>
      <c r="P1111" s="8">
        <v>0</v>
      </c>
      <c r="Q1111" s="8">
        <v>0</v>
      </c>
      <c r="R1111" s="8">
        <v>0</v>
      </c>
      <c r="S1111" s="8">
        <v>0</v>
      </c>
      <c r="T1111" s="5">
        <v>0</v>
      </c>
      <c r="U1111" s="5">
        <v>0</v>
      </c>
      <c r="V1111" s="5">
        <f>VLOOKUP(A1111,Planilha1!B:E,4,0)</f>
        <v>1.4766792698630664</v>
      </c>
    </row>
    <row r="1112" spans="1:22" x14ac:dyDescent="0.3">
      <c r="A1112" t="str">
        <f t="shared" si="34"/>
        <v>DOCE DE LEITEITAMBÉ</v>
      </c>
      <c r="B1112" t="str">
        <f t="shared" si="35"/>
        <v>5216898DOCE DE LEITEITAMBÉ</v>
      </c>
      <c r="C1112" s="5" t="s">
        <v>226</v>
      </c>
      <c r="D1112" s="5" t="s">
        <v>752</v>
      </c>
      <c r="E1112" s="5" t="s">
        <v>774</v>
      </c>
      <c r="F1112" s="5">
        <v>5216898</v>
      </c>
      <c r="G1112" s="5" t="s">
        <v>792</v>
      </c>
      <c r="H1112" s="5" t="s">
        <v>32</v>
      </c>
      <c r="I1112" s="5" t="s">
        <v>27</v>
      </c>
      <c r="J1112" s="5" t="s">
        <v>46</v>
      </c>
      <c r="K1112" s="6">
        <v>0</v>
      </c>
      <c r="L1112" s="7">
        <v>0</v>
      </c>
      <c r="M1112" s="8">
        <v>0</v>
      </c>
      <c r="N1112" s="8">
        <v>0</v>
      </c>
      <c r="O1112" s="8">
        <v>3.0001714383679072</v>
      </c>
      <c r="P1112" s="8">
        <v>0</v>
      </c>
      <c r="Q1112" s="8">
        <v>0</v>
      </c>
      <c r="R1112" s="8">
        <v>0</v>
      </c>
      <c r="S1112" s="8">
        <v>0</v>
      </c>
      <c r="T1112" s="5">
        <v>0</v>
      </c>
      <c r="U1112" s="5">
        <v>0</v>
      </c>
      <c r="V1112" s="5">
        <f>VLOOKUP(A1112,Planilha1!B:E,4,0)</f>
        <v>5.8210743907543439</v>
      </c>
    </row>
    <row r="1113" spans="1:22" x14ac:dyDescent="0.3">
      <c r="A1113" t="str">
        <f t="shared" si="34"/>
        <v>LEITE UHTITAMBÉ</v>
      </c>
      <c r="B1113" t="str">
        <f t="shared" si="35"/>
        <v>5216898LEITE UHTITAMBÉ</v>
      </c>
      <c r="C1113" s="5" t="s">
        <v>226</v>
      </c>
      <c r="D1113" s="5" t="s">
        <v>752</v>
      </c>
      <c r="E1113" s="5" t="s">
        <v>774</v>
      </c>
      <c r="F1113" s="5">
        <v>5216898</v>
      </c>
      <c r="G1113" s="5" t="s">
        <v>792</v>
      </c>
      <c r="H1113" s="5" t="s">
        <v>32</v>
      </c>
      <c r="I1113" s="5" t="s">
        <v>27</v>
      </c>
      <c r="J1113" s="5" t="s">
        <v>156</v>
      </c>
      <c r="K1113" s="6">
        <v>0</v>
      </c>
      <c r="L1113" s="7">
        <v>0</v>
      </c>
      <c r="M1113" s="8">
        <v>0</v>
      </c>
      <c r="N1113" s="8">
        <v>0</v>
      </c>
      <c r="O1113" s="8">
        <v>2.9999666670370329</v>
      </c>
      <c r="P1113" s="8">
        <v>0</v>
      </c>
      <c r="Q1113" s="8">
        <v>0</v>
      </c>
      <c r="R1113" s="8">
        <v>0</v>
      </c>
      <c r="S1113" s="8">
        <v>0</v>
      </c>
      <c r="T1113" s="5">
        <v>0</v>
      </c>
      <c r="U1113" s="5">
        <v>0</v>
      </c>
      <c r="V1113" s="5">
        <f>VLOOKUP(A1113,Planilha1!B:E,4,0)</f>
        <v>-0.14425288609148015</v>
      </c>
    </row>
    <row r="1114" spans="1:22" x14ac:dyDescent="0.3">
      <c r="A1114" t="str">
        <f t="shared" si="34"/>
        <v>LEITE CONDENSADOITAMBÉ</v>
      </c>
      <c r="B1114" t="str">
        <f t="shared" si="35"/>
        <v>5219741LEITE CONDENSADOITAMBÉ</v>
      </c>
      <c r="C1114" s="5" t="s">
        <v>226</v>
      </c>
      <c r="D1114" s="5" t="s">
        <v>752</v>
      </c>
      <c r="E1114" s="5" t="s">
        <v>774</v>
      </c>
      <c r="F1114" s="5">
        <v>5219741</v>
      </c>
      <c r="G1114" s="5" t="s">
        <v>793</v>
      </c>
      <c r="H1114" s="5" t="s">
        <v>32</v>
      </c>
      <c r="I1114" s="5" t="s">
        <v>27</v>
      </c>
      <c r="J1114" s="5" t="s">
        <v>33</v>
      </c>
      <c r="K1114" s="6">
        <v>0</v>
      </c>
      <c r="L1114" s="7">
        <v>121.2</v>
      </c>
      <c r="M1114" s="8">
        <v>171.7</v>
      </c>
      <c r="N1114" s="8">
        <v>181.66666666666666</v>
      </c>
      <c r="O1114" s="8">
        <v>72.659532156827112</v>
      </c>
      <c r="P1114" s="8">
        <v>0</v>
      </c>
      <c r="Q1114" s="8">
        <v>0</v>
      </c>
      <c r="R1114" s="8">
        <v>0</v>
      </c>
      <c r="S1114" s="8">
        <v>121</v>
      </c>
      <c r="T1114" s="5">
        <v>121</v>
      </c>
      <c r="U1114" s="5">
        <v>121</v>
      </c>
      <c r="V1114" s="5">
        <f>VLOOKUP(A1114,Planilha1!B:E,4,0)</f>
        <v>1.4766792698630664</v>
      </c>
    </row>
    <row r="1115" spans="1:22" x14ac:dyDescent="0.3">
      <c r="A1115" t="str">
        <f t="shared" si="34"/>
        <v>CREME UHTITAMBÉ</v>
      </c>
      <c r="B1115" t="str">
        <f t="shared" si="35"/>
        <v>5219741CREME UHTITAMBÉ</v>
      </c>
      <c r="C1115" s="5" t="s">
        <v>226</v>
      </c>
      <c r="D1115" s="5" t="s">
        <v>752</v>
      </c>
      <c r="E1115" s="5" t="s">
        <v>774</v>
      </c>
      <c r="F1115" s="5">
        <v>5219741</v>
      </c>
      <c r="G1115" s="5" t="s">
        <v>793</v>
      </c>
      <c r="H1115" s="5" t="s">
        <v>32</v>
      </c>
      <c r="I1115" s="5" t="s">
        <v>27</v>
      </c>
      <c r="J1115" s="5" t="s">
        <v>34</v>
      </c>
      <c r="K1115" s="6">
        <v>0</v>
      </c>
      <c r="L1115" s="7">
        <v>0</v>
      </c>
      <c r="M1115" s="8">
        <v>173.72000000000003</v>
      </c>
      <c r="N1115" s="8">
        <v>145.66666666666666</v>
      </c>
      <c r="O1115" s="8">
        <v>95.996266811846226</v>
      </c>
      <c r="P1115" s="8">
        <v>0</v>
      </c>
      <c r="Q1115" s="8">
        <v>121.2</v>
      </c>
      <c r="R1115" s="8">
        <v>0</v>
      </c>
      <c r="S1115" s="8">
        <v>121</v>
      </c>
      <c r="T1115" s="5">
        <v>121</v>
      </c>
      <c r="U1115" s="5">
        <v>121</v>
      </c>
      <c r="V1115" s="5">
        <f>VLOOKUP(A1115,Planilha1!B:E,4,0)</f>
        <v>1.2362540170747773</v>
      </c>
    </row>
    <row r="1116" spans="1:22" x14ac:dyDescent="0.3">
      <c r="A1116" t="str">
        <f t="shared" si="34"/>
        <v>DOCE DE LEITEITAMBÉ</v>
      </c>
      <c r="B1116" t="str">
        <f t="shared" si="35"/>
        <v>5219741DOCE DE LEITEITAMBÉ</v>
      </c>
      <c r="C1116" s="5" t="s">
        <v>226</v>
      </c>
      <c r="D1116" s="5" t="s">
        <v>752</v>
      </c>
      <c r="E1116" s="5" t="s">
        <v>774</v>
      </c>
      <c r="F1116" s="5">
        <v>5219741</v>
      </c>
      <c r="G1116" s="5" t="s">
        <v>793</v>
      </c>
      <c r="H1116" s="5" t="s">
        <v>32</v>
      </c>
      <c r="I1116" s="5" t="s">
        <v>27</v>
      </c>
      <c r="J1116" s="5" t="s">
        <v>46</v>
      </c>
      <c r="K1116" s="6">
        <v>0</v>
      </c>
      <c r="L1116" s="7">
        <v>0</v>
      </c>
      <c r="M1116" s="8">
        <v>20</v>
      </c>
      <c r="N1116" s="8">
        <v>0</v>
      </c>
      <c r="O1116" s="8">
        <v>16.000914337962172</v>
      </c>
      <c r="P1116" s="8">
        <v>0</v>
      </c>
      <c r="Q1116" s="8">
        <v>0</v>
      </c>
      <c r="R1116" s="8">
        <v>0</v>
      </c>
      <c r="S1116" s="8">
        <v>0</v>
      </c>
      <c r="T1116" s="5">
        <v>0</v>
      </c>
      <c r="U1116" s="5">
        <v>0</v>
      </c>
      <c r="V1116" s="5">
        <f>VLOOKUP(A1116,Planilha1!B:E,4,0)</f>
        <v>5.8210743907543439</v>
      </c>
    </row>
    <row r="1117" spans="1:22" x14ac:dyDescent="0.3">
      <c r="A1117" t="str">
        <f t="shared" si="34"/>
        <v>COMPOSTOITAMBÉ</v>
      </c>
      <c r="B1117" t="str">
        <f t="shared" si="35"/>
        <v>5223816COMPOSTOITAMBÉ</v>
      </c>
      <c r="C1117" s="5" t="s">
        <v>226</v>
      </c>
      <c r="D1117" s="5" t="s">
        <v>752</v>
      </c>
      <c r="E1117" s="5" t="s">
        <v>774</v>
      </c>
      <c r="F1117" s="5">
        <v>5223816</v>
      </c>
      <c r="G1117" s="5" t="s">
        <v>794</v>
      </c>
      <c r="H1117" s="5" t="s">
        <v>32</v>
      </c>
      <c r="I1117" s="5" t="s">
        <v>27</v>
      </c>
      <c r="J1117" s="5" t="s">
        <v>26</v>
      </c>
      <c r="K1117" s="6">
        <v>0</v>
      </c>
      <c r="L1117" s="7">
        <v>0</v>
      </c>
      <c r="M1117" s="8">
        <v>116.66666666666666</v>
      </c>
      <c r="N1117" s="8">
        <v>166.66666666666666</v>
      </c>
      <c r="O1117" s="8">
        <v>71.003313487962785</v>
      </c>
      <c r="P1117" s="8">
        <v>0</v>
      </c>
      <c r="Q1117" s="8">
        <v>0</v>
      </c>
      <c r="R1117" s="8">
        <v>0</v>
      </c>
      <c r="S1117" s="8">
        <v>0</v>
      </c>
      <c r="T1117" s="5">
        <v>0</v>
      </c>
      <c r="U1117" s="5">
        <v>0</v>
      </c>
      <c r="V1117" s="5">
        <f>VLOOKUP(A1117,Planilha1!B:E,4,0)</f>
        <v>0.15618217875936719</v>
      </c>
    </row>
    <row r="1118" spans="1:22" x14ac:dyDescent="0.3">
      <c r="A1118" t="str">
        <f t="shared" si="34"/>
        <v>LEITE CONDENSADOITAMBÉ</v>
      </c>
      <c r="B1118" t="str">
        <f t="shared" si="35"/>
        <v>5223816LEITE CONDENSADOITAMBÉ</v>
      </c>
      <c r="C1118" s="5" t="s">
        <v>226</v>
      </c>
      <c r="D1118" s="5" t="s">
        <v>752</v>
      </c>
      <c r="E1118" s="5" t="s">
        <v>774</v>
      </c>
      <c r="F1118" s="5">
        <v>5223816</v>
      </c>
      <c r="G1118" s="5" t="s">
        <v>794</v>
      </c>
      <c r="H1118" s="5" t="s">
        <v>32</v>
      </c>
      <c r="I1118" s="5" t="s">
        <v>27</v>
      </c>
      <c r="J1118" s="5" t="s">
        <v>33</v>
      </c>
      <c r="K1118" s="6">
        <v>0</v>
      </c>
      <c r="L1118" s="7">
        <v>500</v>
      </c>
      <c r="M1118" s="8">
        <v>43.955000000000005</v>
      </c>
      <c r="N1118" s="8">
        <v>24</v>
      </c>
      <c r="O1118" s="8">
        <v>10.233736923496776</v>
      </c>
      <c r="P1118" s="8">
        <v>0</v>
      </c>
      <c r="Q1118" s="8">
        <v>0</v>
      </c>
      <c r="R1118" s="8">
        <v>0</v>
      </c>
      <c r="S1118" s="8">
        <v>0</v>
      </c>
      <c r="T1118" s="5">
        <v>0</v>
      </c>
      <c r="U1118" s="5">
        <v>0</v>
      </c>
      <c r="V1118" s="5">
        <f>VLOOKUP(A1118,Planilha1!B:E,4,0)</f>
        <v>1.4766792698630664</v>
      </c>
    </row>
    <row r="1119" spans="1:22" x14ac:dyDescent="0.3">
      <c r="A1119" t="str">
        <f t="shared" si="34"/>
        <v>CREME UHTITAMBÉ</v>
      </c>
      <c r="B1119" t="str">
        <f t="shared" si="35"/>
        <v>5223816CREME UHTITAMBÉ</v>
      </c>
      <c r="C1119" s="5" t="s">
        <v>226</v>
      </c>
      <c r="D1119" s="5" t="s">
        <v>752</v>
      </c>
      <c r="E1119" s="5" t="s">
        <v>774</v>
      </c>
      <c r="F1119" s="5">
        <v>5223816</v>
      </c>
      <c r="G1119" s="5" t="s">
        <v>794</v>
      </c>
      <c r="H1119" s="5" t="s">
        <v>32</v>
      </c>
      <c r="I1119" s="5" t="s">
        <v>27</v>
      </c>
      <c r="J1119" s="5" t="s">
        <v>34</v>
      </c>
      <c r="K1119" s="6">
        <v>0</v>
      </c>
      <c r="L1119" s="7">
        <v>121.2</v>
      </c>
      <c r="M1119" s="8">
        <v>50.5</v>
      </c>
      <c r="N1119" s="8">
        <v>40.333333333333336</v>
      </c>
      <c r="O1119" s="8">
        <v>10.999572238857379</v>
      </c>
      <c r="P1119" s="8">
        <v>0</v>
      </c>
      <c r="Q1119" s="8">
        <v>0</v>
      </c>
      <c r="R1119" s="8">
        <v>0</v>
      </c>
      <c r="S1119" s="8">
        <v>0</v>
      </c>
      <c r="T1119" s="5">
        <v>0</v>
      </c>
      <c r="U1119" s="5">
        <v>0</v>
      </c>
      <c r="V1119" s="5">
        <f>VLOOKUP(A1119,Planilha1!B:E,4,0)</f>
        <v>1.2362540170747773</v>
      </c>
    </row>
    <row r="1120" spans="1:22" x14ac:dyDescent="0.3">
      <c r="A1120" t="str">
        <f t="shared" si="34"/>
        <v>DOCE DE LEITEITAMBÉ</v>
      </c>
      <c r="B1120" t="str">
        <f t="shared" si="35"/>
        <v>5223816DOCE DE LEITEITAMBÉ</v>
      </c>
      <c r="C1120" s="5" t="s">
        <v>226</v>
      </c>
      <c r="D1120" s="5" t="s">
        <v>752</v>
      </c>
      <c r="E1120" s="5" t="s">
        <v>774</v>
      </c>
      <c r="F1120" s="5">
        <v>5223816</v>
      </c>
      <c r="G1120" s="5" t="s">
        <v>794</v>
      </c>
      <c r="H1120" s="5" t="s">
        <v>32</v>
      </c>
      <c r="I1120" s="5" t="s">
        <v>27</v>
      </c>
      <c r="J1120" s="5" t="s">
        <v>46</v>
      </c>
      <c r="K1120" s="6">
        <v>0</v>
      </c>
      <c r="L1120" s="7">
        <v>0</v>
      </c>
      <c r="M1120" s="8">
        <v>2.4</v>
      </c>
      <c r="N1120" s="8">
        <v>0</v>
      </c>
      <c r="O1120" s="8">
        <v>3.0001714383679072</v>
      </c>
      <c r="P1120" s="8">
        <v>0</v>
      </c>
      <c r="Q1120" s="8">
        <v>0</v>
      </c>
      <c r="R1120" s="8">
        <v>0</v>
      </c>
      <c r="S1120" s="8">
        <v>0</v>
      </c>
      <c r="T1120" s="5">
        <v>0</v>
      </c>
      <c r="U1120" s="5">
        <v>0</v>
      </c>
      <c r="V1120" s="5">
        <f>VLOOKUP(A1120,Planilha1!B:E,4,0)</f>
        <v>5.8210743907543439</v>
      </c>
    </row>
    <row r="1121" spans="1:22" x14ac:dyDescent="0.3">
      <c r="A1121" t="str">
        <f t="shared" si="34"/>
        <v>LEITE CONDENSADOITAMBÉ</v>
      </c>
      <c r="B1121" t="str">
        <f t="shared" si="35"/>
        <v>5230141LEITE CONDENSADOITAMBÉ</v>
      </c>
      <c r="C1121" s="5" t="s">
        <v>226</v>
      </c>
      <c r="D1121" s="5" t="s">
        <v>752</v>
      </c>
      <c r="E1121" s="5" t="s">
        <v>774</v>
      </c>
      <c r="F1121" s="5">
        <v>5230141</v>
      </c>
      <c r="G1121" s="5" t="s">
        <v>795</v>
      </c>
      <c r="H1121" s="5" t="s">
        <v>32</v>
      </c>
      <c r="I1121" s="5" t="s">
        <v>27</v>
      </c>
      <c r="J1121" s="5" t="s">
        <v>33</v>
      </c>
      <c r="K1121" s="6">
        <v>0</v>
      </c>
      <c r="L1121" s="7">
        <v>0</v>
      </c>
      <c r="M1121" s="8">
        <v>16.16</v>
      </c>
      <c r="N1121" s="8">
        <v>0</v>
      </c>
      <c r="O1121" s="8">
        <v>4.0934947693987107</v>
      </c>
      <c r="P1121" s="8">
        <v>0</v>
      </c>
      <c r="Q1121" s="8">
        <v>0</v>
      </c>
      <c r="R1121" s="8">
        <v>0</v>
      </c>
      <c r="S1121" s="8">
        <v>0</v>
      </c>
      <c r="T1121" s="5">
        <v>0</v>
      </c>
      <c r="U1121" s="5">
        <v>0</v>
      </c>
      <c r="V1121" s="5">
        <f>VLOOKUP(A1121,Planilha1!B:E,4,0)</f>
        <v>1.4766792698630664</v>
      </c>
    </row>
    <row r="1122" spans="1:22" x14ac:dyDescent="0.3">
      <c r="A1122" t="str">
        <f t="shared" si="34"/>
        <v>DOCE DE LEITEITAMBÉ</v>
      </c>
      <c r="B1122" t="str">
        <f t="shared" si="35"/>
        <v>5230141DOCE DE LEITEITAMBÉ</v>
      </c>
      <c r="C1122" s="5" t="s">
        <v>226</v>
      </c>
      <c r="D1122" s="5" t="s">
        <v>752</v>
      </c>
      <c r="E1122" s="5" t="s">
        <v>774</v>
      </c>
      <c r="F1122" s="5">
        <v>5230141</v>
      </c>
      <c r="G1122" s="5" t="s">
        <v>795</v>
      </c>
      <c r="H1122" s="5" t="s">
        <v>32</v>
      </c>
      <c r="I1122" s="5" t="s">
        <v>27</v>
      </c>
      <c r="J1122" s="5" t="s">
        <v>46</v>
      </c>
      <c r="K1122" s="6">
        <v>0</v>
      </c>
      <c r="L1122" s="7">
        <v>0</v>
      </c>
      <c r="M1122" s="8">
        <v>34</v>
      </c>
      <c r="N1122" s="8">
        <v>34</v>
      </c>
      <c r="O1122" s="8">
        <v>5.0002857306131787</v>
      </c>
      <c r="P1122" s="8">
        <v>0</v>
      </c>
      <c r="Q1122" s="8">
        <v>0</v>
      </c>
      <c r="R1122" s="8">
        <v>0</v>
      </c>
      <c r="S1122" s="8">
        <v>0</v>
      </c>
      <c r="T1122" s="5">
        <v>0</v>
      </c>
      <c r="U1122" s="5">
        <v>0</v>
      </c>
      <c r="V1122" s="5">
        <f>VLOOKUP(A1122,Planilha1!B:E,4,0)</f>
        <v>5.8210743907543439</v>
      </c>
    </row>
    <row r="1123" spans="1:22" x14ac:dyDescent="0.3">
      <c r="A1123" t="str">
        <f t="shared" si="34"/>
        <v>LEITE CONDENSADOITAMBÉ</v>
      </c>
      <c r="B1123" t="str">
        <f t="shared" si="35"/>
        <v>5350815LEITE CONDENSADOITAMBÉ</v>
      </c>
      <c r="C1123" s="5" t="s">
        <v>226</v>
      </c>
      <c r="D1123" s="5" t="s">
        <v>752</v>
      </c>
      <c r="E1123" s="5" t="s">
        <v>774</v>
      </c>
      <c r="F1123" s="5">
        <v>5350815</v>
      </c>
      <c r="G1123" s="5" t="s">
        <v>796</v>
      </c>
      <c r="H1123" s="5" t="s">
        <v>32</v>
      </c>
      <c r="I1123" s="5" t="s">
        <v>27</v>
      </c>
      <c r="J1123" s="5" t="s">
        <v>33</v>
      </c>
      <c r="K1123" s="6">
        <v>0</v>
      </c>
      <c r="L1123" s="7">
        <v>0</v>
      </c>
      <c r="M1123" s="8">
        <v>22.130833333333335</v>
      </c>
      <c r="N1123" s="8">
        <v>23.666666666666668</v>
      </c>
      <c r="O1123" s="8">
        <v>6.1402421540980665</v>
      </c>
      <c r="P1123" s="8">
        <v>0</v>
      </c>
      <c r="Q1123" s="8">
        <v>0</v>
      </c>
      <c r="R1123" s="8">
        <v>0</v>
      </c>
      <c r="S1123" s="8">
        <v>0</v>
      </c>
      <c r="T1123" s="5">
        <v>0</v>
      </c>
      <c r="U1123" s="5">
        <v>0</v>
      </c>
      <c r="V1123" s="5">
        <f>VLOOKUP(A1123,Planilha1!B:E,4,0)</f>
        <v>1.4766792698630664</v>
      </c>
    </row>
    <row r="1124" spans="1:22" x14ac:dyDescent="0.3">
      <c r="A1124" t="str">
        <f t="shared" si="34"/>
        <v>CREME UHTITAMBÉ</v>
      </c>
      <c r="B1124" t="str">
        <f t="shared" si="35"/>
        <v>5350815CREME UHTITAMBÉ</v>
      </c>
      <c r="C1124" s="5" t="s">
        <v>226</v>
      </c>
      <c r="D1124" s="5" t="s">
        <v>752</v>
      </c>
      <c r="E1124" s="5" t="s">
        <v>774</v>
      </c>
      <c r="F1124" s="5">
        <v>5350815</v>
      </c>
      <c r="G1124" s="5" t="s">
        <v>796</v>
      </c>
      <c r="H1124" s="5" t="s">
        <v>32</v>
      </c>
      <c r="I1124" s="5" t="s">
        <v>27</v>
      </c>
      <c r="J1124" s="5" t="s">
        <v>34</v>
      </c>
      <c r="K1124" s="6">
        <v>0</v>
      </c>
      <c r="L1124" s="7">
        <v>0</v>
      </c>
      <c r="M1124" s="8">
        <v>0</v>
      </c>
      <c r="N1124" s="8">
        <v>0</v>
      </c>
      <c r="O1124" s="8">
        <v>0.99996111262339815</v>
      </c>
      <c r="P1124" s="8">
        <v>0</v>
      </c>
      <c r="Q1124" s="8">
        <v>0</v>
      </c>
      <c r="R1124" s="8">
        <v>0</v>
      </c>
      <c r="S1124" s="8">
        <v>0</v>
      </c>
      <c r="T1124" s="5">
        <v>0</v>
      </c>
      <c r="U1124" s="5">
        <v>0</v>
      </c>
      <c r="V1124" s="5">
        <f>VLOOKUP(A1124,Planilha1!B:E,4,0)</f>
        <v>1.2362540170747773</v>
      </c>
    </row>
    <row r="1125" spans="1:22" x14ac:dyDescent="0.3">
      <c r="A1125" t="str">
        <f t="shared" si="34"/>
        <v>DOCE DE LEITEITAMBÉ</v>
      </c>
      <c r="B1125" t="str">
        <f t="shared" si="35"/>
        <v>5350815DOCE DE LEITEITAMBÉ</v>
      </c>
      <c r="C1125" s="5" t="s">
        <v>226</v>
      </c>
      <c r="D1125" s="5" t="s">
        <v>752</v>
      </c>
      <c r="E1125" s="5" t="s">
        <v>774</v>
      </c>
      <c r="F1125" s="5">
        <v>5350815</v>
      </c>
      <c r="G1125" s="5" t="s">
        <v>796</v>
      </c>
      <c r="H1125" s="5" t="s">
        <v>32</v>
      </c>
      <c r="I1125" s="5" t="s">
        <v>27</v>
      </c>
      <c r="J1125" s="5" t="s">
        <v>46</v>
      </c>
      <c r="K1125" s="6">
        <v>0</v>
      </c>
      <c r="L1125" s="7">
        <v>0</v>
      </c>
      <c r="M1125" s="8">
        <v>0</v>
      </c>
      <c r="N1125" s="8">
        <v>0</v>
      </c>
      <c r="O1125" s="8">
        <v>7.0004000228584502</v>
      </c>
      <c r="P1125" s="8">
        <v>0</v>
      </c>
      <c r="Q1125" s="8">
        <v>0</v>
      </c>
      <c r="R1125" s="8">
        <v>0</v>
      </c>
      <c r="S1125" s="8">
        <v>0</v>
      </c>
      <c r="T1125" s="5">
        <v>0</v>
      </c>
      <c r="U1125" s="5">
        <v>0</v>
      </c>
      <c r="V1125" s="5">
        <f>VLOOKUP(A1125,Planilha1!B:E,4,0)</f>
        <v>5.8210743907543439</v>
      </c>
    </row>
    <row r="1126" spans="1:22" x14ac:dyDescent="0.3">
      <c r="A1126" t="str">
        <f t="shared" si="34"/>
        <v>BLISTERITAMBÉ</v>
      </c>
      <c r="B1126" t="str">
        <f t="shared" si="35"/>
        <v>5011698BLISTERITAMBÉ</v>
      </c>
      <c r="C1126" s="5" t="s">
        <v>226</v>
      </c>
      <c r="D1126" s="5" t="s">
        <v>797</v>
      </c>
      <c r="E1126" s="5" t="s">
        <v>753</v>
      </c>
      <c r="F1126" s="5">
        <v>5011698</v>
      </c>
      <c r="G1126" s="5" t="s">
        <v>798</v>
      </c>
      <c r="H1126" s="5" t="s">
        <v>110</v>
      </c>
      <c r="I1126" s="5" t="s">
        <v>27</v>
      </c>
      <c r="J1126" s="5" t="s">
        <v>199</v>
      </c>
      <c r="K1126" s="6">
        <v>0</v>
      </c>
      <c r="L1126" s="7">
        <v>480</v>
      </c>
      <c r="M1126" s="8">
        <v>377.28</v>
      </c>
      <c r="N1126" s="8">
        <v>339.33333333333331</v>
      </c>
      <c r="O1126" s="8">
        <v>441.06301008161302</v>
      </c>
      <c r="P1126" s="8">
        <v>0</v>
      </c>
      <c r="Q1126" s="8">
        <v>499.2</v>
      </c>
      <c r="R1126" s="8">
        <v>0</v>
      </c>
      <c r="S1126" s="8">
        <v>500</v>
      </c>
      <c r="T1126" s="5">
        <v>499.2</v>
      </c>
      <c r="U1126" s="5">
        <v>500</v>
      </c>
      <c r="V1126" s="5">
        <f>VLOOKUP(A1126,Planilha1!B:E,4,0)</f>
        <v>10.339882680976428</v>
      </c>
    </row>
    <row r="1127" spans="1:22" x14ac:dyDescent="0.3">
      <c r="A1127" t="str">
        <f t="shared" si="34"/>
        <v>BLISTERITAMBÉ</v>
      </c>
      <c r="B1127" t="str">
        <f t="shared" si="35"/>
        <v>5019245BLISTERITAMBÉ</v>
      </c>
      <c r="C1127" s="5" t="s">
        <v>226</v>
      </c>
      <c r="D1127" s="5" t="s">
        <v>797</v>
      </c>
      <c r="E1127" s="5" t="s">
        <v>753</v>
      </c>
      <c r="F1127" s="5">
        <v>5019245</v>
      </c>
      <c r="G1127" s="5" t="s">
        <v>799</v>
      </c>
      <c r="H1127" s="5" t="s">
        <v>20</v>
      </c>
      <c r="I1127" s="5" t="s">
        <v>27</v>
      </c>
      <c r="J1127" s="5" t="s">
        <v>199</v>
      </c>
      <c r="K1127" s="6">
        <v>0</v>
      </c>
      <c r="L1127" s="7">
        <v>2711.04</v>
      </c>
      <c r="M1127" s="8">
        <v>864.32</v>
      </c>
      <c r="N1127" s="8">
        <v>678.66666666666674</v>
      </c>
      <c r="O1127" s="8">
        <v>899.12844912328819</v>
      </c>
      <c r="P1127" s="8">
        <v>0</v>
      </c>
      <c r="Q1127" s="8">
        <v>0</v>
      </c>
      <c r="R1127" s="8">
        <v>0</v>
      </c>
      <c r="S1127" s="8">
        <v>750</v>
      </c>
      <c r="T1127" s="5">
        <v>750</v>
      </c>
      <c r="U1127" s="5">
        <v>0</v>
      </c>
      <c r="V1127" s="5">
        <f>VLOOKUP(A1127,Planilha1!B:E,4,0)</f>
        <v>10.339882680976428</v>
      </c>
    </row>
    <row r="1128" spans="1:22" x14ac:dyDescent="0.3">
      <c r="A1128" t="str">
        <f t="shared" si="34"/>
        <v>LEITE CONDENSADOITAMBÉ</v>
      </c>
      <c r="B1128" t="str">
        <f t="shared" si="35"/>
        <v>5141420LEITE CONDENSADOITAMBÉ</v>
      </c>
      <c r="C1128" s="5" t="s">
        <v>226</v>
      </c>
      <c r="D1128" s="5" t="s">
        <v>797</v>
      </c>
      <c r="E1128" s="5" t="s">
        <v>753</v>
      </c>
      <c r="F1128" s="5">
        <v>5141420</v>
      </c>
      <c r="G1128" s="5" t="s">
        <v>800</v>
      </c>
      <c r="H1128" s="5" t="s">
        <v>801</v>
      </c>
      <c r="I1128" s="5" t="s">
        <v>27</v>
      </c>
      <c r="J1128" s="5" t="s">
        <v>33</v>
      </c>
      <c r="K1128" s="6">
        <v>0</v>
      </c>
      <c r="L1128" s="7">
        <v>0</v>
      </c>
      <c r="M1128" s="8">
        <v>5016.666666666667</v>
      </c>
      <c r="N1128" s="8">
        <v>8356.6666666666661</v>
      </c>
      <c r="O1128" s="8">
        <v>3275.9410330614051</v>
      </c>
      <c r="P1128" s="8">
        <v>0</v>
      </c>
      <c r="Q1128" s="8">
        <v>0</v>
      </c>
      <c r="R1128" s="8">
        <v>0</v>
      </c>
      <c r="S1128" s="8">
        <v>4000</v>
      </c>
      <c r="T1128" s="5">
        <v>5500</v>
      </c>
      <c r="U1128" s="5">
        <v>5000</v>
      </c>
      <c r="V1128" s="5">
        <f>VLOOKUP(A1128,Planilha1!B:E,4,0)</f>
        <v>1.4766792698630664</v>
      </c>
    </row>
    <row r="1129" spans="1:22" x14ac:dyDescent="0.3">
      <c r="A1129" t="str">
        <f t="shared" si="34"/>
        <v>CREME UHTITAMBÉ</v>
      </c>
      <c r="B1129" t="str">
        <f t="shared" si="35"/>
        <v>5141420CREME UHTITAMBÉ</v>
      </c>
      <c r="C1129" s="5" t="s">
        <v>226</v>
      </c>
      <c r="D1129" s="5" t="s">
        <v>797</v>
      </c>
      <c r="E1129" s="5" t="s">
        <v>753</v>
      </c>
      <c r="F1129" s="5">
        <v>5141420</v>
      </c>
      <c r="G1129" s="5" t="s">
        <v>800</v>
      </c>
      <c r="H1129" s="5" t="s">
        <v>801</v>
      </c>
      <c r="I1129" s="5" t="s">
        <v>27</v>
      </c>
      <c r="J1129" s="5" t="s">
        <v>34</v>
      </c>
      <c r="K1129" s="6">
        <v>0</v>
      </c>
      <c r="L1129" s="7">
        <v>0</v>
      </c>
      <c r="M1129" s="8">
        <v>464.6</v>
      </c>
      <c r="N1129" s="8">
        <v>606</v>
      </c>
      <c r="O1129" s="8">
        <v>1015.9604904253725</v>
      </c>
      <c r="P1129" s="8">
        <v>0</v>
      </c>
      <c r="Q1129" s="8">
        <v>0</v>
      </c>
      <c r="R1129" s="8">
        <v>0</v>
      </c>
      <c r="S1129" s="8">
        <v>606</v>
      </c>
      <c r="T1129" s="5">
        <v>606</v>
      </c>
      <c r="U1129" s="5">
        <v>364</v>
      </c>
      <c r="V1129" s="5">
        <f>VLOOKUP(A1129,Planilha1!B:E,4,0)</f>
        <v>1.2362540170747773</v>
      </c>
    </row>
    <row r="1130" spans="1:22" x14ac:dyDescent="0.3">
      <c r="A1130" t="str">
        <f t="shared" si="34"/>
        <v>DOCE DE LEITEITAMBÉ</v>
      </c>
      <c r="B1130" t="str">
        <f t="shared" si="35"/>
        <v>5141420DOCE DE LEITEITAMBÉ</v>
      </c>
      <c r="C1130" s="5" t="s">
        <v>226</v>
      </c>
      <c r="D1130" s="5" t="s">
        <v>797</v>
      </c>
      <c r="E1130" s="5" t="s">
        <v>753</v>
      </c>
      <c r="F1130" s="5">
        <v>5141420</v>
      </c>
      <c r="G1130" s="5" t="s">
        <v>800</v>
      </c>
      <c r="H1130" s="5" t="s">
        <v>801</v>
      </c>
      <c r="I1130" s="5" t="s">
        <v>27</v>
      </c>
      <c r="J1130" s="5" t="s">
        <v>46</v>
      </c>
      <c r="K1130" s="6">
        <v>0</v>
      </c>
      <c r="L1130" s="7">
        <v>0</v>
      </c>
      <c r="M1130" s="8">
        <v>766.66666666666663</v>
      </c>
      <c r="N1130" s="8">
        <v>813.33333333333326</v>
      </c>
      <c r="O1130" s="8">
        <v>476.02720155437459</v>
      </c>
      <c r="P1130" s="8">
        <v>0</v>
      </c>
      <c r="Q1130" s="8">
        <v>0</v>
      </c>
      <c r="R1130" s="8">
        <v>0</v>
      </c>
      <c r="S1130" s="8">
        <v>800</v>
      </c>
      <c r="T1130" s="5">
        <v>800</v>
      </c>
      <c r="U1130" s="5">
        <v>1260</v>
      </c>
      <c r="V1130" s="5">
        <f>VLOOKUP(A1130,Planilha1!B:E,4,0)</f>
        <v>5.8210743907543439</v>
      </c>
    </row>
    <row r="1131" spans="1:22" x14ac:dyDescent="0.3">
      <c r="A1131" t="str">
        <f t="shared" si="34"/>
        <v>COMPOSTOITAMBÉ</v>
      </c>
      <c r="B1131" t="str">
        <f t="shared" si="35"/>
        <v>5178343COMPOSTOITAMBÉ</v>
      </c>
      <c r="C1131" s="5" t="s">
        <v>226</v>
      </c>
      <c r="D1131" s="5" t="s">
        <v>797</v>
      </c>
      <c r="E1131" s="5" t="s">
        <v>753</v>
      </c>
      <c r="F1131" s="5">
        <v>5178343</v>
      </c>
      <c r="G1131" s="5" t="s">
        <v>802</v>
      </c>
      <c r="H1131" s="5" t="s">
        <v>36</v>
      </c>
      <c r="I1131" s="5" t="s">
        <v>27</v>
      </c>
      <c r="J1131" s="5" t="s">
        <v>26</v>
      </c>
      <c r="K1131" s="6">
        <v>0</v>
      </c>
      <c r="L1131" s="7">
        <v>0</v>
      </c>
      <c r="M1131" s="8">
        <v>0</v>
      </c>
      <c r="N1131" s="8">
        <v>0</v>
      </c>
      <c r="O1131" s="8">
        <v>301.0140473222084</v>
      </c>
      <c r="P1131" s="8">
        <v>0</v>
      </c>
      <c r="Q1131" s="8">
        <v>0</v>
      </c>
      <c r="R1131" s="8">
        <v>0</v>
      </c>
      <c r="S1131" s="8">
        <v>400</v>
      </c>
      <c r="T1131" s="5">
        <v>0</v>
      </c>
      <c r="U1131" s="5">
        <v>0</v>
      </c>
      <c r="V1131" s="5">
        <f>VLOOKUP(A1131,Planilha1!B:E,4,0)</f>
        <v>0.15618217875936719</v>
      </c>
    </row>
    <row r="1132" spans="1:22" x14ac:dyDescent="0.3">
      <c r="A1132" t="str">
        <f t="shared" si="34"/>
        <v>COMPOSTOITAMBÉ</v>
      </c>
      <c r="B1132" t="str">
        <f t="shared" si="35"/>
        <v>5179610COMPOSTOITAMBÉ</v>
      </c>
      <c r="C1132" s="5" t="s">
        <v>226</v>
      </c>
      <c r="D1132" s="5" t="s">
        <v>797</v>
      </c>
      <c r="E1132" s="5" t="s">
        <v>753</v>
      </c>
      <c r="F1132" s="5">
        <v>5179610</v>
      </c>
      <c r="G1132" s="5" t="s">
        <v>803</v>
      </c>
      <c r="H1132" s="5" t="s">
        <v>110</v>
      </c>
      <c r="I1132" s="5" t="s">
        <v>27</v>
      </c>
      <c r="J1132" s="5" t="s">
        <v>26</v>
      </c>
      <c r="K1132" s="6">
        <v>0</v>
      </c>
      <c r="L1132" s="7">
        <v>0</v>
      </c>
      <c r="M1132" s="8">
        <v>251.66666666666666</v>
      </c>
      <c r="N1132" s="8">
        <v>303.33333333333331</v>
      </c>
      <c r="O1132" s="8">
        <v>354.01652077096935</v>
      </c>
      <c r="P1132" s="8">
        <v>0</v>
      </c>
      <c r="Q1132" s="8">
        <v>600</v>
      </c>
      <c r="R1132" s="8">
        <v>0</v>
      </c>
      <c r="S1132" s="8">
        <v>400</v>
      </c>
      <c r="T1132" s="5">
        <v>600</v>
      </c>
      <c r="U1132" s="5">
        <v>200</v>
      </c>
      <c r="V1132" s="5">
        <f>VLOOKUP(A1132,Planilha1!B:E,4,0)</f>
        <v>0.15618217875936719</v>
      </c>
    </row>
    <row r="1133" spans="1:22" x14ac:dyDescent="0.3">
      <c r="A1133" t="str">
        <f t="shared" si="34"/>
        <v>LEITE CONDENSADOITAMBÉ</v>
      </c>
      <c r="B1133" t="str">
        <f t="shared" si="35"/>
        <v>5179610LEITE CONDENSADOITAMBÉ</v>
      </c>
      <c r="C1133" s="5" t="s">
        <v>226</v>
      </c>
      <c r="D1133" s="5" t="s">
        <v>797</v>
      </c>
      <c r="E1133" s="5" t="s">
        <v>753</v>
      </c>
      <c r="F1133" s="5">
        <v>5179610</v>
      </c>
      <c r="G1133" s="5" t="s">
        <v>803</v>
      </c>
      <c r="H1133" s="5" t="s">
        <v>110</v>
      </c>
      <c r="I1133" s="5" t="s">
        <v>27</v>
      </c>
      <c r="J1133" s="5" t="s">
        <v>33</v>
      </c>
      <c r="K1133" s="6">
        <v>0</v>
      </c>
      <c r="L1133" s="7">
        <v>1500</v>
      </c>
      <c r="M1133" s="8">
        <v>459.84666666666664</v>
      </c>
      <c r="N1133" s="8">
        <v>204.66666666666666</v>
      </c>
      <c r="O1133" s="8">
        <v>623.98876820217231</v>
      </c>
      <c r="P1133" s="8">
        <v>0</v>
      </c>
      <c r="Q1133" s="8">
        <v>1300</v>
      </c>
      <c r="R1133" s="8">
        <v>0</v>
      </c>
      <c r="S1133" s="8">
        <v>500</v>
      </c>
      <c r="T1133" s="5">
        <v>1300</v>
      </c>
      <c r="U1133" s="5">
        <v>200</v>
      </c>
      <c r="V1133" s="5">
        <f>VLOOKUP(A1133,Planilha1!B:E,4,0)</f>
        <v>1.4766792698630664</v>
      </c>
    </row>
    <row r="1134" spans="1:22" x14ac:dyDescent="0.3">
      <c r="A1134" t="str">
        <f t="shared" si="34"/>
        <v>CREME UHTITAMBÉ</v>
      </c>
      <c r="B1134" t="str">
        <f t="shared" si="35"/>
        <v>5179610CREME UHTITAMBÉ</v>
      </c>
      <c r="C1134" s="5" t="s">
        <v>226</v>
      </c>
      <c r="D1134" s="5" t="s">
        <v>797</v>
      </c>
      <c r="E1134" s="5" t="s">
        <v>753</v>
      </c>
      <c r="F1134" s="5">
        <v>5179610</v>
      </c>
      <c r="G1134" s="5" t="s">
        <v>803</v>
      </c>
      <c r="H1134" s="5" t="s">
        <v>110</v>
      </c>
      <c r="I1134" s="5" t="s">
        <v>27</v>
      </c>
      <c r="J1134" s="5" t="s">
        <v>34</v>
      </c>
      <c r="K1134" s="6">
        <v>0</v>
      </c>
      <c r="L1134" s="7">
        <v>484.8</v>
      </c>
      <c r="M1134" s="8">
        <v>189.88</v>
      </c>
      <c r="N1134" s="8">
        <v>205.66666666666669</v>
      </c>
      <c r="O1134" s="8">
        <v>126.99506130317157</v>
      </c>
      <c r="P1134" s="8">
        <v>0</v>
      </c>
      <c r="Q1134" s="8">
        <v>642.36</v>
      </c>
      <c r="R1134" s="8">
        <v>0</v>
      </c>
      <c r="S1134" s="8">
        <v>300</v>
      </c>
      <c r="T1134" s="5">
        <v>642</v>
      </c>
      <c r="U1134" s="5">
        <v>200</v>
      </c>
      <c r="V1134" s="5">
        <f>VLOOKUP(A1134,Planilha1!B:E,4,0)</f>
        <v>1.2362540170747773</v>
      </c>
    </row>
    <row r="1135" spans="1:22" x14ac:dyDescent="0.3">
      <c r="A1135" t="str">
        <f t="shared" si="34"/>
        <v>DOCE DE LEITEITAMBÉ</v>
      </c>
      <c r="B1135" t="str">
        <f t="shared" si="35"/>
        <v>5179610DOCE DE LEITEITAMBÉ</v>
      </c>
      <c r="C1135" s="5" t="s">
        <v>226</v>
      </c>
      <c r="D1135" s="5" t="s">
        <v>797</v>
      </c>
      <c r="E1135" s="5" t="s">
        <v>753</v>
      </c>
      <c r="F1135" s="5">
        <v>5179610</v>
      </c>
      <c r="G1135" s="5" t="s">
        <v>803</v>
      </c>
      <c r="H1135" s="5" t="s">
        <v>110</v>
      </c>
      <c r="I1135" s="5" t="s">
        <v>27</v>
      </c>
      <c r="J1135" s="5" t="s">
        <v>46</v>
      </c>
      <c r="K1135" s="6">
        <v>0</v>
      </c>
      <c r="L1135" s="7">
        <v>30</v>
      </c>
      <c r="M1135" s="8">
        <v>38.333333333333336</v>
      </c>
      <c r="N1135" s="8">
        <v>66.666666666666671</v>
      </c>
      <c r="O1135" s="8">
        <v>61.00348591348078</v>
      </c>
      <c r="P1135" s="8">
        <v>0</v>
      </c>
      <c r="Q1135" s="8">
        <v>50</v>
      </c>
      <c r="R1135" s="8">
        <v>0</v>
      </c>
      <c r="S1135" s="8">
        <v>100</v>
      </c>
      <c r="T1135" s="5">
        <v>50</v>
      </c>
      <c r="U1135" s="5">
        <v>150</v>
      </c>
      <c r="V1135" s="5">
        <f>VLOOKUP(A1135,Planilha1!B:E,4,0)</f>
        <v>5.8210743907543439</v>
      </c>
    </row>
    <row r="1136" spans="1:22" x14ac:dyDescent="0.3">
      <c r="A1136" t="str">
        <f t="shared" si="34"/>
        <v>LEITE UHTITAMBÉ</v>
      </c>
      <c r="B1136" t="str">
        <f t="shared" si="35"/>
        <v>5179610LEITE UHTITAMBÉ</v>
      </c>
      <c r="C1136" s="5" t="s">
        <v>226</v>
      </c>
      <c r="D1136" s="5" t="s">
        <v>797</v>
      </c>
      <c r="E1136" s="5" t="s">
        <v>753</v>
      </c>
      <c r="F1136" s="5">
        <v>5179610</v>
      </c>
      <c r="G1136" s="5" t="s">
        <v>803</v>
      </c>
      <c r="H1136" s="5" t="s">
        <v>110</v>
      </c>
      <c r="I1136" s="5" t="s">
        <v>27</v>
      </c>
      <c r="J1136" s="5" t="s">
        <v>156</v>
      </c>
      <c r="K1136" s="6">
        <v>0</v>
      </c>
      <c r="L1136" s="7">
        <v>240</v>
      </c>
      <c r="M1136" s="8">
        <v>24</v>
      </c>
      <c r="N1136" s="8">
        <v>36</v>
      </c>
      <c r="O1136" s="8">
        <v>131.99853334962944</v>
      </c>
      <c r="P1136" s="8">
        <v>0</v>
      </c>
      <c r="Q1136" s="8">
        <v>48</v>
      </c>
      <c r="R1136" s="8">
        <v>0</v>
      </c>
      <c r="S1136" s="8">
        <v>0</v>
      </c>
      <c r="T1136" s="5">
        <v>0</v>
      </c>
      <c r="U1136" s="5">
        <v>0</v>
      </c>
      <c r="V1136" s="5">
        <f>VLOOKUP(A1136,Planilha1!B:E,4,0)</f>
        <v>-0.14425288609148015</v>
      </c>
    </row>
    <row r="1137" spans="1:22" x14ac:dyDescent="0.3">
      <c r="A1137" t="str">
        <f t="shared" si="34"/>
        <v>BLISTERITAMBÉ</v>
      </c>
      <c r="B1137" t="str">
        <f t="shared" si="35"/>
        <v>5182828BLISTERITAMBÉ</v>
      </c>
      <c r="C1137" s="5" t="s">
        <v>226</v>
      </c>
      <c r="D1137" s="5" t="s">
        <v>797</v>
      </c>
      <c r="E1137" s="5" t="s">
        <v>753</v>
      </c>
      <c r="F1137" s="5">
        <v>5182828</v>
      </c>
      <c r="G1137" s="5" t="s">
        <v>804</v>
      </c>
      <c r="H1137" s="5" t="s">
        <v>20</v>
      </c>
      <c r="I1137" s="5" t="s">
        <v>27</v>
      </c>
      <c r="J1137" s="5" t="s">
        <v>199</v>
      </c>
      <c r="K1137" s="6">
        <v>0</v>
      </c>
      <c r="L1137" s="7">
        <v>0</v>
      </c>
      <c r="M1137" s="8">
        <v>516.16</v>
      </c>
      <c r="N1137" s="8">
        <v>616</v>
      </c>
      <c r="O1137" s="8">
        <v>162.02314656059252</v>
      </c>
      <c r="P1137" s="8">
        <v>0</v>
      </c>
      <c r="Q1137" s="8">
        <v>0</v>
      </c>
      <c r="R1137" s="8">
        <v>0</v>
      </c>
      <c r="S1137" s="8">
        <v>400</v>
      </c>
      <c r="T1137" s="5">
        <v>150</v>
      </c>
      <c r="U1137" s="5">
        <v>0</v>
      </c>
      <c r="V1137" s="5">
        <f>VLOOKUP(A1137,Planilha1!B:E,4,0)</f>
        <v>10.339882680976428</v>
      </c>
    </row>
    <row r="1138" spans="1:22" x14ac:dyDescent="0.3">
      <c r="A1138" t="str">
        <f t="shared" si="34"/>
        <v>COMPOSTOITAMBÉ</v>
      </c>
      <c r="B1138" t="str">
        <f t="shared" si="35"/>
        <v>5182828COMPOSTOITAMBÉ</v>
      </c>
      <c r="C1138" s="5" t="s">
        <v>226</v>
      </c>
      <c r="D1138" s="5" t="s">
        <v>797</v>
      </c>
      <c r="E1138" s="5" t="s">
        <v>753</v>
      </c>
      <c r="F1138" s="5">
        <v>5182828</v>
      </c>
      <c r="G1138" s="5" t="s">
        <v>804</v>
      </c>
      <c r="H1138" s="5" t="s">
        <v>20</v>
      </c>
      <c r="I1138" s="5" t="s">
        <v>27</v>
      </c>
      <c r="J1138" s="5" t="s">
        <v>26</v>
      </c>
      <c r="K1138" s="6">
        <v>0</v>
      </c>
      <c r="L1138" s="7">
        <v>2100</v>
      </c>
      <c r="M1138" s="8">
        <v>0</v>
      </c>
      <c r="N1138" s="8">
        <v>0</v>
      </c>
      <c r="O1138" s="8">
        <v>98.004573546765528</v>
      </c>
      <c r="P1138" s="8">
        <v>0</v>
      </c>
      <c r="Q1138" s="8">
        <v>300</v>
      </c>
      <c r="R1138" s="8">
        <v>0</v>
      </c>
      <c r="S1138" s="8">
        <v>100</v>
      </c>
      <c r="T1138" s="5">
        <v>300</v>
      </c>
      <c r="U1138" s="5">
        <v>0</v>
      </c>
      <c r="V1138" s="5">
        <f>VLOOKUP(A1138,Planilha1!B:E,4,0)</f>
        <v>0.15618217875936719</v>
      </c>
    </row>
    <row r="1139" spans="1:22" x14ac:dyDescent="0.3">
      <c r="A1139" t="str">
        <f t="shared" si="34"/>
        <v>LEITE CONDENSADOITAMBÉ</v>
      </c>
      <c r="B1139" t="str">
        <f t="shared" si="35"/>
        <v>5182828LEITE CONDENSADOITAMBÉ</v>
      </c>
      <c r="C1139" s="5" t="s">
        <v>226</v>
      </c>
      <c r="D1139" s="5" t="s">
        <v>797</v>
      </c>
      <c r="E1139" s="5" t="s">
        <v>753</v>
      </c>
      <c r="F1139" s="5">
        <v>5182828</v>
      </c>
      <c r="G1139" s="5" t="s">
        <v>804</v>
      </c>
      <c r="H1139" s="5" t="s">
        <v>20</v>
      </c>
      <c r="I1139" s="5" t="s">
        <v>27</v>
      </c>
      <c r="J1139" s="5" t="s">
        <v>33</v>
      </c>
      <c r="K1139" s="6">
        <v>0</v>
      </c>
      <c r="L1139" s="7">
        <v>0</v>
      </c>
      <c r="M1139" s="8">
        <v>2563.333333333333</v>
      </c>
      <c r="N1139" s="8">
        <v>1516.6666666666667</v>
      </c>
      <c r="O1139" s="8">
        <v>1804.9675105848096</v>
      </c>
      <c r="P1139" s="8">
        <v>0</v>
      </c>
      <c r="Q1139" s="8">
        <v>1500</v>
      </c>
      <c r="R1139" s="8">
        <v>0</v>
      </c>
      <c r="S1139" s="8">
        <v>1000</v>
      </c>
      <c r="T1139" s="5">
        <v>1500</v>
      </c>
      <c r="U1139" s="5">
        <v>0</v>
      </c>
      <c r="V1139" s="5">
        <f>VLOOKUP(A1139,Planilha1!B:E,4,0)</f>
        <v>1.4766792698630664</v>
      </c>
    </row>
    <row r="1140" spans="1:22" x14ac:dyDescent="0.3">
      <c r="A1140" t="str">
        <f t="shared" si="34"/>
        <v>CREME UHTITAMBÉ</v>
      </c>
      <c r="B1140" t="str">
        <f t="shared" si="35"/>
        <v>5182828CREME UHTITAMBÉ</v>
      </c>
      <c r="C1140" s="5" t="s">
        <v>226</v>
      </c>
      <c r="D1140" s="5" t="s">
        <v>797</v>
      </c>
      <c r="E1140" s="5" t="s">
        <v>753</v>
      </c>
      <c r="F1140" s="5">
        <v>5182828</v>
      </c>
      <c r="G1140" s="5" t="s">
        <v>804</v>
      </c>
      <c r="H1140" s="5" t="s">
        <v>20</v>
      </c>
      <c r="I1140" s="5" t="s">
        <v>27</v>
      </c>
      <c r="J1140" s="5" t="s">
        <v>34</v>
      </c>
      <c r="K1140" s="6">
        <v>0</v>
      </c>
      <c r="L1140" s="7">
        <v>0</v>
      </c>
      <c r="M1140" s="8">
        <v>2403.8000000000002</v>
      </c>
      <c r="N1140" s="8">
        <v>1030.3333333333333</v>
      </c>
      <c r="O1140" s="8">
        <v>1932.9248307010287</v>
      </c>
      <c r="P1140" s="8">
        <v>0</v>
      </c>
      <c r="Q1140" s="8">
        <v>0</v>
      </c>
      <c r="R1140" s="8">
        <v>0</v>
      </c>
      <c r="S1140" s="8">
        <v>1700</v>
      </c>
      <c r="T1140" s="5">
        <v>606</v>
      </c>
      <c r="U1140" s="5">
        <v>0</v>
      </c>
      <c r="V1140" s="5">
        <f>VLOOKUP(A1140,Planilha1!B:E,4,0)</f>
        <v>1.2362540170747773</v>
      </c>
    </row>
    <row r="1141" spans="1:22" x14ac:dyDescent="0.3">
      <c r="A1141" t="str">
        <f t="shared" si="34"/>
        <v>DOCE DE LEITEITAMBÉ</v>
      </c>
      <c r="B1141" t="str">
        <f t="shared" si="35"/>
        <v>5182828DOCE DE LEITEITAMBÉ</v>
      </c>
      <c r="C1141" s="5" t="s">
        <v>226</v>
      </c>
      <c r="D1141" s="5" t="s">
        <v>797</v>
      </c>
      <c r="E1141" s="5" t="s">
        <v>753</v>
      </c>
      <c r="F1141" s="5">
        <v>5182828</v>
      </c>
      <c r="G1141" s="5" t="s">
        <v>804</v>
      </c>
      <c r="H1141" s="5" t="s">
        <v>20</v>
      </c>
      <c r="I1141" s="5" t="s">
        <v>27</v>
      </c>
      <c r="J1141" s="5" t="s">
        <v>46</v>
      </c>
      <c r="K1141" s="6">
        <v>0</v>
      </c>
      <c r="L1141" s="7">
        <v>0</v>
      </c>
      <c r="M1141" s="8">
        <v>1660.6833333333334</v>
      </c>
      <c r="N1141" s="8">
        <v>910</v>
      </c>
      <c r="O1141" s="8">
        <v>1733.0990342305276</v>
      </c>
      <c r="P1141" s="8">
        <v>0</v>
      </c>
      <c r="Q1141" s="8">
        <v>316.8</v>
      </c>
      <c r="R1141" s="8">
        <v>0</v>
      </c>
      <c r="S1141" s="8">
        <v>1000</v>
      </c>
      <c r="T1141" s="5">
        <v>317</v>
      </c>
      <c r="U1141" s="5">
        <v>0</v>
      </c>
      <c r="V1141" s="5">
        <f>VLOOKUP(A1141,Planilha1!B:E,4,0)</f>
        <v>5.8210743907543439</v>
      </c>
    </row>
    <row r="1142" spans="1:22" x14ac:dyDescent="0.3">
      <c r="A1142" t="str">
        <f t="shared" si="34"/>
        <v>MANTEIGA 5KGITAMBÉ</v>
      </c>
      <c r="B1142" t="str">
        <f t="shared" si="35"/>
        <v>5182828MANTEIGA 5KGITAMBÉ</v>
      </c>
      <c r="C1142" s="5" t="s">
        <v>226</v>
      </c>
      <c r="D1142" s="5" t="s">
        <v>797</v>
      </c>
      <c r="E1142" s="5" t="s">
        <v>753</v>
      </c>
      <c r="F1142" s="5">
        <v>5182828</v>
      </c>
      <c r="G1142" s="5" t="s">
        <v>804</v>
      </c>
      <c r="H1142" s="5" t="s">
        <v>20</v>
      </c>
      <c r="I1142" s="5" t="s">
        <v>27</v>
      </c>
      <c r="J1142" s="5" t="s">
        <v>60</v>
      </c>
      <c r="K1142" s="6">
        <v>0</v>
      </c>
      <c r="L1142" s="7">
        <v>1105</v>
      </c>
      <c r="M1142" s="8">
        <v>1027.5</v>
      </c>
      <c r="N1142" s="8">
        <v>723.33333333333337</v>
      </c>
      <c r="O1142" s="8">
        <v>590.98030065664477</v>
      </c>
      <c r="P1142" s="8">
        <v>0</v>
      </c>
      <c r="Q1142" s="8">
        <v>0</v>
      </c>
      <c r="R1142" s="8">
        <v>0</v>
      </c>
      <c r="S1142" s="8">
        <v>750</v>
      </c>
      <c r="T1142" s="5">
        <v>650</v>
      </c>
      <c r="U1142" s="5">
        <v>0</v>
      </c>
      <c r="V1142" s="5">
        <f>VLOOKUP(A1142,Planilha1!B:E,4,0)</f>
        <v>5.819800475298738</v>
      </c>
    </row>
    <row r="1143" spans="1:22" x14ac:dyDescent="0.3">
      <c r="A1143" t="str">
        <f t="shared" si="34"/>
        <v>PARMESÃOLACTALIS</v>
      </c>
      <c r="B1143" t="str">
        <f t="shared" si="35"/>
        <v>5182828PARMESÃOLACTALIS</v>
      </c>
      <c r="C1143" s="5" t="s">
        <v>226</v>
      </c>
      <c r="D1143" s="5" t="s">
        <v>797</v>
      </c>
      <c r="E1143" s="5" t="s">
        <v>753</v>
      </c>
      <c r="F1143" s="5">
        <v>5182828</v>
      </c>
      <c r="G1143" s="5" t="s">
        <v>804</v>
      </c>
      <c r="H1143" s="5" t="s">
        <v>20</v>
      </c>
      <c r="I1143" s="5" t="s">
        <v>22</v>
      </c>
      <c r="J1143" s="5" t="s">
        <v>195</v>
      </c>
      <c r="K1143" s="6">
        <v>0</v>
      </c>
      <c r="L1143" s="7">
        <v>0</v>
      </c>
      <c r="M1143" s="8">
        <v>0</v>
      </c>
      <c r="N1143" s="8">
        <v>0</v>
      </c>
      <c r="O1143" s="8">
        <v>350</v>
      </c>
      <c r="P1143" s="8">
        <v>0</v>
      </c>
      <c r="Q1143" s="8">
        <v>150.185</v>
      </c>
      <c r="R1143" s="8">
        <v>0</v>
      </c>
      <c r="S1143" s="8">
        <v>350</v>
      </c>
      <c r="T1143" s="5">
        <v>150</v>
      </c>
      <c r="U1143" s="5">
        <v>0</v>
      </c>
      <c r="V1143" s="5">
        <f>VLOOKUP(A1143,Planilha1!B:E,4,0)</f>
        <v>6.310326960724681</v>
      </c>
    </row>
    <row r="1144" spans="1:22" x14ac:dyDescent="0.3">
      <c r="A1144" t="str">
        <f t="shared" si="34"/>
        <v>COMPOSTOITAMBÉ</v>
      </c>
      <c r="B1144" t="str">
        <f t="shared" si="35"/>
        <v>5186266COMPOSTOITAMBÉ</v>
      </c>
      <c r="C1144" s="5" t="s">
        <v>226</v>
      </c>
      <c r="D1144" s="5" t="s">
        <v>797</v>
      </c>
      <c r="E1144" s="5" t="s">
        <v>753</v>
      </c>
      <c r="F1144" s="5">
        <v>5186266</v>
      </c>
      <c r="G1144" s="5" t="s">
        <v>805</v>
      </c>
      <c r="H1144" s="5" t="s">
        <v>36</v>
      </c>
      <c r="I1144" s="5" t="s">
        <v>27</v>
      </c>
      <c r="J1144" s="5" t="s">
        <v>26</v>
      </c>
      <c r="K1144" s="6">
        <v>0</v>
      </c>
      <c r="L1144" s="7">
        <v>100</v>
      </c>
      <c r="M1144" s="8">
        <v>0</v>
      </c>
      <c r="N1144" s="8">
        <v>0</v>
      </c>
      <c r="O1144" s="8">
        <v>15.000700032668192</v>
      </c>
      <c r="P1144" s="8">
        <v>0</v>
      </c>
      <c r="Q1144" s="8">
        <v>0</v>
      </c>
      <c r="R1144" s="8">
        <v>0</v>
      </c>
      <c r="S1144" s="8">
        <v>0</v>
      </c>
      <c r="T1144" s="5">
        <v>0</v>
      </c>
      <c r="U1144" s="5">
        <v>0</v>
      </c>
      <c r="V1144" s="5">
        <f>VLOOKUP(A1144,Planilha1!B:E,4,0)</f>
        <v>0.15618217875936719</v>
      </c>
    </row>
    <row r="1145" spans="1:22" x14ac:dyDescent="0.3">
      <c r="A1145" t="str">
        <f t="shared" si="34"/>
        <v>LEITE CONDENSADOITAMBÉ</v>
      </c>
      <c r="B1145" t="str">
        <f t="shared" si="35"/>
        <v>5186266LEITE CONDENSADOITAMBÉ</v>
      </c>
      <c r="C1145" s="5" t="s">
        <v>226</v>
      </c>
      <c r="D1145" s="5" t="s">
        <v>797</v>
      </c>
      <c r="E1145" s="5" t="s">
        <v>753</v>
      </c>
      <c r="F1145" s="5">
        <v>5186266</v>
      </c>
      <c r="G1145" s="5" t="s">
        <v>805</v>
      </c>
      <c r="H1145" s="5" t="s">
        <v>36</v>
      </c>
      <c r="I1145" s="5" t="s">
        <v>27</v>
      </c>
      <c r="J1145" s="5" t="s">
        <v>33</v>
      </c>
      <c r="K1145" s="6">
        <v>0</v>
      </c>
      <c r="L1145" s="7">
        <v>910</v>
      </c>
      <c r="M1145" s="8">
        <v>3508.5333333333333</v>
      </c>
      <c r="N1145" s="8">
        <v>647</v>
      </c>
      <c r="O1145" s="8">
        <v>916.98349429710265</v>
      </c>
      <c r="P1145" s="8">
        <v>0</v>
      </c>
      <c r="Q1145" s="8">
        <v>0</v>
      </c>
      <c r="R1145" s="8">
        <v>0</v>
      </c>
      <c r="S1145" s="8">
        <v>4000</v>
      </c>
      <c r="T1145" s="5">
        <v>3200</v>
      </c>
      <c r="U1145" s="5">
        <v>5460</v>
      </c>
      <c r="V1145" s="5">
        <f>VLOOKUP(A1145,Planilha1!B:E,4,0)</f>
        <v>1.4766792698630664</v>
      </c>
    </row>
    <row r="1146" spans="1:22" x14ac:dyDescent="0.3">
      <c r="A1146" t="str">
        <f t="shared" si="34"/>
        <v>CREME UHTITAMBÉ</v>
      </c>
      <c r="B1146" t="str">
        <f t="shared" si="35"/>
        <v>5186266CREME UHTITAMBÉ</v>
      </c>
      <c r="C1146" s="5" t="s">
        <v>226</v>
      </c>
      <c r="D1146" s="5" t="s">
        <v>797</v>
      </c>
      <c r="E1146" s="5" t="s">
        <v>753</v>
      </c>
      <c r="F1146" s="5">
        <v>5186266</v>
      </c>
      <c r="G1146" s="5" t="s">
        <v>805</v>
      </c>
      <c r="H1146" s="5" t="s">
        <v>36</v>
      </c>
      <c r="I1146" s="5" t="s">
        <v>27</v>
      </c>
      <c r="J1146" s="5" t="s">
        <v>34</v>
      </c>
      <c r="K1146" s="6">
        <v>0</v>
      </c>
      <c r="L1146" s="7">
        <v>960.51</v>
      </c>
      <c r="M1146" s="8">
        <v>2979.5</v>
      </c>
      <c r="N1146" s="8">
        <v>2747.333333333333</v>
      </c>
      <c r="O1146" s="8">
        <v>2657.896637352992</v>
      </c>
      <c r="P1146" s="8">
        <v>0</v>
      </c>
      <c r="Q1146" s="8">
        <v>0</v>
      </c>
      <c r="R1146" s="8">
        <v>0</v>
      </c>
      <c r="S1146" s="8">
        <v>3000</v>
      </c>
      <c r="T1146" s="5">
        <v>3000</v>
      </c>
      <c r="U1146" s="5">
        <v>0</v>
      </c>
      <c r="V1146" s="5">
        <f>VLOOKUP(A1146,Planilha1!B:E,4,0)</f>
        <v>1.2362540170747773</v>
      </c>
    </row>
    <row r="1147" spans="1:22" x14ac:dyDescent="0.3">
      <c r="A1147" t="str">
        <f t="shared" si="34"/>
        <v>DOCE DE LEITEITAMBÉ</v>
      </c>
      <c r="B1147" t="str">
        <f t="shared" si="35"/>
        <v>5186266DOCE DE LEITEITAMBÉ</v>
      </c>
      <c r="C1147" s="5" t="s">
        <v>226</v>
      </c>
      <c r="D1147" s="5" t="s">
        <v>797</v>
      </c>
      <c r="E1147" s="5" t="s">
        <v>753</v>
      </c>
      <c r="F1147" s="5">
        <v>5186266</v>
      </c>
      <c r="G1147" s="5" t="s">
        <v>805</v>
      </c>
      <c r="H1147" s="5" t="s">
        <v>36</v>
      </c>
      <c r="I1147" s="5" t="s">
        <v>27</v>
      </c>
      <c r="J1147" s="5" t="s">
        <v>46</v>
      </c>
      <c r="K1147" s="6">
        <v>0</v>
      </c>
      <c r="L1147" s="7">
        <v>900</v>
      </c>
      <c r="M1147" s="8">
        <v>1648.3333333333333</v>
      </c>
      <c r="N1147" s="8">
        <v>1634</v>
      </c>
      <c r="O1147" s="8">
        <v>310.01771529801704</v>
      </c>
      <c r="P1147" s="8">
        <v>0</v>
      </c>
      <c r="Q1147" s="8">
        <v>0</v>
      </c>
      <c r="R1147" s="8">
        <v>0</v>
      </c>
      <c r="S1147" s="8">
        <v>2000</v>
      </c>
      <c r="T1147" s="5">
        <v>2000</v>
      </c>
      <c r="U1147" s="5">
        <v>0</v>
      </c>
      <c r="V1147" s="5">
        <f>VLOOKUP(A1147,Planilha1!B:E,4,0)</f>
        <v>5.8210743907543439</v>
      </c>
    </row>
    <row r="1148" spans="1:22" x14ac:dyDescent="0.3">
      <c r="A1148" t="str">
        <f t="shared" si="34"/>
        <v>DOCE DE LEITEITAMBÉ</v>
      </c>
      <c r="B1148" t="str">
        <f t="shared" si="35"/>
        <v>5196675DOCE DE LEITEITAMBÉ</v>
      </c>
      <c r="C1148" s="5" t="s">
        <v>226</v>
      </c>
      <c r="D1148" s="5" t="s">
        <v>797</v>
      </c>
      <c r="E1148" s="5" t="s">
        <v>753</v>
      </c>
      <c r="F1148" s="5">
        <v>5196675</v>
      </c>
      <c r="G1148" s="5" t="s">
        <v>806</v>
      </c>
      <c r="H1148" s="5" t="s">
        <v>20</v>
      </c>
      <c r="I1148" s="5" t="s">
        <v>27</v>
      </c>
      <c r="J1148" s="5" t="s">
        <v>46</v>
      </c>
      <c r="K1148" s="6">
        <v>0</v>
      </c>
      <c r="L1148" s="7">
        <v>0</v>
      </c>
      <c r="M1148" s="8">
        <v>151.66666666666666</v>
      </c>
      <c r="N1148" s="8">
        <v>0</v>
      </c>
      <c r="O1148" s="8">
        <v>211.01205783187615</v>
      </c>
      <c r="P1148" s="8">
        <v>0</v>
      </c>
      <c r="Q1148" s="8">
        <v>0</v>
      </c>
      <c r="R1148" s="8">
        <v>0</v>
      </c>
      <c r="S1148" s="8">
        <v>0</v>
      </c>
      <c r="T1148" s="5">
        <v>0</v>
      </c>
      <c r="U1148" s="5">
        <v>0</v>
      </c>
      <c r="V1148" s="5">
        <f>VLOOKUP(A1148,Planilha1!B:E,4,0)</f>
        <v>5.8210743907543439</v>
      </c>
    </row>
    <row r="1149" spans="1:22" x14ac:dyDescent="0.3">
      <c r="A1149" t="str">
        <f t="shared" si="34"/>
        <v>COMPOSTOITAMBÉ</v>
      </c>
      <c r="B1149" t="str">
        <f t="shared" si="35"/>
        <v>5214670COMPOSTOITAMBÉ</v>
      </c>
      <c r="C1149" s="5" t="s">
        <v>226</v>
      </c>
      <c r="D1149" s="5" t="s">
        <v>797</v>
      </c>
      <c r="E1149" s="5" t="s">
        <v>753</v>
      </c>
      <c r="F1149" s="5">
        <v>5214670</v>
      </c>
      <c r="G1149" s="5" t="s">
        <v>807</v>
      </c>
      <c r="H1149" s="5" t="s">
        <v>110</v>
      </c>
      <c r="I1149" s="5" t="s">
        <v>27</v>
      </c>
      <c r="J1149" s="5" t="s">
        <v>26</v>
      </c>
      <c r="K1149" s="6">
        <v>0</v>
      </c>
      <c r="L1149" s="7">
        <v>0</v>
      </c>
      <c r="M1149" s="8">
        <v>608.33333333333337</v>
      </c>
      <c r="N1149" s="8">
        <v>233.33333333333334</v>
      </c>
      <c r="O1149" s="8">
        <v>230.01073383424563</v>
      </c>
      <c r="P1149" s="8">
        <v>0</v>
      </c>
      <c r="Q1149" s="8">
        <v>625</v>
      </c>
      <c r="R1149" s="8">
        <v>0</v>
      </c>
      <c r="S1149" s="8">
        <v>0</v>
      </c>
      <c r="T1149" s="5">
        <v>875</v>
      </c>
      <c r="U1149" s="5">
        <v>0</v>
      </c>
      <c r="V1149" s="5">
        <f>VLOOKUP(A1149,Planilha1!B:E,4,0)</f>
        <v>0.15618217875936719</v>
      </c>
    </row>
    <row r="1150" spans="1:22" x14ac:dyDescent="0.3">
      <c r="A1150" t="str">
        <f t="shared" si="34"/>
        <v>BLISTERITAMBÉ</v>
      </c>
      <c r="B1150" t="str">
        <f t="shared" si="35"/>
        <v>5223419BLISTERITAMBÉ</v>
      </c>
      <c r="C1150" s="5" t="s">
        <v>226</v>
      </c>
      <c r="D1150" s="5" t="s">
        <v>797</v>
      </c>
      <c r="E1150" s="5" t="s">
        <v>753</v>
      </c>
      <c r="F1150" s="5">
        <v>5223419</v>
      </c>
      <c r="G1150" s="5" t="s">
        <v>731</v>
      </c>
      <c r="H1150" s="5" t="s">
        <v>801</v>
      </c>
      <c r="I1150" s="5" t="s">
        <v>27</v>
      </c>
      <c r="J1150" s="5" t="s">
        <v>199</v>
      </c>
      <c r="K1150" s="6">
        <v>0</v>
      </c>
      <c r="L1150" s="7">
        <v>0</v>
      </c>
      <c r="M1150" s="8">
        <v>102.39999999999999</v>
      </c>
      <c r="N1150" s="8">
        <v>83.333333333333329</v>
      </c>
      <c r="O1150" s="8">
        <v>89.012716320325524</v>
      </c>
      <c r="P1150" s="8">
        <v>11.52</v>
      </c>
      <c r="Q1150" s="8">
        <v>0</v>
      </c>
      <c r="R1150" s="8">
        <v>0</v>
      </c>
      <c r="S1150" s="8">
        <v>100</v>
      </c>
      <c r="T1150" s="5">
        <v>100</v>
      </c>
      <c r="U1150" s="5">
        <v>2</v>
      </c>
      <c r="V1150" s="5">
        <f>VLOOKUP(A1150,Planilha1!B:E,4,0)</f>
        <v>10.339882680976428</v>
      </c>
    </row>
    <row r="1151" spans="1:22" x14ac:dyDescent="0.3">
      <c r="A1151" t="str">
        <f t="shared" si="34"/>
        <v>LEITE CONDENSADOITAMBÉ</v>
      </c>
      <c r="B1151" t="str">
        <f t="shared" si="35"/>
        <v>5223419LEITE CONDENSADOITAMBÉ</v>
      </c>
      <c r="C1151" s="5" t="s">
        <v>226</v>
      </c>
      <c r="D1151" s="5" t="s">
        <v>797</v>
      </c>
      <c r="E1151" s="5" t="s">
        <v>753</v>
      </c>
      <c r="F1151" s="5">
        <v>5223419</v>
      </c>
      <c r="G1151" s="5" t="s">
        <v>731</v>
      </c>
      <c r="H1151" s="5" t="s">
        <v>801</v>
      </c>
      <c r="I1151" s="5" t="s">
        <v>27</v>
      </c>
      <c r="J1151" s="5" t="s">
        <v>33</v>
      </c>
      <c r="K1151" s="6">
        <v>0</v>
      </c>
      <c r="L1151" s="7">
        <v>1035.04</v>
      </c>
      <c r="M1151" s="8">
        <v>1705.2750000000003</v>
      </c>
      <c r="N1151" s="8">
        <v>1811</v>
      </c>
      <c r="O1151" s="8">
        <v>698.98741822647196</v>
      </c>
      <c r="P1151" s="8">
        <v>227.00999999999996</v>
      </c>
      <c r="Q1151" s="8">
        <v>0</v>
      </c>
      <c r="R1151" s="8">
        <v>2104.8649999999998</v>
      </c>
      <c r="S1151" s="8">
        <v>400</v>
      </c>
      <c r="T1151" s="5">
        <v>1000</v>
      </c>
      <c r="U1151" s="5">
        <v>263</v>
      </c>
      <c r="V1151" s="5">
        <f>VLOOKUP(A1151,Planilha1!B:E,4,0)</f>
        <v>1.4766792698630664</v>
      </c>
    </row>
    <row r="1152" spans="1:22" x14ac:dyDescent="0.3">
      <c r="A1152" t="str">
        <f t="shared" si="34"/>
        <v>CREME UHTITAMBÉ</v>
      </c>
      <c r="B1152" t="str">
        <f t="shared" si="35"/>
        <v>5223419CREME UHTITAMBÉ</v>
      </c>
      <c r="C1152" s="5" t="s">
        <v>226</v>
      </c>
      <c r="D1152" s="5" t="s">
        <v>797</v>
      </c>
      <c r="E1152" s="5" t="s">
        <v>753</v>
      </c>
      <c r="F1152" s="5">
        <v>5223419</v>
      </c>
      <c r="G1152" s="5" t="s">
        <v>731</v>
      </c>
      <c r="H1152" s="5" t="s">
        <v>801</v>
      </c>
      <c r="I1152" s="5" t="s">
        <v>27</v>
      </c>
      <c r="J1152" s="5" t="s">
        <v>34</v>
      </c>
      <c r="K1152" s="6">
        <v>0</v>
      </c>
      <c r="L1152" s="7">
        <v>1288.0800000000002</v>
      </c>
      <c r="M1152" s="8">
        <v>2067.0950000000003</v>
      </c>
      <c r="N1152" s="8">
        <v>1858</v>
      </c>
      <c r="O1152" s="8">
        <v>1864.9274750426375</v>
      </c>
      <c r="P1152" s="8">
        <v>694.88</v>
      </c>
      <c r="Q1152" s="8">
        <v>0</v>
      </c>
      <c r="R1152" s="8">
        <v>1340.94</v>
      </c>
      <c r="S1152" s="8">
        <v>2000</v>
      </c>
      <c r="T1152" s="5">
        <v>2000</v>
      </c>
      <c r="U1152" s="5">
        <v>2509</v>
      </c>
      <c r="V1152" s="5">
        <f>VLOOKUP(A1152,Planilha1!B:E,4,0)</f>
        <v>1.2362540170747773</v>
      </c>
    </row>
    <row r="1153" spans="1:22" x14ac:dyDescent="0.3">
      <c r="A1153" t="str">
        <f t="shared" si="34"/>
        <v>DOCE DE LEITEITAMBÉ</v>
      </c>
      <c r="B1153" t="str">
        <f t="shared" si="35"/>
        <v>5223419DOCE DE LEITEITAMBÉ</v>
      </c>
      <c r="C1153" s="5" t="s">
        <v>226</v>
      </c>
      <c r="D1153" s="5" t="s">
        <v>797</v>
      </c>
      <c r="E1153" s="5" t="s">
        <v>753</v>
      </c>
      <c r="F1153" s="5">
        <v>5223419</v>
      </c>
      <c r="G1153" s="5" t="s">
        <v>731</v>
      </c>
      <c r="H1153" s="5" t="s">
        <v>801</v>
      </c>
      <c r="I1153" s="5" t="s">
        <v>27</v>
      </c>
      <c r="J1153" s="5" t="s">
        <v>46</v>
      </c>
      <c r="K1153" s="6">
        <v>0</v>
      </c>
      <c r="L1153" s="7">
        <v>816</v>
      </c>
      <c r="M1153" s="8">
        <v>770.73333333333335</v>
      </c>
      <c r="N1153" s="8">
        <v>608</v>
      </c>
      <c r="O1153" s="8">
        <v>1000.0571461226357</v>
      </c>
      <c r="P1153" s="8">
        <v>161.69999999999996</v>
      </c>
      <c r="Q1153" s="8">
        <v>0</v>
      </c>
      <c r="R1153" s="8">
        <v>1070.2</v>
      </c>
      <c r="S1153" s="8">
        <v>200</v>
      </c>
      <c r="T1153" s="5">
        <v>200</v>
      </c>
      <c r="U1153" s="5">
        <v>120</v>
      </c>
      <c r="V1153" s="5">
        <f>VLOOKUP(A1153,Planilha1!B:E,4,0)</f>
        <v>5.8210743907543439</v>
      </c>
    </row>
    <row r="1154" spans="1:22" x14ac:dyDescent="0.3">
      <c r="A1154" t="str">
        <f t="shared" ref="A1154:A1217" si="36">J1154&amp;I1154</f>
        <v>MANTEIGA 5KGITAMBÉ</v>
      </c>
      <c r="B1154" t="str">
        <f t="shared" si="35"/>
        <v>5223419MANTEIGA 5KGITAMBÉ</v>
      </c>
      <c r="C1154" s="5" t="s">
        <v>226</v>
      </c>
      <c r="D1154" s="5" t="s">
        <v>797</v>
      </c>
      <c r="E1154" s="5" t="s">
        <v>753</v>
      </c>
      <c r="F1154" s="5">
        <v>5223419</v>
      </c>
      <c r="G1154" s="5" t="s">
        <v>731</v>
      </c>
      <c r="H1154" s="5" t="s">
        <v>801</v>
      </c>
      <c r="I1154" s="5" t="s">
        <v>27</v>
      </c>
      <c r="J1154" s="5" t="s">
        <v>60</v>
      </c>
      <c r="K1154" s="6">
        <v>0</v>
      </c>
      <c r="L1154" s="7">
        <v>970</v>
      </c>
      <c r="M1154" s="8">
        <v>935</v>
      </c>
      <c r="N1154" s="8">
        <v>423.33333333333331</v>
      </c>
      <c r="O1154" s="8">
        <v>536.98210059664677</v>
      </c>
      <c r="P1154" s="8">
        <v>140</v>
      </c>
      <c r="Q1154" s="8">
        <v>0</v>
      </c>
      <c r="R1154" s="8">
        <v>330</v>
      </c>
      <c r="S1154" s="8">
        <v>1000</v>
      </c>
      <c r="T1154" s="5">
        <v>1200</v>
      </c>
      <c r="U1154" s="5">
        <v>0</v>
      </c>
      <c r="V1154" s="5">
        <f>VLOOKUP(A1154,Planilha1!B:E,4,0)</f>
        <v>5.819800475298738</v>
      </c>
    </row>
    <row r="1155" spans="1:22" x14ac:dyDescent="0.3">
      <c r="A1155" t="str">
        <f t="shared" si="36"/>
        <v>BLISTERITAMBÉ</v>
      </c>
      <c r="B1155" t="str">
        <f t="shared" ref="B1155:B1218" si="37">F1155&amp;J1155&amp;I1155</f>
        <v>5226500BLISTERITAMBÉ</v>
      </c>
      <c r="C1155" s="5" t="s">
        <v>226</v>
      </c>
      <c r="D1155" s="5" t="s">
        <v>797</v>
      </c>
      <c r="E1155" s="5" t="s">
        <v>753</v>
      </c>
      <c r="F1155" s="5">
        <v>5226500</v>
      </c>
      <c r="G1155" s="5" t="s">
        <v>808</v>
      </c>
      <c r="H1155" s="5" t="s">
        <v>801</v>
      </c>
      <c r="I1155" s="5" t="s">
        <v>27</v>
      </c>
      <c r="J1155" s="5" t="s">
        <v>199</v>
      </c>
      <c r="K1155" s="6">
        <v>0</v>
      </c>
      <c r="L1155" s="7">
        <v>576</v>
      </c>
      <c r="M1155" s="8">
        <v>439.36</v>
      </c>
      <c r="N1155" s="8">
        <v>562.66666666666674</v>
      </c>
      <c r="O1155" s="8">
        <v>180.02571840065835</v>
      </c>
      <c r="P1155" s="8">
        <v>0</v>
      </c>
      <c r="Q1155" s="8">
        <v>672</v>
      </c>
      <c r="R1155" s="8">
        <v>0</v>
      </c>
      <c r="S1155" s="8">
        <v>100</v>
      </c>
      <c r="T1155" s="5">
        <v>672</v>
      </c>
      <c r="U1155" s="5">
        <v>576</v>
      </c>
      <c r="V1155" s="5">
        <f>VLOOKUP(A1155,Planilha1!B:E,4,0)</f>
        <v>10.339882680976428</v>
      </c>
    </row>
    <row r="1156" spans="1:22" x14ac:dyDescent="0.3">
      <c r="A1156" t="str">
        <f t="shared" si="36"/>
        <v>DOCE DE LEITEITAMBÉ</v>
      </c>
      <c r="B1156" t="str">
        <f t="shared" si="37"/>
        <v>5226500DOCE DE LEITEITAMBÉ</v>
      </c>
      <c r="C1156" s="5" t="s">
        <v>226</v>
      </c>
      <c r="D1156" s="5" t="s">
        <v>797</v>
      </c>
      <c r="E1156" s="5" t="s">
        <v>753</v>
      </c>
      <c r="F1156" s="5">
        <v>5226500</v>
      </c>
      <c r="G1156" s="5" t="s">
        <v>808</v>
      </c>
      <c r="H1156" s="5" t="s">
        <v>801</v>
      </c>
      <c r="I1156" s="5" t="s">
        <v>27</v>
      </c>
      <c r="J1156" s="5" t="s">
        <v>46</v>
      </c>
      <c r="K1156" s="6">
        <v>0</v>
      </c>
      <c r="L1156" s="7">
        <v>250</v>
      </c>
      <c r="M1156" s="8">
        <v>353.33333333333331</v>
      </c>
      <c r="N1156" s="8">
        <v>406.66666666666669</v>
      </c>
      <c r="O1156" s="8">
        <v>232.01325790045149</v>
      </c>
      <c r="P1156" s="8">
        <v>0</v>
      </c>
      <c r="Q1156" s="8">
        <v>300</v>
      </c>
      <c r="R1156" s="8">
        <v>0</v>
      </c>
      <c r="S1156" s="8">
        <v>500</v>
      </c>
      <c r="T1156" s="5">
        <v>300</v>
      </c>
      <c r="U1156" s="5">
        <v>0</v>
      </c>
      <c r="V1156" s="5">
        <f>VLOOKUP(A1156,Planilha1!B:E,4,0)</f>
        <v>5.8210743907543439</v>
      </c>
    </row>
    <row r="1157" spans="1:22" x14ac:dyDescent="0.3">
      <c r="A1157" t="str">
        <f t="shared" si="36"/>
        <v>MANTEIGA 5KGITAMBÉ</v>
      </c>
      <c r="B1157" t="str">
        <f t="shared" si="37"/>
        <v>5226500MANTEIGA 5KGITAMBÉ</v>
      </c>
      <c r="C1157" s="5" t="s">
        <v>226</v>
      </c>
      <c r="D1157" s="5" t="s">
        <v>797</v>
      </c>
      <c r="E1157" s="5" t="s">
        <v>753</v>
      </c>
      <c r="F1157" s="5">
        <v>5226500</v>
      </c>
      <c r="G1157" s="5" t="s">
        <v>808</v>
      </c>
      <c r="H1157" s="5" t="s">
        <v>801</v>
      </c>
      <c r="I1157" s="5" t="s">
        <v>27</v>
      </c>
      <c r="J1157" s="5" t="s">
        <v>60</v>
      </c>
      <c r="K1157" s="6">
        <v>0</v>
      </c>
      <c r="L1157" s="7">
        <v>490</v>
      </c>
      <c r="M1157" s="8">
        <v>174.16666666666666</v>
      </c>
      <c r="N1157" s="8">
        <v>115</v>
      </c>
      <c r="O1157" s="8">
        <v>80.997300089996997</v>
      </c>
      <c r="P1157" s="8">
        <v>0</v>
      </c>
      <c r="Q1157" s="8">
        <v>150</v>
      </c>
      <c r="R1157" s="8">
        <v>0</v>
      </c>
      <c r="S1157" s="8">
        <v>300</v>
      </c>
      <c r="T1157" s="5">
        <v>150</v>
      </c>
      <c r="U1157" s="5">
        <v>300</v>
      </c>
      <c r="V1157" s="5">
        <f>VLOOKUP(A1157,Planilha1!B:E,4,0)</f>
        <v>5.819800475298738</v>
      </c>
    </row>
    <row r="1158" spans="1:22" x14ac:dyDescent="0.3">
      <c r="A1158" t="str">
        <f t="shared" si="36"/>
        <v>COMPOSTOITAMBÉ</v>
      </c>
      <c r="B1158" t="str">
        <f t="shared" si="37"/>
        <v>5310560COMPOSTOITAMBÉ</v>
      </c>
      <c r="C1158" s="5" t="s">
        <v>226</v>
      </c>
      <c r="D1158" s="5" t="s">
        <v>797</v>
      </c>
      <c r="E1158" s="5" t="s">
        <v>753</v>
      </c>
      <c r="F1158" s="5">
        <v>5310560</v>
      </c>
      <c r="G1158" s="5" t="s">
        <v>809</v>
      </c>
      <c r="H1158" s="5" t="s">
        <v>110</v>
      </c>
      <c r="I1158" s="5" t="s">
        <v>27</v>
      </c>
      <c r="J1158" s="5" t="s">
        <v>26</v>
      </c>
      <c r="K1158" s="6">
        <v>0</v>
      </c>
      <c r="L1158" s="7">
        <v>0</v>
      </c>
      <c r="M1158" s="8">
        <v>445</v>
      </c>
      <c r="N1158" s="8">
        <v>375</v>
      </c>
      <c r="O1158" s="8">
        <v>742.03462828265333</v>
      </c>
      <c r="P1158" s="8">
        <v>0</v>
      </c>
      <c r="Q1158" s="8">
        <v>75</v>
      </c>
      <c r="R1158" s="8">
        <v>0</v>
      </c>
      <c r="S1158" s="8">
        <v>350</v>
      </c>
      <c r="T1158" s="5">
        <v>375</v>
      </c>
      <c r="U1158" s="5">
        <v>400</v>
      </c>
      <c r="V1158" s="5">
        <f>VLOOKUP(A1158,Planilha1!B:E,4,0)</f>
        <v>0.15618217875936719</v>
      </c>
    </row>
    <row r="1159" spans="1:22" x14ac:dyDescent="0.3">
      <c r="A1159" t="str">
        <f t="shared" si="36"/>
        <v>LEITE CONDENSADOITAMBÉ</v>
      </c>
      <c r="B1159" t="str">
        <f t="shared" si="37"/>
        <v>5310560LEITE CONDENSADOITAMBÉ</v>
      </c>
      <c r="C1159" s="5" t="s">
        <v>226</v>
      </c>
      <c r="D1159" s="5" t="s">
        <v>797</v>
      </c>
      <c r="E1159" s="5" t="s">
        <v>753</v>
      </c>
      <c r="F1159" s="5">
        <v>5310560</v>
      </c>
      <c r="G1159" s="5" t="s">
        <v>809</v>
      </c>
      <c r="H1159" s="5" t="s">
        <v>110</v>
      </c>
      <c r="I1159" s="5" t="s">
        <v>27</v>
      </c>
      <c r="J1159" s="5" t="s">
        <v>33</v>
      </c>
      <c r="K1159" s="6">
        <v>0</v>
      </c>
      <c r="L1159" s="7">
        <v>1436.36</v>
      </c>
      <c r="M1159" s="8">
        <v>1553.4333333333334</v>
      </c>
      <c r="N1159" s="8">
        <v>1091.3333333333333</v>
      </c>
      <c r="O1159" s="8">
        <v>1157.9791563751851</v>
      </c>
      <c r="P1159" s="8">
        <v>0</v>
      </c>
      <c r="Q1159" s="8">
        <v>200</v>
      </c>
      <c r="R1159" s="8">
        <v>0</v>
      </c>
      <c r="S1159" s="8">
        <v>1200</v>
      </c>
      <c r="T1159" s="5">
        <v>236</v>
      </c>
      <c r="U1159" s="5">
        <v>1674</v>
      </c>
      <c r="V1159" s="5">
        <f>VLOOKUP(A1159,Planilha1!B:E,4,0)</f>
        <v>1.4766792698630664</v>
      </c>
    </row>
    <row r="1160" spans="1:22" x14ac:dyDescent="0.3">
      <c r="A1160" t="str">
        <f t="shared" si="36"/>
        <v>CREME UHTITAMBÉ</v>
      </c>
      <c r="B1160" t="str">
        <f t="shared" si="37"/>
        <v>5310560CREME UHTITAMBÉ</v>
      </c>
      <c r="C1160" s="5" t="s">
        <v>226</v>
      </c>
      <c r="D1160" s="5" t="s">
        <v>797</v>
      </c>
      <c r="E1160" s="5" t="s">
        <v>753</v>
      </c>
      <c r="F1160" s="5">
        <v>5310560</v>
      </c>
      <c r="G1160" s="5" t="s">
        <v>809</v>
      </c>
      <c r="H1160" s="5" t="s">
        <v>110</v>
      </c>
      <c r="I1160" s="5" t="s">
        <v>27</v>
      </c>
      <c r="J1160" s="5" t="s">
        <v>34</v>
      </c>
      <c r="K1160" s="6">
        <v>0</v>
      </c>
      <c r="L1160" s="7">
        <v>60.6</v>
      </c>
      <c r="M1160" s="8">
        <v>16.16</v>
      </c>
      <c r="N1160" s="8">
        <v>16</v>
      </c>
      <c r="O1160" s="8">
        <v>4.9998055631169906</v>
      </c>
      <c r="P1160" s="8">
        <v>0</v>
      </c>
      <c r="Q1160" s="8">
        <v>0</v>
      </c>
      <c r="R1160" s="8">
        <v>0</v>
      </c>
      <c r="S1160" s="8">
        <v>10</v>
      </c>
      <c r="T1160" s="5">
        <v>12</v>
      </c>
      <c r="U1160" s="5">
        <v>11</v>
      </c>
      <c r="V1160" s="5">
        <f>VLOOKUP(A1160,Planilha1!B:E,4,0)</f>
        <v>1.2362540170747773</v>
      </c>
    </row>
    <row r="1161" spans="1:22" x14ac:dyDescent="0.3">
      <c r="A1161" t="str">
        <f t="shared" si="36"/>
        <v>DOCE DE LEITEITAMBÉ</v>
      </c>
      <c r="B1161" t="str">
        <f t="shared" si="37"/>
        <v>5310560DOCE DE LEITEITAMBÉ</v>
      </c>
      <c r="C1161" s="5" t="s">
        <v>226</v>
      </c>
      <c r="D1161" s="5" t="s">
        <v>797</v>
      </c>
      <c r="E1161" s="5" t="s">
        <v>753</v>
      </c>
      <c r="F1161" s="5">
        <v>5310560</v>
      </c>
      <c r="G1161" s="5" t="s">
        <v>809</v>
      </c>
      <c r="H1161" s="5" t="s">
        <v>110</v>
      </c>
      <c r="I1161" s="5" t="s">
        <v>27</v>
      </c>
      <c r="J1161" s="5" t="s">
        <v>46</v>
      </c>
      <c r="K1161" s="6">
        <v>0</v>
      </c>
      <c r="L1161" s="7">
        <v>0</v>
      </c>
      <c r="M1161" s="8">
        <v>43.333333333333336</v>
      </c>
      <c r="N1161" s="8">
        <v>-10</v>
      </c>
      <c r="O1161" s="8">
        <v>40.00228584490543</v>
      </c>
      <c r="P1161" s="8">
        <v>0</v>
      </c>
      <c r="Q1161" s="8">
        <v>60</v>
      </c>
      <c r="R1161" s="8">
        <v>0</v>
      </c>
      <c r="S1161" s="8">
        <v>40</v>
      </c>
      <c r="T1161" s="5">
        <v>60</v>
      </c>
      <c r="U1161" s="5">
        <v>50</v>
      </c>
      <c r="V1161" s="5">
        <f>VLOOKUP(A1161,Planilha1!B:E,4,0)</f>
        <v>5.8210743907543439</v>
      </c>
    </row>
    <row r="1162" spans="1:22" x14ac:dyDescent="0.3">
      <c r="A1162" t="str">
        <f t="shared" si="36"/>
        <v>BLISTERITAMBÉ</v>
      </c>
      <c r="B1162" t="str">
        <f t="shared" si="37"/>
        <v>5115189BLISTERITAMBÉ</v>
      </c>
      <c r="C1162" s="5" t="s">
        <v>226</v>
      </c>
      <c r="D1162" s="5" t="s">
        <v>797</v>
      </c>
      <c r="E1162" s="5" t="s">
        <v>810</v>
      </c>
      <c r="F1162" s="5">
        <v>5115189</v>
      </c>
      <c r="G1162" s="5" t="s">
        <v>811</v>
      </c>
      <c r="H1162" s="5" t="s">
        <v>20</v>
      </c>
      <c r="I1162" s="5" t="s">
        <v>27</v>
      </c>
      <c r="J1162" s="5" t="s">
        <v>199</v>
      </c>
      <c r="K1162" s="6">
        <v>0</v>
      </c>
      <c r="L1162" s="7">
        <v>760.32</v>
      </c>
      <c r="M1162" s="8">
        <v>86.4</v>
      </c>
      <c r="N1162" s="8">
        <v>108.66666666666667</v>
      </c>
      <c r="O1162" s="8">
        <v>192.01514528038769</v>
      </c>
      <c r="P1162" s="8">
        <v>23.04</v>
      </c>
      <c r="Q1162" s="8">
        <v>0</v>
      </c>
      <c r="R1162" s="8">
        <v>23.04</v>
      </c>
      <c r="S1162" s="8">
        <v>100</v>
      </c>
      <c r="T1162" s="5">
        <v>0</v>
      </c>
      <c r="U1162" s="5">
        <v>100</v>
      </c>
      <c r="V1162" s="5">
        <f>VLOOKUP(A1162,Planilha1!B:E,4,0)</f>
        <v>10.339882680976428</v>
      </c>
    </row>
    <row r="1163" spans="1:22" x14ac:dyDescent="0.3">
      <c r="A1163" t="str">
        <f t="shared" si="36"/>
        <v>LEITE CONDENSADOITAMBÉ</v>
      </c>
      <c r="B1163" t="str">
        <f t="shared" si="37"/>
        <v>5115189LEITE CONDENSADOITAMBÉ</v>
      </c>
      <c r="C1163" s="5" t="s">
        <v>226</v>
      </c>
      <c r="D1163" s="5" t="s">
        <v>797</v>
      </c>
      <c r="E1163" s="5" t="s">
        <v>810</v>
      </c>
      <c r="F1163" s="5">
        <v>5115189</v>
      </c>
      <c r="G1163" s="5" t="s">
        <v>811</v>
      </c>
      <c r="H1163" s="5" t="s">
        <v>20</v>
      </c>
      <c r="I1163" s="5" t="s">
        <v>27</v>
      </c>
      <c r="J1163" s="5" t="s">
        <v>33</v>
      </c>
      <c r="K1163" s="6">
        <v>0</v>
      </c>
      <c r="L1163" s="7">
        <v>25480</v>
      </c>
      <c r="M1163" s="8">
        <v>19953.786666666667</v>
      </c>
      <c r="N1163" s="8">
        <v>29470.666666666664</v>
      </c>
      <c r="O1163" s="8">
        <v>6513.8827501104988</v>
      </c>
      <c r="P1163" s="8">
        <v>5369.35</v>
      </c>
      <c r="Q1163" s="8">
        <v>0</v>
      </c>
      <c r="R1163" s="8">
        <v>38960.9</v>
      </c>
      <c r="S1163" s="8">
        <v>4000</v>
      </c>
      <c r="T1163" s="5">
        <v>5500</v>
      </c>
      <c r="U1163" s="5">
        <v>4430</v>
      </c>
      <c r="V1163" s="5">
        <f>VLOOKUP(A1163,Planilha1!B:E,4,0)</f>
        <v>1.4766792698630664</v>
      </c>
    </row>
    <row r="1164" spans="1:22" x14ac:dyDescent="0.3">
      <c r="A1164" t="str">
        <f t="shared" si="36"/>
        <v>CREME UHTITAMBÉ</v>
      </c>
      <c r="B1164" t="str">
        <f t="shared" si="37"/>
        <v>5115189CREME UHTITAMBÉ</v>
      </c>
      <c r="C1164" s="5" t="s">
        <v>226</v>
      </c>
      <c r="D1164" s="5" t="s">
        <v>797</v>
      </c>
      <c r="E1164" s="5" t="s">
        <v>810</v>
      </c>
      <c r="F1164" s="5">
        <v>5115189</v>
      </c>
      <c r="G1164" s="5" t="s">
        <v>811</v>
      </c>
      <c r="H1164" s="5" t="s">
        <v>20</v>
      </c>
      <c r="I1164" s="5" t="s">
        <v>27</v>
      </c>
      <c r="J1164" s="5" t="s">
        <v>34</v>
      </c>
      <c r="K1164" s="6">
        <v>0</v>
      </c>
      <c r="L1164" s="7">
        <v>0</v>
      </c>
      <c r="M1164" s="8">
        <v>3234.02</v>
      </c>
      <c r="N1164" s="8">
        <v>2403.6666666666665</v>
      </c>
      <c r="O1164" s="8">
        <v>2116.9176754237342</v>
      </c>
      <c r="P1164" s="8">
        <v>797.90000000000009</v>
      </c>
      <c r="Q1164" s="8">
        <v>-775.68</v>
      </c>
      <c r="R1164" s="8">
        <v>4486.42</v>
      </c>
      <c r="S1164" s="8">
        <v>1000</v>
      </c>
      <c r="T1164" s="5">
        <v>1000</v>
      </c>
      <c r="U1164" s="5">
        <v>4000</v>
      </c>
      <c r="V1164" s="5">
        <f>VLOOKUP(A1164,Planilha1!B:E,4,0)</f>
        <v>1.2362540170747773</v>
      </c>
    </row>
    <row r="1165" spans="1:22" x14ac:dyDescent="0.3">
      <c r="A1165" t="str">
        <f t="shared" si="36"/>
        <v>DOCE DE LEITEITAMBÉ</v>
      </c>
      <c r="B1165" t="str">
        <f t="shared" si="37"/>
        <v>5115189DOCE DE LEITEITAMBÉ</v>
      </c>
      <c r="C1165" s="5" t="s">
        <v>226</v>
      </c>
      <c r="D1165" s="5" t="s">
        <v>797</v>
      </c>
      <c r="E1165" s="5" t="s">
        <v>810</v>
      </c>
      <c r="F1165" s="5">
        <v>5115189</v>
      </c>
      <c r="G1165" s="5" t="s">
        <v>811</v>
      </c>
      <c r="H1165" s="5" t="s">
        <v>20</v>
      </c>
      <c r="I1165" s="5" t="s">
        <v>27</v>
      </c>
      <c r="J1165" s="5" t="s">
        <v>46</v>
      </c>
      <c r="K1165" s="6">
        <v>0</v>
      </c>
      <c r="L1165" s="7">
        <v>0</v>
      </c>
      <c r="M1165" s="8">
        <v>3090.0000000000005</v>
      </c>
      <c r="N1165" s="8">
        <v>2123.3333333333335</v>
      </c>
      <c r="O1165" s="8">
        <v>2689.1536659237677</v>
      </c>
      <c r="P1165" s="8">
        <v>652.5</v>
      </c>
      <c r="Q1165" s="8">
        <v>0</v>
      </c>
      <c r="R1165" s="8">
        <v>3770</v>
      </c>
      <c r="S1165" s="8">
        <v>1000</v>
      </c>
      <c r="T1165" s="5">
        <v>1000</v>
      </c>
      <c r="U1165" s="5">
        <v>3500</v>
      </c>
      <c r="V1165" s="5">
        <f>VLOOKUP(A1165,Planilha1!B:E,4,0)</f>
        <v>5.8210743907543439</v>
      </c>
    </row>
    <row r="1166" spans="1:22" x14ac:dyDescent="0.3">
      <c r="A1166" t="str">
        <f t="shared" si="36"/>
        <v>MANTEIGA 5KGITAMBÉ</v>
      </c>
      <c r="B1166" t="str">
        <f t="shared" si="37"/>
        <v>5115189MANTEIGA 5KGITAMBÉ</v>
      </c>
      <c r="C1166" s="5" t="s">
        <v>226</v>
      </c>
      <c r="D1166" s="5" t="s">
        <v>797</v>
      </c>
      <c r="E1166" s="5" t="s">
        <v>810</v>
      </c>
      <c r="F1166" s="5">
        <v>5115189</v>
      </c>
      <c r="G1166" s="5" t="s">
        <v>811</v>
      </c>
      <c r="H1166" s="5" t="s">
        <v>20</v>
      </c>
      <c r="I1166" s="5" t="s">
        <v>27</v>
      </c>
      <c r="J1166" s="5" t="s">
        <v>60</v>
      </c>
      <c r="K1166" s="6">
        <v>0</v>
      </c>
      <c r="L1166" s="7">
        <v>2000</v>
      </c>
      <c r="M1166" s="8">
        <v>1360.8333333333335</v>
      </c>
      <c r="N1166" s="8">
        <v>1601.6666666666667</v>
      </c>
      <c r="O1166" s="8">
        <v>1052.964901169961</v>
      </c>
      <c r="P1166" s="8">
        <v>375</v>
      </c>
      <c r="Q1166" s="8">
        <v>0</v>
      </c>
      <c r="R1166" s="8">
        <v>1720</v>
      </c>
      <c r="S1166" s="8">
        <v>0</v>
      </c>
      <c r="T1166" s="5">
        <v>0</v>
      </c>
      <c r="U1166" s="5">
        <v>500</v>
      </c>
      <c r="V1166" s="5">
        <f>VLOOKUP(A1166,Planilha1!B:E,4,0)</f>
        <v>5.819800475298738</v>
      </c>
    </row>
    <row r="1167" spans="1:22" x14ac:dyDescent="0.3">
      <c r="A1167" t="str">
        <f t="shared" si="36"/>
        <v>PARMESÃOLACTALIS</v>
      </c>
      <c r="B1167" t="str">
        <f t="shared" si="37"/>
        <v>5115189PARMESÃOLACTALIS</v>
      </c>
      <c r="C1167" s="5" t="s">
        <v>226</v>
      </c>
      <c r="D1167" s="5" t="s">
        <v>797</v>
      </c>
      <c r="E1167" s="5" t="s">
        <v>810</v>
      </c>
      <c r="F1167" s="5">
        <v>5115189</v>
      </c>
      <c r="G1167" s="5" t="s">
        <v>811</v>
      </c>
      <c r="H1167" s="5" t="s">
        <v>20</v>
      </c>
      <c r="I1167" s="5" t="s">
        <v>22</v>
      </c>
      <c r="J1167" s="5" t="s">
        <v>195</v>
      </c>
      <c r="K1167" s="6">
        <v>0</v>
      </c>
      <c r="L1167" s="7">
        <v>0</v>
      </c>
      <c r="M1167" s="8">
        <v>0</v>
      </c>
      <c r="N1167" s="8">
        <v>0</v>
      </c>
      <c r="O1167" s="8">
        <v>350</v>
      </c>
      <c r="P1167" s="8">
        <v>68.999994000000001</v>
      </c>
      <c r="Q1167" s="8">
        <v>0</v>
      </c>
      <c r="R1167" s="8">
        <v>0</v>
      </c>
      <c r="S1167" s="8">
        <v>350</v>
      </c>
      <c r="T1167" s="5">
        <v>550</v>
      </c>
      <c r="U1167" s="5">
        <v>0</v>
      </c>
      <c r="V1167" s="5">
        <f>VLOOKUP(A1167,Planilha1!B:E,4,0)</f>
        <v>6.310326960724681</v>
      </c>
    </row>
    <row r="1168" spans="1:22" x14ac:dyDescent="0.3">
      <c r="A1168" t="str">
        <f t="shared" si="36"/>
        <v>LEITE UHTITAMBÉ</v>
      </c>
      <c r="B1168" t="str">
        <f t="shared" si="37"/>
        <v>5115189LEITE UHTITAMBÉ</v>
      </c>
      <c r="C1168" s="5" t="s">
        <v>226</v>
      </c>
      <c r="D1168" s="5" t="s">
        <v>797</v>
      </c>
      <c r="E1168" s="5" t="s">
        <v>810</v>
      </c>
      <c r="F1168" s="5">
        <v>5115189</v>
      </c>
      <c r="G1168" s="5" t="s">
        <v>811</v>
      </c>
      <c r="H1168" s="5" t="s">
        <v>20</v>
      </c>
      <c r="I1168" s="5" t="s">
        <v>27</v>
      </c>
      <c r="J1168" s="5" t="s">
        <v>156</v>
      </c>
      <c r="K1168" s="6">
        <v>0</v>
      </c>
      <c r="L1168" s="7">
        <v>0</v>
      </c>
      <c r="M1168" s="8">
        <v>0</v>
      </c>
      <c r="N1168" s="8">
        <v>0</v>
      </c>
      <c r="O1168" s="8">
        <v>330.99632226308597</v>
      </c>
      <c r="P1168" s="8">
        <v>0</v>
      </c>
      <c r="Q1168" s="8">
        <v>0</v>
      </c>
      <c r="R1168" s="8">
        <v>0</v>
      </c>
      <c r="S1168" s="8">
        <v>0</v>
      </c>
      <c r="T1168" s="5">
        <v>0</v>
      </c>
      <c r="U1168" s="5">
        <v>0</v>
      </c>
      <c r="V1168" s="5">
        <f>VLOOKUP(A1168,Planilha1!B:E,4,0)</f>
        <v>-0.14425288609148015</v>
      </c>
    </row>
    <row r="1169" spans="1:22" x14ac:dyDescent="0.3">
      <c r="A1169" t="str">
        <f t="shared" si="36"/>
        <v>LEITE CONDENSADOITAMBÉ</v>
      </c>
      <c r="B1169" t="str">
        <f t="shared" si="37"/>
        <v>5353848LEITE CONDENSADOITAMBÉ</v>
      </c>
      <c r="C1169" s="5" t="s">
        <v>226</v>
      </c>
      <c r="D1169" s="5" t="s">
        <v>797</v>
      </c>
      <c r="E1169" s="5" t="s">
        <v>812</v>
      </c>
      <c r="F1169" s="5">
        <v>5353848</v>
      </c>
      <c r="G1169" s="5" t="s">
        <v>813</v>
      </c>
      <c r="H1169" s="5" t="s">
        <v>814</v>
      </c>
      <c r="I1169" s="5" t="s">
        <v>27</v>
      </c>
      <c r="J1169" s="5" t="s">
        <v>33</v>
      </c>
      <c r="K1169" s="6">
        <v>0</v>
      </c>
      <c r="L1169" s="7">
        <v>0</v>
      </c>
      <c r="M1169" s="8">
        <v>1361.6666666666667</v>
      </c>
      <c r="N1169" s="8">
        <v>600</v>
      </c>
      <c r="O1169" s="8">
        <v>342.99382611113003</v>
      </c>
      <c r="P1169" s="8">
        <v>0</v>
      </c>
      <c r="Q1169" s="8">
        <v>0</v>
      </c>
      <c r="R1169" s="8">
        <v>0</v>
      </c>
      <c r="S1169" s="8">
        <v>0</v>
      </c>
      <c r="T1169" s="5">
        <v>0</v>
      </c>
      <c r="U1169" s="5">
        <v>0</v>
      </c>
      <c r="V1169" s="5">
        <f>VLOOKUP(A1169,Planilha1!B:E,4,0)</f>
        <v>1.4766792698630664</v>
      </c>
    </row>
    <row r="1170" spans="1:22" x14ac:dyDescent="0.3">
      <c r="A1170" t="str">
        <f t="shared" si="36"/>
        <v>BLISTERLACTALIS</v>
      </c>
      <c r="B1170" t="str">
        <f t="shared" si="37"/>
        <v>5008478BLISTERLACTALIS</v>
      </c>
      <c r="C1170" s="5" t="s">
        <v>226</v>
      </c>
      <c r="D1170" s="5" t="s">
        <v>815</v>
      </c>
      <c r="E1170" s="5" t="s">
        <v>816</v>
      </c>
      <c r="F1170" s="5">
        <v>5008478</v>
      </c>
      <c r="G1170" s="5" t="s">
        <v>817</v>
      </c>
      <c r="H1170" s="5" t="s">
        <v>30</v>
      </c>
      <c r="I1170" s="5" t="s">
        <v>22</v>
      </c>
      <c r="J1170" s="5" t="s">
        <v>199</v>
      </c>
      <c r="K1170" s="6">
        <v>0</v>
      </c>
      <c r="L1170" s="7">
        <v>0</v>
      </c>
      <c r="M1170" s="8">
        <v>464</v>
      </c>
      <c r="N1170" s="8">
        <v>329.6</v>
      </c>
      <c r="O1170" s="8">
        <v>1002.1584566193483</v>
      </c>
      <c r="P1170" s="8">
        <v>0</v>
      </c>
      <c r="Q1170" s="8">
        <v>0</v>
      </c>
      <c r="R1170" s="8">
        <v>0</v>
      </c>
      <c r="S1170" s="8">
        <v>960</v>
      </c>
      <c r="T1170" s="5">
        <v>960</v>
      </c>
      <c r="U1170" s="5">
        <v>960</v>
      </c>
      <c r="V1170" s="5">
        <f>VLOOKUP(A1170,Planilha1!B:E,4,0)</f>
        <v>13.783871706210666</v>
      </c>
    </row>
    <row r="1171" spans="1:22" x14ac:dyDescent="0.3">
      <c r="A1171" t="str">
        <f t="shared" si="36"/>
        <v>LEITE CONDENSADOITAMBÉ</v>
      </c>
      <c r="B1171" t="str">
        <f t="shared" si="37"/>
        <v>5008478LEITE CONDENSADOITAMBÉ</v>
      </c>
      <c r="C1171" s="5" t="s">
        <v>226</v>
      </c>
      <c r="D1171" s="5" t="s">
        <v>815</v>
      </c>
      <c r="E1171" s="5" t="s">
        <v>816</v>
      </c>
      <c r="F1171" s="5">
        <v>5008478</v>
      </c>
      <c r="G1171" s="5" t="s">
        <v>817</v>
      </c>
      <c r="H1171" s="5" t="s">
        <v>30</v>
      </c>
      <c r="I1171" s="5" t="s">
        <v>27</v>
      </c>
      <c r="J1171" s="5" t="s">
        <v>33</v>
      </c>
      <c r="K1171" s="6">
        <v>0</v>
      </c>
      <c r="L1171" s="7">
        <v>0</v>
      </c>
      <c r="M1171" s="8">
        <v>50.5</v>
      </c>
      <c r="N1171" s="8">
        <v>0</v>
      </c>
      <c r="O1171" s="8">
        <v>76.998614024947557</v>
      </c>
      <c r="P1171" s="8">
        <v>0</v>
      </c>
      <c r="Q1171" s="8">
        <v>121.2</v>
      </c>
      <c r="R1171" s="8">
        <v>0</v>
      </c>
      <c r="S1171" s="8">
        <v>60.6</v>
      </c>
      <c r="T1171" s="5">
        <v>121.2</v>
      </c>
      <c r="U1171" s="5">
        <v>60.6</v>
      </c>
      <c r="V1171" s="5">
        <f>VLOOKUP(A1171,Planilha1!B:E,4,0)</f>
        <v>1.4766792698630664</v>
      </c>
    </row>
    <row r="1172" spans="1:22" x14ac:dyDescent="0.3">
      <c r="A1172" t="str">
        <f t="shared" si="36"/>
        <v>DOCE DE LEITEITAMBÉ</v>
      </c>
      <c r="B1172" t="str">
        <f t="shared" si="37"/>
        <v>5008478DOCE DE LEITEITAMBÉ</v>
      </c>
      <c r="C1172" s="5" t="s">
        <v>226</v>
      </c>
      <c r="D1172" s="5" t="s">
        <v>815</v>
      </c>
      <c r="E1172" s="5" t="s">
        <v>816</v>
      </c>
      <c r="F1172" s="5">
        <v>5008478</v>
      </c>
      <c r="G1172" s="5" t="s">
        <v>817</v>
      </c>
      <c r="H1172" s="5" t="s">
        <v>30</v>
      </c>
      <c r="I1172" s="5" t="s">
        <v>27</v>
      </c>
      <c r="J1172" s="5" t="s">
        <v>46</v>
      </c>
      <c r="K1172" s="6">
        <v>0</v>
      </c>
      <c r="L1172" s="7">
        <v>0</v>
      </c>
      <c r="M1172" s="8">
        <v>380.8</v>
      </c>
      <c r="N1172" s="8">
        <v>370.66666666666669</v>
      </c>
      <c r="O1172" s="8">
        <v>313.01788673638498</v>
      </c>
      <c r="P1172" s="8">
        <v>0</v>
      </c>
      <c r="Q1172" s="8">
        <v>0</v>
      </c>
      <c r="R1172" s="8">
        <v>0</v>
      </c>
      <c r="S1172" s="8">
        <v>472.8</v>
      </c>
      <c r="T1172" s="5">
        <v>472.8</v>
      </c>
      <c r="U1172" s="5">
        <v>472.79999999999995</v>
      </c>
      <c r="V1172" s="5">
        <f>VLOOKUP(A1172,Planilha1!B:E,4,0)</f>
        <v>5.8210743907543439</v>
      </c>
    </row>
    <row r="1173" spans="1:22" x14ac:dyDescent="0.3">
      <c r="A1173" t="str">
        <f t="shared" si="36"/>
        <v>PARMESÃOLACTALIS</v>
      </c>
      <c r="B1173" t="str">
        <f t="shared" si="37"/>
        <v>5008478PARMESÃOLACTALIS</v>
      </c>
      <c r="C1173" s="5" t="s">
        <v>226</v>
      </c>
      <c r="D1173" s="5" t="s">
        <v>815</v>
      </c>
      <c r="E1173" s="5" t="s">
        <v>816</v>
      </c>
      <c r="F1173" s="5">
        <v>5008478</v>
      </c>
      <c r="G1173" s="5" t="s">
        <v>817</v>
      </c>
      <c r="H1173" s="5" t="s">
        <v>30</v>
      </c>
      <c r="I1173" s="5" t="s">
        <v>22</v>
      </c>
      <c r="J1173" s="5" t="s">
        <v>195</v>
      </c>
      <c r="K1173" s="6">
        <v>0</v>
      </c>
      <c r="L1173" s="7">
        <v>0</v>
      </c>
      <c r="M1173" s="8">
        <v>262.85399999999998</v>
      </c>
      <c r="N1173" s="8">
        <v>460.29133333333334</v>
      </c>
      <c r="O1173" s="8">
        <v>503.81138415929428</v>
      </c>
      <c r="P1173" s="8">
        <v>0</v>
      </c>
      <c r="Q1173" s="8">
        <v>0</v>
      </c>
      <c r="R1173" s="8">
        <v>0</v>
      </c>
      <c r="S1173" s="8">
        <v>-428.98</v>
      </c>
      <c r="T1173" s="5">
        <v>200</v>
      </c>
      <c r="U1173" s="5">
        <v>-428.98</v>
      </c>
      <c r="V1173" s="5">
        <f>VLOOKUP(A1173,Planilha1!B:E,4,0)</f>
        <v>6.310326960724681</v>
      </c>
    </row>
    <row r="1174" spans="1:22" x14ac:dyDescent="0.3">
      <c r="A1174" t="str">
        <f t="shared" si="36"/>
        <v>COMPOSTOITAMBÉ</v>
      </c>
      <c r="B1174" t="str">
        <f t="shared" si="37"/>
        <v>5019126COMPOSTOITAMBÉ</v>
      </c>
      <c r="C1174" s="5" t="s">
        <v>226</v>
      </c>
      <c r="D1174" s="5" t="s">
        <v>815</v>
      </c>
      <c r="E1174" s="5" t="s">
        <v>816</v>
      </c>
      <c r="F1174" s="5">
        <v>5019126</v>
      </c>
      <c r="G1174" s="5" t="s">
        <v>818</v>
      </c>
      <c r="H1174" s="5" t="s">
        <v>30</v>
      </c>
      <c r="I1174" s="5" t="s">
        <v>27</v>
      </c>
      <c r="J1174" s="5" t="s">
        <v>26</v>
      </c>
      <c r="K1174" s="6">
        <v>0</v>
      </c>
      <c r="L1174" s="7">
        <v>0</v>
      </c>
      <c r="M1174" s="8">
        <v>133.33333333333334</v>
      </c>
      <c r="N1174" s="8">
        <v>116.66666666666667</v>
      </c>
      <c r="O1174" s="8">
        <v>307.01432733527565</v>
      </c>
      <c r="P1174" s="8">
        <v>0</v>
      </c>
      <c r="Q1174" s="8">
        <v>0</v>
      </c>
      <c r="R1174" s="8">
        <v>0</v>
      </c>
      <c r="S1174" s="8">
        <v>150</v>
      </c>
      <c r="T1174" s="5">
        <v>150</v>
      </c>
      <c r="U1174" s="5">
        <v>150</v>
      </c>
      <c r="V1174" s="5">
        <f>VLOOKUP(A1174,Planilha1!B:E,4,0)</f>
        <v>0.15618217875936719</v>
      </c>
    </row>
    <row r="1175" spans="1:22" x14ac:dyDescent="0.3">
      <c r="A1175" t="str">
        <f t="shared" si="36"/>
        <v>LEITE CONDENSADOITAMBÉ</v>
      </c>
      <c r="B1175" t="str">
        <f t="shared" si="37"/>
        <v>5019126LEITE CONDENSADOITAMBÉ</v>
      </c>
      <c r="C1175" s="5" t="s">
        <v>226</v>
      </c>
      <c r="D1175" s="5" t="s">
        <v>815</v>
      </c>
      <c r="E1175" s="5" t="s">
        <v>816</v>
      </c>
      <c r="F1175" s="5">
        <v>5019126</v>
      </c>
      <c r="G1175" s="5" t="s">
        <v>818</v>
      </c>
      <c r="H1175" s="5" t="s">
        <v>30</v>
      </c>
      <c r="I1175" s="5" t="s">
        <v>27</v>
      </c>
      <c r="J1175" s="5" t="s">
        <v>33</v>
      </c>
      <c r="K1175" s="6">
        <v>0</v>
      </c>
      <c r="L1175" s="7">
        <v>0</v>
      </c>
      <c r="M1175" s="8">
        <v>3023.3333333333335</v>
      </c>
      <c r="N1175" s="8">
        <v>3720</v>
      </c>
      <c r="O1175" s="8">
        <v>2585.953452837849</v>
      </c>
      <c r="P1175" s="8">
        <v>0</v>
      </c>
      <c r="Q1175" s="8">
        <v>0</v>
      </c>
      <c r="R1175" s="8">
        <v>0</v>
      </c>
      <c r="S1175" s="8">
        <v>4080</v>
      </c>
      <c r="T1175" s="5">
        <v>3000</v>
      </c>
      <c r="U1175" s="5">
        <v>4080</v>
      </c>
      <c r="V1175" s="5">
        <f>VLOOKUP(A1175,Planilha1!B:E,4,0)</f>
        <v>1.4766792698630664</v>
      </c>
    </row>
    <row r="1176" spans="1:22" x14ac:dyDescent="0.3">
      <c r="A1176" t="str">
        <f t="shared" si="36"/>
        <v>CREME UHTITAMBÉ</v>
      </c>
      <c r="B1176" t="str">
        <f t="shared" si="37"/>
        <v>5019126CREME UHTITAMBÉ</v>
      </c>
      <c r="C1176" s="5" t="s">
        <v>226</v>
      </c>
      <c r="D1176" s="5" t="s">
        <v>815</v>
      </c>
      <c r="E1176" s="5" t="s">
        <v>816</v>
      </c>
      <c r="F1176" s="5">
        <v>5019126</v>
      </c>
      <c r="G1176" s="5" t="s">
        <v>818</v>
      </c>
      <c r="H1176" s="5" t="s">
        <v>30</v>
      </c>
      <c r="I1176" s="5" t="s">
        <v>27</v>
      </c>
      <c r="J1176" s="5" t="s">
        <v>34</v>
      </c>
      <c r="K1176" s="6">
        <v>0</v>
      </c>
      <c r="L1176" s="7">
        <v>0</v>
      </c>
      <c r="M1176" s="8">
        <v>343.40000000000003</v>
      </c>
      <c r="N1176" s="8">
        <v>0</v>
      </c>
      <c r="O1176" s="8">
        <v>1173.9543462198694</v>
      </c>
      <c r="P1176" s="8">
        <v>0</v>
      </c>
      <c r="Q1176" s="8">
        <v>0</v>
      </c>
      <c r="R1176" s="8">
        <v>0</v>
      </c>
      <c r="S1176" s="8">
        <v>0</v>
      </c>
      <c r="T1176" s="5">
        <v>0</v>
      </c>
      <c r="U1176" s="5">
        <v>0</v>
      </c>
      <c r="V1176" s="5">
        <f>VLOOKUP(A1176,Planilha1!B:E,4,0)</f>
        <v>1.2362540170747773</v>
      </c>
    </row>
    <row r="1177" spans="1:22" x14ac:dyDescent="0.3">
      <c r="A1177" t="str">
        <f t="shared" si="36"/>
        <v>DOCE DE LEITEITAMBÉ</v>
      </c>
      <c r="B1177" t="str">
        <f t="shared" si="37"/>
        <v>5019126DOCE DE LEITEITAMBÉ</v>
      </c>
      <c r="C1177" s="5" t="s">
        <v>226</v>
      </c>
      <c r="D1177" s="5" t="s">
        <v>815</v>
      </c>
      <c r="E1177" s="5" t="s">
        <v>816</v>
      </c>
      <c r="F1177" s="5">
        <v>5019126</v>
      </c>
      <c r="G1177" s="5" t="s">
        <v>818</v>
      </c>
      <c r="H1177" s="5" t="s">
        <v>30</v>
      </c>
      <c r="I1177" s="5" t="s">
        <v>27</v>
      </c>
      <c r="J1177" s="5" t="s">
        <v>46</v>
      </c>
      <c r="K1177" s="6">
        <v>0</v>
      </c>
      <c r="L1177" s="7">
        <v>0</v>
      </c>
      <c r="M1177" s="8">
        <v>286.66666666666669</v>
      </c>
      <c r="N1177" s="8">
        <v>213.33333333333334</v>
      </c>
      <c r="O1177" s="8">
        <v>555.03171609806282</v>
      </c>
      <c r="P1177" s="8">
        <v>0</v>
      </c>
      <c r="Q1177" s="8">
        <v>0</v>
      </c>
      <c r="R1177" s="8">
        <v>0</v>
      </c>
      <c r="S1177" s="8">
        <v>900</v>
      </c>
      <c r="T1177" s="5">
        <v>970</v>
      </c>
      <c r="U1177" s="5">
        <v>900</v>
      </c>
      <c r="V1177" s="5">
        <f>VLOOKUP(A1177,Planilha1!B:E,4,0)</f>
        <v>5.8210743907543439</v>
      </c>
    </row>
    <row r="1178" spans="1:22" x14ac:dyDescent="0.3">
      <c r="A1178" t="str">
        <f t="shared" si="36"/>
        <v>MANTEIGA 5KGLACTALIS</v>
      </c>
      <c r="B1178" t="str">
        <f t="shared" si="37"/>
        <v>5019126MANTEIGA 5KGLACTALIS</v>
      </c>
      <c r="C1178" s="5" t="s">
        <v>226</v>
      </c>
      <c r="D1178" s="5" t="s">
        <v>815</v>
      </c>
      <c r="E1178" s="5" t="s">
        <v>816</v>
      </c>
      <c r="F1178" s="5">
        <v>5019126</v>
      </c>
      <c r="G1178" s="5" t="s">
        <v>818</v>
      </c>
      <c r="H1178" s="5" t="s">
        <v>30</v>
      </c>
      <c r="I1178" s="5" t="s">
        <v>22</v>
      </c>
      <c r="J1178" s="5" t="s">
        <v>60</v>
      </c>
      <c r="K1178" s="6">
        <v>0</v>
      </c>
      <c r="L1178" s="7">
        <v>750</v>
      </c>
      <c r="M1178" s="8">
        <v>166.66666666666666</v>
      </c>
      <c r="N1178" s="8">
        <v>166.66666666666666</v>
      </c>
      <c r="O1178" s="8">
        <v>200</v>
      </c>
      <c r="P1178" s="8">
        <v>0</v>
      </c>
      <c r="Q1178" s="8">
        <v>0</v>
      </c>
      <c r="R1178" s="8">
        <v>0</v>
      </c>
      <c r="S1178" s="8">
        <v>250</v>
      </c>
      <c r="T1178" s="5">
        <v>250</v>
      </c>
      <c r="U1178" s="5">
        <v>250</v>
      </c>
      <c r="V1178" s="5">
        <f>VLOOKUP(A1178,Planilha1!B:E,4,0)</f>
        <v>11.476197020267191</v>
      </c>
    </row>
    <row r="1179" spans="1:22" x14ac:dyDescent="0.3">
      <c r="A1179" t="str">
        <f t="shared" si="36"/>
        <v>LEITE CONDENSADOITAMBÉ</v>
      </c>
      <c r="B1179" t="str">
        <f t="shared" si="37"/>
        <v>5023831LEITE CONDENSADOITAMBÉ</v>
      </c>
      <c r="C1179" s="5" t="s">
        <v>226</v>
      </c>
      <c r="D1179" s="5" t="s">
        <v>815</v>
      </c>
      <c r="E1179" s="5" t="s">
        <v>816</v>
      </c>
      <c r="F1179" s="5">
        <v>5023831</v>
      </c>
      <c r="G1179" s="5" t="s">
        <v>819</v>
      </c>
      <c r="H1179" s="5" t="s">
        <v>30</v>
      </c>
      <c r="I1179" s="5" t="s">
        <v>27</v>
      </c>
      <c r="J1179" s="5" t="s">
        <v>33</v>
      </c>
      <c r="K1179" s="6">
        <v>0</v>
      </c>
      <c r="L1179" s="7">
        <v>0</v>
      </c>
      <c r="M1179" s="8">
        <v>3011.5266666666666</v>
      </c>
      <c r="N1179" s="8">
        <v>2120</v>
      </c>
      <c r="O1179" s="8">
        <v>1254.9774104066128</v>
      </c>
      <c r="P1179" s="8">
        <v>0</v>
      </c>
      <c r="Q1179" s="8">
        <v>0</v>
      </c>
      <c r="R1179" s="8">
        <v>0</v>
      </c>
      <c r="S1179" s="8">
        <v>375.72</v>
      </c>
      <c r="T1179" s="5">
        <v>375.72</v>
      </c>
      <c r="U1179" s="5">
        <v>387.84</v>
      </c>
      <c r="V1179" s="5">
        <f>VLOOKUP(A1179,Planilha1!B:E,4,0)</f>
        <v>1.4766792698630664</v>
      </c>
    </row>
    <row r="1180" spans="1:22" x14ac:dyDescent="0.3">
      <c r="A1180" t="str">
        <f t="shared" si="36"/>
        <v>CREME UHTITAMBÉ</v>
      </c>
      <c r="B1180" t="str">
        <f t="shared" si="37"/>
        <v>5023831CREME UHTITAMBÉ</v>
      </c>
      <c r="C1180" s="5" t="s">
        <v>226</v>
      </c>
      <c r="D1180" s="5" t="s">
        <v>815</v>
      </c>
      <c r="E1180" s="5" t="s">
        <v>816</v>
      </c>
      <c r="F1180" s="5">
        <v>5023831</v>
      </c>
      <c r="G1180" s="5" t="s">
        <v>819</v>
      </c>
      <c r="H1180" s="5" t="s">
        <v>30</v>
      </c>
      <c r="I1180" s="5" t="s">
        <v>27</v>
      </c>
      <c r="J1180" s="5" t="s">
        <v>34</v>
      </c>
      <c r="K1180" s="6">
        <v>0</v>
      </c>
      <c r="L1180" s="7">
        <v>0</v>
      </c>
      <c r="M1180" s="8">
        <v>2781.5400000000004</v>
      </c>
      <c r="N1180" s="8">
        <v>3082.666666666667</v>
      </c>
      <c r="O1180" s="8">
        <v>1974.9231974312115</v>
      </c>
      <c r="P1180" s="8">
        <v>0</v>
      </c>
      <c r="Q1180" s="8">
        <v>0</v>
      </c>
      <c r="R1180" s="8">
        <v>0</v>
      </c>
      <c r="S1180" s="8">
        <v>1175.6399999999996</v>
      </c>
      <c r="T1180" s="5">
        <v>1175.6399999999996</v>
      </c>
      <c r="U1180" s="5">
        <v>1175.6399999999999</v>
      </c>
      <c r="V1180" s="5">
        <f>VLOOKUP(A1180,Planilha1!B:E,4,0)</f>
        <v>1.2362540170747773</v>
      </c>
    </row>
    <row r="1181" spans="1:22" x14ac:dyDescent="0.3">
      <c r="A1181" t="str">
        <f t="shared" si="36"/>
        <v>DOCE DE LEITEITAMBÉ</v>
      </c>
      <c r="B1181" t="str">
        <f t="shared" si="37"/>
        <v>5023831DOCE DE LEITEITAMBÉ</v>
      </c>
      <c r="C1181" s="5" t="s">
        <v>226</v>
      </c>
      <c r="D1181" s="5" t="s">
        <v>815</v>
      </c>
      <c r="E1181" s="5" t="s">
        <v>816</v>
      </c>
      <c r="F1181" s="5">
        <v>5023831</v>
      </c>
      <c r="G1181" s="5" t="s">
        <v>819</v>
      </c>
      <c r="H1181" s="5" t="s">
        <v>30</v>
      </c>
      <c r="I1181" s="5" t="s">
        <v>27</v>
      </c>
      <c r="J1181" s="5" t="s">
        <v>46</v>
      </c>
      <c r="K1181" s="6">
        <v>0</v>
      </c>
      <c r="L1181" s="7">
        <v>0</v>
      </c>
      <c r="M1181" s="8">
        <v>266.66666666666669</v>
      </c>
      <c r="N1181" s="8">
        <v>300</v>
      </c>
      <c r="O1181" s="8">
        <v>12.000685753471629</v>
      </c>
      <c r="P1181" s="8">
        <v>0</v>
      </c>
      <c r="Q1181" s="8">
        <v>0</v>
      </c>
      <c r="R1181" s="8">
        <v>0</v>
      </c>
      <c r="S1181" s="8">
        <v>1000</v>
      </c>
      <c r="T1181" s="5">
        <v>1000</v>
      </c>
      <c r="U1181" s="5">
        <v>400</v>
      </c>
      <c r="V1181" s="5">
        <f>VLOOKUP(A1181,Planilha1!B:E,4,0)</f>
        <v>5.8210743907543439</v>
      </c>
    </row>
    <row r="1182" spans="1:22" x14ac:dyDescent="0.3">
      <c r="A1182" t="str">
        <f t="shared" si="36"/>
        <v>BLISTERLACTALIS</v>
      </c>
      <c r="B1182" t="str">
        <f t="shared" si="37"/>
        <v>5074107BLISTERLACTALIS</v>
      </c>
      <c r="C1182" s="5" t="s">
        <v>226</v>
      </c>
      <c r="D1182" s="5" t="s">
        <v>815</v>
      </c>
      <c r="E1182" s="5" t="s">
        <v>816</v>
      </c>
      <c r="F1182" s="5">
        <v>5074107</v>
      </c>
      <c r="G1182" s="5" t="s">
        <v>820</v>
      </c>
      <c r="H1182" s="5" t="s">
        <v>30</v>
      </c>
      <c r="I1182" s="5" t="s">
        <v>22</v>
      </c>
      <c r="J1182" s="5" t="s">
        <v>199</v>
      </c>
      <c r="K1182" s="6">
        <v>0</v>
      </c>
      <c r="L1182" s="7">
        <v>0</v>
      </c>
      <c r="M1182" s="8">
        <v>-90</v>
      </c>
      <c r="N1182" s="8">
        <v>0</v>
      </c>
      <c r="O1182" s="8">
        <v>272.1299573914896</v>
      </c>
      <c r="P1182" s="8">
        <v>0</v>
      </c>
      <c r="Q1182" s="8">
        <v>0</v>
      </c>
      <c r="R1182" s="8">
        <v>0</v>
      </c>
      <c r="S1182" s="8">
        <v>0</v>
      </c>
      <c r="T1182" s="5">
        <v>0</v>
      </c>
      <c r="U1182" s="5">
        <v>0</v>
      </c>
      <c r="V1182" s="5">
        <f>VLOOKUP(A1182,Planilha1!B:E,4,0)</f>
        <v>13.783871706210666</v>
      </c>
    </row>
    <row r="1183" spans="1:22" x14ac:dyDescent="0.3">
      <c r="A1183" t="str">
        <f t="shared" si="36"/>
        <v>CREME UHTITAMBÉ</v>
      </c>
      <c r="B1183" t="str">
        <f t="shared" si="37"/>
        <v>5104419CREME UHTITAMBÉ</v>
      </c>
      <c r="C1183" s="5" t="s">
        <v>226</v>
      </c>
      <c r="D1183" s="5" t="s">
        <v>815</v>
      </c>
      <c r="E1183" s="5" t="s">
        <v>816</v>
      </c>
      <c r="F1183" s="5">
        <v>5104419</v>
      </c>
      <c r="G1183" s="5" t="s">
        <v>821</v>
      </c>
      <c r="H1183" s="5" t="s">
        <v>30</v>
      </c>
      <c r="I1183" s="5" t="s">
        <v>27</v>
      </c>
      <c r="J1183" s="5" t="s">
        <v>34</v>
      </c>
      <c r="K1183" s="6">
        <v>0</v>
      </c>
      <c r="L1183" s="7">
        <v>0</v>
      </c>
      <c r="M1183" s="8">
        <v>0</v>
      </c>
      <c r="N1183" s="8">
        <v>0</v>
      </c>
      <c r="O1183" s="8">
        <v>40.998405617559321</v>
      </c>
      <c r="P1183" s="8">
        <v>0</v>
      </c>
      <c r="Q1183" s="8">
        <v>0</v>
      </c>
      <c r="R1183" s="8">
        <v>0</v>
      </c>
      <c r="S1183" s="8">
        <v>0</v>
      </c>
      <c r="T1183" s="5">
        <v>0</v>
      </c>
      <c r="U1183" s="5">
        <v>0</v>
      </c>
      <c r="V1183" s="5">
        <f>VLOOKUP(A1183,Planilha1!B:E,4,0)</f>
        <v>1.2362540170747773</v>
      </c>
    </row>
    <row r="1184" spans="1:22" x14ac:dyDescent="0.3">
      <c r="A1184" t="str">
        <f t="shared" si="36"/>
        <v>DOCE DE LEITEITAMBÉ</v>
      </c>
      <c r="B1184" t="str">
        <f t="shared" si="37"/>
        <v>5105940DOCE DE LEITEITAMBÉ</v>
      </c>
      <c r="C1184" s="5" t="s">
        <v>226</v>
      </c>
      <c r="D1184" s="5" t="s">
        <v>815</v>
      </c>
      <c r="E1184" s="5" t="s">
        <v>816</v>
      </c>
      <c r="F1184" s="5">
        <v>5105940</v>
      </c>
      <c r="G1184" s="5" t="s">
        <v>822</v>
      </c>
      <c r="H1184" s="5" t="s">
        <v>30</v>
      </c>
      <c r="I1184" s="5" t="s">
        <v>27</v>
      </c>
      <c r="J1184" s="5" t="s">
        <v>46</v>
      </c>
      <c r="K1184" s="6">
        <v>0</v>
      </c>
      <c r="L1184" s="7">
        <v>0</v>
      </c>
      <c r="M1184" s="8">
        <v>0</v>
      </c>
      <c r="N1184" s="8">
        <v>0</v>
      </c>
      <c r="O1184" s="8">
        <v>74.004228813075045</v>
      </c>
      <c r="P1184" s="8">
        <v>0</v>
      </c>
      <c r="Q1184" s="8">
        <v>0</v>
      </c>
      <c r="R1184" s="8">
        <v>0</v>
      </c>
      <c r="S1184" s="8">
        <v>240</v>
      </c>
      <c r="T1184" s="5">
        <v>240</v>
      </c>
      <c r="U1184" s="5">
        <v>240</v>
      </c>
      <c r="V1184" s="5">
        <f>VLOOKUP(A1184,Planilha1!B:E,4,0)</f>
        <v>5.8210743907543439</v>
      </c>
    </row>
    <row r="1185" spans="1:22" x14ac:dyDescent="0.3">
      <c r="A1185" t="str">
        <f t="shared" si="36"/>
        <v>LEITE CONDENSADOITAMBÉ</v>
      </c>
      <c r="B1185" t="str">
        <f t="shared" si="37"/>
        <v>5109682LEITE CONDENSADOITAMBÉ</v>
      </c>
      <c r="C1185" s="5" t="s">
        <v>226</v>
      </c>
      <c r="D1185" s="5" t="s">
        <v>815</v>
      </c>
      <c r="E1185" s="5" t="s">
        <v>816</v>
      </c>
      <c r="F1185" s="5">
        <v>5109682</v>
      </c>
      <c r="G1185" s="5" t="s">
        <v>823</v>
      </c>
      <c r="H1185" s="5" t="s">
        <v>30</v>
      </c>
      <c r="I1185" s="5" t="s">
        <v>27</v>
      </c>
      <c r="J1185" s="5" t="s">
        <v>33</v>
      </c>
      <c r="K1185" s="6">
        <v>0</v>
      </c>
      <c r="L1185" s="7">
        <v>0</v>
      </c>
      <c r="M1185" s="8">
        <v>8241.1733333333341</v>
      </c>
      <c r="N1185" s="8">
        <v>12242.333333333332</v>
      </c>
      <c r="O1185" s="8">
        <v>10528.810481411334</v>
      </c>
      <c r="P1185" s="8">
        <v>0</v>
      </c>
      <c r="Q1185" s="8">
        <v>0</v>
      </c>
      <c r="R1185" s="8">
        <v>0</v>
      </c>
      <c r="S1185" s="8">
        <v>0</v>
      </c>
      <c r="T1185" s="5">
        <v>12000</v>
      </c>
      <c r="U1185" s="5">
        <v>14345</v>
      </c>
      <c r="V1185" s="5">
        <f>VLOOKUP(A1185,Planilha1!B:E,4,0)</f>
        <v>1.4766792698630664</v>
      </c>
    </row>
    <row r="1186" spans="1:22" x14ac:dyDescent="0.3">
      <c r="A1186" t="str">
        <f t="shared" si="36"/>
        <v>CREME UHTITAMBÉ</v>
      </c>
      <c r="B1186" t="str">
        <f t="shared" si="37"/>
        <v>5109682CREME UHTITAMBÉ</v>
      </c>
      <c r="C1186" s="5" t="s">
        <v>226</v>
      </c>
      <c r="D1186" s="5" t="s">
        <v>815</v>
      </c>
      <c r="E1186" s="5" t="s">
        <v>816</v>
      </c>
      <c r="F1186" s="5">
        <v>5109682</v>
      </c>
      <c r="G1186" s="5" t="s">
        <v>823</v>
      </c>
      <c r="H1186" s="5" t="s">
        <v>30</v>
      </c>
      <c r="I1186" s="5" t="s">
        <v>27</v>
      </c>
      <c r="J1186" s="5" t="s">
        <v>34</v>
      </c>
      <c r="K1186" s="6">
        <v>0</v>
      </c>
      <c r="L1186" s="7">
        <v>0</v>
      </c>
      <c r="M1186" s="8">
        <v>1165.2033333333334</v>
      </c>
      <c r="N1186" s="8">
        <v>1021.3333333333334</v>
      </c>
      <c r="O1186" s="8">
        <v>1595.9379357469434</v>
      </c>
      <c r="P1186" s="8">
        <v>0</v>
      </c>
      <c r="Q1186" s="8">
        <v>0</v>
      </c>
      <c r="R1186" s="8">
        <v>0</v>
      </c>
      <c r="S1186" s="8">
        <v>0</v>
      </c>
      <c r="T1186" s="5">
        <v>1030</v>
      </c>
      <c r="U1186" s="5">
        <v>1030</v>
      </c>
      <c r="V1186" s="5">
        <f>VLOOKUP(A1186,Planilha1!B:E,4,0)</f>
        <v>1.2362540170747773</v>
      </c>
    </row>
    <row r="1187" spans="1:22" x14ac:dyDescent="0.3">
      <c r="A1187" t="str">
        <f t="shared" si="36"/>
        <v>MANTEIGA 5KGITAMBÉ</v>
      </c>
      <c r="B1187" t="str">
        <f t="shared" si="37"/>
        <v>5109682MANTEIGA 5KGITAMBÉ</v>
      </c>
      <c r="C1187" s="5" t="s">
        <v>226</v>
      </c>
      <c r="D1187" s="5" t="s">
        <v>815</v>
      </c>
      <c r="E1187" s="5" t="s">
        <v>816</v>
      </c>
      <c r="F1187" s="5">
        <v>5109682</v>
      </c>
      <c r="G1187" s="5" t="s">
        <v>823</v>
      </c>
      <c r="H1187" s="5" t="s">
        <v>30</v>
      </c>
      <c r="I1187" s="5" t="s">
        <v>27</v>
      </c>
      <c r="J1187" s="5" t="s">
        <v>60</v>
      </c>
      <c r="K1187" s="6">
        <v>0</v>
      </c>
      <c r="L1187" s="7">
        <v>0</v>
      </c>
      <c r="M1187" s="8">
        <v>135</v>
      </c>
      <c r="N1187" s="8">
        <v>270</v>
      </c>
      <c r="O1187" s="8">
        <v>100</v>
      </c>
      <c r="P1187" s="8">
        <v>0</v>
      </c>
      <c r="Q1187" s="8">
        <v>0</v>
      </c>
      <c r="R1187" s="8">
        <v>0</v>
      </c>
      <c r="S1187" s="8">
        <v>0</v>
      </c>
      <c r="T1187" s="5">
        <v>250</v>
      </c>
      <c r="U1187" s="5">
        <v>250</v>
      </c>
      <c r="V1187" s="5">
        <f>VLOOKUP(A1187,Planilha1!B:E,4,0)</f>
        <v>5.819800475298738</v>
      </c>
    </row>
    <row r="1188" spans="1:22" x14ac:dyDescent="0.3">
      <c r="A1188" t="str">
        <f t="shared" si="36"/>
        <v>COMPOSTOITAMBÉ</v>
      </c>
      <c r="B1188" t="str">
        <f t="shared" si="37"/>
        <v>5131101COMPOSTOITAMBÉ</v>
      </c>
      <c r="C1188" s="5" t="s">
        <v>226</v>
      </c>
      <c r="D1188" s="5" t="s">
        <v>815</v>
      </c>
      <c r="E1188" s="5" t="s">
        <v>816</v>
      </c>
      <c r="F1188" s="5">
        <v>5131101</v>
      </c>
      <c r="G1188" s="5" t="s">
        <v>824</v>
      </c>
      <c r="H1188" s="5" t="s">
        <v>30</v>
      </c>
      <c r="I1188" s="5" t="s">
        <v>27</v>
      </c>
      <c r="J1188" s="5" t="s">
        <v>26</v>
      </c>
      <c r="K1188" s="6">
        <v>0</v>
      </c>
      <c r="L1188" s="7">
        <v>2430</v>
      </c>
      <c r="M1188" s="8">
        <v>613.33333333333326</v>
      </c>
      <c r="N1188" s="8">
        <v>766.66666666666663</v>
      </c>
      <c r="O1188" s="8">
        <v>1308.0610428486664</v>
      </c>
      <c r="P1188" s="8">
        <v>0</v>
      </c>
      <c r="Q1188" s="8">
        <v>0</v>
      </c>
      <c r="R1188" s="8">
        <v>0</v>
      </c>
      <c r="S1188" s="8">
        <v>1500</v>
      </c>
      <c r="T1188" s="5">
        <v>1500</v>
      </c>
      <c r="U1188" s="5">
        <v>0</v>
      </c>
      <c r="V1188" s="5">
        <f>VLOOKUP(A1188,Planilha1!B:E,4,0)</f>
        <v>0.15618217875936719</v>
      </c>
    </row>
    <row r="1189" spans="1:22" x14ac:dyDescent="0.3">
      <c r="A1189" t="str">
        <f t="shared" si="36"/>
        <v>LEITE CONDENSADOITAMBÉ</v>
      </c>
      <c r="B1189" t="str">
        <f t="shared" si="37"/>
        <v>5131101LEITE CONDENSADOITAMBÉ</v>
      </c>
      <c r="C1189" s="5" t="s">
        <v>226</v>
      </c>
      <c r="D1189" s="5" t="s">
        <v>815</v>
      </c>
      <c r="E1189" s="5" t="s">
        <v>816</v>
      </c>
      <c r="F1189" s="5">
        <v>5131101</v>
      </c>
      <c r="G1189" s="5" t="s">
        <v>824</v>
      </c>
      <c r="H1189" s="5" t="s">
        <v>30</v>
      </c>
      <c r="I1189" s="5" t="s">
        <v>27</v>
      </c>
      <c r="J1189" s="5" t="s">
        <v>33</v>
      </c>
      <c r="K1189" s="6">
        <v>0</v>
      </c>
      <c r="L1189" s="7">
        <v>9000</v>
      </c>
      <c r="M1189" s="8">
        <v>2166.666666666667</v>
      </c>
      <c r="N1189" s="8">
        <v>2666.6666666666665</v>
      </c>
      <c r="O1189" s="8">
        <v>5171.906905675698</v>
      </c>
      <c r="P1189" s="8">
        <v>0</v>
      </c>
      <c r="Q1189" s="8">
        <v>0</v>
      </c>
      <c r="R1189" s="8">
        <v>0</v>
      </c>
      <c r="S1189" s="8">
        <v>2000</v>
      </c>
      <c r="T1189" s="5">
        <v>5400</v>
      </c>
      <c r="U1189" s="5">
        <v>0</v>
      </c>
      <c r="V1189" s="5">
        <f>VLOOKUP(A1189,Planilha1!B:E,4,0)</f>
        <v>1.4766792698630664</v>
      </c>
    </row>
    <row r="1190" spans="1:22" x14ac:dyDescent="0.3">
      <c r="A1190" t="str">
        <f t="shared" si="36"/>
        <v>CREME UHTITAMBÉ</v>
      </c>
      <c r="B1190" t="str">
        <f t="shared" si="37"/>
        <v>5131101CREME UHTITAMBÉ</v>
      </c>
      <c r="C1190" s="5" t="s">
        <v>226</v>
      </c>
      <c r="D1190" s="5" t="s">
        <v>815</v>
      </c>
      <c r="E1190" s="5" t="s">
        <v>816</v>
      </c>
      <c r="F1190" s="5">
        <v>5131101</v>
      </c>
      <c r="G1190" s="5" t="s">
        <v>824</v>
      </c>
      <c r="H1190" s="5" t="s">
        <v>30</v>
      </c>
      <c r="I1190" s="5" t="s">
        <v>27</v>
      </c>
      <c r="J1190" s="5" t="s">
        <v>34</v>
      </c>
      <c r="K1190" s="6">
        <v>0</v>
      </c>
      <c r="L1190" s="7">
        <v>0</v>
      </c>
      <c r="M1190" s="8">
        <v>385.82</v>
      </c>
      <c r="N1190" s="8">
        <v>723.33333333333337</v>
      </c>
      <c r="O1190" s="8">
        <v>206.99195031304342</v>
      </c>
      <c r="P1190" s="8">
        <v>0</v>
      </c>
      <c r="Q1190" s="8">
        <v>0</v>
      </c>
      <c r="R1190" s="8">
        <v>0</v>
      </c>
      <c r="S1190" s="8">
        <v>0</v>
      </c>
      <c r="T1190" s="5">
        <v>250</v>
      </c>
      <c r="U1190" s="5">
        <v>0</v>
      </c>
      <c r="V1190" s="5">
        <f>VLOOKUP(A1190,Planilha1!B:E,4,0)</f>
        <v>1.2362540170747773</v>
      </c>
    </row>
    <row r="1191" spans="1:22" x14ac:dyDescent="0.3">
      <c r="A1191" t="str">
        <f t="shared" si="36"/>
        <v>DOCE DE LEITEITAMBÉ</v>
      </c>
      <c r="B1191" t="str">
        <f t="shared" si="37"/>
        <v>5131101DOCE DE LEITEITAMBÉ</v>
      </c>
      <c r="C1191" s="5" t="s">
        <v>226</v>
      </c>
      <c r="D1191" s="5" t="s">
        <v>815</v>
      </c>
      <c r="E1191" s="5" t="s">
        <v>816</v>
      </c>
      <c r="F1191" s="5">
        <v>5131101</v>
      </c>
      <c r="G1191" s="5" t="s">
        <v>824</v>
      </c>
      <c r="H1191" s="5" t="s">
        <v>30</v>
      </c>
      <c r="I1191" s="5" t="s">
        <v>27</v>
      </c>
      <c r="J1191" s="5" t="s">
        <v>46</v>
      </c>
      <c r="K1191" s="6">
        <v>0</v>
      </c>
      <c r="L1191" s="7">
        <v>1000</v>
      </c>
      <c r="M1191" s="8">
        <v>633.33333333333337</v>
      </c>
      <c r="N1191" s="8">
        <v>500</v>
      </c>
      <c r="O1191" s="8">
        <v>555.03171609806282</v>
      </c>
      <c r="P1191" s="8">
        <v>0</v>
      </c>
      <c r="Q1191" s="8">
        <v>0</v>
      </c>
      <c r="R1191" s="8">
        <v>0</v>
      </c>
      <c r="S1191" s="8">
        <v>0</v>
      </c>
      <c r="T1191" s="5">
        <v>0</v>
      </c>
      <c r="U1191" s="5">
        <v>0</v>
      </c>
      <c r="V1191" s="5">
        <f>VLOOKUP(A1191,Planilha1!B:E,4,0)</f>
        <v>5.8210743907543439</v>
      </c>
    </row>
    <row r="1192" spans="1:22" x14ac:dyDescent="0.3">
      <c r="A1192" t="str">
        <f t="shared" si="36"/>
        <v>COMPOSTOITAMBÉ</v>
      </c>
      <c r="B1192" t="str">
        <f t="shared" si="37"/>
        <v>5185642COMPOSTOITAMBÉ</v>
      </c>
      <c r="C1192" s="5" t="s">
        <v>226</v>
      </c>
      <c r="D1192" s="5" t="s">
        <v>815</v>
      </c>
      <c r="E1192" s="5" t="s">
        <v>816</v>
      </c>
      <c r="F1192" s="5">
        <v>5185642</v>
      </c>
      <c r="G1192" s="5" t="s">
        <v>825</v>
      </c>
      <c r="H1192" s="5" t="s">
        <v>30</v>
      </c>
      <c r="I1192" s="5" t="s">
        <v>27</v>
      </c>
      <c r="J1192" s="5" t="s">
        <v>26</v>
      </c>
      <c r="K1192" s="6">
        <v>0</v>
      </c>
      <c r="L1192" s="7">
        <v>700</v>
      </c>
      <c r="M1192" s="8">
        <v>83.333333333333329</v>
      </c>
      <c r="N1192" s="8">
        <v>0</v>
      </c>
      <c r="O1192" s="8">
        <v>1282.0598294587082</v>
      </c>
      <c r="P1192" s="8">
        <v>0</v>
      </c>
      <c r="Q1192" s="8">
        <v>0</v>
      </c>
      <c r="R1192" s="8">
        <v>0</v>
      </c>
      <c r="S1192" s="8">
        <v>1280</v>
      </c>
      <c r="T1192" s="5">
        <v>1280</v>
      </c>
      <c r="U1192" s="5">
        <v>1280</v>
      </c>
      <c r="V1192" s="5">
        <f>VLOOKUP(A1192,Planilha1!B:E,4,0)</f>
        <v>0.15618217875936719</v>
      </c>
    </row>
    <row r="1193" spans="1:22" x14ac:dyDescent="0.3">
      <c r="A1193" t="str">
        <f t="shared" si="36"/>
        <v>LEITE CONDENSADOITAMBÉ</v>
      </c>
      <c r="B1193" t="str">
        <f t="shared" si="37"/>
        <v>5185642LEITE CONDENSADOITAMBÉ</v>
      </c>
      <c r="C1193" s="5" t="s">
        <v>226</v>
      </c>
      <c r="D1193" s="5" t="s">
        <v>815</v>
      </c>
      <c r="E1193" s="5" t="s">
        <v>816</v>
      </c>
      <c r="F1193" s="5">
        <v>5185642</v>
      </c>
      <c r="G1193" s="5" t="s">
        <v>825</v>
      </c>
      <c r="H1193" s="5" t="s">
        <v>30</v>
      </c>
      <c r="I1193" s="5" t="s">
        <v>27</v>
      </c>
      <c r="J1193" s="5" t="s">
        <v>33</v>
      </c>
      <c r="K1193" s="6">
        <v>0</v>
      </c>
      <c r="L1193" s="7">
        <v>8811.36</v>
      </c>
      <c r="M1193" s="8">
        <v>3752.6133333333332</v>
      </c>
      <c r="N1193" s="8">
        <v>440</v>
      </c>
      <c r="O1193" s="8">
        <v>5100.9081836526948</v>
      </c>
      <c r="P1193" s="8">
        <v>0</v>
      </c>
      <c r="Q1193" s="8">
        <v>0</v>
      </c>
      <c r="R1193" s="8">
        <v>0</v>
      </c>
      <c r="S1193" s="8">
        <v>6005.68</v>
      </c>
      <c r="T1193" s="5">
        <v>6005.68</v>
      </c>
      <c r="U1193" s="5">
        <v>6005.68</v>
      </c>
      <c r="V1193" s="5">
        <f>VLOOKUP(A1193,Planilha1!B:E,4,0)</f>
        <v>1.4766792698630664</v>
      </c>
    </row>
    <row r="1194" spans="1:22" x14ac:dyDescent="0.3">
      <c r="A1194" t="str">
        <f t="shared" si="36"/>
        <v>CREME UHTITAMBÉ</v>
      </c>
      <c r="B1194" t="str">
        <f t="shared" si="37"/>
        <v>5185642CREME UHTITAMBÉ</v>
      </c>
      <c r="C1194" s="5" t="s">
        <v>226</v>
      </c>
      <c r="D1194" s="5" t="s">
        <v>815</v>
      </c>
      <c r="E1194" s="5" t="s">
        <v>816</v>
      </c>
      <c r="F1194" s="5">
        <v>5185642</v>
      </c>
      <c r="G1194" s="5" t="s">
        <v>825</v>
      </c>
      <c r="H1194" s="5" t="s">
        <v>30</v>
      </c>
      <c r="I1194" s="5" t="s">
        <v>27</v>
      </c>
      <c r="J1194" s="5" t="s">
        <v>34</v>
      </c>
      <c r="K1194" s="6">
        <v>0</v>
      </c>
      <c r="L1194" s="7">
        <v>2060.4</v>
      </c>
      <c r="M1194" s="8">
        <v>171.70000000000002</v>
      </c>
      <c r="N1194" s="8">
        <v>0</v>
      </c>
      <c r="O1194" s="8">
        <v>586.97717310993471</v>
      </c>
      <c r="P1194" s="8">
        <v>0</v>
      </c>
      <c r="Q1194" s="8">
        <v>0</v>
      </c>
      <c r="R1194" s="8">
        <v>0</v>
      </c>
      <c r="S1194" s="8">
        <v>1030.2</v>
      </c>
      <c r="T1194" s="5">
        <v>1030.2</v>
      </c>
      <c r="U1194" s="5">
        <v>1030.2</v>
      </c>
      <c r="V1194" s="5">
        <f>VLOOKUP(A1194,Planilha1!B:E,4,0)</f>
        <v>1.2362540170747773</v>
      </c>
    </row>
    <row r="1195" spans="1:22" x14ac:dyDescent="0.3">
      <c r="A1195" t="str">
        <f t="shared" si="36"/>
        <v>DOCE DE LEITEITAMBÉ</v>
      </c>
      <c r="B1195" t="str">
        <f t="shared" si="37"/>
        <v>5185642DOCE DE LEITEITAMBÉ</v>
      </c>
      <c r="C1195" s="5" t="s">
        <v>226</v>
      </c>
      <c r="D1195" s="5" t="s">
        <v>815</v>
      </c>
      <c r="E1195" s="5" t="s">
        <v>816</v>
      </c>
      <c r="F1195" s="5">
        <v>5185642</v>
      </c>
      <c r="G1195" s="5" t="s">
        <v>825</v>
      </c>
      <c r="H1195" s="5" t="s">
        <v>30</v>
      </c>
      <c r="I1195" s="5" t="s">
        <v>27</v>
      </c>
      <c r="J1195" s="5" t="s">
        <v>46</v>
      </c>
      <c r="K1195" s="6">
        <v>0</v>
      </c>
      <c r="L1195" s="7">
        <v>0</v>
      </c>
      <c r="M1195" s="8">
        <v>543.33333333333337</v>
      </c>
      <c r="N1195" s="8">
        <v>0</v>
      </c>
      <c r="O1195" s="8">
        <v>395.0225727184411</v>
      </c>
      <c r="P1195" s="8">
        <v>0</v>
      </c>
      <c r="Q1195" s="8">
        <v>0</v>
      </c>
      <c r="R1195" s="8">
        <v>0</v>
      </c>
      <c r="S1195" s="8">
        <v>1800</v>
      </c>
      <c r="T1195" s="5">
        <v>1800</v>
      </c>
      <c r="U1195" s="5">
        <v>1800</v>
      </c>
      <c r="V1195" s="5">
        <f>VLOOKUP(A1195,Planilha1!B:E,4,0)</f>
        <v>5.8210743907543439</v>
      </c>
    </row>
    <row r="1196" spans="1:22" x14ac:dyDescent="0.3">
      <c r="A1196" t="str">
        <f t="shared" si="36"/>
        <v>LEITE CONDENSADOITAMBÉ</v>
      </c>
      <c r="B1196" t="str">
        <f t="shared" si="37"/>
        <v>5192822LEITE CONDENSADOITAMBÉ</v>
      </c>
      <c r="C1196" s="5" t="s">
        <v>226</v>
      </c>
      <c r="D1196" s="5" t="s">
        <v>815</v>
      </c>
      <c r="E1196" s="5" t="s">
        <v>816</v>
      </c>
      <c r="F1196" s="5">
        <v>5192822</v>
      </c>
      <c r="G1196" s="5" t="s">
        <v>826</v>
      </c>
      <c r="H1196" s="5" t="s">
        <v>30</v>
      </c>
      <c r="I1196" s="5" t="s">
        <v>27</v>
      </c>
      <c r="J1196" s="5" t="s">
        <v>33</v>
      </c>
      <c r="K1196" s="6">
        <v>0</v>
      </c>
      <c r="L1196" s="7">
        <v>1810</v>
      </c>
      <c r="M1196" s="8">
        <v>1551.6666666666667</v>
      </c>
      <c r="N1196" s="8">
        <v>2800</v>
      </c>
      <c r="O1196" s="8">
        <v>506.99087416426505</v>
      </c>
      <c r="P1196" s="8">
        <v>0</v>
      </c>
      <c r="Q1196" s="8">
        <v>0</v>
      </c>
      <c r="R1196" s="8">
        <v>0</v>
      </c>
      <c r="S1196" s="8">
        <v>1940</v>
      </c>
      <c r="T1196" s="5">
        <v>1940</v>
      </c>
      <c r="U1196" s="5">
        <v>1940</v>
      </c>
      <c r="V1196" s="5">
        <f>VLOOKUP(A1196,Planilha1!B:E,4,0)</f>
        <v>1.4766792698630664</v>
      </c>
    </row>
    <row r="1197" spans="1:22" x14ac:dyDescent="0.3">
      <c r="A1197" t="str">
        <f t="shared" si="36"/>
        <v>DOCE DE LEITEITAMBÉ</v>
      </c>
      <c r="B1197" t="str">
        <f t="shared" si="37"/>
        <v>5192822DOCE DE LEITEITAMBÉ</v>
      </c>
      <c r="C1197" s="5" t="s">
        <v>226</v>
      </c>
      <c r="D1197" s="5" t="s">
        <v>815</v>
      </c>
      <c r="E1197" s="5" t="s">
        <v>816</v>
      </c>
      <c r="F1197" s="5">
        <v>5192822</v>
      </c>
      <c r="G1197" s="5" t="s">
        <v>826</v>
      </c>
      <c r="H1197" s="5" t="s">
        <v>30</v>
      </c>
      <c r="I1197" s="5" t="s">
        <v>27</v>
      </c>
      <c r="J1197" s="5" t="s">
        <v>46</v>
      </c>
      <c r="K1197" s="6">
        <v>0</v>
      </c>
      <c r="L1197" s="7">
        <v>0</v>
      </c>
      <c r="M1197" s="8">
        <v>0</v>
      </c>
      <c r="N1197" s="8">
        <v>0</v>
      </c>
      <c r="O1197" s="8">
        <v>123.0070289730842</v>
      </c>
      <c r="P1197" s="8">
        <v>0</v>
      </c>
      <c r="Q1197" s="8">
        <v>0</v>
      </c>
      <c r="R1197" s="8">
        <v>0</v>
      </c>
      <c r="S1197" s="8">
        <v>300</v>
      </c>
      <c r="T1197" s="5">
        <v>0</v>
      </c>
      <c r="U1197" s="5">
        <v>300</v>
      </c>
      <c r="V1197" s="5">
        <f>VLOOKUP(A1197,Planilha1!B:E,4,0)</f>
        <v>5.8210743907543439</v>
      </c>
    </row>
    <row r="1198" spans="1:22" x14ac:dyDescent="0.3">
      <c r="A1198" t="str">
        <f t="shared" si="36"/>
        <v>BLISTERITAMBÉ</v>
      </c>
      <c r="B1198" t="str">
        <f t="shared" si="37"/>
        <v>5217293BLISTERITAMBÉ</v>
      </c>
      <c r="C1198" s="5" t="s">
        <v>226</v>
      </c>
      <c r="D1198" s="5" t="s">
        <v>815</v>
      </c>
      <c r="E1198" s="5" t="s">
        <v>816</v>
      </c>
      <c r="F1198" s="5">
        <v>5217293</v>
      </c>
      <c r="G1198" s="5" t="s">
        <v>732</v>
      </c>
      <c r="H1198" s="5" t="s">
        <v>30</v>
      </c>
      <c r="I1198" s="5" t="s">
        <v>27</v>
      </c>
      <c r="J1198" s="5" t="s">
        <v>199</v>
      </c>
      <c r="K1198" s="6">
        <v>0</v>
      </c>
      <c r="L1198" s="7">
        <v>0</v>
      </c>
      <c r="M1198" s="8">
        <v>12.799999999999999</v>
      </c>
      <c r="N1198" s="8">
        <v>9.6666666666666661</v>
      </c>
      <c r="O1198" s="8">
        <v>18.002571840065837</v>
      </c>
      <c r="P1198" s="8">
        <v>0</v>
      </c>
      <c r="Q1198" s="8">
        <v>0</v>
      </c>
      <c r="R1198" s="8">
        <v>0</v>
      </c>
      <c r="S1198" s="8">
        <v>0</v>
      </c>
      <c r="T1198" s="5">
        <v>19</v>
      </c>
      <c r="U1198" s="5">
        <v>0</v>
      </c>
      <c r="V1198" s="5">
        <f>VLOOKUP(A1198,Planilha1!B:E,4,0)</f>
        <v>10.339882680976428</v>
      </c>
    </row>
    <row r="1199" spans="1:22" x14ac:dyDescent="0.3">
      <c r="A1199" t="str">
        <f t="shared" si="36"/>
        <v>LEITE CONDENSADOITAMBÉ</v>
      </c>
      <c r="B1199" t="str">
        <f t="shared" si="37"/>
        <v>5217293LEITE CONDENSADOITAMBÉ</v>
      </c>
      <c r="C1199" s="5" t="s">
        <v>226</v>
      </c>
      <c r="D1199" s="5" t="s">
        <v>815</v>
      </c>
      <c r="E1199" s="5" t="s">
        <v>816</v>
      </c>
      <c r="F1199" s="5">
        <v>5217293</v>
      </c>
      <c r="G1199" s="5" t="s">
        <v>732</v>
      </c>
      <c r="H1199" s="5" t="s">
        <v>30</v>
      </c>
      <c r="I1199" s="5" t="s">
        <v>27</v>
      </c>
      <c r="J1199" s="5" t="s">
        <v>33</v>
      </c>
      <c r="K1199" s="6">
        <v>0</v>
      </c>
      <c r="L1199" s="7">
        <v>6000</v>
      </c>
      <c r="M1199" s="8">
        <v>7091.6666666666661</v>
      </c>
      <c r="N1199" s="8">
        <v>5696.666666666667</v>
      </c>
      <c r="O1199" s="8">
        <v>4727.9148975318449</v>
      </c>
      <c r="P1199" s="8">
        <v>0</v>
      </c>
      <c r="Q1199" s="8">
        <v>0</v>
      </c>
      <c r="R1199" s="8">
        <v>0</v>
      </c>
      <c r="S1199" s="8">
        <v>11940</v>
      </c>
      <c r="T1199" s="5">
        <v>7260</v>
      </c>
      <c r="U1199" s="5">
        <v>5440</v>
      </c>
      <c r="V1199" s="5">
        <f>VLOOKUP(A1199,Planilha1!B:E,4,0)</f>
        <v>1.4766792698630664</v>
      </c>
    </row>
    <row r="1200" spans="1:22" x14ac:dyDescent="0.3">
      <c r="A1200" t="str">
        <f t="shared" si="36"/>
        <v>CREME UHTITAMBÉ</v>
      </c>
      <c r="B1200" t="str">
        <f t="shared" si="37"/>
        <v>5217293CREME UHTITAMBÉ</v>
      </c>
      <c r="C1200" s="5" t="s">
        <v>226</v>
      </c>
      <c r="D1200" s="5" t="s">
        <v>815</v>
      </c>
      <c r="E1200" s="5" t="s">
        <v>816</v>
      </c>
      <c r="F1200" s="5">
        <v>5217293</v>
      </c>
      <c r="G1200" s="5" t="s">
        <v>732</v>
      </c>
      <c r="H1200" s="5" t="s">
        <v>30</v>
      </c>
      <c r="I1200" s="5" t="s">
        <v>27</v>
      </c>
      <c r="J1200" s="5" t="s">
        <v>34</v>
      </c>
      <c r="K1200" s="6">
        <v>0</v>
      </c>
      <c r="L1200" s="7">
        <v>0</v>
      </c>
      <c r="M1200" s="8">
        <v>371.68</v>
      </c>
      <c r="N1200" s="8">
        <v>493</v>
      </c>
      <c r="O1200" s="8">
        <v>117.99541128956098</v>
      </c>
      <c r="P1200" s="8">
        <v>0</v>
      </c>
      <c r="Q1200" s="8">
        <v>0</v>
      </c>
      <c r="R1200" s="8">
        <v>0</v>
      </c>
      <c r="S1200" s="8">
        <v>812.04</v>
      </c>
      <c r="T1200" s="5">
        <v>812.04</v>
      </c>
      <c r="U1200" s="5">
        <v>412</v>
      </c>
      <c r="V1200" s="5">
        <f>VLOOKUP(A1200,Planilha1!B:E,4,0)</f>
        <v>1.2362540170747773</v>
      </c>
    </row>
    <row r="1201" spans="1:22" x14ac:dyDescent="0.3">
      <c r="A1201" t="str">
        <f t="shared" si="36"/>
        <v>DOCE DE LEITEITAMBÉ</v>
      </c>
      <c r="B1201" t="str">
        <f t="shared" si="37"/>
        <v>5217293DOCE DE LEITEITAMBÉ</v>
      </c>
      <c r="C1201" s="5" t="s">
        <v>226</v>
      </c>
      <c r="D1201" s="5" t="s">
        <v>815</v>
      </c>
      <c r="E1201" s="5" t="s">
        <v>816</v>
      </c>
      <c r="F1201" s="5">
        <v>5217293</v>
      </c>
      <c r="G1201" s="5" t="s">
        <v>732</v>
      </c>
      <c r="H1201" s="5" t="s">
        <v>30</v>
      </c>
      <c r="I1201" s="5" t="s">
        <v>27</v>
      </c>
      <c r="J1201" s="5" t="s">
        <v>46</v>
      </c>
      <c r="K1201" s="6">
        <v>0</v>
      </c>
      <c r="L1201" s="7">
        <v>0</v>
      </c>
      <c r="M1201" s="8">
        <v>58.666666666666671</v>
      </c>
      <c r="N1201" s="8">
        <v>44</v>
      </c>
      <c r="O1201" s="8">
        <v>98.005600320018303</v>
      </c>
      <c r="P1201" s="8">
        <v>0</v>
      </c>
      <c r="Q1201" s="8">
        <v>0</v>
      </c>
      <c r="R1201" s="8">
        <v>0</v>
      </c>
      <c r="S1201" s="8">
        <v>108</v>
      </c>
      <c r="T1201" s="5">
        <v>24</v>
      </c>
      <c r="U1201" s="5">
        <v>48</v>
      </c>
      <c r="V1201" s="5">
        <f>VLOOKUP(A1201,Planilha1!B:E,4,0)</f>
        <v>5.8210743907543439</v>
      </c>
    </row>
    <row r="1202" spans="1:22" x14ac:dyDescent="0.3">
      <c r="A1202" t="str">
        <f t="shared" si="36"/>
        <v>BLISTERLACTALIS</v>
      </c>
      <c r="B1202" t="str">
        <f t="shared" si="37"/>
        <v>5338214BLISTERLACTALIS</v>
      </c>
      <c r="C1202" s="5" t="s">
        <v>226</v>
      </c>
      <c r="D1202" s="5" t="s">
        <v>815</v>
      </c>
      <c r="E1202" s="5" t="s">
        <v>816</v>
      </c>
      <c r="F1202" s="5">
        <v>5338214</v>
      </c>
      <c r="G1202" s="5" t="s">
        <v>827</v>
      </c>
      <c r="H1202" s="5" t="s">
        <v>30</v>
      </c>
      <c r="I1202" s="5" t="s">
        <v>22</v>
      </c>
      <c r="J1202" s="5" t="s">
        <v>199</v>
      </c>
      <c r="K1202" s="6">
        <v>0</v>
      </c>
      <c r="L1202" s="7">
        <v>328.32</v>
      </c>
      <c r="M1202" s="8">
        <v>68.400000000000006</v>
      </c>
      <c r="N1202" s="8">
        <v>98.399999999999991</v>
      </c>
      <c r="O1202" s="8">
        <v>397.3926794733153</v>
      </c>
      <c r="P1202" s="8">
        <v>0</v>
      </c>
      <c r="Q1202" s="8">
        <v>167.76</v>
      </c>
      <c r="R1202" s="8">
        <v>0</v>
      </c>
      <c r="S1202" s="8">
        <v>-4.32</v>
      </c>
      <c r="T1202" s="5">
        <v>0</v>
      </c>
      <c r="U1202" s="5">
        <v>-4.32</v>
      </c>
      <c r="V1202" s="5">
        <f>VLOOKUP(A1202,Planilha1!B:E,4,0)</f>
        <v>13.783871706210666</v>
      </c>
    </row>
    <row r="1203" spans="1:22" x14ac:dyDescent="0.3">
      <c r="A1203" t="str">
        <f t="shared" si="36"/>
        <v>LEITE CONDENSADOITAMBÉ</v>
      </c>
      <c r="B1203" t="str">
        <f t="shared" si="37"/>
        <v>5338214LEITE CONDENSADOITAMBÉ</v>
      </c>
      <c r="C1203" s="5" t="s">
        <v>226</v>
      </c>
      <c r="D1203" s="5" t="s">
        <v>815</v>
      </c>
      <c r="E1203" s="5" t="s">
        <v>816</v>
      </c>
      <c r="F1203" s="5">
        <v>5338214</v>
      </c>
      <c r="G1203" s="5" t="s">
        <v>827</v>
      </c>
      <c r="H1203" s="5" t="s">
        <v>30</v>
      </c>
      <c r="I1203" s="5" t="s">
        <v>27</v>
      </c>
      <c r="J1203" s="5" t="s">
        <v>33</v>
      </c>
      <c r="K1203" s="6">
        <v>0</v>
      </c>
      <c r="L1203" s="7">
        <v>0</v>
      </c>
      <c r="M1203" s="8">
        <v>203.33333333333331</v>
      </c>
      <c r="N1203" s="8">
        <v>166.66666666666666</v>
      </c>
      <c r="O1203" s="8">
        <v>75.998632024623561</v>
      </c>
      <c r="P1203" s="8">
        <v>0</v>
      </c>
      <c r="Q1203" s="8">
        <v>0</v>
      </c>
      <c r="R1203" s="8">
        <v>0</v>
      </c>
      <c r="S1203" s="8">
        <v>760</v>
      </c>
      <c r="T1203" s="5">
        <v>760</v>
      </c>
      <c r="U1203" s="5">
        <v>1500</v>
      </c>
      <c r="V1203" s="5">
        <f>VLOOKUP(A1203,Planilha1!B:E,4,0)</f>
        <v>1.4766792698630664</v>
      </c>
    </row>
    <row r="1204" spans="1:22" x14ac:dyDescent="0.3">
      <c r="A1204" t="str">
        <f t="shared" si="36"/>
        <v>DOCE DE LEITEITAMBÉ</v>
      </c>
      <c r="B1204" t="str">
        <f t="shared" si="37"/>
        <v>5338214DOCE DE LEITEITAMBÉ</v>
      </c>
      <c r="C1204" s="5" t="s">
        <v>226</v>
      </c>
      <c r="D1204" s="5" t="s">
        <v>815</v>
      </c>
      <c r="E1204" s="5" t="s">
        <v>816</v>
      </c>
      <c r="F1204" s="5">
        <v>5338214</v>
      </c>
      <c r="G1204" s="5" t="s">
        <v>827</v>
      </c>
      <c r="H1204" s="5" t="s">
        <v>30</v>
      </c>
      <c r="I1204" s="5" t="s">
        <v>27</v>
      </c>
      <c r="J1204" s="5" t="s">
        <v>46</v>
      </c>
      <c r="K1204" s="6">
        <v>0</v>
      </c>
      <c r="L1204" s="7">
        <v>0</v>
      </c>
      <c r="M1204" s="8">
        <v>22</v>
      </c>
      <c r="N1204" s="8">
        <v>40</v>
      </c>
      <c r="O1204" s="8">
        <v>52.002971598377059</v>
      </c>
      <c r="P1204" s="8">
        <v>0</v>
      </c>
      <c r="Q1204" s="8">
        <v>0</v>
      </c>
      <c r="R1204" s="8">
        <v>0</v>
      </c>
      <c r="S1204" s="8">
        <v>90</v>
      </c>
      <c r="T1204" s="5">
        <v>90</v>
      </c>
      <c r="U1204" s="5">
        <v>60</v>
      </c>
      <c r="V1204" s="5">
        <f>VLOOKUP(A1204,Planilha1!B:E,4,0)</f>
        <v>5.8210743907543439</v>
      </c>
    </row>
    <row r="1205" spans="1:22" x14ac:dyDescent="0.3">
      <c r="A1205" t="str">
        <f t="shared" si="36"/>
        <v>MANTEIGA 5KGITAMBÉ</v>
      </c>
      <c r="B1205" t="str">
        <f t="shared" si="37"/>
        <v>5338214MANTEIGA 5KGITAMBÉ</v>
      </c>
      <c r="C1205" s="5" t="s">
        <v>226</v>
      </c>
      <c r="D1205" s="5" t="s">
        <v>815</v>
      </c>
      <c r="E1205" s="5" t="s">
        <v>816</v>
      </c>
      <c r="F1205" s="5">
        <v>5338214</v>
      </c>
      <c r="G1205" s="5" t="s">
        <v>827</v>
      </c>
      <c r="H1205" s="5" t="s">
        <v>30</v>
      </c>
      <c r="I1205" s="5" t="s">
        <v>27</v>
      </c>
      <c r="J1205" s="5" t="s">
        <v>60</v>
      </c>
      <c r="K1205" s="6">
        <v>0</v>
      </c>
      <c r="L1205" s="7">
        <v>0</v>
      </c>
      <c r="M1205" s="8">
        <v>27.5</v>
      </c>
      <c r="N1205" s="8">
        <v>38.333333333333336</v>
      </c>
      <c r="O1205" s="8">
        <v>100</v>
      </c>
      <c r="P1205" s="8">
        <v>0</v>
      </c>
      <c r="Q1205" s="8">
        <v>0</v>
      </c>
      <c r="R1205" s="8">
        <v>0</v>
      </c>
      <c r="S1205" s="8">
        <v>40</v>
      </c>
      <c r="T1205" s="5">
        <v>40</v>
      </c>
      <c r="U1205" s="5">
        <v>100</v>
      </c>
      <c r="V1205" s="5">
        <f>VLOOKUP(A1205,Planilha1!B:E,4,0)</f>
        <v>5.819800475298738</v>
      </c>
    </row>
    <row r="1206" spans="1:22" x14ac:dyDescent="0.3">
      <c r="A1206" t="str">
        <f t="shared" si="36"/>
        <v>MANTEIGA 5KGLACTALIS</v>
      </c>
      <c r="B1206" t="str">
        <f t="shared" si="37"/>
        <v>5338214MANTEIGA 5KGLACTALIS</v>
      </c>
      <c r="C1206" s="5" t="s">
        <v>226</v>
      </c>
      <c r="D1206" s="5" t="s">
        <v>815</v>
      </c>
      <c r="E1206" s="5" t="s">
        <v>816</v>
      </c>
      <c r="F1206" s="5">
        <v>5338214</v>
      </c>
      <c r="G1206" s="5" t="s">
        <v>827</v>
      </c>
      <c r="H1206" s="5" t="s">
        <v>30</v>
      </c>
      <c r="I1206" s="5" t="s">
        <v>22</v>
      </c>
      <c r="J1206" s="5" t="s">
        <v>60</v>
      </c>
      <c r="K1206" s="6">
        <v>0</v>
      </c>
      <c r="L1206" s="7">
        <v>0</v>
      </c>
      <c r="M1206" s="8">
        <v>0</v>
      </c>
      <c r="N1206" s="8">
        <v>0</v>
      </c>
      <c r="O1206" s="8">
        <v>100</v>
      </c>
      <c r="P1206" s="8">
        <v>0</v>
      </c>
      <c r="Q1206" s="8">
        <v>0</v>
      </c>
      <c r="R1206" s="8">
        <v>0</v>
      </c>
      <c r="S1206" s="8">
        <v>0</v>
      </c>
      <c r="T1206" s="5">
        <v>0</v>
      </c>
      <c r="U1206" s="5">
        <v>0</v>
      </c>
      <c r="V1206" s="5">
        <f>VLOOKUP(A1206,Planilha1!B:E,4,0)</f>
        <v>11.476197020267191</v>
      </c>
    </row>
    <row r="1207" spans="1:22" x14ac:dyDescent="0.3">
      <c r="A1207" t="str">
        <f t="shared" si="36"/>
        <v>PARMESÃOLACTALIS</v>
      </c>
      <c r="B1207" t="str">
        <f t="shared" si="37"/>
        <v>5338214PARMESÃOLACTALIS</v>
      </c>
      <c r="C1207" s="5" t="s">
        <v>226</v>
      </c>
      <c r="D1207" s="5" t="s">
        <v>815</v>
      </c>
      <c r="E1207" s="5" t="s">
        <v>816</v>
      </c>
      <c r="F1207" s="5">
        <v>5338214</v>
      </c>
      <c r="G1207" s="5" t="s">
        <v>827</v>
      </c>
      <c r="H1207" s="5" t="s">
        <v>30</v>
      </c>
      <c r="I1207" s="5" t="s">
        <v>22</v>
      </c>
      <c r="J1207" s="5" t="s">
        <v>195</v>
      </c>
      <c r="K1207" s="6">
        <v>0</v>
      </c>
      <c r="L1207" s="7">
        <v>0</v>
      </c>
      <c r="M1207" s="8">
        <v>279.43216666666666</v>
      </c>
      <c r="N1207" s="8">
        <v>558.86433333333332</v>
      </c>
      <c r="O1207" s="8">
        <v>1081.8911709398317</v>
      </c>
      <c r="P1207" s="8">
        <v>0</v>
      </c>
      <c r="Q1207" s="8">
        <v>0</v>
      </c>
      <c r="R1207" s="8">
        <v>0</v>
      </c>
      <c r="S1207" s="8">
        <v>0</v>
      </c>
      <c r="T1207" s="5">
        <v>200</v>
      </c>
      <c r="U1207" s="5">
        <v>0</v>
      </c>
      <c r="V1207" s="5">
        <f>VLOOKUP(A1207,Planilha1!B:E,4,0)</f>
        <v>6.310326960724681</v>
      </c>
    </row>
    <row r="1208" spans="1:22" x14ac:dyDescent="0.3">
      <c r="A1208" t="str">
        <f t="shared" si="36"/>
        <v>BLISTERITAMBÉ</v>
      </c>
      <c r="B1208" t="str">
        <f t="shared" si="37"/>
        <v>5349074BLISTERITAMBÉ</v>
      </c>
      <c r="C1208" s="5" t="s">
        <v>226</v>
      </c>
      <c r="D1208" s="5" t="s">
        <v>815</v>
      </c>
      <c r="E1208" s="5" t="s">
        <v>816</v>
      </c>
      <c r="F1208" s="5">
        <v>5349074</v>
      </c>
      <c r="G1208" s="5" t="s">
        <v>828</v>
      </c>
      <c r="H1208" s="5" t="s">
        <v>30</v>
      </c>
      <c r="I1208" s="5" t="s">
        <v>27</v>
      </c>
      <c r="J1208" s="5" t="s">
        <v>199</v>
      </c>
      <c r="K1208" s="6">
        <v>0</v>
      </c>
      <c r="L1208" s="7">
        <v>0</v>
      </c>
      <c r="M1208" s="8">
        <v>1.28</v>
      </c>
      <c r="N1208" s="8">
        <v>0</v>
      </c>
      <c r="O1208" s="8">
        <v>40.005715200146305</v>
      </c>
      <c r="P1208" s="8">
        <v>0</v>
      </c>
      <c r="Q1208" s="8">
        <v>0</v>
      </c>
      <c r="R1208" s="8">
        <v>0</v>
      </c>
      <c r="S1208" s="8">
        <v>0</v>
      </c>
      <c r="T1208" s="5">
        <v>0</v>
      </c>
      <c r="U1208" s="5">
        <v>0</v>
      </c>
      <c r="V1208" s="5">
        <f>VLOOKUP(A1208,Planilha1!B:E,4,0)</f>
        <v>10.339882680976428</v>
      </c>
    </row>
    <row r="1209" spans="1:22" x14ac:dyDescent="0.3">
      <c r="A1209" t="str">
        <f t="shared" si="36"/>
        <v>LEITE CONDENSADOITAMBÉ</v>
      </c>
      <c r="B1209" t="str">
        <f t="shared" si="37"/>
        <v>5349074LEITE CONDENSADOITAMBÉ</v>
      </c>
      <c r="C1209" s="5" t="s">
        <v>226</v>
      </c>
      <c r="D1209" s="5" t="s">
        <v>815</v>
      </c>
      <c r="E1209" s="5" t="s">
        <v>816</v>
      </c>
      <c r="F1209" s="5">
        <v>5349074</v>
      </c>
      <c r="G1209" s="5" t="s">
        <v>828</v>
      </c>
      <c r="H1209" s="5" t="s">
        <v>30</v>
      </c>
      <c r="I1209" s="5" t="s">
        <v>27</v>
      </c>
      <c r="J1209" s="5" t="s">
        <v>33</v>
      </c>
      <c r="K1209" s="6">
        <v>0</v>
      </c>
      <c r="L1209" s="7">
        <v>0</v>
      </c>
      <c r="M1209" s="8">
        <v>167.13499999999999</v>
      </c>
      <c r="N1209" s="8">
        <v>80.666666666666671</v>
      </c>
      <c r="O1209" s="8">
        <v>116.99789403790732</v>
      </c>
      <c r="P1209" s="8">
        <v>0</v>
      </c>
      <c r="Q1209" s="8">
        <v>0</v>
      </c>
      <c r="R1209" s="8">
        <v>0</v>
      </c>
      <c r="S1209" s="8">
        <v>0</v>
      </c>
      <c r="T1209" s="5">
        <v>0</v>
      </c>
      <c r="U1209" s="5">
        <v>0</v>
      </c>
      <c r="V1209" s="5">
        <f>VLOOKUP(A1209,Planilha1!B:E,4,0)</f>
        <v>1.4766792698630664</v>
      </c>
    </row>
    <row r="1210" spans="1:22" x14ac:dyDescent="0.3">
      <c r="A1210" t="str">
        <f t="shared" si="36"/>
        <v>CREME UHTITAMBÉ</v>
      </c>
      <c r="B1210" t="str">
        <f t="shared" si="37"/>
        <v>5349074CREME UHTITAMBÉ</v>
      </c>
      <c r="C1210" s="5" t="s">
        <v>226</v>
      </c>
      <c r="D1210" s="5" t="s">
        <v>815</v>
      </c>
      <c r="E1210" s="5" t="s">
        <v>816</v>
      </c>
      <c r="F1210" s="5">
        <v>5349074</v>
      </c>
      <c r="G1210" s="5" t="s">
        <v>828</v>
      </c>
      <c r="H1210" s="5" t="s">
        <v>30</v>
      </c>
      <c r="I1210" s="5" t="s">
        <v>27</v>
      </c>
      <c r="J1210" s="5" t="s">
        <v>34</v>
      </c>
      <c r="K1210" s="6">
        <v>0</v>
      </c>
      <c r="L1210" s="7">
        <v>0</v>
      </c>
      <c r="M1210" s="8">
        <v>36.68</v>
      </c>
      <c r="N1210" s="8">
        <v>8</v>
      </c>
      <c r="O1210" s="8">
        <v>39.998444504935925</v>
      </c>
      <c r="P1210" s="8">
        <v>0</v>
      </c>
      <c r="Q1210" s="8">
        <v>0</v>
      </c>
      <c r="R1210" s="8">
        <v>0</v>
      </c>
      <c r="S1210" s="8">
        <v>0</v>
      </c>
      <c r="T1210" s="5">
        <v>0</v>
      </c>
      <c r="U1210" s="5">
        <v>0</v>
      </c>
      <c r="V1210" s="5">
        <f>VLOOKUP(A1210,Planilha1!B:E,4,0)</f>
        <v>1.2362540170747773</v>
      </c>
    </row>
    <row r="1211" spans="1:22" x14ac:dyDescent="0.3">
      <c r="A1211" t="str">
        <f t="shared" si="36"/>
        <v>DOCE DE LEITEITAMBÉ</v>
      </c>
      <c r="B1211" t="str">
        <f t="shared" si="37"/>
        <v>5349074DOCE DE LEITEITAMBÉ</v>
      </c>
      <c r="C1211" s="5" t="s">
        <v>226</v>
      </c>
      <c r="D1211" s="5" t="s">
        <v>815</v>
      </c>
      <c r="E1211" s="5" t="s">
        <v>816</v>
      </c>
      <c r="F1211" s="5">
        <v>5349074</v>
      </c>
      <c r="G1211" s="5" t="s">
        <v>828</v>
      </c>
      <c r="H1211" s="5" t="s">
        <v>30</v>
      </c>
      <c r="I1211" s="5" t="s">
        <v>27</v>
      </c>
      <c r="J1211" s="5" t="s">
        <v>46</v>
      </c>
      <c r="K1211" s="6">
        <v>0</v>
      </c>
      <c r="L1211" s="7">
        <v>0</v>
      </c>
      <c r="M1211" s="8">
        <v>139.61333333333332</v>
      </c>
      <c r="N1211" s="8">
        <v>83.666666666666671</v>
      </c>
      <c r="O1211" s="8">
        <v>138.00788616492372</v>
      </c>
      <c r="P1211" s="8">
        <v>0</v>
      </c>
      <c r="Q1211" s="8">
        <v>0</v>
      </c>
      <c r="R1211" s="8">
        <v>0</v>
      </c>
      <c r="S1211" s="8">
        <v>0</v>
      </c>
      <c r="T1211" s="5">
        <v>0</v>
      </c>
      <c r="U1211" s="5">
        <v>0</v>
      </c>
      <c r="V1211" s="5">
        <f>VLOOKUP(A1211,Planilha1!B:E,4,0)</f>
        <v>5.8210743907543439</v>
      </c>
    </row>
    <row r="1212" spans="1:22" x14ac:dyDescent="0.3">
      <c r="A1212" t="str">
        <f t="shared" si="36"/>
        <v>DOCE DE LEITEITAMBÉ</v>
      </c>
      <c r="B1212" t="str">
        <f t="shared" si="37"/>
        <v>5352113DOCE DE LEITEITAMBÉ</v>
      </c>
      <c r="C1212" s="5" t="s">
        <v>226</v>
      </c>
      <c r="D1212" s="5" t="s">
        <v>815</v>
      </c>
      <c r="E1212" s="5" t="s">
        <v>816</v>
      </c>
      <c r="F1212" s="5">
        <v>5352113</v>
      </c>
      <c r="G1212" s="5" t="s">
        <v>829</v>
      </c>
      <c r="H1212" s="5" t="s">
        <v>30</v>
      </c>
      <c r="I1212" s="5" t="s">
        <v>27</v>
      </c>
      <c r="J1212" s="5" t="s">
        <v>46</v>
      </c>
      <c r="K1212" s="6">
        <v>0</v>
      </c>
      <c r="L1212" s="7">
        <v>0</v>
      </c>
      <c r="M1212" s="8">
        <v>0</v>
      </c>
      <c r="N1212" s="8">
        <v>0</v>
      </c>
      <c r="O1212" s="8">
        <v>123.0070289730842</v>
      </c>
      <c r="P1212" s="8">
        <v>0</v>
      </c>
      <c r="Q1212" s="8">
        <v>0</v>
      </c>
      <c r="R1212" s="8">
        <v>0</v>
      </c>
      <c r="S1212" s="8">
        <v>0</v>
      </c>
      <c r="T1212" s="5">
        <v>0</v>
      </c>
      <c r="U1212" s="5">
        <v>0</v>
      </c>
      <c r="V1212" s="5">
        <f>VLOOKUP(A1212,Planilha1!B:E,4,0)</f>
        <v>5.8210743907543439</v>
      </c>
    </row>
    <row r="1213" spans="1:22" x14ac:dyDescent="0.3">
      <c r="A1213" t="str">
        <f t="shared" si="36"/>
        <v>LEITE CONDENSADOITAMBÉ</v>
      </c>
      <c r="B1213" t="str">
        <f t="shared" si="37"/>
        <v>5355986LEITE CONDENSADOITAMBÉ</v>
      </c>
      <c r="C1213" s="5" t="s">
        <v>226</v>
      </c>
      <c r="D1213" s="5" t="s">
        <v>815</v>
      </c>
      <c r="E1213" s="5" t="s">
        <v>816</v>
      </c>
      <c r="F1213" s="5">
        <v>5355986</v>
      </c>
      <c r="G1213" s="5" t="s">
        <v>828</v>
      </c>
      <c r="H1213" s="5" t="s">
        <v>30</v>
      </c>
      <c r="I1213" s="5" t="s">
        <v>27</v>
      </c>
      <c r="J1213" s="5" t="s">
        <v>33</v>
      </c>
      <c r="K1213" s="6">
        <v>0</v>
      </c>
      <c r="L1213" s="7">
        <v>0</v>
      </c>
      <c r="M1213" s="8">
        <v>36.413333333333327</v>
      </c>
      <c r="N1213" s="8">
        <v>0</v>
      </c>
      <c r="O1213" s="8">
        <v>42.999226013931747</v>
      </c>
      <c r="P1213" s="8">
        <v>0</v>
      </c>
      <c r="Q1213" s="8">
        <v>0</v>
      </c>
      <c r="R1213" s="8">
        <v>0</v>
      </c>
      <c r="S1213" s="8">
        <v>33.72</v>
      </c>
      <c r="T1213" s="5">
        <v>33.72</v>
      </c>
      <c r="U1213" s="5">
        <v>33.72</v>
      </c>
      <c r="V1213" s="5">
        <f>VLOOKUP(A1213,Planilha1!B:E,4,0)</f>
        <v>1.4766792698630664</v>
      </c>
    </row>
    <row r="1214" spans="1:22" x14ac:dyDescent="0.3">
      <c r="A1214" t="str">
        <f t="shared" si="36"/>
        <v>CREME UHTITAMBÉ</v>
      </c>
      <c r="B1214" t="str">
        <f t="shared" si="37"/>
        <v>5355986CREME UHTITAMBÉ</v>
      </c>
      <c r="C1214" s="5" t="s">
        <v>226</v>
      </c>
      <c r="D1214" s="5" t="s">
        <v>815</v>
      </c>
      <c r="E1214" s="5" t="s">
        <v>816</v>
      </c>
      <c r="F1214" s="5">
        <v>5355986</v>
      </c>
      <c r="G1214" s="5" t="s">
        <v>828</v>
      </c>
      <c r="H1214" s="5" t="s">
        <v>30</v>
      </c>
      <c r="I1214" s="5" t="s">
        <v>27</v>
      </c>
      <c r="J1214" s="5" t="s">
        <v>34</v>
      </c>
      <c r="K1214" s="6">
        <v>0</v>
      </c>
      <c r="L1214" s="7">
        <v>0</v>
      </c>
      <c r="M1214" s="8">
        <v>15.719999999999999</v>
      </c>
      <c r="N1214" s="8">
        <v>0</v>
      </c>
      <c r="O1214" s="8">
        <v>18.999261139844563</v>
      </c>
      <c r="P1214" s="8">
        <v>0</v>
      </c>
      <c r="Q1214" s="8">
        <v>0</v>
      </c>
      <c r="R1214" s="8">
        <v>0</v>
      </c>
      <c r="S1214" s="8">
        <v>0</v>
      </c>
      <c r="T1214" s="5">
        <v>0</v>
      </c>
      <c r="U1214" s="5">
        <v>0</v>
      </c>
      <c r="V1214" s="5">
        <f>VLOOKUP(A1214,Planilha1!B:E,4,0)</f>
        <v>1.2362540170747773</v>
      </c>
    </row>
    <row r="1215" spans="1:22" x14ac:dyDescent="0.3">
      <c r="A1215" t="str">
        <f t="shared" si="36"/>
        <v>DOCE DE LEITEITAMBÉ</v>
      </c>
      <c r="B1215" t="str">
        <f t="shared" si="37"/>
        <v>5355986DOCE DE LEITEITAMBÉ</v>
      </c>
      <c r="C1215" s="5" t="s">
        <v>226</v>
      </c>
      <c r="D1215" s="5" t="s">
        <v>815</v>
      </c>
      <c r="E1215" s="5" t="s">
        <v>816</v>
      </c>
      <c r="F1215" s="5">
        <v>5355986</v>
      </c>
      <c r="G1215" s="5" t="s">
        <v>828</v>
      </c>
      <c r="H1215" s="5" t="s">
        <v>30</v>
      </c>
      <c r="I1215" s="5" t="s">
        <v>27</v>
      </c>
      <c r="J1215" s="5" t="s">
        <v>46</v>
      </c>
      <c r="K1215" s="6">
        <v>0</v>
      </c>
      <c r="L1215" s="7">
        <v>0</v>
      </c>
      <c r="M1215" s="8">
        <v>23.513333333333332</v>
      </c>
      <c r="N1215" s="8">
        <v>0</v>
      </c>
      <c r="O1215" s="8">
        <v>11.000628607348993</v>
      </c>
      <c r="P1215" s="8">
        <v>0</v>
      </c>
      <c r="Q1215" s="8">
        <v>0</v>
      </c>
      <c r="R1215" s="8">
        <v>0</v>
      </c>
      <c r="S1215" s="8">
        <v>34.799999999999997</v>
      </c>
      <c r="T1215" s="5">
        <v>34.799999999999997</v>
      </c>
      <c r="U1215" s="5">
        <v>34.799999999999997</v>
      </c>
      <c r="V1215" s="5">
        <f>VLOOKUP(A1215,Planilha1!B:E,4,0)</f>
        <v>5.8210743907543439</v>
      </c>
    </row>
    <row r="1216" spans="1:22" x14ac:dyDescent="0.3">
      <c r="A1216" t="str">
        <f t="shared" si="36"/>
        <v>BLISTERITAMBÉ</v>
      </c>
      <c r="B1216" t="str">
        <f t="shared" si="37"/>
        <v>5006978BLISTERITAMBÉ</v>
      </c>
      <c r="C1216" s="5" t="s">
        <v>226</v>
      </c>
      <c r="D1216" s="5" t="s">
        <v>815</v>
      </c>
      <c r="E1216" s="5" t="s">
        <v>815</v>
      </c>
      <c r="F1216" s="5">
        <v>5006978</v>
      </c>
      <c r="G1216" s="5" t="s">
        <v>830</v>
      </c>
      <c r="H1216" s="5" t="s">
        <v>30</v>
      </c>
      <c r="I1216" s="5" t="s">
        <v>27</v>
      </c>
      <c r="J1216" s="5" t="s">
        <v>199</v>
      </c>
      <c r="K1216" s="6">
        <v>0</v>
      </c>
      <c r="L1216" s="7">
        <v>0</v>
      </c>
      <c r="M1216" s="8">
        <v>228.79999999999998</v>
      </c>
      <c r="N1216" s="8">
        <v>213</v>
      </c>
      <c r="O1216" s="8">
        <v>523.07472624191291</v>
      </c>
      <c r="P1216" s="8">
        <v>509</v>
      </c>
      <c r="Q1216" s="8">
        <v>0</v>
      </c>
      <c r="R1216" s="8">
        <v>0</v>
      </c>
      <c r="S1216" s="8">
        <v>422.4</v>
      </c>
      <c r="T1216" s="5">
        <v>422.4</v>
      </c>
      <c r="U1216" s="5">
        <v>192</v>
      </c>
      <c r="V1216" s="5">
        <f>VLOOKUP(A1216,Planilha1!B:E,4,0)</f>
        <v>10.339882680976428</v>
      </c>
    </row>
    <row r="1217" spans="1:22" x14ac:dyDescent="0.3">
      <c r="A1217" t="str">
        <f t="shared" si="36"/>
        <v>BLISTERLACTALIS</v>
      </c>
      <c r="B1217" t="str">
        <f t="shared" si="37"/>
        <v>5006978BLISTERLACTALIS</v>
      </c>
      <c r="C1217" s="5" t="s">
        <v>226</v>
      </c>
      <c r="D1217" s="5" t="s">
        <v>815</v>
      </c>
      <c r="E1217" s="5" t="s">
        <v>815</v>
      </c>
      <c r="F1217" s="5">
        <v>5006978</v>
      </c>
      <c r="G1217" s="5" t="s">
        <v>830</v>
      </c>
      <c r="H1217" s="5" t="s">
        <v>30</v>
      </c>
      <c r="I1217" s="5" t="s">
        <v>22</v>
      </c>
      <c r="J1217" s="5" t="s">
        <v>199</v>
      </c>
      <c r="K1217" s="6">
        <v>0</v>
      </c>
      <c r="L1217" s="7">
        <v>4647.6000000000004</v>
      </c>
      <c r="M1217" s="8">
        <v>5120.3600000000006</v>
      </c>
      <c r="N1217" s="8">
        <v>5031.04</v>
      </c>
      <c r="O1217" s="8">
        <v>4897.092273822469</v>
      </c>
      <c r="P1217" s="8">
        <v>189</v>
      </c>
      <c r="Q1217" s="8">
        <v>0</v>
      </c>
      <c r="R1217" s="8">
        <v>0</v>
      </c>
      <c r="S1217" s="8">
        <v>3000</v>
      </c>
      <c r="T1217" s="5">
        <v>3000</v>
      </c>
      <c r="U1217" s="5">
        <v>2000</v>
      </c>
      <c r="V1217" s="5">
        <f>VLOOKUP(A1217,Planilha1!B:E,4,0)</f>
        <v>13.783871706210666</v>
      </c>
    </row>
    <row r="1218" spans="1:22" x14ac:dyDescent="0.3">
      <c r="A1218" t="str">
        <f t="shared" ref="A1218:A1281" si="38">J1218&amp;I1218</f>
        <v>LEITE CONDENSADOITAMBÉ</v>
      </c>
      <c r="B1218" t="str">
        <f t="shared" si="37"/>
        <v>5006978LEITE CONDENSADOITAMBÉ</v>
      </c>
      <c r="C1218" s="5" t="s">
        <v>226</v>
      </c>
      <c r="D1218" s="5" t="s">
        <v>815</v>
      </c>
      <c r="E1218" s="5" t="s">
        <v>815</v>
      </c>
      <c r="F1218" s="5">
        <v>5006978</v>
      </c>
      <c r="G1218" s="5" t="s">
        <v>830</v>
      </c>
      <c r="H1218" s="5" t="s">
        <v>30</v>
      </c>
      <c r="I1218" s="5" t="s">
        <v>27</v>
      </c>
      <c r="J1218" s="5" t="s">
        <v>33</v>
      </c>
      <c r="K1218" s="6">
        <v>0</v>
      </c>
      <c r="L1218" s="7">
        <v>12308.56</v>
      </c>
      <c r="M1218" s="8">
        <v>17565.280000000002</v>
      </c>
      <c r="N1218" s="8">
        <v>17664.333333333332</v>
      </c>
      <c r="O1218" s="8">
        <v>14609.737024733557</v>
      </c>
      <c r="P1218" s="8">
        <v>3678</v>
      </c>
      <c r="Q1218" s="8">
        <v>9406.7999999999993</v>
      </c>
      <c r="R1218" s="8">
        <v>0</v>
      </c>
      <c r="S1218" s="8">
        <v>4000</v>
      </c>
      <c r="T1218" s="5">
        <v>9406.8000000000011</v>
      </c>
      <c r="U1218" s="5">
        <v>1000</v>
      </c>
      <c r="V1218" s="5">
        <f>VLOOKUP(A1218,Planilha1!B:E,4,0)</f>
        <v>1.4766792698630664</v>
      </c>
    </row>
    <row r="1219" spans="1:22" x14ac:dyDescent="0.3">
      <c r="A1219" t="str">
        <f t="shared" si="38"/>
        <v>CREME UHTITAMBÉ</v>
      </c>
      <c r="B1219" t="str">
        <f t="shared" ref="B1219:B1282" si="39">F1219&amp;J1219&amp;I1219</f>
        <v>5006978CREME UHTITAMBÉ</v>
      </c>
      <c r="C1219" s="5" t="s">
        <v>226</v>
      </c>
      <c r="D1219" s="5" t="s">
        <v>815</v>
      </c>
      <c r="E1219" s="5" t="s">
        <v>815</v>
      </c>
      <c r="F1219" s="5">
        <v>5006978</v>
      </c>
      <c r="G1219" s="5" t="s">
        <v>830</v>
      </c>
      <c r="H1219" s="5" t="s">
        <v>30</v>
      </c>
      <c r="I1219" s="5" t="s">
        <v>27</v>
      </c>
      <c r="J1219" s="5" t="s">
        <v>34</v>
      </c>
      <c r="K1219" s="6">
        <v>0</v>
      </c>
      <c r="L1219" s="7">
        <v>1390.2</v>
      </c>
      <c r="M1219" s="8">
        <v>4729.7999999999993</v>
      </c>
      <c r="N1219" s="8">
        <v>4861</v>
      </c>
      <c r="O1219" s="8">
        <v>1677.9347469820621</v>
      </c>
      <c r="P1219" s="8">
        <v>1142</v>
      </c>
      <c r="Q1219" s="8">
        <v>2354.64</v>
      </c>
      <c r="R1219" s="8">
        <v>0</v>
      </c>
      <c r="S1219" s="8">
        <v>2500</v>
      </c>
      <c r="T1219" s="5">
        <v>2500</v>
      </c>
      <c r="U1219" s="5">
        <v>0</v>
      </c>
      <c r="V1219" s="5">
        <f>VLOOKUP(A1219,Planilha1!B:E,4,0)</f>
        <v>1.2362540170747773</v>
      </c>
    </row>
    <row r="1220" spans="1:22" x14ac:dyDescent="0.3">
      <c r="A1220" t="str">
        <f t="shared" si="38"/>
        <v>DOCE DE LEITEITAMBÉ</v>
      </c>
      <c r="B1220" t="str">
        <f t="shared" si="39"/>
        <v>5006978DOCE DE LEITEITAMBÉ</v>
      </c>
      <c r="C1220" s="5" t="s">
        <v>226</v>
      </c>
      <c r="D1220" s="5" t="s">
        <v>815</v>
      </c>
      <c r="E1220" s="5" t="s">
        <v>815</v>
      </c>
      <c r="F1220" s="5">
        <v>5006978</v>
      </c>
      <c r="G1220" s="5" t="s">
        <v>830</v>
      </c>
      <c r="H1220" s="5" t="s">
        <v>30</v>
      </c>
      <c r="I1220" s="5" t="s">
        <v>27</v>
      </c>
      <c r="J1220" s="5" t="s">
        <v>46</v>
      </c>
      <c r="K1220" s="6">
        <v>0</v>
      </c>
      <c r="L1220" s="7">
        <v>3889</v>
      </c>
      <c r="M1220" s="8">
        <v>3481</v>
      </c>
      <c r="N1220" s="8">
        <v>3634</v>
      </c>
      <c r="O1220" s="8">
        <v>3395.1940110863488</v>
      </c>
      <c r="P1220" s="8">
        <v>255</v>
      </c>
      <c r="Q1220" s="8">
        <v>0</v>
      </c>
      <c r="R1220" s="8">
        <v>0</v>
      </c>
      <c r="S1220" s="8">
        <v>2542</v>
      </c>
      <c r="T1220" s="5">
        <v>2542</v>
      </c>
      <c r="U1220" s="5">
        <v>1500</v>
      </c>
      <c r="V1220" s="5">
        <f>VLOOKUP(A1220,Planilha1!B:E,4,0)</f>
        <v>5.8210743907543439</v>
      </c>
    </row>
    <row r="1221" spans="1:22" x14ac:dyDescent="0.3">
      <c r="A1221" t="str">
        <f t="shared" si="38"/>
        <v>MANTEIGA 5KGITAMBÉ</v>
      </c>
      <c r="B1221" t="str">
        <f t="shared" si="39"/>
        <v>5006978MANTEIGA 5KGITAMBÉ</v>
      </c>
      <c r="C1221" s="5" t="s">
        <v>226</v>
      </c>
      <c r="D1221" s="5" t="s">
        <v>815</v>
      </c>
      <c r="E1221" s="5" t="s">
        <v>815</v>
      </c>
      <c r="F1221" s="5">
        <v>5006978</v>
      </c>
      <c r="G1221" s="5" t="s">
        <v>830</v>
      </c>
      <c r="H1221" s="5" t="s">
        <v>30</v>
      </c>
      <c r="I1221" s="5" t="s">
        <v>27</v>
      </c>
      <c r="J1221" s="5" t="s">
        <v>60</v>
      </c>
      <c r="K1221" s="6">
        <v>0</v>
      </c>
      <c r="L1221" s="7">
        <v>0</v>
      </c>
      <c r="M1221" s="8">
        <v>443.33333333333331</v>
      </c>
      <c r="N1221" s="8">
        <v>178.33333333333334</v>
      </c>
      <c r="O1221" s="8">
        <v>113.99620012666244</v>
      </c>
      <c r="P1221" s="8">
        <v>248</v>
      </c>
      <c r="Q1221" s="8">
        <v>0</v>
      </c>
      <c r="R1221" s="8">
        <v>0</v>
      </c>
      <c r="S1221" s="8">
        <v>500</v>
      </c>
      <c r="T1221" s="5">
        <v>500</v>
      </c>
      <c r="U1221" s="5">
        <v>250</v>
      </c>
      <c r="V1221" s="5">
        <f>VLOOKUP(A1221,Planilha1!B:E,4,0)</f>
        <v>5.819800475298738</v>
      </c>
    </row>
    <row r="1222" spans="1:22" x14ac:dyDescent="0.3">
      <c r="A1222" t="str">
        <f t="shared" si="38"/>
        <v>MANTEIGA 5KGLACTALIS</v>
      </c>
      <c r="B1222" t="str">
        <f t="shared" si="39"/>
        <v>5006978MANTEIGA 5KGLACTALIS</v>
      </c>
      <c r="C1222" s="5" t="s">
        <v>226</v>
      </c>
      <c r="D1222" s="5" t="s">
        <v>815</v>
      </c>
      <c r="E1222" s="5" t="s">
        <v>815</v>
      </c>
      <c r="F1222" s="5">
        <v>5006978</v>
      </c>
      <c r="G1222" s="5" t="s">
        <v>830</v>
      </c>
      <c r="H1222" s="5" t="s">
        <v>30</v>
      </c>
      <c r="I1222" s="5" t="s">
        <v>22</v>
      </c>
      <c r="J1222" s="5" t="s">
        <v>60</v>
      </c>
      <c r="K1222" s="6">
        <v>0</v>
      </c>
      <c r="L1222" s="7">
        <v>0</v>
      </c>
      <c r="M1222" s="8">
        <v>4843.333333333333</v>
      </c>
      <c r="N1222" s="8">
        <v>3795</v>
      </c>
      <c r="O1222" s="8">
        <v>4799</v>
      </c>
      <c r="P1222" s="8">
        <v>0</v>
      </c>
      <c r="Q1222" s="8">
        <v>0</v>
      </c>
      <c r="R1222" s="8">
        <v>0</v>
      </c>
      <c r="S1222" s="8">
        <v>10355</v>
      </c>
      <c r="T1222" s="5">
        <v>6000</v>
      </c>
      <c r="U1222" s="5">
        <v>7000</v>
      </c>
      <c r="V1222" s="5">
        <f>VLOOKUP(A1222,Planilha1!B:E,4,0)</f>
        <v>11.476197020267191</v>
      </c>
    </row>
    <row r="1223" spans="1:22" x14ac:dyDescent="0.3">
      <c r="A1223" t="str">
        <f t="shared" si="38"/>
        <v>PARMESÃOLACTALIS</v>
      </c>
      <c r="B1223" t="str">
        <f t="shared" si="39"/>
        <v>5006978PARMESÃOLACTALIS</v>
      </c>
      <c r="C1223" s="5" t="s">
        <v>226</v>
      </c>
      <c r="D1223" s="5" t="s">
        <v>815</v>
      </c>
      <c r="E1223" s="5" t="s">
        <v>815</v>
      </c>
      <c r="F1223" s="5">
        <v>5006978</v>
      </c>
      <c r="G1223" s="5" t="s">
        <v>830</v>
      </c>
      <c r="H1223" s="5" t="s">
        <v>30</v>
      </c>
      <c r="I1223" s="5" t="s">
        <v>22</v>
      </c>
      <c r="J1223" s="5" t="s">
        <v>195</v>
      </c>
      <c r="K1223" s="6">
        <v>0</v>
      </c>
      <c r="L1223" s="7">
        <v>2025.1420000000001</v>
      </c>
      <c r="M1223" s="8">
        <v>1645.3651666666667</v>
      </c>
      <c r="N1223" s="8">
        <v>661.20833333333337</v>
      </c>
      <c r="O1223" s="8">
        <v>407.25135934620391</v>
      </c>
      <c r="P1223" s="8">
        <v>201.84999999999994</v>
      </c>
      <c r="Q1223" s="8">
        <v>0</v>
      </c>
      <c r="R1223" s="8">
        <v>0</v>
      </c>
      <c r="S1223" s="8">
        <v>4000</v>
      </c>
      <c r="T1223" s="5">
        <v>2000</v>
      </c>
      <c r="U1223" s="5">
        <v>3400</v>
      </c>
      <c r="V1223" s="5">
        <f>VLOOKUP(A1223,Planilha1!B:E,4,0)</f>
        <v>6.310326960724681</v>
      </c>
    </row>
    <row r="1224" spans="1:22" x14ac:dyDescent="0.3">
      <c r="A1224" t="str">
        <f t="shared" si="38"/>
        <v>BLISTERLACTALIS</v>
      </c>
      <c r="B1224" t="str">
        <f t="shared" si="39"/>
        <v>5157891BLISTERLACTALIS</v>
      </c>
      <c r="C1224" s="5" t="s">
        <v>226</v>
      </c>
      <c r="D1224" s="5" t="s">
        <v>815</v>
      </c>
      <c r="E1224" s="5" t="s">
        <v>815</v>
      </c>
      <c r="F1224" s="5">
        <v>5157891</v>
      </c>
      <c r="G1224" s="5" t="s">
        <v>831</v>
      </c>
      <c r="H1224" s="5" t="s">
        <v>30</v>
      </c>
      <c r="I1224" s="5" t="s">
        <v>22</v>
      </c>
      <c r="J1224" s="5" t="s">
        <v>199</v>
      </c>
      <c r="K1224" s="6">
        <v>0</v>
      </c>
      <c r="L1224" s="7">
        <v>5940.48</v>
      </c>
      <c r="M1224" s="8">
        <v>4881.8799999999992</v>
      </c>
      <c r="N1224" s="8">
        <v>4007.8399999999997</v>
      </c>
      <c r="O1224" s="8">
        <v>6327.0899976428636</v>
      </c>
      <c r="P1224" s="8">
        <v>0</v>
      </c>
      <c r="Q1224" s="8">
        <v>529.92000000000007</v>
      </c>
      <c r="R1224" s="8">
        <v>0</v>
      </c>
      <c r="S1224" s="8">
        <v>9000</v>
      </c>
      <c r="T1224" s="5">
        <v>9000</v>
      </c>
      <c r="U1224" s="5">
        <v>11187.36</v>
      </c>
      <c r="V1224" s="5">
        <f>VLOOKUP(A1224,Planilha1!B:E,4,0)</f>
        <v>13.783871706210666</v>
      </c>
    </row>
    <row r="1225" spans="1:22" x14ac:dyDescent="0.3">
      <c r="A1225" t="str">
        <f t="shared" si="38"/>
        <v>LEITE CONDENSADOITAMBÉ</v>
      </c>
      <c r="B1225" t="str">
        <f t="shared" si="39"/>
        <v>5157891LEITE CONDENSADOITAMBÉ</v>
      </c>
      <c r="C1225" s="5" t="s">
        <v>226</v>
      </c>
      <c r="D1225" s="5" t="s">
        <v>815</v>
      </c>
      <c r="E1225" s="5" t="s">
        <v>815</v>
      </c>
      <c r="F1225" s="5">
        <v>5157891</v>
      </c>
      <c r="G1225" s="5" t="s">
        <v>831</v>
      </c>
      <c r="H1225" s="5" t="s">
        <v>30</v>
      </c>
      <c r="I1225" s="5" t="s">
        <v>27</v>
      </c>
      <c r="J1225" s="5" t="s">
        <v>33</v>
      </c>
      <c r="K1225" s="6">
        <v>0</v>
      </c>
      <c r="L1225" s="7">
        <v>2106</v>
      </c>
      <c r="M1225" s="8">
        <v>5857.8</v>
      </c>
      <c r="N1225" s="8">
        <v>5862.6666666666661</v>
      </c>
      <c r="O1225" s="8">
        <v>8761.842286838837</v>
      </c>
      <c r="P1225" s="8">
        <v>0</v>
      </c>
      <c r="Q1225" s="8">
        <v>3700</v>
      </c>
      <c r="R1225" s="8">
        <v>0</v>
      </c>
      <c r="S1225" s="8">
        <v>2290</v>
      </c>
      <c r="T1225" s="5">
        <v>3700</v>
      </c>
      <c r="U1225" s="5">
        <v>2290</v>
      </c>
      <c r="V1225" s="5">
        <f>VLOOKUP(A1225,Planilha1!B:E,4,0)</f>
        <v>1.4766792698630664</v>
      </c>
    </row>
    <row r="1226" spans="1:22" x14ac:dyDescent="0.3">
      <c r="A1226" t="str">
        <f t="shared" si="38"/>
        <v>CREME UHTITAMBÉ</v>
      </c>
      <c r="B1226" t="str">
        <f t="shared" si="39"/>
        <v>5157891CREME UHTITAMBÉ</v>
      </c>
      <c r="C1226" s="5" t="s">
        <v>226</v>
      </c>
      <c r="D1226" s="5" t="s">
        <v>815</v>
      </c>
      <c r="E1226" s="5" t="s">
        <v>815</v>
      </c>
      <c r="F1226" s="5">
        <v>5157891</v>
      </c>
      <c r="G1226" s="5" t="s">
        <v>831</v>
      </c>
      <c r="H1226" s="5" t="s">
        <v>30</v>
      </c>
      <c r="I1226" s="5" t="s">
        <v>27</v>
      </c>
      <c r="J1226" s="5" t="s">
        <v>34</v>
      </c>
      <c r="K1226" s="6">
        <v>0</v>
      </c>
      <c r="L1226" s="7">
        <v>1003.8</v>
      </c>
      <c r="M1226" s="8">
        <v>630.58000000000004</v>
      </c>
      <c r="N1226" s="8">
        <v>443.33333333333331</v>
      </c>
      <c r="O1226" s="8">
        <v>4656.8189014871659</v>
      </c>
      <c r="P1226" s="8">
        <v>0</v>
      </c>
      <c r="Q1226" s="8">
        <v>690.84</v>
      </c>
      <c r="R1226" s="8">
        <v>0</v>
      </c>
      <c r="S1226" s="8">
        <v>864</v>
      </c>
      <c r="T1226" s="5">
        <v>864</v>
      </c>
      <c r="U1226" s="5">
        <v>871.2</v>
      </c>
      <c r="V1226" s="5">
        <f>VLOOKUP(A1226,Planilha1!B:E,4,0)</f>
        <v>1.2362540170747773</v>
      </c>
    </row>
    <row r="1227" spans="1:22" x14ac:dyDescent="0.3">
      <c r="A1227" t="str">
        <f t="shared" si="38"/>
        <v>DOCE DE LEITEITAMBÉ</v>
      </c>
      <c r="B1227" t="str">
        <f t="shared" si="39"/>
        <v>5157891DOCE DE LEITEITAMBÉ</v>
      </c>
      <c r="C1227" s="5" t="s">
        <v>226</v>
      </c>
      <c r="D1227" s="5" t="s">
        <v>815</v>
      </c>
      <c r="E1227" s="5" t="s">
        <v>815</v>
      </c>
      <c r="F1227" s="5">
        <v>5157891</v>
      </c>
      <c r="G1227" s="5" t="s">
        <v>831</v>
      </c>
      <c r="H1227" s="5" t="s">
        <v>30</v>
      </c>
      <c r="I1227" s="5" t="s">
        <v>27</v>
      </c>
      <c r="J1227" s="5" t="s">
        <v>46</v>
      </c>
      <c r="K1227" s="6">
        <v>0</v>
      </c>
      <c r="L1227" s="7">
        <v>966</v>
      </c>
      <c r="M1227" s="8">
        <v>2402.6333333333337</v>
      </c>
      <c r="N1227" s="8">
        <v>3634.6666666666665</v>
      </c>
      <c r="O1227" s="8">
        <v>2390.1365792330994</v>
      </c>
      <c r="P1227" s="8">
        <v>0</v>
      </c>
      <c r="Q1227" s="8">
        <v>2330</v>
      </c>
      <c r="R1227" s="8">
        <v>0</v>
      </c>
      <c r="S1227" s="8">
        <v>1686</v>
      </c>
      <c r="T1227" s="5">
        <v>2330</v>
      </c>
      <c r="U1227" s="5">
        <v>2400</v>
      </c>
      <c r="V1227" s="5">
        <f>VLOOKUP(A1227,Planilha1!B:E,4,0)</f>
        <v>5.8210743907543439</v>
      </c>
    </row>
    <row r="1228" spans="1:22" x14ac:dyDescent="0.3">
      <c r="A1228" t="str">
        <f t="shared" si="38"/>
        <v>MANTEIGA 5KGITAMBÉ</v>
      </c>
      <c r="B1228" t="str">
        <f t="shared" si="39"/>
        <v>5157891MANTEIGA 5KGITAMBÉ</v>
      </c>
      <c r="C1228" s="5" t="s">
        <v>226</v>
      </c>
      <c r="D1228" s="5" t="s">
        <v>815</v>
      </c>
      <c r="E1228" s="5" t="s">
        <v>815</v>
      </c>
      <c r="F1228" s="5">
        <v>5157891</v>
      </c>
      <c r="G1228" s="5" t="s">
        <v>831</v>
      </c>
      <c r="H1228" s="5" t="s">
        <v>30</v>
      </c>
      <c r="I1228" s="5" t="s">
        <v>27</v>
      </c>
      <c r="J1228" s="5" t="s">
        <v>60</v>
      </c>
      <c r="K1228" s="6">
        <v>0</v>
      </c>
      <c r="L1228" s="7">
        <v>0</v>
      </c>
      <c r="M1228" s="8">
        <v>0</v>
      </c>
      <c r="N1228" s="8">
        <v>0</v>
      </c>
      <c r="O1228" s="8">
        <v>983.96720109329692</v>
      </c>
      <c r="P1228" s="8">
        <v>0</v>
      </c>
      <c r="Q1228" s="8">
        <v>0</v>
      </c>
      <c r="R1228" s="8">
        <v>0</v>
      </c>
      <c r="S1228" s="8">
        <v>0</v>
      </c>
      <c r="T1228" s="5">
        <v>0</v>
      </c>
      <c r="U1228" s="5">
        <v>0</v>
      </c>
      <c r="V1228" s="5">
        <f>VLOOKUP(A1228,Planilha1!B:E,4,0)</f>
        <v>5.819800475298738</v>
      </c>
    </row>
    <row r="1229" spans="1:22" x14ac:dyDescent="0.3">
      <c r="A1229" t="str">
        <f t="shared" si="38"/>
        <v>PARMESÃOLACTALIS</v>
      </c>
      <c r="B1229" t="str">
        <f t="shared" si="39"/>
        <v>5157891PARMESÃOLACTALIS</v>
      </c>
      <c r="C1229" s="5" t="s">
        <v>226</v>
      </c>
      <c r="D1229" s="5" t="s">
        <v>815</v>
      </c>
      <c r="E1229" s="5" t="s">
        <v>815</v>
      </c>
      <c r="F1229" s="5">
        <v>5157891</v>
      </c>
      <c r="G1229" s="5" t="s">
        <v>831</v>
      </c>
      <c r="H1229" s="5" t="s">
        <v>30</v>
      </c>
      <c r="I1229" s="5" t="s">
        <v>22</v>
      </c>
      <c r="J1229" s="5" t="s">
        <v>195</v>
      </c>
      <c r="K1229" s="6">
        <v>0</v>
      </c>
      <c r="L1229" s="7">
        <v>394.70699999999999</v>
      </c>
      <c r="M1229" s="8">
        <v>1046.1525000000001</v>
      </c>
      <c r="N1229" s="8">
        <v>0</v>
      </c>
      <c r="O1229" s="8">
        <v>3124.6459903416489</v>
      </c>
      <c r="P1229" s="8">
        <v>0</v>
      </c>
      <c r="Q1229" s="8">
        <v>3217.3870000000002</v>
      </c>
      <c r="R1229" s="8">
        <v>0</v>
      </c>
      <c r="S1229" s="8">
        <v>11000</v>
      </c>
      <c r="T1229" s="5">
        <v>3000</v>
      </c>
      <c r="U1229" s="5">
        <v>7731.67</v>
      </c>
      <c r="V1229" s="5">
        <f>VLOOKUP(A1229,Planilha1!B:E,4,0)</f>
        <v>6.310326960724681</v>
      </c>
    </row>
    <row r="1230" spans="1:22" x14ac:dyDescent="0.3">
      <c r="A1230" t="str">
        <f t="shared" si="38"/>
        <v>BLISTERLACTALIS</v>
      </c>
      <c r="B1230" t="str">
        <f t="shared" si="39"/>
        <v>5211344BLISTERLACTALIS</v>
      </c>
      <c r="C1230" s="5" t="s">
        <v>226</v>
      </c>
      <c r="D1230" s="5" t="s">
        <v>815</v>
      </c>
      <c r="E1230" s="5" t="s">
        <v>815</v>
      </c>
      <c r="F1230" s="5">
        <v>5211344</v>
      </c>
      <c r="G1230" s="5" t="s">
        <v>832</v>
      </c>
      <c r="H1230" s="5" t="s">
        <v>30</v>
      </c>
      <c r="I1230" s="5" t="s">
        <v>22</v>
      </c>
      <c r="J1230" s="5" t="s">
        <v>199</v>
      </c>
      <c r="K1230" s="6">
        <v>0</v>
      </c>
      <c r="L1230" s="7">
        <v>1283.04</v>
      </c>
      <c r="M1230" s="8">
        <v>2121.6</v>
      </c>
      <c r="N1230" s="8">
        <v>2181.92</v>
      </c>
      <c r="O1230" s="8">
        <v>1496.719488983588</v>
      </c>
      <c r="P1230" s="8">
        <v>51</v>
      </c>
      <c r="Q1230" s="8">
        <v>0</v>
      </c>
      <c r="R1230" s="8">
        <v>0</v>
      </c>
      <c r="S1230" s="8">
        <v>564.48</v>
      </c>
      <c r="T1230" s="5">
        <v>564.48</v>
      </c>
      <c r="U1230" s="5">
        <v>2000</v>
      </c>
      <c r="V1230" s="5">
        <f>VLOOKUP(A1230,Planilha1!B:E,4,0)</f>
        <v>13.783871706210666</v>
      </c>
    </row>
    <row r="1231" spans="1:22" x14ac:dyDescent="0.3">
      <c r="A1231" t="str">
        <f t="shared" si="38"/>
        <v>LEITE CONDENSADOITAMBÉ</v>
      </c>
      <c r="B1231" t="str">
        <f t="shared" si="39"/>
        <v>5211344LEITE CONDENSADOITAMBÉ</v>
      </c>
      <c r="C1231" s="5" t="s">
        <v>226</v>
      </c>
      <c r="D1231" s="5" t="s">
        <v>815</v>
      </c>
      <c r="E1231" s="5" t="s">
        <v>815</v>
      </c>
      <c r="F1231" s="5">
        <v>5211344</v>
      </c>
      <c r="G1231" s="5" t="s">
        <v>832</v>
      </c>
      <c r="H1231" s="5" t="s">
        <v>30</v>
      </c>
      <c r="I1231" s="5" t="s">
        <v>27</v>
      </c>
      <c r="J1231" s="5" t="s">
        <v>33</v>
      </c>
      <c r="K1231" s="6">
        <v>0</v>
      </c>
      <c r="L1231" s="7">
        <v>589.6</v>
      </c>
      <c r="M1231" s="8">
        <v>1935.0733333333337</v>
      </c>
      <c r="N1231" s="8">
        <v>1264.9999999999998</v>
      </c>
      <c r="O1231" s="8">
        <v>1012.9817663282062</v>
      </c>
      <c r="P1231" s="8">
        <v>222</v>
      </c>
      <c r="Q1231" s="8">
        <v>0</v>
      </c>
      <c r="R1231" s="8">
        <v>0</v>
      </c>
      <c r="S1231" s="8">
        <v>1000</v>
      </c>
      <c r="T1231" s="5">
        <v>1000</v>
      </c>
      <c r="U1231" s="5">
        <v>242</v>
      </c>
      <c r="V1231" s="5">
        <f>VLOOKUP(A1231,Planilha1!B:E,4,0)</f>
        <v>1.4766792698630664</v>
      </c>
    </row>
    <row r="1232" spans="1:22" x14ac:dyDescent="0.3">
      <c r="A1232" t="str">
        <f t="shared" si="38"/>
        <v>CREME UHTITAMBÉ</v>
      </c>
      <c r="B1232" t="str">
        <f t="shared" si="39"/>
        <v>5211344CREME UHTITAMBÉ</v>
      </c>
      <c r="C1232" s="5" t="s">
        <v>226</v>
      </c>
      <c r="D1232" s="5" t="s">
        <v>815</v>
      </c>
      <c r="E1232" s="5" t="s">
        <v>815</v>
      </c>
      <c r="F1232" s="5">
        <v>5211344</v>
      </c>
      <c r="G1232" s="5" t="s">
        <v>832</v>
      </c>
      <c r="H1232" s="5" t="s">
        <v>30</v>
      </c>
      <c r="I1232" s="5" t="s">
        <v>27</v>
      </c>
      <c r="J1232" s="5" t="s">
        <v>34</v>
      </c>
      <c r="K1232" s="6">
        <v>0</v>
      </c>
      <c r="L1232" s="7">
        <v>458.4</v>
      </c>
      <c r="M1232" s="8">
        <v>472.6</v>
      </c>
      <c r="N1232" s="8">
        <v>607</v>
      </c>
      <c r="O1232" s="8">
        <v>554.97841750598593</v>
      </c>
      <c r="P1232" s="8">
        <v>200</v>
      </c>
      <c r="Q1232" s="8">
        <v>0</v>
      </c>
      <c r="R1232" s="8">
        <v>0</v>
      </c>
      <c r="S1232" s="8">
        <v>1200</v>
      </c>
      <c r="T1232" s="5">
        <v>1200</v>
      </c>
      <c r="U1232" s="5">
        <v>242.4</v>
      </c>
      <c r="V1232" s="5">
        <f>VLOOKUP(A1232,Planilha1!B:E,4,0)</f>
        <v>1.2362540170747773</v>
      </c>
    </row>
    <row r="1233" spans="1:22" x14ac:dyDescent="0.3">
      <c r="A1233" t="str">
        <f t="shared" si="38"/>
        <v>DOCE DE LEITEITAMBÉ</v>
      </c>
      <c r="B1233" t="str">
        <f t="shared" si="39"/>
        <v>5211344DOCE DE LEITEITAMBÉ</v>
      </c>
      <c r="C1233" s="5" t="s">
        <v>226</v>
      </c>
      <c r="D1233" s="5" t="s">
        <v>815</v>
      </c>
      <c r="E1233" s="5" t="s">
        <v>815</v>
      </c>
      <c r="F1233" s="5">
        <v>5211344</v>
      </c>
      <c r="G1233" s="5" t="s">
        <v>832</v>
      </c>
      <c r="H1233" s="5" t="s">
        <v>30</v>
      </c>
      <c r="I1233" s="5" t="s">
        <v>27</v>
      </c>
      <c r="J1233" s="5" t="s">
        <v>46</v>
      </c>
      <c r="K1233" s="6">
        <v>0</v>
      </c>
      <c r="L1233" s="7">
        <v>472</v>
      </c>
      <c r="M1233" s="8">
        <v>355.73333333333335</v>
      </c>
      <c r="N1233" s="8">
        <v>369.33333333333331</v>
      </c>
      <c r="O1233" s="8">
        <v>376.02148694211104</v>
      </c>
      <c r="P1233" s="8">
        <v>83</v>
      </c>
      <c r="Q1233" s="8">
        <v>0</v>
      </c>
      <c r="R1233" s="8">
        <v>0</v>
      </c>
      <c r="S1233" s="8">
        <v>0</v>
      </c>
      <c r="T1233" s="5">
        <v>0</v>
      </c>
      <c r="U1233" s="5">
        <v>300</v>
      </c>
      <c r="V1233" s="5">
        <f>VLOOKUP(A1233,Planilha1!B:E,4,0)</f>
        <v>5.8210743907543439</v>
      </c>
    </row>
    <row r="1234" spans="1:22" x14ac:dyDescent="0.3">
      <c r="A1234" t="str">
        <f t="shared" si="38"/>
        <v>MANTEIGA 5KGITAMBÉ</v>
      </c>
      <c r="B1234" t="str">
        <f t="shared" si="39"/>
        <v>5211344MANTEIGA 5KGITAMBÉ</v>
      </c>
      <c r="C1234" s="5" t="s">
        <v>226</v>
      </c>
      <c r="D1234" s="5" t="s">
        <v>815</v>
      </c>
      <c r="E1234" s="5" t="s">
        <v>815</v>
      </c>
      <c r="F1234" s="5">
        <v>5211344</v>
      </c>
      <c r="G1234" s="5" t="s">
        <v>832</v>
      </c>
      <c r="H1234" s="5" t="s">
        <v>30</v>
      </c>
      <c r="I1234" s="5" t="s">
        <v>27</v>
      </c>
      <c r="J1234" s="5" t="s">
        <v>60</v>
      </c>
      <c r="K1234" s="6">
        <v>0</v>
      </c>
      <c r="L1234" s="7">
        <v>0</v>
      </c>
      <c r="M1234" s="8">
        <v>114.16666666666666</v>
      </c>
      <c r="N1234" s="8">
        <v>145</v>
      </c>
      <c r="O1234" s="8">
        <v>75.997466751108306</v>
      </c>
      <c r="P1234" s="8">
        <v>104</v>
      </c>
      <c r="Q1234" s="8">
        <v>0</v>
      </c>
      <c r="R1234" s="8">
        <v>0</v>
      </c>
      <c r="S1234" s="8">
        <v>0</v>
      </c>
      <c r="T1234" s="5">
        <v>0</v>
      </c>
      <c r="U1234" s="5">
        <v>65</v>
      </c>
      <c r="V1234" s="5">
        <f>VLOOKUP(A1234,Planilha1!B:E,4,0)</f>
        <v>5.819800475298738</v>
      </c>
    </row>
    <row r="1235" spans="1:22" x14ac:dyDescent="0.3">
      <c r="A1235" t="str">
        <f t="shared" si="38"/>
        <v>MANTEIGA 5KGLACTALIS</v>
      </c>
      <c r="B1235" t="str">
        <f t="shared" si="39"/>
        <v>5211344MANTEIGA 5KGLACTALIS</v>
      </c>
      <c r="C1235" s="5" t="s">
        <v>226</v>
      </c>
      <c r="D1235" s="5" t="s">
        <v>815</v>
      </c>
      <c r="E1235" s="5" t="s">
        <v>815</v>
      </c>
      <c r="F1235" s="5">
        <v>5211344</v>
      </c>
      <c r="G1235" s="5" t="s">
        <v>832</v>
      </c>
      <c r="H1235" s="5" t="s">
        <v>30</v>
      </c>
      <c r="I1235" s="5" t="s">
        <v>22</v>
      </c>
      <c r="J1235" s="5" t="s">
        <v>60</v>
      </c>
      <c r="K1235" s="6">
        <v>0</v>
      </c>
      <c r="L1235" s="7">
        <v>1500</v>
      </c>
      <c r="M1235" s="8">
        <v>1673.3333333333335</v>
      </c>
      <c r="N1235" s="8">
        <v>1368.3333333333333</v>
      </c>
      <c r="O1235" s="8">
        <v>2692.9058560871449</v>
      </c>
      <c r="P1235" s="8">
        <v>0</v>
      </c>
      <c r="Q1235" s="8">
        <v>0</v>
      </c>
      <c r="R1235" s="8">
        <v>0</v>
      </c>
      <c r="S1235" s="8">
        <v>1400</v>
      </c>
      <c r="T1235" s="5">
        <v>1400</v>
      </c>
      <c r="U1235" s="5">
        <v>1500</v>
      </c>
      <c r="V1235" s="5">
        <f>VLOOKUP(A1235,Planilha1!B:E,4,0)</f>
        <v>11.476197020267191</v>
      </c>
    </row>
    <row r="1236" spans="1:22" x14ac:dyDescent="0.3">
      <c r="A1236" t="str">
        <f t="shared" si="38"/>
        <v>PARMESÃOLACTALIS</v>
      </c>
      <c r="B1236" t="str">
        <f t="shared" si="39"/>
        <v>5211344PARMESÃOLACTALIS</v>
      </c>
      <c r="C1236" s="5" t="s">
        <v>226</v>
      </c>
      <c r="D1236" s="5" t="s">
        <v>815</v>
      </c>
      <c r="E1236" s="5" t="s">
        <v>815</v>
      </c>
      <c r="F1236" s="5">
        <v>5211344</v>
      </c>
      <c r="G1236" s="5" t="s">
        <v>832</v>
      </c>
      <c r="H1236" s="5" t="s">
        <v>30</v>
      </c>
      <c r="I1236" s="5" t="s">
        <v>22</v>
      </c>
      <c r="J1236" s="5" t="s">
        <v>195</v>
      </c>
      <c r="K1236" s="6">
        <v>0</v>
      </c>
      <c r="L1236" s="7">
        <v>0</v>
      </c>
      <c r="M1236" s="8">
        <v>378.60983333333337</v>
      </c>
      <c r="N1236" s="8">
        <v>318.48633333333333</v>
      </c>
      <c r="O1236" s="8">
        <v>279.59999826885416</v>
      </c>
      <c r="P1236" s="8">
        <v>56.720000000000006</v>
      </c>
      <c r="Q1236" s="8">
        <v>-22.228999999999999</v>
      </c>
      <c r="R1236" s="8">
        <v>0</v>
      </c>
      <c r="S1236" s="8">
        <v>0</v>
      </c>
      <c r="T1236" s="5">
        <v>0</v>
      </c>
      <c r="U1236" s="5">
        <v>500</v>
      </c>
      <c r="V1236" s="5">
        <f>VLOOKUP(A1236,Planilha1!B:E,4,0)</f>
        <v>6.310326960724681</v>
      </c>
    </row>
    <row r="1237" spans="1:22" x14ac:dyDescent="0.3">
      <c r="A1237" t="str">
        <f t="shared" si="38"/>
        <v>BLISTERITAMBÉ</v>
      </c>
      <c r="B1237" t="str">
        <f t="shared" si="39"/>
        <v>5226985BLISTERITAMBÉ</v>
      </c>
      <c r="C1237" s="5" t="s">
        <v>226</v>
      </c>
      <c r="D1237" s="5" t="s">
        <v>815</v>
      </c>
      <c r="E1237" s="5" t="s">
        <v>815</v>
      </c>
      <c r="F1237" s="5">
        <v>5226985</v>
      </c>
      <c r="G1237" s="5" t="s">
        <v>830</v>
      </c>
      <c r="H1237" s="5" t="s">
        <v>30</v>
      </c>
      <c r="I1237" s="5" t="s">
        <v>27</v>
      </c>
      <c r="J1237" s="5" t="s">
        <v>199</v>
      </c>
      <c r="K1237" s="6">
        <v>0</v>
      </c>
      <c r="L1237" s="7">
        <v>0</v>
      </c>
      <c r="M1237" s="8">
        <v>54.400000000000006</v>
      </c>
      <c r="N1237" s="8">
        <v>12.666666666666666</v>
      </c>
      <c r="O1237" s="8">
        <v>523.07472624191291</v>
      </c>
      <c r="P1237" s="8">
        <v>482</v>
      </c>
      <c r="Q1237" s="8">
        <v>0</v>
      </c>
      <c r="R1237" s="8">
        <v>0</v>
      </c>
      <c r="S1237" s="8">
        <v>0</v>
      </c>
      <c r="T1237" s="5">
        <v>0</v>
      </c>
      <c r="U1237" s="5">
        <v>50</v>
      </c>
      <c r="V1237" s="5">
        <f>VLOOKUP(A1237,Planilha1!B:E,4,0)</f>
        <v>10.339882680976428</v>
      </c>
    </row>
    <row r="1238" spans="1:22" x14ac:dyDescent="0.3">
      <c r="A1238" t="str">
        <f t="shared" si="38"/>
        <v>BLISTERLACTALIS</v>
      </c>
      <c r="B1238" t="str">
        <f t="shared" si="39"/>
        <v>5226985BLISTERLACTALIS</v>
      </c>
      <c r="C1238" s="5" t="s">
        <v>226</v>
      </c>
      <c r="D1238" s="5" t="s">
        <v>815</v>
      </c>
      <c r="E1238" s="5" t="s">
        <v>815</v>
      </c>
      <c r="F1238" s="5">
        <v>5226985</v>
      </c>
      <c r="G1238" s="5" t="s">
        <v>830</v>
      </c>
      <c r="H1238" s="5" t="s">
        <v>30</v>
      </c>
      <c r="I1238" s="5" t="s">
        <v>22</v>
      </c>
      <c r="J1238" s="5" t="s">
        <v>199</v>
      </c>
      <c r="K1238" s="6">
        <v>0</v>
      </c>
      <c r="L1238" s="7">
        <v>3864</v>
      </c>
      <c r="M1238" s="8">
        <v>4220.2</v>
      </c>
      <c r="N1238" s="8">
        <v>4214.7199999999993</v>
      </c>
      <c r="O1238" s="8">
        <v>3844.4130752956089</v>
      </c>
      <c r="P1238" s="8">
        <v>88</v>
      </c>
      <c r="Q1238" s="8">
        <v>564.48</v>
      </c>
      <c r="R1238" s="8">
        <v>0</v>
      </c>
      <c r="S1238" s="8">
        <v>5226.24</v>
      </c>
      <c r="T1238" s="5">
        <v>5226.24</v>
      </c>
      <c r="U1238" s="5">
        <v>3100.8</v>
      </c>
      <c r="V1238" s="5">
        <f>VLOOKUP(A1238,Planilha1!B:E,4,0)</f>
        <v>13.783871706210666</v>
      </c>
    </row>
    <row r="1239" spans="1:22" x14ac:dyDescent="0.3">
      <c r="A1239" t="str">
        <f t="shared" si="38"/>
        <v>LEITE CONDENSADOITAMBÉ</v>
      </c>
      <c r="B1239" t="str">
        <f t="shared" si="39"/>
        <v>5226985LEITE CONDENSADOITAMBÉ</v>
      </c>
      <c r="C1239" s="5" t="s">
        <v>226</v>
      </c>
      <c r="D1239" s="5" t="s">
        <v>815</v>
      </c>
      <c r="E1239" s="5" t="s">
        <v>815</v>
      </c>
      <c r="F1239" s="5">
        <v>5226985</v>
      </c>
      <c r="G1239" s="5" t="s">
        <v>830</v>
      </c>
      <c r="H1239" s="5" t="s">
        <v>30</v>
      </c>
      <c r="I1239" s="5" t="s">
        <v>27</v>
      </c>
      <c r="J1239" s="5" t="s">
        <v>33</v>
      </c>
      <c r="K1239" s="6">
        <v>0</v>
      </c>
      <c r="L1239" s="7">
        <v>2842</v>
      </c>
      <c r="M1239" s="8">
        <v>4610.7999999999993</v>
      </c>
      <c r="N1239" s="8">
        <v>3573.666666666667</v>
      </c>
      <c r="O1239" s="8">
        <v>1864.9664306042491</v>
      </c>
      <c r="P1239" s="8">
        <v>600</v>
      </c>
      <c r="Q1239" s="8">
        <v>0</v>
      </c>
      <c r="R1239" s="8">
        <v>0</v>
      </c>
      <c r="S1239" s="8">
        <v>1000</v>
      </c>
      <c r="T1239" s="5">
        <v>1000</v>
      </c>
      <c r="U1239" s="5">
        <v>2500</v>
      </c>
      <c r="V1239" s="5">
        <f>VLOOKUP(A1239,Planilha1!B:E,4,0)</f>
        <v>1.4766792698630664</v>
      </c>
    </row>
    <row r="1240" spans="1:22" x14ac:dyDescent="0.3">
      <c r="A1240" t="str">
        <f t="shared" si="38"/>
        <v>CREME UHTITAMBÉ</v>
      </c>
      <c r="B1240" t="str">
        <f t="shared" si="39"/>
        <v>5226985CREME UHTITAMBÉ</v>
      </c>
      <c r="C1240" s="5" t="s">
        <v>226</v>
      </c>
      <c r="D1240" s="5" t="s">
        <v>815</v>
      </c>
      <c r="E1240" s="5" t="s">
        <v>815</v>
      </c>
      <c r="F1240" s="5">
        <v>5226985</v>
      </c>
      <c r="G1240" s="5" t="s">
        <v>830</v>
      </c>
      <c r="H1240" s="5" t="s">
        <v>30</v>
      </c>
      <c r="I1240" s="5" t="s">
        <v>27</v>
      </c>
      <c r="J1240" s="5" t="s">
        <v>34</v>
      </c>
      <c r="K1240" s="6">
        <v>0</v>
      </c>
      <c r="L1240" s="7">
        <v>1636.2000000000003</v>
      </c>
      <c r="M1240" s="8">
        <v>2168.4</v>
      </c>
      <c r="N1240" s="8">
        <v>1830.6666666666665</v>
      </c>
      <c r="O1240" s="8">
        <v>1216.9526740626754</v>
      </c>
      <c r="P1240" s="8">
        <v>441</v>
      </c>
      <c r="Q1240" s="8">
        <v>0</v>
      </c>
      <c r="R1240" s="8">
        <v>0</v>
      </c>
      <c r="S1240" s="8">
        <v>2000</v>
      </c>
      <c r="T1240" s="5">
        <v>2000</v>
      </c>
      <c r="U1240" s="5">
        <v>1000</v>
      </c>
      <c r="V1240" s="5">
        <f>VLOOKUP(A1240,Planilha1!B:E,4,0)</f>
        <v>1.2362540170747773</v>
      </c>
    </row>
    <row r="1241" spans="1:22" x14ac:dyDescent="0.3">
      <c r="A1241" t="str">
        <f t="shared" si="38"/>
        <v>DOCE DE LEITEITAMBÉ</v>
      </c>
      <c r="B1241" t="str">
        <f t="shared" si="39"/>
        <v>5226985DOCE DE LEITEITAMBÉ</v>
      </c>
      <c r="C1241" s="5" t="s">
        <v>226</v>
      </c>
      <c r="D1241" s="5" t="s">
        <v>815</v>
      </c>
      <c r="E1241" s="5" t="s">
        <v>815</v>
      </c>
      <c r="F1241" s="5">
        <v>5226985</v>
      </c>
      <c r="G1241" s="5" t="s">
        <v>830</v>
      </c>
      <c r="H1241" s="5" t="s">
        <v>30</v>
      </c>
      <c r="I1241" s="5" t="s">
        <v>27</v>
      </c>
      <c r="J1241" s="5" t="s">
        <v>46</v>
      </c>
      <c r="K1241" s="6">
        <v>0</v>
      </c>
      <c r="L1241" s="7">
        <v>672</v>
      </c>
      <c r="M1241" s="8">
        <v>650.33333333333326</v>
      </c>
      <c r="N1241" s="8">
        <v>468</v>
      </c>
      <c r="O1241" s="8">
        <v>470.02685867763887</v>
      </c>
      <c r="P1241" s="8">
        <v>85</v>
      </c>
      <c r="Q1241" s="8">
        <v>0</v>
      </c>
      <c r="R1241" s="8">
        <v>0</v>
      </c>
      <c r="S1241" s="8">
        <v>0</v>
      </c>
      <c r="T1241" s="5">
        <v>0</v>
      </c>
      <c r="U1241" s="5">
        <v>500</v>
      </c>
      <c r="V1241" s="5">
        <f>VLOOKUP(A1241,Planilha1!B:E,4,0)</f>
        <v>5.8210743907543439</v>
      </c>
    </row>
    <row r="1242" spans="1:22" x14ac:dyDescent="0.3">
      <c r="A1242" t="str">
        <f t="shared" si="38"/>
        <v>MANTEIGA 5KGITAMBÉ</v>
      </c>
      <c r="B1242" t="str">
        <f t="shared" si="39"/>
        <v>5226985MANTEIGA 5KGITAMBÉ</v>
      </c>
      <c r="C1242" s="5" t="s">
        <v>226</v>
      </c>
      <c r="D1242" s="5" t="s">
        <v>815</v>
      </c>
      <c r="E1242" s="5" t="s">
        <v>815</v>
      </c>
      <c r="F1242" s="5">
        <v>5226985</v>
      </c>
      <c r="G1242" s="5" t="s">
        <v>830</v>
      </c>
      <c r="H1242" s="5" t="s">
        <v>30</v>
      </c>
      <c r="I1242" s="5" t="s">
        <v>27</v>
      </c>
      <c r="J1242" s="5" t="s">
        <v>60</v>
      </c>
      <c r="K1242" s="6">
        <v>0</v>
      </c>
      <c r="L1242" s="7">
        <v>0</v>
      </c>
      <c r="M1242" s="8">
        <v>125</v>
      </c>
      <c r="N1242" s="8">
        <v>0</v>
      </c>
      <c r="O1242" s="8">
        <v>75.997466751108306</v>
      </c>
      <c r="P1242" s="8">
        <v>175</v>
      </c>
      <c r="Q1242" s="8">
        <v>0</v>
      </c>
      <c r="R1242" s="8">
        <v>0</v>
      </c>
      <c r="S1242" s="8">
        <v>250</v>
      </c>
      <c r="T1242" s="5">
        <v>250</v>
      </c>
      <c r="U1242" s="5">
        <v>250</v>
      </c>
      <c r="V1242" s="5">
        <f>VLOOKUP(A1242,Planilha1!B:E,4,0)</f>
        <v>5.819800475298738</v>
      </c>
    </row>
    <row r="1243" spans="1:22" x14ac:dyDescent="0.3">
      <c r="A1243" t="str">
        <f t="shared" si="38"/>
        <v>MANTEIGA 5KGLACTALIS</v>
      </c>
      <c r="B1243" t="str">
        <f t="shared" si="39"/>
        <v>5226985MANTEIGA 5KGLACTALIS</v>
      </c>
      <c r="C1243" s="5" t="s">
        <v>226</v>
      </c>
      <c r="D1243" s="5" t="s">
        <v>815</v>
      </c>
      <c r="E1243" s="5" t="s">
        <v>815</v>
      </c>
      <c r="F1243" s="5">
        <v>5226985</v>
      </c>
      <c r="G1243" s="5" t="s">
        <v>830</v>
      </c>
      <c r="H1243" s="5" t="s">
        <v>30</v>
      </c>
      <c r="I1243" s="5" t="s">
        <v>22</v>
      </c>
      <c r="J1243" s="5" t="s">
        <v>60</v>
      </c>
      <c r="K1243" s="6">
        <v>0</v>
      </c>
      <c r="L1243" s="7">
        <v>1790</v>
      </c>
      <c r="M1243" s="8">
        <v>5681.666666666667</v>
      </c>
      <c r="N1243" s="8">
        <v>6008.333333333333</v>
      </c>
      <c r="O1243" s="8">
        <v>612.54268842741988</v>
      </c>
      <c r="P1243" s="8">
        <v>0</v>
      </c>
      <c r="Q1243" s="8">
        <v>0</v>
      </c>
      <c r="R1243" s="8">
        <v>0</v>
      </c>
      <c r="S1243" s="8">
        <v>5000</v>
      </c>
      <c r="T1243" s="5">
        <v>2000</v>
      </c>
      <c r="U1243" s="5">
        <v>7000</v>
      </c>
      <c r="V1243" s="5">
        <f>VLOOKUP(A1243,Planilha1!B:E,4,0)</f>
        <v>11.476197020267191</v>
      </c>
    </row>
    <row r="1244" spans="1:22" x14ac:dyDescent="0.3">
      <c r="A1244" t="str">
        <f t="shared" si="38"/>
        <v>PARMESÃOLACTALIS</v>
      </c>
      <c r="B1244" t="str">
        <f t="shared" si="39"/>
        <v>5226985PARMESÃOLACTALIS</v>
      </c>
      <c r="C1244" s="5" t="s">
        <v>226</v>
      </c>
      <c r="D1244" s="5" t="s">
        <v>815</v>
      </c>
      <c r="E1244" s="5" t="s">
        <v>815</v>
      </c>
      <c r="F1244" s="5">
        <v>5226985</v>
      </c>
      <c r="G1244" s="5" t="s">
        <v>830</v>
      </c>
      <c r="H1244" s="5" t="s">
        <v>30</v>
      </c>
      <c r="I1244" s="5" t="s">
        <v>22</v>
      </c>
      <c r="J1244" s="5" t="s">
        <v>195</v>
      </c>
      <c r="K1244" s="6">
        <v>0</v>
      </c>
      <c r="L1244" s="7">
        <v>316.58600000000001</v>
      </c>
      <c r="M1244" s="8">
        <v>410.60849999999999</v>
      </c>
      <c r="N1244" s="8">
        <v>327.5216666666667</v>
      </c>
      <c r="O1244" s="8">
        <v>448.52638489863773</v>
      </c>
      <c r="P1244" s="8">
        <v>77.040000000000006</v>
      </c>
      <c r="Q1244" s="8">
        <v>0</v>
      </c>
      <c r="R1244" s="8">
        <v>0</v>
      </c>
      <c r="S1244" s="8">
        <v>580.28</v>
      </c>
      <c r="T1244" s="5">
        <v>0</v>
      </c>
      <c r="U1244" s="5">
        <v>500</v>
      </c>
      <c r="V1244" s="5">
        <f>VLOOKUP(A1244,Planilha1!B:E,4,0)</f>
        <v>6.310326960724681</v>
      </c>
    </row>
    <row r="1245" spans="1:22" x14ac:dyDescent="0.3">
      <c r="A1245" t="str">
        <f t="shared" si="38"/>
        <v>PARMESÃOLACTALIS</v>
      </c>
      <c r="B1245" t="str">
        <f t="shared" si="39"/>
        <v>5034664PARMESÃOLACTALIS</v>
      </c>
      <c r="C1245" s="5" t="s">
        <v>226</v>
      </c>
      <c r="D1245" s="5" t="s">
        <v>833</v>
      </c>
      <c r="E1245" s="5" t="s">
        <v>753</v>
      </c>
      <c r="F1245" s="5">
        <v>5034664</v>
      </c>
      <c r="G1245" s="5" t="s">
        <v>834</v>
      </c>
      <c r="H1245" s="5" t="s">
        <v>835</v>
      </c>
      <c r="I1245" s="5" t="s">
        <v>22</v>
      </c>
      <c r="J1245" s="5" t="s">
        <v>195</v>
      </c>
      <c r="K1245" s="6">
        <v>0</v>
      </c>
      <c r="L1245" s="7">
        <v>0</v>
      </c>
      <c r="M1245" s="8">
        <v>989.0916666666667</v>
      </c>
      <c r="N1245" s="8">
        <v>666.51666666666665</v>
      </c>
      <c r="O1245" s="8">
        <v>2683.468735866817</v>
      </c>
      <c r="P1245" s="8">
        <v>0</v>
      </c>
      <c r="Q1245" s="8">
        <v>0</v>
      </c>
      <c r="R1245" s="8">
        <v>0</v>
      </c>
      <c r="S1245" s="8">
        <v>0</v>
      </c>
      <c r="T1245" s="5">
        <v>0</v>
      </c>
      <c r="U1245" s="5">
        <v>1441</v>
      </c>
      <c r="V1245" s="5">
        <f>VLOOKUP(A1245,Planilha1!B:E,4,0)</f>
        <v>6.310326960724681</v>
      </c>
    </row>
    <row r="1246" spans="1:22" x14ac:dyDescent="0.3">
      <c r="A1246" t="str">
        <f t="shared" si="38"/>
        <v>MANTEIGA 5KGLACTALIS</v>
      </c>
      <c r="B1246" t="str">
        <f t="shared" si="39"/>
        <v>5036214MANTEIGA 5KGLACTALIS</v>
      </c>
      <c r="C1246" s="5" t="s">
        <v>226</v>
      </c>
      <c r="D1246" s="5" t="s">
        <v>833</v>
      </c>
      <c r="E1246" s="5" t="s">
        <v>753</v>
      </c>
      <c r="F1246" s="5">
        <v>5036214</v>
      </c>
      <c r="G1246" s="5" t="s">
        <v>836</v>
      </c>
      <c r="H1246" s="5" t="s">
        <v>91</v>
      </c>
      <c r="I1246" s="5" t="s">
        <v>22</v>
      </c>
      <c r="J1246" s="5" t="s">
        <v>60</v>
      </c>
      <c r="K1246" s="6">
        <v>0</v>
      </c>
      <c r="L1246" s="7">
        <v>0</v>
      </c>
      <c r="M1246" s="8">
        <v>0</v>
      </c>
      <c r="N1246" s="8">
        <v>0</v>
      </c>
      <c r="O1246" s="8">
        <v>284.89828563125724</v>
      </c>
      <c r="P1246" s="8">
        <v>0</v>
      </c>
      <c r="Q1246" s="8">
        <v>0</v>
      </c>
      <c r="R1246" s="8">
        <v>0</v>
      </c>
      <c r="S1246" s="8">
        <v>0</v>
      </c>
      <c r="T1246" s="5">
        <v>0</v>
      </c>
      <c r="U1246" s="5">
        <v>0</v>
      </c>
      <c r="V1246" s="5">
        <f>VLOOKUP(A1246,Planilha1!B:E,4,0)</f>
        <v>11.476197020267191</v>
      </c>
    </row>
    <row r="1247" spans="1:22" x14ac:dyDescent="0.3">
      <c r="A1247" t="str">
        <f t="shared" si="38"/>
        <v>BLISTERITAMBÉ</v>
      </c>
      <c r="B1247" t="str">
        <f t="shared" si="39"/>
        <v>5133664BLISTERITAMBÉ</v>
      </c>
      <c r="C1247" s="5" t="s">
        <v>226</v>
      </c>
      <c r="D1247" s="5" t="s">
        <v>833</v>
      </c>
      <c r="E1247" s="5" t="s">
        <v>753</v>
      </c>
      <c r="F1247" s="5">
        <v>5133664</v>
      </c>
      <c r="G1247" s="5" t="s">
        <v>837</v>
      </c>
      <c r="H1247" s="5" t="s">
        <v>101</v>
      </c>
      <c r="I1247" s="5" t="s">
        <v>27</v>
      </c>
      <c r="J1247" s="5" t="s">
        <v>199</v>
      </c>
      <c r="K1247" s="6">
        <v>0</v>
      </c>
      <c r="L1247" s="7">
        <v>349.44</v>
      </c>
      <c r="M1247" s="8">
        <v>64</v>
      </c>
      <c r="N1247" s="8">
        <v>64</v>
      </c>
      <c r="O1247" s="8">
        <v>369.05272272134965</v>
      </c>
      <c r="P1247" s="8">
        <v>1.92</v>
      </c>
      <c r="Q1247" s="8">
        <v>0</v>
      </c>
      <c r="R1247" s="8">
        <v>186.24</v>
      </c>
      <c r="S1247" s="8">
        <v>0</v>
      </c>
      <c r="T1247" s="5">
        <v>0</v>
      </c>
      <c r="U1247" s="5">
        <v>0</v>
      </c>
      <c r="V1247" s="5">
        <f>VLOOKUP(A1247,Planilha1!B:E,4,0)</f>
        <v>10.339882680976428</v>
      </c>
    </row>
    <row r="1248" spans="1:22" x14ac:dyDescent="0.3">
      <c r="A1248" t="str">
        <f t="shared" si="38"/>
        <v>COMPOSTOITAMBÉ</v>
      </c>
      <c r="B1248" t="str">
        <f t="shared" si="39"/>
        <v>5133664COMPOSTOITAMBÉ</v>
      </c>
      <c r="C1248" s="5" t="s">
        <v>226</v>
      </c>
      <c r="D1248" s="5" t="s">
        <v>833</v>
      </c>
      <c r="E1248" s="5" t="s">
        <v>753</v>
      </c>
      <c r="F1248" s="5">
        <v>5133664</v>
      </c>
      <c r="G1248" s="5" t="s">
        <v>837</v>
      </c>
      <c r="H1248" s="5" t="s">
        <v>101</v>
      </c>
      <c r="I1248" s="5" t="s">
        <v>27</v>
      </c>
      <c r="J1248" s="5" t="s">
        <v>26</v>
      </c>
      <c r="K1248" s="6">
        <v>0</v>
      </c>
      <c r="L1248" s="7">
        <v>0</v>
      </c>
      <c r="M1248" s="8">
        <v>308.33333333333337</v>
      </c>
      <c r="N1248" s="8">
        <v>616.66666666666663</v>
      </c>
      <c r="O1248" s="8">
        <v>501</v>
      </c>
      <c r="P1248" s="8">
        <v>100</v>
      </c>
      <c r="Q1248" s="8">
        <v>0</v>
      </c>
      <c r="R1248" s="8">
        <v>1008</v>
      </c>
      <c r="S1248" s="8">
        <v>700</v>
      </c>
      <c r="T1248" s="5">
        <v>700</v>
      </c>
      <c r="U1248" s="5">
        <v>700</v>
      </c>
      <c r="V1248" s="5">
        <f>VLOOKUP(A1248,Planilha1!B:E,4,0)</f>
        <v>0.15618217875936719</v>
      </c>
    </row>
    <row r="1249" spans="1:22" x14ac:dyDescent="0.3">
      <c r="A1249" t="str">
        <f t="shared" si="38"/>
        <v>LEITE CONDENSADOITAMBÉ</v>
      </c>
      <c r="B1249" t="str">
        <f t="shared" si="39"/>
        <v>5133664LEITE CONDENSADOITAMBÉ</v>
      </c>
      <c r="C1249" s="5" t="s">
        <v>226</v>
      </c>
      <c r="D1249" s="5" t="s">
        <v>833</v>
      </c>
      <c r="E1249" s="5" t="s">
        <v>753</v>
      </c>
      <c r="F1249" s="5">
        <v>5133664</v>
      </c>
      <c r="G1249" s="5" t="s">
        <v>837</v>
      </c>
      <c r="H1249" s="5" t="s">
        <v>101</v>
      </c>
      <c r="I1249" s="5" t="s">
        <v>27</v>
      </c>
      <c r="J1249" s="5" t="s">
        <v>33</v>
      </c>
      <c r="K1249" s="6">
        <v>0</v>
      </c>
      <c r="L1249" s="7">
        <v>2730</v>
      </c>
      <c r="M1249" s="8">
        <v>28529.898333333331</v>
      </c>
      <c r="N1249" s="8">
        <v>29241.000000000004</v>
      </c>
      <c r="O1249" s="8">
        <v>28737.482725310943</v>
      </c>
      <c r="P1249" s="8">
        <v>5386.8799999999992</v>
      </c>
      <c r="Q1249" s="8">
        <v>-1760</v>
      </c>
      <c r="R1249" s="8">
        <v>50732.98</v>
      </c>
      <c r="S1249" s="8">
        <v>30000</v>
      </c>
      <c r="T1249" s="5">
        <v>30000</v>
      </c>
      <c r="U1249" s="5">
        <v>23000</v>
      </c>
      <c r="V1249" s="5">
        <f>VLOOKUP(A1249,Planilha1!B:E,4,0)</f>
        <v>1.4766792698630664</v>
      </c>
    </row>
    <row r="1250" spans="1:22" x14ac:dyDescent="0.3">
      <c r="A1250" t="str">
        <f t="shared" si="38"/>
        <v>CREME UHTITAMBÉ</v>
      </c>
      <c r="B1250" t="str">
        <f t="shared" si="39"/>
        <v>5133664CREME UHTITAMBÉ</v>
      </c>
      <c r="C1250" s="5" t="s">
        <v>226</v>
      </c>
      <c r="D1250" s="5" t="s">
        <v>833</v>
      </c>
      <c r="E1250" s="5" t="s">
        <v>753</v>
      </c>
      <c r="F1250" s="5">
        <v>5133664</v>
      </c>
      <c r="G1250" s="5" t="s">
        <v>837</v>
      </c>
      <c r="H1250" s="5" t="s">
        <v>101</v>
      </c>
      <c r="I1250" s="5" t="s">
        <v>27</v>
      </c>
      <c r="J1250" s="5" t="s">
        <v>34</v>
      </c>
      <c r="K1250" s="6">
        <v>0</v>
      </c>
      <c r="L1250" s="7">
        <v>4120.8</v>
      </c>
      <c r="M1250" s="8">
        <v>5443.5</v>
      </c>
      <c r="N1250" s="8">
        <v>3722</v>
      </c>
      <c r="O1250" s="8">
        <v>4742.8155571727775</v>
      </c>
      <c r="P1250" s="8">
        <v>459.55</v>
      </c>
      <c r="Q1250" s="8">
        <v>0</v>
      </c>
      <c r="R1250" s="8">
        <v>10264.76</v>
      </c>
      <c r="S1250" s="8">
        <v>0</v>
      </c>
      <c r="T1250" s="5">
        <v>0</v>
      </c>
      <c r="U1250" s="5">
        <v>0</v>
      </c>
      <c r="V1250" s="5">
        <f>VLOOKUP(A1250,Planilha1!B:E,4,0)</f>
        <v>1.2362540170747773</v>
      </c>
    </row>
    <row r="1251" spans="1:22" x14ac:dyDescent="0.3">
      <c r="A1251" t="str">
        <f t="shared" si="38"/>
        <v>DOCE DE LEITEITAMBÉ</v>
      </c>
      <c r="B1251" t="str">
        <f t="shared" si="39"/>
        <v>5133664DOCE DE LEITEITAMBÉ</v>
      </c>
      <c r="C1251" s="5" t="s">
        <v>226</v>
      </c>
      <c r="D1251" s="5" t="s">
        <v>833</v>
      </c>
      <c r="E1251" s="5" t="s">
        <v>753</v>
      </c>
      <c r="F1251" s="5">
        <v>5133664</v>
      </c>
      <c r="G1251" s="5" t="s">
        <v>837</v>
      </c>
      <c r="H1251" s="5" t="s">
        <v>101</v>
      </c>
      <c r="I1251" s="5" t="s">
        <v>27</v>
      </c>
      <c r="J1251" s="5" t="s">
        <v>46</v>
      </c>
      <c r="K1251" s="6">
        <v>0</v>
      </c>
      <c r="L1251" s="7">
        <v>3640</v>
      </c>
      <c r="M1251" s="8">
        <v>1812.8666666666666</v>
      </c>
      <c r="N1251" s="8">
        <v>1058</v>
      </c>
      <c r="O1251" s="8">
        <v>904.05166009486265</v>
      </c>
      <c r="P1251" s="8">
        <v>166.5</v>
      </c>
      <c r="Q1251" s="8">
        <v>0</v>
      </c>
      <c r="R1251" s="8">
        <v>2603.1999999999998</v>
      </c>
      <c r="S1251" s="8">
        <v>1820</v>
      </c>
      <c r="T1251" s="5">
        <v>1820</v>
      </c>
      <c r="U1251" s="5">
        <v>1820</v>
      </c>
      <c r="V1251" s="5">
        <f>VLOOKUP(A1251,Planilha1!B:E,4,0)</f>
        <v>5.8210743907543439</v>
      </c>
    </row>
    <row r="1252" spans="1:22" x14ac:dyDescent="0.3">
      <c r="A1252" t="str">
        <f t="shared" si="38"/>
        <v>MANTEIGA 5KGITAMBÉ</v>
      </c>
      <c r="B1252" t="str">
        <f t="shared" si="39"/>
        <v>5133664MANTEIGA 5KGITAMBÉ</v>
      </c>
      <c r="C1252" s="5" t="s">
        <v>226</v>
      </c>
      <c r="D1252" s="5" t="s">
        <v>833</v>
      </c>
      <c r="E1252" s="5" t="s">
        <v>753</v>
      </c>
      <c r="F1252" s="5">
        <v>5133664</v>
      </c>
      <c r="G1252" s="5" t="s">
        <v>837</v>
      </c>
      <c r="H1252" s="5" t="s">
        <v>101</v>
      </c>
      <c r="I1252" s="5" t="s">
        <v>27</v>
      </c>
      <c r="J1252" s="5" t="s">
        <v>60</v>
      </c>
      <c r="K1252" s="6">
        <v>0</v>
      </c>
      <c r="L1252" s="7">
        <v>0</v>
      </c>
      <c r="M1252" s="8">
        <v>2664.166666666667</v>
      </c>
      <c r="N1252" s="8">
        <v>2945</v>
      </c>
      <c r="O1252" s="8">
        <v>523.98253391553612</v>
      </c>
      <c r="P1252" s="8">
        <v>335</v>
      </c>
      <c r="Q1252" s="8">
        <v>0</v>
      </c>
      <c r="R1252" s="8">
        <v>6465</v>
      </c>
      <c r="S1252" s="8">
        <v>0</v>
      </c>
      <c r="T1252" s="5">
        <v>0</v>
      </c>
      <c r="U1252" s="5">
        <v>0</v>
      </c>
      <c r="V1252" s="5">
        <f>VLOOKUP(A1252,Planilha1!B:E,4,0)</f>
        <v>5.819800475298738</v>
      </c>
    </row>
    <row r="1253" spans="1:22" x14ac:dyDescent="0.3">
      <c r="A1253" t="str">
        <f t="shared" si="38"/>
        <v>PARMESÃOLACTALIS</v>
      </c>
      <c r="B1253" t="str">
        <f t="shared" si="39"/>
        <v>5133664PARMESÃOLACTALIS</v>
      </c>
      <c r="C1253" s="5" t="s">
        <v>226</v>
      </c>
      <c r="D1253" s="5" t="s">
        <v>833</v>
      </c>
      <c r="E1253" s="5" t="s">
        <v>753</v>
      </c>
      <c r="F1253" s="5">
        <v>5133664</v>
      </c>
      <c r="G1253" s="5" t="s">
        <v>837</v>
      </c>
      <c r="H1253" s="5" t="s">
        <v>101</v>
      </c>
      <c r="I1253" s="5" t="s">
        <v>22</v>
      </c>
      <c r="J1253" s="5" t="s">
        <v>195</v>
      </c>
      <c r="K1253" s="6">
        <v>0</v>
      </c>
      <c r="L1253" s="7">
        <v>0</v>
      </c>
      <c r="M1253" s="8">
        <v>629.47366666666665</v>
      </c>
      <c r="N1253" s="8">
        <v>924.68066666666664</v>
      </c>
      <c r="O1253" s="8">
        <v>2683.468735866817</v>
      </c>
      <c r="P1253" s="8">
        <v>23.000459999999997</v>
      </c>
      <c r="Q1253" s="8">
        <v>0</v>
      </c>
      <c r="R1253" s="8">
        <v>2602.05204</v>
      </c>
      <c r="S1253" s="8">
        <v>0</v>
      </c>
      <c r="T1253" s="5">
        <v>0</v>
      </c>
      <c r="U1253" s="5">
        <v>0</v>
      </c>
      <c r="V1253" s="5">
        <f>VLOOKUP(A1253,Planilha1!B:E,4,0)</f>
        <v>6.310326960724681</v>
      </c>
    </row>
    <row r="1254" spans="1:22" x14ac:dyDescent="0.3">
      <c r="A1254" t="str">
        <f t="shared" si="38"/>
        <v>BLISTERITAMBÉ</v>
      </c>
      <c r="B1254" t="str">
        <f t="shared" si="39"/>
        <v>5151341BLISTERITAMBÉ</v>
      </c>
      <c r="C1254" s="5" t="s">
        <v>226</v>
      </c>
      <c r="D1254" s="5" t="s">
        <v>833</v>
      </c>
      <c r="E1254" s="5" t="s">
        <v>753</v>
      </c>
      <c r="F1254" s="5">
        <v>5151341</v>
      </c>
      <c r="G1254" s="5" t="s">
        <v>838</v>
      </c>
      <c r="H1254" s="5" t="s">
        <v>101</v>
      </c>
      <c r="I1254" s="5" t="s">
        <v>27</v>
      </c>
      <c r="J1254" s="5" t="s">
        <v>199</v>
      </c>
      <c r="K1254" s="6">
        <v>0</v>
      </c>
      <c r="L1254" s="7">
        <v>0</v>
      </c>
      <c r="M1254" s="8">
        <v>226.88</v>
      </c>
      <c r="N1254" s="8">
        <v>160</v>
      </c>
      <c r="O1254" s="8">
        <v>336.04800768122897</v>
      </c>
      <c r="P1254" s="8">
        <v>0</v>
      </c>
      <c r="Q1254" s="8">
        <v>0</v>
      </c>
      <c r="R1254" s="8">
        <v>0</v>
      </c>
      <c r="S1254" s="8">
        <v>160</v>
      </c>
      <c r="T1254" s="5">
        <v>160</v>
      </c>
      <c r="U1254" s="5">
        <v>160</v>
      </c>
      <c r="V1254" s="5">
        <f>VLOOKUP(A1254,Planilha1!B:E,4,0)</f>
        <v>10.339882680976428</v>
      </c>
    </row>
    <row r="1255" spans="1:22" x14ac:dyDescent="0.3">
      <c r="A1255" t="str">
        <f t="shared" si="38"/>
        <v>COMPOSTOITAMBÉ</v>
      </c>
      <c r="B1255" t="str">
        <f t="shared" si="39"/>
        <v>5214453COMPOSTOITAMBÉ</v>
      </c>
      <c r="C1255" s="5" t="s">
        <v>226</v>
      </c>
      <c r="D1255" s="5" t="s">
        <v>833</v>
      </c>
      <c r="E1255" s="5" t="s">
        <v>753</v>
      </c>
      <c r="F1255" s="5">
        <v>5214453</v>
      </c>
      <c r="G1255" s="5" t="s">
        <v>839</v>
      </c>
      <c r="H1255" s="5" t="s">
        <v>101</v>
      </c>
      <c r="I1255" s="5" t="s">
        <v>27</v>
      </c>
      <c r="J1255" s="5" t="s">
        <v>26</v>
      </c>
      <c r="K1255" s="6">
        <v>0</v>
      </c>
      <c r="L1255" s="7">
        <v>0</v>
      </c>
      <c r="M1255" s="8">
        <v>116.66666666666667</v>
      </c>
      <c r="N1255" s="8">
        <v>0</v>
      </c>
      <c r="O1255" s="8">
        <v>500</v>
      </c>
      <c r="P1255" s="8">
        <v>0</v>
      </c>
      <c r="Q1255" s="8">
        <v>0</v>
      </c>
      <c r="R1255" s="8">
        <v>0</v>
      </c>
      <c r="S1255" s="8">
        <v>0</v>
      </c>
      <c r="T1255" s="5">
        <v>0</v>
      </c>
      <c r="U1255" s="5">
        <v>0</v>
      </c>
      <c r="V1255" s="5">
        <f>VLOOKUP(A1255,Planilha1!B:E,4,0)</f>
        <v>0.15618217875936719</v>
      </c>
    </row>
    <row r="1256" spans="1:22" x14ac:dyDescent="0.3">
      <c r="A1256" t="str">
        <f t="shared" si="38"/>
        <v>LEITE CONDENSADOITAMBÉ</v>
      </c>
      <c r="B1256" t="str">
        <f t="shared" si="39"/>
        <v>5214453LEITE CONDENSADOITAMBÉ</v>
      </c>
      <c r="C1256" s="5" t="s">
        <v>226</v>
      </c>
      <c r="D1256" s="5" t="s">
        <v>833</v>
      </c>
      <c r="E1256" s="5" t="s">
        <v>753</v>
      </c>
      <c r="F1256" s="5">
        <v>5214453</v>
      </c>
      <c r="G1256" s="5" t="s">
        <v>839</v>
      </c>
      <c r="H1256" s="5" t="s">
        <v>101</v>
      </c>
      <c r="I1256" s="5" t="s">
        <v>27</v>
      </c>
      <c r="J1256" s="5" t="s">
        <v>33</v>
      </c>
      <c r="K1256" s="6">
        <v>0</v>
      </c>
      <c r="L1256" s="7">
        <v>0</v>
      </c>
      <c r="M1256" s="8">
        <v>1600.2266666666665</v>
      </c>
      <c r="N1256" s="8">
        <v>256.66666666666669</v>
      </c>
      <c r="O1256" s="8">
        <v>1596.9712545174189</v>
      </c>
      <c r="P1256" s="8">
        <v>0</v>
      </c>
      <c r="Q1256" s="8">
        <v>0</v>
      </c>
      <c r="R1256" s="8">
        <v>0</v>
      </c>
      <c r="S1256" s="8">
        <v>256.66666666666669</v>
      </c>
      <c r="T1256" s="5">
        <v>256.66666666666669</v>
      </c>
      <c r="U1256" s="5">
        <v>256.66666666666669</v>
      </c>
      <c r="V1256" s="5">
        <f>VLOOKUP(A1256,Planilha1!B:E,4,0)</f>
        <v>1.4766792698630664</v>
      </c>
    </row>
    <row r="1257" spans="1:22" x14ac:dyDescent="0.3">
      <c r="A1257" t="str">
        <f t="shared" si="38"/>
        <v>CREME UHTITAMBÉ</v>
      </c>
      <c r="B1257" t="str">
        <f t="shared" si="39"/>
        <v>5214453CREME UHTITAMBÉ</v>
      </c>
      <c r="C1257" s="5" t="s">
        <v>226</v>
      </c>
      <c r="D1257" s="5" t="s">
        <v>833</v>
      </c>
      <c r="E1257" s="5" t="s">
        <v>753</v>
      </c>
      <c r="F1257" s="5">
        <v>5214453</v>
      </c>
      <c r="G1257" s="5" t="s">
        <v>839</v>
      </c>
      <c r="H1257" s="5" t="s">
        <v>101</v>
      </c>
      <c r="I1257" s="5" t="s">
        <v>27</v>
      </c>
      <c r="J1257" s="5" t="s">
        <v>34</v>
      </c>
      <c r="K1257" s="6">
        <v>0</v>
      </c>
      <c r="L1257" s="7">
        <v>-72.72</v>
      </c>
      <c r="M1257" s="8">
        <v>1469.1200000000001</v>
      </c>
      <c r="N1257" s="8">
        <v>343.33333333333331</v>
      </c>
      <c r="O1257" s="8">
        <v>2323.9096257367773</v>
      </c>
      <c r="P1257" s="8">
        <v>0</v>
      </c>
      <c r="Q1257" s="8">
        <v>0</v>
      </c>
      <c r="R1257" s="8">
        <v>0</v>
      </c>
      <c r="S1257" s="8">
        <v>343.33333333333331</v>
      </c>
      <c r="T1257" s="5">
        <v>343.33333333333331</v>
      </c>
      <c r="U1257" s="5">
        <v>343.33333333333331</v>
      </c>
      <c r="V1257" s="5">
        <f>VLOOKUP(A1257,Planilha1!B:E,4,0)</f>
        <v>1.2362540170747773</v>
      </c>
    </row>
    <row r="1258" spans="1:22" x14ac:dyDescent="0.3">
      <c r="A1258" t="str">
        <f t="shared" si="38"/>
        <v>DOCE DE LEITEITAMBÉ</v>
      </c>
      <c r="B1258" t="str">
        <f t="shared" si="39"/>
        <v>5214453DOCE DE LEITEITAMBÉ</v>
      </c>
      <c r="C1258" s="5" t="s">
        <v>226</v>
      </c>
      <c r="D1258" s="5" t="s">
        <v>833</v>
      </c>
      <c r="E1258" s="5" t="s">
        <v>753</v>
      </c>
      <c r="F1258" s="5">
        <v>5214453</v>
      </c>
      <c r="G1258" s="5" t="s">
        <v>839</v>
      </c>
      <c r="H1258" s="5" t="s">
        <v>101</v>
      </c>
      <c r="I1258" s="5" t="s">
        <v>27</v>
      </c>
      <c r="J1258" s="5" t="s">
        <v>46</v>
      </c>
      <c r="K1258" s="6">
        <v>0</v>
      </c>
      <c r="L1258" s="7">
        <v>0</v>
      </c>
      <c r="M1258" s="8">
        <v>751.66666666666663</v>
      </c>
      <c r="N1258" s="8">
        <v>300</v>
      </c>
      <c r="O1258" s="8">
        <v>866.04948854220254</v>
      </c>
      <c r="P1258" s="8">
        <v>0</v>
      </c>
      <c r="Q1258" s="8">
        <v>0</v>
      </c>
      <c r="R1258" s="8">
        <v>0</v>
      </c>
      <c r="S1258" s="8">
        <v>300</v>
      </c>
      <c r="T1258" s="5">
        <v>300</v>
      </c>
      <c r="U1258" s="5">
        <v>300</v>
      </c>
      <c r="V1258" s="5">
        <f>VLOOKUP(A1258,Planilha1!B:E,4,0)</f>
        <v>5.8210743907543439</v>
      </c>
    </row>
    <row r="1259" spans="1:22" x14ac:dyDescent="0.3">
      <c r="A1259" t="str">
        <f t="shared" si="38"/>
        <v>LEITE UHTITAMBÉ</v>
      </c>
      <c r="B1259" t="str">
        <f t="shared" si="39"/>
        <v>5214453LEITE UHTITAMBÉ</v>
      </c>
      <c r="C1259" s="5" t="s">
        <v>226</v>
      </c>
      <c r="D1259" s="5" t="s">
        <v>833</v>
      </c>
      <c r="E1259" s="5" t="s">
        <v>753</v>
      </c>
      <c r="F1259" s="5">
        <v>5214453</v>
      </c>
      <c r="G1259" s="5" t="s">
        <v>839</v>
      </c>
      <c r="H1259" s="5" t="s">
        <v>101</v>
      </c>
      <c r="I1259" s="5" t="s">
        <v>27</v>
      </c>
      <c r="J1259" s="5" t="s">
        <v>156</v>
      </c>
      <c r="K1259" s="6">
        <v>0</v>
      </c>
      <c r="L1259" s="7">
        <v>0</v>
      </c>
      <c r="M1259" s="8">
        <v>4200</v>
      </c>
      <c r="N1259" s="8">
        <v>4080</v>
      </c>
      <c r="O1259" s="8">
        <v>7672.9147453917176</v>
      </c>
      <c r="P1259" s="8">
        <v>0</v>
      </c>
      <c r="Q1259" s="8">
        <v>0</v>
      </c>
      <c r="R1259" s="8">
        <v>0</v>
      </c>
      <c r="S1259" s="8">
        <v>0</v>
      </c>
      <c r="T1259" s="5">
        <v>0</v>
      </c>
      <c r="U1259" s="5">
        <v>0</v>
      </c>
      <c r="V1259" s="5">
        <f>VLOOKUP(A1259,Planilha1!B:E,4,0)</f>
        <v>-0.14425288609148015</v>
      </c>
    </row>
    <row r="1260" spans="1:22" x14ac:dyDescent="0.3">
      <c r="A1260" t="str">
        <f t="shared" si="38"/>
        <v>CREME UHTITAMBÉ</v>
      </c>
      <c r="B1260" t="str">
        <f t="shared" si="39"/>
        <v>5216004CREME UHTITAMBÉ</v>
      </c>
      <c r="C1260" s="5" t="s">
        <v>226</v>
      </c>
      <c r="D1260" s="5" t="s">
        <v>833</v>
      </c>
      <c r="E1260" s="5" t="s">
        <v>753</v>
      </c>
      <c r="F1260" s="5">
        <v>5216004</v>
      </c>
      <c r="G1260" s="5" t="s">
        <v>840</v>
      </c>
      <c r="H1260" s="5" t="s">
        <v>101</v>
      </c>
      <c r="I1260" s="5" t="s">
        <v>27</v>
      </c>
      <c r="J1260" s="5" t="s">
        <v>34</v>
      </c>
      <c r="K1260" s="6">
        <v>0</v>
      </c>
      <c r="L1260" s="7">
        <v>0</v>
      </c>
      <c r="M1260" s="8">
        <v>171.70000000000002</v>
      </c>
      <c r="N1260" s="8">
        <v>0</v>
      </c>
      <c r="O1260" s="8">
        <v>235.99082257912195</v>
      </c>
      <c r="P1260" s="8">
        <v>0</v>
      </c>
      <c r="Q1260" s="8">
        <v>0</v>
      </c>
      <c r="R1260" s="8">
        <v>0</v>
      </c>
      <c r="S1260" s="8">
        <v>0</v>
      </c>
      <c r="T1260" s="5">
        <v>0</v>
      </c>
      <c r="U1260" s="5">
        <v>0</v>
      </c>
      <c r="V1260" s="5">
        <f>VLOOKUP(A1260,Planilha1!B:E,4,0)</f>
        <v>1.2362540170747773</v>
      </c>
    </row>
    <row r="1261" spans="1:22" x14ac:dyDescent="0.3">
      <c r="A1261" t="str">
        <f t="shared" si="38"/>
        <v>DOCE DE LEITEITAMBÉ</v>
      </c>
      <c r="B1261" t="str">
        <f t="shared" si="39"/>
        <v>5216004DOCE DE LEITEITAMBÉ</v>
      </c>
      <c r="C1261" s="5" t="s">
        <v>226</v>
      </c>
      <c r="D1261" s="5" t="s">
        <v>833</v>
      </c>
      <c r="E1261" s="5" t="s">
        <v>753</v>
      </c>
      <c r="F1261" s="5">
        <v>5216004</v>
      </c>
      <c r="G1261" s="5" t="s">
        <v>840</v>
      </c>
      <c r="H1261" s="5" t="s">
        <v>101</v>
      </c>
      <c r="I1261" s="5" t="s">
        <v>27</v>
      </c>
      <c r="J1261" s="5" t="s">
        <v>46</v>
      </c>
      <c r="K1261" s="6">
        <v>0</v>
      </c>
      <c r="L1261" s="7">
        <v>0</v>
      </c>
      <c r="M1261" s="8">
        <v>403.33333333333331</v>
      </c>
      <c r="N1261" s="8">
        <v>0</v>
      </c>
      <c r="O1261" s="8">
        <v>582.03325904337396</v>
      </c>
      <c r="P1261" s="8">
        <v>0</v>
      </c>
      <c r="Q1261" s="8">
        <v>0</v>
      </c>
      <c r="R1261" s="8">
        <v>0</v>
      </c>
      <c r="S1261" s="8">
        <v>910</v>
      </c>
      <c r="T1261" s="5">
        <v>910</v>
      </c>
      <c r="U1261" s="5">
        <v>910</v>
      </c>
      <c r="V1261" s="5">
        <f>VLOOKUP(A1261,Planilha1!B:E,4,0)</f>
        <v>5.8210743907543439</v>
      </c>
    </row>
    <row r="1262" spans="1:22" x14ac:dyDescent="0.3">
      <c r="A1262" t="str">
        <f t="shared" si="38"/>
        <v>BLISTERITAMBÉ</v>
      </c>
      <c r="B1262" t="str">
        <f t="shared" si="39"/>
        <v>5220538BLISTERITAMBÉ</v>
      </c>
      <c r="C1262" s="5" t="s">
        <v>226</v>
      </c>
      <c r="D1262" s="5" t="s">
        <v>833</v>
      </c>
      <c r="E1262" s="5" t="s">
        <v>753</v>
      </c>
      <c r="F1262" s="5">
        <v>5220538</v>
      </c>
      <c r="G1262" s="5" t="s">
        <v>841</v>
      </c>
      <c r="H1262" s="5" t="s">
        <v>101</v>
      </c>
      <c r="I1262" s="5" t="s">
        <v>27</v>
      </c>
      <c r="J1262" s="5" t="s">
        <v>199</v>
      </c>
      <c r="K1262" s="6">
        <v>0</v>
      </c>
      <c r="L1262" s="7">
        <v>253.44</v>
      </c>
      <c r="M1262" s="8">
        <v>38.4</v>
      </c>
      <c r="N1262" s="8">
        <v>0</v>
      </c>
      <c r="O1262" s="8">
        <v>97.013859360354786</v>
      </c>
      <c r="P1262" s="8">
        <v>0</v>
      </c>
      <c r="Q1262" s="8">
        <v>0</v>
      </c>
      <c r="R1262" s="8">
        <v>0</v>
      </c>
      <c r="S1262" s="8">
        <v>0</v>
      </c>
      <c r="T1262" s="5">
        <v>0</v>
      </c>
      <c r="U1262" s="5">
        <v>0</v>
      </c>
      <c r="V1262" s="5">
        <f>VLOOKUP(A1262,Planilha1!B:E,4,0)</f>
        <v>10.339882680976428</v>
      </c>
    </row>
    <row r="1263" spans="1:22" x14ac:dyDescent="0.3">
      <c r="A1263" t="str">
        <f t="shared" si="38"/>
        <v>BLISTERITAMBÉ</v>
      </c>
      <c r="B1263" t="str">
        <f t="shared" si="39"/>
        <v>5229017BLISTERITAMBÉ</v>
      </c>
      <c r="C1263" s="5" t="s">
        <v>226</v>
      </c>
      <c r="D1263" s="5" t="s">
        <v>833</v>
      </c>
      <c r="E1263" s="5" t="s">
        <v>753</v>
      </c>
      <c r="F1263" s="5">
        <v>5229017</v>
      </c>
      <c r="G1263" s="5" t="s">
        <v>842</v>
      </c>
      <c r="H1263" s="5" t="s">
        <v>96</v>
      </c>
      <c r="I1263" s="5" t="s">
        <v>27</v>
      </c>
      <c r="J1263" s="5" t="s">
        <v>199</v>
      </c>
      <c r="K1263" s="6">
        <v>0</v>
      </c>
      <c r="L1263" s="7">
        <v>153.6</v>
      </c>
      <c r="M1263" s="8">
        <v>0</v>
      </c>
      <c r="N1263" s="8">
        <v>0</v>
      </c>
      <c r="O1263" s="8">
        <v>60.008572800219454</v>
      </c>
      <c r="P1263" s="8">
        <v>0</v>
      </c>
      <c r="Q1263" s="8">
        <v>0</v>
      </c>
      <c r="R1263" s="8">
        <v>0</v>
      </c>
      <c r="S1263" s="8">
        <v>0</v>
      </c>
      <c r="T1263" s="5">
        <v>0</v>
      </c>
      <c r="U1263" s="5">
        <v>0</v>
      </c>
      <c r="V1263" s="5">
        <f>VLOOKUP(A1263,Planilha1!B:E,4,0)</f>
        <v>10.339882680976428</v>
      </c>
    </row>
    <row r="1264" spans="1:22" x14ac:dyDescent="0.3">
      <c r="A1264" t="str">
        <f t="shared" si="38"/>
        <v>BLISTERITAMBÉ</v>
      </c>
      <c r="B1264" t="str">
        <f t="shared" si="39"/>
        <v>5225860BLISTERITAMBÉ</v>
      </c>
      <c r="C1264" s="5" t="s">
        <v>226</v>
      </c>
      <c r="D1264" s="5" t="s">
        <v>833</v>
      </c>
      <c r="E1264" s="5" t="s">
        <v>843</v>
      </c>
      <c r="F1264" s="5">
        <v>5225860</v>
      </c>
      <c r="G1264" s="5" t="s">
        <v>844</v>
      </c>
      <c r="H1264" s="5" t="s">
        <v>101</v>
      </c>
      <c r="I1264" s="5" t="s">
        <v>27</v>
      </c>
      <c r="J1264" s="5" t="s">
        <v>199</v>
      </c>
      <c r="K1264" s="6">
        <v>0</v>
      </c>
      <c r="L1264" s="7">
        <v>1236.48</v>
      </c>
      <c r="M1264" s="8">
        <v>496.32</v>
      </c>
      <c r="N1264" s="8">
        <v>0</v>
      </c>
      <c r="O1264" s="8">
        <v>607.0867281622202</v>
      </c>
      <c r="P1264" s="8">
        <v>0</v>
      </c>
      <c r="Q1264" s="8">
        <v>0</v>
      </c>
      <c r="R1264" s="8">
        <v>0</v>
      </c>
      <c r="S1264" s="8">
        <v>700</v>
      </c>
      <c r="T1264" s="5">
        <v>700</v>
      </c>
      <c r="U1264" s="5">
        <v>700</v>
      </c>
      <c r="V1264" s="5">
        <f>VLOOKUP(A1264,Planilha1!B:E,4,0)</f>
        <v>10.339882680976428</v>
      </c>
    </row>
    <row r="1265" spans="1:22" x14ac:dyDescent="0.3">
      <c r="A1265" t="str">
        <f t="shared" si="38"/>
        <v>COMPOSTOITAMBÉ</v>
      </c>
      <c r="B1265" t="str">
        <f t="shared" si="39"/>
        <v>5225860COMPOSTOITAMBÉ</v>
      </c>
      <c r="C1265" s="5" t="s">
        <v>226</v>
      </c>
      <c r="D1265" s="5" t="s">
        <v>833</v>
      </c>
      <c r="E1265" s="5" t="s">
        <v>843</v>
      </c>
      <c r="F1265" s="5">
        <v>5225860</v>
      </c>
      <c r="G1265" s="5" t="s">
        <v>844</v>
      </c>
      <c r="H1265" s="5" t="s">
        <v>101</v>
      </c>
      <c r="I1265" s="5" t="s">
        <v>27</v>
      </c>
      <c r="J1265" s="5" t="s">
        <v>26</v>
      </c>
      <c r="K1265" s="6">
        <v>0</v>
      </c>
      <c r="L1265" s="7">
        <v>-61</v>
      </c>
      <c r="M1265" s="8">
        <v>445.83333333333331</v>
      </c>
      <c r="N1265" s="8">
        <v>566.66666666666663</v>
      </c>
      <c r="O1265" s="8">
        <v>1000</v>
      </c>
      <c r="P1265" s="8">
        <v>0</v>
      </c>
      <c r="Q1265" s="8">
        <v>0</v>
      </c>
      <c r="R1265" s="8">
        <v>0</v>
      </c>
      <c r="S1265" s="8">
        <v>700</v>
      </c>
      <c r="T1265" s="5">
        <v>700</v>
      </c>
      <c r="U1265" s="5">
        <v>700</v>
      </c>
      <c r="V1265" s="5">
        <f>VLOOKUP(A1265,Planilha1!B:E,4,0)</f>
        <v>0.15618217875936719</v>
      </c>
    </row>
    <row r="1266" spans="1:22" x14ac:dyDescent="0.3">
      <c r="A1266" t="str">
        <f t="shared" si="38"/>
        <v>LEITE CONDENSADOITAMBÉ</v>
      </c>
      <c r="B1266" t="str">
        <f t="shared" si="39"/>
        <v>5225860LEITE CONDENSADOITAMBÉ</v>
      </c>
      <c r="C1266" s="5" t="s">
        <v>226</v>
      </c>
      <c r="D1266" s="5" t="s">
        <v>833</v>
      </c>
      <c r="E1266" s="5" t="s">
        <v>843</v>
      </c>
      <c r="F1266" s="5">
        <v>5225860</v>
      </c>
      <c r="G1266" s="5" t="s">
        <v>844</v>
      </c>
      <c r="H1266" s="5" t="s">
        <v>101</v>
      </c>
      <c r="I1266" s="5" t="s">
        <v>27</v>
      </c>
      <c r="J1266" s="5" t="s">
        <v>33</v>
      </c>
      <c r="K1266" s="6">
        <v>0</v>
      </c>
      <c r="L1266" s="7">
        <v>21609.55</v>
      </c>
      <c r="M1266" s="8">
        <v>54686.348333333335</v>
      </c>
      <c r="N1266" s="8">
        <v>65303.666666666664</v>
      </c>
      <c r="O1266" s="8">
        <v>33154.403220742024</v>
      </c>
      <c r="P1266" s="8">
        <v>0</v>
      </c>
      <c r="Q1266" s="8">
        <v>-7.5</v>
      </c>
      <c r="R1266" s="8">
        <v>0</v>
      </c>
      <c r="S1266" s="8">
        <v>65304</v>
      </c>
      <c r="T1266" s="5">
        <v>65304</v>
      </c>
      <c r="U1266" s="5">
        <v>52000</v>
      </c>
      <c r="V1266" s="5">
        <f>VLOOKUP(A1266,Planilha1!B:E,4,0)</f>
        <v>1.4766792698630664</v>
      </c>
    </row>
    <row r="1267" spans="1:22" x14ac:dyDescent="0.3">
      <c r="A1267" t="str">
        <f t="shared" si="38"/>
        <v>CREME UHTITAMBÉ</v>
      </c>
      <c r="B1267" t="str">
        <f t="shared" si="39"/>
        <v>5225860CREME UHTITAMBÉ</v>
      </c>
      <c r="C1267" s="5" t="s">
        <v>226</v>
      </c>
      <c r="D1267" s="5" t="s">
        <v>833</v>
      </c>
      <c r="E1267" s="5" t="s">
        <v>843</v>
      </c>
      <c r="F1267" s="5">
        <v>5225860</v>
      </c>
      <c r="G1267" s="5" t="s">
        <v>844</v>
      </c>
      <c r="H1267" s="5" t="s">
        <v>101</v>
      </c>
      <c r="I1267" s="5" t="s">
        <v>27</v>
      </c>
      <c r="J1267" s="5" t="s">
        <v>34</v>
      </c>
      <c r="K1267" s="6">
        <v>0</v>
      </c>
      <c r="L1267" s="7">
        <v>11332.2</v>
      </c>
      <c r="M1267" s="8">
        <v>19802.879999999994</v>
      </c>
      <c r="N1267" s="8">
        <v>23648.666666666664</v>
      </c>
      <c r="O1267" s="8">
        <v>15605.393123600752</v>
      </c>
      <c r="P1267" s="8">
        <v>0</v>
      </c>
      <c r="Q1267" s="8">
        <v>0</v>
      </c>
      <c r="R1267" s="8">
        <v>0</v>
      </c>
      <c r="S1267" s="8">
        <v>14000</v>
      </c>
      <c r="T1267" s="5">
        <v>14000</v>
      </c>
      <c r="U1267" s="5">
        <v>2040</v>
      </c>
      <c r="V1267" s="5">
        <f>VLOOKUP(A1267,Planilha1!B:E,4,0)</f>
        <v>1.2362540170747773</v>
      </c>
    </row>
    <row r="1268" spans="1:22" x14ac:dyDescent="0.3">
      <c r="A1268" t="str">
        <f t="shared" si="38"/>
        <v>DOCE DE LEITEITAMBÉ</v>
      </c>
      <c r="B1268" t="str">
        <f t="shared" si="39"/>
        <v>5225860DOCE DE LEITEITAMBÉ</v>
      </c>
      <c r="C1268" s="5" t="s">
        <v>226</v>
      </c>
      <c r="D1268" s="5" t="s">
        <v>833</v>
      </c>
      <c r="E1268" s="5" t="s">
        <v>843</v>
      </c>
      <c r="F1268" s="5">
        <v>5225860</v>
      </c>
      <c r="G1268" s="5" t="s">
        <v>844</v>
      </c>
      <c r="H1268" s="5" t="s">
        <v>101</v>
      </c>
      <c r="I1268" s="5" t="s">
        <v>27</v>
      </c>
      <c r="J1268" s="5" t="s">
        <v>46</v>
      </c>
      <c r="K1268" s="6">
        <v>0</v>
      </c>
      <c r="L1268" s="7">
        <v>1342</v>
      </c>
      <c r="M1268" s="8">
        <v>3067.9333333333334</v>
      </c>
      <c r="N1268" s="8">
        <v>2224</v>
      </c>
      <c r="O1268" s="8">
        <v>4634.2648151322937</v>
      </c>
      <c r="P1268" s="8">
        <v>0</v>
      </c>
      <c r="Q1268" s="8">
        <v>0</v>
      </c>
      <c r="R1268" s="8">
        <v>0</v>
      </c>
      <c r="S1268" s="8">
        <v>6341</v>
      </c>
      <c r="T1268" s="5">
        <v>6341</v>
      </c>
      <c r="U1268" s="5">
        <v>6341</v>
      </c>
      <c r="V1268" s="5">
        <f>VLOOKUP(A1268,Planilha1!B:E,4,0)</f>
        <v>5.8210743907543439</v>
      </c>
    </row>
    <row r="1269" spans="1:22" x14ac:dyDescent="0.3">
      <c r="A1269" t="str">
        <f t="shared" si="38"/>
        <v>LPI 25KGITAMBÉ</v>
      </c>
      <c r="B1269" t="str">
        <f t="shared" si="39"/>
        <v>5225860LPI 25KGITAMBÉ</v>
      </c>
      <c r="C1269" s="5" t="s">
        <v>226</v>
      </c>
      <c r="D1269" s="5" t="s">
        <v>833</v>
      </c>
      <c r="E1269" s="5" t="s">
        <v>843</v>
      </c>
      <c r="F1269" s="5">
        <v>5225860</v>
      </c>
      <c r="G1269" s="5" t="s">
        <v>844</v>
      </c>
      <c r="H1269" s="5" t="s">
        <v>101</v>
      </c>
      <c r="I1269" s="5" t="s">
        <v>27</v>
      </c>
      <c r="J1269" s="5" t="s">
        <v>21</v>
      </c>
      <c r="K1269" s="6">
        <v>0</v>
      </c>
      <c r="L1269" s="7">
        <v>0</v>
      </c>
      <c r="M1269" s="8">
        <v>1762.5</v>
      </c>
      <c r="N1269" s="8">
        <v>1525</v>
      </c>
      <c r="O1269" s="8">
        <v>4094.3611872305119</v>
      </c>
      <c r="P1269" s="8">
        <v>0</v>
      </c>
      <c r="Q1269" s="8">
        <v>0</v>
      </c>
      <c r="R1269" s="8">
        <v>0</v>
      </c>
      <c r="S1269" s="8">
        <v>0</v>
      </c>
      <c r="T1269" s="5">
        <v>0</v>
      </c>
      <c r="U1269" s="5">
        <v>0</v>
      </c>
      <c r="V1269" s="5">
        <f>VLOOKUP(A1269,Planilha1!B:E,4,0)</f>
        <v>-1.218192805504376</v>
      </c>
    </row>
    <row r="1270" spans="1:22" x14ac:dyDescent="0.3">
      <c r="A1270" t="str">
        <f t="shared" si="38"/>
        <v>MANTEIGA 5KGITAMBÉ</v>
      </c>
      <c r="B1270" t="str">
        <f t="shared" si="39"/>
        <v>5225860MANTEIGA 5KGITAMBÉ</v>
      </c>
      <c r="C1270" s="5" t="s">
        <v>226</v>
      </c>
      <c r="D1270" s="5" t="s">
        <v>833</v>
      </c>
      <c r="E1270" s="5" t="s">
        <v>843</v>
      </c>
      <c r="F1270" s="5">
        <v>5225860</v>
      </c>
      <c r="G1270" s="5" t="s">
        <v>844</v>
      </c>
      <c r="H1270" s="5" t="s">
        <v>101</v>
      </c>
      <c r="I1270" s="5" t="s">
        <v>27</v>
      </c>
      <c r="J1270" s="5" t="s">
        <v>60</v>
      </c>
      <c r="K1270" s="6">
        <v>0</v>
      </c>
      <c r="L1270" s="7">
        <v>4970</v>
      </c>
      <c r="M1270" s="8">
        <v>3180</v>
      </c>
      <c r="N1270" s="8">
        <v>5295</v>
      </c>
      <c r="O1270" s="8">
        <v>1956.9347688410387</v>
      </c>
      <c r="P1270" s="8">
        <v>0</v>
      </c>
      <c r="Q1270" s="8">
        <v>0</v>
      </c>
      <c r="R1270" s="8">
        <v>0</v>
      </c>
      <c r="S1270" s="8">
        <v>7800</v>
      </c>
      <c r="T1270" s="5">
        <v>7800</v>
      </c>
      <c r="U1270" s="5">
        <v>7800</v>
      </c>
      <c r="V1270" s="5">
        <f>VLOOKUP(A1270,Planilha1!B:E,4,0)</f>
        <v>5.819800475298738</v>
      </c>
    </row>
    <row r="1271" spans="1:22" x14ac:dyDescent="0.3">
      <c r="A1271" t="str">
        <f t="shared" si="38"/>
        <v>PARMESÃOLACTALIS</v>
      </c>
      <c r="B1271" t="str">
        <f t="shared" si="39"/>
        <v>5225860PARMESÃOLACTALIS</v>
      </c>
      <c r="C1271" s="5" t="s">
        <v>226</v>
      </c>
      <c r="D1271" s="5" t="s">
        <v>833</v>
      </c>
      <c r="E1271" s="5" t="s">
        <v>843</v>
      </c>
      <c r="F1271" s="5">
        <v>5225860</v>
      </c>
      <c r="G1271" s="5" t="s">
        <v>844</v>
      </c>
      <c r="H1271" s="5" t="s">
        <v>101</v>
      </c>
      <c r="I1271" s="5" t="s">
        <v>22</v>
      </c>
      <c r="J1271" s="5" t="s">
        <v>195</v>
      </c>
      <c r="K1271" s="6">
        <v>0</v>
      </c>
      <c r="L1271" s="7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S1271" s="8">
        <v>0</v>
      </c>
      <c r="T1271" s="5">
        <v>0</v>
      </c>
      <c r="U1271" s="5">
        <v>3500</v>
      </c>
      <c r="V1271" s="5">
        <f>VLOOKUP(A1271,Planilha1!B:E,4,0)</f>
        <v>6.310326960724681</v>
      </c>
    </row>
    <row r="1272" spans="1:22" x14ac:dyDescent="0.3">
      <c r="A1272" t="str">
        <f t="shared" si="38"/>
        <v>LEITE UHTITAMBÉ</v>
      </c>
      <c r="B1272" t="str">
        <f t="shared" si="39"/>
        <v>5225860LEITE UHTITAMBÉ</v>
      </c>
      <c r="C1272" s="5" t="s">
        <v>226</v>
      </c>
      <c r="D1272" s="5" t="s">
        <v>833</v>
      </c>
      <c r="E1272" s="5" t="s">
        <v>843</v>
      </c>
      <c r="F1272" s="5">
        <v>5225860</v>
      </c>
      <c r="G1272" s="5" t="s">
        <v>844</v>
      </c>
      <c r="H1272" s="5" t="s">
        <v>101</v>
      </c>
      <c r="I1272" s="5" t="s">
        <v>27</v>
      </c>
      <c r="J1272" s="5" t="s">
        <v>156</v>
      </c>
      <c r="K1272" s="6">
        <v>0</v>
      </c>
      <c r="L1272" s="7">
        <v>0</v>
      </c>
      <c r="M1272" s="8">
        <v>18200</v>
      </c>
      <c r="N1272" s="8">
        <v>17680</v>
      </c>
      <c r="O1272" s="8">
        <v>16624.815279830225</v>
      </c>
      <c r="P1272" s="8">
        <v>0</v>
      </c>
      <c r="Q1272" s="8">
        <v>0</v>
      </c>
      <c r="R1272" s="8">
        <v>0</v>
      </c>
      <c r="S1272" s="8">
        <v>25000</v>
      </c>
      <c r="T1272" s="5">
        <v>25000</v>
      </c>
      <c r="U1272" s="5">
        <v>25000</v>
      </c>
      <c r="V1272" s="5">
        <f>VLOOKUP(A1272,Planilha1!B:E,4,0)</f>
        <v>-0.14425288609148015</v>
      </c>
    </row>
    <row r="1273" spans="1:22" x14ac:dyDescent="0.3">
      <c r="A1273" t="str">
        <f t="shared" si="38"/>
        <v>BLISTERITAMBÉ</v>
      </c>
      <c r="B1273" t="str">
        <f t="shared" si="39"/>
        <v>5338666BLISTERITAMBÉ</v>
      </c>
      <c r="C1273" s="5" t="s">
        <v>226</v>
      </c>
      <c r="D1273" s="5" t="s">
        <v>833</v>
      </c>
      <c r="E1273" s="5" t="s">
        <v>843</v>
      </c>
      <c r="F1273" s="5">
        <v>5338666</v>
      </c>
      <c r="G1273" s="5" t="s">
        <v>845</v>
      </c>
      <c r="H1273" s="5" t="s">
        <v>846</v>
      </c>
      <c r="I1273" s="5" t="s">
        <v>27</v>
      </c>
      <c r="J1273" s="5" t="s">
        <v>199</v>
      </c>
      <c r="K1273" s="6">
        <v>0</v>
      </c>
      <c r="L1273" s="7">
        <v>0</v>
      </c>
      <c r="M1273" s="8">
        <v>0</v>
      </c>
      <c r="N1273" s="8">
        <v>0</v>
      </c>
      <c r="O1273" s="8">
        <v>22.003143360080468</v>
      </c>
      <c r="P1273" s="8">
        <v>0</v>
      </c>
      <c r="Q1273" s="8">
        <v>0</v>
      </c>
      <c r="R1273" s="8">
        <v>0</v>
      </c>
      <c r="S1273" s="8">
        <v>0</v>
      </c>
      <c r="T1273" s="5">
        <v>0</v>
      </c>
      <c r="U1273" s="5">
        <v>0</v>
      </c>
      <c r="V1273" s="5">
        <f>VLOOKUP(A1273,Planilha1!B:E,4,0)</f>
        <v>10.339882680976428</v>
      </c>
    </row>
    <row r="1274" spans="1:22" x14ac:dyDescent="0.3">
      <c r="A1274" t="str">
        <f t="shared" si="38"/>
        <v>MANTEIGA 5KGITAMBÉ</v>
      </c>
      <c r="B1274" t="str">
        <f t="shared" si="39"/>
        <v>5338666MANTEIGA 5KGITAMBÉ</v>
      </c>
      <c r="C1274" s="5" t="s">
        <v>226</v>
      </c>
      <c r="D1274" s="5" t="s">
        <v>833</v>
      </c>
      <c r="E1274" s="5" t="s">
        <v>843</v>
      </c>
      <c r="F1274" s="5">
        <v>5338666</v>
      </c>
      <c r="G1274" s="5" t="s">
        <v>845</v>
      </c>
      <c r="H1274" s="5" t="s">
        <v>846</v>
      </c>
      <c r="I1274" s="5" t="s">
        <v>27</v>
      </c>
      <c r="J1274" s="5" t="s">
        <v>60</v>
      </c>
      <c r="K1274" s="6">
        <v>0</v>
      </c>
      <c r="L1274" s="7">
        <v>0</v>
      </c>
      <c r="M1274" s="8">
        <v>0</v>
      </c>
      <c r="N1274" s="8">
        <v>0</v>
      </c>
      <c r="O1274" s="8">
        <v>1503.9498683377221</v>
      </c>
      <c r="P1274" s="8">
        <v>230</v>
      </c>
      <c r="Q1274" s="8">
        <v>0</v>
      </c>
      <c r="R1274" s="8">
        <v>0</v>
      </c>
      <c r="S1274" s="8">
        <v>0</v>
      </c>
      <c r="T1274" s="5">
        <v>0</v>
      </c>
      <c r="U1274" s="5">
        <v>0</v>
      </c>
      <c r="V1274" s="5">
        <f>VLOOKUP(A1274,Planilha1!B:E,4,0)</f>
        <v>5.819800475298738</v>
      </c>
    </row>
    <row r="1275" spans="1:22" x14ac:dyDescent="0.3">
      <c r="A1275" t="str">
        <f t="shared" si="38"/>
        <v>LEITE CONDENSADOITAMBÉ</v>
      </c>
      <c r="B1275" t="str">
        <f t="shared" si="39"/>
        <v>5043976LEITE CONDENSADOITAMBÉ</v>
      </c>
      <c r="C1275" s="5" t="s">
        <v>226</v>
      </c>
      <c r="D1275" s="5" t="s">
        <v>833</v>
      </c>
      <c r="E1275" s="5" t="s">
        <v>847</v>
      </c>
      <c r="F1275" s="5">
        <v>5043976</v>
      </c>
      <c r="G1275" s="5" t="s">
        <v>848</v>
      </c>
      <c r="H1275" s="5" t="s">
        <v>835</v>
      </c>
      <c r="I1275" s="5" t="s">
        <v>27</v>
      </c>
      <c r="J1275" s="5" t="s">
        <v>33</v>
      </c>
      <c r="K1275" s="6">
        <v>0</v>
      </c>
      <c r="L1275" s="7">
        <v>2318</v>
      </c>
      <c r="M1275" s="8">
        <v>1635.6666666666665</v>
      </c>
      <c r="N1275" s="8">
        <v>1726</v>
      </c>
      <c r="O1275" s="8">
        <v>1146.9793543716214</v>
      </c>
      <c r="P1275" s="8">
        <v>0</v>
      </c>
      <c r="Q1275" s="8">
        <v>0</v>
      </c>
      <c r="R1275" s="8">
        <v>0</v>
      </c>
      <c r="S1275" s="8">
        <v>0</v>
      </c>
      <c r="T1275" s="5">
        <v>0</v>
      </c>
      <c r="U1275" s="5">
        <v>1726</v>
      </c>
      <c r="V1275" s="5">
        <f>VLOOKUP(A1275,Planilha1!B:E,4,0)</f>
        <v>1.4766792698630664</v>
      </c>
    </row>
    <row r="1276" spans="1:22" x14ac:dyDescent="0.3">
      <c r="A1276" t="str">
        <f t="shared" si="38"/>
        <v>CREME UHTITAMBÉ</v>
      </c>
      <c r="B1276" t="str">
        <f t="shared" si="39"/>
        <v>5043976CREME UHTITAMBÉ</v>
      </c>
      <c r="C1276" s="5" t="s">
        <v>226</v>
      </c>
      <c r="D1276" s="5" t="s">
        <v>833</v>
      </c>
      <c r="E1276" s="5" t="s">
        <v>847</v>
      </c>
      <c r="F1276" s="5">
        <v>5043976</v>
      </c>
      <c r="G1276" s="5" t="s">
        <v>848</v>
      </c>
      <c r="H1276" s="5" t="s">
        <v>835</v>
      </c>
      <c r="I1276" s="5" t="s">
        <v>27</v>
      </c>
      <c r="J1276" s="5" t="s">
        <v>34</v>
      </c>
      <c r="K1276" s="6">
        <v>0</v>
      </c>
      <c r="L1276" s="7">
        <v>0</v>
      </c>
      <c r="M1276" s="8">
        <v>505</v>
      </c>
      <c r="N1276" s="8">
        <v>606</v>
      </c>
      <c r="O1276" s="8">
        <v>259.98988928208354</v>
      </c>
      <c r="P1276" s="8">
        <v>0</v>
      </c>
      <c r="Q1276" s="8">
        <v>0</v>
      </c>
      <c r="R1276" s="8">
        <v>0</v>
      </c>
      <c r="S1276" s="8">
        <v>606</v>
      </c>
      <c r="T1276" s="5">
        <v>606</v>
      </c>
      <c r="U1276" s="5">
        <v>606</v>
      </c>
      <c r="V1276" s="5">
        <f>VLOOKUP(A1276,Planilha1!B:E,4,0)</f>
        <v>1.2362540170747773</v>
      </c>
    </row>
    <row r="1277" spans="1:22" x14ac:dyDescent="0.3">
      <c r="A1277" t="str">
        <f t="shared" si="38"/>
        <v>DOCE DE LEITEITAMBÉ</v>
      </c>
      <c r="B1277" t="str">
        <f t="shared" si="39"/>
        <v>5043976DOCE DE LEITEITAMBÉ</v>
      </c>
      <c r="C1277" s="5" t="s">
        <v>226</v>
      </c>
      <c r="D1277" s="5" t="s">
        <v>833</v>
      </c>
      <c r="E1277" s="5" t="s">
        <v>847</v>
      </c>
      <c r="F1277" s="5">
        <v>5043976</v>
      </c>
      <c r="G1277" s="5" t="s">
        <v>848</v>
      </c>
      <c r="H1277" s="5" t="s">
        <v>835</v>
      </c>
      <c r="I1277" s="5" t="s">
        <v>27</v>
      </c>
      <c r="J1277" s="5" t="s">
        <v>46</v>
      </c>
      <c r="K1277" s="6">
        <v>0</v>
      </c>
      <c r="L1277" s="7">
        <v>500</v>
      </c>
      <c r="M1277" s="8">
        <v>216.66666666666666</v>
      </c>
      <c r="N1277" s="8">
        <v>266.66666666666669</v>
      </c>
      <c r="O1277" s="8">
        <v>149.00851477227272</v>
      </c>
      <c r="P1277" s="8">
        <v>0</v>
      </c>
      <c r="Q1277" s="8">
        <v>0</v>
      </c>
      <c r="R1277" s="8">
        <v>0</v>
      </c>
      <c r="S1277" s="8">
        <v>267</v>
      </c>
      <c r="T1277" s="5">
        <v>267</v>
      </c>
      <c r="U1277" s="5">
        <v>267</v>
      </c>
      <c r="V1277" s="5">
        <f>VLOOKUP(A1277,Planilha1!B:E,4,0)</f>
        <v>5.8210743907543439</v>
      </c>
    </row>
    <row r="1278" spans="1:22" x14ac:dyDescent="0.3">
      <c r="A1278" t="str">
        <f t="shared" si="38"/>
        <v>BLISTERITAMBÉ</v>
      </c>
      <c r="B1278" t="str">
        <f t="shared" si="39"/>
        <v>5136048BLISTERITAMBÉ</v>
      </c>
      <c r="C1278" s="5" t="s">
        <v>226</v>
      </c>
      <c r="D1278" s="5" t="s">
        <v>833</v>
      </c>
      <c r="E1278" s="5" t="s">
        <v>847</v>
      </c>
      <c r="F1278" s="5">
        <v>5136048</v>
      </c>
      <c r="G1278" s="5" t="s">
        <v>849</v>
      </c>
      <c r="H1278" s="5" t="s">
        <v>835</v>
      </c>
      <c r="I1278" s="5" t="s">
        <v>27</v>
      </c>
      <c r="J1278" s="5" t="s">
        <v>199</v>
      </c>
      <c r="K1278" s="6">
        <v>0</v>
      </c>
      <c r="L1278" s="7">
        <v>384</v>
      </c>
      <c r="M1278" s="8">
        <v>222.71999999999997</v>
      </c>
      <c r="N1278" s="8">
        <v>274.33333333333331</v>
      </c>
      <c r="O1278" s="8">
        <v>358.05115104130942</v>
      </c>
      <c r="P1278" s="8">
        <v>0</v>
      </c>
      <c r="Q1278" s="8">
        <v>0</v>
      </c>
      <c r="R1278" s="8">
        <v>0</v>
      </c>
      <c r="S1278" s="8">
        <v>230</v>
      </c>
      <c r="T1278" s="5">
        <v>230</v>
      </c>
      <c r="U1278" s="5">
        <v>274</v>
      </c>
      <c r="V1278" s="5">
        <f>VLOOKUP(A1278,Planilha1!B:E,4,0)</f>
        <v>10.339882680976428</v>
      </c>
    </row>
    <row r="1279" spans="1:22" x14ac:dyDescent="0.3">
      <c r="A1279" t="str">
        <f t="shared" si="38"/>
        <v>DOCE DE LEITEITAMBÉ</v>
      </c>
      <c r="B1279" t="str">
        <f t="shared" si="39"/>
        <v>5185042DOCE DE LEITEITAMBÉ</v>
      </c>
      <c r="C1279" s="5" t="s">
        <v>226</v>
      </c>
      <c r="D1279" s="5" t="s">
        <v>833</v>
      </c>
      <c r="E1279" s="5" t="s">
        <v>850</v>
      </c>
      <c r="F1279" s="5">
        <v>5185042</v>
      </c>
      <c r="G1279" s="5" t="s">
        <v>851</v>
      </c>
      <c r="H1279" s="5" t="s">
        <v>40</v>
      </c>
      <c r="I1279" s="5" t="s">
        <v>27</v>
      </c>
      <c r="J1279" s="5" t="s">
        <v>46</v>
      </c>
      <c r="K1279" s="6">
        <v>0</v>
      </c>
      <c r="L1279" s="7">
        <v>0</v>
      </c>
      <c r="M1279" s="8">
        <v>53.333333333333343</v>
      </c>
      <c r="N1279" s="8">
        <v>66.666666666666671</v>
      </c>
      <c r="O1279" s="8">
        <v>33.00188582204698</v>
      </c>
      <c r="P1279" s="8">
        <v>0</v>
      </c>
      <c r="Q1279" s="8">
        <v>0</v>
      </c>
      <c r="R1279" s="8">
        <v>0</v>
      </c>
      <c r="S1279" s="8">
        <v>67</v>
      </c>
      <c r="T1279" s="5">
        <v>67</v>
      </c>
      <c r="U1279" s="5">
        <v>67</v>
      </c>
      <c r="V1279" s="5">
        <f>VLOOKUP(A1279,Planilha1!B:E,4,0)</f>
        <v>5.8210743907543439</v>
      </c>
    </row>
    <row r="1280" spans="1:22" x14ac:dyDescent="0.3">
      <c r="A1280" t="str">
        <f t="shared" si="38"/>
        <v>BLISTERITAMBÉ</v>
      </c>
      <c r="B1280" t="str">
        <f t="shared" si="39"/>
        <v>5020319BLISTERITAMBÉ</v>
      </c>
      <c r="C1280" s="5" t="s">
        <v>226</v>
      </c>
      <c r="D1280" s="5" t="s">
        <v>833</v>
      </c>
      <c r="E1280" s="5" t="s">
        <v>852</v>
      </c>
      <c r="F1280" s="5">
        <v>5020319</v>
      </c>
      <c r="G1280" s="5" t="s">
        <v>853</v>
      </c>
      <c r="H1280" s="5" t="s">
        <v>40</v>
      </c>
      <c r="I1280" s="5" t="s">
        <v>27</v>
      </c>
      <c r="J1280" s="5" t="s">
        <v>199</v>
      </c>
      <c r="K1280" s="6">
        <v>0</v>
      </c>
      <c r="L1280" s="7">
        <v>0</v>
      </c>
      <c r="M1280" s="8">
        <v>1072.96</v>
      </c>
      <c r="N1280" s="8">
        <v>459</v>
      </c>
      <c r="O1280" s="8">
        <v>490.07001120179223</v>
      </c>
      <c r="P1280" s="8">
        <v>307.20000000000005</v>
      </c>
      <c r="Q1280" s="8">
        <v>0</v>
      </c>
      <c r="R1280" s="8">
        <v>881.28</v>
      </c>
      <c r="S1280" s="8">
        <v>868</v>
      </c>
      <c r="T1280" s="5">
        <v>868</v>
      </c>
      <c r="U1280" s="5">
        <v>3686</v>
      </c>
      <c r="V1280" s="5">
        <f>VLOOKUP(A1280,Planilha1!B:E,4,0)</f>
        <v>10.339882680976428</v>
      </c>
    </row>
    <row r="1281" spans="1:22" x14ac:dyDescent="0.3">
      <c r="A1281" t="str">
        <f t="shared" si="38"/>
        <v>COMPOSTOITAMBÉ</v>
      </c>
      <c r="B1281" t="str">
        <f t="shared" si="39"/>
        <v>5020319COMPOSTOITAMBÉ</v>
      </c>
      <c r="C1281" s="5" t="s">
        <v>226</v>
      </c>
      <c r="D1281" s="5" t="s">
        <v>833</v>
      </c>
      <c r="E1281" s="5" t="s">
        <v>852</v>
      </c>
      <c r="F1281" s="5">
        <v>5020319</v>
      </c>
      <c r="G1281" s="5" t="s">
        <v>853</v>
      </c>
      <c r="H1281" s="5" t="s">
        <v>40</v>
      </c>
      <c r="I1281" s="5" t="s">
        <v>27</v>
      </c>
      <c r="J1281" s="5" t="s">
        <v>26</v>
      </c>
      <c r="K1281" s="6">
        <v>0</v>
      </c>
      <c r="L1281" s="7">
        <v>0</v>
      </c>
      <c r="M1281" s="8">
        <v>1066.5</v>
      </c>
      <c r="N1281" s="8">
        <v>933.33333333333337</v>
      </c>
      <c r="O1281" s="8">
        <v>2490.1162054229198</v>
      </c>
      <c r="P1281" s="8">
        <v>380</v>
      </c>
      <c r="Q1281" s="8">
        <v>0</v>
      </c>
      <c r="R1281" s="8">
        <v>2640</v>
      </c>
      <c r="S1281" s="8">
        <v>4880</v>
      </c>
      <c r="T1281" s="5">
        <v>4880</v>
      </c>
      <c r="U1281" s="5">
        <v>4880</v>
      </c>
      <c r="V1281" s="5">
        <f>VLOOKUP(A1281,Planilha1!B:E,4,0)</f>
        <v>0.15618217875936719</v>
      </c>
    </row>
    <row r="1282" spans="1:22" x14ac:dyDescent="0.3">
      <c r="A1282" t="str">
        <f t="shared" ref="A1282:A1345" si="40">J1282&amp;I1282</f>
        <v>LEITE CONDENSADOITAMBÉ</v>
      </c>
      <c r="B1282" t="str">
        <f t="shared" si="39"/>
        <v>5020319LEITE CONDENSADOITAMBÉ</v>
      </c>
      <c r="C1282" s="5" t="s">
        <v>226</v>
      </c>
      <c r="D1282" s="5" t="s">
        <v>833</v>
      </c>
      <c r="E1282" s="5" t="s">
        <v>852</v>
      </c>
      <c r="F1282" s="5">
        <v>5020319</v>
      </c>
      <c r="G1282" s="5" t="s">
        <v>853</v>
      </c>
      <c r="H1282" s="5" t="s">
        <v>40</v>
      </c>
      <c r="I1282" s="5" t="s">
        <v>27</v>
      </c>
      <c r="J1282" s="5" t="s">
        <v>33</v>
      </c>
      <c r="K1282" s="6">
        <v>0</v>
      </c>
      <c r="L1282" s="7">
        <v>0</v>
      </c>
      <c r="M1282" s="8">
        <v>7405.5666666666666</v>
      </c>
      <c r="N1282" s="8">
        <v>6352.0000000000009</v>
      </c>
      <c r="O1282" s="8">
        <v>3577.9355971592513</v>
      </c>
      <c r="P1282" s="8">
        <v>1112.9699999999998</v>
      </c>
      <c r="Q1282" s="8">
        <v>0</v>
      </c>
      <c r="R1282" s="8">
        <v>5211.7150000000001</v>
      </c>
      <c r="S1282" s="8">
        <v>6141</v>
      </c>
      <c r="T1282" s="5">
        <v>6141</v>
      </c>
      <c r="U1282" s="5">
        <v>4590</v>
      </c>
      <c r="V1282" s="5">
        <f>VLOOKUP(A1282,Planilha1!B:E,4,0)</f>
        <v>1.4766792698630664</v>
      </c>
    </row>
    <row r="1283" spans="1:22" x14ac:dyDescent="0.3">
      <c r="A1283" t="str">
        <f t="shared" si="40"/>
        <v>CREME UHTITAMBÉ</v>
      </c>
      <c r="B1283" t="str">
        <f t="shared" ref="B1283:B1346" si="41">F1283&amp;J1283&amp;I1283</f>
        <v>5020319CREME UHTITAMBÉ</v>
      </c>
      <c r="C1283" s="5" t="s">
        <v>226</v>
      </c>
      <c r="D1283" s="5" t="s">
        <v>833</v>
      </c>
      <c r="E1283" s="5" t="s">
        <v>852</v>
      </c>
      <c r="F1283" s="5">
        <v>5020319</v>
      </c>
      <c r="G1283" s="5" t="s">
        <v>853</v>
      </c>
      <c r="H1283" s="5" t="s">
        <v>40</v>
      </c>
      <c r="I1283" s="5" t="s">
        <v>27</v>
      </c>
      <c r="J1283" s="5" t="s">
        <v>34</v>
      </c>
      <c r="K1283" s="6">
        <v>0</v>
      </c>
      <c r="L1283" s="7">
        <v>0</v>
      </c>
      <c r="M1283" s="8">
        <v>4426.9999999999991</v>
      </c>
      <c r="N1283" s="8">
        <v>4070.3333333333335</v>
      </c>
      <c r="O1283" s="8">
        <v>3659.8576722016373</v>
      </c>
      <c r="P1283" s="8">
        <v>588.6</v>
      </c>
      <c r="Q1283" s="8">
        <v>0</v>
      </c>
      <c r="R1283" s="8">
        <v>3860.3999999999996</v>
      </c>
      <c r="S1283" s="8">
        <v>7048</v>
      </c>
      <c r="T1283" s="5">
        <v>7048</v>
      </c>
      <c r="U1283" s="5">
        <v>7048</v>
      </c>
      <c r="V1283" s="5">
        <f>VLOOKUP(A1283,Planilha1!B:E,4,0)</f>
        <v>1.2362540170747773</v>
      </c>
    </row>
    <row r="1284" spans="1:22" x14ac:dyDescent="0.3">
      <c r="A1284" t="str">
        <f t="shared" si="40"/>
        <v>DOCE DE LEITEITAMBÉ</v>
      </c>
      <c r="B1284" t="str">
        <f t="shared" si="41"/>
        <v>5020319DOCE DE LEITEITAMBÉ</v>
      </c>
      <c r="C1284" s="5" t="s">
        <v>226</v>
      </c>
      <c r="D1284" s="5" t="s">
        <v>833</v>
      </c>
      <c r="E1284" s="5" t="s">
        <v>852</v>
      </c>
      <c r="F1284" s="5">
        <v>5020319</v>
      </c>
      <c r="G1284" s="5" t="s">
        <v>853</v>
      </c>
      <c r="H1284" s="5" t="s">
        <v>40</v>
      </c>
      <c r="I1284" s="5" t="s">
        <v>27</v>
      </c>
      <c r="J1284" s="5" t="s">
        <v>46</v>
      </c>
      <c r="K1284" s="6">
        <v>0</v>
      </c>
      <c r="L1284" s="7">
        <v>0</v>
      </c>
      <c r="M1284" s="8">
        <v>3454.5333333333333</v>
      </c>
      <c r="N1284" s="8">
        <v>3200</v>
      </c>
      <c r="O1284" s="8">
        <v>2680.1531516086638</v>
      </c>
      <c r="P1284" s="8">
        <v>534.79999999999995</v>
      </c>
      <c r="Q1284" s="8">
        <v>0</v>
      </c>
      <c r="R1284" s="8">
        <v>347.4</v>
      </c>
      <c r="S1284" s="8">
        <v>2070</v>
      </c>
      <c r="T1284" s="5">
        <v>2070</v>
      </c>
      <c r="U1284" s="5">
        <v>2070</v>
      </c>
      <c r="V1284" s="5">
        <f>VLOOKUP(A1284,Planilha1!B:E,4,0)</f>
        <v>5.8210743907543439</v>
      </c>
    </row>
    <row r="1285" spans="1:22" x14ac:dyDescent="0.3">
      <c r="A1285" t="str">
        <f t="shared" si="40"/>
        <v>DOCE DE LEITEITAMBÉ</v>
      </c>
      <c r="B1285" t="str">
        <f t="shared" si="41"/>
        <v>5027769DOCE DE LEITEITAMBÉ</v>
      </c>
      <c r="C1285" s="5" t="s">
        <v>226</v>
      </c>
      <c r="D1285" s="5" t="s">
        <v>833</v>
      </c>
      <c r="E1285" s="5" t="s">
        <v>852</v>
      </c>
      <c r="F1285" s="5">
        <v>5027769</v>
      </c>
      <c r="G1285" s="5" t="s">
        <v>854</v>
      </c>
      <c r="H1285" s="5" t="s">
        <v>40</v>
      </c>
      <c r="I1285" s="5" t="s">
        <v>27</v>
      </c>
      <c r="J1285" s="5" t="s">
        <v>46</v>
      </c>
      <c r="K1285" s="6">
        <v>0</v>
      </c>
      <c r="L1285" s="7">
        <v>100</v>
      </c>
      <c r="M1285" s="8">
        <v>0</v>
      </c>
      <c r="N1285" s="8">
        <v>0</v>
      </c>
      <c r="O1285" s="8">
        <v>14.0008000457169</v>
      </c>
      <c r="P1285" s="8">
        <v>0</v>
      </c>
      <c r="Q1285" s="8">
        <v>0</v>
      </c>
      <c r="R1285" s="8">
        <v>0</v>
      </c>
      <c r="S1285" s="8">
        <v>0</v>
      </c>
      <c r="T1285" s="5">
        <v>0</v>
      </c>
      <c r="U1285" s="5">
        <v>0</v>
      </c>
      <c r="V1285" s="5">
        <f>VLOOKUP(A1285,Planilha1!B:E,4,0)</f>
        <v>5.8210743907543439</v>
      </c>
    </row>
    <row r="1286" spans="1:22" x14ac:dyDescent="0.3">
      <c r="A1286" t="str">
        <f t="shared" si="40"/>
        <v>LEITE CONDENSADOITAMBÉ</v>
      </c>
      <c r="B1286" t="str">
        <f t="shared" si="41"/>
        <v>5038591LEITE CONDENSADOITAMBÉ</v>
      </c>
      <c r="C1286" s="5" t="s">
        <v>226</v>
      </c>
      <c r="D1286" s="5" t="s">
        <v>833</v>
      </c>
      <c r="E1286" s="5" t="s">
        <v>852</v>
      </c>
      <c r="F1286" s="5">
        <v>5038591</v>
      </c>
      <c r="G1286" s="5" t="s">
        <v>855</v>
      </c>
      <c r="H1286" s="5" t="s">
        <v>40</v>
      </c>
      <c r="I1286" s="5" t="s">
        <v>27</v>
      </c>
      <c r="J1286" s="5" t="s">
        <v>33</v>
      </c>
      <c r="K1286" s="6">
        <v>0</v>
      </c>
      <c r="L1286" s="7">
        <v>4788.3999999999996</v>
      </c>
      <c r="M1286" s="8">
        <v>1476.5333333333331</v>
      </c>
      <c r="N1286" s="8">
        <v>1506.3333333333333</v>
      </c>
      <c r="O1286" s="8">
        <v>1198.9784183884692</v>
      </c>
      <c r="P1286" s="8">
        <v>0</v>
      </c>
      <c r="Q1286" s="8">
        <v>0</v>
      </c>
      <c r="R1286" s="8">
        <v>0</v>
      </c>
      <c r="S1286" s="8">
        <v>850</v>
      </c>
      <c r="T1286" s="5">
        <v>850</v>
      </c>
      <c r="U1286" s="5">
        <v>1500</v>
      </c>
      <c r="V1286" s="5">
        <f>VLOOKUP(A1286,Planilha1!B:E,4,0)</f>
        <v>1.4766792698630664</v>
      </c>
    </row>
    <row r="1287" spans="1:22" x14ac:dyDescent="0.3">
      <c r="A1287" t="str">
        <f t="shared" si="40"/>
        <v>CREME UHTITAMBÉ</v>
      </c>
      <c r="B1287" t="str">
        <f t="shared" si="41"/>
        <v>5038591CREME UHTITAMBÉ</v>
      </c>
      <c r="C1287" s="5" t="s">
        <v>226</v>
      </c>
      <c r="D1287" s="5" t="s">
        <v>833</v>
      </c>
      <c r="E1287" s="5" t="s">
        <v>852</v>
      </c>
      <c r="F1287" s="5">
        <v>5038591</v>
      </c>
      <c r="G1287" s="5" t="s">
        <v>855</v>
      </c>
      <c r="H1287" s="5" t="s">
        <v>40</v>
      </c>
      <c r="I1287" s="5" t="s">
        <v>27</v>
      </c>
      <c r="J1287" s="5" t="s">
        <v>34</v>
      </c>
      <c r="K1287" s="6">
        <v>0</v>
      </c>
      <c r="L1287" s="7">
        <v>3090.6</v>
      </c>
      <c r="M1287" s="8">
        <v>876.5</v>
      </c>
      <c r="N1287" s="8">
        <v>722.66666666666663</v>
      </c>
      <c r="O1287" s="8">
        <v>1745.9321026404532</v>
      </c>
      <c r="P1287" s="8">
        <v>0</v>
      </c>
      <c r="Q1287" s="8">
        <v>0</v>
      </c>
      <c r="R1287" s="8">
        <v>0</v>
      </c>
      <c r="S1287" s="8">
        <v>216</v>
      </c>
      <c r="T1287" s="5">
        <v>216</v>
      </c>
      <c r="U1287" s="5">
        <v>723</v>
      </c>
      <c r="V1287" s="5">
        <f>VLOOKUP(A1287,Planilha1!B:E,4,0)</f>
        <v>1.2362540170747773</v>
      </c>
    </row>
    <row r="1288" spans="1:22" x14ac:dyDescent="0.3">
      <c r="A1288" t="str">
        <f t="shared" si="40"/>
        <v>DOCE DE LEITEITAMBÉ</v>
      </c>
      <c r="B1288" t="str">
        <f t="shared" si="41"/>
        <v>5038591DOCE DE LEITEITAMBÉ</v>
      </c>
      <c r="C1288" s="5" t="s">
        <v>226</v>
      </c>
      <c r="D1288" s="5" t="s">
        <v>833</v>
      </c>
      <c r="E1288" s="5" t="s">
        <v>852</v>
      </c>
      <c r="F1288" s="5">
        <v>5038591</v>
      </c>
      <c r="G1288" s="5" t="s">
        <v>855</v>
      </c>
      <c r="H1288" s="5" t="s">
        <v>40</v>
      </c>
      <c r="I1288" s="5" t="s">
        <v>27</v>
      </c>
      <c r="J1288" s="5" t="s">
        <v>46</v>
      </c>
      <c r="K1288" s="6">
        <v>0</v>
      </c>
      <c r="L1288" s="7">
        <v>0</v>
      </c>
      <c r="M1288" s="8">
        <v>43.2</v>
      </c>
      <c r="N1288" s="8">
        <v>96</v>
      </c>
      <c r="O1288" s="8">
        <v>78.004457397565588</v>
      </c>
      <c r="P1288" s="8">
        <v>0</v>
      </c>
      <c r="Q1288" s="8">
        <v>0</v>
      </c>
      <c r="R1288" s="8">
        <v>0</v>
      </c>
      <c r="S1288" s="8">
        <v>432</v>
      </c>
      <c r="T1288" s="5">
        <v>432</v>
      </c>
      <c r="U1288" s="5">
        <v>96</v>
      </c>
      <c r="V1288" s="5">
        <f>VLOOKUP(A1288,Planilha1!B:E,4,0)</f>
        <v>5.8210743907543439</v>
      </c>
    </row>
    <row r="1289" spans="1:22" x14ac:dyDescent="0.3">
      <c r="A1289" t="str">
        <f t="shared" si="40"/>
        <v>MANTEIGA 5KGITAMBÉ</v>
      </c>
      <c r="B1289" t="str">
        <f t="shared" si="41"/>
        <v>5038591MANTEIGA 5KGITAMBÉ</v>
      </c>
      <c r="C1289" s="5" t="s">
        <v>226</v>
      </c>
      <c r="D1289" s="5" t="s">
        <v>833</v>
      </c>
      <c r="E1289" s="5" t="s">
        <v>852</v>
      </c>
      <c r="F1289" s="5">
        <v>5038591</v>
      </c>
      <c r="G1289" s="5" t="s">
        <v>855</v>
      </c>
      <c r="H1289" s="5" t="s">
        <v>40</v>
      </c>
      <c r="I1289" s="5" t="s">
        <v>27</v>
      </c>
      <c r="J1289" s="5" t="s">
        <v>60</v>
      </c>
      <c r="K1289" s="6">
        <v>0</v>
      </c>
      <c r="L1289" s="7">
        <v>0</v>
      </c>
      <c r="M1289" s="8">
        <v>39.166666666666664</v>
      </c>
      <c r="N1289" s="8">
        <v>0</v>
      </c>
      <c r="O1289" s="8">
        <v>425.98580047331757</v>
      </c>
      <c r="P1289" s="8">
        <v>0</v>
      </c>
      <c r="Q1289" s="8">
        <v>0</v>
      </c>
      <c r="R1289" s="8">
        <v>0</v>
      </c>
      <c r="S1289" s="8">
        <v>0</v>
      </c>
      <c r="T1289" s="5">
        <v>0</v>
      </c>
      <c r="U1289" s="5">
        <v>0</v>
      </c>
      <c r="V1289" s="5">
        <f>VLOOKUP(A1289,Planilha1!B:E,4,0)</f>
        <v>5.819800475298738</v>
      </c>
    </row>
    <row r="1290" spans="1:22" x14ac:dyDescent="0.3">
      <c r="A1290" t="str">
        <f t="shared" si="40"/>
        <v>LEITE CONDENSADOITAMBÉ</v>
      </c>
      <c r="B1290" t="str">
        <f t="shared" si="41"/>
        <v>5073333LEITE CONDENSADOITAMBÉ</v>
      </c>
      <c r="C1290" s="5" t="s">
        <v>226</v>
      </c>
      <c r="D1290" s="5" t="s">
        <v>833</v>
      </c>
      <c r="E1290" s="5" t="s">
        <v>852</v>
      </c>
      <c r="F1290" s="5">
        <v>5073333</v>
      </c>
      <c r="G1290" s="5" t="s">
        <v>856</v>
      </c>
      <c r="H1290" s="5" t="s">
        <v>40</v>
      </c>
      <c r="I1290" s="5" t="s">
        <v>27</v>
      </c>
      <c r="J1290" s="5" t="s">
        <v>33</v>
      </c>
      <c r="K1290" s="6">
        <v>0</v>
      </c>
      <c r="L1290" s="7">
        <v>0</v>
      </c>
      <c r="M1290" s="8">
        <v>0</v>
      </c>
      <c r="N1290" s="8">
        <v>0</v>
      </c>
      <c r="O1290" s="8">
        <v>160.99710205216306</v>
      </c>
      <c r="P1290" s="8">
        <v>0</v>
      </c>
      <c r="Q1290" s="8">
        <v>0</v>
      </c>
      <c r="R1290" s="8">
        <v>0</v>
      </c>
      <c r="S1290" s="8">
        <v>0</v>
      </c>
      <c r="T1290" s="5">
        <v>0</v>
      </c>
      <c r="U1290" s="5">
        <v>0</v>
      </c>
      <c r="V1290" s="5">
        <f>VLOOKUP(A1290,Planilha1!B:E,4,0)</f>
        <v>1.4766792698630664</v>
      </c>
    </row>
    <row r="1291" spans="1:22" x14ac:dyDescent="0.3">
      <c r="A1291" t="str">
        <f t="shared" si="40"/>
        <v>LEITE CONDENSADOITAMBÉ</v>
      </c>
      <c r="B1291" t="str">
        <f t="shared" si="41"/>
        <v>5118035LEITE CONDENSADOITAMBÉ</v>
      </c>
      <c r="C1291" s="5" t="s">
        <v>226</v>
      </c>
      <c r="D1291" s="5" t="s">
        <v>833</v>
      </c>
      <c r="E1291" s="5" t="s">
        <v>852</v>
      </c>
      <c r="F1291" s="5">
        <v>5118035</v>
      </c>
      <c r="G1291" s="5" t="s">
        <v>857</v>
      </c>
      <c r="H1291" s="5" t="s">
        <v>40</v>
      </c>
      <c r="I1291" s="5" t="s">
        <v>27</v>
      </c>
      <c r="J1291" s="5" t="s">
        <v>33</v>
      </c>
      <c r="K1291" s="6">
        <v>0</v>
      </c>
      <c r="L1291" s="7">
        <v>0</v>
      </c>
      <c r="M1291" s="8">
        <v>83.333333333333343</v>
      </c>
      <c r="N1291" s="8">
        <v>0</v>
      </c>
      <c r="O1291" s="8">
        <v>227.99589607387065</v>
      </c>
      <c r="P1291" s="8">
        <v>0</v>
      </c>
      <c r="Q1291" s="8">
        <v>0</v>
      </c>
      <c r="R1291" s="8">
        <v>0</v>
      </c>
      <c r="S1291" s="8">
        <v>0</v>
      </c>
      <c r="T1291" s="5">
        <v>0</v>
      </c>
      <c r="U1291" s="5">
        <v>0</v>
      </c>
      <c r="V1291" s="5">
        <f>VLOOKUP(A1291,Planilha1!B:E,4,0)</f>
        <v>1.4766792698630664</v>
      </c>
    </row>
    <row r="1292" spans="1:22" x14ac:dyDescent="0.3">
      <c r="A1292" t="str">
        <f t="shared" si="40"/>
        <v>CREME UHTITAMBÉ</v>
      </c>
      <c r="B1292" t="str">
        <f t="shared" si="41"/>
        <v>5118035CREME UHTITAMBÉ</v>
      </c>
      <c r="C1292" s="5" t="s">
        <v>226</v>
      </c>
      <c r="D1292" s="5" t="s">
        <v>833</v>
      </c>
      <c r="E1292" s="5" t="s">
        <v>852</v>
      </c>
      <c r="F1292" s="5">
        <v>5118035</v>
      </c>
      <c r="G1292" s="5" t="s">
        <v>857</v>
      </c>
      <c r="H1292" s="5" t="s">
        <v>40</v>
      </c>
      <c r="I1292" s="5" t="s">
        <v>27</v>
      </c>
      <c r="J1292" s="5" t="s">
        <v>34</v>
      </c>
      <c r="K1292" s="6">
        <v>0</v>
      </c>
      <c r="L1292" s="7">
        <v>0</v>
      </c>
      <c r="M1292" s="8">
        <v>30.299999999999997</v>
      </c>
      <c r="N1292" s="8">
        <v>16</v>
      </c>
      <c r="O1292" s="8">
        <v>48.998094518546509</v>
      </c>
      <c r="P1292" s="8">
        <v>0</v>
      </c>
      <c r="Q1292" s="8">
        <v>0</v>
      </c>
      <c r="R1292" s="8">
        <v>0</v>
      </c>
      <c r="S1292" s="8">
        <v>0</v>
      </c>
      <c r="T1292" s="5">
        <v>0</v>
      </c>
      <c r="U1292" s="5">
        <v>0</v>
      </c>
      <c r="V1292" s="5">
        <f>VLOOKUP(A1292,Planilha1!B:E,4,0)</f>
        <v>1.2362540170747773</v>
      </c>
    </row>
    <row r="1293" spans="1:22" x14ac:dyDescent="0.3">
      <c r="A1293" t="str">
        <f t="shared" si="40"/>
        <v>DOCE DE LEITEITAMBÉ</v>
      </c>
      <c r="B1293" t="str">
        <f t="shared" si="41"/>
        <v>5118035DOCE DE LEITEITAMBÉ</v>
      </c>
      <c r="C1293" s="5" t="s">
        <v>226</v>
      </c>
      <c r="D1293" s="5" t="s">
        <v>833</v>
      </c>
      <c r="E1293" s="5" t="s">
        <v>852</v>
      </c>
      <c r="F1293" s="5">
        <v>5118035</v>
      </c>
      <c r="G1293" s="5" t="s">
        <v>857</v>
      </c>
      <c r="H1293" s="5" t="s">
        <v>40</v>
      </c>
      <c r="I1293" s="5" t="s">
        <v>27</v>
      </c>
      <c r="J1293" s="5" t="s">
        <v>46</v>
      </c>
      <c r="K1293" s="6">
        <v>0</v>
      </c>
      <c r="L1293" s="7">
        <v>0</v>
      </c>
      <c r="M1293" s="8">
        <v>16.666666666666668</v>
      </c>
      <c r="N1293" s="8">
        <v>0</v>
      </c>
      <c r="O1293" s="8">
        <v>22.001257214697986</v>
      </c>
      <c r="P1293" s="8">
        <v>0</v>
      </c>
      <c r="Q1293" s="8">
        <v>0</v>
      </c>
      <c r="R1293" s="8">
        <v>0</v>
      </c>
      <c r="S1293" s="8">
        <v>0</v>
      </c>
      <c r="T1293" s="5">
        <v>0</v>
      </c>
      <c r="U1293" s="5">
        <v>0</v>
      </c>
      <c r="V1293" s="5">
        <f>VLOOKUP(A1293,Planilha1!B:E,4,0)</f>
        <v>5.8210743907543439</v>
      </c>
    </row>
    <row r="1294" spans="1:22" x14ac:dyDescent="0.3">
      <c r="A1294" t="str">
        <f t="shared" si="40"/>
        <v>MANTEIGA 5KGITAMBÉ</v>
      </c>
      <c r="B1294" t="str">
        <f t="shared" si="41"/>
        <v>5118035MANTEIGA 5KGITAMBÉ</v>
      </c>
      <c r="C1294" s="5" t="s">
        <v>226</v>
      </c>
      <c r="D1294" s="5" t="s">
        <v>833</v>
      </c>
      <c r="E1294" s="5" t="s">
        <v>852</v>
      </c>
      <c r="F1294" s="5">
        <v>5118035</v>
      </c>
      <c r="G1294" s="5" t="s">
        <v>857</v>
      </c>
      <c r="H1294" s="5" t="s">
        <v>40</v>
      </c>
      <c r="I1294" s="5" t="s">
        <v>27</v>
      </c>
      <c r="J1294" s="5" t="s">
        <v>60</v>
      </c>
      <c r="K1294" s="6">
        <v>0</v>
      </c>
      <c r="L1294" s="7">
        <v>0</v>
      </c>
      <c r="M1294" s="8">
        <v>5.8333333333333339</v>
      </c>
      <c r="N1294" s="8">
        <v>0</v>
      </c>
      <c r="O1294" s="8">
        <v>42.998566714442852</v>
      </c>
      <c r="P1294" s="8">
        <v>0</v>
      </c>
      <c r="Q1294" s="8">
        <v>0</v>
      </c>
      <c r="R1294" s="8">
        <v>0</v>
      </c>
      <c r="S1294" s="8">
        <v>0</v>
      </c>
      <c r="T1294" s="5">
        <v>0</v>
      </c>
      <c r="U1294" s="5">
        <v>0</v>
      </c>
      <c r="V1294" s="5">
        <f>VLOOKUP(A1294,Planilha1!B:E,4,0)</f>
        <v>5.819800475298738</v>
      </c>
    </row>
    <row r="1295" spans="1:22" x14ac:dyDescent="0.3">
      <c r="A1295" t="str">
        <f t="shared" si="40"/>
        <v>LEITE CONDENSADOITAMBÉ</v>
      </c>
      <c r="B1295" t="str">
        <f t="shared" si="41"/>
        <v>5128707LEITE CONDENSADOITAMBÉ</v>
      </c>
      <c r="C1295" s="5" t="s">
        <v>226</v>
      </c>
      <c r="D1295" s="5" t="s">
        <v>833</v>
      </c>
      <c r="E1295" s="5" t="s">
        <v>852</v>
      </c>
      <c r="F1295" s="5">
        <v>5128707</v>
      </c>
      <c r="G1295" s="5" t="s">
        <v>858</v>
      </c>
      <c r="H1295" s="5" t="s">
        <v>40</v>
      </c>
      <c r="I1295" s="5" t="s">
        <v>27</v>
      </c>
      <c r="J1295" s="5" t="s">
        <v>33</v>
      </c>
      <c r="K1295" s="6">
        <v>0</v>
      </c>
      <c r="L1295" s="7">
        <v>700</v>
      </c>
      <c r="M1295" s="8">
        <v>9431.380000000001</v>
      </c>
      <c r="N1295" s="8">
        <v>14304</v>
      </c>
      <c r="O1295" s="8">
        <v>3998.9280192956526</v>
      </c>
      <c r="P1295" s="8">
        <v>0</v>
      </c>
      <c r="Q1295" s="8">
        <v>0</v>
      </c>
      <c r="R1295" s="8">
        <v>0</v>
      </c>
      <c r="S1295" s="8">
        <v>10000</v>
      </c>
      <c r="T1295" s="5">
        <v>10000</v>
      </c>
      <c r="U1295" s="5">
        <v>0</v>
      </c>
      <c r="V1295" s="5">
        <f>VLOOKUP(A1295,Planilha1!B:E,4,0)</f>
        <v>1.4766792698630664</v>
      </c>
    </row>
    <row r="1296" spans="1:22" x14ac:dyDescent="0.3">
      <c r="A1296" t="str">
        <f t="shared" si="40"/>
        <v>CREME UHTITAMBÉ</v>
      </c>
      <c r="B1296" t="str">
        <f t="shared" si="41"/>
        <v>5128707CREME UHTITAMBÉ</v>
      </c>
      <c r="C1296" s="5" t="s">
        <v>226</v>
      </c>
      <c r="D1296" s="5" t="s">
        <v>833</v>
      </c>
      <c r="E1296" s="5" t="s">
        <v>852</v>
      </c>
      <c r="F1296" s="5">
        <v>5128707</v>
      </c>
      <c r="G1296" s="5" t="s">
        <v>858</v>
      </c>
      <c r="H1296" s="5" t="s">
        <v>40</v>
      </c>
      <c r="I1296" s="5" t="s">
        <v>27</v>
      </c>
      <c r="J1296" s="5" t="s">
        <v>34</v>
      </c>
      <c r="K1296" s="6">
        <v>0</v>
      </c>
      <c r="L1296" s="7">
        <v>969.6</v>
      </c>
      <c r="M1296" s="8">
        <v>6787.2000000000016</v>
      </c>
      <c r="N1296" s="8">
        <v>7352.9999999999991</v>
      </c>
      <c r="O1296" s="8">
        <v>3575.8609387412716</v>
      </c>
      <c r="P1296" s="8">
        <v>0</v>
      </c>
      <c r="Q1296" s="8">
        <v>0</v>
      </c>
      <c r="R1296" s="8">
        <v>0</v>
      </c>
      <c r="S1296" s="8">
        <v>7500</v>
      </c>
      <c r="T1296" s="5">
        <v>7500</v>
      </c>
      <c r="U1296" s="5">
        <v>0</v>
      </c>
      <c r="V1296" s="5">
        <f>VLOOKUP(A1296,Planilha1!B:E,4,0)</f>
        <v>1.2362540170747773</v>
      </c>
    </row>
    <row r="1297" spans="1:22" x14ac:dyDescent="0.3">
      <c r="A1297" t="str">
        <f t="shared" si="40"/>
        <v>DOCE DE LEITEITAMBÉ</v>
      </c>
      <c r="B1297" t="str">
        <f t="shared" si="41"/>
        <v>5128707DOCE DE LEITEITAMBÉ</v>
      </c>
      <c r="C1297" s="5" t="s">
        <v>226</v>
      </c>
      <c r="D1297" s="5" t="s">
        <v>833</v>
      </c>
      <c r="E1297" s="5" t="s">
        <v>852</v>
      </c>
      <c r="F1297" s="5">
        <v>5128707</v>
      </c>
      <c r="G1297" s="5" t="s">
        <v>858</v>
      </c>
      <c r="H1297" s="5" t="s">
        <v>40</v>
      </c>
      <c r="I1297" s="5" t="s">
        <v>27</v>
      </c>
      <c r="J1297" s="5" t="s">
        <v>46</v>
      </c>
      <c r="K1297" s="6">
        <v>0</v>
      </c>
      <c r="L1297" s="7">
        <v>200</v>
      </c>
      <c r="M1297" s="8">
        <v>1255</v>
      </c>
      <c r="N1297" s="8">
        <v>1633.3333333333333</v>
      </c>
      <c r="O1297" s="8">
        <v>714.04080233156196</v>
      </c>
      <c r="P1297" s="8">
        <v>0</v>
      </c>
      <c r="Q1297" s="8">
        <v>0</v>
      </c>
      <c r="R1297" s="8">
        <v>0</v>
      </c>
      <c r="S1297" s="8">
        <v>1500</v>
      </c>
      <c r="T1297" s="5">
        <v>1500</v>
      </c>
      <c r="U1297" s="5">
        <v>0</v>
      </c>
      <c r="V1297" s="5">
        <f>VLOOKUP(A1297,Planilha1!B:E,4,0)</f>
        <v>5.8210743907543439</v>
      </c>
    </row>
    <row r="1298" spans="1:22" x14ac:dyDescent="0.3">
      <c r="A1298" t="str">
        <f t="shared" si="40"/>
        <v>LEITE CONDENSADOITAMBÉ</v>
      </c>
      <c r="B1298" t="str">
        <f t="shared" si="41"/>
        <v>5144654LEITE CONDENSADOITAMBÉ</v>
      </c>
      <c r="C1298" s="5" t="s">
        <v>226</v>
      </c>
      <c r="D1298" s="5" t="s">
        <v>833</v>
      </c>
      <c r="E1298" s="5" t="s">
        <v>852</v>
      </c>
      <c r="F1298" s="5">
        <v>5144654</v>
      </c>
      <c r="G1298" s="5" t="s">
        <v>859</v>
      </c>
      <c r="H1298" s="5" t="s">
        <v>40</v>
      </c>
      <c r="I1298" s="5" t="s">
        <v>27</v>
      </c>
      <c r="J1298" s="5" t="s">
        <v>33</v>
      </c>
      <c r="K1298" s="6">
        <v>0</v>
      </c>
      <c r="L1298" s="7">
        <v>0</v>
      </c>
      <c r="M1298" s="8">
        <v>2711.666666666667</v>
      </c>
      <c r="N1298" s="8">
        <v>4023.3333333333335</v>
      </c>
      <c r="O1298" s="8">
        <v>700.98738222711995</v>
      </c>
      <c r="P1298" s="8">
        <v>0</v>
      </c>
      <c r="Q1298" s="8">
        <v>0</v>
      </c>
      <c r="R1298" s="8">
        <v>0</v>
      </c>
      <c r="S1298" s="8">
        <v>2000</v>
      </c>
      <c r="T1298" s="5">
        <v>2000</v>
      </c>
      <c r="U1298" s="5">
        <v>2000</v>
      </c>
      <c r="V1298" s="5">
        <f>VLOOKUP(A1298,Planilha1!B:E,4,0)</f>
        <v>1.4766792698630664</v>
      </c>
    </row>
    <row r="1299" spans="1:22" x14ac:dyDescent="0.3">
      <c r="A1299" t="str">
        <f t="shared" si="40"/>
        <v>DOCE DE LEITEITAMBÉ</v>
      </c>
      <c r="B1299" t="str">
        <f t="shared" si="41"/>
        <v>5144654DOCE DE LEITEITAMBÉ</v>
      </c>
      <c r="C1299" s="5" t="s">
        <v>226</v>
      </c>
      <c r="D1299" s="5" t="s">
        <v>833</v>
      </c>
      <c r="E1299" s="5" t="s">
        <v>852</v>
      </c>
      <c r="F1299" s="5">
        <v>5144654</v>
      </c>
      <c r="G1299" s="5" t="s">
        <v>859</v>
      </c>
      <c r="H1299" s="5" t="s">
        <v>40</v>
      </c>
      <c r="I1299" s="5" t="s">
        <v>27</v>
      </c>
      <c r="J1299" s="5" t="s">
        <v>46</v>
      </c>
      <c r="K1299" s="6">
        <v>0</v>
      </c>
      <c r="L1299" s="7">
        <v>0</v>
      </c>
      <c r="M1299" s="8">
        <v>330.13333333333333</v>
      </c>
      <c r="N1299" s="8">
        <v>506.66666666666669</v>
      </c>
      <c r="O1299" s="8">
        <v>123.0070289730842</v>
      </c>
      <c r="P1299" s="8">
        <v>0</v>
      </c>
      <c r="Q1299" s="8">
        <v>0</v>
      </c>
      <c r="R1299" s="8">
        <v>0</v>
      </c>
      <c r="S1299" s="8">
        <v>300</v>
      </c>
      <c r="T1299" s="5">
        <v>300</v>
      </c>
      <c r="U1299" s="5">
        <v>300</v>
      </c>
      <c r="V1299" s="5">
        <f>VLOOKUP(A1299,Planilha1!B:E,4,0)</f>
        <v>5.8210743907543439</v>
      </c>
    </row>
    <row r="1300" spans="1:22" x14ac:dyDescent="0.3">
      <c r="A1300" t="str">
        <f t="shared" si="40"/>
        <v>LEITE CONDENSADOITAMBÉ</v>
      </c>
      <c r="B1300" t="str">
        <f t="shared" si="41"/>
        <v>5168941LEITE CONDENSADOITAMBÉ</v>
      </c>
      <c r="C1300" s="5" t="s">
        <v>226</v>
      </c>
      <c r="D1300" s="5" t="s">
        <v>833</v>
      </c>
      <c r="E1300" s="5" t="s">
        <v>852</v>
      </c>
      <c r="F1300" s="5">
        <v>5168941</v>
      </c>
      <c r="G1300" s="5" t="s">
        <v>860</v>
      </c>
      <c r="H1300" s="5" t="s">
        <v>40</v>
      </c>
      <c r="I1300" s="5" t="s">
        <v>27</v>
      </c>
      <c r="J1300" s="5" t="s">
        <v>33</v>
      </c>
      <c r="K1300" s="6">
        <v>0</v>
      </c>
      <c r="L1300" s="7">
        <v>0</v>
      </c>
      <c r="M1300" s="8">
        <v>0</v>
      </c>
      <c r="N1300" s="8">
        <v>0</v>
      </c>
      <c r="O1300" s="8">
        <v>33.999388011015803</v>
      </c>
      <c r="P1300" s="8">
        <v>0</v>
      </c>
      <c r="Q1300" s="8">
        <v>0</v>
      </c>
      <c r="R1300" s="8">
        <v>0</v>
      </c>
      <c r="S1300" s="8">
        <v>0</v>
      </c>
      <c r="T1300" s="5">
        <v>0</v>
      </c>
      <c r="U1300" s="5">
        <v>0</v>
      </c>
      <c r="V1300" s="5">
        <f>VLOOKUP(A1300,Planilha1!B:E,4,0)</f>
        <v>1.4766792698630664</v>
      </c>
    </row>
    <row r="1301" spans="1:22" x14ac:dyDescent="0.3">
      <c r="A1301" t="str">
        <f t="shared" si="40"/>
        <v>LEITE CONDENSADOITAMBÉ</v>
      </c>
      <c r="B1301" t="str">
        <f t="shared" si="41"/>
        <v>5169969LEITE CONDENSADOITAMBÉ</v>
      </c>
      <c r="C1301" s="5" t="s">
        <v>226</v>
      </c>
      <c r="D1301" s="5" t="s">
        <v>833</v>
      </c>
      <c r="E1301" s="5" t="s">
        <v>852</v>
      </c>
      <c r="F1301" s="5">
        <v>5169969</v>
      </c>
      <c r="G1301" s="5" t="s">
        <v>861</v>
      </c>
      <c r="H1301" s="5" t="s">
        <v>40</v>
      </c>
      <c r="I1301" s="5" t="s">
        <v>27</v>
      </c>
      <c r="J1301" s="5" t="s">
        <v>33</v>
      </c>
      <c r="K1301" s="6">
        <v>0</v>
      </c>
      <c r="L1301" s="7">
        <v>0</v>
      </c>
      <c r="M1301" s="8">
        <v>1273.3333333333335</v>
      </c>
      <c r="N1301" s="8">
        <v>606.66666666666663</v>
      </c>
      <c r="O1301" s="8">
        <v>421.99240413672555</v>
      </c>
      <c r="P1301" s="8">
        <v>0</v>
      </c>
      <c r="Q1301" s="8">
        <v>0</v>
      </c>
      <c r="R1301" s="8">
        <v>0</v>
      </c>
      <c r="S1301" s="8">
        <v>3640</v>
      </c>
      <c r="T1301" s="5">
        <v>3640</v>
      </c>
      <c r="U1301" s="5">
        <v>600</v>
      </c>
      <c r="V1301" s="5">
        <f>VLOOKUP(A1301,Planilha1!B:E,4,0)</f>
        <v>1.4766792698630664</v>
      </c>
    </row>
    <row r="1302" spans="1:22" x14ac:dyDescent="0.3">
      <c r="A1302" t="str">
        <f t="shared" si="40"/>
        <v>COMPOSTOITAMBÉ</v>
      </c>
      <c r="B1302" t="str">
        <f t="shared" si="41"/>
        <v>5177629COMPOSTOITAMBÉ</v>
      </c>
      <c r="C1302" s="5" t="s">
        <v>226</v>
      </c>
      <c r="D1302" s="5" t="s">
        <v>833</v>
      </c>
      <c r="E1302" s="5" t="s">
        <v>852</v>
      </c>
      <c r="F1302" s="5">
        <v>5177629</v>
      </c>
      <c r="G1302" s="5" t="s">
        <v>862</v>
      </c>
      <c r="H1302" s="5" t="s">
        <v>40</v>
      </c>
      <c r="I1302" s="5" t="s">
        <v>27</v>
      </c>
      <c r="J1302" s="5" t="s">
        <v>26</v>
      </c>
      <c r="K1302" s="6">
        <v>0</v>
      </c>
      <c r="L1302" s="7">
        <v>0</v>
      </c>
      <c r="M1302" s="8">
        <v>1930.6666666666665</v>
      </c>
      <c r="N1302" s="8">
        <v>1130</v>
      </c>
      <c r="O1302" s="8">
        <v>1874.0874574146796</v>
      </c>
      <c r="P1302" s="8">
        <v>0</v>
      </c>
      <c r="Q1302" s="8">
        <v>0</v>
      </c>
      <c r="R1302" s="8">
        <v>0</v>
      </c>
      <c r="S1302" s="8">
        <v>600</v>
      </c>
      <c r="T1302" s="5">
        <v>600</v>
      </c>
      <c r="U1302" s="5">
        <v>1130</v>
      </c>
      <c r="V1302" s="5">
        <f>VLOOKUP(A1302,Planilha1!B:E,4,0)</f>
        <v>0.15618217875936719</v>
      </c>
    </row>
    <row r="1303" spans="1:22" x14ac:dyDescent="0.3">
      <c r="A1303" t="str">
        <f t="shared" si="40"/>
        <v>LEITE CONDENSADOITAMBÉ</v>
      </c>
      <c r="B1303" t="str">
        <f t="shared" si="41"/>
        <v>5177629LEITE CONDENSADOITAMBÉ</v>
      </c>
      <c r="C1303" s="5" t="s">
        <v>226</v>
      </c>
      <c r="D1303" s="5" t="s">
        <v>833</v>
      </c>
      <c r="E1303" s="5" t="s">
        <v>852</v>
      </c>
      <c r="F1303" s="5">
        <v>5177629</v>
      </c>
      <c r="G1303" s="5" t="s">
        <v>862</v>
      </c>
      <c r="H1303" s="5" t="s">
        <v>40</v>
      </c>
      <c r="I1303" s="5" t="s">
        <v>27</v>
      </c>
      <c r="J1303" s="5" t="s">
        <v>33</v>
      </c>
      <c r="K1303" s="6">
        <v>0</v>
      </c>
      <c r="L1303" s="7">
        <v>0</v>
      </c>
      <c r="M1303" s="8">
        <v>648.33333333333326</v>
      </c>
      <c r="N1303" s="8">
        <v>386.66666666666669</v>
      </c>
      <c r="O1303" s="8">
        <v>1206.9782743910609</v>
      </c>
      <c r="P1303" s="8">
        <v>0</v>
      </c>
      <c r="Q1303" s="8">
        <v>0</v>
      </c>
      <c r="R1303" s="8">
        <v>0</v>
      </c>
      <c r="S1303" s="8">
        <v>387</v>
      </c>
      <c r="T1303" s="5">
        <v>387</v>
      </c>
      <c r="U1303" s="5">
        <v>387</v>
      </c>
      <c r="V1303" s="5">
        <f>VLOOKUP(A1303,Planilha1!B:E,4,0)</f>
        <v>1.4766792698630664</v>
      </c>
    </row>
    <row r="1304" spans="1:22" x14ac:dyDescent="0.3">
      <c r="A1304" t="str">
        <f t="shared" si="40"/>
        <v>DOCE DE LEITEITAMBÉ</v>
      </c>
      <c r="B1304" t="str">
        <f t="shared" si="41"/>
        <v>5177629DOCE DE LEITEITAMBÉ</v>
      </c>
      <c r="C1304" s="5" t="s">
        <v>226</v>
      </c>
      <c r="D1304" s="5" t="s">
        <v>833</v>
      </c>
      <c r="E1304" s="5" t="s">
        <v>852</v>
      </c>
      <c r="F1304" s="5">
        <v>5177629</v>
      </c>
      <c r="G1304" s="5" t="s">
        <v>862</v>
      </c>
      <c r="H1304" s="5" t="s">
        <v>40</v>
      </c>
      <c r="I1304" s="5" t="s">
        <v>27</v>
      </c>
      <c r="J1304" s="5" t="s">
        <v>46</v>
      </c>
      <c r="K1304" s="6">
        <v>0</v>
      </c>
      <c r="L1304" s="7">
        <v>0</v>
      </c>
      <c r="M1304" s="8">
        <v>140</v>
      </c>
      <c r="N1304" s="8">
        <v>40</v>
      </c>
      <c r="O1304" s="8">
        <v>340.01942968169612</v>
      </c>
      <c r="P1304" s="8">
        <v>0</v>
      </c>
      <c r="Q1304" s="8">
        <v>0</v>
      </c>
      <c r="R1304" s="8">
        <v>0</v>
      </c>
      <c r="S1304" s="8">
        <v>40</v>
      </c>
      <c r="T1304" s="5">
        <v>40</v>
      </c>
      <c r="U1304" s="5">
        <v>40</v>
      </c>
      <c r="V1304" s="5">
        <f>VLOOKUP(A1304,Planilha1!B:E,4,0)</f>
        <v>5.8210743907543439</v>
      </c>
    </row>
    <row r="1305" spans="1:22" x14ac:dyDescent="0.3">
      <c r="A1305" t="str">
        <f t="shared" si="40"/>
        <v>COMPOSTOITAMBÉ</v>
      </c>
      <c r="B1305" t="str">
        <f t="shared" si="41"/>
        <v>5190347COMPOSTOITAMBÉ</v>
      </c>
      <c r="C1305" s="5" t="s">
        <v>226</v>
      </c>
      <c r="D1305" s="5" t="s">
        <v>833</v>
      </c>
      <c r="E1305" s="5" t="s">
        <v>852</v>
      </c>
      <c r="F1305" s="5">
        <v>5190347</v>
      </c>
      <c r="G1305" s="5" t="s">
        <v>863</v>
      </c>
      <c r="H1305" s="5" t="s">
        <v>40</v>
      </c>
      <c r="I1305" s="5" t="s">
        <v>27</v>
      </c>
      <c r="J1305" s="5" t="s">
        <v>26</v>
      </c>
      <c r="K1305" s="6">
        <v>0</v>
      </c>
      <c r="L1305" s="7">
        <v>0</v>
      </c>
      <c r="M1305" s="8">
        <v>1000</v>
      </c>
      <c r="N1305" s="8">
        <v>1166.6666666666667</v>
      </c>
      <c r="O1305" s="8">
        <v>527.02459448107584</v>
      </c>
      <c r="P1305" s="8">
        <v>0</v>
      </c>
      <c r="Q1305" s="8">
        <v>0</v>
      </c>
      <c r="R1305" s="8">
        <v>0</v>
      </c>
      <c r="S1305" s="8">
        <v>1167</v>
      </c>
      <c r="T1305" s="5">
        <v>1167</v>
      </c>
      <c r="U1305" s="5">
        <v>1167</v>
      </c>
      <c r="V1305" s="5">
        <f>VLOOKUP(A1305,Planilha1!B:E,4,0)</f>
        <v>0.15618217875936719</v>
      </c>
    </row>
    <row r="1306" spans="1:22" x14ac:dyDescent="0.3">
      <c r="A1306" t="str">
        <f t="shared" si="40"/>
        <v>LEITE CONDENSADOITAMBÉ</v>
      </c>
      <c r="B1306" t="str">
        <f t="shared" si="41"/>
        <v>5194510LEITE CONDENSADOITAMBÉ</v>
      </c>
      <c r="C1306" s="5" t="s">
        <v>226</v>
      </c>
      <c r="D1306" s="5" t="s">
        <v>833</v>
      </c>
      <c r="E1306" s="5" t="s">
        <v>852</v>
      </c>
      <c r="F1306" s="5">
        <v>5194510</v>
      </c>
      <c r="G1306" s="5" t="s">
        <v>864</v>
      </c>
      <c r="H1306" s="5" t="s">
        <v>40</v>
      </c>
      <c r="I1306" s="5" t="s">
        <v>27</v>
      </c>
      <c r="J1306" s="5" t="s">
        <v>33</v>
      </c>
      <c r="K1306" s="6">
        <v>0</v>
      </c>
      <c r="L1306" s="7">
        <v>0</v>
      </c>
      <c r="M1306" s="8">
        <v>370.04666666666668</v>
      </c>
      <c r="N1306" s="8">
        <v>369.66666666666669</v>
      </c>
      <c r="O1306" s="8">
        <v>202.99634606577081</v>
      </c>
      <c r="P1306" s="8">
        <v>0</v>
      </c>
      <c r="Q1306" s="8">
        <v>200</v>
      </c>
      <c r="R1306" s="8">
        <v>0</v>
      </c>
      <c r="S1306" s="8">
        <v>370</v>
      </c>
      <c r="T1306" s="5">
        <v>370</v>
      </c>
      <c r="U1306" s="5">
        <v>370</v>
      </c>
      <c r="V1306" s="5">
        <f>VLOOKUP(A1306,Planilha1!B:E,4,0)</f>
        <v>1.4766792698630664</v>
      </c>
    </row>
    <row r="1307" spans="1:22" x14ac:dyDescent="0.3">
      <c r="A1307" t="str">
        <f t="shared" si="40"/>
        <v>CREME UHTITAMBÉ</v>
      </c>
      <c r="B1307" t="str">
        <f t="shared" si="41"/>
        <v>5194510CREME UHTITAMBÉ</v>
      </c>
      <c r="C1307" s="5" t="s">
        <v>226</v>
      </c>
      <c r="D1307" s="5" t="s">
        <v>833</v>
      </c>
      <c r="E1307" s="5" t="s">
        <v>852</v>
      </c>
      <c r="F1307" s="5">
        <v>5194510</v>
      </c>
      <c r="G1307" s="5" t="s">
        <v>864</v>
      </c>
      <c r="H1307" s="5" t="s">
        <v>40</v>
      </c>
      <c r="I1307" s="5" t="s">
        <v>27</v>
      </c>
      <c r="J1307" s="5" t="s">
        <v>34</v>
      </c>
      <c r="K1307" s="6">
        <v>0</v>
      </c>
      <c r="L1307" s="7">
        <v>0</v>
      </c>
      <c r="M1307" s="8">
        <v>169.68</v>
      </c>
      <c r="N1307" s="8">
        <v>149.66666666666666</v>
      </c>
      <c r="O1307" s="8">
        <v>94.99630569922283</v>
      </c>
      <c r="P1307" s="8">
        <v>0</v>
      </c>
      <c r="Q1307" s="8">
        <v>145.44</v>
      </c>
      <c r="R1307" s="8">
        <v>0</v>
      </c>
      <c r="S1307" s="8">
        <v>150</v>
      </c>
      <c r="T1307" s="5">
        <v>150</v>
      </c>
      <c r="U1307" s="5">
        <v>150</v>
      </c>
      <c r="V1307" s="5">
        <f>VLOOKUP(A1307,Planilha1!B:E,4,0)</f>
        <v>1.2362540170747773</v>
      </c>
    </row>
    <row r="1308" spans="1:22" x14ac:dyDescent="0.3">
      <c r="A1308" t="str">
        <f t="shared" si="40"/>
        <v>COMPOSTOITAMBÉ</v>
      </c>
      <c r="B1308" t="str">
        <f t="shared" si="41"/>
        <v>5218199COMPOSTOITAMBÉ</v>
      </c>
      <c r="C1308" s="5" t="s">
        <v>226</v>
      </c>
      <c r="D1308" s="5" t="s">
        <v>833</v>
      </c>
      <c r="E1308" s="5" t="s">
        <v>852</v>
      </c>
      <c r="F1308" s="5">
        <v>5218199</v>
      </c>
      <c r="G1308" s="5" t="s">
        <v>865</v>
      </c>
      <c r="H1308" s="5" t="s">
        <v>40</v>
      </c>
      <c r="I1308" s="5" t="s">
        <v>27</v>
      </c>
      <c r="J1308" s="5" t="s">
        <v>26</v>
      </c>
      <c r="K1308" s="6">
        <v>0</v>
      </c>
      <c r="L1308" s="7">
        <v>0</v>
      </c>
      <c r="M1308" s="8">
        <v>16.666666666666668</v>
      </c>
      <c r="N1308" s="8">
        <v>0</v>
      </c>
      <c r="O1308" s="8">
        <v>45.002100098004576</v>
      </c>
      <c r="P1308" s="8">
        <v>0</v>
      </c>
      <c r="Q1308" s="8">
        <v>0</v>
      </c>
      <c r="R1308" s="8">
        <v>0</v>
      </c>
      <c r="S1308" s="8">
        <v>0</v>
      </c>
      <c r="T1308" s="5">
        <v>0</v>
      </c>
      <c r="U1308" s="5">
        <v>0</v>
      </c>
      <c r="V1308" s="5">
        <f>VLOOKUP(A1308,Planilha1!B:E,4,0)</f>
        <v>0.15618217875936719</v>
      </c>
    </row>
    <row r="1309" spans="1:22" x14ac:dyDescent="0.3">
      <c r="A1309" t="str">
        <f t="shared" si="40"/>
        <v>COMPOSTOITAMBÉ</v>
      </c>
      <c r="B1309" t="str">
        <f t="shared" si="41"/>
        <v>5221359COMPOSTOITAMBÉ</v>
      </c>
      <c r="C1309" s="5" t="s">
        <v>226</v>
      </c>
      <c r="D1309" s="5" t="s">
        <v>833</v>
      </c>
      <c r="E1309" s="5" t="s">
        <v>852</v>
      </c>
      <c r="F1309" s="5">
        <v>5221359</v>
      </c>
      <c r="G1309" s="5" t="s">
        <v>866</v>
      </c>
      <c r="H1309" s="5" t="s">
        <v>40</v>
      </c>
      <c r="I1309" s="5" t="s">
        <v>27</v>
      </c>
      <c r="J1309" s="5" t="s">
        <v>26</v>
      </c>
      <c r="K1309" s="6">
        <v>0</v>
      </c>
      <c r="L1309" s="7">
        <v>0</v>
      </c>
      <c r="M1309" s="8">
        <v>75</v>
      </c>
      <c r="N1309" s="8">
        <v>83.333333333333329</v>
      </c>
      <c r="O1309" s="8">
        <v>45.002100098004576</v>
      </c>
      <c r="P1309" s="8">
        <v>0</v>
      </c>
      <c r="Q1309" s="8">
        <v>0</v>
      </c>
      <c r="R1309" s="8">
        <v>0</v>
      </c>
      <c r="S1309" s="8">
        <v>83</v>
      </c>
      <c r="T1309" s="5">
        <v>83</v>
      </c>
      <c r="U1309" s="5">
        <v>83</v>
      </c>
      <c r="V1309" s="5">
        <f>VLOOKUP(A1309,Planilha1!B:E,4,0)</f>
        <v>0.15618217875936719</v>
      </c>
    </row>
    <row r="1310" spans="1:22" x14ac:dyDescent="0.3">
      <c r="A1310" t="str">
        <f t="shared" si="40"/>
        <v>LEITE CONDENSADOITAMBÉ</v>
      </c>
      <c r="B1310" t="str">
        <f t="shared" si="41"/>
        <v>5226360LEITE CONDENSADOITAMBÉ</v>
      </c>
      <c r="C1310" s="5" t="s">
        <v>226</v>
      </c>
      <c r="D1310" s="5" t="s">
        <v>833</v>
      </c>
      <c r="E1310" s="5" t="s">
        <v>852</v>
      </c>
      <c r="F1310" s="5">
        <v>5226360</v>
      </c>
      <c r="G1310" s="5" t="s">
        <v>867</v>
      </c>
      <c r="H1310" s="5" t="s">
        <v>40</v>
      </c>
      <c r="I1310" s="5" t="s">
        <v>27</v>
      </c>
      <c r="J1310" s="5" t="s">
        <v>33</v>
      </c>
      <c r="K1310" s="6">
        <v>0</v>
      </c>
      <c r="L1310" s="7">
        <v>100</v>
      </c>
      <c r="M1310" s="8">
        <v>31.666666666666668</v>
      </c>
      <c r="N1310" s="8">
        <v>0</v>
      </c>
      <c r="O1310" s="8">
        <v>65.998812021383614</v>
      </c>
      <c r="P1310" s="8">
        <v>0</v>
      </c>
      <c r="Q1310" s="8">
        <v>0</v>
      </c>
      <c r="R1310" s="8">
        <v>0</v>
      </c>
      <c r="S1310" s="8">
        <v>0</v>
      </c>
      <c r="T1310" s="5">
        <v>0</v>
      </c>
      <c r="U1310" s="5">
        <v>0</v>
      </c>
      <c r="V1310" s="5">
        <f>VLOOKUP(A1310,Planilha1!B:E,4,0)</f>
        <v>1.4766792698630664</v>
      </c>
    </row>
    <row r="1311" spans="1:22" x14ac:dyDescent="0.3">
      <c r="A1311" t="str">
        <f t="shared" si="40"/>
        <v>CREME UHTITAMBÉ</v>
      </c>
      <c r="B1311" t="str">
        <f t="shared" si="41"/>
        <v>5226360CREME UHTITAMBÉ</v>
      </c>
      <c r="C1311" s="5" t="s">
        <v>226</v>
      </c>
      <c r="D1311" s="5" t="s">
        <v>833</v>
      </c>
      <c r="E1311" s="5" t="s">
        <v>852</v>
      </c>
      <c r="F1311" s="5">
        <v>5226360</v>
      </c>
      <c r="G1311" s="5" t="s">
        <v>867</v>
      </c>
      <c r="H1311" s="5" t="s">
        <v>40</v>
      </c>
      <c r="I1311" s="5" t="s">
        <v>27</v>
      </c>
      <c r="J1311" s="5" t="s">
        <v>34</v>
      </c>
      <c r="K1311" s="6">
        <v>0</v>
      </c>
      <c r="L1311" s="7">
        <v>0</v>
      </c>
      <c r="M1311" s="8">
        <v>-8.08</v>
      </c>
      <c r="N1311" s="8">
        <v>0</v>
      </c>
      <c r="O1311" s="8">
        <v>9.9996111262339813</v>
      </c>
      <c r="P1311" s="8">
        <v>0</v>
      </c>
      <c r="Q1311" s="8">
        <v>0</v>
      </c>
      <c r="R1311" s="8">
        <v>0</v>
      </c>
      <c r="S1311" s="8">
        <v>0</v>
      </c>
      <c r="T1311" s="5">
        <v>0</v>
      </c>
      <c r="U1311" s="5">
        <v>0</v>
      </c>
      <c r="V1311" s="5">
        <f>VLOOKUP(A1311,Planilha1!B:E,4,0)</f>
        <v>1.2362540170747773</v>
      </c>
    </row>
    <row r="1312" spans="1:22" x14ac:dyDescent="0.3">
      <c r="A1312" t="str">
        <f t="shared" si="40"/>
        <v>LEITE UHTITAMBÉ</v>
      </c>
      <c r="B1312" t="str">
        <f t="shared" si="41"/>
        <v>5226360LEITE UHTITAMBÉ</v>
      </c>
      <c r="C1312" s="5" t="s">
        <v>226</v>
      </c>
      <c r="D1312" s="5" t="s">
        <v>833</v>
      </c>
      <c r="E1312" s="5" t="s">
        <v>852</v>
      </c>
      <c r="F1312" s="5">
        <v>5226360</v>
      </c>
      <c r="G1312" s="5" t="s">
        <v>867</v>
      </c>
      <c r="H1312" s="5" t="s">
        <v>40</v>
      </c>
      <c r="I1312" s="5" t="s">
        <v>27</v>
      </c>
      <c r="J1312" s="5" t="s">
        <v>156</v>
      </c>
      <c r="K1312" s="6">
        <v>0</v>
      </c>
      <c r="L1312" s="7">
        <v>0</v>
      </c>
      <c r="M1312" s="8">
        <v>40</v>
      </c>
      <c r="N1312" s="8">
        <v>0</v>
      </c>
      <c r="O1312" s="8">
        <v>318.9964555949378</v>
      </c>
      <c r="P1312" s="8">
        <v>0</v>
      </c>
      <c r="Q1312" s="8">
        <v>0</v>
      </c>
      <c r="R1312" s="8">
        <v>0</v>
      </c>
      <c r="S1312" s="8">
        <v>0</v>
      </c>
      <c r="T1312" s="5">
        <v>0</v>
      </c>
      <c r="U1312" s="5">
        <v>0</v>
      </c>
      <c r="V1312" s="5">
        <f>VLOOKUP(A1312,Planilha1!B:E,4,0)</f>
        <v>-0.14425288609148015</v>
      </c>
    </row>
    <row r="1313" spans="1:22" x14ac:dyDescent="0.3">
      <c r="A1313" t="str">
        <f t="shared" si="40"/>
        <v>BLISTERITAMBÉ</v>
      </c>
      <c r="B1313" t="str">
        <f t="shared" si="41"/>
        <v>5226476BLISTERITAMBÉ</v>
      </c>
      <c r="C1313" s="5" t="s">
        <v>226</v>
      </c>
      <c r="D1313" s="5" t="s">
        <v>833</v>
      </c>
      <c r="E1313" s="5" t="s">
        <v>852</v>
      </c>
      <c r="F1313" s="5">
        <v>5226476</v>
      </c>
      <c r="G1313" s="5" t="s">
        <v>868</v>
      </c>
      <c r="H1313" s="5" t="s">
        <v>40</v>
      </c>
      <c r="I1313" s="5" t="s">
        <v>27</v>
      </c>
      <c r="J1313" s="5" t="s">
        <v>199</v>
      </c>
      <c r="K1313" s="6">
        <v>0</v>
      </c>
      <c r="L1313" s="7">
        <v>201.6</v>
      </c>
      <c r="M1313" s="8">
        <v>144</v>
      </c>
      <c r="N1313" s="8">
        <v>192</v>
      </c>
      <c r="O1313" s="8">
        <v>212.0302905607754</v>
      </c>
      <c r="P1313" s="8">
        <v>0</v>
      </c>
      <c r="Q1313" s="8">
        <v>0</v>
      </c>
      <c r="R1313" s="8">
        <v>0</v>
      </c>
      <c r="S1313" s="8">
        <v>192</v>
      </c>
      <c r="T1313" s="5">
        <v>192</v>
      </c>
      <c r="U1313" s="5">
        <v>192</v>
      </c>
      <c r="V1313" s="5">
        <f>VLOOKUP(A1313,Planilha1!B:E,4,0)</f>
        <v>10.339882680976428</v>
      </c>
    </row>
    <row r="1314" spans="1:22" x14ac:dyDescent="0.3">
      <c r="A1314" t="str">
        <f t="shared" si="40"/>
        <v>BLISTERITAMBÉ</v>
      </c>
      <c r="B1314" t="str">
        <f t="shared" si="41"/>
        <v>5226643BLISTERITAMBÉ</v>
      </c>
      <c r="C1314" s="5" t="s">
        <v>226</v>
      </c>
      <c r="D1314" s="5" t="s">
        <v>833</v>
      </c>
      <c r="E1314" s="5" t="s">
        <v>852</v>
      </c>
      <c r="F1314" s="5">
        <v>5226643</v>
      </c>
      <c r="G1314" s="5" t="s">
        <v>869</v>
      </c>
      <c r="H1314" s="5" t="s">
        <v>40</v>
      </c>
      <c r="I1314" s="5" t="s">
        <v>27</v>
      </c>
      <c r="J1314" s="5" t="s">
        <v>199</v>
      </c>
      <c r="K1314" s="6">
        <v>0</v>
      </c>
      <c r="L1314" s="7">
        <v>0</v>
      </c>
      <c r="M1314" s="8">
        <v>107.84</v>
      </c>
      <c r="N1314" s="8">
        <v>105.66666666666667</v>
      </c>
      <c r="O1314" s="8">
        <v>53.007572640193857</v>
      </c>
      <c r="P1314" s="8">
        <v>0</v>
      </c>
      <c r="Q1314" s="8">
        <v>0</v>
      </c>
      <c r="R1314" s="8">
        <v>0</v>
      </c>
      <c r="S1314" s="8">
        <v>106</v>
      </c>
      <c r="T1314" s="5">
        <v>106</v>
      </c>
      <c r="U1314" s="5">
        <v>106</v>
      </c>
      <c r="V1314" s="5">
        <f>VLOOKUP(A1314,Planilha1!B:E,4,0)</f>
        <v>10.339882680976428</v>
      </c>
    </row>
    <row r="1315" spans="1:22" x14ac:dyDescent="0.3">
      <c r="A1315" t="str">
        <f t="shared" si="40"/>
        <v>BLISTERITAMBÉ</v>
      </c>
      <c r="B1315" t="str">
        <f t="shared" si="41"/>
        <v>5227605BLISTERITAMBÉ</v>
      </c>
      <c r="C1315" s="5" t="s">
        <v>226</v>
      </c>
      <c r="D1315" s="5" t="s">
        <v>833</v>
      </c>
      <c r="E1315" s="5" t="s">
        <v>852</v>
      </c>
      <c r="F1315" s="5">
        <v>5227605</v>
      </c>
      <c r="G1315" s="5" t="s">
        <v>870</v>
      </c>
      <c r="H1315" s="5" t="s">
        <v>40</v>
      </c>
      <c r="I1315" s="5" t="s">
        <v>27</v>
      </c>
      <c r="J1315" s="5" t="s">
        <v>199</v>
      </c>
      <c r="K1315" s="6">
        <v>0</v>
      </c>
      <c r="L1315" s="7">
        <v>249.6</v>
      </c>
      <c r="M1315" s="8">
        <v>96</v>
      </c>
      <c r="N1315" s="8">
        <v>192</v>
      </c>
      <c r="O1315" s="8">
        <v>928.13259264339422</v>
      </c>
      <c r="P1315" s="8">
        <v>0</v>
      </c>
      <c r="Q1315" s="8">
        <v>0</v>
      </c>
      <c r="R1315" s="8">
        <v>0</v>
      </c>
      <c r="S1315" s="8">
        <v>192</v>
      </c>
      <c r="T1315" s="5">
        <v>192</v>
      </c>
      <c r="U1315" s="5">
        <v>192</v>
      </c>
      <c r="V1315" s="5">
        <f>VLOOKUP(A1315,Planilha1!B:E,4,0)</f>
        <v>10.339882680976428</v>
      </c>
    </row>
    <row r="1316" spans="1:22" x14ac:dyDescent="0.3">
      <c r="A1316" t="str">
        <f t="shared" si="40"/>
        <v>DOCE DE LEITEITAMBÉ</v>
      </c>
      <c r="B1316" t="str">
        <f t="shared" si="41"/>
        <v>5232460DOCE DE LEITEITAMBÉ</v>
      </c>
      <c r="C1316" s="5" t="s">
        <v>226</v>
      </c>
      <c r="D1316" s="5" t="s">
        <v>833</v>
      </c>
      <c r="E1316" s="5" t="s">
        <v>852</v>
      </c>
      <c r="F1316" s="5">
        <v>5232460</v>
      </c>
      <c r="G1316" s="5" t="s">
        <v>871</v>
      </c>
      <c r="H1316" s="5" t="s">
        <v>40</v>
      </c>
      <c r="I1316" s="5" t="s">
        <v>27</v>
      </c>
      <c r="J1316" s="5" t="s">
        <v>46</v>
      </c>
      <c r="K1316" s="6">
        <v>0</v>
      </c>
      <c r="L1316" s="7">
        <v>0</v>
      </c>
      <c r="M1316" s="8">
        <v>0</v>
      </c>
      <c r="N1316" s="8">
        <v>0</v>
      </c>
      <c r="O1316" s="8">
        <v>8.0004571689810859</v>
      </c>
      <c r="P1316" s="8">
        <v>0</v>
      </c>
      <c r="Q1316" s="8">
        <v>0</v>
      </c>
      <c r="R1316" s="8">
        <v>0</v>
      </c>
      <c r="S1316" s="8">
        <v>0</v>
      </c>
      <c r="T1316" s="5">
        <v>0</v>
      </c>
      <c r="U1316" s="5">
        <v>0</v>
      </c>
      <c r="V1316" s="5">
        <f>VLOOKUP(A1316,Planilha1!B:E,4,0)</f>
        <v>5.8210743907543439</v>
      </c>
    </row>
    <row r="1317" spans="1:22" x14ac:dyDescent="0.3">
      <c r="A1317" t="str">
        <f t="shared" si="40"/>
        <v>MANTEIGA 5KGITAMBÉ</v>
      </c>
      <c r="B1317" t="str">
        <f t="shared" si="41"/>
        <v>5275629MANTEIGA 5KGITAMBÉ</v>
      </c>
      <c r="C1317" s="5" t="s">
        <v>226</v>
      </c>
      <c r="D1317" s="5" t="s">
        <v>833</v>
      </c>
      <c r="E1317" s="5" t="s">
        <v>852</v>
      </c>
      <c r="F1317" s="5">
        <v>5275629</v>
      </c>
      <c r="G1317" s="5" t="s">
        <v>872</v>
      </c>
      <c r="H1317" s="5" t="s">
        <v>40</v>
      </c>
      <c r="I1317" s="5" t="s">
        <v>27</v>
      </c>
      <c r="J1317" s="5" t="s">
        <v>60</v>
      </c>
      <c r="K1317" s="6">
        <v>0</v>
      </c>
      <c r="L1317" s="7">
        <v>50</v>
      </c>
      <c r="M1317" s="8">
        <v>6.666666666666667</v>
      </c>
      <c r="N1317" s="8">
        <v>0</v>
      </c>
      <c r="O1317" s="8">
        <v>42.998566714442852</v>
      </c>
      <c r="P1317" s="8">
        <v>0</v>
      </c>
      <c r="Q1317" s="8">
        <v>0</v>
      </c>
      <c r="R1317" s="8">
        <v>0</v>
      </c>
      <c r="S1317" s="8">
        <v>0</v>
      </c>
      <c r="T1317" s="5">
        <v>0</v>
      </c>
      <c r="U1317" s="5">
        <v>0</v>
      </c>
      <c r="V1317" s="5">
        <f>VLOOKUP(A1317,Planilha1!B:E,4,0)</f>
        <v>5.819800475298738</v>
      </c>
    </row>
    <row r="1318" spans="1:22" x14ac:dyDescent="0.3">
      <c r="A1318" t="str">
        <f t="shared" si="40"/>
        <v>LEITE CONDENSADOITAMBÉ</v>
      </c>
      <c r="B1318" t="str">
        <f t="shared" si="41"/>
        <v>5316368LEITE CONDENSADOITAMBÉ</v>
      </c>
      <c r="C1318" s="5" t="s">
        <v>226</v>
      </c>
      <c r="D1318" s="5" t="s">
        <v>833</v>
      </c>
      <c r="E1318" s="5" t="s">
        <v>852</v>
      </c>
      <c r="F1318" s="5">
        <v>5316368</v>
      </c>
      <c r="G1318" s="5" t="s">
        <v>873</v>
      </c>
      <c r="H1318" s="5" t="s">
        <v>40</v>
      </c>
      <c r="I1318" s="5" t="s">
        <v>27</v>
      </c>
      <c r="J1318" s="5" t="s">
        <v>33</v>
      </c>
      <c r="K1318" s="6">
        <v>0</v>
      </c>
      <c r="L1318" s="7">
        <v>0</v>
      </c>
      <c r="M1318" s="8">
        <v>37.92</v>
      </c>
      <c r="N1318" s="8">
        <v>37.666666666666664</v>
      </c>
      <c r="O1318" s="8">
        <v>19.999640006479883</v>
      </c>
      <c r="P1318" s="8">
        <v>0</v>
      </c>
      <c r="Q1318" s="8">
        <v>-28.44</v>
      </c>
      <c r="R1318" s="8">
        <v>0</v>
      </c>
      <c r="S1318" s="8">
        <v>56.88</v>
      </c>
      <c r="T1318" s="5">
        <v>56.88</v>
      </c>
      <c r="U1318" s="5">
        <v>47</v>
      </c>
      <c r="V1318" s="5">
        <f>VLOOKUP(A1318,Planilha1!B:E,4,0)</f>
        <v>1.4766792698630664</v>
      </c>
    </row>
    <row r="1319" spans="1:22" x14ac:dyDescent="0.3">
      <c r="A1319" t="str">
        <f t="shared" si="40"/>
        <v>DOCE DE LEITEITAMBÉ</v>
      </c>
      <c r="B1319" t="str">
        <f t="shared" si="41"/>
        <v>5338003DOCE DE LEITEITAMBÉ</v>
      </c>
      <c r="C1319" s="5" t="s">
        <v>226</v>
      </c>
      <c r="D1319" s="5" t="s">
        <v>833</v>
      </c>
      <c r="E1319" s="5" t="s">
        <v>852</v>
      </c>
      <c r="F1319" s="5">
        <v>5338003</v>
      </c>
      <c r="G1319" s="5" t="s">
        <v>874</v>
      </c>
      <c r="H1319" s="5" t="s">
        <v>40</v>
      </c>
      <c r="I1319" s="5" t="s">
        <v>27</v>
      </c>
      <c r="J1319" s="5" t="s">
        <v>46</v>
      </c>
      <c r="K1319" s="6">
        <v>0</v>
      </c>
      <c r="L1319" s="7">
        <v>0</v>
      </c>
      <c r="M1319" s="8">
        <v>60</v>
      </c>
      <c r="N1319" s="8">
        <v>86.666666666666671</v>
      </c>
      <c r="O1319" s="8">
        <v>27.001542945311165</v>
      </c>
      <c r="P1319" s="8">
        <v>0</v>
      </c>
      <c r="Q1319" s="8">
        <v>0</v>
      </c>
      <c r="R1319" s="8">
        <v>0</v>
      </c>
      <c r="S1319" s="8">
        <v>87</v>
      </c>
      <c r="T1319" s="5">
        <v>87</v>
      </c>
      <c r="U1319" s="5">
        <v>87</v>
      </c>
      <c r="V1319" s="5">
        <f>VLOOKUP(A1319,Planilha1!B:E,4,0)</f>
        <v>5.8210743907543439</v>
      </c>
    </row>
    <row r="1320" spans="1:22" x14ac:dyDescent="0.3">
      <c r="A1320" t="str">
        <f t="shared" si="40"/>
        <v>COMPOSTOITAMBÉ</v>
      </c>
      <c r="B1320" t="str">
        <f t="shared" si="41"/>
        <v>5023770COMPOSTOITAMBÉ</v>
      </c>
      <c r="C1320" s="5" t="s">
        <v>226</v>
      </c>
      <c r="D1320" s="5" t="s">
        <v>833</v>
      </c>
      <c r="E1320" s="5" t="s">
        <v>875</v>
      </c>
      <c r="F1320" s="5">
        <v>5023770</v>
      </c>
      <c r="G1320" s="5" t="s">
        <v>876</v>
      </c>
      <c r="H1320" s="5" t="s">
        <v>91</v>
      </c>
      <c r="I1320" s="5" t="s">
        <v>27</v>
      </c>
      <c r="J1320" s="5" t="s">
        <v>26</v>
      </c>
      <c r="K1320" s="6">
        <v>0</v>
      </c>
      <c r="L1320" s="7">
        <v>0</v>
      </c>
      <c r="M1320" s="8">
        <v>6.666666666666667</v>
      </c>
      <c r="N1320" s="8">
        <v>0</v>
      </c>
      <c r="O1320" s="8">
        <v>1660.0774702819467</v>
      </c>
      <c r="P1320" s="8">
        <v>0</v>
      </c>
      <c r="Q1320" s="8">
        <v>0</v>
      </c>
      <c r="R1320" s="8">
        <v>0</v>
      </c>
      <c r="S1320" s="8">
        <v>0</v>
      </c>
      <c r="T1320" s="5">
        <v>0</v>
      </c>
      <c r="U1320" s="5">
        <v>0</v>
      </c>
      <c r="V1320" s="5">
        <f>VLOOKUP(A1320,Planilha1!B:E,4,0)</f>
        <v>0.15618217875936719</v>
      </c>
    </row>
    <row r="1321" spans="1:22" x14ac:dyDescent="0.3">
      <c r="A1321" t="str">
        <f t="shared" si="40"/>
        <v>LEITE CONDENSADOITAMBÉ</v>
      </c>
      <c r="B1321" t="str">
        <f t="shared" si="41"/>
        <v>5023770LEITE CONDENSADOITAMBÉ</v>
      </c>
      <c r="C1321" s="5" t="s">
        <v>226</v>
      </c>
      <c r="D1321" s="5" t="s">
        <v>833</v>
      </c>
      <c r="E1321" s="5" t="s">
        <v>875</v>
      </c>
      <c r="F1321" s="5">
        <v>5023770</v>
      </c>
      <c r="G1321" s="5" t="s">
        <v>876</v>
      </c>
      <c r="H1321" s="5" t="s">
        <v>91</v>
      </c>
      <c r="I1321" s="5" t="s">
        <v>27</v>
      </c>
      <c r="J1321" s="5" t="s">
        <v>33</v>
      </c>
      <c r="K1321" s="6">
        <v>0</v>
      </c>
      <c r="L1321" s="7">
        <v>1390.24</v>
      </c>
      <c r="M1321" s="8">
        <v>7575.8208333333332</v>
      </c>
      <c r="N1321" s="8">
        <v>8618.6666666666661</v>
      </c>
      <c r="O1321" s="8">
        <v>9896.8218572065707</v>
      </c>
      <c r="P1321" s="8">
        <v>0</v>
      </c>
      <c r="Q1321" s="8">
        <v>0</v>
      </c>
      <c r="R1321" s="8">
        <v>0</v>
      </c>
      <c r="S1321" s="8">
        <v>11959</v>
      </c>
      <c r="T1321" s="5">
        <v>11959</v>
      </c>
      <c r="U1321" s="5">
        <v>11959</v>
      </c>
      <c r="V1321" s="5">
        <f>VLOOKUP(A1321,Planilha1!B:E,4,0)</f>
        <v>1.4766792698630664</v>
      </c>
    </row>
    <row r="1322" spans="1:22" x14ac:dyDescent="0.3">
      <c r="A1322" t="str">
        <f t="shared" si="40"/>
        <v>CREME UHTITAMBÉ</v>
      </c>
      <c r="B1322" t="str">
        <f t="shared" si="41"/>
        <v>5023770CREME UHTITAMBÉ</v>
      </c>
      <c r="C1322" s="5" t="s">
        <v>226</v>
      </c>
      <c r="D1322" s="5" t="s">
        <v>833</v>
      </c>
      <c r="E1322" s="5" t="s">
        <v>875</v>
      </c>
      <c r="F1322" s="5">
        <v>5023770</v>
      </c>
      <c r="G1322" s="5" t="s">
        <v>876</v>
      </c>
      <c r="H1322" s="5" t="s">
        <v>91</v>
      </c>
      <c r="I1322" s="5" t="s">
        <v>27</v>
      </c>
      <c r="J1322" s="5" t="s">
        <v>34</v>
      </c>
      <c r="K1322" s="6">
        <v>0</v>
      </c>
      <c r="L1322" s="7">
        <v>405</v>
      </c>
      <c r="M1322" s="8">
        <v>4241.7</v>
      </c>
      <c r="N1322" s="8">
        <v>5822.6666666666661</v>
      </c>
      <c r="O1322" s="8">
        <v>3591.8603165432464</v>
      </c>
      <c r="P1322" s="8">
        <v>0</v>
      </c>
      <c r="Q1322" s="8">
        <v>804.6</v>
      </c>
      <c r="R1322" s="8">
        <v>0</v>
      </c>
      <c r="S1322" s="8">
        <v>302</v>
      </c>
      <c r="T1322" s="5">
        <v>302</v>
      </c>
      <c r="U1322" s="5">
        <v>5822.6666666666661</v>
      </c>
      <c r="V1322" s="5">
        <f>VLOOKUP(A1322,Planilha1!B:E,4,0)</f>
        <v>1.2362540170747773</v>
      </c>
    </row>
    <row r="1323" spans="1:22" x14ac:dyDescent="0.3">
      <c r="A1323" t="str">
        <f t="shared" si="40"/>
        <v>DOCE DE LEITEITAMBÉ</v>
      </c>
      <c r="B1323" t="str">
        <f t="shared" si="41"/>
        <v>5023770DOCE DE LEITEITAMBÉ</v>
      </c>
      <c r="C1323" s="5" t="s">
        <v>226</v>
      </c>
      <c r="D1323" s="5" t="s">
        <v>833</v>
      </c>
      <c r="E1323" s="5" t="s">
        <v>875</v>
      </c>
      <c r="F1323" s="5">
        <v>5023770</v>
      </c>
      <c r="G1323" s="5" t="s">
        <v>876</v>
      </c>
      <c r="H1323" s="5" t="s">
        <v>91</v>
      </c>
      <c r="I1323" s="5" t="s">
        <v>27</v>
      </c>
      <c r="J1323" s="5" t="s">
        <v>46</v>
      </c>
      <c r="K1323" s="6">
        <v>0</v>
      </c>
      <c r="L1323" s="7">
        <v>3062.4</v>
      </c>
      <c r="M1323" s="8">
        <v>1340.3666666666668</v>
      </c>
      <c r="N1323" s="8">
        <v>1702.6666666666667</v>
      </c>
      <c r="O1323" s="8">
        <v>2043.1167495285445</v>
      </c>
      <c r="P1323" s="8">
        <v>0</v>
      </c>
      <c r="Q1323" s="8">
        <v>0</v>
      </c>
      <c r="R1323" s="8">
        <v>0</v>
      </c>
      <c r="S1323" s="8">
        <v>343</v>
      </c>
      <c r="T1323" s="5">
        <v>343</v>
      </c>
      <c r="U1323" s="5">
        <v>1702.6666666666667</v>
      </c>
      <c r="V1323" s="5">
        <f>VLOOKUP(A1323,Planilha1!B:E,4,0)</f>
        <v>5.8210743907543439</v>
      </c>
    </row>
    <row r="1324" spans="1:22" x14ac:dyDescent="0.3">
      <c r="A1324" t="str">
        <f t="shared" si="40"/>
        <v>MANTEIGA 5KGITAMBÉ</v>
      </c>
      <c r="B1324" t="str">
        <f t="shared" si="41"/>
        <v>5023770MANTEIGA 5KGITAMBÉ</v>
      </c>
      <c r="C1324" s="5" t="s">
        <v>226</v>
      </c>
      <c r="D1324" s="5" t="s">
        <v>833</v>
      </c>
      <c r="E1324" s="5" t="s">
        <v>875</v>
      </c>
      <c r="F1324" s="5">
        <v>5023770</v>
      </c>
      <c r="G1324" s="5" t="s">
        <v>876</v>
      </c>
      <c r="H1324" s="5" t="s">
        <v>91</v>
      </c>
      <c r="I1324" s="5" t="s">
        <v>27</v>
      </c>
      <c r="J1324" s="5" t="s">
        <v>60</v>
      </c>
      <c r="K1324" s="6">
        <v>0</v>
      </c>
      <c r="L1324" s="7">
        <v>0</v>
      </c>
      <c r="M1324" s="8">
        <v>1041.6666666666665</v>
      </c>
      <c r="N1324" s="8">
        <v>1250</v>
      </c>
      <c r="O1324" s="8">
        <v>667.97773407553086</v>
      </c>
      <c r="P1324" s="8">
        <v>0</v>
      </c>
      <c r="Q1324" s="8">
        <v>0</v>
      </c>
      <c r="R1324" s="8">
        <v>0</v>
      </c>
      <c r="S1324" s="8">
        <v>1250</v>
      </c>
      <c r="T1324" s="5">
        <v>1250</v>
      </c>
      <c r="U1324" s="5">
        <v>1250</v>
      </c>
      <c r="V1324" s="5">
        <f>VLOOKUP(A1324,Planilha1!B:E,4,0)</f>
        <v>5.819800475298738</v>
      </c>
    </row>
    <row r="1325" spans="1:22" x14ac:dyDescent="0.3">
      <c r="A1325" t="str">
        <f t="shared" si="40"/>
        <v>LEITE UHTITAMBÉ</v>
      </c>
      <c r="B1325" t="str">
        <f t="shared" si="41"/>
        <v>5023770LEITE UHTITAMBÉ</v>
      </c>
      <c r="C1325" s="5" t="s">
        <v>226</v>
      </c>
      <c r="D1325" s="5" t="s">
        <v>833</v>
      </c>
      <c r="E1325" s="5" t="s">
        <v>875</v>
      </c>
      <c r="F1325" s="5">
        <v>5023770</v>
      </c>
      <c r="G1325" s="5" t="s">
        <v>876</v>
      </c>
      <c r="H1325" s="5" t="s">
        <v>91</v>
      </c>
      <c r="I1325" s="5" t="s">
        <v>27</v>
      </c>
      <c r="J1325" s="5" t="s">
        <v>156</v>
      </c>
      <c r="K1325" s="6">
        <v>0</v>
      </c>
      <c r="L1325" s="7">
        <v>0</v>
      </c>
      <c r="M1325" s="8">
        <v>1124</v>
      </c>
      <c r="N1325" s="8">
        <v>904</v>
      </c>
      <c r="O1325" s="8">
        <v>3445.9617115365386</v>
      </c>
      <c r="P1325" s="8">
        <v>0</v>
      </c>
      <c r="Q1325" s="8">
        <v>1008</v>
      </c>
      <c r="R1325" s="8">
        <v>0</v>
      </c>
      <c r="S1325" s="8">
        <v>0</v>
      </c>
      <c r="T1325" s="5">
        <v>0</v>
      </c>
      <c r="U1325" s="5">
        <v>0</v>
      </c>
      <c r="V1325" s="5">
        <f>VLOOKUP(A1325,Planilha1!B:E,4,0)</f>
        <v>-0.14425288609148015</v>
      </c>
    </row>
    <row r="1326" spans="1:22" x14ac:dyDescent="0.3">
      <c r="A1326" t="str">
        <f t="shared" si="40"/>
        <v>BLISTERITAMBÉ</v>
      </c>
      <c r="B1326" t="str">
        <f t="shared" si="41"/>
        <v>5026768BLISTERITAMBÉ</v>
      </c>
      <c r="C1326" s="5" t="s">
        <v>226</v>
      </c>
      <c r="D1326" s="5" t="s">
        <v>833</v>
      </c>
      <c r="E1326" s="5" t="s">
        <v>875</v>
      </c>
      <c r="F1326" s="5">
        <v>5026768</v>
      </c>
      <c r="G1326" s="5" t="s">
        <v>877</v>
      </c>
      <c r="H1326" s="5" t="s">
        <v>91</v>
      </c>
      <c r="I1326" s="5" t="s">
        <v>27</v>
      </c>
      <c r="J1326" s="5" t="s">
        <v>199</v>
      </c>
      <c r="K1326" s="6">
        <v>0</v>
      </c>
      <c r="L1326" s="7">
        <v>568.32000000000005</v>
      </c>
      <c r="M1326" s="8">
        <v>102.71999999999998</v>
      </c>
      <c r="N1326" s="8">
        <v>52</v>
      </c>
      <c r="O1326" s="8">
        <v>121.01728848044257</v>
      </c>
      <c r="P1326" s="8">
        <v>0</v>
      </c>
      <c r="Q1326" s="8">
        <v>0</v>
      </c>
      <c r="R1326" s="8">
        <v>0</v>
      </c>
      <c r="S1326" s="8">
        <v>420</v>
      </c>
      <c r="T1326" s="5">
        <v>420</v>
      </c>
      <c r="U1326" s="5">
        <v>52</v>
      </c>
      <c r="V1326" s="5">
        <f>VLOOKUP(A1326,Planilha1!B:E,4,0)</f>
        <v>10.339882680976428</v>
      </c>
    </row>
    <row r="1327" spans="1:22" x14ac:dyDescent="0.3">
      <c r="A1327" t="str">
        <f t="shared" si="40"/>
        <v>COMPOSTOITAMBÉ</v>
      </c>
      <c r="B1327" t="str">
        <f t="shared" si="41"/>
        <v>5026768COMPOSTOITAMBÉ</v>
      </c>
      <c r="C1327" s="5" t="s">
        <v>226</v>
      </c>
      <c r="D1327" s="5" t="s">
        <v>833</v>
      </c>
      <c r="E1327" s="5" t="s">
        <v>875</v>
      </c>
      <c r="F1327" s="5">
        <v>5026768</v>
      </c>
      <c r="G1327" s="5" t="s">
        <v>877</v>
      </c>
      <c r="H1327" s="5" t="s">
        <v>91</v>
      </c>
      <c r="I1327" s="5" t="s">
        <v>27</v>
      </c>
      <c r="J1327" s="5" t="s">
        <v>26</v>
      </c>
      <c r="K1327" s="6">
        <v>0</v>
      </c>
      <c r="L1327" s="7">
        <v>0</v>
      </c>
      <c r="M1327" s="8">
        <v>266.66666666666663</v>
      </c>
      <c r="N1327" s="8">
        <v>533.33333333333337</v>
      </c>
      <c r="O1327" s="8">
        <v>830.03873514097336</v>
      </c>
      <c r="P1327" s="8">
        <v>0</v>
      </c>
      <c r="Q1327" s="8">
        <v>0</v>
      </c>
      <c r="R1327" s="8">
        <v>0</v>
      </c>
      <c r="S1327" s="8">
        <v>600</v>
      </c>
      <c r="T1327" s="5">
        <v>600</v>
      </c>
      <c r="U1327" s="5">
        <v>533.33333333333337</v>
      </c>
      <c r="V1327" s="5">
        <f>VLOOKUP(A1327,Planilha1!B:E,4,0)</f>
        <v>0.15618217875936719</v>
      </c>
    </row>
    <row r="1328" spans="1:22" x14ac:dyDescent="0.3">
      <c r="A1328" t="str">
        <f t="shared" si="40"/>
        <v>LEITE CONDENSADOITAMBÉ</v>
      </c>
      <c r="B1328" t="str">
        <f t="shared" si="41"/>
        <v>5026768LEITE CONDENSADOITAMBÉ</v>
      </c>
      <c r="C1328" s="5" t="s">
        <v>226</v>
      </c>
      <c r="D1328" s="5" t="s">
        <v>833</v>
      </c>
      <c r="E1328" s="5" t="s">
        <v>875</v>
      </c>
      <c r="F1328" s="5">
        <v>5026768</v>
      </c>
      <c r="G1328" s="5" t="s">
        <v>877</v>
      </c>
      <c r="H1328" s="5" t="s">
        <v>91</v>
      </c>
      <c r="I1328" s="5" t="s">
        <v>27</v>
      </c>
      <c r="J1328" s="5" t="s">
        <v>33</v>
      </c>
      <c r="K1328" s="6">
        <v>0</v>
      </c>
      <c r="L1328" s="7">
        <v>0</v>
      </c>
      <c r="M1328" s="8">
        <v>12451.566666666666</v>
      </c>
      <c r="N1328" s="8">
        <v>12787.333333333334</v>
      </c>
      <c r="O1328" s="8">
        <v>10522.810589409391</v>
      </c>
      <c r="P1328" s="8">
        <v>0</v>
      </c>
      <c r="Q1328" s="8">
        <v>0</v>
      </c>
      <c r="R1328" s="8">
        <v>0</v>
      </c>
      <c r="S1328" s="8">
        <v>25000</v>
      </c>
      <c r="T1328" s="5">
        <v>25000</v>
      </c>
      <c r="U1328" s="5">
        <v>28970</v>
      </c>
      <c r="V1328" s="5">
        <f>VLOOKUP(A1328,Planilha1!B:E,4,0)</f>
        <v>1.4766792698630664</v>
      </c>
    </row>
    <row r="1329" spans="1:22" x14ac:dyDescent="0.3">
      <c r="A1329" t="str">
        <f t="shared" si="40"/>
        <v>CREME UHTITAMBÉ</v>
      </c>
      <c r="B1329" t="str">
        <f t="shared" si="41"/>
        <v>5026768CREME UHTITAMBÉ</v>
      </c>
      <c r="C1329" s="5" t="s">
        <v>226</v>
      </c>
      <c r="D1329" s="5" t="s">
        <v>833</v>
      </c>
      <c r="E1329" s="5" t="s">
        <v>875</v>
      </c>
      <c r="F1329" s="5">
        <v>5026768</v>
      </c>
      <c r="G1329" s="5" t="s">
        <v>877</v>
      </c>
      <c r="H1329" s="5" t="s">
        <v>91</v>
      </c>
      <c r="I1329" s="5" t="s">
        <v>27</v>
      </c>
      <c r="J1329" s="5" t="s">
        <v>34</v>
      </c>
      <c r="K1329" s="6">
        <v>0</v>
      </c>
      <c r="L1329" s="7">
        <v>-47.47</v>
      </c>
      <c r="M1329" s="8">
        <v>5843.88</v>
      </c>
      <c r="N1329" s="8">
        <v>7069.333333333333</v>
      </c>
      <c r="O1329" s="8">
        <v>5904.7703700411666</v>
      </c>
      <c r="P1329" s="8">
        <v>0</v>
      </c>
      <c r="Q1329" s="8">
        <v>0</v>
      </c>
      <c r="R1329" s="8">
        <v>0</v>
      </c>
      <c r="S1329" s="8">
        <v>3907</v>
      </c>
      <c r="T1329" s="5">
        <v>3907</v>
      </c>
      <c r="U1329" s="5">
        <v>7069.333333333333</v>
      </c>
      <c r="V1329" s="5">
        <f>VLOOKUP(A1329,Planilha1!B:E,4,0)</f>
        <v>1.2362540170747773</v>
      </c>
    </row>
    <row r="1330" spans="1:22" x14ac:dyDescent="0.3">
      <c r="A1330" t="str">
        <f t="shared" si="40"/>
        <v>DOCE DE LEITEITAMBÉ</v>
      </c>
      <c r="B1330" t="str">
        <f t="shared" si="41"/>
        <v>5026768DOCE DE LEITEITAMBÉ</v>
      </c>
      <c r="C1330" s="5" t="s">
        <v>226</v>
      </c>
      <c r="D1330" s="5" t="s">
        <v>833</v>
      </c>
      <c r="E1330" s="5" t="s">
        <v>875</v>
      </c>
      <c r="F1330" s="5">
        <v>5026768</v>
      </c>
      <c r="G1330" s="5" t="s">
        <v>877</v>
      </c>
      <c r="H1330" s="5" t="s">
        <v>91</v>
      </c>
      <c r="I1330" s="5" t="s">
        <v>27</v>
      </c>
      <c r="J1330" s="5" t="s">
        <v>46</v>
      </c>
      <c r="K1330" s="6">
        <v>0</v>
      </c>
      <c r="L1330" s="7">
        <v>0</v>
      </c>
      <c r="M1330" s="8">
        <v>608.13333333333344</v>
      </c>
      <c r="N1330" s="8">
        <v>632</v>
      </c>
      <c r="O1330" s="8">
        <v>600.03428767358139</v>
      </c>
      <c r="P1330" s="8">
        <v>0</v>
      </c>
      <c r="Q1330" s="8">
        <v>0</v>
      </c>
      <c r="R1330" s="8">
        <v>0</v>
      </c>
      <c r="S1330" s="8">
        <v>1389</v>
      </c>
      <c r="T1330" s="5">
        <v>1389</v>
      </c>
      <c r="U1330" s="5">
        <v>632</v>
      </c>
      <c r="V1330" s="5">
        <f>VLOOKUP(A1330,Planilha1!B:E,4,0)</f>
        <v>5.8210743907543439</v>
      </c>
    </row>
    <row r="1331" spans="1:22" x14ac:dyDescent="0.3">
      <c r="A1331" t="str">
        <f t="shared" si="40"/>
        <v>MANTEIGA 5KGITAMBÉ</v>
      </c>
      <c r="B1331" t="str">
        <f t="shared" si="41"/>
        <v>5026768MANTEIGA 5KGITAMBÉ</v>
      </c>
      <c r="C1331" s="5" t="s">
        <v>226</v>
      </c>
      <c r="D1331" s="5" t="s">
        <v>833</v>
      </c>
      <c r="E1331" s="5" t="s">
        <v>875</v>
      </c>
      <c r="F1331" s="5">
        <v>5026768</v>
      </c>
      <c r="G1331" s="5" t="s">
        <v>877</v>
      </c>
      <c r="H1331" s="5" t="s">
        <v>91</v>
      </c>
      <c r="I1331" s="5" t="s">
        <v>27</v>
      </c>
      <c r="J1331" s="5" t="s">
        <v>60</v>
      </c>
      <c r="K1331" s="6">
        <v>0</v>
      </c>
      <c r="L1331" s="7">
        <v>300</v>
      </c>
      <c r="M1331" s="8">
        <v>1100.0000000000002</v>
      </c>
      <c r="N1331" s="8">
        <v>1366.6666666666667</v>
      </c>
      <c r="O1331" s="8">
        <v>311.98960034665515</v>
      </c>
      <c r="P1331" s="8">
        <v>0</v>
      </c>
      <c r="Q1331" s="8">
        <v>0</v>
      </c>
      <c r="R1331" s="8">
        <v>0</v>
      </c>
      <c r="S1331" s="8">
        <v>1200</v>
      </c>
      <c r="T1331" s="5">
        <v>1200</v>
      </c>
      <c r="U1331" s="5">
        <v>1366.6666666666667</v>
      </c>
      <c r="V1331" s="5">
        <f>VLOOKUP(A1331,Planilha1!B:E,4,0)</f>
        <v>5.819800475298738</v>
      </c>
    </row>
    <row r="1332" spans="1:22" x14ac:dyDescent="0.3">
      <c r="A1332" t="str">
        <f t="shared" si="40"/>
        <v>MANTEIGA 5KGITAMBÉ</v>
      </c>
      <c r="B1332" t="str">
        <f t="shared" si="41"/>
        <v>5036214MANTEIGA 5KGITAMBÉ</v>
      </c>
      <c r="C1332" s="5" t="s">
        <v>226</v>
      </c>
      <c r="D1332" s="5" t="s">
        <v>833</v>
      </c>
      <c r="E1332" s="5" t="s">
        <v>875</v>
      </c>
      <c r="F1332" s="5">
        <v>5036214</v>
      </c>
      <c r="G1332" s="5" t="s">
        <v>836</v>
      </c>
      <c r="H1332" s="5" t="s">
        <v>91</v>
      </c>
      <c r="I1332" s="5" t="s">
        <v>27</v>
      </c>
      <c r="J1332" s="5" t="s">
        <v>60</v>
      </c>
      <c r="K1332" s="6">
        <v>0</v>
      </c>
      <c r="L1332" s="7">
        <v>0</v>
      </c>
      <c r="M1332" s="8">
        <v>87.499999999999986</v>
      </c>
      <c r="N1332" s="8">
        <v>83.333333333333329</v>
      </c>
      <c r="O1332" s="8">
        <v>22.999233358888038</v>
      </c>
      <c r="P1332" s="8">
        <v>0</v>
      </c>
      <c r="Q1332" s="8">
        <v>0</v>
      </c>
      <c r="R1332" s="8">
        <v>0</v>
      </c>
      <c r="S1332" s="8">
        <v>100</v>
      </c>
      <c r="T1332" s="5">
        <v>100</v>
      </c>
      <c r="U1332" s="5">
        <v>83.333333333333329</v>
      </c>
      <c r="V1332" s="5">
        <f>VLOOKUP(A1332,Planilha1!B:E,4,0)</f>
        <v>5.819800475298738</v>
      </c>
    </row>
    <row r="1333" spans="1:22" x14ac:dyDescent="0.3">
      <c r="A1333" t="str">
        <f t="shared" si="40"/>
        <v>CREME UHTITAMBÉ</v>
      </c>
      <c r="B1333" t="str">
        <f t="shared" si="41"/>
        <v>5075754CREME UHTITAMBÉ</v>
      </c>
      <c r="C1333" s="5" t="s">
        <v>226</v>
      </c>
      <c r="D1333" s="5" t="s">
        <v>833</v>
      </c>
      <c r="E1333" s="5" t="s">
        <v>875</v>
      </c>
      <c r="F1333" s="5">
        <v>5075754</v>
      </c>
      <c r="G1333" s="5" t="s">
        <v>878</v>
      </c>
      <c r="H1333" s="5" t="s">
        <v>91</v>
      </c>
      <c r="I1333" s="5" t="s">
        <v>27</v>
      </c>
      <c r="J1333" s="5" t="s">
        <v>34</v>
      </c>
      <c r="K1333" s="6">
        <v>0</v>
      </c>
      <c r="L1333" s="7">
        <v>0</v>
      </c>
      <c r="M1333" s="8">
        <v>4.04</v>
      </c>
      <c r="N1333" s="8">
        <v>0</v>
      </c>
      <c r="O1333" s="8">
        <v>5.9997666757403891</v>
      </c>
      <c r="P1333" s="8">
        <v>0</v>
      </c>
      <c r="Q1333" s="8">
        <v>0</v>
      </c>
      <c r="R1333" s="8">
        <v>0</v>
      </c>
      <c r="S1333" s="8">
        <v>0</v>
      </c>
      <c r="T1333" s="5">
        <v>0</v>
      </c>
      <c r="U1333" s="5">
        <v>0</v>
      </c>
      <c r="V1333" s="5">
        <f>VLOOKUP(A1333,Planilha1!B:E,4,0)</f>
        <v>1.2362540170747773</v>
      </c>
    </row>
    <row r="1334" spans="1:22" x14ac:dyDescent="0.3">
      <c r="A1334" t="str">
        <f t="shared" si="40"/>
        <v>LEITE CONDENSADOITAMBÉ</v>
      </c>
      <c r="B1334" t="str">
        <f t="shared" si="41"/>
        <v>5128991LEITE CONDENSADOITAMBÉ</v>
      </c>
      <c r="C1334" s="5" t="s">
        <v>226</v>
      </c>
      <c r="D1334" s="5" t="s">
        <v>833</v>
      </c>
      <c r="E1334" s="5" t="s">
        <v>875</v>
      </c>
      <c r="F1334" s="5">
        <v>5128991</v>
      </c>
      <c r="G1334" s="5" t="s">
        <v>879</v>
      </c>
      <c r="H1334" s="5" t="s">
        <v>91</v>
      </c>
      <c r="I1334" s="5" t="s">
        <v>27</v>
      </c>
      <c r="J1334" s="5" t="s">
        <v>33</v>
      </c>
      <c r="K1334" s="6">
        <v>0</v>
      </c>
      <c r="L1334" s="7">
        <v>0</v>
      </c>
      <c r="M1334" s="8">
        <v>606.66666666666663</v>
      </c>
      <c r="N1334" s="8">
        <v>0</v>
      </c>
      <c r="O1334" s="8">
        <v>1282.9769064156847</v>
      </c>
      <c r="P1334" s="8">
        <v>0</v>
      </c>
      <c r="Q1334" s="8">
        <v>0</v>
      </c>
      <c r="R1334" s="8">
        <v>0</v>
      </c>
      <c r="S1334" s="8">
        <v>0</v>
      </c>
      <c r="T1334" s="5">
        <v>0</v>
      </c>
      <c r="U1334" s="5">
        <v>0</v>
      </c>
      <c r="V1334" s="5">
        <f>VLOOKUP(A1334,Planilha1!B:E,4,0)</f>
        <v>1.4766792698630664</v>
      </c>
    </row>
    <row r="1335" spans="1:22" x14ac:dyDescent="0.3">
      <c r="A1335" t="str">
        <f t="shared" si="40"/>
        <v>DOCE DE LEITEITAMBÉ</v>
      </c>
      <c r="B1335" t="str">
        <f t="shared" si="41"/>
        <v>5168151DOCE DE LEITEITAMBÉ</v>
      </c>
      <c r="C1335" s="5" t="s">
        <v>226</v>
      </c>
      <c r="D1335" s="5" t="s">
        <v>833</v>
      </c>
      <c r="E1335" s="5" t="s">
        <v>875</v>
      </c>
      <c r="F1335" s="5">
        <v>5168151</v>
      </c>
      <c r="G1335" s="5" t="s">
        <v>880</v>
      </c>
      <c r="H1335" s="5" t="s">
        <v>91</v>
      </c>
      <c r="I1335" s="5" t="s">
        <v>27</v>
      </c>
      <c r="J1335" s="5" t="s">
        <v>46</v>
      </c>
      <c r="K1335" s="6">
        <v>0</v>
      </c>
      <c r="L1335" s="7">
        <v>0</v>
      </c>
      <c r="M1335" s="8">
        <v>0</v>
      </c>
      <c r="N1335" s="8">
        <v>0</v>
      </c>
      <c r="O1335" s="8">
        <v>7.0004000228584502</v>
      </c>
      <c r="P1335" s="8">
        <v>0</v>
      </c>
      <c r="Q1335" s="8">
        <v>0</v>
      </c>
      <c r="R1335" s="8">
        <v>0</v>
      </c>
      <c r="S1335" s="8">
        <v>0</v>
      </c>
      <c r="T1335" s="5">
        <v>0</v>
      </c>
      <c r="U1335" s="5">
        <v>0</v>
      </c>
      <c r="V1335" s="5">
        <f>VLOOKUP(A1335,Planilha1!B:E,4,0)</f>
        <v>5.8210743907543439</v>
      </c>
    </row>
    <row r="1336" spans="1:22" x14ac:dyDescent="0.3">
      <c r="A1336" t="str">
        <f t="shared" si="40"/>
        <v>LEITE CONDENSADOITAMBÉ</v>
      </c>
      <c r="B1336" t="str">
        <f t="shared" si="41"/>
        <v>5168811LEITE CONDENSADOITAMBÉ</v>
      </c>
      <c r="C1336" s="5" t="s">
        <v>226</v>
      </c>
      <c r="D1336" s="5" t="s">
        <v>833</v>
      </c>
      <c r="E1336" s="5" t="s">
        <v>875</v>
      </c>
      <c r="F1336" s="5">
        <v>5168811</v>
      </c>
      <c r="G1336" s="5" t="s">
        <v>881</v>
      </c>
      <c r="H1336" s="5" t="s">
        <v>91</v>
      </c>
      <c r="I1336" s="5" t="s">
        <v>27</v>
      </c>
      <c r="J1336" s="5" t="s">
        <v>33</v>
      </c>
      <c r="K1336" s="6">
        <v>0</v>
      </c>
      <c r="L1336" s="7">
        <v>12.12</v>
      </c>
      <c r="M1336" s="8">
        <v>32.50083333333334</v>
      </c>
      <c r="N1336" s="8">
        <v>50.333333333333336</v>
      </c>
      <c r="O1336" s="8">
        <v>45.999172014903735</v>
      </c>
      <c r="P1336" s="8">
        <v>0</v>
      </c>
      <c r="Q1336" s="8">
        <v>0</v>
      </c>
      <c r="R1336" s="8">
        <v>0</v>
      </c>
      <c r="S1336" s="8">
        <v>50.333333333333336</v>
      </c>
      <c r="T1336" s="5">
        <v>50.333333333333336</v>
      </c>
      <c r="U1336" s="5">
        <v>50.333333333333336</v>
      </c>
      <c r="V1336" s="5">
        <f>VLOOKUP(A1336,Planilha1!B:E,4,0)</f>
        <v>1.4766792698630664</v>
      </c>
    </row>
    <row r="1337" spans="1:22" x14ac:dyDescent="0.3">
      <c r="A1337" t="str">
        <f t="shared" si="40"/>
        <v>CREME UHTITAMBÉ</v>
      </c>
      <c r="B1337" t="str">
        <f t="shared" si="41"/>
        <v>5168811CREME UHTITAMBÉ</v>
      </c>
      <c r="C1337" s="5" t="s">
        <v>226</v>
      </c>
      <c r="D1337" s="5" t="s">
        <v>833</v>
      </c>
      <c r="E1337" s="5" t="s">
        <v>875</v>
      </c>
      <c r="F1337" s="5">
        <v>5168811</v>
      </c>
      <c r="G1337" s="5" t="s">
        <v>881</v>
      </c>
      <c r="H1337" s="5" t="s">
        <v>91</v>
      </c>
      <c r="I1337" s="5" t="s">
        <v>27</v>
      </c>
      <c r="J1337" s="5" t="s">
        <v>34</v>
      </c>
      <c r="K1337" s="6">
        <v>0</v>
      </c>
      <c r="L1337" s="7">
        <v>5.4</v>
      </c>
      <c r="M1337" s="8">
        <v>7.1999999999999993</v>
      </c>
      <c r="N1337" s="8">
        <v>9</v>
      </c>
      <c r="O1337" s="8">
        <v>6.9997277883637867</v>
      </c>
      <c r="P1337" s="8">
        <v>0</v>
      </c>
      <c r="Q1337" s="8">
        <v>0</v>
      </c>
      <c r="R1337" s="8">
        <v>0</v>
      </c>
      <c r="S1337" s="8">
        <v>9</v>
      </c>
      <c r="T1337" s="5">
        <v>9</v>
      </c>
      <c r="U1337" s="5">
        <v>9</v>
      </c>
      <c r="V1337" s="5">
        <f>VLOOKUP(A1337,Planilha1!B:E,4,0)</f>
        <v>1.2362540170747773</v>
      </c>
    </row>
    <row r="1338" spans="1:22" x14ac:dyDescent="0.3">
      <c r="A1338" t="str">
        <f t="shared" si="40"/>
        <v>DOCE DE LEITEITAMBÉ</v>
      </c>
      <c r="B1338" t="str">
        <f t="shared" si="41"/>
        <v>5168811DOCE DE LEITEITAMBÉ</v>
      </c>
      <c r="C1338" s="5" t="s">
        <v>226</v>
      </c>
      <c r="D1338" s="5" t="s">
        <v>833</v>
      </c>
      <c r="E1338" s="5" t="s">
        <v>875</v>
      </c>
      <c r="F1338" s="5">
        <v>5168811</v>
      </c>
      <c r="G1338" s="5" t="s">
        <v>881</v>
      </c>
      <c r="H1338" s="5" t="s">
        <v>91</v>
      </c>
      <c r="I1338" s="5" t="s">
        <v>27</v>
      </c>
      <c r="J1338" s="5" t="s">
        <v>46</v>
      </c>
      <c r="K1338" s="6">
        <v>0</v>
      </c>
      <c r="L1338" s="7">
        <v>24.4</v>
      </c>
      <c r="M1338" s="8">
        <v>25.266666666666666</v>
      </c>
      <c r="N1338" s="8">
        <v>21.333333333333336</v>
      </c>
      <c r="O1338" s="8">
        <v>26.001485799188529</v>
      </c>
      <c r="P1338" s="8">
        <v>0</v>
      </c>
      <c r="Q1338" s="8">
        <v>0</v>
      </c>
      <c r="R1338" s="8">
        <v>0</v>
      </c>
      <c r="S1338" s="8">
        <v>63</v>
      </c>
      <c r="T1338" s="5">
        <v>63</v>
      </c>
      <c r="U1338" s="5">
        <v>21.333333333333336</v>
      </c>
      <c r="V1338" s="5">
        <f>VLOOKUP(A1338,Planilha1!B:E,4,0)</f>
        <v>5.8210743907543439</v>
      </c>
    </row>
    <row r="1339" spans="1:22" x14ac:dyDescent="0.3">
      <c r="A1339" t="str">
        <f t="shared" si="40"/>
        <v>LEITE CONDENSADOITAMBÉ</v>
      </c>
      <c r="B1339" t="str">
        <f t="shared" si="41"/>
        <v>5182512LEITE CONDENSADOITAMBÉ</v>
      </c>
      <c r="C1339" s="5" t="s">
        <v>226</v>
      </c>
      <c r="D1339" s="5" t="s">
        <v>833</v>
      </c>
      <c r="E1339" s="5" t="s">
        <v>875</v>
      </c>
      <c r="F1339" s="5">
        <v>5182512</v>
      </c>
      <c r="G1339" s="5" t="s">
        <v>882</v>
      </c>
      <c r="H1339" s="5" t="s">
        <v>91</v>
      </c>
      <c r="I1339" s="5" t="s">
        <v>27</v>
      </c>
      <c r="J1339" s="5" t="s">
        <v>33</v>
      </c>
      <c r="K1339" s="6">
        <v>0</v>
      </c>
      <c r="L1339" s="7">
        <v>60.6</v>
      </c>
      <c r="M1339" s="8">
        <v>50.086666666666666</v>
      </c>
      <c r="N1339" s="8">
        <v>39.333333333333336</v>
      </c>
      <c r="O1339" s="8">
        <v>42.999226013931754</v>
      </c>
      <c r="P1339" s="8">
        <v>0</v>
      </c>
      <c r="Q1339" s="8">
        <v>0</v>
      </c>
      <c r="R1339" s="8">
        <v>0</v>
      </c>
      <c r="S1339" s="8">
        <v>39.333333333333336</v>
      </c>
      <c r="T1339" s="5">
        <v>39.333333333333336</v>
      </c>
      <c r="U1339" s="5">
        <v>39.333333333333336</v>
      </c>
      <c r="V1339" s="5">
        <f>VLOOKUP(A1339,Planilha1!B:E,4,0)</f>
        <v>1.4766792698630664</v>
      </c>
    </row>
    <row r="1340" spans="1:22" x14ac:dyDescent="0.3">
      <c r="A1340" t="str">
        <f t="shared" si="40"/>
        <v>DOCE DE LEITEITAMBÉ</v>
      </c>
      <c r="B1340" t="str">
        <f t="shared" si="41"/>
        <v>5182512DOCE DE LEITEITAMBÉ</v>
      </c>
      <c r="C1340" s="5" t="s">
        <v>226</v>
      </c>
      <c r="D1340" s="5" t="s">
        <v>833</v>
      </c>
      <c r="E1340" s="5" t="s">
        <v>875</v>
      </c>
      <c r="F1340" s="5">
        <v>5182512</v>
      </c>
      <c r="G1340" s="5" t="s">
        <v>882</v>
      </c>
      <c r="H1340" s="5" t="s">
        <v>91</v>
      </c>
      <c r="I1340" s="5" t="s">
        <v>27</v>
      </c>
      <c r="J1340" s="5" t="s">
        <v>46</v>
      </c>
      <c r="K1340" s="6">
        <v>0</v>
      </c>
      <c r="L1340" s="7">
        <v>72</v>
      </c>
      <c r="M1340" s="8">
        <v>83.26666666666668</v>
      </c>
      <c r="N1340" s="8">
        <v>104.66666666666667</v>
      </c>
      <c r="O1340" s="8">
        <v>24.001371506943258</v>
      </c>
      <c r="P1340" s="8">
        <v>0</v>
      </c>
      <c r="Q1340" s="8">
        <v>0</v>
      </c>
      <c r="R1340" s="8">
        <v>0</v>
      </c>
      <c r="S1340" s="8">
        <v>104.66666666666667</v>
      </c>
      <c r="T1340" s="5">
        <v>104.66666666666667</v>
      </c>
      <c r="U1340" s="5">
        <v>104.66666666666667</v>
      </c>
      <c r="V1340" s="5">
        <f>VLOOKUP(A1340,Planilha1!B:E,4,0)</f>
        <v>5.8210743907543439</v>
      </c>
    </row>
    <row r="1341" spans="1:22" x14ac:dyDescent="0.3">
      <c r="A1341" t="str">
        <f t="shared" si="40"/>
        <v>COMPOSTOITAMBÉ</v>
      </c>
      <c r="B1341" t="str">
        <f t="shared" si="41"/>
        <v>5184155COMPOSTOITAMBÉ</v>
      </c>
      <c r="C1341" s="5" t="s">
        <v>226</v>
      </c>
      <c r="D1341" s="5" t="s">
        <v>833</v>
      </c>
      <c r="E1341" s="5" t="s">
        <v>875</v>
      </c>
      <c r="F1341" s="5">
        <v>5184155</v>
      </c>
      <c r="G1341" s="5" t="s">
        <v>883</v>
      </c>
      <c r="H1341" s="5" t="s">
        <v>91</v>
      </c>
      <c r="I1341" s="5" t="s">
        <v>27</v>
      </c>
      <c r="J1341" s="5" t="s">
        <v>26</v>
      </c>
      <c r="K1341" s="6">
        <v>0</v>
      </c>
      <c r="L1341" s="7">
        <v>30</v>
      </c>
      <c r="M1341" s="8">
        <v>66.666666666666671</v>
      </c>
      <c r="N1341" s="8">
        <v>133.33333333333334</v>
      </c>
      <c r="O1341" s="8">
        <v>3771</v>
      </c>
      <c r="P1341" s="8">
        <v>0</v>
      </c>
      <c r="Q1341" s="8">
        <v>0</v>
      </c>
      <c r="R1341" s="8">
        <v>0</v>
      </c>
      <c r="S1341" s="8">
        <v>133.33333333333334</v>
      </c>
      <c r="T1341" s="5">
        <v>133.33333333333334</v>
      </c>
      <c r="U1341" s="5">
        <v>133.33333333333334</v>
      </c>
      <c r="V1341" s="5">
        <f>VLOOKUP(A1341,Planilha1!B:E,4,0)</f>
        <v>0.15618217875936719</v>
      </c>
    </row>
    <row r="1342" spans="1:22" x14ac:dyDescent="0.3">
      <c r="A1342" t="str">
        <f t="shared" si="40"/>
        <v>LEITE CONDENSADOITAMBÉ</v>
      </c>
      <c r="B1342" t="str">
        <f t="shared" si="41"/>
        <v>5191490LEITE CONDENSADOITAMBÉ</v>
      </c>
      <c r="C1342" s="5" t="s">
        <v>226</v>
      </c>
      <c r="D1342" s="5" t="s">
        <v>833</v>
      </c>
      <c r="E1342" s="5" t="s">
        <v>875</v>
      </c>
      <c r="F1342" s="5">
        <v>5191490</v>
      </c>
      <c r="G1342" s="5" t="s">
        <v>884</v>
      </c>
      <c r="H1342" s="5" t="s">
        <v>91</v>
      </c>
      <c r="I1342" s="5" t="s">
        <v>27</v>
      </c>
      <c r="J1342" s="5" t="s">
        <v>33</v>
      </c>
      <c r="K1342" s="6">
        <v>0</v>
      </c>
      <c r="L1342" s="7">
        <v>350</v>
      </c>
      <c r="M1342" s="8">
        <v>500.00000000000006</v>
      </c>
      <c r="N1342" s="8">
        <v>400</v>
      </c>
      <c r="O1342" s="8">
        <v>316.99429410270614</v>
      </c>
      <c r="P1342" s="8">
        <v>0</v>
      </c>
      <c r="Q1342" s="8">
        <v>250</v>
      </c>
      <c r="R1342" s="8">
        <v>0</v>
      </c>
      <c r="S1342" s="8">
        <v>450</v>
      </c>
      <c r="T1342" s="5">
        <v>450</v>
      </c>
      <c r="U1342" s="5">
        <v>450</v>
      </c>
      <c r="V1342" s="5">
        <f>VLOOKUP(A1342,Planilha1!B:E,4,0)</f>
        <v>1.4766792698630664</v>
      </c>
    </row>
    <row r="1343" spans="1:22" x14ac:dyDescent="0.3">
      <c r="A1343" t="str">
        <f t="shared" si="40"/>
        <v>CREME UHTITAMBÉ</v>
      </c>
      <c r="B1343" t="str">
        <f t="shared" si="41"/>
        <v>5191490CREME UHTITAMBÉ</v>
      </c>
      <c r="C1343" s="5" t="s">
        <v>226</v>
      </c>
      <c r="D1343" s="5" t="s">
        <v>833</v>
      </c>
      <c r="E1343" s="5" t="s">
        <v>875</v>
      </c>
      <c r="F1343" s="5">
        <v>5191490</v>
      </c>
      <c r="G1343" s="5" t="s">
        <v>884</v>
      </c>
      <c r="H1343" s="5" t="s">
        <v>91</v>
      </c>
      <c r="I1343" s="5" t="s">
        <v>27</v>
      </c>
      <c r="J1343" s="5" t="s">
        <v>34</v>
      </c>
      <c r="K1343" s="6">
        <v>0</v>
      </c>
      <c r="L1343" s="7">
        <v>24.24</v>
      </c>
      <c r="M1343" s="8">
        <v>38.380000000000003</v>
      </c>
      <c r="N1343" s="8">
        <v>24</v>
      </c>
      <c r="O1343" s="8">
        <v>34.998638941818932</v>
      </c>
      <c r="P1343" s="8">
        <v>0</v>
      </c>
      <c r="Q1343" s="8">
        <v>24.24</v>
      </c>
      <c r="R1343" s="8">
        <v>0</v>
      </c>
      <c r="S1343" s="8">
        <v>48.48</v>
      </c>
      <c r="T1343" s="5">
        <v>48.48</v>
      </c>
      <c r="U1343" s="5">
        <v>24</v>
      </c>
      <c r="V1343" s="5">
        <f>VLOOKUP(A1343,Planilha1!B:E,4,0)</f>
        <v>1.2362540170747773</v>
      </c>
    </row>
    <row r="1344" spans="1:22" x14ac:dyDescent="0.3">
      <c r="A1344" t="str">
        <f t="shared" si="40"/>
        <v>DOCE DE LEITEITAMBÉ</v>
      </c>
      <c r="B1344" t="str">
        <f t="shared" si="41"/>
        <v>5191490DOCE DE LEITEITAMBÉ</v>
      </c>
      <c r="C1344" s="5" t="s">
        <v>226</v>
      </c>
      <c r="D1344" s="5" t="s">
        <v>833</v>
      </c>
      <c r="E1344" s="5" t="s">
        <v>875</v>
      </c>
      <c r="F1344" s="5">
        <v>5191490</v>
      </c>
      <c r="G1344" s="5" t="s">
        <v>884</v>
      </c>
      <c r="H1344" s="5" t="s">
        <v>91</v>
      </c>
      <c r="I1344" s="5" t="s">
        <v>27</v>
      </c>
      <c r="J1344" s="5" t="s">
        <v>46</v>
      </c>
      <c r="K1344" s="6">
        <v>0</v>
      </c>
      <c r="L1344" s="7">
        <v>43.2</v>
      </c>
      <c r="M1344" s="8">
        <v>38.533333333333331</v>
      </c>
      <c r="N1344" s="8">
        <v>38.666666666666664</v>
      </c>
      <c r="O1344" s="8">
        <v>29.001657237556437</v>
      </c>
      <c r="P1344" s="8">
        <v>0</v>
      </c>
      <c r="Q1344" s="8">
        <v>14.4</v>
      </c>
      <c r="R1344" s="8">
        <v>0</v>
      </c>
      <c r="S1344" s="8">
        <v>57.6</v>
      </c>
      <c r="T1344" s="5">
        <v>57.6</v>
      </c>
      <c r="U1344" s="5">
        <v>38.666666666666664</v>
      </c>
      <c r="V1344" s="5">
        <f>VLOOKUP(A1344,Planilha1!B:E,4,0)</f>
        <v>5.8210743907543439</v>
      </c>
    </row>
    <row r="1345" spans="1:22" x14ac:dyDescent="0.3">
      <c r="A1345" t="str">
        <f t="shared" si="40"/>
        <v>MANTEIGA 5KGITAMBÉ</v>
      </c>
      <c r="B1345" t="str">
        <f t="shared" si="41"/>
        <v>5199005MANTEIGA 5KGITAMBÉ</v>
      </c>
      <c r="C1345" s="5" t="s">
        <v>226</v>
      </c>
      <c r="D1345" s="5" t="s">
        <v>833</v>
      </c>
      <c r="E1345" s="5" t="s">
        <v>875</v>
      </c>
      <c r="F1345" s="5">
        <v>5199005</v>
      </c>
      <c r="G1345" s="5" t="s">
        <v>885</v>
      </c>
      <c r="H1345" s="5" t="s">
        <v>91</v>
      </c>
      <c r="I1345" s="5" t="s">
        <v>27</v>
      </c>
      <c r="J1345" s="5" t="s">
        <v>60</v>
      </c>
      <c r="K1345" s="6">
        <v>0</v>
      </c>
      <c r="L1345" s="7">
        <v>0</v>
      </c>
      <c r="M1345" s="8">
        <v>0</v>
      </c>
      <c r="N1345" s="8">
        <v>0</v>
      </c>
      <c r="O1345" s="8">
        <v>77.997400086663788</v>
      </c>
      <c r="P1345" s="8">
        <v>0</v>
      </c>
      <c r="Q1345" s="8">
        <v>0</v>
      </c>
      <c r="R1345" s="8">
        <v>0</v>
      </c>
      <c r="S1345" s="8">
        <v>0</v>
      </c>
      <c r="T1345" s="5">
        <v>0</v>
      </c>
      <c r="U1345" s="5">
        <v>0</v>
      </c>
      <c r="V1345" s="5">
        <f>VLOOKUP(A1345,Planilha1!B:E,4,0)</f>
        <v>5.819800475298738</v>
      </c>
    </row>
    <row r="1346" spans="1:22" x14ac:dyDescent="0.3">
      <c r="A1346" t="str">
        <f t="shared" ref="A1346:A1409" si="42">J1346&amp;I1346</f>
        <v>COMPOSTOITAMBÉ</v>
      </c>
      <c r="B1346" t="str">
        <f t="shared" si="41"/>
        <v>5200125COMPOSTOITAMBÉ</v>
      </c>
      <c r="C1346" s="5" t="s">
        <v>226</v>
      </c>
      <c r="D1346" s="5" t="s">
        <v>833</v>
      </c>
      <c r="E1346" s="5" t="s">
        <v>875</v>
      </c>
      <c r="F1346" s="5">
        <v>5200125</v>
      </c>
      <c r="G1346" s="5" t="s">
        <v>886</v>
      </c>
      <c r="H1346" s="5" t="s">
        <v>91</v>
      </c>
      <c r="I1346" s="5" t="s">
        <v>27</v>
      </c>
      <c r="J1346" s="5" t="s">
        <v>26</v>
      </c>
      <c r="K1346" s="6">
        <v>0</v>
      </c>
      <c r="L1346" s="7">
        <v>0</v>
      </c>
      <c r="M1346" s="8">
        <v>16.666666666666668</v>
      </c>
      <c r="N1346" s="8">
        <v>33.333333333333336</v>
      </c>
      <c r="O1346" s="8">
        <v>1660.0774702819467</v>
      </c>
      <c r="P1346" s="8">
        <v>0</v>
      </c>
      <c r="Q1346" s="8">
        <v>0</v>
      </c>
      <c r="R1346" s="8">
        <v>0</v>
      </c>
      <c r="S1346" s="8">
        <v>33.333333333333336</v>
      </c>
      <c r="T1346" s="5">
        <v>33.333333333333336</v>
      </c>
      <c r="U1346" s="5">
        <v>33.333333333333336</v>
      </c>
      <c r="V1346" s="5">
        <f>VLOOKUP(A1346,Planilha1!B:E,4,0)</f>
        <v>0.15618217875936719</v>
      </c>
    </row>
    <row r="1347" spans="1:22" x14ac:dyDescent="0.3">
      <c r="A1347" t="str">
        <f t="shared" si="42"/>
        <v>LEITE CONDENSADOITAMBÉ</v>
      </c>
      <c r="B1347" t="str">
        <f t="shared" ref="B1347:B1410" si="43">F1347&amp;J1347&amp;I1347</f>
        <v>5200125LEITE CONDENSADOITAMBÉ</v>
      </c>
      <c r="C1347" s="5" t="s">
        <v>226</v>
      </c>
      <c r="D1347" s="5" t="s">
        <v>833</v>
      </c>
      <c r="E1347" s="5" t="s">
        <v>875</v>
      </c>
      <c r="F1347" s="5">
        <v>5200125</v>
      </c>
      <c r="G1347" s="5" t="s">
        <v>886</v>
      </c>
      <c r="H1347" s="5" t="s">
        <v>91</v>
      </c>
      <c r="I1347" s="5" t="s">
        <v>27</v>
      </c>
      <c r="J1347" s="5" t="s">
        <v>33</v>
      </c>
      <c r="K1347" s="6">
        <v>0</v>
      </c>
      <c r="L1347" s="7">
        <v>0</v>
      </c>
      <c r="M1347" s="8">
        <v>16.16</v>
      </c>
      <c r="N1347" s="8">
        <v>0</v>
      </c>
      <c r="O1347" s="8">
        <v>12.999766004211924</v>
      </c>
      <c r="P1347" s="8">
        <v>0</v>
      </c>
      <c r="Q1347" s="8">
        <v>0</v>
      </c>
      <c r="R1347" s="8">
        <v>0</v>
      </c>
      <c r="S1347" s="8">
        <v>0</v>
      </c>
      <c r="T1347" s="5">
        <v>0</v>
      </c>
      <c r="U1347" s="5">
        <v>0</v>
      </c>
      <c r="V1347" s="5">
        <f>VLOOKUP(A1347,Planilha1!B:E,4,0)</f>
        <v>1.4766792698630664</v>
      </c>
    </row>
    <row r="1348" spans="1:22" x14ac:dyDescent="0.3">
      <c r="A1348" t="str">
        <f t="shared" si="42"/>
        <v>DOCE DE LEITEITAMBÉ</v>
      </c>
      <c r="B1348" t="str">
        <f t="shared" si="43"/>
        <v>5200125DOCE DE LEITEITAMBÉ</v>
      </c>
      <c r="C1348" s="5" t="s">
        <v>226</v>
      </c>
      <c r="D1348" s="5" t="s">
        <v>833</v>
      </c>
      <c r="E1348" s="5" t="s">
        <v>875</v>
      </c>
      <c r="F1348" s="5">
        <v>5200125</v>
      </c>
      <c r="G1348" s="5" t="s">
        <v>886</v>
      </c>
      <c r="H1348" s="5" t="s">
        <v>91</v>
      </c>
      <c r="I1348" s="5" t="s">
        <v>27</v>
      </c>
      <c r="J1348" s="5" t="s">
        <v>46</v>
      </c>
      <c r="K1348" s="6">
        <v>0</v>
      </c>
      <c r="L1348" s="7">
        <v>0</v>
      </c>
      <c r="M1348" s="8">
        <v>44.6</v>
      </c>
      <c r="N1348" s="8">
        <v>64.333333333333343</v>
      </c>
      <c r="O1348" s="8">
        <v>12.000685753471629</v>
      </c>
      <c r="P1348" s="8">
        <v>0</v>
      </c>
      <c r="Q1348" s="8">
        <v>0</v>
      </c>
      <c r="R1348" s="8">
        <v>0</v>
      </c>
      <c r="S1348" s="8">
        <v>64.333333333333343</v>
      </c>
      <c r="T1348" s="5">
        <v>64.333333333333343</v>
      </c>
      <c r="U1348" s="5">
        <v>64.333333333333343</v>
      </c>
      <c r="V1348" s="5">
        <f>VLOOKUP(A1348,Planilha1!B:E,4,0)</f>
        <v>5.8210743907543439</v>
      </c>
    </row>
    <row r="1349" spans="1:22" x14ac:dyDescent="0.3">
      <c r="A1349" t="str">
        <f t="shared" si="42"/>
        <v>BLISTERITAMBÉ</v>
      </c>
      <c r="B1349" t="str">
        <f t="shared" si="43"/>
        <v>5201973BLISTERITAMBÉ</v>
      </c>
      <c r="C1349" s="5" t="s">
        <v>226</v>
      </c>
      <c r="D1349" s="5" t="s">
        <v>833</v>
      </c>
      <c r="E1349" s="5" t="s">
        <v>875</v>
      </c>
      <c r="F1349" s="5">
        <v>5201973</v>
      </c>
      <c r="G1349" s="5" t="s">
        <v>887</v>
      </c>
      <c r="H1349" s="5" t="s">
        <v>91</v>
      </c>
      <c r="I1349" s="5" t="s">
        <v>27</v>
      </c>
      <c r="J1349" s="5" t="s">
        <v>199</v>
      </c>
      <c r="K1349" s="6">
        <v>0</v>
      </c>
      <c r="L1349" s="7">
        <v>115.2</v>
      </c>
      <c r="M1349" s="8">
        <v>189.12</v>
      </c>
      <c r="N1349" s="8">
        <v>167</v>
      </c>
      <c r="O1349" s="8">
        <v>453.06472464165688</v>
      </c>
      <c r="P1349" s="8">
        <v>0</v>
      </c>
      <c r="Q1349" s="8">
        <v>130.56</v>
      </c>
      <c r="R1349" s="8">
        <v>0</v>
      </c>
      <c r="S1349" s="8">
        <v>167</v>
      </c>
      <c r="T1349" s="5">
        <v>167</v>
      </c>
      <c r="U1349" s="5">
        <v>167</v>
      </c>
      <c r="V1349" s="5">
        <f>VLOOKUP(A1349,Planilha1!B:E,4,0)</f>
        <v>10.339882680976428</v>
      </c>
    </row>
    <row r="1350" spans="1:22" x14ac:dyDescent="0.3">
      <c r="A1350" t="str">
        <f t="shared" si="42"/>
        <v>LEITE CONDENSADOITAMBÉ</v>
      </c>
      <c r="B1350" t="str">
        <f t="shared" si="43"/>
        <v>5209002LEITE CONDENSADOITAMBÉ</v>
      </c>
      <c r="C1350" s="5" t="s">
        <v>226</v>
      </c>
      <c r="D1350" s="5" t="s">
        <v>833</v>
      </c>
      <c r="E1350" s="5" t="s">
        <v>875</v>
      </c>
      <c r="F1350" s="5">
        <v>5209002</v>
      </c>
      <c r="G1350" s="5" t="s">
        <v>888</v>
      </c>
      <c r="H1350" s="5" t="s">
        <v>91</v>
      </c>
      <c r="I1350" s="5" t="s">
        <v>27</v>
      </c>
      <c r="J1350" s="5" t="s">
        <v>33</v>
      </c>
      <c r="K1350" s="6">
        <v>0</v>
      </c>
      <c r="L1350" s="7">
        <v>0</v>
      </c>
      <c r="M1350" s="8">
        <v>14.84</v>
      </c>
      <c r="N1350" s="8">
        <v>21.333333333333336</v>
      </c>
      <c r="O1350" s="8">
        <v>12.999766004211924</v>
      </c>
      <c r="P1350" s="8">
        <v>0</v>
      </c>
      <c r="Q1350" s="8">
        <v>0</v>
      </c>
      <c r="R1350" s="8">
        <v>0</v>
      </c>
      <c r="S1350" s="8">
        <v>28.44</v>
      </c>
      <c r="T1350" s="5">
        <v>28.44</v>
      </c>
      <c r="U1350" s="5">
        <v>21.333333333333336</v>
      </c>
      <c r="V1350" s="5">
        <f>VLOOKUP(A1350,Planilha1!B:E,4,0)</f>
        <v>1.4766792698630664</v>
      </c>
    </row>
    <row r="1351" spans="1:22" x14ac:dyDescent="0.3">
      <c r="A1351" t="str">
        <f t="shared" si="42"/>
        <v>CREME UHTITAMBÉ</v>
      </c>
      <c r="B1351" t="str">
        <f t="shared" si="43"/>
        <v>5209002CREME UHTITAMBÉ</v>
      </c>
      <c r="C1351" s="5" t="s">
        <v>226</v>
      </c>
      <c r="D1351" s="5" t="s">
        <v>833</v>
      </c>
      <c r="E1351" s="5" t="s">
        <v>875</v>
      </c>
      <c r="F1351" s="5">
        <v>5209002</v>
      </c>
      <c r="G1351" s="5" t="s">
        <v>888</v>
      </c>
      <c r="H1351" s="5" t="s">
        <v>91</v>
      </c>
      <c r="I1351" s="5" t="s">
        <v>27</v>
      </c>
      <c r="J1351" s="5" t="s">
        <v>34</v>
      </c>
      <c r="K1351" s="6">
        <v>0</v>
      </c>
      <c r="L1351" s="7">
        <v>0</v>
      </c>
      <c r="M1351" s="8">
        <v>31.5</v>
      </c>
      <c r="N1351" s="8">
        <v>0</v>
      </c>
      <c r="O1351" s="8">
        <v>20.999183365091362</v>
      </c>
      <c r="P1351" s="8">
        <v>0</v>
      </c>
      <c r="Q1351" s="8">
        <v>0</v>
      </c>
      <c r="R1351" s="8">
        <v>0</v>
      </c>
      <c r="S1351" s="8">
        <v>0</v>
      </c>
      <c r="T1351" s="5">
        <v>0</v>
      </c>
      <c r="U1351" s="5">
        <v>0</v>
      </c>
      <c r="V1351" s="5">
        <f>VLOOKUP(A1351,Planilha1!B:E,4,0)</f>
        <v>1.2362540170747773</v>
      </c>
    </row>
    <row r="1352" spans="1:22" x14ac:dyDescent="0.3">
      <c r="A1352" t="str">
        <f t="shared" si="42"/>
        <v>DOCE DE LEITEITAMBÉ</v>
      </c>
      <c r="B1352" t="str">
        <f t="shared" si="43"/>
        <v>5209002DOCE DE LEITEITAMBÉ</v>
      </c>
      <c r="C1352" s="5" t="s">
        <v>226</v>
      </c>
      <c r="D1352" s="5" t="s">
        <v>833</v>
      </c>
      <c r="E1352" s="5" t="s">
        <v>875</v>
      </c>
      <c r="F1352" s="5">
        <v>5209002</v>
      </c>
      <c r="G1352" s="5" t="s">
        <v>888</v>
      </c>
      <c r="H1352" s="5" t="s">
        <v>91</v>
      </c>
      <c r="I1352" s="5" t="s">
        <v>27</v>
      </c>
      <c r="J1352" s="5" t="s">
        <v>46</v>
      </c>
      <c r="K1352" s="6">
        <v>0</v>
      </c>
      <c r="L1352" s="7">
        <v>0</v>
      </c>
      <c r="M1352" s="8">
        <v>23.099999999999998</v>
      </c>
      <c r="N1352" s="8">
        <v>24.666666666666668</v>
      </c>
      <c r="O1352" s="8">
        <v>22.001257214697986</v>
      </c>
      <c r="P1352" s="8">
        <v>0</v>
      </c>
      <c r="Q1352" s="8">
        <v>0</v>
      </c>
      <c r="R1352" s="8">
        <v>0</v>
      </c>
      <c r="S1352" s="8">
        <v>24.666666666666668</v>
      </c>
      <c r="T1352" s="5">
        <v>24.666666666666668</v>
      </c>
      <c r="U1352" s="5">
        <v>24.666666666666668</v>
      </c>
      <c r="V1352" s="5">
        <f>VLOOKUP(A1352,Planilha1!B:E,4,0)</f>
        <v>5.8210743907543439</v>
      </c>
    </row>
    <row r="1353" spans="1:22" x14ac:dyDescent="0.3">
      <c r="A1353" t="str">
        <f t="shared" si="42"/>
        <v>BLISTERITAMBÉ</v>
      </c>
      <c r="B1353" t="str">
        <f t="shared" si="43"/>
        <v>5224070BLISTERITAMBÉ</v>
      </c>
      <c r="C1353" s="5" t="s">
        <v>226</v>
      </c>
      <c r="D1353" s="5" t="s">
        <v>833</v>
      </c>
      <c r="E1353" s="5" t="s">
        <v>875</v>
      </c>
      <c r="F1353" s="5">
        <v>5224070</v>
      </c>
      <c r="G1353" s="5" t="s">
        <v>889</v>
      </c>
      <c r="H1353" s="5" t="s">
        <v>91</v>
      </c>
      <c r="I1353" s="5" t="s">
        <v>27</v>
      </c>
      <c r="J1353" s="5" t="s">
        <v>199</v>
      </c>
      <c r="K1353" s="6">
        <v>0</v>
      </c>
      <c r="L1353" s="7">
        <v>960</v>
      </c>
      <c r="M1353" s="8">
        <v>388.8</v>
      </c>
      <c r="N1353" s="8">
        <v>459</v>
      </c>
      <c r="O1353" s="8">
        <v>691.09873008252737</v>
      </c>
      <c r="P1353" s="8">
        <v>0</v>
      </c>
      <c r="Q1353" s="8">
        <v>230.4</v>
      </c>
      <c r="R1353" s="8">
        <v>0</v>
      </c>
      <c r="S1353" s="8">
        <v>115</v>
      </c>
      <c r="T1353" s="5">
        <v>115</v>
      </c>
      <c r="U1353" s="5">
        <v>459</v>
      </c>
      <c r="V1353" s="5">
        <f>VLOOKUP(A1353,Planilha1!B:E,4,0)</f>
        <v>10.339882680976428</v>
      </c>
    </row>
    <row r="1354" spans="1:22" x14ac:dyDescent="0.3">
      <c r="A1354" t="str">
        <f t="shared" si="42"/>
        <v>MANTEIGA 5KGITAMBÉ</v>
      </c>
      <c r="B1354" t="str">
        <f t="shared" si="43"/>
        <v>5224070MANTEIGA 5KGITAMBÉ</v>
      </c>
      <c r="C1354" s="5" t="s">
        <v>226</v>
      </c>
      <c r="D1354" s="5" t="s">
        <v>833</v>
      </c>
      <c r="E1354" s="5" t="s">
        <v>875</v>
      </c>
      <c r="F1354" s="5">
        <v>5224070</v>
      </c>
      <c r="G1354" s="5" t="s">
        <v>889</v>
      </c>
      <c r="H1354" s="5" t="s">
        <v>91</v>
      </c>
      <c r="I1354" s="5" t="s">
        <v>27</v>
      </c>
      <c r="J1354" s="5" t="s">
        <v>60</v>
      </c>
      <c r="K1354" s="6">
        <v>0</v>
      </c>
      <c r="L1354" s="7">
        <v>0</v>
      </c>
      <c r="M1354" s="8">
        <v>4.166666666666667</v>
      </c>
      <c r="N1354" s="8">
        <v>0</v>
      </c>
      <c r="O1354" s="8">
        <v>13.99953334888837</v>
      </c>
      <c r="P1354" s="8">
        <v>0</v>
      </c>
      <c r="Q1354" s="8">
        <v>0</v>
      </c>
      <c r="R1354" s="8">
        <v>0</v>
      </c>
      <c r="S1354" s="8">
        <v>0</v>
      </c>
      <c r="T1354" s="5">
        <v>0</v>
      </c>
      <c r="U1354" s="5">
        <v>0</v>
      </c>
      <c r="V1354" s="5">
        <f>VLOOKUP(A1354,Planilha1!B:E,4,0)</f>
        <v>5.819800475298738</v>
      </c>
    </row>
    <row r="1355" spans="1:22" x14ac:dyDescent="0.3">
      <c r="A1355" t="str">
        <f t="shared" si="42"/>
        <v>BLISTERITAMBÉ</v>
      </c>
      <c r="B1355" t="str">
        <f t="shared" si="43"/>
        <v>5229985BLISTERITAMBÉ</v>
      </c>
      <c r="C1355" s="5" t="s">
        <v>226</v>
      </c>
      <c r="D1355" s="5" t="s">
        <v>833</v>
      </c>
      <c r="E1355" s="5" t="s">
        <v>875</v>
      </c>
      <c r="F1355" s="5">
        <v>5229985</v>
      </c>
      <c r="G1355" s="5" t="s">
        <v>890</v>
      </c>
      <c r="H1355" s="5" t="s">
        <v>91</v>
      </c>
      <c r="I1355" s="5" t="s">
        <v>27</v>
      </c>
      <c r="J1355" s="5" t="s">
        <v>199</v>
      </c>
      <c r="K1355" s="6">
        <v>0</v>
      </c>
      <c r="L1355" s="7">
        <v>0</v>
      </c>
      <c r="M1355" s="8">
        <v>-23.04</v>
      </c>
      <c r="N1355" s="8">
        <v>12.666666666666666</v>
      </c>
      <c r="O1355" s="8">
        <v>151.02157488055229</v>
      </c>
      <c r="P1355" s="8">
        <v>0</v>
      </c>
      <c r="Q1355" s="8">
        <v>0</v>
      </c>
      <c r="R1355" s="8">
        <v>0</v>
      </c>
      <c r="S1355" s="8">
        <v>115</v>
      </c>
      <c r="T1355" s="5">
        <v>115</v>
      </c>
      <c r="U1355" s="5">
        <v>12.666666666666666</v>
      </c>
      <c r="V1355" s="5">
        <f>VLOOKUP(A1355,Planilha1!B:E,4,0)</f>
        <v>10.339882680976428</v>
      </c>
    </row>
    <row r="1356" spans="1:22" x14ac:dyDescent="0.3">
      <c r="A1356" t="str">
        <f t="shared" si="42"/>
        <v>COMPOSTOITAMBÉ</v>
      </c>
      <c r="B1356" t="str">
        <f t="shared" si="43"/>
        <v>5229985COMPOSTOITAMBÉ</v>
      </c>
      <c r="C1356" s="5" t="s">
        <v>226</v>
      </c>
      <c r="D1356" s="5" t="s">
        <v>833</v>
      </c>
      <c r="E1356" s="5" t="s">
        <v>875</v>
      </c>
      <c r="F1356" s="5">
        <v>5229985</v>
      </c>
      <c r="G1356" s="5" t="s">
        <v>890</v>
      </c>
      <c r="H1356" s="5" t="s">
        <v>91</v>
      </c>
      <c r="I1356" s="5" t="s">
        <v>27</v>
      </c>
      <c r="J1356" s="5" t="s">
        <v>26</v>
      </c>
      <c r="K1356" s="6">
        <v>0</v>
      </c>
      <c r="L1356" s="7">
        <v>0</v>
      </c>
      <c r="M1356" s="8">
        <v>475</v>
      </c>
      <c r="N1356" s="8">
        <v>616.66666666666663</v>
      </c>
      <c r="O1356" s="8">
        <v>4445</v>
      </c>
      <c r="P1356" s="8">
        <v>0</v>
      </c>
      <c r="Q1356" s="8">
        <v>0</v>
      </c>
      <c r="R1356" s="8">
        <v>0</v>
      </c>
      <c r="S1356" s="8">
        <v>616.66666666666663</v>
      </c>
      <c r="T1356" s="5">
        <v>616.66666666666663</v>
      </c>
      <c r="U1356" s="5">
        <v>616.66666666666663</v>
      </c>
      <c r="V1356" s="5">
        <f>VLOOKUP(A1356,Planilha1!B:E,4,0)</f>
        <v>0.15618217875936719</v>
      </c>
    </row>
    <row r="1357" spans="1:22" x14ac:dyDescent="0.3">
      <c r="A1357" t="str">
        <f t="shared" si="42"/>
        <v>LEITE CONDENSADOITAMBÉ</v>
      </c>
      <c r="B1357" t="str">
        <f t="shared" si="43"/>
        <v>5229985LEITE CONDENSADOITAMBÉ</v>
      </c>
      <c r="C1357" s="5" t="s">
        <v>226</v>
      </c>
      <c r="D1357" s="5" t="s">
        <v>833</v>
      </c>
      <c r="E1357" s="5" t="s">
        <v>875</v>
      </c>
      <c r="F1357" s="5">
        <v>5229985</v>
      </c>
      <c r="G1357" s="5" t="s">
        <v>890</v>
      </c>
      <c r="H1357" s="5" t="s">
        <v>91</v>
      </c>
      <c r="I1357" s="5" t="s">
        <v>27</v>
      </c>
      <c r="J1357" s="5" t="s">
        <v>33</v>
      </c>
      <c r="K1357" s="6">
        <v>0</v>
      </c>
      <c r="L1357" s="7">
        <v>12740</v>
      </c>
      <c r="M1357" s="8">
        <v>37200.400000000001</v>
      </c>
      <c r="N1357" s="8">
        <v>31700.666666666668</v>
      </c>
      <c r="O1357" s="8">
        <v>32155.421202418358</v>
      </c>
      <c r="P1357" s="8">
        <v>0</v>
      </c>
      <c r="Q1357" s="8">
        <v>0</v>
      </c>
      <c r="R1357" s="8">
        <v>0</v>
      </c>
      <c r="S1357" s="8">
        <v>28540</v>
      </c>
      <c r="T1357" s="5">
        <v>28540</v>
      </c>
      <c r="U1357" s="5">
        <v>25480</v>
      </c>
      <c r="V1357" s="5">
        <f>VLOOKUP(A1357,Planilha1!B:E,4,0)</f>
        <v>1.4766792698630664</v>
      </c>
    </row>
    <row r="1358" spans="1:22" x14ac:dyDescent="0.3">
      <c r="A1358" t="str">
        <f t="shared" si="42"/>
        <v>CREME UHTITAMBÉ</v>
      </c>
      <c r="B1358" t="str">
        <f t="shared" si="43"/>
        <v>5229985CREME UHTITAMBÉ</v>
      </c>
      <c r="C1358" s="5" t="s">
        <v>226</v>
      </c>
      <c r="D1358" s="5" t="s">
        <v>833</v>
      </c>
      <c r="E1358" s="5" t="s">
        <v>875</v>
      </c>
      <c r="F1358" s="5">
        <v>5229985</v>
      </c>
      <c r="G1358" s="5" t="s">
        <v>890</v>
      </c>
      <c r="H1358" s="5" t="s">
        <v>91</v>
      </c>
      <c r="I1358" s="5" t="s">
        <v>27</v>
      </c>
      <c r="J1358" s="5" t="s">
        <v>34</v>
      </c>
      <c r="K1358" s="6">
        <v>0</v>
      </c>
      <c r="L1358" s="7">
        <v>1030.2</v>
      </c>
      <c r="M1358" s="8">
        <v>2411.8800000000006</v>
      </c>
      <c r="N1358" s="8">
        <v>4464</v>
      </c>
      <c r="O1358" s="8">
        <v>3153.8773492141977</v>
      </c>
      <c r="P1358" s="8">
        <v>0</v>
      </c>
      <c r="Q1358" s="8">
        <v>0</v>
      </c>
      <c r="R1358" s="8">
        <v>0</v>
      </c>
      <c r="S1358" s="8">
        <v>7211</v>
      </c>
      <c r="T1358" s="5">
        <v>7211</v>
      </c>
      <c r="U1358" s="5">
        <v>7211</v>
      </c>
      <c r="V1358" s="5">
        <f>VLOOKUP(A1358,Planilha1!B:E,4,0)</f>
        <v>1.2362540170747773</v>
      </c>
    </row>
    <row r="1359" spans="1:22" x14ac:dyDescent="0.3">
      <c r="A1359" t="str">
        <f t="shared" si="42"/>
        <v>DOCE DE LEITEITAMBÉ</v>
      </c>
      <c r="B1359" t="str">
        <f t="shared" si="43"/>
        <v>5229985DOCE DE LEITEITAMBÉ</v>
      </c>
      <c r="C1359" s="5" t="s">
        <v>226</v>
      </c>
      <c r="D1359" s="5" t="s">
        <v>833</v>
      </c>
      <c r="E1359" s="5" t="s">
        <v>875</v>
      </c>
      <c r="F1359" s="5">
        <v>5229985</v>
      </c>
      <c r="G1359" s="5" t="s">
        <v>890</v>
      </c>
      <c r="H1359" s="5" t="s">
        <v>91</v>
      </c>
      <c r="I1359" s="5" t="s">
        <v>27</v>
      </c>
      <c r="J1359" s="5" t="s">
        <v>46</v>
      </c>
      <c r="K1359" s="6">
        <v>0</v>
      </c>
      <c r="L1359" s="7">
        <v>0</v>
      </c>
      <c r="M1359" s="8">
        <v>556.66666666666663</v>
      </c>
      <c r="N1359" s="8">
        <v>993.33333333333337</v>
      </c>
      <c r="O1359" s="8">
        <v>288.01645808331909</v>
      </c>
      <c r="P1359" s="8">
        <v>0</v>
      </c>
      <c r="Q1359" s="8">
        <v>0</v>
      </c>
      <c r="R1359" s="8">
        <v>0</v>
      </c>
      <c r="S1359" s="8">
        <v>993.33333333333337</v>
      </c>
      <c r="T1359" s="5">
        <v>993.33333333333337</v>
      </c>
      <c r="U1359" s="5">
        <v>993.33333333333337</v>
      </c>
      <c r="V1359" s="5">
        <f>VLOOKUP(A1359,Planilha1!B:E,4,0)</f>
        <v>5.8210743907543439</v>
      </c>
    </row>
    <row r="1360" spans="1:22" x14ac:dyDescent="0.3">
      <c r="A1360" t="str">
        <f t="shared" si="42"/>
        <v>MANTEIGA 5KGITAMBÉ</v>
      </c>
      <c r="B1360" t="str">
        <f t="shared" si="43"/>
        <v>5229985MANTEIGA 5KGITAMBÉ</v>
      </c>
      <c r="C1360" s="5" t="s">
        <v>226</v>
      </c>
      <c r="D1360" s="5" t="s">
        <v>833</v>
      </c>
      <c r="E1360" s="5" t="s">
        <v>875</v>
      </c>
      <c r="F1360" s="5">
        <v>5229985</v>
      </c>
      <c r="G1360" s="5" t="s">
        <v>890</v>
      </c>
      <c r="H1360" s="5" t="s">
        <v>91</v>
      </c>
      <c r="I1360" s="5" t="s">
        <v>27</v>
      </c>
      <c r="J1360" s="5" t="s">
        <v>60</v>
      </c>
      <c r="K1360" s="6">
        <v>0</v>
      </c>
      <c r="L1360" s="7">
        <v>300</v>
      </c>
      <c r="M1360" s="8">
        <v>1626.6666666666667</v>
      </c>
      <c r="N1360" s="8">
        <v>1930</v>
      </c>
      <c r="O1360" s="8">
        <v>953.96820105996471</v>
      </c>
      <c r="P1360" s="8">
        <v>0</v>
      </c>
      <c r="Q1360" s="8">
        <v>0</v>
      </c>
      <c r="R1360" s="8">
        <v>0</v>
      </c>
      <c r="S1360" s="8">
        <v>2000</v>
      </c>
      <c r="T1360" s="5">
        <v>2000</v>
      </c>
      <c r="U1360" s="5">
        <v>1930</v>
      </c>
      <c r="V1360" s="5">
        <f>VLOOKUP(A1360,Planilha1!B:E,4,0)</f>
        <v>5.819800475298738</v>
      </c>
    </row>
    <row r="1361" spans="1:22" x14ac:dyDescent="0.3">
      <c r="A1361" t="str">
        <f t="shared" si="42"/>
        <v>LEITE CONDENSADOITAMBÉ</v>
      </c>
      <c r="B1361" t="str">
        <f t="shared" si="43"/>
        <v>5230508LEITE CONDENSADOITAMBÉ</v>
      </c>
      <c r="C1361" s="5" t="s">
        <v>226</v>
      </c>
      <c r="D1361" s="5" t="s">
        <v>833</v>
      </c>
      <c r="E1361" s="5" t="s">
        <v>875</v>
      </c>
      <c r="F1361" s="5">
        <v>5230508</v>
      </c>
      <c r="G1361" s="5" t="s">
        <v>891</v>
      </c>
      <c r="H1361" s="5" t="s">
        <v>91</v>
      </c>
      <c r="I1361" s="5" t="s">
        <v>27</v>
      </c>
      <c r="J1361" s="5" t="s">
        <v>33</v>
      </c>
      <c r="K1361" s="6">
        <v>0</v>
      </c>
      <c r="L1361" s="7">
        <v>0</v>
      </c>
      <c r="M1361" s="8">
        <v>100</v>
      </c>
      <c r="N1361" s="8">
        <v>100</v>
      </c>
      <c r="O1361" s="8">
        <v>104.99811003401939</v>
      </c>
      <c r="P1361" s="8">
        <v>0</v>
      </c>
      <c r="Q1361" s="8">
        <v>0</v>
      </c>
      <c r="R1361" s="8">
        <v>0</v>
      </c>
      <c r="S1361" s="8">
        <v>200</v>
      </c>
      <c r="T1361" s="5">
        <v>200</v>
      </c>
      <c r="U1361" s="5">
        <v>100</v>
      </c>
      <c r="V1361" s="5">
        <f>VLOOKUP(A1361,Planilha1!B:E,4,0)</f>
        <v>1.4766792698630664</v>
      </c>
    </row>
    <row r="1362" spans="1:22" x14ac:dyDescent="0.3">
      <c r="A1362" t="str">
        <f t="shared" si="42"/>
        <v>LEITE CONDENSADOITAMBÉ</v>
      </c>
      <c r="B1362" t="str">
        <f t="shared" si="43"/>
        <v>5332247LEITE CONDENSADOITAMBÉ</v>
      </c>
      <c r="C1362" s="5" t="s">
        <v>226</v>
      </c>
      <c r="D1362" s="5" t="s">
        <v>833</v>
      </c>
      <c r="E1362" s="5" t="s">
        <v>875</v>
      </c>
      <c r="F1362" s="5">
        <v>5332247</v>
      </c>
      <c r="G1362" s="5" t="s">
        <v>892</v>
      </c>
      <c r="H1362" s="5" t="s">
        <v>91</v>
      </c>
      <c r="I1362" s="5" t="s">
        <v>27</v>
      </c>
      <c r="J1362" s="5" t="s">
        <v>33</v>
      </c>
      <c r="K1362" s="6">
        <v>0</v>
      </c>
      <c r="L1362" s="7">
        <v>0</v>
      </c>
      <c r="M1362" s="8">
        <v>15.799999999999999</v>
      </c>
      <c r="N1362" s="8">
        <v>0</v>
      </c>
      <c r="O1362" s="8">
        <v>458.99173814871335</v>
      </c>
      <c r="P1362" s="8">
        <v>0</v>
      </c>
      <c r="Q1362" s="8">
        <v>0</v>
      </c>
      <c r="R1362" s="8">
        <v>0</v>
      </c>
      <c r="S1362" s="8">
        <v>1215</v>
      </c>
      <c r="T1362" s="5">
        <v>1215</v>
      </c>
      <c r="U1362" s="5">
        <v>0</v>
      </c>
      <c r="V1362" s="5">
        <f>VLOOKUP(A1362,Planilha1!B:E,4,0)</f>
        <v>1.4766792698630664</v>
      </c>
    </row>
    <row r="1363" spans="1:22" x14ac:dyDescent="0.3">
      <c r="A1363" t="str">
        <f t="shared" si="42"/>
        <v>CREME UHTITAMBÉ</v>
      </c>
      <c r="B1363" t="str">
        <f t="shared" si="43"/>
        <v>5332247CREME UHTITAMBÉ</v>
      </c>
      <c r="C1363" s="5" t="s">
        <v>226</v>
      </c>
      <c r="D1363" s="5" t="s">
        <v>833</v>
      </c>
      <c r="E1363" s="5" t="s">
        <v>875</v>
      </c>
      <c r="F1363" s="5">
        <v>5332247</v>
      </c>
      <c r="G1363" s="5" t="s">
        <v>892</v>
      </c>
      <c r="H1363" s="5" t="s">
        <v>91</v>
      </c>
      <c r="I1363" s="5" t="s">
        <v>27</v>
      </c>
      <c r="J1363" s="5" t="s">
        <v>34</v>
      </c>
      <c r="K1363" s="6">
        <v>0</v>
      </c>
      <c r="L1363" s="7">
        <v>0</v>
      </c>
      <c r="M1363" s="8">
        <v>141.06</v>
      </c>
      <c r="N1363" s="8">
        <v>188</v>
      </c>
      <c r="O1363" s="8">
        <v>460.98207291938655</v>
      </c>
      <c r="P1363" s="8">
        <v>0</v>
      </c>
      <c r="Q1363" s="8">
        <v>0</v>
      </c>
      <c r="R1363" s="8">
        <v>0</v>
      </c>
      <c r="S1363" s="8">
        <v>188</v>
      </c>
      <c r="T1363" s="5">
        <v>188</v>
      </c>
      <c r="U1363" s="5">
        <v>188</v>
      </c>
      <c r="V1363" s="5">
        <f>VLOOKUP(A1363,Planilha1!B:E,4,0)</f>
        <v>1.2362540170747773</v>
      </c>
    </row>
    <row r="1364" spans="1:22" x14ac:dyDescent="0.3">
      <c r="A1364" t="str">
        <f t="shared" si="42"/>
        <v>DOCE DE LEITEITAMBÉ</v>
      </c>
      <c r="B1364" t="str">
        <f t="shared" si="43"/>
        <v>5332247DOCE DE LEITEITAMBÉ</v>
      </c>
      <c r="C1364" s="5" t="s">
        <v>226</v>
      </c>
      <c r="D1364" s="5" t="s">
        <v>833</v>
      </c>
      <c r="E1364" s="5" t="s">
        <v>875</v>
      </c>
      <c r="F1364" s="5">
        <v>5332247</v>
      </c>
      <c r="G1364" s="5" t="s">
        <v>892</v>
      </c>
      <c r="H1364" s="5" t="s">
        <v>91</v>
      </c>
      <c r="I1364" s="5" t="s">
        <v>27</v>
      </c>
      <c r="J1364" s="5" t="s">
        <v>46</v>
      </c>
      <c r="K1364" s="6">
        <v>0</v>
      </c>
      <c r="L1364" s="7">
        <v>0</v>
      </c>
      <c r="M1364" s="8">
        <v>24.760000000000005</v>
      </c>
      <c r="N1364" s="8">
        <v>14.333333333333334</v>
      </c>
      <c r="O1364" s="8">
        <v>50.002857306131787</v>
      </c>
      <c r="P1364" s="8">
        <v>0</v>
      </c>
      <c r="Q1364" s="8">
        <v>0</v>
      </c>
      <c r="R1364" s="8">
        <v>0</v>
      </c>
      <c r="S1364" s="8">
        <v>14.333333333333334</v>
      </c>
      <c r="T1364" s="5">
        <v>14.333333333333334</v>
      </c>
      <c r="U1364" s="5">
        <v>14.333333333333334</v>
      </c>
      <c r="V1364" s="5">
        <f>VLOOKUP(A1364,Planilha1!B:E,4,0)</f>
        <v>5.8210743907543439</v>
      </c>
    </row>
    <row r="1365" spans="1:22" x14ac:dyDescent="0.3">
      <c r="A1365" t="str">
        <f t="shared" si="42"/>
        <v>LEITE CONDENSADOITAMBÉ</v>
      </c>
      <c r="B1365" t="str">
        <f t="shared" si="43"/>
        <v>5014910LEITE CONDENSADOITAMBÉ</v>
      </c>
      <c r="C1365" s="5" t="s">
        <v>226</v>
      </c>
      <c r="D1365" s="5" t="s">
        <v>893</v>
      </c>
      <c r="E1365" s="5" t="s">
        <v>231</v>
      </c>
      <c r="F1365" s="5">
        <v>5014910</v>
      </c>
      <c r="G1365" s="5" t="s">
        <v>894</v>
      </c>
      <c r="H1365" s="5" t="s">
        <v>30</v>
      </c>
      <c r="I1365" s="5" t="s">
        <v>27</v>
      </c>
      <c r="J1365" s="5" t="s">
        <v>33</v>
      </c>
      <c r="K1365" s="6">
        <v>0</v>
      </c>
      <c r="L1365" s="7">
        <v>0</v>
      </c>
      <c r="M1365" s="8">
        <v>183.82</v>
      </c>
      <c r="N1365" s="8">
        <v>109</v>
      </c>
      <c r="O1365" s="8">
        <v>45.999172014903735</v>
      </c>
      <c r="P1365" s="8">
        <v>0</v>
      </c>
      <c r="Q1365" s="8">
        <v>0</v>
      </c>
      <c r="R1365" s="8">
        <v>0</v>
      </c>
      <c r="S1365" s="8">
        <v>100</v>
      </c>
      <c r="T1365" s="5">
        <v>100</v>
      </c>
      <c r="U1365" s="5">
        <v>100</v>
      </c>
      <c r="V1365" s="5">
        <f>VLOOKUP(A1365,Planilha1!B:E,4,0)</f>
        <v>1.4766792698630664</v>
      </c>
    </row>
    <row r="1366" spans="1:22" x14ac:dyDescent="0.3">
      <c r="A1366" t="str">
        <f t="shared" si="42"/>
        <v>CREME UHTITAMBÉ</v>
      </c>
      <c r="B1366" t="str">
        <f t="shared" si="43"/>
        <v>5014910CREME UHTITAMBÉ</v>
      </c>
      <c r="C1366" s="5" t="s">
        <v>226</v>
      </c>
      <c r="D1366" s="5" t="s">
        <v>893</v>
      </c>
      <c r="E1366" s="5" t="s">
        <v>231</v>
      </c>
      <c r="F1366" s="5">
        <v>5014910</v>
      </c>
      <c r="G1366" s="5" t="s">
        <v>894</v>
      </c>
      <c r="H1366" s="5" t="s">
        <v>30</v>
      </c>
      <c r="I1366" s="5" t="s">
        <v>27</v>
      </c>
      <c r="J1366" s="5" t="s">
        <v>34</v>
      </c>
      <c r="K1366" s="6">
        <v>0</v>
      </c>
      <c r="L1366" s="7">
        <v>0</v>
      </c>
      <c r="M1366" s="8">
        <v>26.259999999999998</v>
      </c>
      <c r="N1366" s="8">
        <v>24.333333333333332</v>
      </c>
      <c r="O1366" s="8">
        <v>24.999027815584952</v>
      </c>
      <c r="P1366" s="8">
        <v>0</v>
      </c>
      <c r="Q1366" s="8">
        <v>0</v>
      </c>
      <c r="R1366" s="8">
        <v>0</v>
      </c>
      <c r="S1366" s="8">
        <v>24</v>
      </c>
      <c r="T1366" s="5">
        <v>24</v>
      </c>
      <c r="U1366" s="5">
        <v>24</v>
      </c>
      <c r="V1366" s="5">
        <f>VLOOKUP(A1366,Planilha1!B:E,4,0)</f>
        <v>1.2362540170747773</v>
      </c>
    </row>
    <row r="1367" spans="1:22" x14ac:dyDescent="0.3">
      <c r="A1367" t="str">
        <f t="shared" si="42"/>
        <v>DOCE DE LEITEITAMBÉ</v>
      </c>
      <c r="B1367" t="str">
        <f t="shared" si="43"/>
        <v>5014910DOCE DE LEITEITAMBÉ</v>
      </c>
      <c r="C1367" s="5" t="s">
        <v>226</v>
      </c>
      <c r="D1367" s="5" t="s">
        <v>893</v>
      </c>
      <c r="E1367" s="5" t="s">
        <v>231</v>
      </c>
      <c r="F1367" s="5">
        <v>5014910</v>
      </c>
      <c r="G1367" s="5" t="s">
        <v>894</v>
      </c>
      <c r="H1367" s="5" t="s">
        <v>30</v>
      </c>
      <c r="I1367" s="5" t="s">
        <v>27</v>
      </c>
      <c r="J1367" s="5" t="s">
        <v>46</v>
      </c>
      <c r="K1367" s="6">
        <v>0</v>
      </c>
      <c r="L1367" s="7">
        <v>0</v>
      </c>
      <c r="M1367" s="8">
        <v>74</v>
      </c>
      <c r="N1367" s="8">
        <v>59.333333333333329</v>
      </c>
      <c r="O1367" s="8">
        <v>62.003543059603416</v>
      </c>
      <c r="P1367" s="8">
        <v>0</v>
      </c>
      <c r="Q1367" s="8">
        <v>0</v>
      </c>
      <c r="R1367" s="8">
        <v>0</v>
      </c>
      <c r="S1367" s="8">
        <v>59</v>
      </c>
      <c r="T1367" s="5">
        <v>59</v>
      </c>
      <c r="U1367" s="5">
        <v>59</v>
      </c>
      <c r="V1367" s="5">
        <f>VLOOKUP(A1367,Planilha1!B:E,4,0)</f>
        <v>5.8210743907543439</v>
      </c>
    </row>
    <row r="1368" spans="1:22" x14ac:dyDescent="0.3">
      <c r="A1368" t="str">
        <f t="shared" si="42"/>
        <v>LEITE CONDENSADOITAMBÉ</v>
      </c>
      <c r="B1368" t="str">
        <f t="shared" si="43"/>
        <v>5019031LEITE CONDENSADOITAMBÉ</v>
      </c>
      <c r="C1368" s="5" t="s">
        <v>226</v>
      </c>
      <c r="D1368" s="5" t="s">
        <v>893</v>
      </c>
      <c r="E1368" s="5" t="s">
        <v>231</v>
      </c>
      <c r="F1368" s="5">
        <v>5019031</v>
      </c>
      <c r="G1368" s="5" t="s">
        <v>895</v>
      </c>
      <c r="H1368" s="5" t="s">
        <v>30</v>
      </c>
      <c r="I1368" s="5" t="s">
        <v>27</v>
      </c>
      <c r="J1368" s="5" t="s">
        <v>33</v>
      </c>
      <c r="K1368" s="6">
        <v>0</v>
      </c>
      <c r="L1368" s="7">
        <v>0</v>
      </c>
      <c r="M1368" s="8">
        <v>0</v>
      </c>
      <c r="N1368" s="8">
        <v>0</v>
      </c>
      <c r="O1368" s="8">
        <v>179.99676005831896</v>
      </c>
      <c r="P1368" s="8">
        <v>0</v>
      </c>
      <c r="Q1368" s="8">
        <v>0</v>
      </c>
      <c r="R1368" s="8">
        <v>0</v>
      </c>
      <c r="S1368" s="8">
        <v>0</v>
      </c>
      <c r="T1368" s="5">
        <v>0</v>
      </c>
      <c r="U1368" s="5">
        <v>0</v>
      </c>
      <c r="V1368" s="5">
        <f>VLOOKUP(A1368,Planilha1!B:E,4,0)</f>
        <v>1.4766792698630664</v>
      </c>
    </row>
    <row r="1369" spans="1:22" x14ac:dyDescent="0.3">
      <c r="A1369" t="str">
        <f t="shared" si="42"/>
        <v>BLISTERLACTALIS</v>
      </c>
      <c r="B1369" t="str">
        <f t="shared" si="43"/>
        <v>5069172BLISTERLACTALIS</v>
      </c>
      <c r="C1369" s="5" t="s">
        <v>226</v>
      </c>
      <c r="D1369" s="5" t="s">
        <v>893</v>
      </c>
      <c r="E1369" s="5" t="s">
        <v>231</v>
      </c>
      <c r="F1369" s="5">
        <v>5069172</v>
      </c>
      <c r="G1369" s="5" t="s">
        <v>896</v>
      </c>
      <c r="H1369" s="5" t="s">
        <v>30</v>
      </c>
      <c r="I1369" s="5" t="s">
        <v>22</v>
      </c>
      <c r="J1369" s="5" t="s">
        <v>199</v>
      </c>
      <c r="K1369" s="6">
        <v>0</v>
      </c>
      <c r="L1369" s="7">
        <v>268.8</v>
      </c>
      <c r="M1369" s="8">
        <v>47.36</v>
      </c>
      <c r="N1369" s="8">
        <v>0</v>
      </c>
      <c r="O1369" s="8">
        <v>74.156287205304039</v>
      </c>
      <c r="P1369" s="8">
        <v>0</v>
      </c>
      <c r="Q1369" s="8">
        <v>0</v>
      </c>
      <c r="R1369" s="8">
        <v>0</v>
      </c>
      <c r="S1369" s="8">
        <v>288</v>
      </c>
      <c r="T1369" s="5">
        <v>288</v>
      </c>
      <c r="U1369" s="5">
        <v>288</v>
      </c>
      <c r="V1369" s="5">
        <f>VLOOKUP(A1369,Planilha1!B:E,4,0)</f>
        <v>13.783871706210666</v>
      </c>
    </row>
    <row r="1370" spans="1:22" x14ac:dyDescent="0.3">
      <c r="A1370" t="str">
        <f t="shared" si="42"/>
        <v>LEITE CONDENSADOITAMBÉ</v>
      </c>
      <c r="B1370" t="str">
        <f t="shared" si="43"/>
        <v>5077852LEITE CONDENSADOITAMBÉ</v>
      </c>
      <c r="C1370" s="5" t="s">
        <v>226</v>
      </c>
      <c r="D1370" s="5" t="s">
        <v>893</v>
      </c>
      <c r="E1370" s="5" t="s">
        <v>231</v>
      </c>
      <c r="F1370" s="5">
        <v>5077852</v>
      </c>
      <c r="G1370" s="5" t="s">
        <v>897</v>
      </c>
      <c r="H1370" s="5" t="s">
        <v>30</v>
      </c>
      <c r="I1370" s="5" t="s">
        <v>27</v>
      </c>
      <c r="J1370" s="5" t="s">
        <v>33</v>
      </c>
      <c r="K1370" s="6">
        <v>0</v>
      </c>
      <c r="L1370" s="7">
        <v>853.2</v>
      </c>
      <c r="M1370" s="8">
        <v>672.24</v>
      </c>
      <c r="N1370" s="8">
        <v>0</v>
      </c>
      <c r="O1370" s="8">
        <v>2169.9609407030675</v>
      </c>
      <c r="P1370" s="8">
        <v>0</v>
      </c>
      <c r="Q1370" s="8">
        <v>0</v>
      </c>
      <c r="R1370" s="8">
        <v>0</v>
      </c>
      <c r="S1370" s="8">
        <v>1629</v>
      </c>
      <c r="T1370" s="5">
        <v>1629</v>
      </c>
      <c r="U1370" s="5">
        <v>1629</v>
      </c>
      <c r="V1370" s="5">
        <f>VLOOKUP(A1370,Planilha1!B:E,4,0)</f>
        <v>1.4766792698630664</v>
      </c>
    </row>
    <row r="1371" spans="1:22" x14ac:dyDescent="0.3">
      <c r="A1371" t="str">
        <f t="shared" si="42"/>
        <v>CREME UHTITAMBÉ</v>
      </c>
      <c r="B1371" t="str">
        <f t="shared" si="43"/>
        <v>5077852CREME UHTITAMBÉ</v>
      </c>
      <c r="C1371" s="5" t="s">
        <v>226</v>
      </c>
      <c r="D1371" s="5" t="s">
        <v>893</v>
      </c>
      <c r="E1371" s="5" t="s">
        <v>231</v>
      </c>
      <c r="F1371" s="5">
        <v>5077852</v>
      </c>
      <c r="G1371" s="5" t="s">
        <v>897</v>
      </c>
      <c r="H1371" s="5" t="s">
        <v>30</v>
      </c>
      <c r="I1371" s="5" t="s">
        <v>27</v>
      </c>
      <c r="J1371" s="5" t="s">
        <v>34</v>
      </c>
      <c r="K1371" s="6">
        <v>0</v>
      </c>
      <c r="L1371" s="7">
        <v>1397.28</v>
      </c>
      <c r="M1371" s="8">
        <v>459.70000000000005</v>
      </c>
      <c r="N1371" s="8">
        <v>0</v>
      </c>
      <c r="O1371" s="8">
        <v>1037.9596349030874</v>
      </c>
      <c r="P1371" s="8">
        <v>0</v>
      </c>
      <c r="Q1371" s="8">
        <v>0</v>
      </c>
      <c r="R1371" s="8">
        <v>0</v>
      </c>
      <c r="S1371" s="8">
        <v>864</v>
      </c>
      <c r="T1371" s="5">
        <v>864</v>
      </c>
      <c r="U1371" s="5">
        <v>864</v>
      </c>
      <c r="V1371" s="5">
        <f>VLOOKUP(A1371,Planilha1!B:E,4,0)</f>
        <v>1.2362540170747773</v>
      </c>
    </row>
    <row r="1372" spans="1:22" x14ac:dyDescent="0.3">
      <c r="A1372" t="str">
        <f t="shared" si="42"/>
        <v>DOCE DE LEITEITAMBÉ</v>
      </c>
      <c r="B1372" t="str">
        <f t="shared" si="43"/>
        <v>5077852DOCE DE LEITEITAMBÉ</v>
      </c>
      <c r="C1372" s="5" t="s">
        <v>226</v>
      </c>
      <c r="D1372" s="5" t="s">
        <v>893</v>
      </c>
      <c r="E1372" s="5" t="s">
        <v>231</v>
      </c>
      <c r="F1372" s="5">
        <v>5077852</v>
      </c>
      <c r="G1372" s="5" t="s">
        <v>897</v>
      </c>
      <c r="H1372" s="5" t="s">
        <v>30</v>
      </c>
      <c r="I1372" s="5" t="s">
        <v>27</v>
      </c>
      <c r="J1372" s="5" t="s">
        <v>46</v>
      </c>
      <c r="K1372" s="6">
        <v>0</v>
      </c>
      <c r="L1372" s="7">
        <v>450.96</v>
      </c>
      <c r="M1372" s="8">
        <v>280.5</v>
      </c>
      <c r="N1372" s="8">
        <v>126.33333333333334</v>
      </c>
      <c r="O1372" s="8">
        <v>374.02137264986573</v>
      </c>
      <c r="P1372" s="8">
        <v>0</v>
      </c>
      <c r="Q1372" s="8">
        <v>0</v>
      </c>
      <c r="R1372" s="8">
        <v>0</v>
      </c>
      <c r="S1372" s="8">
        <v>288</v>
      </c>
      <c r="T1372" s="5">
        <v>288</v>
      </c>
      <c r="U1372" s="5">
        <v>288</v>
      </c>
      <c r="V1372" s="5">
        <f>VLOOKUP(A1372,Planilha1!B:E,4,0)</f>
        <v>5.8210743907543439</v>
      </c>
    </row>
    <row r="1373" spans="1:22" x14ac:dyDescent="0.3">
      <c r="A1373" t="str">
        <f t="shared" si="42"/>
        <v>PARMESÃOLACTALIS</v>
      </c>
      <c r="B1373" t="str">
        <f t="shared" si="43"/>
        <v>5077852PARMESÃOLACTALIS</v>
      </c>
      <c r="C1373" s="5" t="s">
        <v>226</v>
      </c>
      <c r="D1373" s="5" t="s">
        <v>893</v>
      </c>
      <c r="E1373" s="5" t="s">
        <v>231</v>
      </c>
      <c r="F1373" s="5">
        <v>5077852</v>
      </c>
      <c r="G1373" s="5" t="s">
        <v>897</v>
      </c>
      <c r="H1373" s="5" t="s">
        <v>30</v>
      </c>
      <c r="I1373" s="5" t="s">
        <v>22</v>
      </c>
      <c r="J1373" s="5" t="s">
        <v>195</v>
      </c>
      <c r="K1373" s="6">
        <v>0</v>
      </c>
      <c r="L1373" s="7">
        <v>0</v>
      </c>
      <c r="M1373" s="8">
        <v>0</v>
      </c>
      <c r="N1373" s="8">
        <v>0</v>
      </c>
      <c r="O1373" s="8">
        <v>350</v>
      </c>
      <c r="P1373" s="8">
        <v>0</v>
      </c>
      <c r="Q1373" s="8">
        <v>0</v>
      </c>
      <c r="R1373" s="8">
        <v>0</v>
      </c>
      <c r="S1373" s="8">
        <v>472</v>
      </c>
      <c r="T1373" s="5">
        <v>472</v>
      </c>
      <c r="U1373" s="5">
        <v>472</v>
      </c>
      <c r="V1373" s="5">
        <f>VLOOKUP(A1373,Planilha1!B:E,4,0)</f>
        <v>6.310326960724681</v>
      </c>
    </row>
    <row r="1374" spans="1:22" x14ac:dyDescent="0.3">
      <c r="A1374" t="str">
        <f t="shared" si="42"/>
        <v>LEITE UHTITAMBÉ</v>
      </c>
      <c r="B1374" t="str">
        <f t="shared" si="43"/>
        <v>5077852LEITE UHTITAMBÉ</v>
      </c>
      <c r="C1374" s="5" t="s">
        <v>226</v>
      </c>
      <c r="D1374" s="5" t="s">
        <v>893</v>
      </c>
      <c r="E1374" s="5" t="s">
        <v>231</v>
      </c>
      <c r="F1374" s="5">
        <v>5077852</v>
      </c>
      <c r="G1374" s="5" t="s">
        <v>897</v>
      </c>
      <c r="H1374" s="5" t="s">
        <v>30</v>
      </c>
      <c r="I1374" s="5" t="s">
        <v>27</v>
      </c>
      <c r="J1374" s="5" t="s">
        <v>156</v>
      </c>
      <c r="K1374" s="6">
        <v>0</v>
      </c>
      <c r="L1374" s="7">
        <v>24948</v>
      </c>
      <c r="M1374" s="8">
        <v>0</v>
      </c>
      <c r="N1374" s="8">
        <v>0</v>
      </c>
      <c r="O1374" s="8">
        <v>7991.9112009866549</v>
      </c>
      <c r="P1374" s="8">
        <v>0</v>
      </c>
      <c r="Q1374" s="8">
        <v>0</v>
      </c>
      <c r="R1374" s="8">
        <v>0</v>
      </c>
      <c r="S1374" s="8">
        <v>0</v>
      </c>
      <c r="T1374" s="5">
        <v>0</v>
      </c>
      <c r="U1374" s="5">
        <v>0</v>
      </c>
      <c r="V1374" s="5">
        <f>VLOOKUP(A1374,Planilha1!B:E,4,0)</f>
        <v>-0.14425288609148015</v>
      </c>
    </row>
    <row r="1375" spans="1:22" x14ac:dyDescent="0.3">
      <c r="A1375" t="str">
        <f t="shared" si="42"/>
        <v>COMPOSTOITAMBÉ</v>
      </c>
      <c r="B1375" t="str">
        <f t="shared" si="43"/>
        <v>5083008COMPOSTOITAMBÉ</v>
      </c>
      <c r="C1375" s="5" t="s">
        <v>226</v>
      </c>
      <c r="D1375" s="5" t="s">
        <v>893</v>
      </c>
      <c r="E1375" s="5" t="s">
        <v>231</v>
      </c>
      <c r="F1375" s="5">
        <v>5083008</v>
      </c>
      <c r="G1375" s="5" t="s">
        <v>898</v>
      </c>
      <c r="H1375" s="5" t="s">
        <v>30</v>
      </c>
      <c r="I1375" s="5" t="s">
        <v>27</v>
      </c>
      <c r="J1375" s="5" t="s">
        <v>26</v>
      </c>
      <c r="K1375" s="6">
        <v>0</v>
      </c>
      <c r="L1375" s="7">
        <v>0</v>
      </c>
      <c r="M1375" s="8">
        <v>86.666666666666671</v>
      </c>
      <c r="N1375" s="8">
        <v>133.33333333333334</v>
      </c>
      <c r="O1375" s="8">
        <v>74.003453494496412</v>
      </c>
      <c r="P1375" s="8">
        <v>0</v>
      </c>
      <c r="Q1375" s="8">
        <v>0</v>
      </c>
      <c r="R1375" s="8">
        <v>0</v>
      </c>
      <c r="S1375" s="8">
        <v>133</v>
      </c>
      <c r="T1375" s="5">
        <v>133</v>
      </c>
      <c r="U1375" s="5">
        <v>133</v>
      </c>
      <c r="V1375" s="5">
        <f>VLOOKUP(A1375,Planilha1!B:E,4,0)</f>
        <v>0.15618217875936719</v>
      </c>
    </row>
    <row r="1376" spans="1:22" x14ac:dyDescent="0.3">
      <c r="A1376" t="str">
        <f t="shared" si="42"/>
        <v>LEITE CONDENSADOITAMBÉ</v>
      </c>
      <c r="B1376" t="str">
        <f t="shared" si="43"/>
        <v>5083008LEITE CONDENSADOITAMBÉ</v>
      </c>
      <c r="C1376" s="5" t="s">
        <v>226</v>
      </c>
      <c r="D1376" s="5" t="s">
        <v>893</v>
      </c>
      <c r="E1376" s="5" t="s">
        <v>231</v>
      </c>
      <c r="F1376" s="5">
        <v>5083008</v>
      </c>
      <c r="G1376" s="5" t="s">
        <v>898</v>
      </c>
      <c r="H1376" s="5" t="s">
        <v>30</v>
      </c>
      <c r="I1376" s="5" t="s">
        <v>27</v>
      </c>
      <c r="J1376" s="5" t="s">
        <v>33</v>
      </c>
      <c r="K1376" s="6">
        <v>0</v>
      </c>
      <c r="L1376" s="7">
        <v>961.2</v>
      </c>
      <c r="M1376" s="8">
        <v>281.56</v>
      </c>
      <c r="N1376" s="8">
        <v>510.66666666666663</v>
      </c>
      <c r="O1376" s="8">
        <v>32.999406010691807</v>
      </c>
      <c r="P1376" s="8">
        <v>0</v>
      </c>
      <c r="Q1376" s="8">
        <v>0</v>
      </c>
      <c r="R1376" s="8">
        <v>0</v>
      </c>
      <c r="S1376" s="8">
        <v>511</v>
      </c>
      <c r="T1376" s="5">
        <v>511</v>
      </c>
      <c r="U1376" s="5">
        <v>511</v>
      </c>
      <c r="V1376" s="5">
        <f>VLOOKUP(A1376,Planilha1!B:E,4,0)</f>
        <v>1.4766792698630664</v>
      </c>
    </row>
    <row r="1377" spans="1:22" x14ac:dyDescent="0.3">
      <c r="A1377" t="str">
        <f t="shared" si="42"/>
        <v>DOCE DE LEITEITAMBÉ</v>
      </c>
      <c r="B1377" t="str">
        <f t="shared" si="43"/>
        <v>5083008DOCE DE LEITEITAMBÉ</v>
      </c>
      <c r="C1377" s="5" t="s">
        <v>226</v>
      </c>
      <c r="D1377" s="5" t="s">
        <v>893</v>
      </c>
      <c r="E1377" s="5" t="s">
        <v>231</v>
      </c>
      <c r="F1377" s="5">
        <v>5083008</v>
      </c>
      <c r="G1377" s="5" t="s">
        <v>898</v>
      </c>
      <c r="H1377" s="5" t="s">
        <v>30</v>
      </c>
      <c r="I1377" s="5" t="s">
        <v>27</v>
      </c>
      <c r="J1377" s="5" t="s">
        <v>46</v>
      </c>
      <c r="K1377" s="6">
        <v>0</v>
      </c>
      <c r="L1377" s="7">
        <v>300</v>
      </c>
      <c r="M1377" s="8">
        <v>143.86666666666667</v>
      </c>
      <c r="N1377" s="8">
        <v>221</v>
      </c>
      <c r="O1377" s="8">
        <v>175.01000057146126</v>
      </c>
      <c r="P1377" s="8">
        <v>0</v>
      </c>
      <c r="Q1377" s="8">
        <v>0</v>
      </c>
      <c r="R1377" s="8">
        <v>0</v>
      </c>
      <c r="S1377" s="8">
        <v>221</v>
      </c>
      <c r="T1377" s="5">
        <v>221</v>
      </c>
      <c r="U1377" s="5">
        <v>221</v>
      </c>
      <c r="V1377" s="5">
        <f>VLOOKUP(A1377,Planilha1!B:E,4,0)</f>
        <v>5.8210743907543439</v>
      </c>
    </row>
    <row r="1378" spans="1:22" x14ac:dyDescent="0.3">
      <c r="A1378" t="str">
        <f t="shared" si="42"/>
        <v>LEITE CONDENSADOITAMBÉ</v>
      </c>
      <c r="B1378" t="str">
        <f t="shared" si="43"/>
        <v>5184851LEITE CONDENSADOITAMBÉ</v>
      </c>
      <c r="C1378" s="5" t="s">
        <v>226</v>
      </c>
      <c r="D1378" s="5" t="s">
        <v>893</v>
      </c>
      <c r="E1378" s="5" t="s">
        <v>231</v>
      </c>
      <c r="F1378" s="5">
        <v>5184851</v>
      </c>
      <c r="G1378" s="5" t="s">
        <v>899</v>
      </c>
      <c r="H1378" s="5" t="s">
        <v>30</v>
      </c>
      <c r="I1378" s="5" t="s">
        <v>27</v>
      </c>
      <c r="J1378" s="5" t="s">
        <v>33</v>
      </c>
      <c r="K1378" s="6">
        <v>0</v>
      </c>
      <c r="L1378" s="7">
        <v>0</v>
      </c>
      <c r="M1378" s="8">
        <v>432.28000000000003</v>
      </c>
      <c r="N1378" s="8">
        <v>363.66666666666669</v>
      </c>
      <c r="O1378" s="8">
        <v>395.99287212830171</v>
      </c>
      <c r="P1378" s="8">
        <v>0</v>
      </c>
      <c r="Q1378" s="8">
        <v>0</v>
      </c>
      <c r="R1378" s="8">
        <v>0</v>
      </c>
      <c r="S1378" s="8">
        <v>364</v>
      </c>
      <c r="T1378" s="5">
        <v>364</v>
      </c>
      <c r="U1378" s="5">
        <v>364</v>
      </c>
      <c r="V1378" s="5">
        <f>VLOOKUP(A1378,Planilha1!B:E,4,0)</f>
        <v>1.4766792698630664</v>
      </c>
    </row>
    <row r="1379" spans="1:22" x14ac:dyDescent="0.3">
      <c r="A1379" t="str">
        <f t="shared" si="42"/>
        <v>DOCE DE LEITEITAMBÉ</v>
      </c>
      <c r="B1379" t="str">
        <f t="shared" si="43"/>
        <v>5184851DOCE DE LEITEITAMBÉ</v>
      </c>
      <c r="C1379" s="5" t="s">
        <v>226</v>
      </c>
      <c r="D1379" s="5" t="s">
        <v>893</v>
      </c>
      <c r="E1379" s="5" t="s">
        <v>231</v>
      </c>
      <c r="F1379" s="5">
        <v>5184851</v>
      </c>
      <c r="G1379" s="5" t="s">
        <v>899</v>
      </c>
      <c r="H1379" s="5" t="s">
        <v>30</v>
      </c>
      <c r="I1379" s="5" t="s">
        <v>27</v>
      </c>
      <c r="J1379" s="5" t="s">
        <v>46</v>
      </c>
      <c r="K1379" s="6">
        <v>0</v>
      </c>
      <c r="L1379" s="7">
        <v>218.96</v>
      </c>
      <c r="M1379" s="8">
        <v>11.120000000000001</v>
      </c>
      <c r="N1379" s="8">
        <v>6.333333333333333</v>
      </c>
      <c r="O1379" s="8">
        <v>7.0004000228584502</v>
      </c>
      <c r="P1379" s="8">
        <v>0</v>
      </c>
      <c r="Q1379" s="8">
        <v>0</v>
      </c>
      <c r="R1379" s="8">
        <v>0</v>
      </c>
      <c r="S1379" s="8">
        <v>47.760000000000005</v>
      </c>
      <c r="T1379" s="5">
        <v>47.760000000000005</v>
      </c>
      <c r="U1379" s="5">
        <v>0</v>
      </c>
      <c r="V1379" s="5">
        <f>VLOOKUP(A1379,Planilha1!B:E,4,0)</f>
        <v>5.8210743907543439</v>
      </c>
    </row>
    <row r="1380" spans="1:22" x14ac:dyDescent="0.3">
      <c r="A1380" t="str">
        <f t="shared" si="42"/>
        <v>COMPOSTOITAMBÉ</v>
      </c>
      <c r="B1380" t="str">
        <f t="shared" si="43"/>
        <v>5330544COMPOSTOITAMBÉ</v>
      </c>
      <c r="C1380" s="5" t="s">
        <v>226</v>
      </c>
      <c r="D1380" s="5" t="s">
        <v>893</v>
      </c>
      <c r="E1380" s="5" t="s">
        <v>231</v>
      </c>
      <c r="F1380" s="5">
        <v>5330544</v>
      </c>
      <c r="G1380" s="5" t="s">
        <v>900</v>
      </c>
      <c r="H1380" s="5" t="s">
        <v>30</v>
      </c>
      <c r="I1380" s="5" t="s">
        <v>27</v>
      </c>
      <c r="J1380" s="5" t="s">
        <v>26</v>
      </c>
      <c r="K1380" s="6">
        <v>0</v>
      </c>
      <c r="L1380" s="7">
        <v>0</v>
      </c>
      <c r="M1380" s="8">
        <v>233.33333333333334</v>
      </c>
      <c r="N1380" s="8">
        <v>0</v>
      </c>
      <c r="O1380" s="8">
        <v>1511.0705166241091</v>
      </c>
      <c r="P1380" s="8">
        <v>0</v>
      </c>
      <c r="Q1380" s="8">
        <v>0</v>
      </c>
      <c r="R1380" s="8">
        <v>0</v>
      </c>
      <c r="S1380" s="8">
        <v>0</v>
      </c>
      <c r="T1380" s="5">
        <v>0</v>
      </c>
      <c r="U1380" s="5">
        <v>0</v>
      </c>
      <c r="V1380" s="5">
        <f>VLOOKUP(A1380,Planilha1!B:E,4,0)</f>
        <v>0.15618217875936719</v>
      </c>
    </row>
    <row r="1381" spans="1:22" x14ac:dyDescent="0.3">
      <c r="A1381" t="str">
        <f t="shared" si="42"/>
        <v>LEITE CONDENSADOITAMBÉ</v>
      </c>
      <c r="B1381" t="str">
        <f t="shared" si="43"/>
        <v>5330544LEITE CONDENSADOITAMBÉ</v>
      </c>
      <c r="C1381" s="5" t="s">
        <v>226</v>
      </c>
      <c r="D1381" s="5" t="s">
        <v>893</v>
      </c>
      <c r="E1381" s="5" t="s">
        <v>231</v>
      </c>
      <c r="F1381" s="5">
        <v>5330544</v>
      </c>
      <c r="G1381" s="5" t="s">
        <v>900</v>
      </c>
      <c r="H1381" s="5" t="s">
        <v>30</v>
      </c>
      <c r="I1381" s="5" t="s">
        <v>27</v>
      </c>
      <c r="J1381" s="5" t="s">
        <v>33</v>
      </c>
      <c r="K1381" s="6">
        <v>0</v>
      </c>
      <c r="L1381" s="7">
        <v>0</v>
      </c>
      <c r="M1381" s="8">
        <v>1134.3900000000001</v>
      </c>
      <c r="N1381" s="8">
        <v>801.33333333333326</v>
      </c>
      <c r="O1381" s="8">
        <v>3161.9430850244698</v>
      </c>
      <c r="P1381" s="8">
        <v>0</v>
      </c>
      <c r="Q1381" s="8">
        <v>0</v>
      </c>
      <c r="R1381" s="8">
        <v>0</v>
      </c>
      <c r="S1381" s="8">
        <v>800</v>
      </c>
      <c r="T1381" s="5">
        <v>800</v>
      </c>
      <c r="U1381" s="5">
        <v>800</v>
      </c>
      <c r="V1381" s="5">
        <f>VLOOKUP(A1381,Planilha1!B:E,4,0)</f>
        <v>1.4766792698630664</v>
      </c>
    </row>
    <row r="1382" spans="1:22" x14ac:dyDescent="0.3">
      <c r="A1382" t="str">
        <f t="shared" si="42"/>
        <v>CREME UHTITAMBÉ</v>
      </c>
      <c r="B1382" t="str">
        <f t="shared" si="43"/>
        <v>5330544CREME UHTITAMBÉ</v>
      </c>
      <c r="C1382" s="5" t="s">
        <v>226</v>
      </c>
      <c r="D1382" s="5" t="s">
        <v>893</v>
      </c>
      <c r="E1382" s="5" t="s">
        <v>231</v>
      </c>
      <c r="F1382" s="5">
        <v>5330544</v>
      </c>
      <c r="G1382" s="5" t="s">
        <v>900</v>
      </c>
      <c r="H1382" s="5" t="s">
        <v>30</v>
      </c>
      <c r="I1382" s="5" t="s">
        <v>27</v>
      </c>
      <c r="J1382" s="5" t="s">
        <v>34</v>
      </c>
      <c r="K1382" s="6">
        <v>0</v>
      </c>
      <c r="L1382" s="7">
        <v>0</v>
      </c>
      <c r="M1382" s="8">
        <v>635.90000000000009</v>
      </c>
      <c r="N1382" s="8">
        <v>288</v>
      </c>
      <c r="O1382" s="8">
        <v>952.96294033009849</v>
      </c>
      <c r="P1382" s="8">
        <v>0</v>
      </c>
      <c r="Q1382" s="8">
        <v>0</v>
      </c>
      <c r="R1382" s="8">
        <v>0</v>
      </c>
      <c r="S1382" s="8">
        <v>288</v>
      </c>
      <c r="T1382" s="5">
        <v>288</v>
      </c>
      <c r="U1382" s="5">
        <v>288</v>
      </c>
      <c r="V1382" s="5">
        <f>VLOOKUP(A1382,Planilha1!B:E,4,0)</f>
        <v>1.2362540170747773</v>
      </c>
    </row>
    <row r="1383" spans="1:22" x14ac:dyDescent="0.3">
      <c r="A1383" t="str">
        <f t="shared" si="42"/>
        <v>DOCE DE LEITEITAMBÉ</v>
      </c>
      <c r="B1383" t="str">
        <f t="shared" si="43"/>
        <v>5330544DOCE DE LEITEITAMBÉ</v>
      </c>
      <c r="C1383" s="5" t="s">
        <v>226</v>
      </c>
      <c r="D1383" s="5" t="s">
        <v>893</v>
      </c>
      <c r="E1383" s="5" t="s">
        <v>231</v>
      </c>
      <c r="F1383" s="5">
        <v>5330544</v>
      </c>
      <c r="G1383" s="5" t="s">
        <v>900</v>
      </c>
      <c r="H1383" s="5" t="s">
        <v>30</v>
      </c>
      <c r="I1383" s="5" t="s">
        <v>27</v>
      </c>
      <c r="J1383" s="5" t="s">
        <v>46</v>
      </c>
      <c r="K1383" s="6">
        <v>0</v>
      </c>
      <c r="L1383" s="7">
        <v>0</v>
      </c>
      <c r="M1383" s="8">
        <v>148.63333333333333</v>
      </c>
      <c r="N1383" s="8">
        <v>150</v>
      </c>
      <c r="O1383" s="8">
        <v>571.03263043602499</v>
      </c>
      <c r="P1383" s="8">
        <v>0</v>
      </c>
      <c r="Q1383" s="8">
        <v>0</v>
      </c>
      <c r="R1383" s="8">
        <v>0</v>
      </c>
      <c r="S1383" s="8">
        <v>150</v>
      </c>
      <c r="T1383" s="5">
        <v>150</v>
      </c>
      <c r="U1383" s="5">
        <v>150</v>
      </c>
      <c r="V1383" s="5">
        <f>VLOOKUP(A1383,Planilha1!B:E,4,0)</f>
        <v>5.8210743907543439</v>
      </c>
    </row>
    <row r="1384" spans="1:22" x14ac:dyDescent="0.3">
      <c r="A1384" t="str">
        <f t="shared" si="42"/>
        <v>BLISTERITAMBÉ</v>
      </c>
      <c r="B1384" t="str">
        <f t="shared" si="43"/>
        <v>5109656BLISTERITAMBÉ</v>
      </c>
      <c r="C1384" s="5" t="s">
        <v>226</v>
      </c>
      <c r="D1384" s="5" t="s">
        <v>893</v>
      </c>
      <c r="E1384" s="5" t="s">
        <v>893</v>
      </c>
      <c r="F1384" s="5">
        <v>5109656</v>
      </c>
      <c r="G1384" s="5" t="s">
        <v>901</v>
      </c>
      <c r="H1384" s="5" t="s">
        <v>30</v>
      </c>
      <c r="I1384" s="5" t="s">
        <v>27</v>
      </c>
      <c r="J1384" s="5" t="s">
        <v>199</v>
      </c>
      <c r="K1384" s="6">
        <v>0</v>
      </c>
      <c r="L1384" s="7">
        <v>0</v>
      </c>
      <c r="M1384" s="8">
        <v>0</v>
      </c>
      <c r="N1384" s="8">
        <v>0</v>
      </c>
      <c r="O1384" s="8">
        <v>709.10130192259328</v>
      </c>
      <c r="P1384" s="8">
        <v>0</v>
      </c>
      <c r="Q1384" s="8">
        <v>0</v>
      </c>
      <c r="R1384" s="8">
        <v>0</v>
      </c>
      <c r="S1384" s="8">
        <v>0</v>
      </c>
      <c r="T1384" s="5">
        <v>0</v>
      </c>
      <c r="U1384" s="5">
        <v>0</v>
      </c>
      <c r="V1384" s="5">
        <f>VLOOKUP(A1384,Planilha1!B:E,4,0)</f>
        <v>10.339882680976428</v>
      </c>
    </row>
    <row r="1385" spans="1:22" x14ac:dyDescent="0.3">
      <c r="A1385" t="str">
        <f t="shared" si="42"/>
        <v>BLISTERLACTALIS</v>
      </c>
      <c r="B1385" t="str">
        <f t="shared" si="43"/>
        <v>5109656BLISTERLACTALIS</v>
      </c>
      <c r="C1385" s="5" t="s">
        <v>226</v>
      </c>
      <c r="D1385" s="5" t="s">
        <v>893</v>
      </c>
      <c r="E1385" s="5" t="s">
        <v>893</v>
      </c>
      <c r="F1385" s="5">
        <v>5109656</v>
      </c>
      <c r="G1385" s="5" t="s">
        <v>901</v>
      </c>
      <c r="H1385" s="5" t="s">
        <v>30</v>
      </c>
      <c r="I1385" s="5" t="s">
        <v>22</v>
      </c>
      <c r="J1385" s="5" t="s">
        <v>199</v>
      </c>
      <c r="K1385" s="6">
        <v>0</v>
      </c>
      <c r="L1385" s="7">
        <v>1668.48</v>
      </c>
      <c r="M1385" s="8">
        <v>938.56</v>
      </c>
      <c r="N1385" s="8">
        <v>834.56</v>
      </c>
      <c r="O1385" s="8">
        <v>405.29008789416037</v>
      </c>
      <c r="P1385" s="8">
        <v>38.400000000000006</v>
      </c>
      <c r="Q1385" s="8">
        <v>-864</v>
      </c>
      <c r="R1385" s="8">
        <v>0</v>
      </c>
      <c r="S1385" s="8">
        <v>2488</v>
      </c>
      <c r="T1385" s="5">
        <v>2488</v>
      </c>
      <c r="U1385" s="5">
        <v>0</v>
      </c>
      <c r="V1385" s="5">
        <f>VLOOKUP(A1385,Planilha1!B:E,4,0)</f>
        <v>13.783871706210666</v>
      </c>
    </row>
    <row r="1386" spans="1:22" x14ac:dyDescent="0.3">
      <c r="A1386" t="str">
        <f t="shared" si="42"/>
        <v>COMPOSTOITAMBÉ</v>
      </c>
      <c r="B1386" t="str">
        <f t="shared" si="43"/>
        <v>5109656COMPOSTOITAMBÉ</v>
      </c>
      <c r="C1386" s="5" t="s">
        <v>226</v>
      </c>
      <c r="D1386" s="5" t="s">
        <v>893</v>
      </c>
      <c r="E1386" s="5" t="s">
        <v>893</v>
      </c>
      <c r="F1386" s="5">
        <v>5109656</v>
      </c>
      <c r="G1386" s="5" t="s">
        <v>901</v>
      </c>
      <c r="H1386" s="5" t="s">
        <v>30</v>
      </c>
      <c r="I1386" s="5" t="s">
        <v>27</v>
      </c>
      <c r="J1386" s="5" t="s">
        <v>26</v>
      </c>
      <c r="K1386" s="6">
        <v>0</v>
      </c>
      <c r="L1386" s="7">
        <v>5765</v>
      </c>
      <c r="M1386" s="8">
        <v>7662.3333333333339</v>
      </c>
      <c r="N1386" s="8">
        <v>8123.3333333333339</v>
      </c>
      <c r="O1386" s="8">
        <v>8693.40569226564</v>
      </c>
      <c r="P1386" s="8">
        <v>499</v>
      </c>
      <c r="Q1386" s="8">
        <v>970</v>
      </c>
      <c r="R1386" s="8">
        <v>0</v>
      </c>
      <c r="S1386" s="8">
        <v>3460</v>
      </c>
      <c r="T1386" s="5">
        <v>3460</v>
      </c>
      <c r="U1386" s="5">
        <v>3460</v>
      </c>
      <c r="V1386" s="5">
        <f>VLOOKUP(A1386,Planilha1!B:E,4,0)</f>
        <v>0.15618217875936719</v>
      </c>
    </row>
    <row r="1387" spans="1:22" x14ac:dyDescent="0.3">
      <c r="A1387" t="str">
        <f t="shared" si="42"/>
        <v>LEITE CONDENSADOITAMBÉ</v>
      </c>
      <c r="B1387" t="str">
        <f t="shared" si="43"/>
        <v>5109656LEITE CONDENSADOITAMBÉ</v>
      </c>
      <c r="C1387" s="5" t="s">
        <v>226</v>
      </c>
      <c r="D1387" s="5" t="s">
        <v>893</v>
      </c>
      <c r="E1387" s="5" t="s">
        <v>893</v>
      </c>
      <c r="F1387" s="5">
        <v>5109656</v>
      </c>
      <c r="G1387" s="5" t="s">
        <v>901</v>
      </c>
      <c r="H1387" s="5" t="s">
        <v>30</v>
      </c>
      <c r="I1387" s="5" t="s">
        <v>27</v>
      </c>
      <c r="J1387" s="5" t="s">
        <v>33</v>
      </c>
      <c r="K1387" s="6">
        <v>0</v>
      </c>
      <c r="L1387" s="7">
        <v>47921.36</v>
      </c>
      <c r="M1387" s="8">
        <v>18195.526666666668</v>
      </c>
      <c r="N1387" s="8">
        <v>21599.666666666664</v>
      </c>
      <c r="O1387" s="8">
        <v>29920.461431694232</v>
      </c>
      <c r="P1387" s="8">
        <v>757.5</v>
      </c>
      <c r="Q1387" s="8">
        <v>0</v>
      </c>
      <c r="R1387" s="8">
        <v>0</v>
      </c>
      <c r="S1387" s="8">
        <v>33630</v>
      </c>
      <c r="T1387" s="5">
        <v>33630</v>
      </c>
      <c r="U1387" s="5">
        <v>33630</v>
      </c>
      <c r="V1387" s="5">
        <f>VLOOKUP(A1387,Planilha1!B:E,4,0)</f>
        <v>1.4766792698630664</v>
      </c>
    </row>
    <row r="1388" spans="1:22" x14ac:dyDescent="0.3">
      <c r="A1388" t="str">
        <f t="shared" si="42"/>
        <v>CREME UHTITAMBÉ</v>
      </c>
      <c r="B1388" t="str">
        <f t="shared" si="43"/>
        <v>5109656CREME UHTITAMBÉ</v>
      </c>
      <c r="C1388" s="5" t="s">
        <v>226</v>
      </c>
      <c r="D1388" s="5" t="s">
        <v>893</v>
      </c>
      <c r="E1388" s="5" t="s">
        <v>893</v>
      </c>
      <c r="F1388" s="5">
        <v>5109656</v>
      </c>
      <c r="G1388" s="5" t="s">
        <v>901</v>
      </c>
      <c r="H1388" s="5" t="s">
        <v>30</v>
      </c>
      <c r="I1388" s="5" t="s">
        <v>27</v>
      </c>
      <c r="J1388" s="5" t="s">
        <v>34</v>
      </c>
      <c r="K1388" s="6">
        <v>0</v>
      </c>
      <c r="L1388" s="7">
        <v>21301.8</v>
      </c>
      <c r="M1388" s="8">
        <v>9420.8799999999992</v>
      </c>
      <c r="N1388" s="8">
        <v>4946.666666666667</v>
      </c>
      <c r="O1388" s="8">
        <v>11190.564811368447</v>
      </c>
      <c r="P1388" s="8">
        <v>576.87</v>
      </c>
      <c r="Q1388" s="8">
        <v>-5.4</v>
      </c>
      <c r="R1388" s="8">
        <v>0</v>
      </c>
      <c r="S1388" s="8">
        <v>17463</v>
      </c>
      <c r="T1388" s="5">
        <v>17463</v>
      </c>
      <c r="U1388" s="5">
        <v>17463</v>
      </c>
      <c r="V1388" s="5">
        <f>VLOOKUP(A1388,Planilha1!B:E,4,0)</f>
        <v>1.2362540170747773</v>
      </c>
    </row>
    <row r="1389" spans="1:22" x14ac:dyDescent="0.3">
      <c r="A1389" t="str">
        <f t="shared" si="42"/>
        <v>DOCE DE LEITEITAMBÉ</v>
      </c>
      <c r="B1389" t="str">
        <f t="shared" si="43"/>
        <v>5109656DOCE DE LEITEITAMBÉ</v>
      </c>
      <c r="C1389" s="5" t="s">
        <v>226</v>
      </c>
      <c r="D1389" s="5" t="s">
        <v>893</v>
      </c>
      <c r="E1389" s="5" t="s">
        <v>893</v>
      </c>
      <c r="F1389" s="5">
        <v>5109656</v>
      </c>
      <c r="G1389" s="5" t="s">
        <v>901</v>
      </c>
      <c r="H1389" s="5" t="s">
        <v>30</v>
      </c>
      <c r="I1389" s="5" t="s">
        <v>27</v>
      </c>
      <c r="J1389" s="5" t="s">
        <v>46</v>
      </c>
      <c r="K1389" s="6">
        <v>0</v>
      </c>
      <c r="L1389" s="7">
        <v>6910</v>
      </c>
      <c r="M1389" s="8">
        <v>5424.7333333333327</v>
      </c>
      <c r="N1389" s="8">
        <v>4708.333333333333</v>
      </c>
      <c r="O1389" s="8">
        <v>5671.3240756614678</v>
      </c>
      <c r="P1389" s="8">
        <v>205.60000000000002</v>
      </c>
      <c r="Q1389" s="8">
        <v>390</v>
      </c>
      <c r="R1389" s="8">
        <v>0</v>
      </c>
      <c r="S1389" s="8">
        <v>7820</v>
      </c>
      <c r="T1389" s="5">
        <v>7820</v>
      </c>
      <c r="U1389" s="5">
        <v>4500</v>
      </c>
      <c r="V1389" s="5">
        <f>VLOOKUP(A1389,Planilha1!B:E,4,0)</f>
        <v>5.8210743907543439</v>
      </c>
    </row>
    <row r="1390" spans="1:22" x14ac:dyDescent="0.3">
      <c r="A1390" t="str">
        <f t="shared" si="42"/>
        <v>MANTEIGA 5KGITAMBÉ</v>
      </c>
      <c r="B1390" t="str">
        <f t="shared" si="43"/>
        <v>5109656MANTEIGA 5KGITAMBÉ</v>
      </c>
      <c r="C1390" s="5" t="s">
        <v>226</v>
      </c>
      <c r="D1390" s="5" t="s">
        <v>893</v>
      </c>
      <c r="E1390" s="5" t="s">
        <v>893</v>
      </c>
      <c r="F1390" s="5">
        <v>5109656</v>
      </c>
      <c r="G1390" s="5" t="s">
        <v>901</v>
      </c>
      <c r="H1390" s="5" t="s">
        <v>30</v>
      </c>
      <c r="I1390" s="5" t="s">
        <v>27</v>
      </c>
      <c r="J1390" s="5" t="s">
        <v>60</v>
      </c>
      <c r="K1390" s="6">
        <v>0</v>
      </c>
      <c r="L1390" s="7">
        <v>1990</v>
      </c>
      <c r="M1390" s="8">
        <v>955.83333333333337</v>
      </c>
      <c r="N1390" s="8">
        <v>611.66666666666663</v>
      </c>
      <c r="O1390" s="8">
        <v>1309.9563347888404</v>
      </c>
      <c r="P1390" s="8">
        <v>140</v>
      </c>
      <c r="Q1390" s="8">
        <v>0</v>
      </c>
      <c r="R1390" s="8">
        <v>0</v>
      </c>
      <c r="S1390" s="8">
        <v>1125</v>
      </c>
      <c r="T1390" s="5">
        <v>1125</v>
      </c>
      <c r="U1390" s="5">
        <v>600</v>
      </c>
      <c r="V1390" s="5">
        <f>VLOOKUP(A1390,Planilha1!B:E,4,0)</f>
        <v>5.819800475298738</v>
      </c>
    </row>
    <row r="1391" spans="1:22" x14ac:dyDescent="0.3">
      <c r="A1391" t="str">
        <f t="shared" si="42"/>
        <v>MANTEIGA 5KGLACTALIS</v>
      </c>
      <c r="B1391" t="str">
        <f t="shared" si="43"/>
        <v>5109656MANTEIGA 5KGLACTALIS</v>
      </c>
      <c r="C1391" s="5" t="s">
        <v>226</v>
      </c>
      <c r="D1391" s="5" t="s">
        <v>893</v>
      </c>
      <c r="E1391" s="5" t="s">
        <v>893</v>
      </c>
      <c r="F1391" s="5">
        <v>5109656</v>
      </c>
      <c r="G1391" s="5" t="s">
        <v>901</v>
      </c>
      <c r="H1391" s="5" t="s">
        <v>30</v>
      </c>
      <c r="I1391" s="5" t="s">
        <v>22</v>
      </c>
      <c r="J1391" s="5" t="s">
        <v>60</v>
      </c>
      <c r="K1391" s="6">
        <v>0</v>
      </c>
      <c r="L1391" s="7">
        <v>5780</v>
      </c>
      <c r="M1391" s="8">
        <v>4259.1666666666661</v>
      </c>
      <c r="N1391" s="8">
        <v>4945</v>
      </c>
      <c r="O1391" s="8">
        <v>2410.2113449978997</v>
      </c>
      <c r="P1391" s="8">
        <v>5</v>
      </c>
      <c r="Q1391" s="8">
        <v>-325</v>
      </c>
      <c r="R1391" s="8">
        <v>0</v>
      </c>
      <c r="S1391" s="8">
        <v>4745</v>
      </c>
      <c r="T1391" s="5">
        <v>4745</v>
      </c>
      <c r="U1391" s="5">
        <v>3370</v>
      </c>
      <c r="V1391" s="5">
        <f>VLOOKUP(A1391,Planilha1!B:E,4,0)</f>
        <v>11.476197020267191</v>
      </c>
    </row>
    <row r="1392" spans="1:22" x14ac:dyDescent="0.3">
      <c r="A1392" t="str">
        <f t="shared" si="42"/>
        <v>PARMESÃOLACTALIS</v>
      </c>
      <c r="B1392" t="str">
        <f t="shared" si="43"/>
        <v>5109656PARMESÃOLACTALIS</v>
      </c>
      <c r="C1392" s="5" t="s">
        <v>226</v>
      </c>
      <c r="D1392" s="5" t="s">
        <v>893</v>
      </c>
      <c r="E1392" s="5" t="s">
        <v>893</v>
      </c>
      <c r="F1392" s="5">
        <v>5109656</v>
      </c>
      <c r="G1392" s="5" t="s">
        <v>901</v>
      </c>
      <c r="H1392" s="5" t="s">
        <v>30</v>
      </c>
      <c r="I1392" s="5" t="s">
        <v>22</v>
      </c>
      <c r="J1392" s="5" t="s">
        <v>195</v>
      </c>
      <c r="K1392" s="6">
        <v>0</v>
      </c>
      <c r="L1392" s="7">
        <v>0</v>
      </c>
      <c r="M1392" s="8">
        <v>602.86166666666668</v>
      </c>
      <c r="N1392" s="8">
        <v>647.24666666666667</v>
      </c>
      <c r="O1392" s="8">
        <v>935.31561399775671</v>
      </c>
      <c r="P1392" s="8">
        <v>21.120000999999998</v>
      </c>
      <c r="Q1392" s="8">
        <v>0</v>
      </c>
      <c r="R1392" s="8">
        <v>0</v>
      </c>
      <c r="S1392" s="8">
        <v>1072</v>
      </c>
      <c r="T1392" s="5">
        <v>1072</v>
      </c>
      <c r="U1392" s="5">
        <v>787</v>
      </c>
      <c r="V1392" s="5">
        <f>VLOOKUP(A1392,Planilha1!B:E,4,0)</f>
        <v>6.310326960724681</v>
      </c>
    </row>
    <row r="1393" spans="1:22" x14ac:dyDescent="0.3">
      <c r="A1393" t="str">
        <f t="shared" si="42"/>
        <v>LEITE UHTITAMBÉ</v>
      </c>
      <c r="B1393" t="str">
        <f t="shared" si="43"/>
        <v>5109656LEITE UHTITAMBÉ</v>
      </c>
      <c r="C1393" s="5" t="s">
        <v>226</v>
      </c>
      <c r="D1393" s="5" t="s">
        <v>893</v>
      </c>
      <c r="E1393" s="5" t="s">
        <v>893</v>
      </c>
      <c r="F1393" s="5">
        <v>5109656</v>
      </c>
      <c r="G1393" s="5" t="s">
        <v>901</v>
      </c>
      <c r="H1393" s="5" t="s">
        <v>30</v>
      </c>
      <c r="I1393" s="5" t="s">
        <v>27</v>
      </c>
      <c r="J1393" s="5" t="s">
        <v>156</v>
      </c>
      <c r="K1393" s="6">
        <v>0</v>
      </c>
      <c r="L1393" s="7">
        <v>24480</v>
      </c>
      <c r="M1393" s="8">
        <v>18338</v>
      </c>
      <c r="N1393" s="8">
        <v>12204</v>
      </c>
      <c r="O1393" s="8">
        <v>23610.737658470462</v>
      </c>
      <c r="P1393" s="8">
        <v>1285.4399999999998</v>
      </c>
      <c r="Q1393" s="8">
        <v>0</v>
      </c>
      <c r="R1393" s="8">
        <v>0</v>
      </c>
      <c r="S1393" s="8">
        <v>0</v>
      </c>
      <c r="T1393" s="5">
        <v>0</v>
      </c>
      <c r="U1393" s="5">
        <v>0</v>
      </c>
      <c r="V1393" s="5">
        <f>VLOOKUP(A1393,Planilha1!B:E,4,0)</f>
        <v>-0.14425288609148015</v>
      </c>
    </row>
    <row r="1394" spans="1:22" x14ac:dyDescent="0.3">
      <c r="A1394" t="str">
        <f t="shared" si="42"/>
        <v>BLISTERLACTALIS</v>
      </c>
      <c r="B1394" t="str">
        <f t="shared" si="43"/>
        <v>5275620BLISTERLACTALIS</v>
      </c>
      <c r="C1394" s="5" t="s">
        <v>226</v>
      </c>
      <c r="D1394" s="5" t="s">
        <v>893</v>
      </c>
      <c r="E1394" s="5" t="s">
        <v>893</v>
      </c>
      <c r="F1394" s="5">
        <v>5275620</v>
      </c>
      <c r="G1394" s="5" t="s">
        <v>902</v>
      </c>
      <c r="H1394" s="5" t="s">
        <v>30</v>
      </c>
      <c r="I1394" s="5" t="s">
        <v>22</v>
      </c>
      <c r="J1394" s="5" t="s">
        <v>199</v>
      </c>
      <c r="K1394" s="6">
        <v>0</v>
      </c>
      <c r="L1394" s="7">
        <v>0</v>
      </c>
      <c r="M1394" s="8">
        <v>0</v>
      </c>
      <c r="N1394" s="8">
        <v>0</v>
      </c>
      <c r="O1394" s="8">
        <v>50.804141731226125</v>
      </c>
      <c r="P1394" s="8">
        <v>0</v>
      </c>
      <c r="Q1394" s="8">
        <v>0</v>
      </c>
      <c r="R1394" s="8">
        <v>0</v>
      </c>
      <c r="S1394" s="8">
        <v>0</v>
      </c>
      <c r="T1394" s="5">
        <v>0</v>
      </c>
      <c r="U1394" s="5">
        <v>0</v>
      </c>
      <c r="V1394" s="5">
        <f>VLOOKUP(A1394,Planilha1!B:E,4,0)</f>
        <v>13.783871706210666</v>
      </c>
    </row>
    <row r="1395" spans="1:22" x14ac:dyDescent="0.3">
      <c r="A1395" t="str">
        <f t="shared" si="42"/>
        <v>BLISTERLACTALIS</v>
      </c>
      <c r="B1395" t="str">
        <f t="shared" si="43"/>
        <v>5009122BLISTERLACTALIS</v>
      </c>
      <c r="C1395" s="5" t="s">
        <v>226</v>
      </c>
      <c r="D1395" s="5" t="s">
        <v>903</v>
      </c>
      <c r="E1395" s="5" t="s">
        <v>904</v>
      </c>
      <c r="F1395" s="5">
        <v>5009122</v>
      </c>
      <c r="G1395" s="5" t="s">
        <v>905</v>
      </c>
      <c r="H1395" s="5" t="s">
        <v>113</v>
      </c>
      <c r="I1395" s="5" t="s">
        <v>22</v>
      </c>
      <c r="J1395" s="5" t="s">
        <v>199</v>
      </c>
      <c r="K1395" s="6">
        <v>0</v>
      </c>
      <c r="L1395" s="7">
        <v>206.4</v>
      </c>
      <c r="M1395" s="8">
        <v>184.6</v>
      </c>
      <c r="N1395" s="8">
        <v>91.2</v>
      </c>
      <c r="O1395" s="8">
        <v>173.53515872120192</v>
      </c>
      <c r="P1395" s="8">
        <v>0</v>
      </c>
      <c r="Q1395" s="8">
        <v>115.19999999999999</v>
      </c>
      <c r="R1395" s="8">
        <v>0</v>
      </c>
      <c r="S1395" s="8">
        <v>91.2</v>
      </c>
      <c r="T1395" s="5">
        <v>91.2</v>
      </c>
      <c r="U1395" s="5">
        <v>91.2</v>
      </c>
      <c r="V1395" s="5">
        <f>VLOOKUP(A1395,Planilha1!B:E,4,0)</f>
        <v>13.783871706210666</v>
      </c>
    </row>
    <row r="1396" spans="1:22" x14ac:dyDescent="0.3">
      <c r="A1396" t="str">
        <f t="shared" si="42"/>
        <v>LEITE CONDENSADOITAMBÉ</v>
      </c>
      <c r="B1396" t="str">
        <f t="shared" si="43"/>
        <v>5009122LEITE CONDENSADOITAMBÉ</v>
      </c>
      <c r="C1396" s="5" t="s">
        <v>226</v>
      </c>
      <c r="D1396" s="5" t="s">
        <v>903</v>
      </c>
      <c r="E1396" s="5" t="s">
        <v>904</v>
      </c>
      <c r="F1396" s="5">
        <v>5009122</v>
      </c>
      <c r="G1396" s="5" t="s">
        <v>905</v>
      </c>
      <c r="H1396" s="5" t="s">
        <v>113</v>
      </c>
      <c r="I1396" s="5" t="s">
        <v>27</v>
      </c>
      <c r="J1396" s="5" t="s">
        <v>33</v>
      </c>
      <c r="K1396" s="6">
        <v>0</v>
      </c>
      <c r="L1396" s="7">
        <v>0</v>
      </c>
      <c r="M1396" s="8">
        <v>517.12</v>
      </c>
      <c r="N1396" s="8">
        <v>517</v>
      </c>
      <c r="O1396" s="8">
        <v>463.99164815033333</v>
      </c>
      <c r="P1396" s="8">
        <v>0</v>
      </c>
      <c r="Q1396" s="8">
        <v>993.84</v>
      </c>
      <c r="R1396" s="8">
        <v>0</v>
      </c>
      <c r="S1396" s="8">
        <v>1212</v>
      </c>
      <c r="T1396" s="5">
        <v>1212</v>
      </c>
      <c r="U1396" s="5">
        <v>1212</v>
      </c>
      <c r="V1396" s="5">
        <f>VLOOKUP(A1396,Planilha1!B:E,4,0)</f>
        <v>1.4766792698630664</v>
      </c>
    </row>
    <row r="1397" spans="1:22" x14ac:dyDescent="0.3">
      <c r="A1397" t="str">
        <f t="shared" si="42"/>
        <v>LEITE CONDENSADOITAMBÉ</v>
      </c>
      <c r="B1397" t="str">
        <f t="shared" si="43"/>
        <v>5014500LEITE CONDENSADOITAMBÉ</v>
      </c>
      <c r="C1397" s="5" t="s">
        <v>226</v>
      </c>
      <c r="D1397" s="5" t="s">
        <v>903</v>
      </c>
      <c r="E1397" s="5" t="s">
        <v>904</v>
      </c>
      <c r="F1397" s="5">
        <v>5014500</v>
      </c>
      <c r="G1397" s="5" t="s">
        <v>906</v>
      </c>
      <c r="H1397" s="5" t="s">
        <v>113</v>
      </c>
      <c r="I1397" s="5" t="s">
        <v>27</v>
      </c>
      <c r="J1397" s="5" t="s">
        <v>33</v>
      </c>
      <c r="K1397" s="6">
        <v>0</v>
      </c>
      <c r="L1397" s="7">
        <v>0</v>
      </c>
      <c r="M1397" s="8">
        <v>181.8</v>
      </c>
      <c r="N1397" s="8">
        <v>181.66666666666666</v>
      </c>
      <c r="O1397" s="8">
        <v>185.99665206026293</v>
      </c>
      <c r="P1397" s="8">
        <v>0</v>
      </c>
      <c r="Q1397" s="8">
        <v>121.2</v>
      </c>
      <c r="R1397" s="8">
        <v>0</v>
      </c>
      <c r="S1397" s="8">
        <v>181.66666666666666</v>
      </c>
      <c r="T1397" s="5">
        <v>181.66666666666666</v>
      </c>
      <c r="U1397" s="5">
        <v>181.66666666666666</v>
      </c>
      <c r="V1397" s="5">
        <f>VLOOKUP(A1397,Planilha1!B:E,4,0)</f>
        <v>1.4766792698630664</v>
      </c>
    </row>
    <row r="1398" spans="1:22" x14ac:dyDescent="0.3">
      <c r="A1398" t="str">
        <f t="shared" si="42"/>
        <v>DOCE DE LEITEITAMBÉ</v>
      </c>
      <c r="B1398" t="str">
        <f t="shared" si="43"/>
        <v>5014500DOCE DE LEITEITAMBÉ</v>
      </c>
      <c r="C1398" s="5" t="s">
        <v>226</v>
      </c>
      <c r="D1398" s="5" t="s">
        <v>903</v>
      </c>
      <c r="E1398" s="5" t="s">
        <v>904</v>
      </c>
      <c r="F1398" s="5">
        <v>5014500</v>
      </c>
      <c r="G1398" s="5" t="s">
        <v>906</v>
      </c>
      <c r="H1398" s="5" t="s">
        <v>113</v>
      </c>
      <c r="I1398" s="5" t="s">
        <v>27</v>
      </c>
      <c r="J1398" s="5" t="s">
        <v>46</v>
      </c>
      <c r="K1398" s="6">
        <v>0</v>
      </c>
      <c r="L1398" s="7">
        <v>0</v>
      </c>
      <c r="M1398" s="8">
        <v>211.66666666666666</v>
      </c>
      <c r="N1398" s="8">
        <v>243.33333333333334</v>
      </c>
      <c r="O1398" s="8">
        <v>357.02040116578098</v>
      </c>
      <c r="P1398" s="8">
        <v>0</v>
      </c>
      <c r="Q1398" s="8">
        <v>200</v>
      </c>
      <c r="R1398" s="8">
        <v>0</v>
      </c>
      <c r="S1398" s="8">
        <v>243.33333333333334</v>
      </c>
      <c r="T1398" s="5">
        <v>243.33333333333334</v>
      </c>
      <c r="U1398" s="5">
        <v>243.33333333333334</v>
      </c>
      <c r="V1398" s="5">
        <f>VLOOKUP(A1398,Planilha1!B:E,4,0)</f>
        <v>5.8210743907543439</v>
      </c>
    </row>
    <row r="1399" spans="1:22" x14ac:dyDescent="0.3">
      <c r="A1399" t="str">
        <f t="shared" si="42"/>
        <v>LEITE CONDENSADOITAMBÉ</v>
      </c>
      <c r="B1399" t="str">
        <f t="shared" si="43"/>
        <v>5015262LEITE CONDENSADOITAMBÉ</v>
      </c>
      <c r="C1399" s="5" t="s">
        <v>226</v>
      </c>
      <c r="D1399" s="5" t="s">
        <v>903</v>
      </c>
      <c r="E1399" s="5" t="s">
        <v>904</v>
      </c>
      <c r="F1399" s="5">
        <v>5015262</v>
      </c>
      <c r="G1399" s="5" t="s">
        <v>907</v>
      </c>
      <c r="H1399" s="5" t="s">
        <v>88</v>
      </c>
      <c r="I1399" s="5" t="s">
        <v>27</v>
      </c>
      <c r="J1399" s="5" t="s">
        <v>33</v>
      </c>
      <c r="K1399" s="6">
        <v>0</v>
      </c>
      <c r="L1399" s="7">
        <v>630.24</v>
      </c>
      <c r="M1399" s="8">
        <v>858.50000000000011</v>
      </c>
      <c r="N1399" s="8">
        <v>1030</v>
      </c>
      <c r="O1399" s="8">
        <v>1184.9786703839331</v>
      </c>
      <c r="P1399" s="8">
        <v>0</v>
      </c>
      <c r="Q1399" s="8">
        <v>1175.6400000000001</v>
      </c>
      <c r="R1399" s="8">
        <v>0</v>
      </c>
      <c r="S1399" s="8">
        <v>0</v>
      </c>
      <c r="T1399" s="5">
        <v>0</v>
      </c>
      <c r="U1399" s="5">
        <v>1030</v>
      </c>
      <c r="V1399" s="5">
        <f>VLOOKUP(A1399,Planilha1!B:E,4,0)</f>
        <v>1.4766792698630664</v>
      </c>
    </row>
    <row r="1400" spans="1:22" x14ac:dyDescent="0.3">
      <c r="A1400" t="str">
        <f t="shared" si="42"/>
        <v>CREME UHTITAMBÉ</v>
      </c>
      <c r="B1400" t="str">
        <f t="shared" si="43"/>
        <v>5015262CREME UHTITAMBÉ</v>
      </c>
      <c r="C1400" s="5" t="s">
        <v>226</v>
      </c>
      <c r="D1400" s="5" t="s">
        <v>903</v>
      </c>
      <c r="E1400" s="5" t="s">
        <v>904</v>
      </c>
      <c r="F1400" s="5">
        <v>5015262</v>
      </c>
      <c r="G1400" s="5" t="s">
        <v>907</v>
      </c>
      <c r="H1400" s="5" t="s">
        <v>88</v>
      </c>
      <c r="I1400" s="5" t="s">
        <v>27</v>
      </c>
      <c r="J1400" s="5" t="s">
        <v>34</v>
      </c>
      <c r="K1400" s="6">
        <v>0</v>
      </c>
      <c r="L1400" s="7">
        <v>1030.2</v>
      </c>
      <c r="M1400" s="8">
        <v>374.58</v>
      </c>
      <c r="N1400" s="8">
        <v>620.33333333333326</v>
      </c>
      <c r="O1400" s="8">
        <v>416.98378396395702</v>
      </c>
      <c r="P1400" s="8">
        <v>0</v>
      </c>
      <c r="Q1400" s="8">
        <v>1140.24</v>
      </c>
      <c r="R1400" s="8">
        <v>0</v>
      </c>
      <c r="S1400" s="8">
        <v>620.33333333333326</v>
      </c>
      <c r="T1400" s="5">
        <v>620.33333333333326</v>
      </c>
      <c r="U1400" s="5">
        <v>620.33333333333326</v>
      </c>
      <c r="V1400" s="5">
        <f>VLOOKUP(A1400,Planilha1!B:E,4,0)</f>
        <v>1.2362540170747773</v>
      </c>
    </row>
    <row r="1401" spans="1:22" x14ac:dyDescent="0.3">
      <c r="A1401" t="str">
        <f t="shared" si="42"/>
        <v>DOCE DE LEITEITAMBÉ</v>
      </c>
      <c r="B1401" t="str">
        <f t="shared" si="43"/>
        <v>5015262DOCE DE LEITEITAMBÉ</v>
      </c>
      <c r="C1401" s="5" t="s">
        <v>226</v>
      </c>
      <c r="D1401" s="5" t="s">
        <v>903</v>
      </c>
      <c r="E1401" s="5" t="s">
        <v>904</v>
      </c>
      <c r="F1401" s="5">
        <v>5015262</v>
      </c>
      <c r="G1401" s="5" t="s">
        <v>907</v>
      </c>
      <c r="H1401" s="5" t="s">
        <v>88</v>
      </c>
      <c r="I1401" s="5" t="s">
        <v>27</v>
      </c>
      <c r="J1401" s="5" t="s">
        <v>46</v>
      </c>
      <c r="K1401" s="6">
        <v>0</v>
      </c>
      <c r="L1401" s="7">
        <v>0</v>
      </c>
      <c r="M1401" s="8">
        <v>25</v>
      </c>
      <c r="N1401" s="8">
        <v>33.333333333333336</v>
      </c>
      <c r="O1401" s="8">
        <v>60.003428767358145</v>
      </c>
      <c r="P1401" s="8">
        <v>0</v>
      </c>
      <c r="Q1401" s="8">
        <v>0</v>
      </c>
      <c r="R1401" s="8">
        <v>0</v>
      </c>
      <c r="S1401" s="8">
        <v>33.333333333333336</v>
      </c>
      <c r="T1401" s="5">
        <v>33.333333333333336</v>
      </c>
      <c r="U1401" s="5">
        <v>33.333333333333336</v>
      </c>
      <c r="V1401" s="5">
        <f>VLOOKUP(A1401,Planilha1!B:E,4,0)</f>
        <v>5.8210743907543439</v>
      </c>
    </row>
    <row r="1402" spans="1:22" x14ac:dyDescent="0.3">
      <c r="A1402" t="str">
        <f t="shared" si="42"/>
        <v>LEITE CONDENSADOITAMBÉ</v>
      </c>
      <c r="B1402" t="str">
        <f t="shared" si="43"/>
        <v>5015279LEITE CONDENSADOITAMBÉ</v>
      </c>
      <c r="C1402" s="5" t="s">
        <v>226</v>
      </c>
      <c r="D1402" s="5" t="s">
        <v>903</v>
      </c>
      <c r="E1402" s="5" t="s">
        <v>904</v>
      </c>
      <c r="F1402" s="5">
        <v>5015279</v>
      </c>
      <c r="G1402" s="5" t="s">
        <v>908</v>
      </c>
      <c r="H1402" s="5" t="s">
        <v>88</v>
      </c>
      <c r="I1402" s="5" t="s">
        <v>27</v>
      </c>
      <c r="J1402" s="5" t="s">
        <v>33</v>
      </c>
      <c r="K1402" s="6">
        <v>0</v>
      </c>
      <c r="L1402" s="7">
        <v>363.6</v>
      </c>
      <c r="M1402" s="8">
        <v>387.84000000000003</v>
      </c>
      <c r="N1402" s="8">
        <v>517</v>
      </c>
      <c r="O1402" s="8">
        <v>296.99465409622627</v>
      </c>
      <c r="P1402" s="8">
        <v>0</v>
      </c>
      <c r="Q1402" s="8">
        <v>0</v>
      </c>
      <c r="R1402" s="8">
        <v>0</v>
      </c>
      <c r="S1402" s="8">
        <v>517</v>
      </c>
      <c r="T1402" s="5">
        <v>517</v>
      </c>
      <c r="U1402" s="5">
        <v>517</v>
      </c>
      <c r="V1402" s="5">
        <f>VLOOKUP(A1402,Planilha1!B:E,4,0)</f>
        <v>1.4766792698630664</v>
      </c>
    </row>
    <row r="1403" spans="1:22" x14ac:dyDescent="0.3">
      <c r="A1403" t="str">
        <f t="shared" si="42"/>
        <v>BLISTERLACTALIS</v>
      </c>
      <c r="B1403" t="str">
        <f t="shared" si="43"/>
        <v>5015298BLISTERLACTALIS</v>
      </c>
      <c r="C1403" s="5" t="s">
        <v>226</v>
      </c>
      <c r="D1403" s="5" t="s">
        <v>903</v>
      </c>
      <c r="E1403" s="5" t="s">
        <v>904</v>
      </c>
      <c r="F1403" s="5">
        <v>5015298</v>
      </c>
      <c r="G1403" s="5" t="s">
        <v>909</v>
      </c>
      <c r="H1403" s="5" t="s">
        <v>88</v>
      </c>
      <c r="I1403" s="5" t="s">
        <v>22</v>
      </c>
      <c r="J1403" s="5" t="s">
        <v>199</v>
      </c>
      <c r="K1403" s="6">
        <v>0</v>
      </c>
      <c r="L1403" s="7">
        <v>0</v>
      </c>
      <c r="M1403" s="8">
        <v>29.2</v>
      </c>
      <c r="N1403" s="8">
        <v>32.4</v>
      </c>
      <c r="O1403" s="8">
        <v>3.5897311003841441</v>
      </c>
      <c r="P1403" s="8">
        <v>0</v>
      </c>
      <c r="Q1403" s="8">
        <v>0</v>
      </c>
      <c r="R1403" s="8">
        <v>0</v>
      </c>
      <c r="S1403" s="8">
        <v>57.6</v>
      </c>
      <c r="T1403" s="5">
        <v>57.6</v>
      </c>
      <c r="U1403" s="5">
        <v>32.4</v>
      </c>
      <c r="V1403" s="5">
        <f>VLOOKUP(A1403,Planilha1!B:E,4,0)</f>
        <v>13.783871706210666</v>
      </c>
    </row>
    <row r="1404" spans="1:22" x14ac:dyDescent="0.3">
      <c r="A1404" t="str">
        <f t="shared" si="42"/>
        <v>LEITE CONDENSADOITAMBÉ</v>
      </c>
      <c r="B1404" t="str">
        <f t="shared" si="43"/>
        <v>5015298LEITE CONDENSADOITAMBÉ</v>
      </c>
      <c r="C1404" s="5" t="s">
        <v>226</v>
      </c>
      <c r="D1404" s="5" t="s">
        <v>903</v>
      </c>
      <c r="E1404" s="5" t="s">
        <v>904</v>
      </c>
      <c r="F1404" s="5">
        <v>5015298</v>
      </c>
      <c r="G1404" s="5" t="s">
        <v>909</v>
      </c>
      <c r="H1404" s="5" t="s">
        <v>88</v>
      </c>
      <c r="I1404" s="5" t="s">
        <v>27</v>
      </c>
      <c r="J1404" s="5" t="s">
        <v>33</v>
      </c>
      <c r="K1404" s="6">
        <v>0</v>
      </c>
      <c r="L1404" s="7">
        <v>363.6</v>
      </c>
      <c r="M1404" s="8">
        <v>181.8</v>
      </c>
      <c r="N1404" s="8">
        <v>141.33333333333334</v>
      </c>
      <c r="O1404" s="8">
        <v>231.99582407516667</v>
      </c>
      <c r="P1404" s="8">
        <v>0</v>
      </c>
      <c r="Q1404" s="8">
        <v>0</v>
      </c>
      <c r="R1404" s="8">
        <v>0</v>
      </c>
      <c r="S1404" s="8">
        <v>485</v>
      </c>
      <c r="T1404" s="5">
        <v>485</v>
      </c>
      <c r="U1404" s="5">
        <v>485</v>
      </c>
      <c r="V1404" s="5">
        <f>VLOOKUP(A1404,Planilha1!B:E,4,0)</f>
        <v>1.4766792698630664</v>
      </c>
    </row>
    <row r="1405" spans="1:22" x14ac:dyDescent="0.3">
      <c r="A1405" t="str">
        <f t="shared" si="42"/>
        <v>CREME UHTITAMBÉ</v>
      </c>
      <c r="B1405" t="str">
        <f t="shared" si="43"/>
        <v>5015298CREME UHTITAMBÉ</v>
      </c>
      <c r="C1405" s="5" t="s">
        <v>226</v>
      </c>
      <c r="D1405" s="5" t="s">
        <v>903</v>
      </c>
      <c r="E1405" s="5" t="s">
        <v>904</v>
      </c>
      <c r="F1405" s="5">
        <v>5015298</v>
      </c>
      <c r="G1405" s="5" t="s">
        <v>909</v>
      </c>
      <c r="H1405" s="5" t="s">
        <v>88</v>
      </c>
      <c r="I1405" s="5" t="s">
        <v>27</v>
      </c>
      <c r="J1405" s="5" t="s">
        <v>34</v>
      </c>
      <c r="K1405" s="6">
        <v>0</v>
      </c>
      <c r="L1405" s="7">
        <v>242.4</v>
      </c>
      <c r="M1405" s="8">
        <v>274.71999999999997</v>
      </c>
      <c r="N1405" s="8">
        <v>404</v>
      </c>
      <c r="O1405" s="8">
        <v>112.995605726444</v>
      </c>
      <c r="P1405" s="8">
        <v>0</v>
      </c>
      <c r="Q1405" s="8">
        <v>0</v>
      </c>
      <c r="R1405" s="8">
        <v>0</v>
      </c>
      <c r="S1405" s="8">
        <v>727</v>
      </c>
      <c r="T1405" s="5">
        <v>727</v>
      </c>
      <c r="U1405" s="5">
        <v>727</v>
      </c>
      <c r="V1405" s="5">
        <f>VLOOKUP(A1405,Planilha1!B:E,4,0)</f>
        <v>1.2362540170747773</v>
      </c>
    </row>
    <row r="1406" spans="1:22" x14ac:dyDescent="0.3">
      <c r="A1406" t="str">
        <f t="shared" si="42"/>
        <v>DOCE DE LEITEITAMBÉ</v>
      </c>
      <c r="B1406" t="str">
        <f t="shared" si="43"/>
        <v>5015298DOCE DE LEITEITAMBÉ</v>
      </c>
      <c r="C1406" s="5" t="s">
        <v>226</v>
      </c>
      <c r="D1406" s="5" t="s">
        <v>903</v>
      </c>
      <c r="E1406" s="5" t="s">
        <v>904</v>
      </c>
      <c r="F1406" s="5">
        <v>5015298</v>
      </c>
      <c r="G1406" s="5" t="s">
        <v>909</v>
      </c>
      <c r="H1406" s="5" t="s">
        <v>88</v>
      </c>
      <c r="I1406" s="5" t="s">
        <v>27</v>
      </c>
      <c r="J1406" s="5" t="s">
        <v>46</v>
      </c>
      <c r="K1406" s="6">
        <v>0</v>
      </c>
      <c r="L1406" s="7">
        <v>0</v>
      </c>
      <c r="M1406" s="8">
        <v>114.4</v>
      </c>
      <c r="N1406" s="8">
        <v>142.66666666666666</v>
      </c>
      <c r="O1406" s="8">
        <v>200.01142922452715</v>
      </c>
      <c r="P1406" s="8">
        <v>0</v>
      </c>
      <c r="Q1406" s="8">
        <v>1000</v>
      </c>
      <c r="R1406" s="8">
        <v>0</v>
      </c>
      <c r="S1406" s="8">
        <v>142.66666666666666</v>
      </c>
      <c r="T1406" s="5">
        <v>142.66666666666666</v>
      </c>
      <c r="U1406" s="5">
        <v>142.66666666666666</v>
      </c>
      <c r="V1406" s="5">
        <f>VLOOKUP(A1406,Planilha1!B:E,4,0)</f>
        <v>5.8210743907543439</v>
      </c>
    </row>
    <row r="1407" spans="1:22" x14ac:dyDescent="0.3">
      <c r="A1407" t="str">
        <f t="shared" si="42"/>
        <v>MANTEIGA 5KGITAMBÉ</v>
      </c>
      <c r="B1407" t="str">
        <f t="shared" si="43"/>
        <v>5015298MANTEIGA 5KGITAMBÉ</v>
      </c>
      <c r="C1407" s="5" t="s">
        <v>226</v>
      </c>
      <c r="D1407" s="5" t="s">
        <v>903</v>
      </c>
      <c r="E1407" s="5" t="s">
        <v>904</v>
      </c>
      <c r="F1407" s="5">
        <v>5015298</v>
      </c>
      <c r="G1407" s="5" t="s">
        <v>909</v>
      </c>
      <c r="H1407" s="5" t="s">
        <v>88</v>
      </c>
      <c r="I1407" s="5" t="s">
        <v>27</v>
      </c>
      <c r="J1407" s="5" t="s">
        <v>60</v>
      </c>
      <c r="K1407" s="6">
        <v>0</v>
      </c>
      <c r="L1407" s="7">
        <v>490</v>
      </c>
      <c r="M1407" s="8">
        <v>343.33333333333331</v>
      </c>
      <c r="N1407" s="8">
        <v>60</v>
      </c>
      <c r="O1407" s="8">
        <v>885.97046765107837</v>
      </c>
      <c r="P1407" s="8">
        <v>0</v>
      </c>
      <c r="Q1407" s="8">
        <v>0</v>
      </c>
      <c r="R1407" s="8">
        <v>0</v>
      </c>
      <c r="S1407" s="8">
        <v>750</v>
      </c>
      <c r="T1407" s="5">
        <v>750</v>
      </c>
      <c r="U1407" s="5">
        <v>750</v>
      </c>
      <c r="V1407" s="5">
        <f>VLOOKUP(A1407,Planilha1!B:E,4,0)</f>
        <v>5.819800475298738</v>
      </c>
    </row>
    <row r="1408" spans="1:22" x14ac:dyDescent="0.3">
      <c r="A1408" t="str">
        <f t="shared" si="42"/>
        <v>MANTEIGA 5KGLACTALIS</v>
      </c>
      <c r="B1408" t="str">
        <f t="shared" si="43"/>
        <v>5015298MANTEIGA 5KGLACTALIS</v>
      </c>
      <c r="C1408" s="5" t="s">
        <v>226</v>
      </c>
      <c r="D1408" s="5" t="s">
        <v>903</v>
      </c>
      <c r="E1408" s="5" t="s">
        <v>904</v>
      </c>
      <c r="F1408" s="5">
        <v>5015298</v>
      </c>
      <c r="G1408" s="5" t="s">
        <v>909</v>
      </c>
      <c r="H1408" s="5" t="s">
        <v>88</v>
      </c>
      <c r="I1408" s="5" t="s">
        <v>22</v>
      </c>
      <c r="J1408" s="5" t="s">
        <v>60</v>
      </c>
      <c r="K1408" s="6">
        <v>0</v>
      </c>
      <c r="L1408" s="7">
        <v>195</v>
      </c>
      <c r="M1408" s="8">
        <v>348.33333333333331</v>
      </c>
      <c r="N1408" s="8">
        <v>405</v>
      </c>
      <c r="O1408" s="8">
        <v>261.3960964832151</v>
      </c>
      <c r="P1408" s="8">
        <v>0</v>
      </c>
      <c r="Q1408" s="8">
        <v>0</v>
      </c>
      <c r="R1408" s="8">
        <v>0</v>
      </c>
      <c r="S1408" s="8">
        <v>300</v>
      </c>
      <c r="T1408" s="5">
        <v>300</v>
      </c>
      <c r="U1408" s="5">
        <v>405</v>
      </c>
      <c r="V1408" s="5">
        <f>VLOOKUP(A1408,Planilha1!B:E,4,0)</f>
        <v>11.476197020267191</v>
      </c>
    </row>
    <row r="1409" spans="1:22" x14ac:dyDescent="0.3">
      <c r="A1409" t="str">
        <f t="shared" si="42"/>
        <v>LEITE CONDENSADOITAMBÉ</v>
      </c>
      <c r="B1409" t="str">
        <f t="shared" si="43"/>
        <v>5015597LEITE CONDENSADOITAMBÉ</v>
      </c>
      <c r="C1409" s="5" t="s">
        <v>226</v>
      </c>
      <c r="D1409" s="5" t="s">
        <v>903</v>
      </c>
      <c r="E1409" s="5" t="s">
        <v>904</v>
      </c>
      <c r="F1409" s="5">
        <v>5015597</v>
      </c>
      <c r="G1409" s="5" t="s">
        <v>910</v>
      </c>
      <c r="H1409" s="5" t="s">
        <v>88</v>
      </c>
      <c r="I1409" s="5" t="s">
        <v>27</v>
      </c>
      <c r="J1409" s="5" t="s">
        <v>33</v>
      </c>
      <c r="K1409" s="6">
        <v>0</v>
      </c>
      <c r="L1409" s="7">
        <v>2446</v>
      </c>
      <c r="M1409" s="8">
        <v>4590.0666666666666</v>
      </c>
      <c r="N1409" s="8">
        <v>0</v>
      </c>
      <c r="O1409" s="8">
        <v>13306.760478311391</v>
      </c>
      <c r="P1409" s="8">
        <v>0</v>
      </c>
      <c r="Q1409" s="8">
        <v>0</v>
      </c>
      <c r="R1409" s="8">
        <v>0</v>
      </c>
      <c r="S1409" s="8">
        <v>606</v>
      </c>
      <c r="T1409" s="5">
        <v>606</v>
      </c>
      <c r="U1409" s="5">
        <v>606</v>
      </c>
      <c r="V1409" s="5">
        <f>VLOOKUP(A1409,Planilha1!B:E,4,0)</f>
        <v>1.4766792698630664</v>
      </c>
    </row>
    <row r="1410" spans="1:22" x14ac:dyDescent="0.3">
      <c r="A1410" t="str">
        <f t="shared" ref="A1410:A1473" si="44">J1410&amp;I1410</f>
        <v>DOCE DE LEITEITAMBÉ</v>
      </c>
      <c r="B1410" t="str">
        <f t="shared" si="43"/>
        <v>5015597DOCE DE LEITEITAMBÉ</v>
      </c>
      <c r="C1410" s="5" t="s">
        <v>226</v>
      </c>
      <c r="D1410" s="5" t="s">
        <v>903</v>
      </c>
      <c r="E1410" s="5" t="s">
        <v>904</v>
      </c>
      <c r="F1410" s="5">
        <v>5015597</v>
      </c>
      <c r="G1410" s="5" t="s">
        <v>910</v>
      </c>
      <c r="H1410" s="5" t="s">
        <v>88</v>
      </c>
      <c r="I1410" s="5" t="s">
        <v>27</v>
      </c>
      <c r="J1410" s="5" t="s">
        <v>46</v>
      </c>
      <c r="K1410" s="6">
        <v>0</v>
      </c>
      <c r="L1410" s="7">
        <v>0</v>
      </c>
      <c r="M1410" s="8">
        <v>0</v>
      </c>
      <c r="N1410" s="8">
        <v>0</v>
      </c>
      <c r="O1410" s="8">
        <v>47.00268586776388</v>
      </c>
      <c r="P1410" s="8">
        <v>0</v>
      </c>
      <c r="Q1410" s="8">
        <v>0</v>
      </c>
      <c r="R1410" s="8">
        <v>0</v>
      </c>
      <c r="S1410" s="8">
        <v>0</v>
      </c>
      <c r="T1410" s="5">
        <v>0</v>
      </c>
      <c r="U1410" s="5">
        <v>0</v>
      </c>
      <c r="V1410" s="5">
        <f>VLOOKUP(A1410,Planilha1!B:E,4,0)</f>
        <v>5.8210743907543439</v>
      </c>
    </row>
    <row r="1411" spans="1:22" x14ac:dyDescent="0.3">
      <c r="A1411" t="str">
        <f t="shared" si="44"/>
        <v>MANTEIGA 5KGITAMBÉ</v>
      </c>
      <c r="B1411" t="str">
        <f t="shared" ref="B1411:B1474" si="45">F1411&amp;J1411&amp;I1411</f>
        <v>5015597MANTEIGA 5KGITAMBÉ</v>
      </c>
      <c r="C1411" s="5" t="s">
        <v>226</v>
      </c>
      <c r="D1411" s="5" t="s">
        <v>903</v>
      </c>
      <c r="E1411" s="5" t="s">
        <v>904</v>
      </c>
      <c r="F1411" s="5">
        <v>5015597</v>
      </c>
      <c r="G1411" s="5" t="s">
        <v>910</v>
      </c>
      <c r="H1411" s="5" t="s">
        <v>88</v>
      </c>
      <c r="I1411" s="5" t="s">
        <v>27</v>
      </c>
      <c r="J1411" s="5" t="s">
        <v>60</v>
      </c>
      <c r="K1411" s="6">
        <v>0</v>
      </c>
      <c r="L1411" s="7">
        <v>2495</v>
      </c>
      <c r="M1411" s="8">
        <v>1699.1666666666665</v>
      </c>
      <c r="N1411" s="8">
        <v>1745</v>
      </c>
      <c r="O1411" s="8">
        <v>1718.9427019099364</v>
      </c>
      <c r="P1411" s="8">
        <v>0</v>
      </c>
      <c r="Q1411" s="8">
        <v>0</v>
      </c>
      <c r="R1411" s="8">
        <v>0</v>
      </c>
      <c r="S1411" s="8">
        <v>1465</v>
      </c>
      <c r="T1411" s="5">
        <v>1465</v>
      </c>
      <c r="U1411" s="5">
        <v>1465</v>
      </c>
      <c r="V1411" s="5">
        <f>VLOOKUP(A1411,Planilha1!B:E,4,0)</f>
        <v>5.819800475298738</v>
      </c>
    </row>
    <row r="1412" spans="1:22" x14ac:dyDescent="0.3">
      <c r="A1412" t="str">
        <f t="shared" si="44"/>
        <v>LEITE CONDENSADOITAMBÉ</v>
      </c>
      <c r="B1412" t="str">
        <f t="shared" si="45"/>
        <v>5016719LEITE CONDENSADOITAMBÉ</v>
      </c>
      <c r="C1412" s="5" t="s">
        <v>226</v>
      </c>
      <c r="D1412" s="5" t="s">
        <v>903</v>
      </c>
      <c r="E1412" s="5" t="s">
        <v>904</v>
      </c>
      <c r="F1412" s="5">
        <v>5016719</v>
      </c>
      <c r="G1412" s="5" t="s">
        <v>911</v>
      </c>
      <c r="H1412" s="5" t="s">
        <v>113</v>
      </c>
      <c r="I1412" s="5" t="s">
        <v>27</v>
      </c>
      <c r="J1412" s="5" t="s">
        <v>33</v>
      </c>
      <c r="K1412" s="6">
        <v>0</v>
      </c>
      <c r="L1412" s="7">
        <v>775.68</v>
      </c>
      <c r="M1412" s="8">
        <v>40.4</v>
      </c>
      <c r="N1412" s="8">
        <v>0</v>
      </c>
      <c r="O1412" s="8">
        <v>1153.9792283738893</v>
      </c>
      <c r="P1412" s="8">
        <v>0</v>
      </c>
      <c r="Q1412" s="8">
        <v>0</v>
      </c>
      <c r="R1412" s="8">
        <v>0</v>
      </c>
      <c r="S1412" s="8">
        <v>0</v>
      </c>
      <c r="T1412" s="5">
        <v>0</v>
      </c>
      <c r="U1412" s="5">
        <v>0</v>
      </c>
      <c r="V1412" s="5">
        <f>VLOOKUP(A1412,Planilha1!B:E,4,0)</f>
        <v>1.4766792698630664</v>
      </c>
    </row>
    <row r="1413" spans="1:22" x14ac:dyDescent="0.3">
      <c r="A1413" t="str">
        <f t="shared" si="44"/>
        <v>CREME UHTITAMBÉ</v>
      </c>
      <c r="B1413" t="str">
        <f t="shared" si="45"/>
        <v>5016719CREME UHTITAMBÉ</v>
      </c>
      <c r="C1413" s="5" t="s">
        <v>226</v>
      </c>
      <c r="D1413" s="5" t="s">
        <v>903</v>
      </c>
      <c r="E1413" s="5" t="s">
        <v>904</v>
      </c>
      <c r="F1413" s="5">
        <v>5016719</v>
      </c>
      <c r="G1413" s="5" t="s">
        <v>911</v>
      </c>
      <c r="H1413" s="5" t="s">
        <v>113</v>
      </c>
      <c r="I1413" s="5" t="s">
        <v>27</v>
      </c>
      <c r="J1413" s="5" t="s">
        <v>34</v>
      </c>
      <c r="K1413" s="6">
        <v>0</v>
      </c>
      <c r="L1413" s="7">
        <v>727.2</v>
      </c>
      <c r="M1413" s="8">
        <v>121.19999999999999</v>
      </c>
      <c r="N1413" s="8">
        <v>0</v>
      </c>
      <c r="O1413" s="8">
        <v>910.96457359991564</v>
      </c>
      <c r="P1413" s="8">
        <v>0</v>
      </c>
      <c r="Q1413" s="8">
        <v>0</v>
      </c>
      <c r="R1413" s="8">
        <v>0</v>
      </c>
      <c r="S1413" s="8">
        <v>0</v>
      </c>
      <c r="T1413" s="5">
        <v>0</v>
      </c>
      <c r="U1413" s="5">
        <v>0</v>
      </c>
      <c r="V1413" s="5">
        <f>VLOOKUP(A1413,Planilha1!B:E,4,0)</f>
        <v>1.2362540170747773</v>
      </c>
    </row>
    <row r="1414" spans="1:22" x14ac:dyDescent="0.3">
      <c r="A1414" t="str">
        <f t="shared" si="44"/>
        <v>BLISTERITAMBÉ</v>
      </c>
      <c r="B1414" t="str">
        <f t="shared" si="45"/>
        <v>5023870BLISTERITAMBÉ</v>
      </c>
      <c r="C1414" s="5" t="s">
        <v>226</v>
      </c>
      <c r="D1414" s="5" t="s">
        <v>903</v>
      </c>
      <c r="E1414" s="5" t="s">
        <v>904</v>
      </c>
      <c r="F1414" s="5">
        <v>5023870</v>
      </c>
      <c r="G1414" s="5" t="s">
        <v>912</v>
      </c>
      <c r="H1414" s="5" t="s">
        <v>113</v>
      </c>
      <c r="I1414" s="5" t="s">
        <v>27</v>
      </c>
      <c r="J1414" s="5" t="s">
        <v>199</v>
      </c>
      <c r="K1414" s="6">
        <v>0</v>
      </c>
      <c r="L1414" s="7">
        <v>0</v>
      </c>
      <c r="M1414" s="8">
        <v>32</v>
      </c>
      <c r="N1414" s="8">
        <v>0</v>
      </c>
      <c r="O1414" s="8">
        <v>896.12802048327717</v>
      </c>
      <c r="P1414" s="8">
        <v>0</v>
      </c>
      <c r="Q1414" s="8">
        <v>0</v>
      </c>
      <c r="R1414" s="8">
        <v>0</v>
      </c>
      <c r="S1414" s="8">
        <v>0</v>
      </c>
      <c r="T1414" s="5">
        <v>0</v>
      </c>
      <c r="U1414" s="5">
        <v>0</v>
      </c>
      <c r="V1414" s="5">
        <f>VLOOKUP(A1414,Planilha1!B:E,4,0)</f>
        <v>10.339882680976428</v>
      </c>
    </row>
    <row r="1415" spans="1:22" x14ac:dyDescent="0.3">
      <c r="A1415" t="str">
        <f t="shared" si="44"/>
        <v>BLISTERLACTALIS</v>
      </c>
      <c r="B1415" t="str">
        <f t="shared" si="45"/>
        <v>5023870BLISTERLACTALIS</v>
      </c>
      <c r="C1415" s="5" t="s">
        <v>226</v>
      </c>
      <c r="D1415" s="5" t="s">
        <v>903</v>
      </c>
      <c r="E1415" s="5" t="s">
        <v>904</v>
      </c>
      <c r="F1415" s="5">
        <v>5023870</v>
      </c>
      <c r="G1415" s="5" t="s">
        <v>912</v>
      </c>
      <c r="H1415" s="5" t="s">
        <v>113</v>
      </c>
      <c r="I1415" s="5" t="s">
        <v>22</v>
      </c>
      <c r="J1415" s="5" t="s">
        <v>199</v>
      </c>
      <c r="K1415" s="6">
        <v>0</v>
      </c>
      <c r="L1415" s="7">
        <v>134.4</v>
      </c>
      <c r="M1415" s="8">
        <v>1138.3599999999999</v>
      </c>
      <c r="N1415" s="8">
        <v>1196.48</v>
      </c>
      <c r="O1415" s="8">
        <v>550.73087742446114</v>
      </c>
      <c r="P1415" s="8">
        <v>0</v>
      </c>
      <c r="Q1415" s="8">
        <v>249.6</v>
      </c>
      <c r="R1415" s="8">
        <v>0</v>
      </c>
      <c r="S1415" s="8">
        <v>953</v>
      </c>
      <c r="T1415" s="5">
        <v>953</v>
      </c>
      <c r="U1415" s="5">
        <v>1196.48</v>
      </c>
      <c r="V1415" s="5">
        <f>VLOOKUP(A1415,Planilha1!B:E,4,0)</f>
        <v>13.783871706210666</v>
      </c>
    </row>
    <row r="1416" spans="1:22" x14ac:dyDescent="0.3">
      <c r="A1416" t="str">
        <f t="shared" si="44"/>
        <v>LEITE CONDENSADOITAMBÉ</v>
      </c>
      <c r="B1416" t="str">
        <f t="shared" si="45"/>
        <v>5023870LEITE CONDENSADOITAMBÉ</v>
      </c>
      <c r="C1416" s="5" t="s">
        <v>226</v>
      </c>
      <c r="D1416" s="5" t="s">
        <v>903</v>
      </c>
      <c r="E1416" s="5" t="s">
        <v>904</v>
      </c>
      <c r="F1416" s="5">
        <v>5023870</v>
      </c>
      <c r="G1416" s="5" t="s">
        <v>912</v>
      </c>
      <c r="H1416" s="5" t="s">
        <v>113</v>
      </c>
      <c r="I1416" s="5" t="s">
        <v>27</v>
      </c>
      <c r="J1416" s="5" t="s">
        <v>33</v>
      </c>
      <c r="K1416" s="6">
        <v>0</v>
      </c>
      <c r="L1416" s="7">
        <v>0</v>
      </c>
      <c r="M1416" s="8">
        <v>347.44</v>
      </c>
      <c r="N1416" s="8">
        <v>270.66666666666669</v>
      </c>
      <c r="O1416" s="8">
        <v>203.9963280660948</v>
      </c>
      <c r="P1416" s="8">
        <v>0</v>
      </c>
      <c r="Q1416" s="8">
        <v>0</v>
      </c>
      <c r="R1416" s="8">
        <v>0</v>
      </c>
      <c r="S1416" s="8">
        <v>424</v>
      </c>
      <c r="T1416" s="5">
        <v>424</v>
      </c>
      <c r="U1416" s="5">
        <v>424</v>
      </c>
      <c r="V1416" s="5">
        <f>VLOOKUP(A1416,Planilha1!B:E,4,0)</f>
        <v>1.4766792698630664</v>
      </c>
    </row>
    <row r="1417" spans="1:22" x14ac:dyDescent="0.3">
      <c r="A1417" t="str">
        <f t="shared" si="44"/>
        <v>MANTEIGA 5KGITAMBÉ</v>
      </c>
      <c r="B1417" t="str">
        <f t="shared" si="45"/>
        <v>5023870MANTEIGA 5KGITAMBÉ</v>
      </c>
      <c r="C1417" s="5" t="s">
        <v>226</v>
      </c>
      <c r="D1417" s="5" t="s">
        <v>903</v>
      </c>
      <c r="E1417" s="5" t="s">
        <v>904</v>
      </c>
      <c r="F1417" s="5">
        <v>5023870</v>
      </c>
      <c r="G1417" s="5" t="s">
        <v>912</v>
      </c>
      <c r="H1417" s="5" t="s">
        <v>113</v>
      </c>
      <c r="I1417" s="5" t="s">
        <v>27</v>
      </c>
      <c r="J1417" s="5" t="s">
        <v>60</v>
      </c>
      <c r="K1417" s="6">
        <v>0</v>
      </c>
      <c r="L1417" s="7">
        <v>0</v>
      </c>
      <c r="M1417" s="8">
        <v>8.3333333333333339</v>
      </c>
      <c r="N1417" s="8">
        <v>0</v>
      </c>
      <c r="O1417" s="8">
        <v>12.999566681110631</v>
      </c>
      <c r="P1417" s="8">
        <v>0</v>
      </c>
      <c r="Q1417" s="8">
        <v>0</v>
      </c>
      <c r="R1417" s="8">
        <v>0</v>
      </c>
      <c r="S1417" s="8">
        <v>0</v>
      </c>
      <c r="T1417" s="5">
        <v>0</v>
      </c>
      <c r="U1417" s="5">
        <v>0</v>
      </c>
      <c r="V1417" s="5">
        <f>VLOOKUP(A1417,Planilha1!B:E,4,0)</f>
        <v>5.819800475298738</v>
      </c>
    </row>
    <row r="1418" spans="1:22" x14ac:dyDescent="0.3">
      <c r="A1418" t="str">
        <f t="shared" si="44"/>
        <v>MANTEIGA 5KGLACTALIS</v>
      </c>
      <c r="B1418" t="str">
        <f t="shared" si="45"/>
        <v>5023870MANTEIGA 5KGLACTALIS</v>
      </c>
      <c r="C1418" s="5" t="s">
        <v>226</v>
      </c>
      <c r="D1418" s="5" t="s">
        <v>903</v>
      </c>
      <c r="E1418" s="5" t="s">
        <v>904</v>
      </c>
      <c r="F1418" s="5">
        <v>5023870</v>
      </c>
      <c r="G1418" s="5" t="s">
        <v>912</v>
      </c>
      <c r="H1418" s="5" t="s">
        <v>113</v>
      </c>
      <c r="I1418" s="5" t="s">
        <v>22</v>
      </c>
      <c r="J1418" s="5" t="s">
        <v>60</v>
      </c>
      <c r="K1418" s="6">
        <v>0</v>
      </c>
      <c r="L1418" s="7">
        <v>305</v>
      </c>
      <c r="M1418" s="8">
        <v>549.99999999999989</v>
      </c>
      <c r="N1418" s="8">
        <v>533.33333333333337</v>
      </c>
      <c r="O1418" s="8">
        <v>565.17575367442396</v>
      </c>
      <c r="P1418" s="8">
        <v>0</v>
      </c>
      <c r="Q1418" s="8">
        <v>0</v>
      </c>
      <c r="R1418" s="8">
        <v>0</v>
      </c>
      <c r="S1418" s="8">
        <v>450</v>
      </c>
      <c r="T1418" s="5">
        <v>450</v>
      </c>
      <c r="U1418" s="5">
        <v>450</v>
      </c>
      <c r="V1418" s="5">
        <f>VLOOKUP(A1418,Planilha1!B:E,4,0)</f>
        <v>11.476197020267191</v>
      </c>
    </row>
    <row r="1419" spans="1:22" x14ac:dyDescent="0.3">
      <c r="A1419" t="str">
        <f t="shared" si="44"/>
        <v>LEITE CONDENSADOITAMBÉ</v>
      </c>
      <c r="B1419" t="str">
        <f t="shared" si="45"/>
        <v>5026400LEITE CONDENSADOITAMBÉ</v>
      </c>
      <c r="C1419" s="5" t="s">
        <v>226</v>
      </c>
      <c r="D1419" s="5" t="s">
        <v>903</v>
      </c>
      <c r="E1419" s="5" t="s">
        <v>904</v>
      </c>
      <c r="F1419" s="5">
        <v>5026400</v>
      </c>
      <c r="G1419" s="5" t="s">
        <v>913</v>
      </c>
      <c r="H1419" s="5" t="s">
        <v>113</v>
      </c>
      <c r="I1419" s="5" t="s">
        <v>27</v>
      </c>
      <c r="J1419" s="5" t="s">
        <v>33</v>
      </c>
      <c r="K1419" s="6">
        <v>0</v>
      </c>
      <c r="L1419" s="7">
        <v>0</v>
      </c>
      <c r="M1419" s="8">
        <v>397.94</v>
      </c>
      <c r="N1419" s="8">
        <v>432</v>
      </c>
      <c r="O1419" s="8">
        <v>417.99247613542957</v>
      </c>
      <c r="P1419" s="8">
        <v>0</v>
      </c>
      <c r="Q1419" s="8">
        <v>0</v>
      </c>
      <c r="R1419" s="8">
        <v>0</v>
      </c>
      <c r="S1419" s="8">
        <v>751</v>
      </c>
      <c r="T1419" s="5">
        <v>751</v>
      </c>
      <c r="U1419" s="5">
        <v>751</v>
      </c>
      <c r="V1419" s="5">
        <f>VLOOKUP(A1419,Planilha1!B:E,4,0)</f>
        <v>1.4766792698630664</v>
      </c>
    </row>
    <row r="1420" spans="1:22" x14ac:dyDescent="0.3">
      <c r="A1420" t="str">
        <f t="shared" si="44"/>
        <v>BLISTERLACTALIS</v>
      </c>
      <c r="B1420" t="str">
        <f t="shared" si="45"/>
        <v>5027658BLISTERLACTALIS</v>
      </c>
      <c r="C1420" s="5" t="s">
        <v>226</v>
      </c>
      <c r="D1420" s="5" t="s">
        <v>903</v>
      </c>
      <c r="E1420" s="5" t="s">
        <v>904</v>
      </c>
      <c r="F1420" s="5">
        <v>5027658</v>
      </c>
      <c r="G1420" s="5" t="s">
        <v>731</v>
      </c>
      <c r="H1420" s="5" t="s">
        <v>88</v>
      </c>
      <c r="I1420" s="5" t="s">
        <v>22</v>
      </c>
      <c r="J1420" s="5" t="s">
        <v>199</v>
      </c>
      <c r="K1420" s="6">
        <v>0</v>
      </c>
      <c r="L1420" s="7">
        <v>192</v>
      </c>
      <c r="M1420" s="8">
        <v>0</v>
      </c>
      <c r="N1420" s="8">
        <v>0</v>
      </c>
      <c r="O1420" s="8">
        <v>344.52916568976349</v>
      </c>
      <c r="P1420" s="8">
        <v>0</v>
      </c>
      <c r="Q1420" s="8">
        <v>0</v>
      </c>
      <c r="R1420" s="8">
        <v>0</v>
      </c>
      <c r="S1420" s="8">
        <v>0</v>
      </c>
      <c r="T1420" s="5">
        <v>0</v>
      </c>
      <c r="U1420" s="5">
        <v>0</v>
      </c>
      <c r="V1420" s="5">
        <f>VLOOKUP(A1420,Planilha1!B:E,4,0)</f>
        <v>13.783871706210666</v>
      </c>
    </row>
    <row r="1421" spans="1:22" x14ac:dyDescent="0.3">
      <c r="A1421" t="str">
        <f t="shared" si="44"/>
        <v>LEITE CONDENSADOITAMBÉ</v>
      </c>
      <c r="B1421" t="str">
        <f t="shared" si="45"/>
        <v>5027659LEITE CONDENSADOITAMBÉ</v>
      </c>
      <c r="C1421" s="5" t="s">
        <v>226</v>
      </c>
      <c r="D1421" s="5" t="s">
        <v>903</v>
      </c>
      <c r="E1421" s="5" t="s">
        <v>904</v>
      </c>
      <c r="F1421" s="5">
        <v>5027659</v>
      </c>
      <c r="G1421" s="5" t="s">
        <v>914</v>
      </c>
      <c r="H1421" s="5" t="s">
        <v>88</v>
      </c>
      <c r="I1421" s="5" t="s">
        <v>27</v>
      </c>
      <c r="J1421" s="5" t="s">
        <v>33</v>
      </c>
      <c r="K1421" s="6">
        <v>0</v>
      </c>
      <c r="L1421" s="7">
        <v>0</v>
      </c>
      <c r="M1421" s="8">
        <v>15.799999999999999</v>
      </c>
      <c r="N1421" s="8">
        <v>0</v>
      </c>
      <c r="O1421" s="8">
        <v>72.998686023651572</v>
      </c>
      <c r="P1421" s="8">
        <v>0</v>
      </c>
      <c r="Q1421" s="8">
        <v>0</v>
      </c>
      <c r="R1421" s="8">
        <v>0</v>
      </c>
      <c r="S1421" s="8">
        <v>0</v>
      </c>
      <c r="T1421" s="5">
        <v>0</v>
      </c>
      <c r="U1421" s="5">
        <v>0</v>
      </c>
      <c r="V1421" s="5">
        <f>VLOOKUP(A1421,Planilha1!B:E,4,0)</f>
        <v>1.4766792698630664</v>
      </c>
    </row>
    <row r="1422" spans="1:22" x14ac:dyDescent="0.3">
      <c r="A1422" t="str">
        <f t="shared" si="44"/>
        <v>CREME UHTITAMBÉ</v>
      </c>
      <c r="B1422" t="str">
        <f t="shared" si="45"/>
        <v>5027659CREME UHTITAMBÉ</v>
      </c>
      <c r="C1422" s="5" t="s">
        <v>226</v>
      </c>
      <c r="D1422" s="5" t="s">
        <v>903</v>
      </c>
      <c r="E1422" s="5" t="s">
        <v>904</v>
      </c>
      <c r="F1422" s="5">
        <v>5027659</v>
      </c>
      <c r="G1422" s="5" t="s">
        <v>914</v>
      </c>
      <c r="H1422" s="5" t="s">
        <v>88</v>
      </c>
      <c r="I1422" s="5" t="s">
        <v>27</v>
      </c>
      <c r="J1422" s="5" t="s">
        <v>34</v>
      </c>
      <c r="K1422" s="6">
        <v>0</v>
      </c>
      <c r="L1422" s="7">
        <v>0</v>
      </c>
      <c r="M1422" s="8">
        <v>18</v>
      </c>
      <c r="N1422" s="8">
        <v>0</v>
      </c>
      <c r="O1422" s="8">
        <v>171.99331137122448</v>
      </c>
      <c r="P1422" s="8">
        <v>0</v>
      </c>
      <c r="Q1422" s="8">
        <v>0</v>
      </c>
      <c r="R1422" s="8">
        <v>0</v>
      </c>
      <c r="S1422" s="8">
        <v>0</v>
      </c>
      <c r="T1422" s="5">
        <v>0</v>
      </c>
      <c r="U1422" s="5">
        <v>0</v>
      </c>
      <c r="V1422" s="5">
        <f>VLOOKUP(A1422,Planilha1!B:E,4,0)</f>
        <v>1.2362540170747773</v>
      </c>
    </row>
    <row r="1423" spans="1:22" x14ac:dyDescent="0.3">
      <c r="A1423" t="str">
        <f t="shared" si="44"/>
        <v>DOCE DE LEITEITAMBÉ</v>
      </c>
      <c r="B1423" t="str">
        <f t="shared" si="45"/>
        <v>5027659DOCE DE LEITEITAMBÉ</v>
      </c>
      <c r="C1423" s="5" t="s">
        <v>226</v>
      </c>
      <c r="D1423" s="5" t="s">
        <v>903</v>
      </c>
      <c r="E1423" s="5" t="s">
        <v>904</v>
      </c>
      <c r="F1423" s="5">
        <v>5027659</v>
      </c>
      <c r="G1423" s="5" t="s">
        <v>914</v>
      </c>
      <c r="H1423" s="5" t="s">
        <v>88</v>
      </c>
      <c r="I1423" s="5" t="s">
        <v>27</v>
      </c>
      <c r="J1423" s="5" t="s">
        <v>46</v>
      </c>
      <c r="K1423" s="6">
        <v>0</v>
      </c>
      <c r="L1423" s="7">
        <v>0</v>
      </c>
      <c r="M1423" s="8">
        <v>1.58</v>
      </c>
      <c r="N1423" s="8">
        <v>0</v>
      </c>
      <c r="O1423" s="8">
        <v>38.002171552660158</v>
      </c>
      <c r="P1423" s="8">
        <v>0</v>
      </c>
      <c r="Q1423" s="8">
        <v>0</v>
      </c>
      <c r="R1423" s="8">
        <v>0</v>
      </c>
      <c r="S1423" s="8">
        <v>0</v>
      </c>
      <c r="T1423" s="5">
        <v>0</v>
      </c>
      <c r="U1423" s="5">
        <v>0</v>
      </c>
      <c r="V1423" s="5">
        <f>VLOOKUP(A1423,Planilha1!B:E,4,0)</f>
        <v>5.8210743907543439</v>
      </c>
    </row>
    <row r="1424" spans="1:22" x14ac:dyDescent="0.3">
      <c r="A1424" t="str">
        <f t="shared" si="44"/>
        <v>LEITE CONDENSADOITAMBÉ</v>
      </c>
      <c r="B1424" t="str">
        <f t="shared" si="45"/>
        <v>5084421LEITE CONDENSADOITAMBÉ</v>
      </c>
      <c r="C1424" s="5" t="s">
        <v>226</v>
      </c>
      <c r="D1424" s="5" t="s">
        <v>903</v>
      </c>
      <c r="E1424" s="5" t="s">
        <v>904</v>
      </c>
      <c r="F1424" s="5">
        <v>5084421</v>
      </c>
      <c r="G1424" s="5" t="s">
        <v>915</v>
      </c>
      <c r="H1424" s="5" t="s">
        <v>103</v>
      </c>
      <c r="I1424" s="5" t="s">
        <v>27</v>
      </c>
      <c r="J1424" s="5" t="s">
        <v>33</v>
      </c>
      <c r="K1424" s="6">
        <v>0</v>
      </c>
      <c r="L1424" s="7">
        <v>1820</v>
      </c>
      <c r="M1424" s="8">
        <v>1685</v>
      </c>
      <c r="N1424" s="8">
        <v>830</v>
      </c>
      <c r="O1424" s="8">
        <v>2104.9621106820077</v>
      </c>
      <c r="P1424" s="8">
        <v>0</v>
      </c>
      <c r="Q1424" s="8">
        <v>0</v>
      </c>
      <c r="R1424" s="8">
        <v>0</v>
      </c>
      <c r="S1424" s="8">
        <v>830</v>
      </c>
      <c r="T1424" s="5">
        <v>830</v>
      </c>
      <c r="U1424" s="5">
        <v>830</v>
      </c>
      <c r="V1424" s="5">
        <f>VLOOKUP(A1424,Planilha1!B:E,4,0)</f>
        <v>1.4766792698630664</v>
      </c>
    </row>
    <row r="1425" spans="1:22" x14ac:dyDescent="0.3">
      <c r="A1425" t="str">
        <f t="shared" si="44"/>
        <v>LEITE CONDENSADOITAMBÉ</v>
      </c>
      <c r="B1425" t="str">
        <f t="shared" si="45"/>
        <v>5115191LEITE CONDENSADOITAMBÉ</v>
      </c>
      <c r="C1425" s="5" t="s">
        <v>226</v>
      </c>
      <c r="D1425" s="5" t="s">
        <v>903</v>
      </c>
      <c r="E1425" s="5" t="s">
        <v>904</v>
      </c>
      <c r="F1425" s="5">
        <v>5115191</v>
      </c>
      <c r="G1425" s="5" t="s">
        <v>916</v>
      </c>
      <c r="H1425" s="5" t="s">
        <v>113</v>
      </c>
      <c r="I1425" s="5" t="s">
        <v>27</v>
      </c>
      <c r="J1425" s="5" t="s">
        <v>33</v>
      </c>
      <c r="K1425" s="6">
        <v>0</v>
      </c>
      <c r="L1425" s="7">
        <v>860</v>
      </c>
      <c r="M1425" s="8">
        <v>416.66666666666663</v>
      </c>
      <c r="N1425" s="8">
        <v>0</v>
      </c>
      <c r="O1425" s="8">
        <v>766.98619424850358</v>
      </c>
      <c r="P1425" s="8">
        <v>0</v>
      </c>
      <c r="Q1425" s="8">
        <v>0</v>
      </c>
      <c r="R1425" s="8">
        <v>0</v>
      </c>
      <c r="S1425" s="8">
        <v>0</v>
      </c>
      <c r="T1425" s="5">
        <v>0</v>
      </c>
      <c r="U1425" s="5">
        <v>0</v>
      </c>
      <c r="V1425" s="5">
        <f>VLOOKUP(A1425,Planilha1!B:E,4,0)</f>
        <v>1.4766792698630664</v>
      </c>
    </row>
    <row r="1426" spans="1:22" x14ac:dyDescent="0.3">
      <c r="A1426" t="str">
        <f t="shared" si="44"/>
        <v>LEITE CONDENSADOITAMBÉ</v>
      </c>
      <c r="B1426" t="str">
        <f t="shared" si="45"/>
        <v>5142828LEITE CONDENSADOITAMBÉ</v>
      </c>
      <c r="C1426" s="5" t="s">
        <v>226</v>
      </c>
      <c r="D1426" s="5" t="s">
        <v>903</v>
      </c>
      <c r="E1426" s="5" t="s">
        <v>904</v>
      </c>
      <c r="F1426" s="5">
        <v>5142828</v>
      </c>
      <c r="G1426" s="5" t="s">
        <v>917</v>
      </c>
      <c r="H1426" s="5" t="s">
        <v>113</v>
      </c>
      <c r="I1426" s="5" t="s">
        <v>27</v>
      </c>
      <c r="J1426" s="5" t="s">
        <v>33</v>
      </c>
      <c r="K1426" s="6">
        <v>0</v>
      </c>
      <c r="L1426" s="7">
        <v>0</v>
      </c>
      <c r="M1426" s="8">
        <v>66.666666666666671</v>
      </c>
      <c r="N1426" s="8">
        <v>66.666666666666671</v>
      </c>
      <c r="O1426" s="8">
        <v>114.99793003725934</v>
      </c>
      <c r="P1426" s="8">
        <v>0</v>
      </c>
      <c r="Q1426" s="8">
        <v>0</v>
      </c>
      <c r="R1426" s="8">
        <v>0</v>
      </c>
      <c r="S1426" s="8">
        <v>66.666666666666671</v>
      </c>
      <c r="T1426" s="5">
        <v>66.666666666666671</v>
      </c>
      <c r="U1426" s="5">
        <v>66.666666666666671</v>
      </c>
      <c r="V1426" s="5">
        <f>VLOOKUP(A1426,Planilha1!B:E,4,0)</f>
        <v>1.4766792698630664</v>
      </c>
    </row>
    <row r="1427" spans="1:22" x14ac:dyDescent="0.3">
      <c r="A1427" t="str">
        <f t="shared" si="44"/>
        <v>DOCE DE LEITEITAMBÉ</v>
      </c>
      <c r="B1427" t="str">
        <f t="shared" si="45"/>
        <v>5142828DOCE DE LEITEITAMBÉ</v>
      </c>
      <c r="C1427" s="5" t="s">
        <v>226</v>
      </c>
      <c r="D1427" s="5" t="s">
        <v>903</v>
      </c>
      <c r="E1427" s="5" t="s">
        <v>904</v>
      </c>
      <c r="F1427" s="5">
        <v>5142828</v>
      </c>
      <c r="G1427" s="5" t="s">
        <v>917</v>
      </c>
      <c r="H1427" s="5" t="s">
        <v>113</v>
      </c>
      <c r="I1427" s="5" t="s">
        <v>27</v>
      </c>
      <c r="J1427" s="5" t="s">
        <v>46</v>
      </c>
      <c r="K1427" s="6">
        <v>0</v>
      </c>
      <c r="L1427" s="7">
        <v>0</v>
      </c>
      <c r="M1427" s="8">
        <v>40</v>
      </c>
      <c r="N1427" s="8">
        <v>53.333333333333336</v>
      </c>
      <c r="O1427" s="8">
        <v>131.00748614206529</v>
      </c>
      <c r="P1427" s="8">
        <v>0</v>
      </c>
      <c r="Q1427" s="8">
        <v>0</v>
      </c>
      <c r="R1427" s="8">
        <v>0</v>
      </c>
      <c r="S1427" s="8">
        <v>53.333333333333336</v>
      </c>
      <c r="T1427" s="5">
        <v>53.333333333333336</v>
      </c>
      <c r="U1427" s="5">
        <v>53.333333333333336</v>
      </c>
      <c r="V1427" s="5">
        <f>VLOOKUP(A1427,Planilha1!B:E,4,0)</f>
        <v>5.8210743907543439</v>
      </c>
    </row>
    <row r="1428" spans="1:22" x14ac:dyDescent="0.3">
      <c r="A1428" t="str">
        <f t="shared" si="44"/>
        <v>LEITE CONDENSADOITAMBÉ</v>
      </c>
      <c r="B1428" t="str">
        <f t="shared" si="45"/>
        <v>5147016LEITE CONDENSADOITAMBÉ</v>
      </c>
      <c r="C1428" s="5" t="s">
        <v>226</v>
      </c>
      <c r="D1428" s="5" t="s">
        <v>903</v>
      </c>
      <c r="E1428" s="5" t="s">
        <v>904</v>
      </c>
      <c r="F1428" s="5">
        <v>5147016</v>
      </c>
      <c r="G1428" s="5" t="s">
        <v>918</v>
      </c>
      <c r="H1428" s="5" t="s">
        <v>113</v>
      </c>
      <c r="I1428" s="5" t="s">
        <v>27</v>
      </c>
      <c r="J1428" s="5" t="s">
        <v>33</v>
      </c>
      <c r="K1428" s="6">
        <v>0</v>
      </c>
      <c r="L1428" s="7">
        <v>0</v>
      </c>
      <c r="M1428" s="8">
        <v>1007.5666666666666</v>
      </c>
      <c r="N1428" s="8">
        <v>1348.3333333333335</v>
      </c>
      <c r="O1428" s="8">
        <v>1673.9698685423664</v>
      </c>
      <c r="P1428" s="8">
        <v>0</v>
      </c>
      <c r="Q1428" s="8">
        <v>1000</v>
      </c>
      <c r="R1428" s="8">
        <v>0</v>
      </c>
      <c r="S1428" s="8">
        <v>0</v>
      </c>
      <c r="T1428" s="5">
        <v>0</v>
      </c>
      <c r="U1428" s="5">
        <v>1348.3333333333335</v>
      </c>
      <c r="V1428" s="5">
        <f>VLOOKUP(A1428,Planilha1!B:E,4,0)</f>
        <v>1.4766792698630664</v>
      </c>
    </row>
    <row r="1429" spans="1:22" x14ac:dyDescent="0.3">
      <c r="A1429" t="str">
        <f t="shared" si="44"/>
        <v>CREME UHTITAMBÉ</v>
      </c>
      <c r="B1429" t="str">
        <f t="shared" si="45"/>
        <v>5147016CREME UHTITAMBÉ</v>
      </c>
      <c r="C1429" s="5" t="s">
        <v>226</v>
      </c>
      <c r="D1429" s="5" t="s">
        <v>903</v>
      </c>
      <c r="E1429" s="5" t="s">
        <v>904</v>
      </c>
      <c r="F1429" s="5">
        <v>5147016</v>
      </c>
      <c r="G1429" s="5" t="s">
        <v>918</v>
      </c>
      <c r="H1429" s="5" t="s">
        <v>113</v>
      </c>
      <c r="I1429" s="5" t="s">
        <v>27</v>
      </c>
      <c r="J1429" s="5" t="s">
        <v>34</v>
      </c>
      <c r="K1429" s="6">
        <v>0</v>
      </c>
      <c r="L1429" s="7">
        <v>0</v>
      </c>
      <c r="M1429" s="8">
        <v>618.20000000000005</v>
      </c>
      <c r="N1429" s="8">
        <v>707.66666666666663</v>
      </c>
      <c r="O1429" s="8">
        <v>1256.9511185676115</v>
      </c>
      <c r="P1429" s="8">
        <v>0</v>
      </c>
      <c r="Q1429" s="8">
        <v>0</v>
      </c>
      <c r="R1429" s="8">
        <v>0</v>
      </c>
      <c r="S1429" s="8">
        <v>707.66666666666663</v>
      </c>
      <c r="T1429" s="5">
        <v>707.66666666666663</v>
      </c>
      <c r="U1429" s="5">
        <v>707.66666666666663</v>
      </c>
      <c r="V1429" s="5">
        <f>VLOOKUP(A1429,Planilha1!B:E,4,0)</f>
        <v>1.2362540170747773</v>
      </c>
    </row>
    <row r="1430" spans="1:22" x14ac:dyDescent="0.3">
      <c r="A1430" t="str">
        <f t="shared" si="44"/>
        <v>BLISTERLACTALIS</v>
      </c>
      <c r="B1430" t="str">
        <f t="shared" si="45"/>
        <v>5162285BLISTERLACTALIS</v>
      </c>
      <c r="C1430" s="5" t="s">
        <v>226</v>
      </c>
      <c r="D1430" s="5" t="s">
        <v>903</v>
      </c>
      <c r="E1430" s="5" t="s">
        <v>904</v>
      </c>
      <c r="F1430" s="5">
        <v>5162285</v>
      </c>
      <c r="G1430" s="5" t="s">
        <v>919</v>
      </c>
      <c r="H1430" s="5" t="s">
        <v>113</v>
      </c>
      <c r="I1430" s="5" t="s">
        <v>22</v>
      </c>
      <c r="J1430" s="5" t="s">
        <v>199</v>
      </c>
      <c r="K1430" s="6">
        <v>0</v>
      </c>
      <c r="L1430" s="7">
        <v>192</v>
      </c>
      <c r="M1430" s="8">
        <v>597.83999999999992</v>
      </c>
      <c r="N1430" s="8">
        <v>511.6</v>
      </c>
      <c r="O1430" s="8">
        <v>426.67732792381753</v>
      </c>
      <c r="P1430" s="8">
        <v>0</v>
      </c>
      <c r="Q1430" s="8">
        <v>572.4</v>
      </c>
      <c r="R1430" s="8">
        <v>0</v>
      </c>
      <c r="S1430" s="8">
        <v>278</v>
      </c>
      <c r="T1430" s="5">
        <v>278</v>
      </c>
      <c r="U1430" s="5">
        <v>511.6</v>
      </c>
      <c r="V1430" s="5">
        <f>VLOOKUP(A1430,Planilha1!B:E,4,0)</f>
        <v>13.783871706210666</v>
      </c>
    </row>
    <row r="1431" spans="1:22" x14ac:dyDescent="0.3">
      <c r="A1431" t="str">
        <f t="shared" si="44"/>
        <v>COMPOSTOITAMBÉ</v>
      </c>
      <c r="B1431" t="str">
        <f t="shared" si="45"/>
        <v>5166328COMPOSTOITAMBÉ</v>
      </c>
      <c r="C1431" s="5" t="s">
        <v>226</v>
      </c>
      <c r="D1431" s="5" t="s">
        <v>903</v>
      </c>
      <c r="E1431" s="5" t="s">
        <v>904</v>
      </c>
      <c r="F1431" s="5">
        <v>5166328</v>
      </c>
      <c r="G1431" s="5" t="s">
        <v>920</v>
      </c>
      <c r="H1431" s="5" t="s">
        <v>113</v>
      </c>
      <c r="I1431" s="5" t="s">
        <v>27</v>
      </c>
      <c r="J1431" s="5" t="s">
        <v>26</v>
      </c>
      <c r="K1431" s="6">
        <v>0</v>
      </c>
      <c r="L1431" s="7">
        <v>500</v>
      </c>
      <c r="M1431" s="8">
        <v>0</v>
      </c>
      <c r="N1431" s="8">
        <v>0</v>
      </c>
      <c r="O1431" s="8">
        <v>217.01012713926653</v>
      </c>
      <c r="P1431" s="8">
        <v>0</v>
      </c>
      <c r="Q1431" s="8">
        <v>0</v>
      </c>
      <c r="R1431" s="8">
        <v>0</v>
      </c>
      <c r="S1431" s="8">
        <v>0</v>
      </c>
      <c r="T1431" s="5">
        <v>0</v>
      </c>
      <c r="U1431" s="5">
        <v>0</v>
      </c>
      <c r="V1431" s="5">
        <f>VLOOKUP(A1431,Planilha1!B:E,4,0)</f>
        <v>0.15618217875936719</v>
      </c>
    </row>
    <row r="1432" spans="1:22" x14ac:dyDescent="0.3">
      <c r="A1432" t="str">
        <f t="shared" si="44"/>
        <v>COMPOSTOITAMBÉ</v>
      </c>
      <c r="B1432" t="str">
        <f t="shared" si="45"/>
        <v>5167088COMPOSTOITAMBÉ</v>
      </c>
      <c r="C1432" s="5" t="s">
        <v>226</v>
      </c>
      <c r="D1432" s="5" t="s">
        <v>903</v>
      </c>
      <c r="E1432" s="5" t="s">
        <v>904</v>
      </c>
      <c r="F1432" s="5">
        <v>5167088</v>
      </c>
      <c r="G1432" s="5" t="s">
        <v>921</v>
      </c>
      <c r="H1432" s="5" t="s">
        <v>113</v>
      </c>
      <c r="I1432" s="5" t="s">
        <v>27</v>
      </c>
      <c r="J1432" s="5" t="s">
        <v>26</v>
      </c>
      <c r="K1432" s="6">
        <v>0</v>
      </c>
      <c r="L1432" s="7">
        <v>500</v>
      </c>
      <c r="M1432" s="8">
        <v>250</v>
      </c>
      <c r="N1432" s="8">
        <v>166.66666666666666</v>
      </c>
      <c r="O1432" s="8">
        <v>1128.0526424566481</v>
      </c>
      <c r="P1432" s="8">
        <v>0</v>
      </c>
      <c r="Q1432" s="8">
        <v>0</v>
      </c>
      <c r="R1432" s="8">
        <v>0</v>
      </c>
      <c r="S1432" s="8">
        <v>1000</v>
      </c>
      <c r="T1432" s="5">
        <v>1000</v>
      </c>
      <c r="U1432" s="5">
        <v>1000</v>
      </c>
      <c r="V1432" s="5">
        <f>VLOOKUP(A1432,Planilha1!B:E,4,0)</f>
        <v>0.15618217875936719</v>
      </c>
    </row>
    <row r="1433" spans="1:22" x14ac:dyDescent="0.3">
      <c r="A1433" t="str">
        <f t="shared" si="44"/>
        <v>BLISTERLACTALIS</v>
      </c>
      <c r="B1433" t="str">
        <f t="shared" si="45"/>
        <v>5173494BLISTERLACTALIS</v>
      </c>
      <c r="C1433" s="5" t="s">
        <v>226</v>
      </c>
      <c r="D1433" s="5" t="s">
        <v>903</v>
      </c>
      <c r="E1433" s="5" t="s">
        <v>904</v>
      </c>
      <c r="F1433" s="5">
        <v>5173494</v>
      </c>
      <c r="G1433" s="5" t="s">
        <v>922</v>
      </c>
      <c r="H1433" s="5" t="s">
        <v>113</v>
      </c>
      <c r="I1433" s="5" t="s">
        <v>22</v>
      </c>
      <c r="J1433" s="5" t="s">
        <v>199</v>
      </c>
      <c r="K1433" s="6">
        <v>0</v>
      </c>
      <c r="L1433" s="7">
        <v>722.88</v>
      </c>
      <c r="M1433" s="8">
        <v>617.76</v>
      </c>
      <c r="N1433" s="8">
        <v>548.48</v>
      </c>
      <c r="O1433" s="8">
        <v>624.79269802186036</v>
      </c>
      <c r="P1433" s="8">
        <v>0</v>
      </c>
      <c r="Q1433" s="8">
        <v>80.64</v>
      </c>
      <c r="R1433" s="8">
        <v>0</v>
      </c>
      <c r="S1433" s="8">
        <v>678.24</v>
      </c>
      <c r="T1433" s="5">
        <v>678.24</v>
      </c>
      <c r="U1433" s="5">
        <v>598</v>
      </c>
      <c r="V1433" s="5">
        <f>VLOOKUP(A1433,Planilha1!B:E,4,0)</f>
        <v>13.783871706210666</v>
      </c>
    </row>
    <row r="1434" spans="1:22" x14ac:dyDescent="0.3">
      <c r="A1434" t="str">
        <f t="shared" si="44"/>
        <v>PARMESÃOLACTALIS</v>
      </c>
      <c r="B1434" t="str">
        <f t="shared" si="45"/>
        <v>5173494PARMESÃOLACTALIS</v>
      </c>
      <c r="C1434" s="5" t="s">
        <v>226</v>
      </c>
      <c r="D1434" s="5" t="s">
        <v>903</v>
      </c>
      <c r="E1434" s="5" t="s">
        <v>904</v>
      </c>
      <c r="F1434" s="5">
        <v>5173494</v>
      </c>
      <c r="G1434" s="5" t="s">
        <v>922</v>
      </c>
      <c r="H1434" s="5" t="s">
        <v>113</v>
      </c>
      <c r="I1434" s="5" t="s">
        <v>22</v>
      </c>
      <c r="J1434" s="5" t="s">
        <v>195</v>
      </c>
      <c r="K1434" s="6">
        <v>0</v>
      </c>
      <c r="L1434" s="7">
        <v>0</v>
      </c>
      <c r="M1434" s="8">
        <v>101.2175</v>
      </c>
      <c r="N1434" s="8">
        <v>0</v>
      </c>
      <c r="O1434" s="8">
        <v>935.31561399775671</v>
      </c>
      <c r="P1434" s="8">
        <v>0</v>
      </c>
      <c r="Q1434" s="8">
        <v>0</v>
      </c>
      <c r="R1434" s="8">
        <v>0</v>
      </c>
      <c r="S1434" s="8">
        <v>0</v>
      </c>
      <c r="T1434" s="5">
        <v>0</v>
      </c>
      <c r="U1434" s="5">
        <v>0</v>
      </c>
      <c r="V1434" s="5">
        <f>VLOOKUP(A1434,Planilha1!B:E,4,0)</f>
        <v>6.310326960724681</v>
      </c>
    </row>
    <row r="1435" spans="1:22" x14ac:dyDescent="0.3">
      <c r="A1435" t="str">
        <f t="shared" si="44"/>
        <v>COMPOSTOITAMBÉ</v>
      </c>
      <c r="B1435" t="str">
        <f t="shared" si="45"/>
        <v>5198979COMPOSTOITAMBÉ</v>
      </c>
      <c r="C1435" s="5" t="s">
        <v>226</v>
      </c>
      <c r="D1435" s="5" t="s">
        <v>903</v>
      </c>
      <c r="E1435" s="5" t="s">
        <v>904</v>
      </c>
      <c r="F1435" s="5">
        <v>5198979</v>
      </c>
      <c r="G1435" s="5" t="s">
        <v>923</v>
      </c>
      <c r="H1435" s="5" t="s">
        <v>113</v>
      </c>
      <c r="I1435" s="5" t="s">
        <v>27</v>
      </c>
      <c r="J1435" s="5" t="s">
        <v>26</v>
      </c>
      <c r="K1435" s="6">
        <v>0</v>
      </c>
      <c r="L1435" s="7">
        <v>-75</v>
      </c>
      <c r="M1435" s="8">
        <v>549.99999999999989</v>
      </c>
      <c r="N1435" s="8">
        <v>-16.666666666666668</v>
      </c>
      <c r="O1435" s="8">
        <v>2234.1042581987163</v>
      </c>
      <c r="P1435" s="8">
        <v>0</v>
      </c>
      <c r="Q1435" s="8">
        <v>0</v>
      </c>
      <c r="R1435" s="8">
        <v>0</v>
      </c>
      <c r="S1435" s="8">
        <v>-16.666666666666668</v>
      </c>
      <c r="T1435" s="5">
        <v>-16.666666666666668</v>
      </c>
      <c r="U1435" s="5">
        <v>-16.666666666666668</v>
      </c>
      <c r="V1435" s="5">
        <f>VLOOKUP(A1435,Planilha1!B:E,4,0)</f>
        <v>0.15618217875936719</v>
      </c>
    </row>
    <row r="1436" spans="1:22" x14ac:dyDescent="0.3">
      <c r="A1436" t="str">
        <f t="shared" si="44"/>
        <v>LEITE CONDENSADOITAMBÉ</v>
      </c>
      <c r="B1436" t="str">
        <f t="shared" si="45"/>
        <v>5198979LEITE CONDENSADOITAMBÉ</v>
      </c>
      <c r="C1436" s="5" t="s">
        <v>226</v>
      </c>
      <c r="D1436" s="5" t="s">
        <v>903</v>
      </c>
      <c r="E1436" s="5" t="s">
        <v>904</v>
      </c>
      <c r="F1436" s="5">
        <v>5198979</v>
      </c>
      <c r="G1436" s="5" t="s">
        <v>923</v>
      </c>
      <c r="H1436" s="5" t="s">
        <v>113</v>
      </c>
      <c r="I1436" s="5" t="s">
        <v>27</v>
      </c>
      <c r="J1436" s="5" t="s">
        <v>33</v>
      </c>
      <c r="K1436" s="6">
        <v>0</v>
      </c>
      <c r="L1436" s="7">
        <v>610</v>
      </c>
      <c r="M1436" s="8">
        <v>24.233333333333327</v>
      </c>
      <c r="N1436" s="8">
        <v>147.33333333333334</v>
      </c>
      <c r="O1436" s="8">
        <v>652.98824621156825</v>
      </c>
      <c r="P1436" s="8">
        <v>0</v>
      </c>
      <c r="Q1436" s="8">
        <v>0</v>
      </c>
      <c r="R1436" s="8">
        <v>0</v>
      </c>
      <c r="S1436" s="8">
        <v>242</v>
      </c>
      <c r="T1436" s="5">
        <v>242</v>
      </c>
      <c r="U1436" s="5">
        <v>242</v>
      </c>
      <c r="V1436" s="5">
        <f>VLOOKUP(A1436,Planilha1!B:E,4,0)</f>
        <v>1.4766792698630664</v>
      </c>
    </row>
    <row r="1437" spans="1:22" x14ac:dyDescent="0.3">
      <c r="A1437" t="str">
        <f t="shared" si="44"/>
        <v>CREME UHTITAMBÉ</v>
      </c>
      <c r="B1437" t="str">
        <f t="shared" si="45"/>
        <v>5198979CREME UHTITAMBÉ</v>
      </c>
      <c r="C1437" s="5" t="s">
        <v>226</v>
      </c>
      <c r="D1437" s="5" t="s">
        <v>903</v>
      </c>
      <c r="E1437" s="5" t="s">
        <v>904</v>
      </c>
      <c r="F1437" s="5">
        <v>5198979</v>
      </c>
      <c r="G1437" s="5" t="s">
        <v>923</v>
      </c>
      <c r="H1437" s="5" t="s">
        <v>113</v>
      </c>
      <c r="I1437" s="5" t="s">
        <v>27</v>
      </c>
      <c r="J1437" s="5" t="s">
        <v>34</v>
      </c>
      <c r="K1437" s="6">
        <v>0</v>
      </c>
      <c r="L1437" s="7">
        <v>290.88</v>
      </c>
      <c r="M1437" s="8">
        <v>0</v>
      </c>
      <c r="N1437" s="8">
        <v>0</v>
      </c>
      <c r="O1437" s="8">
        <v>90.996461248729233</v>
      </c>
      <c r="P1437" s="8">
        <v>0</v>
      </c>
      <c r="Q1437" s="8">
        <v>0</v>
      </c>
      <c r="R1437" s="8">
        <v>0</v>
      </c>
      <c r="S1437" s="8">
        <v>121</v>
      </c>
      <c r="T1437" s="5">
        <v>121</v>
      </c>
      <c r="U1437" s="5">
        <v>121</v>
      </c>
      <c r="V1437" s="5">
        <f>VLOOKUP(A1437,Planilha1!B:E,4,0)</f>
        <v>1.2362540170747773</v>
      </c>
    </row>
    <row r="1438" spans="1:22" x14ac:dyDescent="0.3">
      <c r="A1438" t="str">
        <f t="shared" si="44"/>
        <v>DOCE DE LEITEITAMBÉ</v>
      </c>
      <c r="B1438" t="str">
        <f t="shared" si="45"/>
        <v>5198979DOCE DE LEITEITAMBÉ</v>
      </c>
      <c r="C1438" s="5" t="s">
        <v>226</v>
      </c>
      <c r="D1438" s="5" t="s">
        <v>903</v>
      </c>
      <c r="E1438" s="5" t="s">
        <v>904</v>
      </c>
      <c r="F1438" s="5">
        <v>5198979</v>
      </c>
      <c r="G1438" s="5" t="s">
        <v>923</v>
      </c>
      <c r="H1438" s="5" t="s">
        <v>113</v>
      </c>
      <c r="I1438" s="5" t="s">
        <v>27</v>
      </c>
      <c r="J1438" s="5" t="s">
        <v>46</v>
      </c>
      <c r="K1438" s="6">
        <v>0</v>
      </c>
      <c r="L1438" s="7">
        <v>0</v>
      </c>
      <c r="M1438" s="8">
        <v>0</v>
      </c>
      <c r="N1438" s="8">
        <v>0</v>
      </c>
      <c r="O1438" s="8">
        <v>595.0340019429683</v>
      </c>
      <c r="P1438" s="8">
        <v>0</v>
      </c>
      <c r="Q1438" s="8">
        <v>0</v>
      </c>
      <c r="R1438" s="8">
        <v>0</v>
      </c>
      <c r="S1438" s="8">
        <v>300</v>
      </c>
      <c r="T1438" s="5">
        <v>300</v>
      </c>
      <c r="U1438" s="5">
        <v>300</v>
      </c>
      <c r="V1438" s="5">
        <f>VLOOKUP(A1438,Planilha1!B:E,4,0)</f>
        <v>5.8210743907543439</v>
      </c>
    </row>
    <row r="1439" spans="1:22" x14ac:dyDescent="0.3">
      <c r="A1439" t="str">
        <f t="shared" si="44"/>
        <v>BLISTERITAMBÉ</v>
      </c>
      <c r="B1439" t="str">
        <f t="shared" si="45"/>
        <v>5199893BLISTERITAMBÉ</v>
      </c>
      <c r="C1439" s="5" t="s">
        <v>226</v>
      </c>
      <c r="D1439" s="5" t="s">
        <v>903</v>
      </c>
      <c r="E1439" s="5" t="s">
        <v>904</v>
      </c>
      <c r="F1439" s="5">
        <v>5199893</v>
      </c>
      <c r="G1439" s="5" t="s">
        <v>924</v>
      </c>
      <c r="H1439" s="5" t="s">
        <v>88</v>
      </c>
      <c r="I1439" s="5" t="s">
        <v>27</v>
      </c>
      <c r="J1439" s="5" t="s">
        <v>199</v>
      </c>
      <c r="K1439" s="6">
        <v>0</v>
      </c>
      <c r="L1439" s="7">
        <v>124.8</v>
      </c>
      <c r="M1439" s="8">
        <v>237.76</v>
      </c>
      <c r="N1439" s="8">
        <v>347.66666666666669</v>
      </c>
      <c r="O1439" s="8">
        <v>358.05115104130942</v>
      </c>
      <c r="P1439" s="8">
        <v>0</v>
      </c>
      <c r="Q1439" s="8">
        <v>0</v>
      </c>
      <c r="R1439" s="8">
        <v>0</v>
      </c>
      <c r="S1439" s="8">
        <v>347.66666666666669</v>
      </c>
      <c r="T1439" s="5">
        <v>347.66666666666669</v>
      </c>
      <c r="U1439" s="5">
        <v>347.66666666666669</v>
      </c>
      <c r="V1439" s="5">
        <f>VLOOKUP(A1439,Planilha1!B:E,4,0)</f>
        <v>10.339882680976428</v>
      </c>
    </row>
    <row r="1440" spans="1:22" x14ac:dyDescent="0.3">
      <c r="A1440" t="str">
        <f t="shared" si="44"/>
        <v>BLISTERLACTALIS</v>
      </c>
      <c r="B1440" t="str">
        <f t="shared" si="45"/>
        <v>5199893BLISTERLACTALIS</v>
      </c>
      <c r="C1440" s="5" t="s">
        <v>226</v>
      </c>
      <c r="D1440" s="5" t="s">
        <v>903</v>
      </c>
      <c r="E1440" s="5" t="s">
        <v>904</v>
      </c>
      <c r="F1440" s="5">
        <v>5199893</v>
      </c>
      <c r="G1440" s="5" t="s">
        <v>924</v>
      </c>
      <c r="H1440" s="5" t="s">
        <v>88</v>
      </c>
      <c r="I1440" s="5" t="s">
        <v>22</v>
      </c>
      <c r="J1440" s="5" t="s">
        <v>199</v>
      </c>
      <c r="K1440" s="6">
        <v>0</v>
      </c>
      <c r="L1440" s="7">
        <v>406.8</v>
      </c>
      <c r="M1440" s="8">
        <v>428.08000000000004</v>
      </c>
      <c r="N1440" s="8">
        <v>415.36</v>
      </c>
      <c r="O1440" s="8">
        <v>153.14926473533617</v>
      </c>
      <c r="P1440" s="8">
        <v>0</v>
      </c>
      <c r="Q1440" s="8">
        <v>204</v>
      </c>
      <c r="R1440" s="8">
        <v>0</v>
      </c>
      <c r="S1440" s="8">
        <v>415.36</v>
      </c>
      <c r="T1440" s="5">
        <v>415.36</v>
      </c>
      <c r="U1440" s="5">
        <v>415.36</v>
      </c>
      <c r="V1440" s="5">
        <f>VLOOKUP(A1440,Planilha1!B:E,4,0)</f>
        <v>13.783871706210666</v>
      </c>
    </row>
    <row r="1441" spans="1:22" x14ac:dyDescent="0.3">
      <c r="A1441" t="str">
        <f t="shared" si="44"/>
        <v>BLISTERLACTALIS</v>
      </c>
      <c r="B1441" t="str">
        <f t="shared" si="45"/>
        <v>5214053BLISTERLACTALIS</v>
      </c>
      <c r="C1441" s="5" t="s">
        <v>226</v>
      </c>
      <c r="D1441" s="5" t="s">
        <v>903</v>
      </c>
      <c r="E1441" s="5" t="s">
        <v>904</v>
      </c>
      <c r="F1441" s="5">
        <v>5214053</v>
      </c>
      <c r="G1441" s="5" t="s">
        <v>925</v>
      </c>
      <c r="H1441" s="5" t="s">
        <v>88</v>
      </c>
      <c r="I1441" s="5" t="s">
        <v>22</v>
      </c>
      <c r="J1441" s="5" t="s">
        <v>199</v>
      </c>
      <c r="K1441" s="6">
        <v>0</v>
      </c>
      <c r="L1441" s="7">
        <v>0</v>
      </c>
      <c r="M1441" s="8">
        <v>72.639999999999986</v>
      </c>
      <c r="N1441" s="8">
        <v>68.48</v>
      </c>
      <c r="O1441" s="8">
        <v>43.067326543819249</v>
      </c>
      <c r="P1441" s="8">
        <v>0</v>
      </c>
      <c r="Q1441" s="8">
        <v>0</v>
      </c>
      <c r="R1441" s="8">
        <v>0</v>
      </c>
      <c r="S1441" s="8">
        <v>192</v>
      </c>
      <c r="T1441" s="5">
        <v>192</v>
      </c>
      <c r="U1441" s="5">
        <v>192</v>
      </c>
      <c r="V1441" s="5">
        <f>VLOOKUP(A1441,Planilha1!B:E,4,0)</f>
        <v>13.783871706210666</v>
      </c>
    </row>
    <row r="1442" spans="1:22" x14ac:dyDescent="0.3">
      <c r="A1442" t="str">
        <f t="shared" si="44"/>
        <v>LEITE CONDENSADOITAMBÉ</v>
      </c>
      <c r="B1442" t="str">
        <f t="shared" si="45"/>
        <v>5216067LEITE CONDENSADOITAMBÉ</v>
      </c>
      <c r="C1442" s="5" t="s">
        <v>226</v>
      </c>
      <c r="D1442" s="5" t="s">
        <v>903</v>
      </c>
      <c r="E1442" s="5" t="s">
        <v>904</v>
      </c>
      <c r="F1442" s="5">
        <v>5216067</v>
      </c>
      <c r="G1442" s="5" t="s">
        <v>926</v>
      </c>
      <c r="H1442" s="5" t="s">
        <v>113</v>
      </c>
      <c r="I1442" s="5" t="s">
        <v>27</v>
      </c>
      <c r="J1442" s="5" t="s">
        <v>33</v>
      </c>
      <c r="K1442" s="6">
        <v>0</v>
      </c>
      <c r="L1442" s="7">
        <v>186.36</v>
      </c>
      <c r="M1442" s="8">
        <v>35.800000000000004</v>
      </c>
      <c r="N1442" s="8">
        <v>0</v>
      </c>
      <c r="O1442" s="8">
        <v>71.998704023327591</v>
      </c>
      <c r="P1442" s="8">
        <v>0</v>
      </c>
      <c r="Q1442" s="8">
        <v>0</v>
      </c>
      <c r="R1442" s="8">
        <v>0</v>
      </c>
      <c r="S1442" s="8">
        <v>0</v>
      </c>
      <c r="T1442" s="5">
        <v>0</v>
      </c>
      <c r="U1442" s="5">
        <v>0</v>
      </c>
      <c r="V1442" s="5">
        <f>VLOOKUP(A1442,Planilha1!B:E,4,0)</f>
        <v>1.4766792698630664</v>
      </c>
    </row>
    <row r="1443" spans="1:22" x14ac:dyDescent="0.3">
      <c r="A1443" t="str">
        <f t="shared" si="44"/>
        <v>COMPOSTOITAMBÉ</v>
      </c>
      <c r="B1443" t="str">
        <f t="shared" si="45"/>
        <v>5219839COMPOSTOITAMBÉ</v>
      </c>
      <c r="C1443" s="5" t="s">
        <v>226</v>
      </c>
      <c r="D1443" s="5" t="s">
        <v>903</v>
      </c>
      <c r="E1443" s="5" t="s">
        <v>904</v>
      </c>
      <c r="F1443" s="5">
        <v>5219839</v>
      </c>
      <c r="G1443" s="5" t="s">
        <v>927</v>
      </c>
      <c r="H1443" s="5" t="s">
        <v>103</v>
      </c>
      <c r="I1443" s="5" t="s">
        <v>27</v>
      </c>
      <c r="J1443" s="5" t="s">
        <v>26</v>
      </c>
      <c r="K1443" s="6">
        <v>0</v>
      </c>
      <c r="L1443" s="7">
        <v>3</v>
      </c>
      <c r="M1443" s="8">
        <v>16.666666666666668</v>
      </c>
      <c r="N1443" s="8">
        <v>16.666666666666668</v>
      </c>
      <c r="O1443" s="8">
        <v>43.002006760315489</v>
      </c>
      <c r="P1443" s="8">
        <v>0</v>
      </c>
      <c r="Q1443" s="8">
        <v>0</v>
      </c>
      <c r="R1443" s="8">
        <v>0</v>
      </c>
      <c r="S1443" s="8">
        <v>16.666666666666668</v>
      </c>
      <c r="T1443" s="5">
        <v>16.666666666666668</v>
      </c>
      <c r="U1443" s="5">
        <v>16.666666666666668</v>
      </c>
      <c r="V1443" s="5">
        <f>VLOOKUP(A1443,Planilha1!B:E,4,0)</f>
        <v>0.15618217875936719</v>
      </c>
    </row>
    <row r="1444" spans="1:22" x14ac:dyDescent="0.3">
      <c r="A1444" t="str">
        <f t="shared" si="44"/>
        <v>LEITE CONDENSADOITAMBÉ</v>
      </c>
      <c r="B1444" t="str">
        <f t="shared" si="45"/>
        <v>5219839LEITE CONDENSADOITAMBÉ</v>
      </c>
      <c r="C1444" s="5" t="s">
        <v>226</v>
      </c>
      <c r="D1444" s="5" t="s">
        <v>903</v>
      </c>
      <c r="E1444" s="5" t="s">
        <v>904</v>
      </c>
      <c r="F1444" s="5">
        <v>5219839</v>
      </c>
      <c r="G1444" s="5" t="s">
        <v>927</v>
      </c>
      <c r="H1444" s="5" t="s">
        <v>103</v>
      </c>
      <c r="I1444" s="5" t="s">
        <v>27</v>
      </c>
      <c r="J1444" s="5" t="s">
        <v>33</v>
      </c>
      <c r="K1444" s="6">
        <v>0</v>
      </c>
      <c r="L1444" s="7">
        <v>1889.5500000000002</v>
      </c>
      <c r="M1444" s="8">
        <v>477.04999999999995</v>
      </c>
      <c r="N1444" s="8">
        <v>561</v>
      </c>
      <c r="O1444" s="8">
        <v>765.98621224817964</v>
      </c>
      <c r="P1444" s="8">
        <v>0</v>
      </c>
      <c r="Q1444" s="8">
        <v>0</v>
      </c>
      <c r="R1444" s="8">
        <v>0</v>
      </c>
      <c r="S1444" s="8">
        <v>561</v>
      </c>
      <c r="T1444" s="5">
        <v>561</v>
      </c>
      <c r="U1444" s="5">
        <v>561</v>
      </c>
      <c r="V1444" s="5">
        <f>VLOOKUP(A1444,Planilha1!B:E,4,0)</f>
        <v>1.4766792698630664</v>
      </c>
    </row>
    <row r="1445" spans="1:22" x14ac:dyDescent="0.3">
      <c r="A1445" t="str">
        <f t="shared" si="44"/>
        <v>LEITE CONDENSADOITAMBÉ</v>
      </c>
      <c r="B1445" t="str">
        <f t="shared" si="45"/>
        <v>5220002LEITE CONDENSADOITAMBÉ</v>
      </c>
      <c r="C1445" s="5" t="s">
        <v>226</v>
      </c>
      <c r="D1445" s="5" t="s">
        <v>903</v>
      </c>
      <c r="E1445" s="5" t="s">
        <v>904</v>
      </c>
      <c r="F1445" s="5">
        <v>5220002</v>
      </c>
      <c r="G1445" s="5" t="s">
        <v>928</v>
      </c>
      <c r="H1445" s="5" t="s">
        <v>113</v>
      </c>
      <c r="I1445" s="5" t="s">
        <v>27</v>
      </c>
      <c r="J1445" s="5" t="s">
        <v>33</v>
      </c>
      <c r="K1445" s="6">
        <v>0</v>
      </c>
      <c r="L1445" s="7">
        <v>0</v>
      </c>
      <c r="M1445" s="8">
        <v>27.115833333333335</v>
      </c>
      <c r="N1445" s="8">
        <v>32.333333333333336</v>
      </c>
      <c r="O1445" s="8">
        <v>79.998560025919545</v>
      </c>
      <c r="P1445" s="8">
        <v>0</v>
      </c>
      <c r="Q1445" s="8">
        <v>89.04</v>
      </c>
      <c r="R1445" s="8">
        <v>0</v>
      </c>
      <c r="S1445" s="8">
        <v>181</v>
      </c>
      <c r="T1445" s="5">
        <v>181</v>
      </c>
      <c r="U1445" s="5">
        <v>181</v>
      </c>
      <c r="V1445" s="5">
        <f>VLOOKUP(A1445,Planilha1!B:E,4,0)</f>
        <v>1.4766792698630664</v>
      </c>
    </row>
    <row r="1446" spans="1:22" x14ac:dyDescent="0.3">
      <c r="A1446" t="str">
        <f t="shared" si="44"/>
        <v>CREME UHTITAMBÉ</v>
      </c>
      <c r="B1446" t="str">
        <f t="shared" si="45"/>
        <v>5220002CREME UHTITAMBÉ</v>
      </c>
      <c r="C1446" s="5" t="s">
        <v>226</v>
      </c>
      <c r="D1446" s="5" t="s">
        <v>903</v>
      </c>
      <c r="E1446" s="5" t="s">
        <v>904</v>
      </c>
      <c r="F1446" s="5">
        <v>5220002</v>
      </c>
      <c r="G1446" s="5" t="s">
        <v>928</v>
      </c>
      <c r="H1446" s="5" t="s">
        <v>113</v>
      </c>
      <c r="I1446" s="5" t="s">
        <v>27</v>
      </c>
      <c r="J1446" s="5" t="s">
        <v>34</v>
      </c>
      <c r="K1446" s="6">
        <v>0</v>
      </c>
      <c r="L1446" s="7">
        <v>0</v>
      </c>
      <c r="M1446" s="8">
        <v>24.919999999999998</v>
      </c>
      <c r="N1446" s="8">
        <v>21.666666666666664</v>
      </c>
      <c r="O1446" s="8">
        <v>62.997550095274086</v>
      </c>
      <c r="P1446" s="8">
        <v>0</v>
      </c>
      <c r="Q1446" s="8">
        <v>51.86</v>
      </c>
      <c r="R1446" s="8">
        <v>0</v>
      </c>
      <c r="S1446" s="8">
        <v>92.92</v>
      </c>
      <c r="T1446" s="5">
        <v>92.92</v>
      </c>
      <c r="U1446" s="5">
        <v>21.666666666666664</v>
      </c>
      <c r="V1446" s="5">
        <f>VLOOKUP(A1446,Planilha1!B:E,4,0)</f>
        <v>1.2362540170747773</v>
      </c>
    </row>
    <row r="1447" spans="1:22" x14ac:dyDescent="0.3">
      <c r="A1447" t="str">
        <f t="shared" si="44"/>
        <v>DOCE DE LEITEITAMBÉ</v>
      </c>
      <c r="B1447" t="str">
        <f t="shared" si="45"/>
        <v>5220002DOCE DE LEITEITAMBÉ</v>
      </c>
      <c r="C1447" s="5" t="s">
        <v>226</v>
      </c>
      <c r="D1447" s="5" t="s">
        <v>903</v>
      </c>
      <c r="E1447" s="5" t="s">
        <v>904</v>
      </c>
      <c r="F1447" s="5">
        <v>5220002</v>
      </c>
      <c r="G1447" s="5" t="s">
        <v>928</v>
      </c>
      <c r="H1447" s="5" t="s">
        <v>113</v>
      </c>
      <c r="I1447" s="5" t="s">
        <v>27</v>
      </c>
      <c r="J1447" s="5" t="s">
        <v>46</v>
      </c>
      <c r="K1447" s="6">
        <v>0</v>
      </c>
      <c r="L1447" s="7">
        <v>0</v>
      </c>
      <c r="M1447" s="8">
        <v>19.96</v>
      </c>
      <c r="N1447" s="8">
        <v>27</v>
      </c>
      <c r="O1447" s="8">
        <v>31.001771529801708</v>
      </c>
      <c r="P1447" s="8">
        <v>0</v>
      </c>
      <c r="Q1447" s="8">
        <v>0</v>
      </c>
      <c r="R1447" s="8">
        <v>0</v>
      </c>
      <c r="S1447" s="8">
        <v>38.28</v>
      </c>
      <c r="T1447" s="5">
        <v>38.28</v>
      </c>
      <c r="U1447" s="5">
        <v>27</v>
      </c>
      <c r="V1447" s="5">
        <f>VLOOKUP(A1447,Planilha1!B:E,4,0)</f>
        <v>5.8210743907543439</v>
      </c>
    </row>
    <row r="1448" spans="1:22" x14ac:dyDescent="0.3">
      <c r="A1448" t="str">
        <f t="shared" si="44"/>
        <v>BLISTERLACTALIS</v>
      </c>
      <c r="B1448" t="str">
        <f t="shared" si="45"/>
        <v>5226350BLISTERLACTALIS</v>
      </c>
      <c r="C1448" s="5" t="s">
        <v>226</v>
      </c>
      <c r="D1448" s="5" t="s">
        <v>903</v>
      </c>
      <c r="E1448" s="5" t="s">
        <v>904</v>
      </c>
      <c r="F1448" s="5">
        <v>5226350</v>
      </c>
      <c r="G1448" s="5" t="s">
        <v>929</v>
      </c>
      <c r="H1448" s="5" t="s">
        <v>88</v>
      </c>
      <c r="I1448" s="5" t="s">
        <v>22</v>
      </c>
      <c r="J1448" s="5" t="s">
        <v>199</v>
      </c>
      <c r="K1448" s="6">
        <v>0</v>
      </c>
      <c r="L1448" s="7">
        <v>771.36</v>
      </c>
      <c r="M1448" s="8">
        <v>1114.96</v>
      </c>
      <c r="N1448" s="8">
        <v>1560.08</v>
      </c>
      <c r="O1448" s="8">
        <v>221.63755546634945</v>
      </c>
      <c r="P1448" s="8">
        <v>0</v>
      </c>
      <c r="Q1448" s="8">
        <v>1536</v>
      </c>
      <c r="R1448" s="8">
        <v>0</v>
      </c>
      <c r="S1448" s="8">
        <v>1944</v>
      </c>
      <c r="T1448" s="5">
        <v>1944</v>
      </c>
      <c r="U1448" s="5">
        <v>1474</v>
      </c>
      <c r="V1448" s="5">
        <f>VLOOKUP(A1448,Planilha1!B:E,4,0)</f>
        <v>13.783871706210666</v>
      </c>
    </row>
    <row r="1449" spans="1:22" x14ac:dyDescent="0.3">
      <c r="A1449" t="str">
        <f t="shared" si="44"/>
        <v>LEITE CONDENSADOITAMBÉ</v>
      </c>
      <c r="B1449" t="str">
        <f t="shared" si="45"/>
        <v>5229525LEITE CONDENSADOITAMBÉ</v>
      </c>
      <c r="C1449" s="5" t="s">
        <v>226</v>
      </c>
      <c r="D1449" s="5" t="s">
        <v>903</v>
      </c>
      <c r="E1449" s="5" t="s">
        <v>904</v>
      </c>
      <c r="F1449" s="5">
        <v>5229525</v>
      </c>
      <c r="G1449" s="5" t="s">
        <v>930</v>
      </c>
      <c r="H1449" s="5" t="s">
        <v>113</v>
      </c>
      <c r="I1449" s="5" t="s">
        <v>27</v>
      </c>
      <c r="J1449" s="5" t="s">
        <v>33</v>
      </c>
      <c r="K1449" s="6">
        <v>0</v>
      </c>
      <c r="L1449" s="7">
        <v>0</v>
      </c>
      <c r="M1449" s="8">
        <v>0</v>
      </c>
      <c r="N1449" s="8">
        <v>0</v>
      </c>
      <c r="O1449" s="8">
        <v>15.999712005183907</v>
      </c>
      <c r="P1449" s="8">
        <v>0</v>
      </c>
      <c r="Q1449" s="8">
        <v>0</v>
      </c>
      <c r="R1449" s="8">
        <v>0</v>
      </c>
      <c r="S1449" s="8">
        <v>0</v>
      </c>
      <c r="T1449" s="5">
        <v>0</v>
      </c>
      <c r="U1449" s="5">
        <v>0</v>
      </c>
      <c r="V1449" s="5">
        <f>VLOOKUP(A1449,Planilha1!B:E,4,0)</f>
        <v>1.4766792698630664</v>
      </c>
    </row>
    <row r="1450" spans="1:22" x14ac:dyDescent="0.3">
      <c r="A1450" t="str">
        <f t="shared" si="44"/>
        <v>CREME UHTITAMBÉ</v>
      </c>
      <c r="B1450" t="str">
        <f t="shared" si="45"/>
        <v>5229525CREME UHTITAMBÉ</v>
      </c>
      <c r="C1450" s="5" t="s">
        <v>226</v>
      </c>
      <c r="D1450" s="5" t="s">
        <v>903</v>
      </c>
      <c r="E1450" s="5" t="s">
        <v>904</v>
      </c>
      <c r="F1450" s="5">
        <v>5229525</v>
      </c>
      <c r="G1450" s="5" t="s">
        <v>930</v>
      </c>
      <c r="H1450" s="5" t="s">
        <v>113</v>
      </c>
      <c r="I1450" s="5" t="s">
        <v>27</v>
      </c>
      <c r="J1450" s="5" t="s">
        <v>34</v>
      </c>
      <c r="K1450" s="6">
        <v>0</v>
      </c>
      <c r="L1450" s="7">
        <v>0</v>
      </c>
      <c r="M1450" s="8">
        <v>20.399999999999999</v>
      </c>
      <c r="N1450" s="8">
        <v>24</v>
      </c>
      <c r="O1450" s="8">
        <v>7.9996889009871852</v>
      </c>
      <c r="P1450" s="8">
        <v>0</v>
      </c>
      <c r="Q1450" s="8">
        <v>0</v>
      </c>
      <c r="R1450" s="8">
        <v>0</v>
      </c>
      <c r="S1450" s="8">
        <v>24</v>
      </c>
      <c r="T1450" s="5">
        <v>24</v>
      </c>
      <c r="U1450" s="5">
        <v>24</v>
      </c>
      <c r="V1450" s="5">
        <f>VLOOKUP(A1450,Planilha1!B:E,4,0)</f>
        <v>1.2362540170747773</v>
      </c>
    </row>
    <row r="1451" spans="1:22" x14ac:dyDescent="0.3">
      <c r="A1451" t="str">
        <f t="shared" si="44"/>
        <v>DOCE DE LEITEITAMBÉ</v>
      </c>
      <c r="B1451" t="str">
        <f t="shared" si="45"/>
        <v>5229525DOCE DE LEITEITAMBÉ</v>
      </c>
      <c r="C1451" s="5" t="s">
        <v>226</v>
      </c>
      <c r="D1451" s="5" t="s">
        <v>903</v>
      </c>
      <c r="E1451" s="5" t="s">
        <v>904</v>
      </c>
      <c r="F1451" s="5">
        <v>5229525</v>
      </c>
      <c r="G1451" s="5" t="s">
        <v>930</v>
      </c>
      <c r="H1451" s="5" t="s">
        <v>113</v>
      </c>
      <c r="I1451" s="5" t="s">
        <v>27</v>
      </c>
      <c r="J1451" s="5" t="s">
        <v>46</v>
      </c>
      <c r="K1451" s="6">
        <v>0</v>
      </c>
      <c r="L1451" s="7">
        <v>0</v>
      </c>
      <c r="M1451" s="8">
        <v>66.666666666666657</v>
      </c>
      <c r="N1451" s="8">
        <v>80</v>
      </c>
      <c r="O1451" s="8">
        <v>47.00268586776388</v>
      </c>
      <c r="P1451" s="8">
        <v>0</v>
      </c>
      <c r="Q1451" s="8">
        <v>0</v>
      </c>
      <c r="R1451" s="8">
        <v>0</v>
      </c>
      <c r="S1451" s="8">
        <v>80</v>
      </c>
      <c r="T1451" s="5">
        <v>80</v>
      </c>
      <c r="U1451" s="5">
        <v>80</v>
      </c>
      <c r="V1451" s="5">
        <f>VLOOKUP(A1451,Planilha1!B:E,4,0)</f>
        <v>5.8210743907543439</v>
      </c>
    </row>
    <row r="1452" spans="1:22" x14ac:dyDescent="0.3">
      <c r="A1452" t="str">
        <f t="shared" si="44"/>
        <v>LEITE CONDENSADOITAMBÉ</v>
      </c>
      <c r="B1452" t="str">
        <f t="shared" si="45"/>
        <v>5230104LEITE CONDENSADOITAMBÉ</v>
      </c>
      <c r="C1452" s="5" t="s">
        <v>226</v>
      </c>
      <c r="D1452" s="5" t="s">
        <v>903</v>
      </c>
      <c r="E1452" s="5" t="s">
        <v>904</v>
      </c>
      <c r="F1452" s="5">
        <v>5230104</v>
      </c>
      <c r="G1452" s="5" t="s">
        <v>931</v>
      </c>
      <c r="H1452" s="5" t="s">
        <v>113</v>
      </c>
      <c r="I1452" s="5" t="s">
        <v>27</v>
      </c>
      <c r="J1452" s="5" t="s">
        <v>33</v>
      </c>
      <c r="K1452" s="6">
        <v>0</v>
      </c>
      <c r="L1452" s="7">
        <v>370.58</v>
      </c>
      <c r="M1452" s="8">
        <v>214.26666666666665</v>
      </c>
      <c r="N1452" s="8">
        <v>161.66666666666666</v>
      </c>
      <c r="O1452" s="8">
        <v>378.99317812279378</v>
      </c>
      <c r="P1452" s="8">
        <v>0</v>
      </c>
      <c r="Q1452" s="8">
        <v>0</v>
      </c>
      <c r="R1452" s="8">
        <v>0</v>
      </c>
      <c r="S1452" s="8">
        <v>161.66666666666666</v>
      </c>
      <c r="T1452" s="5">
        <v>161.66666666666666</v>
      </c>
      <c r="U1452" s="5">
        <v>161.66666666666666</v>
      </c>
      <c r="V1452" s="5">
        <f>VLOOKUP(A1452,Planilha1!B:E,4,0)</f>
        <v>1.4766792698630664</v>
      </c>
    </row>
    <row r="1453" spans="1:22" x14ac:dyDescent="0.3">
      <c r="A1453" t="str">
        <f t="shared" si="44"/>
        <v>CREME UHTITAMBÉ</v>
      </c>
      <c r="B1453" t="str">
        <f t="shared" si="45"/>
        <v>5230104CREME UHTITAMBÉ</v>
      </c>
      <c r="C1453" s="5" t="s">
        <v>226</v>
      </c>
      <c r="D1453" s="5" t="s">
        <v>903</v>
      </c>
      <c r="E1453" s="5" t="s">
        <v>904</v>
      </c>
      <c r="F1453" s="5">
        <v>5230104</v>
      </c>
      <c r="G1453" s="5" t="s">
        <v>931</v>
      </c>
      <c r="H1453" s="5" t="s">
        <v>113</v>
      </c>
      <c r="I1453" s="5" t="s">
        <v>27</v>
      </c>
      <c r="J1453" s="5" t="s">
        <v>34</v>
      </c>
      <c r="K1453" s="6">
        <v>0</v>
      </c>
      <c r="L1453" s="7">
        <v>78.78</v>
      </c>
      <c r="M1453" s="8">
        <v>20.2</v>
      </c>
      <c r="N1453" s="8">
        <v>0</v>
      </c>
      <c r="O1453" s="8">
        <v>50.998016743793301</v>
      </c>
      <c r="P1453" s="8">
        <v>0</v>
      </c>
      <c r="Q1453" s="8">
        <v>0</v>
      </c>
      <c r="R1453" s="8">
        <v>0</v>
      </c>
      <c r="S1453" s="8">
        <v>0</v>
      </c>
      <c r="T1453" s="5">
        <v>0</v>
      </c>
      <c r="U1453" s="5">
        <v>0</v>
      </c>
      <c r="V1453" s="5">
        <f>VLOOKUP(A1453,Planilha1!B:E,4,0)</f>
        <v>1.2362540170747773</v>
      </c>
    </row>
    <row r="1454" spans="1:22" x14ac:dyDescent="0.3">
      <c r="A1454" t="str">
        <f t="shared" si="44"/>
        <v>DOCE DE LEITEITAMBÉ</v>
      </c>
      <c r="B1454" t="str">
        <f t="shared" si="45"/>
        <v>5230104DOCE DE LEITEITAMBÉ</v>
      </c>
      <c r="C1454" s="5" t="s">
        <v>226</v>
      </c>
      <c r="D1454" s="5" t="s">
        <v>903</v>
      </c>
      <c r="E1454" s="5" t="s">
        <v>904</v>
      </c>
      <c r="F1454" s="5">
        <v>5230104</v>
      </c>
      <c r="G1454" s="5" t="s">
        <v>931</v>
      </c>
      <c r="H1454" s="5" t="s">
        <v>113</v>
      </c>
      <c r="I1454" s="5" t="s">
        <v>27</v>
      </c>
      <c r="J1454" s="5" t="s">
        <v>46</v>
      </c>
      <c r="K1454" s="6">
        <v>0</v>
      </c>
      <c r="L1454" s="7">
        <v>0</v>
      </c>
      <c r="M1454" s="8">
        <v>4</v>
      </c>
      <c r="N1454" s="8">
        <v>0</v>
      </c>
      <c r="O1454" s="8">
        <v>31.001771529801708</v>
      </c>
      <c r="P1454" s="8">
        <v>0</v>
      </c>
      <c r="Q1454" s="8">
        <v>0</v>
      </c>
      <c r="R1454" s="8">
        <v>0</v>
      </c>
      <c r="S1454" s="8">
        <v>0</v>
      </c>
      <c r="T1454" s="5">
        <v>0</v>
      </c>
      <c r="U1454" s="5">
        <v>0</v>
      </c>
      <c r="V1454" s="5">
        <f>VLOOKUP(A1454,Planilha1!B:E,4,0)</f>
        <v>5.8210743907543439</v>
      </c>
    </row>
    <row r="1455" spans="1:22" x14ac:dyDescent="0.3">
      <c r="A1455" t="str">
        <f t="shared" si="44"/>
        <v>CREME UHTITAMBÉ</v>
      </c>
      <c r="B1455" t="str">
        <f t="shared" si="45"/>
        <v>5292367CREME UHTITAMBÉ</v>
      </c>
      <c r="C1455" s="5" t="s">
        <v>226</v>
      </c>
      <c r="D1455" s="5" t="s">
        <v>903</v>
      </c>
      <c r="E1455" s="5" t="s">
        <v>904</v>
      </c>
      <c r="F1455" s="5">
        <v>5292367</v>
      </c>
      <c r="G1455" s="5" t="s">
        <v>932</v>
      </c>
      <c r="H1455" s="5" t="s">
        <v>88</v>
      </c>
      <c r="I1455" s="5" t="s">
        <v>27</v>
      </c>
      <c r="J1455" s="5" t="s">
        <v>34</v>
      </c>
      <c r="K1455" s="6">
        <v>0</v>
      </c>
      <c r="L1455" s="7">
        <v>0</v>
      </c>
      <c r="M1455" s="8">
        <v>0</v>
      </c>
      <c r="N1455" s="8">
        <v>0</v>
      </c>
      <c r="O1455" s="8">
        <v>729.97161221508065</v>
      </c>
      <c r="P1455" s="8">
        <v>0</v>
      </c>
      <c r="Q1455" s="8">
        <v>0</v>
      </c>
      <c r="R1455" s="8">
        <v>0</v>
      </c>
      <c r="S1455" s="8">
        <v>0</v>
      </c>
      <c r="T1455" s="5">
        <v>0</v>
      </c>
      <c r="U1455" s="5">
        <v>0</v>
      </c>
      <c r="V1455" s="5">
        <f>VLOOKUP(A1455,Planilha1!B:E,4,0)</f>
        <v>1.2362540170747773</v>
      </c>
    </row>
    <row r="1456" spans="1:22" x14ac:dyDescent="0.3">
      <c r="A1456" t="str">
        <f t="shared" si="44"/>
        <v>DOCE DE LEITEITAMBÉ</v>
      </c>
      <c r="B1456" t="str">
        <f t="shared" si="45"/>
        <v>5292367DOCE DE LEITEITAMBÉ</v>
      </c>
      <c r="C1456" s="5" t="s">
        <v>226</v>
      </c>
      <c r="D1456" s="5" t="s">
        <v>903</v>
      </c>
      <c r="E1456" s="5" t="s">
        <v>904</v>
      </c>
      <c r="F1456" s="5">
        <v>5292367</v>
      </c>
      <c r="G1456" s="5" t="s">
        <v>932</v>
      </c>
      <c r="H1456" s="5" t="s">
        <v>88</v>
      </c>
      <c r="I1456" s="5" t="s">
        <v>27</v>
      </c>
      <c r="J1456" s="5" t="s">
        <v>46</v>
      </c>
      <c r="K1456" s="6">
        <v>0</v>
      </c>
      <c r="L1456" s="7">
        <v>0</v>
      </c>
      <c r="M1456" s="8">
        <v>7</v>
      </c>
      <c r="N1456" s="8">
        <v>0</v>
      </c>
      <c r="O1456" s="8">
        <v>375.02142979598841</v>
      </c>
      <c r="P1456" s="8">
        <v>0</v>
      </c>
      <c r="Q1456" s="8">
        <v>0</v>
      </c>
      <c r="R1456" s="8">
        <v>0</v>
      </c>
      <c r="S1456" s="8">
        <v>0</v>
      </c>
      <c r="T1456" s="5">
        <v>0</v>
      </c>
      <c r="U1456" s="5">
        <v>0</v>
      </c>
      <c r="V1456" s="5">
        <f>VLOOKUP(A1456,Planilha1!B:E,4,0)</f>
        <v>5.8210743907543439</v>
      </c>
    </row>
    <row r="1457" spans="1:22" x14ac:dyDescent="0.3">
      <c r="A1457" t="str">
        <f t="shared" si="44"/>
        <v>LEITE CONDENSADOITAMBÉ</v>
      </c>
      <c r="B1457" t="str">
        <f t="shared" si="45"/>
        <v>5314195LEITE CONDENSADOITAMBÉ</v>
      </c>
      <c r="C1457" s="5" t="s">
        <v>226</v>
      </c>
      <c r="D1457" s="5" t="s">
        <v>903</v>
      </c>
      <c r="E1457" s="5" t="s">
        <v>904</v>
      </c>
      <c r="F1457" s="5">
        <v>5314195</v>
      </c>
      <c r="G1457" s="5" t="s">
        <v>933</v>
      </c>
      <c r="H1457" s="5" t="s">
        <v>88</v>
      </c>
      <c r="I1457" s="5" t="s">
        <v>27</v>
      </c>
      <c r="J1457" s="5" t="s">
        <v>33</v>
      </c>
      <c r="K1457" s="6">
        <v>0</v>
      </c>
      <c r="L1457" s="7">
        <v>0</v>
      </c>
      <c r="M1457" s="8">
        <v>300</v>
      </c>
      <c r="N1457" s="8">
        <v>200</v>
      </c>
      <c r="O1457" s="8">
        <v>382.99310612408976</v>
      </c>
      <c r="P1457" s="8">
        <v>0</v>
      </c>
      <c r="Q1457" s="8">
        <v>0</v>
      </c>
      <c r="R1457" s="8">
        <v>0</v>
      </c>
      <c r="S1457" s="8">
        <v>305</v>
      </c>
      <c r="T1457" s="5">
        <v>305</v>
      </c>
      <c r="U1457" s="5">
        <v>305</v>
      </c>
      <c r="V1457" s="5">
        <f>VLOOKUP(A1457,Planilha1!B:E,4,0)</f>
        <v>1.4766792698630664</v>
      </c>
    </row>
    <row r="1458" spans="1:22" x14ac:dyDescent="0.3">
      <c r="A1458" t="str">
        <f t="shared" si="44"/>
        <v>LEITE CONDENSADOITAMBÉ</v>
      </c>
      <c r="B1458" t="str">
        <f t="shared" si="45"/>
        <v>5320045LEITE CONDENSADOITAMBÉ</v>
      </c>
      <c r="C1458" s="5" t="s">
        <v>226</v>
      </c>
      <c r="D1458" s="5" t="s">
        <v>903</v>
      </c>
      <c r="E1458" s="5" t="s">
        <v>904</v>
      </c>
      <c r="F1458" s="5">
        <v>5320045</v>
      </c>
      <c r="G1458" s="5" t="s">
        <v>934</v>
      </c>
      <c r="H1458" s="5" t="s">
        <v>113</v>
      </c>
      <c r="I1458" s="5" t="s">
        <v>27</v>
      </c>
      <c r="J1458" s="5" t="s">
        <v>33</v>
      </c>
      <c r="K1458" s="6">
        <v>0</v>
      </c>
      <c r="L1458" s="7">
        <v>363.6</v>
      </c>
      <c r="M1458" s="8">
        <v>342.72666666666669</v>
      </c>
      <c r="N1458" s="8">
        <v>322</v>
      </c>
      <c r="O1458" s="8">
        <v>557.98995618078879</v>
      </c>
      <c r="P1458" s="8">
        <v>0</v>
      </c>
      <c r="Q1458" s="8">
        <v>0</v>
      </c>
      <c r="R1458" s="8">
        <v>0</v>
      </c>
      <c r="S1458" s="8">
        <v>322</v>
      </c>
      <c r="T1458" s="5">
        <v>322</v>
      </c>
      <c r="U1458" s="5">
        <v>322</v>
      </c>
      <c r="V1458" s="5">
        <f>VLOOKUP(A1458,Planilha1!B:E,4,0)</f>
        <v>1.4766792698630664</v>
      </c>
    </row>
    <row r="1459" spans="1:22" x14ac:dyDescent="0.3">
      <c r="A1459" t="str">
        <f t="shared" si="44"/>
        <v>LEITE CONDENSADOITAMBÉ</v>
      </c>
      <c r="B1459" t="str">
        <f t="shared" si="45"/>
        <v>5321782LEITE CONDENSADOITAMBÉ</v>
      </c>
      <c r="C1459" s="5" t="s">
        <v>226</v>
      </c>
      <c r="D1459" s="5" t="s">
        <v>903</v>
      </c>
      <c r="E1459" s="5" t="s">
        <v>904</v>
      </c>
      <c r="F1459" s="5">
        <v>5321782</v>
      </c>
      <c r="G1459" s="5" t="s">
        <v>935</v>
      </c>
      <c r="H1459" s="5" t="s">
        <v>113</v>
      </c>
      <c r="I1459" s="5" t="s">
        <v>27</v>
      </c>
      <c r="J1459" s="5" t="s">
        <v>33</v>
      </c>
      <c r="K1459" s="6">
        <v>0</v>
      </c>
      <c r="L1459" s="7">
        <v>148.47999999999999</v>
      </c>
      <c r="M1459" s="8">
        <v>397.91999999999996</v>
      </c>
      <c r="N1459" s="8">
        <v>457.99999999999994</v>
      </c>
      <c r="O1459" s="8">
        <v>274.99505008909841</v>
      </c>
      <c r="P1459" s="8">
        <v>0</v>
      </c>
      <c r="Q1459" s="8">
        <v>0</v>
      </c>
      <c r="R1459" s="8">
        <v>0</v>
      </c>
      <c r="S1459" s="8">
        <v>457.99999999999994</v>
      </c>
      <c r="T1459" s="5">
        <v>457.99999999999994</v>
      </c>
      <c r="U1459" s="5">
        <v>457.99999999999994</v>
      </c>
      <c r="V1459" s="5">
        <f>VLOOKUP(A1459,Planilha1!B:E,4,0)</f>
        <v>1.4766792698630664</v>
      </c>
    </row>
    <row r="1460" spans="1:22" x14ac:dyDescent="0.3">
      <c r="A1460" t="str">
        <f t="shared" si="44"/>
        <v>CREME UHTITAMBÉ</v>
      </c>
      <c r="B1460" t="str">
        <f t="shared" si="45"/>
        <v>5321782CREME UHTITAMBÉ</v>
      </c>
      <c r="C1460" s="5" t="s">
        <v>226</v>
      </c>
      <c r="D1460" s="5" t="s">
        <v>903</v>
      </c>
      <c r="E1460" s="5" t="s">
        <v>904</v>
      </c>
      <c r="F1460" s="5">
        <v>5321782</v>
      </c>
      <c r="G1460" s="5" t="s">
        <v>935</v>
      </c>
      <c r="H1460" s="5" t="s">
        <v>113</v>
      </c>
      <c r="I1460" s="5" t="s">
        <v>27</v>
      </c>
      <c r="J1460" s="5" t="s">
        <v>34</v>
      </c>
      <c r="K1460" s="6">
        <v>0</v>
      </c>
      <c r="L1460" s="7">
        <v>0</v>
      </c>
      <c r="M1460" s="8">
        <v>38.379999999999995</v>
      </c>
      <c r="N1460" s="8">
        <v>32</v>
      </c>
      <c r="O1460" s="8">
        <v>22.999105590338157</v>
      </c>
      <c r="P1460" s="8">
        <v>0</v>
      </c>
      <c r="Q1460" s="8">
        <v>0</v>
      </c>
      <c r="R1460" s="8">
        <v>0</v>
      </c>
      <c r="S1460" s="8">
        <v>32</v>
      </c>
      <c r="T1460" s="5">
        <v>32</v>
      </c>
      <c r="U1460" s="5">
        <v>32</v>
      </c>
      <c r="V1460" s="5">
        <f>VLOOKUP(A1460,Planilha1!B:E,4,0)</f>
        <v>1.2362540170747773</v>
      </c>
    </row>
    <row r="1461" spans="1:22" x14ac:dyDescent="0.3">
      <c r="A1461" t="str">
        <f t="shared" si="44"/>
        <v>DOCE DE LEITEITAMBÉ</v>
      </c>
      <c r="B1461" t="str">
        <f t="shared" si="45"/>
        <v>5321782DOCE DE LEITEITAMBÉ</v>
      </c>
      <c r="C1461" s="5" t="s">
        <v>226</v>
      </c>
      <c r="D1461" s="5" t="s">
        <v>903</v>
      </c>
      <c r="E1461" s="5" t="s">
        <v>904</v>
      </c>
      <c r="F1461" s="5">
        <v>5321782</v>
      </c>
      <c r="G1461" s="5" t="s">
        <v>935</v>
      </c>
      <c r="H1461" s="5" t="s">
        <v>113</v>
      </c>
      <c r="I1461" s="5" t="s">
        <v>27</v>
      </c>
      <c r="J1461" s="5" t="s">
        <v>46</v>
      </c>
      <c r="K1461" s="6">
        <v>0</v>
      </c>
      <c r="L1461" s="7">
        <v>0</v>
      </c>
      <c r="M1461" s="8">
        <v>9.6666666666666679</v>
      </c>
      <c r="N1461" s="8">
        <v>0</v>
      </c>
      <c r="O1461" s="8">
        <v>11.000628607348993</v>
      </c>
      <c r="P1461" s="8">
        <v>0</v>
      </c>
      <c r="Q1461" s="8">
        <v>0</v>
      </c>
      <c r="R1461" s="8">
        <v>0</v>
      </c>
      <c r="S1461" s="8">
        <v>0</v>
      </c>
      <c r="T1461" s="5">
        <v>0</v>
      </c>
      <c r="U1461" s="5">
        <v>0</v>
      </c>
      <c r="V1461" s="5">
        <f>VLOOKUP(A1461,Planilha1!B:E,4,0)</f>
        <v>5.8210743907543439</v>
      </c>
    </row>
    <row r="1462" spans="1:22" x14ac:dyDescent="0.3">
      <c r="A1462" t="str">
        <f t="shared" si="44"/>
        <v>BLISTERLACTALIS</v>
      </c>
      <c r="B1462" t="str">
        <f t="shared" si="45"/>
        <v>5344366BLISTERLACTALIS</v>
      </c>
      <c r="C1462" s="5" t="s">
        <v>226</v>
      </c>
      <c r="D1462" s="5" t="s">
        <v>903</v>
      </c>
      <c r="E1462" s="5" t="s">
        <v>904</v>
      </c>
      <c r="F1462" s="5">
        <v>5344366</v>
      </c>
      <c r="G1462" s="5" t="s">
        <v>936</v>
      </c>
      <c r="H1462" s="5" t="s">
        <v>113</v>
      </c>
      <c r="I1462" s="5" t="s">
        <v>22</v>
      </c>
      <c r="J1462" s="5" t="s">
        <v>199</v>
      </c>
      <c r="K1462" s="6">
        <v>0</v>
      </c>
      <c r="L1462" s="7">
        <v>0</v>
      </c>
      <c r="M1462" s="8">
        <v>112.91999999999999</v>
      </c>
      <c r="N1462" s="8">
        <v>108.24000000000001</v>
      </c>
      <c r="O1462" s="8">
        <v>58.314237059661366</v>
      </c>
      <c r="P1462" s="8">
        <v>0</v>
      </c>
      <c r="Q1462" s="8">
        <v>-21.6</v>
      </c>
      <c r="R1462" s="8">
        <v>0</v>
      </c>
      <c r="S1462" s="8">
        <v>108.24000000000001</v>
      </c>
      <c r="T1462" s="5">
        <v>108.24000000000001</v>
      </c>
      <c r="U1462" s="5">
        <v>108.24000000000001</v>
      </c>
      <c r="V1462" s="5">
        <f>VLOOKUP(A1462,Planilha1!B:E,4,0)</f>
        <v>13.783871706210666</v>
      </c>
    </row>
    <row r="1463" spans="1:22" x14ac:dyDescent="0.3">
      <c r="A1463" t="str">
        <f t="shared" si="44"/>
        <v>BLISTERLACTALIS</v>
      </c>
      <c r="B1463" t="str">
        <f t="shared" si="45"/>
        <v>5346113BLISTERLACTALIS</v>
      </c>
      <c r="C1463" s="5" t="s">
        <v>226</v>
      </c>
      <c r="D1463" s="5" t="s">
        <v>903</v>
      </c>
      <c r="E1463" s="5" t="s">
        <v>904</v>
      </c>
      <c r="F1463" s="5">
        <v>5346113</v>
      </c>
      <c r="G1463" s="5" t="s">
        <v>937</v>
      </c>
      <c r="H1463" s="5" t="s">
        <v>113</v>
      </c>
      <c r="I1463" s="5" t="s">
        <v>22</v>
      </c>
      <c r="J1463" s="5" t="s">
        <v>199</v>
      </c>
      <c r="K1463" s="6">
        <v>0</v>
      </c>
      <c r="L1463" s="7">
        <v>60</v>
      </c>
      <c r="M1463" s="8">
        <v>19.2</v>
      </c>
      <c r="N1463" s="8">
        <v>0</v>
      </c>
      <c r="O1463" s="8">
        <v>18.836641616226274</v>
      </c>
      <c r="P1463" s="8">
        <v>0</v>
      </c>
      <c r="Q1463" s="8">
        <v>0</v>
      </c>
      <c r="R1463" s="8">
        <v>0</v>
      </c>
      <c r="S1463" s="8">
        <v>0</v>
      </c>
      <c r="T1463" s="5">
        <v>0</v>
      </c>
      <c r="U1463" s="5">
        <v>0</v>
      </c>
      <c r="V1463" s="5">
        <f>VLOOKUP(A1463,Planilha1!B:E,4,0)</f>
        <v>13.783871706210666</v>
      </c>
    </row>
    <row r="1464" spans="1:22" x14ac:dyDescent="0.3">
      <c r="A1464" t="str">
        <f t="shared" si="44"/>
        <v>LEITE CONDENSADOITAMBÉ</v>
      </c>
      <c r="B1464" t="str">
        <f t="shared" si="45"/>
        <v>5353844LEITE CONDENSADOITAMBÉ</v>
      </c>
      <c r="C1464" s="5" t="s">
        <v>226</v>
      </c>
      <c r="D1464" s="5" t="s">
        <v>903</v>
      </c>
      <c r="E1464" s="5" t="s">
        <v>904</v>
      </c>
      <c r="F1464" s="5">
        <v>5353844</v>
      </c>
      <c r="G1464" s="5" t="s">
        <v>938</v>
      </c>
      <c r="H1464" s="5" t="s">
        <v>113</v>
      </c>
      <c r="I1464" s="5" t="s">
        <v>27</v>
      </c>
      <c r="J1464" s="5" t="s">
        <v>33</v>
      </c>
      <c r="K1464" s="6">
        <v>0</v>
      </c>
      <c r="L1464" s="7">
        <v>0</v>
      </c>
      <c r="M1464" s="8">
        <v>267.87333333333333</v>
      </c>
      <c r="N1464" s="8">
        <v>268.33333333333331</v>
      </c>
      <c r="O1464" s="8">
        <v>282.99490609169038</v>
      </c>
      <c r="P1464" s="8">
        <v>0</v>
      </c>
      <c r="Q1464" s="8">
        <v>0</v>
      </c>
      <c r="R1464" s="8">
        <v>0</v>
      </c>
      <c r="S1464" s="8">
        <v>299</v>
      </c>
      <c r="T1464" s="5">
        <v>299</v>
      </c>
      <c r="U1464" s="5">
        <v>299</v>
      </c>
      <c r="V1464" s="5">
        <f>VLOOKUP(A1464,Planilha1!B:E,4,0)</f>
        <v>1.4766792698630664</v>
      </c>
    </row>
    <row r="1465" spans="1:22" x14ac:dyDescent="0.3">
      <c r="A1465" t="str">
        <f t="shared" si="44"/>
        <v>DOCE DE LEITEITAMBÉ</v>
      </c>
      <c r="B1465" t="str">
        <f t="shared" si="45"/>
        <v>5353844DOCE DE LEITEITAMBÉ</v>
      </c>
      <c r="C1465" s="5" t="s">
        <v>226</v>
      </c>
      <c r="D1465" s="5" t="s">
        <v>903</v>
      </c>
      <c r="E1465" s="5" t="s">
        <v>904</v>
      </c>
      <c r="F1465" s="5">
        <v>5353844</v>
      </c>
      <c r="G1465" s="5" t="s">
        <v>938</v>
      </c>
      <c r="H1465" s="5" t="s">
        <v>113</v>
      </c>
      <c r="I1465" s="5" t="s">
        <v>27</v>
      </c>
      <c r="J1465" s="5" t="s">
        <v>46</v>
      </c>
      <c r="K1465" s="6">
        <v>0</v>
      </c>
      <c r="L1465" s="7">
        <v>0</v>
      </c>
      <c r="M1465" s="8">
        <v>4.5</v>
      </c>
      <c r="N1465" s="8">
        <v>1</v>
      </c>
      <c r="O1465" s="8">
        <v>18.001028630207443</v>
      </c>
      <c r="P1465" s="8">
        <v>0</v>
      </c>
      <c r="Q1465" s="8">
        <v>0</v>
      </c>
      <c r="R1465" s="8">
        <v>0</v>
      </c>
      <c r="S1465" s="8">
        <v>30.3</v>
      </c>
      <c r="T1465" s="5">
        <v>30.3</v>
      </c>
      <c r="U1465" s="5">
        <v>1</v>
      </c>
      <c r="V1465" s="5">
        <f>VLOOKUP(A1465,Planilha1!B:E,4,0)</f>
        <v>5.8210743907543439</v>
      </c>
    </row>
    <row r="1466" spans="1:22" x14ac:dyDescent="0.3">
      <c r="A1466" t="str">
        <f t="shared" si="44"/>
        <v>LPI 25KGLACTALIS</v>
      </c>
      <c r="B1466" t="str">
        <f t="shared" si="45"/>
        <v>5158121LPI 25KGLACTALIS</v>
      </c>
      <c r="C1466" s="5" t="s">
        <v>16</v>
      </c>
      <c r="D1466" s="5" t="s">
        <v>17</v>
      </c>
      <c r="E1466" s="5" t="s">
        <v>18</v>
      </c>
      <c r="F1466" s="5">
        <v>5158121</v>
      </c>
      <c r="G1466" s="5" t="s">
        <v>939</v>
      </c>
      <c r="H1466" s="5" t="s">
        <v>88</v>
      </c>
      <c r="I1466" s="5" t="s">
        <v>22</v>
      </c>
      <c r="J1466" s="5" t="s">
        <v>21</v>
      </c>
      <c r="K1466" s="6">
        <v>0</v>
      </c>
      <c r="L1466" s="7">
        <v>0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0</v>
      </c>
      <c r="S1466" s="8">
        <v>0</v>
      </c>
      <c r="T1466" s="5">
        <v>0</v>
      </c>
      <c r="U1466" s="5">
        <v>0</v>
      </c>
      <c r="V1466" s="5">
        <f>VLOOKUP(A1466,Planilha1!B:E,4,0)</f>
        <v>-4.3046759024811481</v>
      </c>
    </row>
    <row r="1467" spans="1:22" x14ac:dyDescent="0.3">
      <c r="A1467" t="str">
        <f t="shared" si="44"/>
        <v>QUEIJOSITAMBÉ</v>
      </c>
      <c r="B1467" t="str">
        <f t="shared" si="45"/>
        <v>5002086QUEIJOSITAMBÉ</v>
      </c>
      <c r="C1467" s="5" t="s">
        <v>149</v>
      </c>
      <c r="D1467" s="5" t="s">
        <v>150</v>
      </c>
      <c r="E1467" s="5" t="s">
        <v>151</v>
      </c>
      <c r="F1467" s="5">
        <v>5002086</v>
      </c>
      <c r="G1467" s="5" t="s">
        <v>152</v>
      </c>
      <c r="H1467" s="5" t="s">
        <v>25</v>
      </c>
      <c r="I1467" s="5" t="s">
        <v>27</v>
      </c>
      <c r="J1467" s="5" t="s">
        <v>63</v>
      </c>
      <c r="K1467" s="6">
        <v>0</v>
      </c>
      <c r="L1467" s="7">
        <v>0</v>
      </c>
      <c r="M1467" s="8">
        <v>38.833333333333336</v>
      </c>
      <c r="N1467" s="8">
        <v>-2</v>
      </c>
      <c r="O1467" s="8">
        <v>0</v>
      </c>
      <c r="P1467" s="8">
        <v>0</v>
      </c>
      <c r="Q1467" s="8">
        <v>0</v>
      </c>
      <c r="R1467" s="8">
        <v>0</v>
      </c>
      <c r="S1467" s="8">
        <v>0</v>
      </c>
      <c r="T1467" s="5">
        <v>0</v>
      </c>
      <c r="U1467" s="5">
        <v>0</v>
      </c>
      <c r="V1467" s="5">
        <f>VLOOKUP(A1467,Planilha1!B:E,4,0)</f>
        <v>12.008237327188938</v>
      </c>
    </row>
    <row r="1468" spans="1:22" x14ac:dyDescent="0.3">
      <c r="A1468" t="str">
        <f t="shared" si="44"/>
        <v>COMPOSTOITAMBÉ</v>
      </c>
      <c r="B1468" t="str">
        <f t="shared" si="45"/>
        <v>5163884COMPOSTOITAMBÉ</v>
      </c>
      <c r="C1468" s="5" t="s">
        <v>16</v>
      </c>
      <c r="D1468" s="5" t="s">
        <v>17</v>
      </c>
      <c r="E1468" s="5" t="s">
        <v>23</v>
      </c>
      <c r="F1468" s="5">
        <v>5163884</v>
      </c>
      <c r="G1468" s="5" t="s">
        <v>940</v>
      </c>
      <c r="H1468" s="5" t="s">
        <v>30</v>
      </c>
      <c r="I1468" s="5" t="s">
        <v>27</v>
      </c>
      <c r="J1468" s="5" t="s">
        <v>26</v>
      </c>
      <c r="K1468" s="6">
        <v>0</v>
      </c>
      <c r="L1468" s="7">
        <v>0</v>
      </c>
      <c r="M1468" s="8">
        <v>3554.1666666666665</v>
      </c>
      <c r="N1468" s="8">
        <v>6000</v>
      </c>
      <c r="O1468" s="8">
        <v>0</v>
      </c>
      <c r="P1468" s="8">
        <v>0</v>
      </c>
      <c r="Q1468" s="8">
        <v>0</v>
      </c>
      <c r="R1468" s="8">
        <v>0</v>
      </c>
      <c r="S1468" s="8">
        <v>0</v>
      </c>
      <c r="T1468" s="5">
        <v>0</v>
      </c>
      <c r="U1468" s="5">
        <v>0</v>
      </c>
      <c r="V1468" s="5">
        <f>VLOOKUP(A1468,Planilha1!B:E,4,0)</f>
        <v>0.15618217875936719</v>
      </c>
    </row>
    <row r="1469" spans="1:22" x14ac:dyDescent="0.3">
      <c r="A1469" t="str">
        <f t="shared" si="44"/>
        <v>COMPOSTOITAMBÉ</v>
      </c>
      <c r="B1469" t="str">
        <f t="shared" si="45"/>
        <v>5198565COMPOSTOITAMBÉ</v>
      </c>
      <c r="C1469" s="5" t="s">
        <v>16</v>
      </c>
      <c r="D1469" s="5" t="s">
        <v>17</v>
      </c>
      <c r="E1469" s="5" t="s">
        <v>23</v>
      </c>
      <c r="F1469" s="5">
        <v>5198565</v>
      </c>
      <c r="G1469" s="5" t="s">
        <v>941</v>
      </c>
      <c r="H1469" s="5" t="s">
        <v>36</v>
      </c>
      <c r="I1469" s="5" t="s">
        <v>27</v>
      </c>
      <c r="J1469" s="5" t="s">
        <v>26</v>
      </c>
      <c r="K1469" s="6">
        <v>0</v>
      </c>
      <c r="L1469" s="7">
        <v>5000</v>
      </c>
      <c r="M1469" s="8">
        <v>429.16666666666663</v>
      </c>
      <c r="N1469" s="8">
        <v>866.66666666666663</v>
      </c>
      <c r="O1469" s="8">
        <v>0</v>
      </c>
      <c r="P1469" s="8">
        <v>0</v>
      </c>
      <c r="Q1469" s="8">
        <v>0</v>
      </c>
      <c r="R1469" s="8">
        <v>0</v>
      </c>
      <c r="S1469" s="8">
        <v>0</v>
      </c>
      <c r="T1469" s="5">
        <v>0</v>
      </c>
      <c r="U1469" s="5">
        <v>0</v>
      </c>
      <c r="V1469" s="5">
        <f>VLOOKUP(A1469,Planilha1!B:E,4,0)</f>
        <v>0.15618217875936719</v>
      </c>
    </row>
    <row r="1470" spans="1:22" x14ac:dyDescent="0.3">
      <c r="A1470" t="str">
        <f t="shared" si="44"/>
        <v>COMPOSTOITAMBÉ</v>
      </c>
      <c r="B1470" t="str">
        <f t="shared" si="45"/>
        <v>5223996COMPOSTOITAMBÉ</v>
      </c>
      <c r="C1470" s="5" t="s">
        <v>16</v>
      </c>
      <c r="D1470" s="5" t="s">
        <v>17</v>
      </c>
      <c r="E1470" s="5" t="s">
        <v>23</v>
      </c>
      <c r="F1470" s="5">
        <v>5223996</v>
      </c>
      <c r="G1470" s="5" t="s">
        <v>31</v>
      </c>
      <c r="H1470" s="5" t="s">
        <v>32</v>
      </c>
      <c r="I1470" s="5" t="s">
        <v>27</v>
      </c>
      <c r="J1470" s="5" t="s">
        <v>26</v>
      </c>
      <c r="K1470" s="6">
        <v>0</v>
      </c>
      <c r="L1470" s="7">
        <v>1000</v>
      </c>
      <c r="M1470" s="8">
        <v>0</v>
      </c>
      <c r="N1470" s="8">
        <v>0</v>
      </c>
      <c r="O1470" s="8">
        <v>0</v>
      </c>
      <c r="P1470" s="8">
        <v>0</v>
      </c>
      <c r="Q1470" s="8">
        <v>0</v>
      </c>
      <c r="R1470" s="8">
        <v>0</v>
      </c>
      <c r="S1470" s="8">
        <v>0</v>
      </c>
      <c r="T1470" s="5">
        <v>0</v>
      </c>
      <c r="U1470" s="5">
        <v>0</v>
      </c>
      <c r="V1470" s="5">
        <f>VLOOKUP(A1470,Planilha1!B:E,4,0)</f>
        <v>0.15618217875936719</v>
      </c>
    </row>
    <row r="1471" spans="1:22" x14ac:dyDescent="0.3">
      <c r="A1471" t="str">
        <f t="shared" si="44"/>
        <v>COMPOSTOITAMBÉ</v>
      </c>
      <c r="B1471" t="str">
        <f t="shared" si="45"/>
        <v>5224828COMPOSTOITAMBÉ</v>
      </c>
      <c r="C1471" s="5" t="s">
        <v>16</v>
      </c>
      <c r="D1471" s="5" t="s">
        <v>17</v>
      </c>
      <c r="E1471" s="5" t="s">
        <v>23</v>
      </c>
      <c r="F1471" s="5">
        <v>5224828</v>
      </c>
      <c r="G1471" s="5" t="s">
        <v>942</v>
      </c>
      <c r="H1471" s="5" t="s">
        <v>36</v>
      </c>
      <c r="I1471" s="5" t="s">
        <v>27</v>
      </c>
      <c r="J1471" s="5" t="s">
        <v>26</v>
      </c>
      <c r="K1471" s="6">
        <v>0</v>
      </c>
      <c r="L1471" s="7">
        <v>5000</v>
      </c>
      <c r="M1471" s="8">
        <v>250</v>
      </c>
      <c r="N1471" s="8">
        <v>0</v>
      </c>
      <c r="O1471" s="8">
        <v>0</v>
      </c>
      <c r="P1471" s="8">
        <v>0</v>
      </c>
      <c r="Q1471" s="8">
        <v>0</v>
      </c>
      <c r="R1471" s="8">
        <v>0</v>
      </c>
      <c r="S1471" s="8">
        <v>0</v>
      </c>
      <c r="T1471" s="5">
        <v>0</v>
      </c>
      <c r="U1471" s="5">
        <v>0</v>
      </c>
      <c r="V1471" s="5">
        <f>VLOOKUP(A1471,Planilha1!B:E,4,0)</f>
        <v>0.15618217875936719</v>
      </c>
    </row>
    <row r="1472" spans="1:22" x14ac:dyDescent="0.3">
      <c r="A1472" t="str">
        <f t="shared" si="44"/>
        <v>COMPOSTOITAMBÉ</v>
      </c>
      <c r="B1472" t="str">
        <f t="shared" si="45"/>
        <v>5231123COMPOSTOITAMBÉ</v>
      </c>
      <c r="C1472" s="5" t="s">
        <v>16</v>
      </c>
      <c r="D1472" s="5" t="s">
        <v>17</v>
      </c>
      <c r="E1472" s="5" t="s">
        <v>23</v>
      </c>
      <c r="F1472" s="5">
        <v>5231123</v>
      </c>
      <c r="G1472" s="5" t="s">
        <v>943</v>
      </c>
      <c r="H1472" s="5" t="s">
        <v>32</v>
      </c>
      <c r="I1472" s="5" t="s">
        <v>27</v>
      </c>
      <c r="J1472" s="5" t="s">
        <v>26</v>
      </c>
      <c r="K1472" s="6">
        <v>0</v>
      </c>
      <c r="L1472" s="7">
        <v>0</v>
      </c>
      <c r="M1472" s="8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v>0</v>
      </c>
      <c r="S1472" s="8">
        <v>0</v>
      </c>
      <c r="T1472" s="5">
        <v>0</v>
      </c>
      <c r="U1472" s="5">
        <v>0</v>
      </c>
      <c r="V1472" s="5">
        <f>VLOOKUP(A1472,Planilha1!B:E,4,0)</f>
        <v>0.15618217875936719</v>
      </c>
    </row>
    <row r="1473" spans="1:22" x14ac:dyDescent="0.3">
      <c r="A1473" t="str">
        <f t="shared" si="44"/>
        <v>CREME UHTITAMBÉ</v>
      </c>
      <c r="B1473" t="str">
        <f t="shared" si="45"/>
        <v>5006512CREME UHTITAMBÉ</v>
      </c>
      <c r="C1473" s="5" t="s">
        <v>16</v>
      </c>
      <c r="D1473" s="5" t="s">
        <v>17</v>
      </c>
      <c r="E1473" s="5" t="s">
        <v>44</v>
      </c>
      <c r="F1473" s="5">
        <v>5006512</v>
      </c>
      <c r="G1473" s="5" t="s">
        <v>944</v>
      </c>
      <c r="H1473" s="5" t="s">
        <v>25</v>
      </c>
      <c r="I1473" s="5" t="s">
        <v>27</v>
      </c>
      <c r="J1473" s="5" t="s">
        <v>34</v>
      </c>
      <c r="K1473" s="6">
        <v>0</v>
      </c>
      <c r="L1473" s="7">
        <v>29.64</v>
      </c>
      <c r="M1473" s="8">
        <v>0</v>
      </c>
      <c r="N1473" s="8">
        <v>0</v>
      </c>
      <c r="O1473" s="8">
        <v>0</v>
      </c>
      <c r="P1473" s="8">
        <v>0</v>
      </c>
      <c r="Q1473" s="8">
        <v>0</v>
      </c>
      <c r="R1473" s="8">
        <v>0</v>
      </c>
      <c r="S1473" s="8">
        <v>0</v>
      </c>
      <c r="T1473" s="5">
        <v>0</v>
      </c>
      <c r="U1473" s="5">
        <v>0</v>
      </c>
      <c r="V1473" s="5">
        <f>VLOOKUP(A1473,Planilha1!B:E,4,0)</f>
        <v>1.2362540170747773</v>
      </c>
    </row>
    <row r="1474" spans="1:22" x14ac:dyDescent="0.3">
      <c r="A1474" t="str">
        <f t="shared" ref="A1474:A1537" si="46">J1474&amp;I1474</f>
        <v>DOCE DE LEITEITAMBÉ</v>
      </c>
      <c r="B1474" t="str">
        <f t="shared" si="45"/>
        <v>5006512DOCE DE LEITEITAMBÉ</v>
      </c>
      <c r="C1474" s="5" t="s">
        <v>16</v>
      </c>
      <c r="D1474" s="5" t="s">
        <v>17</v>
      </c>
      <c r="E1474" s="5" t="s">
        <v>44</v>
      </c>
      <c r="F1474" s="5">
        <v>5006512</v>
      </c>
      <c r="G1474" s="5" t="s">
        <v>944</v>
      </c>
      <c r="H1474" s="5" t="s">
        <v>25</v>
      </c>
      <c r="I1474" s="5" t="s">
        <v>27</v>
      </c>
      <c r="J1474" s="5" t="s">
        <v>46</v>
      </c>
      <c r="K1474" s="6">
        <v>0</v>
      </c>
      <c r="L1474" s="7">
        <v>14.4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v>0</v>
      </c>
      <c r="S1474" s="8">
        <v>0</v>
      </c>
      <c r="T1474" s="5">
        <v>0</v>
      </c>
      <c r="U1474" s="5">
        <v>0</v>
      </c>
      <c r="V1474" s="5">
        <f>VLOOKUP(A1474,Planilha1!B:E,4,0)</f>
        <v>5.8210743907543439</v>
      </c>
    </row>
    <row r="1475" spans="1:22" x14ac:dyDescent="0.3">
      <c r="A1475" t="str">
        <f t="shared" si="46"/>
        <v>LEITE CONDENSADOITAMBÉ</v>
      </c>
      <c r="B1475" t="str">
        <f t="shared" ref="B1475:B1538" si="47">F1475&amp;J1475&amp;I1475</f>
        <v>5006512LEITE CONDENSADOITAMBÉ</v>
      </c>
      <c r="C1475" s="5" t="s">
        <v>16</v>
      </c>
      <c r="D1475" s="5" t="s">
        <v>17</v>
      </c>
      <c r="E1475" s="5" t="s">
        <v>44</v>
      </c>
      <c r="F1475" s="5">
        <v>5006512</v>
      </c>
      <c r="G1475" s="5" t="s">
        <v>944</v>
      </c>
      <c r="H1475" s="5" t="s">
        <v>25</v>
      </c>
      <c r="I1475" s="5" t="s">
        <v>27</v>
      </c>
      <c r="J1475" s="5" t="s">
        <v>33</v>
      </c>
      <c r="K1475" s="6">
        <v>0</v>
      </c>
      <c r="L1475" s="7">
        <v>29.48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  <c r="S1475" s="8">
        <v>0</v>
      </c>
      <c r="T1475" s="5">
        <v>0</v>
      </c>
      <c r="U1475" s="5">
        <v>0</v>
      </c>
      <c r="V1475" s="5">
        <f>VLOOKUP(A1475,Planilha1!B:E,4,0)</f>
        <v>1.4766792698630664</v>
      </c>
    </row>
    <row r="1476" spans="1:22" x14ac:dyDescent="0.3">
      <c r="A1476" t="str">
        <f t="shared" si="46"/>
        <v>SPREADSITAMBÉ</v>
      </c>
      <c r="B1476" t="str">
        <f t="shared" si="47"/>
        <v>5006512SPREADSITAMBÉ</v>
      </c>
      <c r="C1476" s="5" t="s">
        <v>16</v>
      </c>
      <c r="D1476" s="5" t="s">
        <v>17</v>
      </c>
      <c r="E1476" s="5" t="s">
        <v>44</v>
      </c>
      <c r="F1476" s="5">
        <v>5006512</v>
      </c>
      <c r="G1476" s="5" t="s">
        <v>944</v>
      </c>
      <c r="H1476" s="5" t="s">
        <v>25</v>
      </c>
      <c r="I1476" s="5" t="s">
        <v>27</v>
      </c>
      <c r="J1476" s="5" t="s">
        <v>945</v>
      </c>
      <c r="K1476" s="6">
        <v>0</v>
      </c>
      <c r="L1476" s="7">
        <v>11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  <c r="S1476" s="8">
        <v>0</v>
      </c>
      <c r="T1476" s="5">
        <v>0</v>
      </c>
      <c r="U1476" s="5">
        <v>0</v>
      </c>
      <c r="V1476" s="5">
        <f>VLOOKUP(A1476,Planilha1!B:E,4,0)</f>
        <v>9.2962610783648607</v>
      </c>
    </row>
    <row r="1477" spans="1:22" x14ac:dyDescent="0.3">
      <c r="A1477" t="str">
        <f t="shared" si="46"/>
        <v>LEITE CONDENSADOLACTALIS</v>
      </c>
      <c r="B1477" t="str">
        <f t="shared" si="47"/>
        <v>5041698LEITE CONDENSADOLACTALIS</v>
      </c>
      <c r="C1477" s="5" t="s">
        <v>16</v>
      </c>
      <c r="D1477" s="5" t="s">
        <v>17</v>
      </c>
      <c r="E1477" s="5" t="s">
        <v>44</v>
      </c>
      <c r="F1477" s="5">
        <v>5041698</v>
      </c>
      <c r="G1477" s="5" t="s">
        <v>946</v>
      </c>
      <c r="H1477" s="5" t="s">
        <v>30</v>
      </c>
      <c r="I1477" s="5" t="s">
        <v>22</v>
      </c>
      <c r="J1477" s="5" t="s">
        <v>33</v>
      </c>
      <c r="K1477" s="6">
        <v>0</v>
      </c>
      <c r="L1477" s="7">
        <v>574</v>
      </c>
      <c r="M1477" s="8">
        <v>478.33333333333326</v>
      </c>
      <c r="N1477" s="8">
        <v>308</v>
      </c>
      <c r="O1477" s="8">
        <v>392</v>
      </c>
      <c r="P1477" s="8">
        <v>0</v>
      </c>
      <c r="Q1477" s="8">
        <v>0</v>
      </c>
      <c r="R1477" s="8">
        <v>0</v>
      </c>
      <c r="S1477" s="8">
        <v>0</v>
      </c>
      <c r="T1477" s="5">
        <v>0</v>
      </c>
      <c r="U1477" s="5">
        <v>0</v>
      </c>
      <c r="V1477" s="5">
        <f>VLOOKUP(A1477,Planilha1!B:E,4,0)</f>
        <v>1.8665071822970765</v>
      </c>
    </row>
    <row r="1478" spans="1:22" x14ac:dyDescent="0.3">
      <c r="A1478" t="str">
        <f t="shared" si="46"/>
        <v>LEITE UHTLACTALIS</v>
      </c>
      <c r="B1478" t="str">
        <f t="shared" si="47"/>
        <v>5041698LEITE UHTLACTALIS</v>
      </c>
      <c r="C1478" s="5" t="s">
        <v>16</v>
      </c>
      <c r="D1478" s="5" t="s">
        <v>17</v>
      </c>
      <c r="E1478" s="5" t="s">
        <v>44</v>
      </c>
      <c r="F1478" s="5">
        <v>5041698</v>
      </c>
      <c r="G1478" s="5" t="s">
        <v>946</v>
      </c>
      <c r="H1478" s="5" t="s">
        <v>30</v>
      </c>
      <c r="I1478" s="5" t="s">
        <v>22</v>
      </c>
      <c r="J1478" s="5" t="s">
        <v>156</v>
      </c>
      <c r="K1478" s="6">
        <v>0</v>
      </c>
      <c r="L1478" s="7">
        <v>0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  <c r="S1478" s="8">
        <v>0</v>
      </c>
      <c r="T1478" s="5">
        <v>0</v>
      </c>
      <c r="U1478" s="5">
        <v>0</v>
      </c>
      <c r="V1478" s="5">
        <f>VLOOKUP(A1478,Planilha1!B:E,4,0)</f>
        <v>0.37177548115779385</v>
      </c>
    </row>
    <row r="1479" spans="1:22" x14ac:dyDescent="0.3">
      <c r="A1479" t="str">
        <f t="shared" si="46"/>
        <v>LEITE CONDENSADOITAMBÉ</v>
      </c>
      <c r="B1479" t="str">
        <f t="shared" si="47"/>
        <v>5133455LEITE CONDENSADOITAMBÉ</v>
      </c>
      <c r="C1479" s="5" t="s">
        <v>16</v>
      </c>
      <c r="D1479" s="5" t="s">
        <v>17</v>
      </c>
      <c r="E1479" s="5" t="s">
        <v>44</v>
      </c>
      <c r="F1479" s="5">
        <v>5133455</v>
      </c>
      <c r="G1479" s="5" t="s">
        <v>52</v>
      </c>
      <c r="H1479" s="5" t="s">
        <v>25</v>
      </c>
      <c r="I1479" s="5" t="s">
        <v>27</v>
      </c>
      <c r="J1479" s="5" t="s">
        <v>33</v>
      </c>
      <c r="K1479" s="6">
        <v>0</v>
      </c>
      <c r="L1479" s="7">
        <v>0</v>
      </c>
      <c r="M1479" s="8">
        <v>500</v>
      </c>
      <c r="N1479" s="8">
        <v>1000</v>
      </c>
      <c r="O1479" s="8">
        <v>0</v>
      </c>
      <c r="P1479" s="8">
        <v>0</v>
      </c>
      <c r="Q1479" s="8">
        <v>2000</v>
      </c>
      <c r="R1479" s="8">
        <v>0</v>
      </c>
      <c r="S1479" s="8">
        <v>0</v>
      </c>
      <c r="T1479" s="5">
        <v>0</v>
      </c>
      <c r="U1479" s="5">
        <v>0</v>
      </c>
      <c r="V1479" s="5">
        <f>VLOOKUP(A1479,Planilha1!B:E,4,0)</f>
        <v>1.4766792698630664</v>
      </c>
    </row>
    <row r="1480" spans="1:22" x14ac:dyDescent="0.3">
      <c r="A1480" t="str">
        <f t="shared" si="46"/>
        <v>LPI 25KGITAMBÉ</v>
      </c>
      <c r="B1480" t="str">
        <f t="shared" si="47"/>
        <v>5138406LPI 25KGITAMBÉ</v>
      </c>
      <c r="C1480" s="5" t="s">
        <v>16</v>
      </c>
      <c r="D1480" s="5" t="s">
        <v>17</v>
      </c>
      <c r="E1480" s="5" t="s">
        <v>44</v>
      </c>
      <c r="F1480" s="5">
        <v>5138406</v>
      </c>
      <c r="G1480" s="5" t="s">
        <v>947</v>
      </c>
      <c r="H1480" s="5" t="s">
        <v>154</v>
      </c>
      <c r="I1480" s="5" t="s">
        <v>27</v>
      </c>
      <c r="J1480" s="5" t="s">
        <v>21</v>
      </c>
      <c r="K1480" s="6">
        <v>0</v>
      </c>
      <c r="L1480" s="7">
        <v>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0</v>
      </c>
      <c r="S1480" s="8">
        <v>0</v>
      </c>
      <c r="T1480" s="5">
        <v>0</v>
      </c>
      <c r="U1480" s="5">
        <v>0</v>
      </c>
      <c r="V1480" s="5">
        <f>VLOOKUP(A1480,Planilha1!B:E,4,0)</f>
        <v>-1.218192805504376</v>
      </c>
    </row>
    <row r="1481" spans="1:22" x14ac:dyDescent="0.3">
      <c r="A1481" t="str">
        <f t="shared" si="46"/>
        <v>LEITE CONDENSADOITAMBÉ</v>
      </c>
      <c r="B1481" t="str">
        <f t="shared" si="47"/>
        <v>5139714LEITE CONDENSADOITAMBÉ</v>
      </c>
      <c r="C1481" s="5" t="s">
        <v>16</v>
      </c>
      <c r="D1481" s="5" t="s">
        <v>17</v>
      </c>
      <c r="E1481" s="5" t="s">
        <v>44</v>
      </c>
      <c r="F1481" s="5">
        <v>5139714</v>
      </c>
      <c r="G1481" s="5" t="s">
        <v>948</v>
      </c>
      <c r="H1481" s="5" t="s">
        <v>25</v>
      </c>
      <c r="I1481" s="5" t="s">
        <v>27</v>
      </c>
      <c r="J1481" s="5" t="s">
        <v>33</v>
      </c>
      <c r="K1481" s="6">
        <v>0</v>
      </c>
      <c r="L1481" s="7">
        <v>0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0</v>
      </c>
      <c r="S1481" s="8">
        <v>0</v>
      </c>
      <c r="T1481" s="5">
        <v>0</v>
      </c>
      <c r="U1481" s="5">
        <v>0</v>
      </c>
      <c r="V1481" s="5">
        <f>VLOOKUP(A1481,Planilha1!B:E,4,0)</f>
        <v>1.4766792698630664</v>
      </c>
    </row>
    <row r="1482" spans="1:22" x14ac:dyDescent="0.3">
      <c r="A1482" t="str">
        <f t="shared" si="46"/>
        <v>COMPOSTOITAMBÉ</v>
      </c>
      <c r="B1482" t="str">
        <f t="shared" si="47"/>
        <v>5150509COMPOSTOITAMBÉ</v>
      </c>
      <c r="C1482" s="5" t="s">
        <v>16</v>
      </c>
      <c r="D1482" s="5" t="s">
        <v>17</v>
      </c>
      <c r="E1482" s="5" t="s">
        <v>44</v>
      </c>
      <c r="F1482" s="5">
        <v>5150509</v>
      </c>
      <c r="G1482" s="5" t="s">
        <v>949</v>
      </c>
      <c r="H1482" s="5" t="s">
        <v>25</v>
      </c>
      <c r="I1482" s="5" t="s">
        <v>27</v>
      </c>
      <c r="J1482" s="5" t="s">
        <v>26</v>
      </c>
      <c r="K1482" s="6">
        <v>0</v>
      </c>
      <c r="L1482" s="7">
        <v>11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  <c r="S1482" s="8">
        <v>0</v>
      </c>
      <c r="T1482" s="5">
        <v>0</v>
      </c>
      <c r="U1482" s="5">
        <v>0</v>
      </c>
      <c r="V1482" s="5">
        <f>VLOOKUP(A1482,Planilha1!B:E,4,0)</f>
        <v>0.15618217875936719</v>
      </c>
    </row>
    <row r="1483" spans="1:22" x14ac:dyDescent="0.3">
      <c r="A1483" t="str">
        <f t="shared" si="46"/>
        <v>CREME UHTITAMBÉ</v>
      </c>
      <c r="B1483" t="str">
        <f t="shared" si="47"/>
        <v>5150509CREME UHTITAMBÉ</v>
      </c>
      <c r="C1483" s="5" t="s">
        <v>16</v>
      </c>
      <c r="D1483" s="5" t="s">
        <v>17</v>
      </c>
      <c r="E1483" s="5" t="s">
        <v>44</v>
      </c>
      <c r="F1483" s="5">
        <v>5150509</v>
      </c>
      <c r="G1483" s="5" t="s">
        <v>949</v>
      </c>
      <c r="H1483" s="5" t="s">
        <v>25</v>
      </c>
      <c r="I1483" s="5" t="s">
        <v>27</v>
      </c>
      <c r="J1483" s="5" t="s">
        <v>34</v>
      </c>
      <c r="K1483" s="6">
        <v>0</v>
      </c>
      <c r="L1483" s="7">
        <v>393.9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0</v>
      </c>
      <c r="S1483" s="8">
        <v>0</v>
      </c>
      <c r="T1483" s="5">
        <v>0</v>
      </c>
      <c r="U1483" s="5">
        <v>0</v>
      </c>
      <c r="V1483" s="5">
        <f>VLOOKUP(A1483,Planilha1!B:E,4,0)</f>
        <v>1.2362540170747773</v>
      </c>
    </row>
    <row r="1484" spans="1:22" x14ac:dyDescent="0.3">
      <c r="A1484" t="str">
        <f t="shared" si="46"/>
        <v>LPI 25KGITAMBÉ</v>
      </c>
      <c r="B1484" t="str">
        <f t="shared" si="47"/>
        <v>5165046LPI 25KGITAMBÉ</v>
      </c>
      <c r="C1484" s="5" t="s">
        <v>16</v>
      </c>
      <c r="D1484" s="5" t="s">
        <v>17</v>
      </c>
      <c r="E1484" s="5" t="s">
        <v>44</v>
      </c>
      <c r="F1484" s="5">
        <v>5165046</v>
      </c>
      <c r="G1484" s="5" t="s">
        <v>950</v>
      </c>
      <c r="H1484" s="5" t="s">
        <v>154</v>
      </c>
      <c r="I1484" s="5" t="s">
        <v>27</v>
      </c>
      <c r="J1484" s="5" t="s">
        <v>21</v>
      </c>
      <c r="K1484" s="6">
        <v>0</v>
      </c>
      <c r="L1484" s="7">
        <v>0</v>
      </c>
      <c r="M1484" s="8">
        <v>2541.6666666666665</v>
      </c>
      <c r="N1484" s="8">
        <v>5083.333333333333</v>
      </c>
      <c r="O1484" s="8">
        <v>0</v>
      </c>
      <c r="P1484" s="8">
        <v>0</v>
      </c>
      <c r="Q1484" s="8">
        <v>0</v>
      </c>
      <c r="R1484" s="8">
        <v>0</v>
      </c>
      <c r="S1484" s="8">
        <v>0</v>
      </c>
      <c r="T1484" s="5">
        <v>0</v>
      </c>
      <c r="U1484" s="5">
        <v>0</v>
      </c>
      <c r="V1484" s="5">
        <f>VLOOKUP(A1484,Planilha1!B:E,4,0)</f>
        <v>-1.218192805504376</v>
      </c>
    </row>
    <row r="1485" spans="1:22" x14ac:dyDescent="0.3">
      <c r="A1485" t="str">
        <f t="shared" si="46"/>
        <v>LEITE EM PÓITAMBÉ</v>
      </c>
      <c r="B1485" t="str">
        <f t="shared" si="47"/>
        <v>5173434LEITE EM PÓITAMBÉ</v>
      </c>
      <c r="C1485" s="5" t="s">
        <v>16</v>
      </c>
      <c r="D1485" s="5" t="s">
        <v>17</v>
      </c>
      <c r="E1485" s="5" t="s">
        <v>44</v>
      </c>
      <c r="F1485" s="5">
        <v>5173434</v>
      </c>
      <c r="G1485" s="5" t="s">
        <v>951</v>
      </c>
      <c r="H1485" s="5" t="s">
        <v>25</v>
      </c>
      <c r="I1485" s="5" t="s">
        <v>27</v>
      </c>
      <c r="J1485" s="5" t="s">
        <v>84</v>
      </c>
      <c r="K1485" s="6">
        <v>0</v>
      </c>
      <c r="L1485" s="7">
        <v>-100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0</v>
      </c>
      <c r="S1485" s="8">
        <v>0</v>
      </c>
      <c r="T1485" s="5">
        <v>0</v>
      </c>
      <c r="U1485" s="5">
        <v>0</v>
      </c>
      <c r="V1485" s="5">
        <f>VLOOKUP(A1485,Planilha1!B:E,4,0)</f>
        <v>4.5971522734997743</v>
      </c>
    </row>
    <row r="1486" spans="1:22" x14ac:dyDescent="0.3">
      <c r="A1486" t="str">
        <f t="shared" si="46"/>
        <v>LEITE UHTITAMBÉ</v>
      </c>
      <c r="B1486" t="str">
        <f t="shared" si="47"/>
        <v>5186248LEITE UHTITAMBÉ</v>
      </c>
      <c r="C1486" s="5" t="s">
        <v>16</v>
      </c>
      <c r="D1486" s="5" t="s">
        <v>17</v>
      </c>
      <c r="E1486" s="5" t="s">
        <v>44</v>
      </c>
      <c r="F1486" s="5">
        <v>5186248</v>
      </c>
      <c r="G1486" s="5" t="s">
        <v>952</v>
      </c>
      <c r="H1486" s="5" t="s">
        <v>25</v>
      </c>
      <c r="I1486" s="5" t="s">
        <v>27</v>
      </c>
      <c r="J1486" s="5" t="s">
        <v>156</v>
      </c>
      <c r="K1486" s="6">
        <v>0</v>
      </c>
      <c r="L1486" s="7">
        <v>120</v>
      </c>
      <c r="M1486" s="8">
        <v>60</v>
      </c>
      <c r="N1486" s="8">
        <v>40</v>
      </c>
      <c r="O1486" s="8">
        <v>0</v>
      </c>
      <c r="P1486" s="8">
        <v>0</v>
      </c>
      <c r="Q1486" s="8">
        <v>0</v>
      </c>
      <c r="R1486" s="8">
        <v>0</v>
      </c>
      <c r="S1486" s="8">
        <v>0</v>
      </c>
      <c r="T1486" s="5">
        <v>0</v>
      </c>
      <c r="U1486" s="5">
        <v>0</v>
      </c>
      <c r="V1486" s="5">
        <f>VLOOKUP(A1486,Planilha1!B:E,4,0)</f>
        <v>-0.14425288609148015</v>
      </c>
    </row>
    <row r="1487" spans="1:22" x14ac:dyDescent="0.3">
      <c r="A1487" t="str">
        <f t="shared" si="46"/>
        <v>MANTEIGA 25KGLACTALIS</v>
      </c>
      <c r="B1487" t="str">
        <f t="shared" si="47"/>
        <v>5060394MANTEIGA 25KGLACTALIS</v>
      </c>
      <c r="C1487" s="5" t="s">
        <v>16</v>
      </c>
      <c r="D1487" s="5" t="s">
        <v>16</v>
      </c>
      <c r="E1487" s="5" t="s">
        <v>132</v>
      </c>
      <c r="F1487" s="5">
        <v>5060394</v>
      </c>
      <c r="G1487" s="5" t="s">
        <v>173</v>
      </c>
      <c r="H1487" s="5" t="s">
        <v>113</v>
      </c>
      <c r="I1487" s="5" t="s">
        <v>22</v>
      </c>
      <c r="J1487" s="5" t="s">
        <v>92</v>
      </c>
      <c r="K1487" s="6">
        <v>0</v>
      </c>
      <c r="L1487" s="7">
        <v>50000</v>
      </c>
      <c r="M1487" s="8">
        <v>54166.666666666672</v>
      </c>
      <c r="N1487" s="8">
        <v>75000</v>
      </c>
      <c r="O1487" s="8">
        <v>53052</v>
      </c>
      <c r="P1487" s="8">
        <v>0</v>
      </c>
      <c r="Q1487" s="8">
        <v>100000</v>
      </c>
      <c r="R1487" s="8">
        <v>0</v>
      </c>
      <c r="S1487" s="8">
        <v>0</v>
      </c>
      <c r="T1487" s="5">
        <v>100000</v>
      </c>
      <c r="U1487" s="5">
        <v>0</v>
      </c>
      <c r="V1487" s="5">
        <f>VLOOKUP(A1487,Planilha1!B:E,4,0)</f>
        <v>-1.2278576950723545</v>
      </c>
    </row>
    <row r="1488" spans="1:22" x14ac:dyDescent="0.3">
      <c r="A1488" t="str">
        <f t="shared" si="46"/>
        <v>LEITE UHTITAMBÉ</v>
      </c>
      <c r="B1488" t="str">
        <f t="shared" si="47"/>
        <v>5206830LEITE UHTITAMBÉ</v>
      </c>
      <c r="C1488" s="5" t="s">
        <v>16</v>
      </c>
      <c r="D1488" s="5" t="s">
        <v>17</v>
      </c>
      <c r="E1488" s="5" t="s">
        <v>44</v>
      </c>
      <c r="F1488" s="5">
        <v>5206830</v>
      </c>
      <c r="G1488" s="5" t="s">
        <v>70</v>
      </c>
      <c r="H1488" s="5" t="s">
        <v>25</v>
      </c>
      <c r="I1488" s="5" t="s">
        <v>27</v>
      </c>
      <c r="J1488" s="5" t="s">
        <v>156</v>
      </c>
      <c r="K1488" s="6">
        <v>0</v>
      </c>
      <c r="L1488" s="7">
        <v>0</v>
      </c>
      <c r="M1488" s="8">
        <v>64</v>
      </c>
      <c r="N1488" s="8">
        <v>48</v>
      </c>
      <c r="O1488" s="8">
        <v>0</v>
      </c>
      <c r="P1488" s="8">
        <v>0</v>
      </c>
      <c r="Q1488" s="8">
        <v>0</v>
      </c>
      <c r="R1488" s="8">
        <v>0</v>
      </c>
      <c r="S1488" s="8">
        <v>0</v>
      </c>
      <c r="T1488" s="5">
        <v>0</v>
      </c>
      <c r="U1488" s="5">
        <v>0</v>
      </c>
      <c r="V1488" s="5">
        <f>VLOOKUP(A1488,Planilha1!B:E,4,0)</f>
        <v>-0.14425288609148015</v>
      </c>
    </row>
    <row r="1489" spans="1:22" x14ac:dyDescent="0.3">
      <c r="A1489" t="str">
        <f t="shared" si="46"/>
        <v>DOCE DE LEITEITAMBÉ</v>
      </c>
      <c r="B1489" t="str">
        <f t="shared" si="47"/>
        <v>5210640DOCE DE LEITEITAMBÉ</v>
      </c>
      <c r="C1489" s="5" t="s">
        <v>16</v>
      </c>
      <c r="D1489" s="5" t="s">
        <v>17</v>
      </c>
      <c r="E1489" s="5" t="s">
        <v>44</v>
      </c>
      <c r="F1489" s="5">
        <v>5210640</v>
      </c>
      <c r="G1489" s="5" t="s">
        <v>72</v>
      </c>
      <c r="H1489" s="5" t="s">
        <v>30</v>
      </c>
      <c r="I1489" s="5" t="s">
        <v>27</v>
      </c>
      <c r="J1489" s="5" t="s">
        <v>46</v>
      </c>
      <c r="K1489" s="6">
        <v>0</v>
      </c>
      <c r="L1489" s="7">
        <v>0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0</v>
      </c>
      <c r="S1489" s="8">
        <v>0</v>
      </c>
      <c r="T1489" s="5">
        <v>0</v>
      </c>
      <c r="U1489" s="5">
        <v>0</v>
      </c>
      <c r="V1489" s="5">
        <f>VLOOKUP(A1489,Planilha1!B:E,4,0)</f>
        <v>5.8210743907543439</v>
      </c>
    </row>
    <row r="1490" spans="1:22" x14ac:dyDescent="0.3">
      <c r="A1490" t="str">
        <f t="shared" si="46"/>
        <v>CREME UHTITAMBÉ</v>
      </c>
      <c r="B1490" t="str">
        <f t="shared" si="47"/>
        <v>5225381CREME UHTITAMBÉ</v>
      </c>
      <c r="C1490" s="5" t="s">
        <v>16</v>
      </c>
      <c r="D1490" s="5" t="s">
        <v>17</v>
      </c>
      <c r="E1490" s="5" t="s">
        <v>44</v>
      </c>
      <c r="F1490" s="5">
        <v>5225381</v>
      </c>
      <c r="G1490" s="5" t="s">
        <v>953</v>
      </c>
      <c r="H1490" s="5" t="s">
        <v>25</v>
      </c>
      <c r="I1490" s="5" t="s">
        <v>27</v>
      </c>
      <c r="J1490" s="5" t="s">
        <v>34</v>
      </c>
      <c r="K1490" s="6">
        <v>0</v>
      </c>
      <c r="L1490" s="7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0</v>
      </c>
      <c r="S1490" s="8">
        <v>0</v>
      </c>
      <c r="T1490" s="5">
        <v>0</v>
      </c>
      <c r="U1490" s="5">
        <v>0</v>
      </c>
      <c r="V1490" s="5">
        <f>VLOOKUP(A1490,Planilha1!B:E,4,0)</f>
        <v>1.2362540170747773</v>
      </c>
    </row>
    <row r="1491" spans="1:22" x14ac:dyDescent="0.3">
      <c r="A1491" t="str">
        <f t="shared" si="46"/>
        <v>LPI 25KGITAMBÉ</v>
      </c>
      <c r="B1491" t="str">
        <f t="shared" si="47"/>
        <v>5333061LPI 25KGITAMBÉ</v>
      </c>
      <c r="C1491" s="5" t="s">
        <v>16</v>
      </c>
      <c r="D1491" s="5" t="s">
        <v>17</v>
      </c>
      <c r="E1491" s="5" t="s">
        <v>44</v>
      </c>
      <c r="F1491" s="5">
        <v>5333061</v>
      </c>
      <c r="G1491" s="5" t="s">
        <v>954</v>
      </c>
      <c r="H1491" s="5" t="s">
        <v>25</v>
      </c>
      <c r="I1491" s="5" t="s">
        <v>27</v>
      </c>
      <c r="J1491" s="5" t="s">
        <v>21</v>
      </c>
      <c r="K1491" s="6">
        <v>0</v>
      </c>
      <c r="L1491" s="7">
        <v>1000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0</v>
      </c>
      <c r="S1491" s="8">
        <v>0</v>
      </c>
      <c r="T1491" s="5">
        <v>0</v>
      </c>
      <c r="U1491" s="5">
        <v>0</v>
      </c>
      <c r="V1491" s="5">
        <f>VLOOKUP(A1491,Planilha1!B:E,4,0)</f>
        <v>-1.218192805504376</v>
      </c>
    </row>
    <row r="1492" spans="1:22" x14ac:dyDescent="0.3">
      <c r="A1492" t="str">
        <f t="shared" si="46"/>
        <v>QUEIJOSITAMBÉ</v>
      </c>
      <c r="B1492" t="str">
        <f t="shared" si="47"/>
        <v>5343039QUEIJOSITAMBÉ</v>
      </c>
      <c r="C1492" s="5" t="s">
        <v>16</v>
      </c>
      <c r="D1492" s="5" t="s">
        <v>17</v>
      </c>
      <c r="E1492" s="5" t="s">
        <v>44</v>
      </c>
      <c r="F1492" s="5">
        <v>5343039</v>
      </c>
      <c r="G1492" s="5" t="s">
        <v>955</v>
      </c>
      <c r="H1492" s="5" t="s">
        <v>25</v>
      </c>
      <c r="I1492" s="5" t="s">
        <v>27</v>
      </c>
      <c r="J1492" s="5" t="s">
        <v>63</v>
      </c>
      <c r="K1492" s="6">
        <v>0</v>
      </c>
      <c r="L1492" s="7">
        <v>88.69</v>
      </c>
      <c r="M1492" s="8">
        <v>0</v>
      </c>
      <c r="N1492" s="8">
        <v>0</v>
      </c>
      <c r="O1492" s="8">
        <v>0</v>
      </c>
      <c r="P1492" s="8">
        <v>0</v>
      </c>
      <c r="Q1492" s="8">
        <v>0</v>
      </c>
      <c r="R1492" s="8">
        <v>0</v>
      </c>
      <c r="S1492" s="8">
        <v>0</v>
      </c>
      <c r="T1492" s="5">
        <v>0</v>
      </c>
      <c r="U1492" s="5">
        <v>0</v>
      </c>
      <c r="V1492" s="5">
        <f>VLOOKUP(A1492,Planilha1!B:E,4,0)</f>
        <v>12.008237327188938</v>
      </c>
    </row>
    <row r="1493" spans="1:22" x14ac:dyDescent="0.3">
      <c r="A1493" t="str">
        <f t="shared" si="46"/>
        <v>LPD 25KGITAMBÉ</v>
      </c>
      <c r="B1493" t="str">
        <f t="shared" si="47"/>
        <v>5344781LPD 25KGITAMBÉ</v>
      </c>
      <c r="C1493" s="5" t="s">
        <v>16</v>
      </c>
      <c r="D1493" s="5" t="s">
        <v>17</v>
      </c>
      <c r="E1493" s="5" t="s">
        <v>44</v>
      </c>
      <c r="F1493" s="5">
        <v>5344781</v>
      </c>
      <c r="G1493" s="5" t="s">
        <v>956</v>
      </c>
      <c r="H1493" s="5" t="s">
        <v>25</v>
      </c>
      <c r="I1493" s="5" t="s">
        <v>27</v>
      </c>
      <c r="J1493" s="5" t="s">
        <v>43</v>
      </c>
      <c r="K1493" s="6">
        <v>0</v>
      </c>
      <c r="L1493" s="7">
        <v>0</v>
      </c>
      <c r="M1493" s="8">
        <v>0</v>
      </c>
      <c r="N1493" s="8">
        <v>0</v>
      </c>
      <c r="O1493" s="8">
        <v>0</v>
      </c>
      <c r="P1493" s="8">
        <v>0</v>
      </c>
      <c r="Q1493" s="8">
        <v>0</v>
      </c>
      <c r="R1493" s="8">
        <v>0</v>
      </c>
      <c r="S1493" s="8">
        <v>0</v>
      </c>
      <c r="T1493" s="5">
        <v>0</v>
      </c>
      <c r="U1493" s="5">
        <v>0</v>
      </c>
      <c r="V1493" s="5">
        <f>VLOOKUP(A1493,Planilha1!B:E,4,0)</f>
        <v>3.3372177319587628</v>
      </c>
    </row>
    <row r="1494" spans="1:22" x14ac:dyDescent="0.3">
      <c r="A1494" t="str">
        <f t="shared" si="46"/>
        <v>LPD 25KGITAMBÉ</v>
      </c>
      <c r="B1494" t="str">
        <f t="shared" si="47"/>
        <v>5347458LPD 25KGITAMBÉ</v>
      </c>
      <c r="C1494" s="5" t="s">
        <v>16</v>
      </c>
      <c r="D1494" s="5" t="s">
        <v>17</v>
      </c>
      <c r="E1494" s="5" t="s">
        <v>44</v>
      </c>
      <c r="F1494" s="5">
        <v>5347458</v>
      </c>
      <c r="G1494" s="5" t="s">
        <v>957</v>
      </c>
      <c r="H1494" s="5" t="s">
        <v>25</v>
      </c>
      <c r="I1494" s="5" t="s">
        <v>27</v>
      </c>
      <c r="J1494" s="5" t="s">
        <v>43</v>
      </c>
      <c r="K1494" s="6">
        <v>0</v>
      </c>
      <c r="L1494" s="7">
        <v>2000</v>
      </c>
      <c r="M1494" s="8">
        <v>0</v>
      </c>
      <c r="N1494" s="8">
        <v>0</v>
      </c>
      <c r="O1494" s="8">
        <v>0</v>
      </c>
      <c r="P1494" s="8">
        <v>0</v>
      </c>
      <c r="Q1494" s="8">
        <v>0</v>
      </c>
      <c r="R1494" s="8">
        <v>0</v>
      </c>
      <c r="S1494" s="8">
        <v>0</v>
      </c>
      <c r="T1494" s="5">
        <v>0</v>
      </c>
      <c r="U1494" s="5">
        <v>0</v>
      </c>
      <c r="V1494" s="5">
        <f>VLOOKUP(A1494,Planilha1!B:E,4,0)</f>
        <v>3.3372177319587628</v>
      </c>
    </row>
    <row r="1495" spans="1:22" x14ac:dyDescent="0.3">
      <c r="A1495" t="str">
        <f t="shared" si="46"/>
        <v>LPD 25KGLACTALIS</v>
      </c>
      <c r="B1495" t="str">
        <f t="shared" si="47"/>
        <v>5028282LPD 25KGLACTALIS</v>
      </c>
      <c r="C1495" s="5" t="s">
        <v>16</v>
      </c>
      <c r="D1495" s="5" t="s">
        <v>17</v>
      </c>
      <c r="E1495" s="5" t="s">
        <v>66</v>
      </c>
      <c r="F1495" s="5">
        <v>5028282</v>
      </c>
      <c r="G1495" s="5" t="s">
        <v>958</v>
      </c>
      <c r="H1495" s="5" t="s">
        <v>30</v>
      </c>
      <c r="I1495" s="5" t="s">
        <v>22</v>
      </c>
      <c r="J1495" s="5" t="s">
        <v>43</v>
      </c>
      <c r="K1495" s="6">
        <v>0</v>
      </c>
      <c r="L1495" s="7">
        <v>0</v>
      </c>
      <c r="M1495" s="8">
        <v>0</v>
      </c>
      <c r="N1495" s="8">
        <v>0</v>
      </c>
      <c r="O1495" s="8">
        <v>0</v>
      </c>
      <c r="P1495" s="8">
        <v>0</v>
      </c>
      <c r="Q1495" s="8">
        <v>0</v>
      </c>
      <c r="R1495" s="8">
        <v>0</v>
      </c>
      <c r="S1495" s="8">
        <v>0</v>
      </c>
      <c r="T1495" s="5">
        <v>0</v>
      </c>
      <c r="U1495" s="5">
        <v>0</v>
      </c>
      <c r="V1495" s="5">
        <f>VLOOKUP(A1495,Planilha1!B:E,4,0)</f>
        <v>5.893629113453061</v>
      </c>
    </row>
    <row r="1496" spans="1:22" x14ac:dyDescent="0.3">
      <c r="A1496" t="str">
        <f t="shared" si="46"/>
        <v>DOCE DE LEITEITAMBÉ</v>
      </c>
      <c r="B1496" t="str">
        <f t="shared" si="47"/>
        <v>5043935DOCE DE LEITEITAMBÉ</v>
      </c>
      <c r="C1496" s="5" t="s">
        <v>16</v>
      </c>
      <c r="D1496" s="5" t="s">
        <v>17</v>
      </c>
      <c r="E1496" s="5" t="s">
        <v>66</v>
      </c>
      <c r="F1496" s="5">
        <v>5043935</v>
      </c>
      <c r="G1496" s="5" t="s">
        <v>67</v>
      </c>
      <c r="H1496" s="5" t="s">
        <v>25</v>
      </c>
      <c r="I1496" s="5" t="s">
        <v>27</v>
      </c>
      <c r="J1496" s="5" t="s">
        <v>46</v>
      </c>
      <c r="K1496" s="6">
        <v>0</v>
      </c>
      <c r="L1496" s="7">
        <v>0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0</v>
      </c>
      <c r="S1496" s="8">
        <v>0</v>
      </c>
      <c r="T1496" s="5">
        <v>0</v>
      </c>
      <c r="U1496" s="5">
        <v>0</v>
      </c>
      <c r="V1496" s="5">
        <f>VLOOKUP(A1496,Planilha1!B:E,4,0)</f>
        <v>5.8210743907543439</v>
      </c>
    </row>
    <row r="1497" spans="1:22" x14ac:dyDescent="0.3">
      <c r="A1497" t="str">
        <f t="shared" si="46"/>
        <v>LPD 25KGLACTALIS</v>
      </c>
      <c r="B1497" t="str">
        <f t="shared" si="47"/>
        <v>5089996LPD 25KGLACTALIS</v>
      </c>
      <c r="C1497" s="5" t="s">
        <v>16</v>
      </c>
      <c r="D1497" s="5" t="s">
        <v>17</v>
      </c>
      <c r="E1497" s="5" t="s">
        <v>66</v>
      </c>
      <c r="F1497" s="5">
        <v>5089996</v>
      </c>
      <c r="G1497" s="5" t="s">
        <v>959</v>
      </c>
      <c r="H1497" s="5" t="s">
        <v>103</v>
      </c>
      <c r="I1497" s="5" t="s">
        <v>22</v>
      </c>
      <c r="J1497" s="5" t="s">
        <v>43</v>
      </c>
      <c r="K1497" s="6">
        <v>0</v>
      </c>
      <c r="L1497" s="7">
        <v>1000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0</v>
      </c>
      <c r="S1497" s="8">
        <v>0</v>
      </c>
      <c r="T1497" s="5">
        <v>0</v>
      </c>
      <c r="U1497" s="5">
        <v>0</v>
      </c>
      <c r="V1497" s="5">
        <f>VLOOKUP(A1497,Planilha1!B:E,4,0)</f>
        <v>5.893629113453061</v>
      </c>
    </row>
    <row r="1498" spans="1:22" x14ac:dyDescent="0.3">
      <c r="A1498" t="str">
        <f t="shared" si="46"/>
        <v>LPI 25KGLACTALIS</v>
      </c>
      <c r="B1498" t="str">
        <f t="shared" si="47"/>
        <v>5089996LPI 25KGLACTALIS</v>
      </c>
      <c r="C1498" s="5" t="s">
        <v>16</v>
      </c>
      <c r="D1498" s="5" t="s">
        <v>17</v>
      </c>
      <c r="E1498" s="5" t="s">
        <v>66</v>
      </c>
      <c r="F1498" s="5">
        <v>5089996</v>
      </c>
      <c r="G1498" s="5" t="s">
        <v>959</v>
      </c>
      <c r="H1498" s="5" t="s">
        <v>103</v>
      </c>
      <c r="I1498" s="5" t="s">
        <v>22</v>
      </c>
      <c r="J1498" s="5" t="s">
        <v>21</v>
      </c>
      <c r="K1498" s="6">
        <v>0</v>
      </c>
      <c r="L1498" s="7">
        <v>4275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0</v>
      </c>
      <c r="S1498" s="8">
        <v>0</v>
      </c>
      <c r="T1498" s="5">
        <v>0</v>
      </c>
      <c r="U1498" s="5">
        <v>0</v>
      </c>
      <c r="V1498" s="5">
        <f>VLOOKUP(A1498,Planilha1!B:E,4,0)</f>
        <v>-4.3046759024811481</v>
      </c>
    </row>
    <row r="1499" spans="1:22" x14ac:dyDescent="0.3">
      <c r="A1499" t="str">
        <f t="shared" si="46"/>
        <v>LEITE EM PÓLACTALIS</v>
      </c>
      <c r="B1499" t="str">
        <f t="shared" si="47"/>
        <v>5143288LEITE EM PÓLACTALIS</v>
      </c>
      <c r="C1499" s="5" t="s">
        <v>16</v>
      </c>
      <c r="D1499" s="5" t="s">
        <v>17</v>
      </c>
      <c r="E1499" s="5" t="s">
        <v>66</v>
      </c>
      <c r="F1499" s="5">
        <v>5143288</v>
      </c>
      <c r="G1499" s="5" t="s">
        <v>93</v>
      </c>
      <c r="H1499" s="5" t="s">
        <v>25</v>
      </c>
      <c r="I1499" s="5" t="s">
        <v>22</v>
      </c>
      <c r="J1499" s="5" t="s">
        <v>84</v>
      </c>
      <c r="K1499" s="6">
        <v>0</v>
      </c>
      <c r="L1499" s="7">
        <v>7900</v>
      </c>
      <c r="M1499" s="8">
        <v>26937.885166666671</v>
      </c>
      <c r="N1499" s="8">
        <v>37875.770333333334</v>
      </c>
      <c r="O1499" s="8">
        <v>0</v>
      </c>
      <c r="P1499" s="8">
        <v>0</v>
      </c>
      <c r="Q1499" s="8">
        <v>0</v>
      </c>
      <c r="R1499" s="8">
        <v>0</v>
      </c>
      <c r="S1499" s="8">
        <v>0</v>
      </c>
      <c r="T1499" s="5">
        <v>0</v>
      </c>
      <c r="U1499" s="5">
        <v>0</v>
      </c>
      <c r="V1499" s="5">
        <f>VLOOKUP(A1499,Planilha1!B:E,4,0)</f>
        <v>-2.8055507108797499</v>
      </c>
    </row>
    <row r="1500" spans="1:22" x14ac:dyDescent="0.3">
      <c r="A1500" t="str">
        <f t="shared" si="46"/>
        <v>LPD 25KGLACTALIS</v>
      </c>
      <c r="B1500" t="str">
        <f t="shared" si="47"/>
        <v>5144160LPD 25KGLACTALIS</v>
      </c>
      <c r="C1500" s="5" t="s">
        <v>16</v>
      </c>
      <c r="D1500" s="5" t="s">
        <v>17</v>
      </c>
      <c r="E1500" s="5" t="s">
        <v>66</v>
      </c>
      <c r="F1500" s="5">
        <v>5144160</v>
      </c>
      <c r="G1500" s="5" t="s">
        <v>960</v>
      </c>
      <c r="H1500" s="5" t="s">
        <v>88</v>
      </c>
      <c r="I1500" s="5" t="s">
        <v>22</v>
      </c>
      <c r="J1500" s="5" t="s">
        <v>43</v>
      </c>
      <c r="K1500" s="6">
        <v>0</v>
      </c>
      <c r="L1500" s="7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0</v>
      </c>
      <c r="S1500" s="8">
        <v>0</v>
      </c>
      <c r="T1500" s="5">
        <v>0</v>
      </c>
      <c r="U1500" s="5">
        <v>0</v>
      </c>
      <c r="V1500" s="5">
        <f>VLOOKUP(A1500,Planilha1!B:E,4,0)</f>
        <v>5.893629113453061</v>
      </c>
    </row>
    <row r="1501" spans="1:22" x14ac:dyDescent="0.3">
      <c r="A1501" t="str">
        <f t="shared" si="46"/>
        <v>LPI 25KGITAMBÉ</v>
      </c>
      <c r="B1501" t="str">
        <f t="shared" si="47"/>
        <v>5145924LPI 25KGITAMBÉ</v>
      </c>
      <c r="C1501" s="5" t="s">
        <v>16</v>
      </c>
      <c r="D1501" s="5" t="s">
        <v>17</v>
      </c>
      <c r="E1501" s="5" t="s">
        <v>66</v>
      </c>
      <c r="F1501" s="5">
        <v>5145924</v>
      </c>
      <c r="G1501" s="5" t="s">
        <v>94</v>
      </c>
      <c r="H1501" s="5" t="s">
        <v>25</v>
      </c>
      <c r="I1501" s="5" t="s">
        <v>27</v>
      </c>
      <c r="J1501" s="5" t="s">
        <v>21</v>
      </c>
      <c r="K1501" s="6">
        <v>0</v>
      </c>
      <c r="L1501" s="7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0</v>
      </c>
      <c r="S1501" s="8">
        <v>0</v>
      </c>
      <c r="T1501" s="5">
        <v>0</v>
      </c>
      <c r="U1501" s="5">
        <v>0</v>
      </c>
      <c r="V1501" s="5">
        <f>VLOOKUP(A1501,Planilha1!B:E,4,0)</f>
        <v>-1.218192805504376</v>
      </c>
    </row>
    <row r="1502" spans="1:22" x14ac:dyDescent="0.3">
      <c r="A1502" t="str">
        <f t="shared" si="46"/>
        <v>MANTEIGA 5KGITAMBÉ</v>
      </c>
      <c r="B1502" t="str">
        <f t="shared" si="47"/>
        <v>5145924MANTEIGA 5KGITAMBÉ</v>
      </c>
      <c r="C1502" s="5" t="s">
        <v>16</v>
      </c>
      <c r="D1502" s="5" t="s">
        <v>17</v>
      </c>
      <c r="E1502" s="5" t="s">
        <v>66</v>
      </c>
      <c r="F1502" s="5">
        <v>5145924</v>
      </c>
      <c r="G1502" s="5" t="s">
        <v>94</v>
      </c>
      <c r="H1502" s="5" t="s">
        <v>25</v>
      </c>
      <c r="I1502" s="5" t="s">
        <v>27</v>
      </c>
      <c r="J1502" s="5" t="s">
        <v>60</v>
      </c>
      <c r="K1502" s="6">
        <v>0</v>
      </c>
      <c r="L1502" s="7">
        <v>0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0</v>
      </c>
      <c r="S1502" s="8">
        <v>0</v>
      </c>
      <c r="T1502" s="5">
        <v>0</v>
      </c>
      <c r="U1502" s="5">
        <v>0</v>
      </c>
      <c r="V1502" s="5">
        <f>VLOOKUP(A1502,Planilha1!B:E,4,0)</f>
        <v>5.819800475298738</v>
      </c>
    </row>
    <row r="1503" spans="1:22" x14ac:dyDescent="0.3">
      <c r="A1503" t="str">
        <f t="shared" si="46"/>
        <v>LPI 25KGITAMBÉ</v>
      </c>
      <c r="B1503" t="str">
        <f t="shared" si="47"/>
        <v>5160241LPI 25KGITAMBÉ</v>
      </c>
      <c r="C1503" s="5" t="s">
        <v>16</v>
      </c>
      <c r="D1503" s="5" t="s">
        <v>17</v>
      </c>
      <c r="E1503" s="5" t="s">
        <v>66</v>
      </c>
      <c r="F1503" s="5">
        <v>5160241</v>
      </c>
      <c r="G1503" s="5" t="s">
        <v>95</v>
      </c>
      <c r="H1503" s="5" t="s">
        <v>96</v>
      </c>
      <c r="I1503" s="5" t="s">
        <v>27</v>
      </c>
      <c r="J1503" s="5" t="s">
        <v>21</v>
      </c>
      <c r="K1503" s="6">
        <v>0</v>
      </c>
      <c r="L1503" s="7">
        <v>-25000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0</v>
      </c>
      <c r="S1503" s="8">
        <v>0</v>
      </c>
      <c r="T1503" s="5">
        <v>0</v>
      </c>
      <c r="U1503" s="5">
        <v>0</v>
      </c>
      <c r="V1503" s="5">
        <f>VLOOKUP(A1503,Planilha1!B:E,4,0)</f>
        <v>-1.218192805504376</v>
      </c>
    </row>
    <row r="1504" spans="1:22" x14ac:dyDescent="0.3">
      <c r="A1504" t="str">
        <f t="shared" si="46"/>
        <v>LPD 25KGLACTALIS</v>
      </c>
      <c r="B1504" t="str">
        <f t="shared" si="47"/>
        <v>5171893LPD 25KGLACTALIS</v>
      </c>
      <c r="C1504" s="5" t="s">
        <v>16</v>
      </c>
      <c r="D1504" s="5" t="s">
        <v>17</v>
      </c>
      <c r="E1504" s="5" t="s">
        <v>66</v>
      </c>
      <c r="F1504" s="5">
        <v>5171893</v>
      </c>
      <c r="G1504" s="5" t="s">
        <v>961</v>
      </c>
      <c r="H1504" s="5" t="s">
        <v>101</v>
      </c>
      <c r="I1504" s="5" t="s">
        <v>22</v>
      </c>
      <c r="J1504" s="5" t="s">
        <v>43</v>
      </c>
      <c r="K1504" s="6">
        <v>0</v>
      </c>
      <c r="L1504" s="7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  <c r="S1504" s="8">
        <v>0</v>
      </c>
      <c r="T1504" s="5">
        <v>0</v>
      </c>
      <c r="U1504" s="5">
        <v>0</v>
      </c>
      <c r="V1504" s="5">
        <f>VLOOKUP(A1504,Planilha1!B:E,4,0)</f>
        <v>5.893629113453061</v>
      </c>
    </row>
    <row r="1505" spans="1:22" x14ac:dyDescent="0.3">
      <c r="A1505" t="str">
        <f t="shared" si="46"/>
        <v>LPD 25KGITAMBÉ</v>
      </c>
      <c r="B1505" t="str">
        <f t="shared" si="47"/>
        <v>5172313LPD 25KGITAMBÉ</v>
      </c>
      <c r="C1505" s="5" t="s">
        <v>16</v>
      </c>
      <c r="D1505" s="5" t="s">
        <v>17</v>
      </c>
      <c r="E1505" s="5" t="s">
        <v>66</v>
      </c>
      <c r="F1505" s="5">
        <v>5172313</v>
      </c>
      <c r="G1505" s="5" t="s">
        <v>962</v>
      </c>
      <c r="H1505" s="5" t="s">
        <v>154</v>
      </c>
      <c r="I1505" s="5" t="s">
        <v>27</v>
      </c>
      <c r="J1505" s="5" t="s">
        <v>43</v>
      </c>
      <c r="K1505" s="6">
        <v>0</v>
      </c>
      <c r="L1505" s="7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0</v>
      </c>
      <c r="S1505" s="8">
        <v>0</v>
      </c>
      <c r="T1505" s="5">
        <v>0</v>
      </c>
      <c r="U1505" s="5">
        <v>0</v>
      </c>
      <c r="V1505" s="5">
        <f>VLOOKUP(A1505,Planilha1!B:E,4,0)</f>
        <v>3.3372177319587628</v>
      </c>
    </row>
    <row r="1506" spans="1:22" x14ac:dyDescent="0.3">
      <c r="A1506" t="str">
        <f t="shared" si="46"/>
        <v>LPI 25KGITAMBÉ</v>
      </c>
      <c r="B1506" t="str">
        <f t="shared" si="47"/>
        <v>5204301LPI 25KGITAMBÉ</v>
      </c>
      <c r="C1506" s="5" t="s">
        <v>16</v>
      </c>
      <c r="D1506" s="5" t="s">
        <v>17</v>
      </c>
      <c r="E1506" s="5" t="s">
        <v>66</v>
      </c>
      <c r="F1506" s="5">
        <v>5204301</v>
      </c>
      <c r="G1506" s="5" t="s">
        <v>963</v>
      </c>
      <c r="H1506" s="5" t="s">
        <v>25</v>
      </c>
      <c r="I1506" s="5" t="s">
        <v>27</v>
      </c>
      <c r="J1506" s="5" t="s">
        <v>21</v>
      </c>
      <c r="K1506" s="6">
        <v>0</v>
      </c>
      <c r="L1506" s="7">
        <v>100000</v>
      </c>
      <c r="M1506" s="8">
        <v>37495.833333333336</v>
      </c>
      <c r="N1506" s="8">
        <v>58325</v>
      </c>
      <c r="O1506" s="8">
        <v>0</v>
      </c>
      <c r="P1506" s="8">
        <v>0</v>
      </c>
      <c r="Q1506" s="8">
        <v>0</v>
      </c>
      <c r="R1506" s="8">
        <v>0</v>
      </c>
      <c r="S1506" s="8">
        <v>0</v>
      </c>
      <c r="T1506" s="5">
        <v>0</v>
      </c>
      <c r="U1506" s="5">
        <v>0</v>
      </c>
      <c r="V1506" s="5">
        <f>VLOOKUP(A1506,Planilha1!B:E,4,0)</f>
        <v>-1.218192805504376</v>
      </c>
    </row>
    <row r="1507" spans="1:22" x14ac:dyDescent="0.3">
      <c r="A1507" t="str">
        <f t="shared" si="46"/>
        <v>LPD 25KGITAMBÉ</v>
      </c>
      <c r="B1507" t="str">
        <f t="shared" si="47"/>
        <v>5206038LPD 25KGITAMBÉ</v>
      </c>
      <c r="C1507" s="5" t="s">
        <v>16</v>
      </c>
      <c r="D1507" s="5" t="s">
        <v>17</v>
      </c>
      <c r="E1507" s="5" t="s">
        <v>66</v>
      </c>
      <c r="F1507" s="5">
        <v>5206038</v>
      </c>
      <c r="G1507" s="5" t="s">
        <v>93</v>
      </c>
      <c r="H1507" s="5" t="s">
        <v>20</v>
      </c>
      <c r="I1507" s="5" t="s">
        <v>27</v>
      </c>
      <c r="J1507" s="5" t="s">
        <v>43</v>
      </c>
      <c r="K1507" s="6">
        <v>0</v>
      </c>
      <c r="L1507" s="7">
        <v>12000</v>
      </c>
      <c r="M1507" s="8">
        <v>0</v>
      </c>
      <c r="N1507" s="8">
        <v>0</v>
      </c>
      <c r="O1507" s="8">
        <v>0</v>
      </c>
      <c r="P1507" s="8">
        <v>0</v>
      </c>
      <c r="Q1507" s="8">
        <v>0</v>
      </c>
      <c r="R1507" s="8">
        <v>0</v>
      </c>
      <c r="S1507" s="8">
        <v>0</v>
      </c>
      <c r="T1507" s="5">
        <v>0</v>
      </c>
      <c r="U1507" s="5">
        <v>0</v>
      </c>
      <c r="V1507" s="5">
        <f>VLOOKUP(A1507,Planilha1!B:E,4,0)</f>
        <v>3.3372177319587628</v>
      </c>
    </row>
    <row r="1508" spans="1:22" x14ac:dyDescent="0.3">
      <c r="A1508" t="str">
        <f t="shared" si="46"/>
        <v>LPI 25KGITAMBÉ</v>
      </c>
      <c r="B1508" t="str">
        <f t="shared" si="47"/>
        <v>5206038LPI 25KGITAMBÉ</v>
      </c>
      <c r="C1508" s="5" t="s">
        <v>16</v>
      </c>
      <c r="D1508" s="5" t="s">
        <v>17</v>
      </c>
      <c r="E1508" s="5" t="s">
        <v>66</v>
      </c>
      <c r="F1508" s="5">
        <v>5206038</v>
      </c>
      <c r="G1508" s="5" t="s">
        <v>93</v>
      </c>
      <c r="H1508" s="5" t="s">
        <v>20</v>
      </c>
      <c r="I1508" s="5" t="s">
        <v>27</v>
      </c>
      <c r="J1508" s="5" t="s">
        <v>21</v>
      </c>
      <c r="K1508" s="6">
        <v>0</v>
      </c>
      <c r="L1508" s="7">
        <v>0</v>
      </c>
      <c r="M1508" s="8">
        <v>0</v>
      </c>
      <c r="N1508" s="8">
        <v>0</v>
      </c>
      <c r="O1508" s="8">
        <v>0</v>
      </c>
      <c r="P1508" s="8">
        <v>0</v>
      </c>
      <c r="Q1508" s="8">
        <v>0</v>
      </c>
      <c r="R1508" s="8">
        <v>0</v>
      </c>
      <c r="S1508" s="8">
        <v>0</v>
      </c>
      <c r="T1508" s="5">
        <v>0</v>
      </c>
      <c r="U1508" s="5">
        <v>0</v>
      </c>
      <c r="V1508" s="5">
        <f>VLOOKUP(A1508,Planilha1!B:E,4,0)</f>
        <v>-1.218192805504376</v>
      </c>
    </row>
    <row r="1509" spans="1:22" x14ac:dyDescent="0.3">
      <c r="A1509" t="str">
        <f t="shared" si="46"/>
        <v>LPD 25KGITAMBÉ</v>
      </c>
      <c r="B1509" t="str">
        <f t="shared" si="47"/>
        <v>5217383LPD 25KGITAMBÉ</v>
      </c>
      <c r="C1509" s="5" t="s">
        <v>16</v>
      </c>
      <c r="D1509" s="5" t="s">
        <v>17</v>
      </c>
      <c r="E1509" s="5" t="s">
        <v>66</v>
      </c>
      <c r="F1509" s="5">
        <v>5217383</v>
      </c>
      <c r="G1509" s="5" t="s">
        <v>99</v>
      </c>
      <c r="H1509" s="5" t="s">
        <v>36</v>
      </c>
      <c r="I1509" s="5" t="s">
        <v>27</v>
      </c>
      <c r="J1509" s="5" t="s">
        <v>43</v>
      </c>
      <c r="K1509" s="6">
        <v>0</v>
      </c>
      <c r="L1509" s="7">
        <v>0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0</v>
      </c>
      <c r="S1509" s="8">
        <v>0</v>
      </c>
      <c r="T1509" s="5">
        <v>0</v>
      </c>
      <c r="U1509" s="5">
        <v>0</v>
      </c>
      <c r="V1509" s="5">
        <f>VLOOKUP(A1509,Planilha1!B:E,4,0)</f>
        <v>3.3372177319587628</v>
      </c>
    </row>
    <row r="1510" spans="1:22" x14ac:dyDescent="0.3">
      <c r="A1510" t="str">
        <f t="shared" si="46"/>
        <v>MANTEIGA 25KGLACTALIS</v>
      </c>
      <c r="B1510" t="str">
        <f t="shared" si="47"/>
        <v>5217383MANTEIGA 25KGLACTALIS</v>
      </c>
      <c r="C1510" s="5" t="s">
        <v>16</v>
      </c>
      <c r="D1510" s="5" t="s">
        <v>17</v>
      </c>
      <c r="E1510" s="5" t="s">
        <v>66</v>
      </c>
      <c r="F1510" s="5">
        <v>5217383</v>
      </c>
      <c r="G1510" s="5" t="s">
        <v>99</v>
      </c>
      <c r="H1510" s="5" t="s">
        <v>36</v>
      </c>
      <c r="I1510" s="5" t="s">
        <v>22</v>
      </c>
      <c r="J1510" s="5" t="s">
        <v>92</v>
      </c>
      <c r="K1510" s="6">
        <v>0</v>
      </c>
      <c r="L1510" s="7">
        <v>25000</v>
      </c>
      <c r="M1510" s="8">
        <v>0</v>
      </c>
      <c r="N1510" s="8">
        <v>0</v>
      </c>
      <c r="O1510" s="8">
        <v>0</v>
      </c>
      <c r="P1510" s="8">
        <v>0</v>
      </c>
      <c r="Q1510" s="8">
        <v>0</v>
      </c>
      <c r="R1510" s="8">
        <v>0</v>
      </c>
      <c r="S1510" s="8">
        <v>0</v>
      </c>
      <c r="T1510" s="5">
        <v>0</v>
      </c>
      <c r="U1510" s="5">
        <v>0</v>
      </c>
      <c r="V1510" s="5">
        <f>VLOOKUP(A1510,Planilha1!B:E,4,0)</f>
        <v>-1.2278576950723545</v>
      </c>
    </row>
    <row r="1511" spans="1:22" x14ac:dyDescent="0.3">
      <c r="A1511" t="str">
        <f t="shared" si="46"/>
        <v>LPI 25KGLACTALIS</v>
      </c>
      <c r="B1511" t="str">
        <f t="shared" si="47"/>
        <v>5235824LPI 25KGLACTALIS</v>
      </c>
      <c r="C1511" s="5" t="s">
        <v>16</v>
      </c>
      <c r="D1511" s="5" t="s">
        <v>17</v>
      </c>
      <c r="E1511" s="5" t="s">
        <v>66</v>
      </c>
      <c r="F1511" s="5">
        <v>5235824</v>
      </c>
      <c r="G1511" s="5" t="s">
        <v>107</v>
      </c>
      <c r="H1511" s="5" t="s">
        <v>20</v>
      </c>
      <c r="I1511" s="5" t="s">
        <v>22</v>
      </c>
      <c r="J1511" s="5" t="s">
        <v>21</v>
      </c>
      <c r="K1511" s="6">
        <v>0</v>
      </c>
      <c r="L1511" s="7">
        <v>0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0</v>
      </c>
      <c r="S1511" s="8">
        <v>0</v>
      </c>
      <c r="T1511" s="5">
        <v>0</v>
      </c>
      <c r="U1511" s="5">
        <v>0</v>
      </c>
      <c r="V1511" s="5">
        <f>VLOOKUP(A1511,Planilha1!B:E,4,0)</f>
        <v>-4.3046759024811481</v>
      </c>
    </row>
    <row r="1512" spans="1:22" x14ac:dyDescent="0.3">
      <c r="A1512" t="str">
        <f t="shared" si="46"/>
        <v>MANTEIGA 25KGLACTALIS</v>
      </c>
      <c r="B1512" t="str">
        <f t="shared" si="47"/>
        <v>5253214MANTEIGA 25KGLACTALIS</v>
      </c>
      <c r="C1512" s="5" t="s">
        <v>16</v>
      </c>
      <c r="D1512" s="5" t="s">
        <v>17</v>
      </c>
      <c r="E1512" s="5" t="s">
        <v>66</v>
      </c>
      <c r="F1512" s="5">
        <v>5253214</v>
      </c>
      <c r="G1512" s="5" t="s">
        <v>964</v>
      </c>
      <c r="H1512" s="5" t="s">
        <v>91</v>
      </c>
      <c r="I1512" s="5" t="s">
        <v>22</v>
      </c>
      <c r="J1512" s="5" t="s">
        <v>92</v>
      </c>
      <c r="K1512" s="6">
        <v>0</v>
      </c>
      <c r="L1512" s="7">
        <v>25000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0</v>
      </c>
      <c r="S1512" s="8">
        <v>0</v>
      </c>
      <c r="T1512" s="5">
        <v>0</v>
      </c>
      <c r="U1512" s="5">
        <v>0</v>
      </c>
      <c r="V1512" s="5">
        <f>VLOOKUP(A1512,Planilha1!B:E,4,0)</f>
        <v>-1.2278576950723545</v>
      </c>
    </row>
    <row r="1513" spans="1:22" x14ac:dyDescent="0.3">
      <c r="A1513" t="str">
        <f t="shared" si="46"/>
        <v>QUEIJOSLACTALIS</v>
      </c>
      <c r="B1513" t="str">
        <f t="shared" si="47"/>
        <v>5273497QUEIJOSLACTALIS</v>
      </c>
      <c r="C1513" s="5" t="s">
        <v>16</v>
      </c>
      <c r="D1513" s="5" t="s">
        <v>17</v>
      </c>
      <c r="E1513" s="5" t="s">
        <v>66</v>
      </c>
      <c r="F1513" s="5">
        <v>5273497</v>
      </c>
      <c r="G1513" s="5" t="s">
        <v>965</v>
      </c>
      <c r="H1513" s="5" t="s">
        <v>30</v>
      </c>
      <c r="I1513" s="5" t="s">
        <v>22</v>
      </c>
      <c r="J1513" s="5" t="s">
        <v>63</v>
      </c>
      <c r="K1513" s="6">
        <v>0</v>
      </c>
      <c r="L1513" s="7">
        <v>7005.7719999999999</v>
      </c>
      <c r="M1513" s="8">
        <v>0</v>
      </c>
      <c r="N1513" s="8">
        <v>0</v>
      </c>
      <c r="O1513" s="8">
        <v>0</v>
      </c>
      <c r="P1513" s="8">
        <v>0</v>
      </c>
      <c r="Q1513" s="8">
        <v>0</v>
      </c>
      <c r="R1513" s="8">
        <v>0</v>
      </c>
      <c r="S1513" s="8">
        <v>0</v>
      </c>
      <c r="T1513" s="5">
        <v>0</v>
      </c>
      <c r="U1513" s="5">
        <v>0</v>
      </c>
      <c r="V1513" s="5">
        <f>VLOOKUP(A1513,Planilha1!B:E,4,0)</f>
        <v>-1.9171310037550682</v>
      </c>
    </row>
    <row r="1514" spans="1:22" x14ac:dyDescent="0.3">
      <c r="A1514" t="str">
        <f t="shared" si="46"/>
        <v>LEITE CONDENSADOLACTALIS</v>
      </c>
      <c r="B1514" t="str">
        <f t="shared" si="47"/>
        <v>5281650LEITE CONDENSADOLACTALIS</v>
      </c>
      <c r="C1514" s="5" t="s">
        <v>16</v>
      </c>
      <c r="D1514" s="5" t="s">
        <v>17</v>
      </c>
      <c r="E1514" s="5" t="s">
        <v>66</v>
      </c>
      <c r="F1514" s="5">
        <v>5281650</v>
      </c>
      <c r="G1514" s="5" t="s">
        <v>966</v>
      </c>
      <c r="H1514" s="5" t="s">
        <v>103</v>
      </c>
      <c r="I1514" s="5" t="s">
        <v>22</v>
      </c>
      <c r="J1514" s="5" t="s">
        <v>33</v>
      </c>
      <c r="K1514" s="6">
        <v>0</v>
      </c>
      <c r="L1514" s="7">
        <v>1008</v>
      </c>
      <c r="M1514" s="8">
        <v>336</v>
      </c>
      <c r="N1514" s="8">
        <v>336</v>
      </c>
      <c r="O1514" s="8">
        <v>0</v>
      </c>
      <c r="P1514" s="8">
        <v>0</v>
      </c>
      <c r="Q1514" s="8">
        <v>0</v>
      </c>
      <c r="R1514" s="8">
        <v>0</v>
      </c>
      <c r="S1514" s="8">
        <v>0</v>
      </c>
      <c r="T1514" s="5">
        <v>0</v>
      </c>
      <c r="U1514" s="5">
        <v>0</v>
      </c>
      <c r="V1514" s="5">
        <f>VLOOKUP(A1514,Planilha1!B:E,4,0)</f>
        <v>1.8665071822970765</v>
      </c>
    </row>
    <row r="1515" spans="1:22" x14ac:dyDescent="0.3">
      <c r="A1515" t="str">
        <f t="shared" si="46"/>
        <v>LPI 25KGLACTALIS</v>
      </c>
      <c r="B1515" t="str">
        <f t="shared" si="47"/>
        <v>5294986LPI 25KGLACTALIS</v>
      </c>
      <c r="C1515" s="5" t="s">
        <v>16</v>
      </c>
      <c r="D1515" s="5" t="s">
        <v>17</v>
      </c>
      <c r="E1515" s="5" t="s">
        <v>66</v>
      </c>
      <c r="F1515" s="5">
        <v>5294986</v>
      </c>
      <c r="G1515" s="5" t="s">
        <v>967</v>
      </c>
      <c r="H1515" s="5" t="s">
        <v>103</v>
      </c>
      <c r="I1515" s="5" t="s">
        <v>22</v>
      </c>
      <c r="J1515" s="5" t="s">
        <v>21</v>
      </c>
      <c r="K1515" s="6">
        <v>0</v>
      </c>
      <c r="L1515" s="7">
        <v>0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0</v>
      </c>
      <c r="S1515" s="8">
        <v>0</v>
      </c>
      <c r="T1515" s="5">
        <v>0</v>
      </c>
      <c r="U1515" s="5">
        <v>0</v>
      </c>
      <c r="V1515" s="5">
        <f>VLOOKUP(A1515,Planilha1!B:E,4,0)</f>
        <v>-4.3046759024811481</v>
      </c>
    </row>
    <row r="1516" spans="1:22" x14ac:dyDescent="0.3">
      <c r="A1516" t="str">
        <f t="shared" si="46"/>
        <v>LPD 25KGITAMBÉ</v>
      </c>
      <c r="B1516" t="str">
        <f t="shared" si="47"/>
        <v>5300135LPD 25KGITAMBÉ</v>
      </c>
      <c r="C1516" s="5" t="s">
        <v>16</v>
      </c>
      <c r="D1516" s="5" t="s">
        <v>17</v>
      </c>
      <c r="E1516" s="5" t="s">
        <v>66</v>
      </c>
      <c r="F1516" s="5">
        <v>5300135</v>
      </c>
      <c r="G1516" s="5" t="s">
        <v>968</v>
      </c>
      <c r="H1516" s="5" t="s">
        <v>25</v>
      </c>
      <c r="I1516" s="5" t="s">
        <v>27</v>
      </c>
      <c r="J1516" s="5" t="s">
        <v>43</v>
      </c>
      <c r="K1516" s="6">
        <v>0</v>
      </c>
      <c r="L1516" s="7">
        <v>0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0</v>
      </c>
      <c r="S1516" s="8">
        <v>0</v>
      </c>
      <c r="T1516" s="5">
        <v>0</v>
      </c>
      <c r="U1516" s="5">
        <v>0</v>
      </c>
      <c r="V1516" s="5">
        <f>VLOOKUP(A1516,Planilha1!B:E,4,0)</f>
        <v>3.3372177319587628</v>
      </c>
    </row>
    <row r="1517" spans="1:22" x14ac:dyDescent="0.3">
      <c r="A1517" t="str">
        <f t="shared" si="46"/>
        <v>LPD 25KGLACTALIS</v>
      </c>
      <c r="B1517" t="str">
        <f t="shared" si="47"/>
        <v>5318356LPD 25KGLACTALIS</v>
      </c>
      <c r="C1517" s="5" t="s">
        <v>16</v>
      </c>
      <c r="D1517" s="5" t="s">
        <v>17</v>
      </c>
      <c r="E1517" s="5" t="s">
        <v>66</v>
      </c>
      <c r="F1517" s="5">
        <v>5318356</v>
      </c>
      <c r="G1517" s="5" t="s">
        <v>969</v>
      </c>
      <c r="H1517" s="5" t="s">
        <v>40</v>
      </c>
      <c r="I1517" s="5" t="s">
        <v>22</v>
      </c>
      <c r="J1517" s="5" t="s">
        <v>43</v>
      </c>
      <c r="K1517" s="6">
        <v>0</v>
      </c>
      <c r="L1517" s="7">
        <v>25000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0</v>
      </c>
      <c r="S1517" s="8">
        <v>0</v>
      </c>
      <c r="T1517" s="5">
        <v>0</v>
      </c>
      <c r="U1517" s="5">
        <v>0</v>
      </c>
      <c r="V1517" s="5">
        <f>VLOOKUP(A1517,Planilha1!B:E,4,0)</f>
        <v>5.893629113453061</v>
      </c>
    </row>
    <row r="1518" spans="1:22" x14ac:dyDescent="0.3">
      <c r="A1518" t="str">
        <f t="shared" si="46"/>
        <v>LEITE EM PÓLACTALIS</v>
      </c>
      <c r="B1518" t="str">
        <f t="shared" si="47"/>
        <v>5331461LEITE EM PÓLACTALIS</v>
      </c>
      <c r="C1518" s="5" t="s">
        <v>16</v>
      </c>
      <c r="D1518" s="5" t="s">
        <v>17</v>
      </c>
      <c r="E1518" s="5" t="s">
        <v>66</v>
      </c>
      <c r="F1518" s="5">
        <v>5331461</v>
      </c>
      <c r="G1518" s="5" t="s">
        <v>970</v>
      </c>
      <c r="H1518" s="5" t="s">
        <v>103</v>
      </c>
      <c r="I1518" s="5" t="s">
        <v>22</v>
      </c>
      <c r="J1518" s="5" t="s">
        <v>84</v>
      </c>
      <c r="K1518" s="6">
        <v>0</v>
      </c>
      <c r="L1518" s="7">
        <v>0</v>
      </c>
      <c r="M1518" s="8">
        <v>2000</v>
      </c>
      <c r="N1518" s="8">
        <v>0</v>
      </c>
      <c r="O1518" s="8">
        <v>0</v>
      </c>
      <c r="P1518" s="8">
        <v>0</v>
      </c>
      <c r="Q1518" s="8">
        <v>0</v>
      </c>
      <c r="R1518" s="8">
        <v>0</v>
      </c>
      <c r="S1518" s="8">
        <v>0</v>
      </c>
      <c r="T1518" s="5">
        <v>0</v>
      </c>
      <c r="U1518" s="5">
        <v>0</v>
      </c>
      <c r="V1518" s="5">
        <f>VLOOKUP(A1518,Planilha1!B:E,4,0)</f>
        <v>-2.8055507108797499</v>
      </c>
    </row>
    <row r="1519" spans="1:22" x14ac:dyDescent="0.3">
      <c r="A1519" t="str">
        <f t="shared" si="46"/>
        <v>LPD 25KGLACTALIS</v>
      </c>
      <c r="B1519" t="str">
        <f t="shared" si="47"/>
        <v>5341743LPD 25KGLACTALIS</v>
      </c>
      <c r="C1519" s="5" t="s">
        <v>16</v>
      </c>
      <c r="D1519" s="5" t="s">
        <v>17</v>
      </c>
      <c r="E1519" s="5" t="s">
        <v>66</v>
      </c>
      <c r="F1519" s="5">
        <v>5341743</v>
      </c>
      <c r="G1519" s="5" t="s">
        <v>107</v>
      </c>
      <c r="H1519" s="5" t="s">
        <v>30</v>
      </c>
      <c r="I1519" s="5" t="s">
        <v>22</v>
      </c>
      <c r="J1519" s="5" t="s">
        <v>43</v>
      </c>
      <c r="K1519" s="6">
        <v>0</v>
      </c>
      <c r="L1519" s="7">
        <v>0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0</v>
      </c>
      <c r="S1519" s="8">
        <v>0</v>
      </c>
      <c r="T1519" s="5">
        <v>0</v>
      </c>
      <c r="U1519" s="5">
        <v>0</v>
      </c>
      <c r="V1519" s="5">
        <f>VLOOKUP(A1519,Planilha1!B:E,4,0)</f>
        <v>5.893629113453061</v>
      </c>
    </row>
    <row r="1520" spans="1:22" x14ac:dyDescent="0.3">
      <c r="A1520" t="str">
        <f t="shared" si="46"/>
        <v>LPI 25KGITAMBÉ</v>
      </c>
      <c r="B1520" t="str">
        <f t="shared" si="47"/>
        <v>5346074LPI 25KGITAMBÉ</v>
      </c>
      <c r="C1520" s="5" t="s">
        <v>16</v>
      </c>
      <c r="D1520" s="5" t="s">
        <v>17</v>
      </c>
      <c r="E1520" s="5" t="s">
        <v>66</v>
      </c>
      <c r="F1520" s="5">
        <v>5346074</v>
      </c>
      <c r="G1520" s="5" t="s">
        <v>971</v>
      </c>
      <c r="H1520" s="5" t="s">
        <v>972</v>
      </c>
      <c r="I1520" s="5" t="s">
        <v>27</v>
      </c>
      <c r="J1520" s="5" t="s">
        <v>21</v>
      </c>
      <c r="K1520" s="6">
        <v>0</v>
      </c>
      <c r="L1520" s="7">
        <v>1500</v>
      </c>
      <c r="M1520" s="8">
        <v>0</v>
      </c>
      <c r="N1520" s="8">
        <v>0</v>
      </c>
      <c r="O1520" s="8">
        <v>0</v>
      </c>
      <c r="P1520" s="8">
        <v>0</v>
      </c>
      <c r="Q1520" s="8">
        <v>0</v>
      </c>
      <c r="R1520" s="8">
        <v>0</v>
      </c>
      <c r="S1520" s="8">
        <v>0</v>
      </c>
      <c r="T1520" s="5">
        <v>0</v>
      </c>
      <c r="U1520" s="5">
        <v>0</v>
      </c>
      <c r="V1520" s="5">
        <f>VLOOKUP(A1520,Planilha1!B:E,4,0)</f>
        <v>-1.218192805504376</v>
      </c>
    </row>
    <row r="1521" spans="1:22" x14ac:dyDescent="0.3">
      <c r="A1521" t="str">
        <f t="shared" si="46"/>
        <v>LPI 25KGITAMBÉ</v>
      </c>
      <c r="B1521" t="str">
        <f t="shared" si="47"/>
        <v>5346087LPI 25KGITAMBÉ</v>
      </c>
      <c r="C1521" s="5" t="s">
        <v>16</v>
      </c>
      <c r="D1521" s="5" t="s">
        <v>17</v>
      </c>
      <c r="E1521" s="5" t="s">
        <v>66</v>
      </c>
      <c r="F1521" s="5">
        <v>5346087</v>
      </c>
      <c r="G1521" s="5" t="s">
        <v>973</v>
      </c>
      <c r="H1521" s="5" t="s">
        <v>835</v>
      </c>
      <c r="I1521" s="5" t="s">
        <v>27</v>
      </c>
      <c r="J1521" s="5" t="s">
        <v>21</v>
      </c>
      <c r="K1521" s="6">
        <v>0</v>
      </c>
      <c r="L1521" s="7">
        <v>500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0</v>
      </c>
      <c r="S1521" s="8">
        <v>0</v>
      </c>
      <c r="T1521" s="5">
        <v>0</v>
      </c>
      <c r="U1521" s="5">
        <v>0</v>
      </c>
      <c r="V1521" s="5">
        <f>VLOOKUP(A1521,Planilha1!B:E,4,0)</f>
        <v>-1.218192805504376</v>
      </c>
    </row>
    <row r="1522" spans="1:22" x14ac:dyDescent="0.3">
      <c r="A1522" t="str">
        <f t="shared" si="46"/>
        <v>COMPOSTOITAMBÉ</v>
      </c>
      <c r="B1522" t="str">
        <f t="shared" si="47"/>
        <v>5068734COMPOSTOITAMBÉ</v>
      </c>
      <c r="C1522" s="5" t="s">
        <v>16</v>
      </c>
      <c r="D1522" s="5" t="s">
        <v>53</v>
      </c>
      <c r="E1522" s="5" t="s">
        <v>23</v>
      </c>
      <c r="F1522" s="5">
        <v>5068734</v>
      </c>
      <c r="G1522" s="5" t="s">
        <v>974</v>
      </c>
      <c r="H1522" s="5" t="s">
        <v>88</v>
      </c>
      <c r="I1522" s="5" t="s">
        <v>27</v>
      </c>
      <c r="J1522" s="5" t="s">
        <v>26</v>
      </c>
      <c r="K1522" s="6">
        <v>0</v>
      </c>
      <c r="L1522" s="7">
        <v>1000</v>
      </c>
      <c r="M1522" s="8">
        <v>991.66666666666663</v>
      </c>
      <c r="N1522" s="8">
        <v>983.33333333333337</v>
      </c>
      <c r="O1522" s="8">
        <v>0</v>
      </c>
      <c r="P1522" s="8">
        <v>0</v>
      </c>
      <c r="Q1522" s="8">
        <v>0</v>
      </c>
      <c r="R1522" s="8">
        <v>0</v>
      </c>
      <c r="S1522" s="8">
        <v>0</v>
      </c>
      <c r="T1522" s="5">
        <v>0</v>
      </c>
      <c r="U1522" s="5">
        <v>0</v>
      </c>
      <c r="V1522" s="5">
        <f>VLOOKUP(A1522,Planilha1!B:E,4,0)</f>
        <v>0.15618217875936719</v>
      </c>
    </row>
    <row r="1523" spans="1:22" x14ac:dyDescent="0.3">
      <c r="A1523" t="str">
        <f t="shared" si="46"/>
        <v>COMPOSTOITAMBÉ</v>
      </c>
      <c r="B1523" t="str">
        <f t="shared" si="47"/>
        <v>5149044COMPOSTOITAMBÉ</v>
      </c>
      <c r="C1523" s="5" t="s">
        <v>16</v>
      </c>
      <c r="D1523" s="5" t="s">
        <v>53</v>
      </c>
      <c r="E1523" s="5" t="s">
        <v>23</v>
      </c>
      <c r="F1523" s="5">
        <v>5149044</v>
      </c>
      <c r="G1523" s="5" t="s">
        <v>975</v>
      </c>
      <c r="H1523" s="5" t="s">
        <v>30</v>
      </c>
      <c r="I1523" s="5" t="s">
        <v>27</v>
      </c>
      <c r="J1523" s="5" t="s">
        <v>26</v>
      </c>
      <c r="K1523" s="6">
        <v>0</v>
      </c>
      <c r="L1523" s="7">
        <v>11900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0</v>
      </c>
      <c r="S1523" s="8">
        <v>0</v>
      </c>
      <c r="T1523" s="5">
        <v>0</v>
      </c>
      <c r="U1523" s="5">
        <v>0</v>
      </c>
      <c r="V1523" s="5">
        <f>VLOOKUP(A1523,Planilha1!B:E,4,0)</f>
        <v>0.15618217875936719</v>
      </c>
    </row>
    <row r="1524" spans="1:22" x14ac:dyDescent="0.3">
      <c r="A1524" t="str">
        <f t="shared" si="46"/>
        <v>COMPOSTOITAMBÉ</v>
      </c>
      <c r="B1524" t="str">
        <f t="shared" si="47"/>
        <v>5165963COMPOSTOITAMBÉ</v>
      </c>
      <c r="C1524" s="5" t="s">
        <v>16</v>
      </c>
      <c r="D1524" s="5" t="s">
        <v>53</v>
      </c>
      <c r="E1524" s="5" t="s">
        <v>23</v>
      </c>
      <c r="F1524" s="5">
        <v>5165963</v>
      </c>
      <c r="G1524" s="5" t="s">
        <v>940</v>
      </c>
      <c r="H1524" s="5" t="s">
        <v>30</v>
      </c>
      <c r="I1524" s="5" t="s">
        <v>27</v>
      </c>
      <c r="J1524" s="5" t="s">
        <v>26</v>
      </c>
      <c r="K1524" s="6">
        <v>0</v>
      </c>
      <c r="L1524" s="7">
        <v>2900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0</v>
      </c>
      <c r="S1524" s="8">
        <v>0</v>
      </c>
      <c r="T1524" s="5">
        <v>0</v>
      </c>
      <c r="U1524" s="5">
        <v>0</v>
      </c>
      <c r="V1524" s="5">
        <f>VLOOKUP(A1524,Planilha1!B:E,4,0)</f>
        <v>0.15618217875936719</v>
      </c>
    </row>
    <row r="1525" spans="1:22" x14ac:dyDescent="0.3">
      <c r="A1525" t="str">
        <f t="shared" si="46"/>
        <v>COMPOSTOITAMBÉ</v>
      </c>
      <c r="B1525" t="str">
        <f t="shared" si="47"/>
        <v>5171873COMPOSTOITAMBÉ</v>
      </c>
      <c r="C1525" s="5" t="s">
        <v>16</v>
      </c>
      <c r="D1525" s="5" t="s">
        <v>53</v>
      </c>
      <c r="E1525" s="5" t="s">
        <v>23</v>
      </c>
      <c r="F1525" s="5">
        <v>5171873</v>
      </c>
      <c r="G1525" s="5" t="s">
        <v>976</v>
      </c>
      <c r="H1525" s="5" t="s">
        <v>113</v>
      </c>
      <c r="I1525" s="5" t="s">
        <v>27</v>
      </c>
      <c r="J1525" s="5" t="s">
        <v>26</v>
      </c>
      <c r="K1525" s="6">
        <v>0</v>
      </c>
      <c r="L1525" s="7">
        <v>0</v>
      </c>
      <c r="M1525" s="8">
        <v>166.66666666666666</v>
      </c>
      <c r="N1525" s="8">
        <v>333.33333333333331</v>
      </c>
      <c r="O1525" s="8">
        <v>0</v>
      </c>
      <c r="P1525" s="8">
        <v>0</v>
      </c>
      <c r="Q1525" s="8">
        <v>0</v>
      </c>
      <c r="R1525" s="8">
        <v>0</v>
      </c>
      <c r="S1525" s="8">
        <v>0</v>
      </c>
      <c r="T1525" s="5">
        <v>0</v>
      </c>
      <c r="U1525" s="5">
        <v>0</v>
      </c>
      <c r="V1525" s="5">
        <f>VLOOKUP(A1525,Planilha1!B:E,4,0)</f>
        <v>0.15618217875936719</v>
      </c>
    </row>
    <row r="1526" spans="1:22" x14ac:dyDescent="0.3">
      <c r="A1526" t="str">
        <f t="shared" si="46"/>
        <v>QUEIJOSLACTALIS</v>
      </c>
      <c r="B1526" t="str">
        <f t="shared" si="47"/>
        <v>5060394QUEIJOSLACTALIS</v>
      </c>
      <c r="C1526" s="5" t="s">
        <v>16</v>
      </c>
      <c r="D1526" s="5" t="s">
        <v>16</v>
      </c>
      <c r="E1526" s="5" t="s">
        <v>132</v>
      </c>
      <c r="F1526" s="5">
        <v>5060394</v>
      </c>
      <c r="G1526" s="5" t="s">
        <v>173</v>
      </c>
      <c r="H1526" s="5" t="s">
        <v>113</v>
      </c>
      <c r="I1526" s="5" t="s">
        <v>22</v>
      </c>
      <c r="J1526" s="5" t="s">
        <v>63</v>
      </c>
      <c r="K1526" s="6">
        <v>0</v>
      </c>
      <c r="L1526" s="7">
        <v>47777.955999999998</v>
      </c>
      <c r="M1526" s="8">
        <v>64191.761833333338</v>
      </c>
      <c r="N1526" s="8">
        <v>66609.153666666665</v>
      </c>
      <c r="O1526" s="8">
        <v>33333.33</v>
      </c>
      <c r="P1526" s="8">
        <v>0</v>
      </c>
      <c r="Q1526" s="8">
        <v>124018.41099999999</v>
      </c>
      <c r="R1526" s="8">
        <v>0</v>
      </c>
      <c r="S1526" s="8">
        <v>0</v>
      </c>
      <c r="T1526" s="5">
        <v>126000</v>
      </c>
      <c r="U1526" s="5">
        <v>0</v>
      </c>
      <c r="V1526" s="5">
        <f>VLOOKUP(A1526,Planilha1!B:E,4,0)</f>
        <v>-1.9171310037550682</v>
      </c>
    </row>
    <row r="1527" spans="1:22" x14ac:dyDescent="0.3">
      <c r="A1527" t="str">
        <f t="shared" si="46"/>
        <v>COMPOSTOITAMBÉ</v>
      </c>
      <c r="B1527" t="str">
        <f t="shared" si="47"/>
        <v>5182672COMPOSTOITAMBÉ</v>
      </c>
      <c r="C1527" s="5" t="s">
        <v>16</v>
      </c>
      <c r="D1527" s="5" t="s">
        <v>53</v>
      </c>
      <c r="E1527" s="5" t="s">
        <v>23</v>
      </c>
      <c r="F1527" s="5">
        <v>5182672</v>
      </c>
      <c r="G1527" s="5" t="s">
        <v>977</v>
      </c>
      <c r="H1527" s="5" t="s">
        <v>88</v>
      </c>
      <c r="I1527" s="5" t="s">
        <v>27</v>
      </c>
      <c r="J1527" s="5" t="s">
        <v>26</v>
      </c>
      <c r="K1527" s="6">
        <v>0</v>
      </c>
      <c r="L1527" s="7">
        <v>1000</v>
      </c>
      <c r="M1527" s="8">
        <v>708.33333333333326</v>
      </c>
      <c r="N1527" s="8">
        <v>916.66666666666674</v>
      </c>
      <c r="O1527" s="8">
        <v>0</v>
      </c>
      <c r="P1527" s="8">
        <v>0</v>
      </c>
      <c r="Q1527" s="8">
        <v>0</v>
      </c>
      <c r="R1527" s="8">
        <v>0</v>
      </c>
      <c r="S1527" s="8">
        <v>0</v>
      </c>
      <c r="T1527" s="5">
        <v>0</v>
      </c>
      <c r="U1527" s="5">
        <v>0</v>
      </c>
      <c r="V1527" s="5">
        <f>VLOOKUP(A1527,Planilha1!B:E,4,0)</f>
        <v>0.15618217875936719</v>
      </c>
    </row>
    <row r="1528" spans="1:22" x14ac:dyDescent="0.3">
      <c r="A1528" t="str">
        <f t="shared" si="46"/>
        <v>COMPOSTOITAMBÉ</v>
      </c>
      <c r="B1528" t="str">
        <f t="shared" si="47"/>
        <v>5208856COMPOSTOITAMBÉ</v>
      </c>
      <c r="C1528" s="5" t="s">
        <v>16</v>
      </c>
      <c r="D1528" s="5" t="s">
        <v>53</v>
      </c>
      <c r="E1528" s="5" t="s">
        <v>23</v>
      </c>
      <c r="F1528" s="5">
        <v>5208856</v>
      </c>
      <c r="G1528" s="5" t="s">
        <v>978</v>
      </c>
      <c r="H1528" s="5" t="s">
        <v>113</v>
      </c>
      <c r="I1528" s="5" t="s">
        <v>27</v>
      </c>
      <c r="J1528" s="5" t="s">
        <v>26</v>
      </c>
      <c r="K1528" s="6">
        <v>0</v>
      </c>
      <c r="L1528" s="7">
        <v>0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  <c r="R1528" s="8">
        <v>0</v>
      </c>
      <c r="S1528" s="8">
        <v>0</v>
      </c>
      <c r="T1528" s="5">
        <v>0</v>
      </c>
      <c r="U1528" s="5">
        <v>0</v>
      </c>
      <c r="V1528" s="5">
        <f>VLOOKUP(A1528,Planilha1!B:E,4,0)</f>
        <v>0.15618217875936719</v>
      </c>
    </row>
    <row r="1529" spans="1:22" x14ac:dyDescent="0.3">
      <c r="A1529" t="str">
        <f t="shared" si="46"/>
        <v>COMPOSTOITAMBÉ</v>
      </c>
      <c r="B1529" t="str">
        <f t="shared" si="47"/>
        <v>5219888COMPOSTOITAMBÉ</v>
      </c>
      <c r="C1529" s="5" t="s">
        <v>16</v>
      </c>
      <c r="D1529" s="5" t="s">
        <v>53</v>
      </c>
      <c r="E1529" s="5" t="s">
        <v>23</v>
      </c>
      <c r="F1529" s="5">
        <v>5219888</v>
      </c>
      <c r="G1529" s="5" t="s">
        <v>979</v>
      </c>
      <c r="H1529" s="5" t="s">
        <v>25</v>
      </c>
      <c r="I1529" s="5" t="s">
        <v>27</v>
      </c>
      <c r="J1529" s="5" t="s">
        <v>26</v>
      </c>
      <c r="K1529" s="6">
        <v>0</v>
      </c>
      <c r="L1529" s="7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0</v>
      </c>
      <c r="S1529" s="8">
        <v>0</v>
      </c>
      <c r="T1529" s="5">
        <v>0</v>
      </c>
      <c r="U1529" s="5">
        <v>0</v>
      </c>
      <c r="V1529" s="5">
        <f>VLOOKUP(A1529,Planilha1!B:E,4,0)</f>
        <v>0.15618217875936719</v>
      </c>
    </row>
    <row r="1530" spans="1:22" x14ac:dyDescent="0.3">
      <c r="A1530" t="str">
        <f t="shared" si="46"/>
        <v>COMPOSTOITAMBÉ</v>
      </c>
      <c r="B1530" t="str">
        <f t="shared" si="47"/>
        <v>5228371COMPOSTOITAMBÉ</v>
      </c>
      <c r="C1530" s="5" t="s">
        <v>16</v>
      </c>
      <c r="D1530" s="5" t="s">
        <v>53</v>
      </c>
      <c r="E1530" s="5" t="s">
        <v>23</v>
      </c>
      <c r="F1530" s="5">
        <v>5228371</v>
      </c>
      <c r="G1530" s="5" t="s">
        <v>980</v>
      </c>
      <c r="H1530" s="5" t="s">
        <v>110</v>
      </c>
      <c r="I1530" s="5" t="s">
        <v>27</v>
      </c>
      <c r="J1530" s="5" t="s">
        <v>26</v>
      </c>
      <c r="K1530" s="6">
        <v>0</v>
      </c>
      <c r="L1530" s="7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0</v>
      </c>
      <c r="S1530" s="8">
        <v>0</v>
      </c>
      <c r="T1530" s="5">
        <v>0</v>
      </c>
      <c r="U1530" s="5">
        <v>0</v>
      </c>
      <c r="V1530" s="5">
        <f>VLOOKUP(A1530,Planilha1!B:E,4,0)</f>
        <v>0.15618217875936719</v>
      </c>
    </row>
    <row r="1531" spans="1:22" x14ac:dyDescent="0.3">
      <c r="A1531" t="str">
        <f t="shared" si="46"/>
        <v>COMPOSTOITAMBÉ</v>
      </c>
      <c r="B1531" t="str">
        <f t="shared" si="47"/>
        <v>5229527COMPOSTOITAMBÉ</v>
      </c>
      <c r="C1531" s="5" t="s">
        <v>16</v>
      </c>
      <c r="D1531" s="5" t="s">
        <v>53</v>
      </c>
      <c r="E1531" s="5" t="s">
        <v>23</v>
      </c>
      <c r="F1531" s="5">
        <v>5229527</v>
      </c>
      <c r="G1531" s="5" t="s">
        <v>981</v>
      </c>
      <c r="H1531" s="5" t="s">
        <v>36</v>
      </c>
      <c r="I1531" s="5" t="s">
        <v>27</v>
      </c>
      <c r="J1531" s="5" t="s">
        <v>26</v>
      </c>
      <c r="K1531" s="6">
        <v>0</v>
      </c>
      <c r="L1531" s="7">
        <v>2000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  <c r="S1531" s="8">
        <v>0</v>
      </c>
      <c r="T1531" s="5">
        <v>0</v>
      </c>
      <c r="U1531" s="5">
        <v>0</v>
      </c>
      <c r="V1531" s="5">
        <f>VLOOKUP(A1531,Planilha1!B:E,4,0)</f>
        <v>0.15618217875936719</v>
      </c>
    </row>
    <row r="1532" spans="1:22" x14ac:dyDescent="0.3">
      <c r="A1532" t="str">
        <f t="shared" si="46"/>
        <v>COMPOSTOITAMBÉ</v>
      </c>
      <c r="B1532" t="str">
        <f t="shared" si="47"/>
        <v>5230045COMPOSTOITAMBÉ</v>
      </c>
      <c r="C1532" s="5" t="s">
        <v>16</v>
      </c>
      <c r="D1532" s="5" t="s">
        <v>53</v>
      </c>
      <c r="E1532" s="5" t="s">
        <v>23</v>
      </c>
      <c r="F1532" s="5">
        <v>5230045</v>
      </c>
      <c r="G1532" s="5" t="s">
        <v>982</v>
      </c>
      <c r="H1532" s="5" t="s">
        <v>103</v>
      </c>
      <c r="I1532" s="5" t="s">
        <v>27</v>
      </c>
      <c r="J1532" s="5" t="s">
        <v>26</v>
      </c>
      <c r="K1532" s="6">
        <v>0</v>
      </c>
      <c r="L1532" s="7">
        <v>1000</v>
      </c>
      <c r="M1532" s="8">
        <v>291.66666666666663</v>
      </c>
      <c r="N1532" s="8">
        <v>333.33333333333331</v>
      </c>
      <c r="O1532" s="8">
        <v>0</v>
      </c>
      <c r="P1532" s="8">
        <v>0</v>
      </c>
      <c r="Q1532" s="8">
        <v>0</v>
      </c>
      <c r="R1532" s="8">
        <v>0</v>
      </c>
      <c r="S1532" s="8">
        <v>0</v>
      </c>
      <c r="T1532" s="5">
        <v>0</v>
      </c>
      <c r="U1532" s="5">
        <v>0</v>
      </c>
      <c r="V1532" s="5">
        <f>VLOOKUP(A1532,Planilha1!B:E,4,0)</f>
        <v>0.15618217875936719</v>
      </c>
    </row>
    <row r="1533" spans="1:22" x14ac:dyDescent="0.3">
      <c r="A1533" t="str">
        <f t="shared" si="46"/>
        <v>COMPOSTOITAMBÉ</v>
      </c>
      <c r="B1533" t="str">
        <f t="shared" si="47"/>
        <v>5339004COMPOSTOITAMBÉ</v>
      </c>
      <c r="C1533" s="5" t="s">
        <v>16</v>
      </c>
      <c r="D1533" s="5" t="s">
        <v>53</v>
      </c>
      <c r="E1533" s="5" t="s">
        <v>23</v>
      </c>
      <c r="F1533" s="5">
        <v>5339004</v>
      </c>
      <c r="G1533" s="5" t="s">
        <v>983</v>
      </c>
      <c r="H1533" s="5" t="s">
        <v>113</v>
      </c>
      <c r="I1533" s="5" t="s">
        <v>27</v>
      </c>
      <c r="J1533" s="5" t="s">
        <v>26</v>
      </c>
      <c r="K1533" s="6">
        <v>0</v>
      </c>
      <c r="L1533" s="7">
        <v>6000</v>
      </c>
      <c r="M1533" s="8">
        <v>125</v>
      </c>
      <c r="N1533" s="8">
        <v>250</v>
      </c>
      <c r="O1533" s="8">
        <v>0</v>
      </c>
      <c r="P1533" s="8">
        <v>0</v>
      </c>
      <c r="Q1533" s="8">
        <v>0</v>
      </c>
      <c r="R1533" s="8">
        <v>0</v>
      </c>
      <c r="S1533" s="8">
        <v>0</v>
      </c>
      <c r="T1533" s="5">
        <v>0</v>
      </c>
      <c r="U1533" s="5">
        <v>0</v>
      </c>
      <c r="V1533" s="5">
        <f>VLOOKUP(A1533,Planilha1!B:E,4,0)</f>
        <v>0.15618217875936719</v>
      </c>
    </row>
    <row r="1534" spans="1:22" x14ac:dyDescent="0.3">
      <c r="A1534" t="str">
        <f t="shared" si="46"/>
        <v>COMPOSTOITAMBÉ</v>
      </c>
      <c r="B1534" t="str">
        <f t="shared" si="47"/>
        <v>5343040COMPOSTOITAMBÉ</v>
      </c>
      <c r="C1534" s="5" t="s">
        <v>16</v>
      </c>
      <c r="D1534" s="5" t="s">
        <v>53</v>
      </c>
      <c r="E1534" s="5" t="s">
        <v>23</v>
      </c>
      <c r="F1534" s="5">
        <v>5343040</v>
      </c>
      <c r="G1534" s="5" t="s">
        <v>984</v>
      </c>
      <c r="H1534" s="5" t="s">
        <v>88</v>
      </c>
      <c r="I1534" s="5" t="s">
        <v>27</v>
      </c>
      <c r="J1534" s="5" t="s">
        <v>26</v>
      </c>
      <c r="K1534" s="6">
        <v>0</v>
      </c>
      <c r="L1534" s="7">
        <v>250</v>
      </c>
      <c r="M1534" s="8">
        <v>50</v>
      </c>
      <c r="N1534" s="8">
        <v>0</v>
      </c>
      <c r="O1534" s="8">
        <v>0</v>
      </c>
      <c r="P1534" s="8">
        <v>0</v>
      </c>
      <c r="Q1534" s="8">
        <v>0</v>
      </c>
      <c r="R1534" s="8">
        <v>0</v>
      </c>
      <c r="S1534" s="8">
        <v>0</v>
      </c>
      <c r="T1534" s="5">
        <v>0</v>
      </c>
      <c r="U1534" s="5">
        <v>0</v>
      </c>
      <c r="V1534" s="5">
        <f>VLOOKUP(A1534,Planilha1!B:E,4,0)</f>
        <v>0.15618217875936719</v>
      </c>
    </row>
    <row r="1535" spans="1:22" x14ac:dyDescent="0.3">
      <c r="A1535" t="str">
        <f t="shared" si="46"/>
        <v>COMPOSTOITAMBÉ</v>
      </c>
      <c r="B1535" t="str">
        <f t="shared" si="47"/>
        <v>5343609COMPOSTOITAMBÉ</v>
      </c>
      <c r="C1535" s="5" t="s">
        <v>16</v>
      </c>
      <c r="D1535" s="5" t="s">
        <v>53</v>
      </c>
      <c r="E1535" s="5" t="s">
        <v>23</v>
      </c>
      <c r="F1535" s="5">
        <v>5343609</v>
      </c>
      <c r="G1535" s="5" t="s">
        <v>985</v>
      </c>
      <c r="H1535" s="5" t="s">
        <v>113</v>
      </c>
      <c r="I1535" s="5" t="s">
        <v>27</v>
      </c>
      <c r="J1535" s="5" t="s">
        <v>26</v>
      </c>
      <c r="K1535" s="6">
        <v>0</v>
      </c>
      <c r="L1535" s="7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0</v>
      </c>
      <c r="S1535" s="8">
        <v>0</v>
      </c>
      <c r="T1535" s="5">
        <v>0</v>
      </c>
      <c r="U1535" s="5">
        <v>0</v>
      </c>
      <c r="V1535" s="5">
        <f>VLOOKUP(A1535,Planilha1!B:E,4,0)</f>
        <v>0.15618217875936719</v>
      </c>
    </row>
    <row r="1536" spans="1:22" x14ac:dyDescent="0.3">
      <c r="A1536" t="str">
        <f t="shared" si="46"/>
        <v>COMPOSTOITAMBÉ</v>
      </c>
      <c r="B1536" t="str">
        <f t="shared" si="47"/>
        <v>5344060COMPOSTOITAMBÉ</v>
      </c>
      <c r="C1536" s="5" t="s">
        <v>16</v>
      </c>
      <c r="D1536" s="5" t="s">
        <v>53</v>
      </c>
      <c r="E1536" s="5" t="s">
        <v>23</v>
      </c>
      <c r="F1536" s="5">
        <v>5344060</v>
      </c>
      <c r="G1536" s="5" t="s">
        <v>986</v>
      </c>
      <c r="H1536" s="5" t="s">
        <v>88</v>
      </c>
      <c r="I1536" s="5" t="s">
        <v>27</v>
      </c>
      <c r="J1536" s="5" t="s">
        <v>26</v>
      </c>
      <c r="K1536" s="6">
        <v>0</v>
      </c>
      <c r="L1536" s="7">
        <v>-200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  <c r="S1536" s="8">
        <v>0</v>
      </c>
      <c r="T1536" s="5">
        <v>0</v>
      </c>
      <c r="U1536" s="5">
        <v>0</v>
      </c>
      <c r="V1536" s="5">
        <f>VLOOKUP(A1536,Planilha1!B:E,4,0)</f>
        <v>0.15618217875936719</v>
      </c>
    </row>
    <row r="1537" spans="1:22" x14ac:dyDescent="0.3">
      <c r="A1537" t="str">
        <f t="shared" si="46"/>
        <v>LPD 25KGLACTALIS</v>
      </c>
      <c r="B1537" t="str">
        <f t="shared" si="47"/>
        <v>5000091LPD 25KGLACTALIS</v>
      </c>
      <c r="C1537" s="5" t="s">
        <v>16</v>
      </c>
      <c r="D1537" s="5" t="s">
        <v>53</v>
      </c>
      <c r="E1537" s="5" t="s">
        <v>54</v>
      </c>
      <c r="F1537" s="5">
        <v>5000091</v>
      </c>
      <c r="G1537" s="5" t="s">
        <v>987</v>
      </c>
      <c r="H1537" s="5" t="s">
        <v>113</v>
      </c>
      <c r="I1537" s="5" t="s">
        <v>22</v>
      </c>
      <c r="J1537" s="5" t="s">
        <v>43</v>
      </c>
      <c r="K1537" s="6">
        <v>0</v>
      </c>
      <c r="L1537" s="7">
        <v>25</v>
      </c>
      <c r="M1537" s="8">
        <v>0</v>
      </c>
      <c r="N1537" s="8">
        <v>0</v>
      </c>
      <c r="O1537" s="8">
        <v>0</v>
      </c>
      <c r="P1537" s="8">
        <v>0</v>
      </c>
      <c r="Q1537" s="8">
        <v>0</v>
      </c>
      <c r="R1537" s="8">
        <v>0</v>
      </c>
      <c r="S1537" s="8">
        <v>0</v>
      </c>
      <c r="T1537" s="5">
        <v>0</v>
      </c>
      <c r="U1537" s="5">
        <v>0</v>
      </c>
      <c r="V1537" s="5">
        <f>VLOOKUP(A1537,Planilha1!B:E,4,0)</f>
        <v>5.893629113453061</v>
      </c>
    </row>
    <row r="1538" spans="1:22" x14ac:dyDescent="0.3">
      <c r="A1538" t="str">
        <f t="shared" ref="A1538:A1601" si="48">J1538&amp;I1538</f>
        <v>LPD 25KGLACTALIS</v>
      </c>
      <c r="B1538" t="str">
        <f t="shared" si="47"/>
        <v>5024950LPD 25KGLACTALIS</v>
      </c>
      <c r="C1538" s="5" t="s">
        <v>16</v>
      </c>
      <c r="D1538" s="5" t="s">
        <v>53</v>
      </c>
      <c r="E1538" s="5" t="s">
        <v>54</v>
      </c>
      <c r="F1538" s="5">
        <v>5024950</v>
      </c>
      <c r="G1538" s="5" t="s">
        <v>123</v>
      </c>
      <c r="H1538" s="5" t="s">
        <v>88</v>
      </c>
      <c r="I1538" s="5" t="s">
        <v>22</v>
      </c>
      <c r="J1538" s="5" t="s">
        <v>43</v>
      </c>
      <c r="K1538" s="6">
        <v>0</v>
      </c>
      <c r="L1538" s="7">
        <v>0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0</v>
      </c>
      <c r="S1538" s="8">
        <v>0</v>
      </c>
      <c r="T1538" s="5">
        <v>0</v>
      </c>
      <c r="U1538" s="5">
        <v>0</v>
      </c>
      <c r="V1538" s="5">
        <f>VLOOKUP(A1538,Planilha1!B:E,4,0)</f>
        <v>5.893629113453061</v>
      </c>
    </row>
    <row r="1539" spans="1:22" x14ac:dyDescent="0.3">
      <c r="A1539" t="str">
        <f t="shared" si="48"/>
        <v>COMPOSTOLACTALIS</v>
      </c>
      <c r="B1539" t="str">
        <f t="shared" ref="B1539:B1602" si="49">F1539&amp;J1539&amp;I1539</f>
        <v>5098945COMPOSTOLACTALIS</v>
      </c>
      <c r="C1539" s="5" t="s">
        <v>16</v>
      </c>
      <c r="D1539" s="5" t="s">
        <v>53</v>
      </c>
      <c r="E1539" s="5" t="s">
        <v>54</v>
      </c>
      <c r="F1539" s="5">
        <v>5098945</v>
      </c>
      <c r="G1539" s="5" t="s">
        <v>988</v>
      </c>
      <c r="H1539" s="5" t="s">
        <v>113</v>
      </c>
      <c r="I1539" s="5" t="s">
        <v>22</v>
      </c>
      <c r="J1539" s="5" t="s">
        <v>26</v>
      </c>
      <c r="K1539" s="6">
        <v>0</v>
      </c>
      <c r="L1539" s="7">
        <v>300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  <c r="R1539" s="8">
        <v>0</v>
      </c>
      <c r="S1539" s="8">
        <v>0</v>
      </c>
      <c r="T1539" s="5">
        <v>0</v>
      </c>
      <c r="U1539" s="5">
        <v>0</v>
      </c>
      <c r="V1539" s="5">
        <f>VLOOKUP(A1539,Planilha1!B:E,4,0)</f>
        <v>7.7134687735139194</v>
      </c>
    </row>
    <row r="1540" spans="1:22" x14ac:dyDescent="0.3">
      <c r="A1540" t="str">
        <f t="shared" si="48"/>
        <v>COMPOSTOITAMBÉ</v>
      </c>
      <c r="B1540" t="str">
        <f t="shared" si="49"/>
        <v>5098965COMPOSTOITAMBÉ</v>
      </c>
      <c r="C1540" s="5" t="s">
        <v>16</v>
      </c>
      <c r="D1540" s="5" t="s">
        <v>53</v>
      </c>
      <c r="E1540" s="5" t="s">
        <v>54</v>
      </c>
      <c r="F1540" s="5">
        <v>5098965</v>
      </c>
      <c r="G1540" s="5" t="s">
        <v>127</v>
      </c>
      <c r="H1540" s="5" t="s">
        <v>113</v>
      </c>
      <c r="I1540" s="5" t="s">
        <v>27</v>
      </c>
      <c r="J1540" s="5" t="s">
        <v>26</v>
      </c>
      <c r="K1540" s="6">
        <v>0</v>
      </c>
      <c r="L1540" s="7">
        <v>0</v>
      </c>
      <c r="M1540" s="8">
        <v>550</v>
      </c>
      <c r="N1540" s="8">
        <v>1000</v>
      </c>
      <c r="O1540" s="8">
        <v>0</v>
      </c>
      <c r="P1540" s="8">
        <v>0</v>
      </c>
      <c r="Q1540" s="8">
        <v>0</v>
      </c>
      <c r="R1540" s="8">
        <v>0</v>
      </c>
      <c r="S1540" s="8">
        <v>0</v>
      </c>
      <c r="T1540" s="5">
        <v>0</v>
      </c>
      <c r="U1540" s="5">
        <v>0</v>
      </c>
      <c r="V1540" s="5">
        <f>VLOOKUP(A1540,Planilha1!B:E,4,0)</f>
        <v>0.15618217875936719</v>
      </c>
    </row>
    <row r="1541" spans="1:22" x14ac:dyDescent="0.3">
      <c r="A1541" t="str">
        <f t="shared" si="48"/>
        <v>LEITE EM PÓLACTALIS</v>
      </c>
      <c r="B1541" t="str">
        <f t="shared" si="49"/>
        <v>5098965LEITE EM PÓLACTALIS</v>
      </c>
      <c r="C1541" s="5" t="s">
        <v>16</v>
      </c>
      <c r="D1541" s="5" t="s">
        <v>53</v>
      </c>
      <c r="E1541" s="5" t="s">
        <v>54</v>
      </c>
      <c r="F1541" s="5">
        <v>5098965</v>
      </c>
      <c r="G1541" s="5" t="s">
        <v>127</v>
      </c>
      <c r="H1541" s="5" t="s">
        <v>113</v>
      </c>
      <c r="I1541" s="5" t="s">
        <v>22</v>
      </c>
      <c r="J1541" s="5" t="s">
        <v>84</v>
      </c>
      <c r="K1541" s="6">
        <v>0</v>
      </c>
      <c r="L1541" s="7">
        <v>1000</v>
      </c>
      <c r="M1541" s="8">
        <v>333.33333333333331</v>
      </c>
      <c r="N1541" s="8">
        <v>333.33333333333331</v>
      </c>
      <c r="O1541" s="8">
        <v>0</v>
      </c>
      <c r="P1541" s="8">
        <v>0</v>
      </c>
      <c r="Q1541" s="8">
        <v>0</v>
      </c>
      <c r="R1541" s="8">
        <v>0</v>
      </c>
      <c r="S1541" s="8">
        <v>0</v>
      </c>
      <c r="T1541" s="5">
        <v>0</v>
      </c>
      <c r="U1541" s="5">
        <v>0</v>
      </c>
      <c r="V1541" s="5">
        <f>VLOOKUP(A1541,Planilha1!B:E,4,0)</f>
        <v>-2.8055507108797499</v>
      </c>
    </row>
    <row r="1542" spans="1:22" x14ac:dyDescent="0.3">
      <c r="A1542" t="str">
        <f t="shared" si="48"/>
        <v>LPI 25KGLACTALIS</v>
      </c>
      <c r="B1542" t="str">
        <f t="shared" si="49"/>
        <v>5099047LPI 25KGLACTALIS</v>
      </c>
      <c r="C1542" s="5" t="s">
        <v>16</v>
      </c>
      <c r="D1542" s="5" t="s">
        <v>53</v>
      </c>
      <c r="E1542" s="5" t="s">
        <v>54</v>
      </c>
      <c r="F1542" s="5">
        <v>5099047</v>
      </c>
      <c r="G1542" s="5" t="s">
        <v>989</v>
      </c>
      <c r="H1542" s="5" t="s">
        <v>113</v>
      </c>
      <c r="I1542" s="5" t="s">
        <v>22</v>
      </c>
      <c r="J1542" s="5" t="s">
        <v>21</v>
      </c>
      <c r="K1542" s="6">
        <v>0</v>
      </c>
      <c r="L1542" s="7">
        <v>50</v>
      </c>
      <c r="M1542" s="8">
        <v>0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  <c r="S1542" s="8">
        <v>0</v>
      </c>
      <c r="T1542" s="5">
        <v>0</v>
      </c>
      <c r="U1542" s="5">
        <v>0</v>
      </c>
      <c r="V1542" s="5">
        <f>VLOOKUP(A1542,Planilha1!B:E,4,0)</f>
        <v>-4.3046759024811481</v>
      </c>
    </row>
    <row r="1543" spans="1:22" x14ac:dyDescent="0.3">
      <c r="A1543" t="str">
        <f t="shared" si="48"/>
        <v>LPD 25KGLACTALIS</v>
      </c>
      <c r="B1543" t="str">
        <f t="shared" si="49"/>
        <v>5099067LPD 25KGLACTALIS</v>
      </c>
      <c r="C1543" s="5" t="s">
        <v>16</v>
      </c>
      <c r="D1543" s="5" t="s">
        <v>53</v>
      </c>
      <c r="E1543" s="5" t="s">
        <v>54</v>
      </c>
      <c r="F1543" s="5">
        <v>5099067</v>
      </c>
      <c r="G1543" s="5" t="s">
        <v>990</v>
      </c>
      <c r="H1543" s="5" t="s">
        <v>30</v>
      </c>
      <c r="I1543" s="5" t="s">
        <v>22</v>
      </c>
      <c r="J1543" s="5" t="s">
        <v>43</v>
      </c>
      <c r="K1543" s="6">
        <v>0</v>
      </c>
      <c r="L1543" s="7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  <c r="S1543" s="8">
        <v>0</v>
      </c>
      <c r="T1543" s="5">
        <v>0</v>
      </c>
      <c r="U1543" s="5">
        <v>0</v>
      </c>
      <c r="V1543" s="5">
        <f>VLOOKUP(A1543,Planilha1!B:E,4,0)</f>
        <v>5.893629113453061</v>
      </c>
    </row>
    <row r="1544" spans="1:22" x14ac:dyDescent="0.3">
      <c r="A1544" t="str">
        <f t="shared" si="48"/>
        <v>LPI 25KGLACTALIS</v>
      </c>
      <c r="B1544" t="str">
        <f t="shared" si="49"/>
        <v>5099095LPI 25KGLACTALIS</v>
      </c>
      <c r="C1544" s="5" t="s">
        <v>16</v>
      </c>
      <c r="D1544" s="5" t="s">
        <v>53</v>
      </c>
      <c r="E1544" s="5" t="s">
        <v>54</v>
      </c>
      <c r="F1544" s="5">
        <v>5099095</v>
      </c>
      <c r="G1544" s="5" t="s">
        <v>991</v>
      </c>
      <c r="H1544" s="5" t="s">
        <v>113</v>
      </c>
      <c r="I1544" s="5" t="s">
        <v>22</v>
      </c>
      <c r="J1544" s="5" t="s">
        <v>21</v>
      </c>
      <c r="K1544" s="6">
        <v>0</v>
      </c>
      <c r="L1544" s="7">
        <v>100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0</v>
      </c>
      <c r="T1544" s="5">
        <v>0</v>
      </c>
      <c r="U1544" s="5">
        <v>0</v>
      </c>
      <c r="V1544" s="5">
        <f>VLOOKUP(A1544,Planilha1!B:E,4,0)</f>
        <v>-4.3046759024811481</v>
      </c>
    </row>
    <row r="1545" spans="1:22" x14ac:dyDescent="0.3">
      <c r="A1545" t="str">
        <f t="shared" si="48"/>
        <v>LEITE EM PÓITAMBÉ</v>
      </c>
      <c r="B1545" t="str">
        <f t="shared" si="49"/>
        <v>5137371LEITE EM PÓITAMBÉ</v>
      </c>
      <c r="C1545" s="5" t="s">
        <v>16</v>
      </c>
      <c r="D1545" s="5" t="s">
        <v>53</v>
      </c>
      <c r="E1545" s="5" t="s">
        <v>54</v>
      </c>
      <c r="F1545" s="5">
        <v>5137371</v>
      </c>
      <c r="G1545" s="5" t="s">
        <v>992</v>
      </c>
      <c r="H1545" s="5" t="s">
        <v>113</v>
      </c>
      <c r="I1545" s="5" t="s">
        <v>27</v>
      </c>
      <c r="J1545" s="5" t="s">
        <v>84</v>
      </c>
      <c r="K1545" s="6">
        <v>0</v>
      </c>
      <c r="L1545" s="7">
        <v>40</v>
      </c>
      <c r="M1545" s="8">
        <v>0</v>
      </c>
      <c r="N1545" s="8">
        <v>0</v>
      </c>
      <c r="O1545" s="8">
        <v>0</v>
      </c>
      <c r="P1545" s="8">
        <v>0</v>
      </c>
      <c r="Q1545" s="8">
        <v>0</v>
      </c>
      <c r="R1545" s="8">
        <v>0</v>
      </c>
      <c r="S1545" s="8">
        <v>0</v>
      </c>
      <c r="T1545" s="5">
        <v>0</v>
      </c>
      <c r="U1545" s="5">
        <v>0</v>
      </c>
      <c r="V1545" s="5">
        <f>VLOOKUP(A1545,Planilha1!B:E,4,0)</f>
        <v>4.5971522734997743</v>
      </c>
    </row>
    <row r="1546" spans="1:22" x14ac:dyDescent="0.3">
      <c r="A1546" t="str">
        <f t="shared" si="48"/>
        <v>LEITE CONDENSADOITAMBÉ</v>
      </c>
      <c r="B1546" t="str">
        <f t="shared" si="49"/>
        <v>5138292LEITE CONDENSADOITAMBÉ</v>
      </c>
      <c r="C1546" s="5" t="s">
        <v>16</v>
      </c>
      <c r="D1546" s="5" t="s">
        <v>53</v>
      </c>
      <c r="E1546" s="5" t="s">
        <v>54</v>
      </c>
      <c r="F1546" s="5">
        <v>5138292</v>
      </c>
      <c r="G1546" s="5" t="s">
        <v>993</v>
      </c>
      <c r="H1546" s="5" t="s">
        <v>88</v>
      </c>
      <c r="I1546" s="5" t="s">
        <v>27</v>
      </c>
      <c r="J1546" s="5" t="s">
        <v>33</v>
      </c>
      <c r="K1546" s="6">
        <v>0</v>
      </c>
      <c r="L1546" s="7">
        <v>800</v>
      </c>
      <c r="M1546" s="8">
        <v>583.33333333333326</v>
      </c>
      <c r="N1546" s="8">
        <v>860</v>
      </c>
      <c r="O1546" s="8">
        <v>0</v>
      </c>
      <c r="P1546" s="8">
        <v>0</v>
      </c>
      <c r="Q1546" s="8">
        <v>0</v>
      </c>
      <c r="R1546" s="8">
        <v>0</v>
      </c>
      <c r="S1546" s="8">
        <v>0</v>
      </c>
      <c r="T1546" s="5">
        <v>0</v>
      </c>
      <c r="U1546" s="5">
        <v>0</v>
      </c>
      <c r="V1546" s="5">
        <f>VLOOKUP(A1546,Planilha1!B:E,4,0)</f>
        <v>1.4766792698630664</v>
      </c>
    </row>
    <row r="1547" spans="1:22" x14ac:dyDescent="0.3">
      <c r="A1547" t="str">
        <f t="shared" si="48"/>
        <v>LPD 25KGLACTALIS</v>
      </c>
      <c r="B1547" t="str">
        <f t="shared" si="49"/>
        <v>5150121LPD 25KGLACTALIS</v>
      </c>
      <c r="C1547" s="5" t="s">
        <v>16</v>
      </c>
      <c r="D1547" s="5" t="s">
        <v>53</v>
      </c>
      <c r="E1547" s="5" t="s">
        <v>54</v>
      </c>
      <c r="F1547" s="5">
        <v>5150121</v>
      </c>
      <c r="G1547" s="5" t="s">
        <v>994</v>
      </c>
      <c r="H1547" s="5" t="s">
        <v>113</v>
      </c>
      <c r="I1547" s="5" t="s">
        <v>22</v>
      </c>
      <c r="J1547" s="5" t="s">
        <v>43</v>
      </c>
      <c r="K1547" s="6">
        <v>0</v>
      </c>
      <c r="L1547" s="7">
        <v>0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0</v>
      </c>
      <c r="S1547" s="8">
        <v>0</v>
      </c>
      <c r="T1547" s="5">
        <v>0</v>
      </c>
      <c r="U1547" s="5">
        <v>0</v>
      </c>
      <c r="V1547" s="5">
        <f>VLOOKUP(A1547,Planilha1!B:E,4,0)</f>
        <v>5.893629113453061</v>
      </c>
    </row>
    <row r="1548" spans="1:22" x14ac:dyDescent="0.3">
      <c r="A1548" t="str">
        <f t="shared" si="48"/>
        <v>LPI 25KGLACTALIS</v>
      </c>
      <c r="B1548" t="str">
        <f t="shared" si="49"/>
        <v>5150121LPI 25KGLACTALIS</v>
      </c>
      <c r="C1548" s="5" t="s">
        <v>16</v>
      </c>
      <c r="D1548" s="5" t="s">
        <v>53</v>
      </c>
      <c r="E1548" s="5" t="s">
        <v>54</v>
      </c>
      <c r="F1548" s="5">
        <v>5150121</v>
      </c>
      <c r="G1548" s="5" t="s">
        <v>994</v>
      </c>
      <c r="H1548" s="5" t="s">
        <v>113</v>
      </c>
      <c r="I1548" s="5" t="s">
        <v>22</v>
      </c>
      <c r="J1548" s="5" t="s">
        <v>21</v>
      </c>
      <c r="K1548" s="6">
        <v>0</v>
      </c>
      <c r="L1548" s="7">
        <v>4000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  <c r="S1548" s="8">
        <v>0</v>
      </c>
      <c r="T1548" s="5">
        <v>0</v>
      </c>
      <c r="U1548" s="5">
        <v>0</v>
      </c>
      <c r="V1548" s="5">
        <f>VLOOKUP(A1548,Planilha1!B:E,4,0)</f>
        <v>-4.3046759024811481</v>
      </c>
    </row>
    <row r="1549" spans="1:22" x14ac:dyDescent="0.3">
      <c r="A1549" t="str">
        <f t="shared" si="48"/>
        <v>LPD 25KGLACTALIS</v>
      </c>
      <c r="B1549" t="str">
        <f t="shared" si="49"/>
        <v>5165804LPD 25KGLACTALIS</v>
      </c>
      <c r="C1549" s="5" t="s">
        <v>16</v>
      </c>
      <c r="D1549" s="5" t="s">
        <v>53</v>
      </c>
      <c r="E1549" s="5" t="s">
        <v>54</v>
      </c>
      <c r="F1549" s="5">
        <v>5165804</v>
      </c>
      <c r="G1549" s="5" t="s">
        <v>131</v>
      </c>
      <c r="H1549" s="5" t="s">
        <v>103</v>
      </c>
      <c r="I1549" s="5" t="s">
        <v>22</v>
      </c>
      <c r="J1549" s="5" t="s">
        <v>43</v>
      </c>
      <c r="K1549" s="6">
        <v>0</v>
      </c>
      <c r="L1549" s="7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  <c r="S1549" s="8">
        <v>0</v>
      </c>
      <c r="T1549" s="5">
        <v>0</v>
      </c>
      <c r="U1549" s="5">
        <v>0</v>
      </c>
      <c r="V1549" s="5">
        <f>VLOOKUP(A1549,Planilha1!B:E,4,0)</f>
        <v>5.893629113453061</v>
      </c>
    </row>
    <row r="1550" spans="1:22" x14ac:dyDescent="0.3">
      <c r="A1550" t="str">
        <f t="shared" si="48"/>
        <v>CREME UHTITAMBÉ</v>
      </c>
      <c r="B1550" t="str">
        <f t="shared" si="49"/>
        <v>5167579CREME UHTITAMBÉ</v>
      </c>
      <c r="C1550" s="5" t="s">
        <v>16</v>
      </c>
      <c r="D1550" s="5" t="s">
        <v>53</v>
      </c>
      <c r="E1550" s="5" t="s">
        <v>54</v>
      </c>
      <c r="F1550" s="5">
        <v>5167579</v>
      </c>
      <c r="G1550" s="5" t="s">
        <v>995</v>
      </c>
      <c r="H1550" s="5" t="s">
        <v>88</v>
      </c>
      <c r="I1550" s="5" t="s">
        <v>27</v>
      </c>
      <c r="J1550" s="5" t="s">
        <v>34</v>
      </c>
      <c r="K1550" s="6">
        <v>0</v>
      </c>
      <c r="L1550" s="7">
        <v>0</v>
      </c>
      <c r="M1550" s="8">
        <v>0</v>
      </c>
      <c r="N1550" s="8">
        <v>0</v>
      </c>
      <c r="O1550" s="8">
        <v>0</v>
      </c>
      <c r="P1550" s="8">
        <v>0</v>
      </c>
      <c r="Q1550" s="8">
        <v>0</v>
      </c>
      <c r="R1550" s="8">
        <v>0</v>
      </c>
      <c r="S1550" s="8">
        <v>0</v>
      </c>
      <c r="T1550" s="5">
        <v>0</v>
      </c>
      <c r="U1550" s="5">
        <v>0</v>
      </c>
      <c r="V1550" s="5">
        <f>VLOOKUP(A1550,Planilha1!B:E,4,0)</f>
        <v>1.2362540170747773</v>
      </c>
    </row>
    <row r="1551" spans="1:22" x14ac:dyDescent="0.3">
      <c r="A1551" t="str">
        <f t="shared" si="48"/>
        <v>LPD 25KGITAMBÉ</v>
      </c>
      <c r="B1551" t="str">
        <f t="shared" si="49"/>
        <v>5168007LPD 25KGITAMBÉ</v>
      </c>
      <c r="C1551" s="5" t="s">
        <v>16</v>
      </c>
      <c r="D1551" s="5" t="s">
        <v>53</v>
      </c>
      <c r="E1551" s="5" t="s">
        <v>54</v>
      </c>
      <c r="F1551" s="5">
        <v>5168007</v>
      </c>
      <c r="G1551" s="5" t="s">
        <v>131</v>
      </c>
      <c r="H1551" s="5" t="s">
        <v>25</v>
      </c>
      <c r="I1551" s="5" t="s">
        <v>27</v>
      </c>
      <c r="J1551" s="5" t="s">
        <v>43</v>
      </c>
      <c r="K1551" s="6">
        <v>0</v>
      </c>
      <c r="L1551" s="7">
        <v>0</v>
      </c>
      <c r="M1551" s="8">
        <v>0</v>
      </c>
      <c r="N1551" s="8">
        <v>0</v>
      </c>
      <c r="O1551" s="8">
        <v>0</v>
      </c>
      <c r="P1551" s="8">
        <v>0</v>
      </c>
      <c r="Q1551" s="8">
        <v>0</v>
      </c>
      <c r="R1551" s="8">
        <v>0</v>
      </c>
      <c r="S1551" s="8">
        <v>0</v>
      </c>
      <c r="T1551" s="5">
        <v>0</v>
      </c>
      <c r="U1551" s="5">
        <v>0</v>
      </c>
      <c r="V1551" s="5">
        <f>VLOOKUP(A1551,Planilha1!B:E,4,0)</f>
        <v>3.3372177319587628</v>
      </c>
    </row>
    <row r="1552" spans="1:22" x14ac:dyDescent="0.3">
      <c r="A1552" t="str">
        <f t="shared" si="48"/>
        <v>MANTEIGA 25KGLACTALIS</v>
      </c>
      <c r="B1552" t="str">
        <f t="shared" si="49"/>
        <v>5181258MANTEIGA 25KGLACTALIS</v>
      </c>
      <c r="C1552" s="5" t="s">
        <v>16</v>
      </c>
      <c r="D1552" s="5" t="s">
        <v>53</v>
      </c>
      <c r="E1552" s="5" t="s">
        <v>54</v>
      </c>
      <c r="F1552" s="5">
        <v>5181258</v>
      </c>
      <c r="G1552" s="5" t="s">
        <v>996</v>
      </c>
      <c r="H1552" s="5" t="s">
        <v>30</v>
      </c>
      <c r="I1552" s="5" t="s">
        <v>22</v>
      </c>
      <c r="J1552" s="5" t="s">
        <v>92</v>
      </c>
      <c r="K1552" s="6">
        <v>0</v>
      </c>
      <c r="L1552" s="7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  <c r="S1552" s="8">
        <v>0</v>
      </c>
      <c r="T1552" s="5">
        <v>0</v>
      </c>
      <c r="U1552" s="5">
        <v>0</v>
      </c>
      <c r="V1552" s="5">
        <f>VLOOKUP(A1552,Planilha1!B:E,4,0)</f>
        <v>-1.2278576950723545</v>
      </c>
    </row>
    <row r="1553" spans="1:22" x14ac:dyDescent="0.3">
      <c r="A1553" t="str">
        <f t="shared" si="48"/>
        <v>LPI 25KGLACTALIS</v>
      </c>
      <c r="B1553" t="str">
        <f t="shared" si="49"/>
        <v>5192017LPI 25KGLACTALIS</v>
      </c>
      <c r="C1553" s="5" t="s">
        <v>16</v>
      </c>
      <c r="D1553" s="5" t="s">
        <v>53</v>
      </c>
      <c r="E1553" s="5" t="s">
        <v>54</v>
      </c>
      <c r="F1553" s="5">
        <v>5192017</v>
      </c>
      <c r="G1553" s="5" t="s">
        <v>997</v>
      </c>
      <c r="H1553" s="5" t="s">
        <v>30</v>
      </c>
      <c r="I1553" s="5" t="s">
        <v>22</v>
      </c>
      <c r="J1553" s="5" t="s">
        <v>21</v>
      </c>
      <c r="K1553" s="6">
        <v>0</v>
      </c>
      <c r="L1553" s="7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  <c r="S1553" s="8">
        <v>0</v>
      </c>
      <c r="T1553" s="5">
        <v>0</v>
      </c>
      <c r="U1553" s="5">
        <v>0</v>
      </c>
      <c r="V1553" s="5">
        <f>VLOOKUP(A1553,Planilha1!B:E,4,0)</f>
        <v>-4.3046759024811481</v>
      </c>
    </row>
    <row r="1554" spans="1:22" x14ac:dyDescent="0.3">
      <c r="A1554" t="str">
        <f t="shared" si="48"/>
        <v>LEITE EM PÓLACTALIS</v>
      </c>
      <c r="B1554" t="str">
        <f t="shared" si="49"/>
        <v>5224996LEITE EM PÓLACTALIS</v>
      </c>
      <c r="C1554" s="5" t="s">
        <v>16</v>
      </c>
      <c r="D1554" s="5" t="s">
        <v>53</v>
      </c>
      <c r="E1554" s="5" t="s">
        <v>54</v>
      </c>
      <c r="F1554" s="5">
        <v>5224996</v>
      </c>
      <c r="G1554" s="5" t="s">
        <v>998</v>
      </c>
      <c r="H1554" s="5" t="s">
        <v>113</v>
      </c>
      <c r="I1554" s="5" t="s">
        <v>22</v>
      </c>
      <c r="J1554" s="5" t="s">
        <v>84</v>
      </c>
      <c r="K1554" s="6">
        <v>0</v>
      </c>
      <c r="L1554" s="7">
        <v>1150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  <c r="S1554" s="8">
        <v>0</v>
      </c>
      <c r="T1554" s="5">
        <v>0</v>
      </c>
      <c r="U1554" s="5">
        <v>0</v>
      </c>
      <c r="V1554" s="5">
        <f>VLOOKUP(A1554,Planilha1!B:E,4,0)</f>
        <v>-2.8055507108797499</v>
      </c>
    </row>
    <row r="1555" spans="1:22" x14ac:dyDescent="0.3">
      <c r="A1555" t="str">
        <f t="shared" si="48"/>
        <v>LPD 25KGLACTALIS</v>
      </c>
      <c r="B1555" t="str">
        <f t="shared" si="49"/>
        <v>5224996LPD 25KGLACTALIS</v>
      </c>
      <c r="C1555" s="5" t="s">
        <v>16</v>
      </c>
      <c r="D1555" s="5" t="s">
        <v>53</v>
      </c>
      <c r="E1555" s="5" t="s">
        <v>54</v>
      </c>
      <c r="F1555" s="5">
        <v>5224996</v>
      </c>
      <c r="G1555" s="5" t="s">
        <v>998</v>
      </c>
      <c r="H1555" s="5" t="s">
        <v>113</v>
      </c>
      <c r="I1555" s="5" t="s">
        <v>22</v>
      </c>
      <c r="J1555" s="5" t="s">
        <v>43</v>
      </c>
      <c r="K1555" s="6">
        <v>0</v>
      </c>
      <c r="L1555" s="7">
        <v>900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  <c r="S1555" s="8">
        <v>0</v>
      </c>
      <c r="T1555" s="5">
        <v>0</v>
      </c>
      <c r="U1555" s="5">
        <v>0</v>
      </c>
      <c r="V1555" s="5">
        <f>VLOOKUP(A1555,Planilha1!B:E,4,0)</f>
        <v>5.893629113453061</v>
      </c>
    </row>
    <row r="1556" spans="1:22" x14ac:dyDescent="0.3">
      <c r="A1556" t="str">
        <f t="shared" si="48"/>
        <v>COMPOSTOLACTALIS</v>
      </c>
      <c r="B1556" t="str">
        <f t="shared" si="49"/>
        <v>5226651COMPOSTOLACTALIS</v>
      </c>
      <c r="C1556" s="5" t="s">
        <v>16</v>
      </c>
      <c r="D1556" s="5" t="s">
        <v>53</v>
      </c>
      <c r="E1556" s="5" t="s">
        <v>54</v>
      </c>
      <c r="F1556" s="5">
        <v>5226651</v>
      </c>
      <c r="G1556" s="5" t="s">
        <v>999</v>
      </c>
      <c r="H1556" s="5" t="s">
        <v>30</v>
      </c>
      <c r="I1556" s="5" t="s">
        <v>22</v>
      </c>
      <c r="J1556" s="5" t="s">
        <v>26</v>
      </c>
      <c r="K1556" s="6">
        <v>0</v>
      </c>
      <c r="L1556" s="7">
        <v>13500</v>
      </c>
      <c r="M1556" s="8">
        <v>6083.3333333333339</v>
      </c>
      <c r="N1556" s="8">
        <v>3666.6666666666665</v>
      </c>
      <c r="O1556" s="8">
        <v>0</v>
      </c>
      <c r="P1556" s="8">
        <v>0</v>
      </c>
      <c r="Q1556" s="8">
        <v>0</v>
      </c>
      <c r="R1556" s="8">
        <v>0</v>
      </c>
      <c r="S1556" s="8">
        <v>0</v>
      </c>
      <c r="T1556" s="5">
        <v>0</v>
      </c>
      <c r="U1556" s="5">
        <v>0</v>
      </c>
      <c r="V1556" s="5">
        <f>VLOOKUP(A1556,Planilha1!B:E,4,0)</f>
        <v>7.7134687735139194</v>
      </c>
    </row>
    <row r="1557" spans="1:22" x14ac:dyDescent="0.3">
      <c r="A1557" t="str">
        <f t="shared" si="48"/>
        <v>LPD 25KGLACTALIS</v>
      </c>
      <c r="B1557" t="str">
        <f t="shared" si="49"/>
        <v>5226651LPD 25KGLACTALIS</v>
      </c>
      <c r="C1557" s="5" t="s">
        <v>16</v>
      </c>
      <c r="D1557" s="5" t="s">
        <v>53</v>
      </c>
      <c r="E1557" s="5" t="s">
        <v>54</v>
      </c>
      <c r="F1557" s="5">
        <v>5226651</v>
      </c>
      <c r="G1557" s="5" t="s">
        <v>999</v>
      </c>
      <c r="H1557" s="5" t="s">
        <v>30</v>
      </c>
      <c r="I1557" s="5" t="s">
        <v>22</v>
      </c>
      <c r="J1557" s="5" t="s">
        <v>43</v>
      </c>
      <c r="K1557" s="6">
        <v>0</v>
      </c>
      <c r="L1557" s="7">
        <v>0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  <c r="S1557" s="8">
        <v>0</v>
      </c>
      <c r="T1557" s="5">
        <v>0</v>
      </c>
      <c r="U1557" s="5">
        <v>0</v>
      </c>
      <c r="V1557" s="5">
        <f>VLOOKUP(A1557,Planilha1!B:E,4,0)</f>
        <v>5.893629113453061</v>
      </c>
    </row>
    <row r="1558" spans="1:22" x14ac:dyDescent="0.3">
      <c r="A1558" t="str">
        <f t="shared" si="48"/>
        <v>COMPOSTOLACTALIS</v>
      </c>
      <c r="B1558" t="str">
        <f t="shared" si="49"/>
        <v>5227311COMPOSTOLACTALIS</v>
      </c>
      <c r="C1558" s="5" t="s">
        <v>16</v>
      </c>
      <c r="D1558" s="5" t="s">
        <v>53</v>
      </c>
      <c r="E1558" s="5" t="s">
        <v>54</v>
      </c>
      <c r="F1558" s="5">
        <v>5227311</v>
      </c>
      <c r="G1558" s="5" t="s">
        <v>138</v>
      </c>
      <c r="H1558" s="5" t="s">
        <v>113</v>
      </c>
      <c r="I1558" s="5" t="s">
        <v>22</v>
      </c>
      <c r="J1558" s="5" t="s">
        <v>26</v>
      </c>
      <c r="K1558" s="6">
        <v>0</v>
      </c>
      <c r="L1558" s="7">
        <v>1500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0</v>
      </c>
      <c r="S1558" s="8">
        <v>0</v>
      </c>
      <c r="T1558" s="5">
        <v>0</v>
      </c>
      <c r="U1558" s="5">
        <v>0</v>
      </c>
      <c r="V1558" s="5">
        <f>VLOOKUP(A1558,Planilha1!B:E,4,0)</f>
        <v>7.7134687735139194</v>
      </c>
    </row>
    <row r="1559" spans="1:22" x14ac:dyDescent="0.3">
      <c r="A1559" t="str">
        <f t="shared" si="48"/>
        <v>LEITE CONDENSADOITAMBÉ</v>
      </c>
      <c r="B1559" t="str">
        <f t="shared" si="49"/>
        <v>5227935LEITE CONDENSADOITAMBÉ</v>
      </c>
      <c r="C1559" s="5" t="s">
        <v>16</v>
      </c>
      <c r="D1559" s="5" t="s">
        <v>53</v>
      </c>
      <c r="E1559" s="5" t="s">
        <v>54</v>
      </c>
      <c r="F1559" s="5">
        <v>5227935</v>
      </c>
      <c r="G1559" s="5" t="s">
        <v>1000</v>
      </c>
      <c r="H1559" s="5" t="s">
        <v>113</v>
      </c>
      <c r="I1559" s="5" t="s">
        <v>27</v>
      </c>
      <c r="J1559" s="5" t="s">
        <v>33</v>
      </c>
      <c r="K1559" s="6">
        <v>0</v>
      </c>
      <c r="L1559" s="7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0</v>
      </c>
      <c r="S1559" s="8">
        <v>0</v>
      </c>
      <c r="T1559" s="5">
        <v>0</v>
      </c>
      <c r="U1559" s="5">
        <v>0</v>
      </c>
      <c r="V1559" s="5">
        <f>VLOOKUP(A1559,Planilha1!B:E,4,0)</f>
        <v>1.4766792698630664</v>
      </c>
    </row>
    <row r="1560" spans="1:22" x14ac:dyDescent="0.3">
      <c r="A1560" t="str">
        <f t="shared" si="48"/>
        <v>LPD 25KGITAMBÉ</v>
      </c>
      <c r="B1560" t="str">
        <f t="shared" si="49"/>
        <v>5229103LPD 25KGITAMBÉ</v>
      </c>
      <c r="C1560" s="5" t="s">
        <v>16</v>
      </c>
      <c r="D1560" s="5" t="s">
        <v>53</v>
      </c>
      <c r="E1560" s="5" t="s">
        <v>54</v>
      </c>
      <c r="F1560" s="5">
        <v>5229103</v>
      </c>
      <c r="G1560" s="5" t="s">
        <v>1001</v>
      </c>
      <c r="H1560" s="5" t="s">
        <v>25</v>
      </c>
      <c r="I1560" s="5" t="s">
        <v>27</v>
      </c>
      <c r="J1560" s="5" t="s">
        <v>43</v>
      </c>
      <c r="K1560" s="6">
        <v>0</v>
      </c>
      <c r="L1560" s="7">
        <v>-75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  <c r="S1560" s="8">
        <v>0</v>
      </c>
      <c r="T1560" s="5">
        <v>0</v>
      </c>
      <c r="U1560" s="5">
        <v>0</v>
      </c>
      <c r="V1560" s="5">
        <f>VLOOKUP(A1560,Planilha1!B:E,4,0)</f>
        <v>3.3372177319587628</v>
      </c>
    </row>
    <row r="1561" spans="1:22" x14ac:dyDescent="0.3">
      <c r="A1561" t="str">
        <f t="shared" si="48"/>
        <v>LEITE CONDENSADOITAMBÉ</v>
      </c>
      <c r="B1561" t="str">
        <f t="shared" si="49"/>
        <v>5229467LEITE CONDENSADOITAMBÉ</v>
      </c>
      <c r="C1561" s="5" t="s">
        <v>16</v>
      </c>
      <c r="D1561" s="5" t="s">
        <v>53</v>
      </c>
      <c r="E1561" s="5" t="s">
        <v>54</v>
      </c>
      <c r="F1561" s="5">
        <v>5229467</v>
      </c>
      <c r="G1561" s="5" t="s">
        <v>139</v>
      </c>
      <c r="H1561" s="5" t="s">
        <v>113</v>
      </c>
      <c r="I1561" s="5" t="s">
        <v>27</v>
      </c>
      <c r="J1561" s="5" t="s">
        <v>33</v>
      </c>
      <c r="K1561" s="6">
        <v>0</v>
      </c>
      <c r="L1561" s="7">
        <v>400</v>
      </c>
      <c r="M1561" s="8">
        <v>200</v>
      </c>
      <c r="N1561" s="8">
        <v>300</v>
      </c>
      <c r="O1561" s="8">
        <v>0</v>
      </c>
      <c r="P1561" s="8">
        <v>0</v>
      </c>
      <c r="Q1561" s="8">
        <v>0</v>
      </c>
      <c r="R1561" s="8">
        <v>0</v>
      </c>
      <c r="S1561" s="8">
        <v>0</v>
      </c>
      <c r="T1561" s="5">
        <v>0</v>
      </c>
      <c r="U1561" s="5">
        <v>0</v>
      </c>
      <c r="V1561" s="5">
        <f>VLOOKUP(A1561,Planilha1!B:E,4,0)</f>
        <v>1.4766792698630664</v>
      </c>
    </row>
    <row r="1562" spans="1:22" x14ac:dyDescent="0.3">
      <c r="A1562" t="str">
        <f t="shared" si="48"/>
        <v>LPI 25KGLACTALIS</v>
      </c>
      <c r="B1562" t="str">
        <f t="shared" si="49"/>
        <v>5250288LPI 25KGLACTALIS</v>
      </c>
      <c r="C1562" s="5" t="s">
        <v>16</v>
      </c>
      <c r="D1562" s="5" t="s">
        <v>53</v>
      </c>
      <c r="E1562" s="5" t="s">
        <v>54</v>
      </c>
      <c r="F1562" s="5">
        <v>5250288</v>
      </c>
      <c r="G1562" s="5" t="s">
        <v>131</v>
      </c>
      <c r="H1562" s="5" t="s">
        <v>113</v>
      </c>
      <c r="I1562" s="5" t="s">
        <v>22</v>
      </c>
      <c r="J1562" s="5" t="s">
        <v>21</v>
      </c>
      <c r="K1562" s="6">
        <v>0</v>
      </c>
      <c r="L1562" s="7">
        <v>24000</v>
      </c>
      <c r="M1562" s="8">
        <v>10000</v>
      </c>
      <c r="N1562" s="8">
        <v>20000</v>
      </c>
      <c r="O1562" s="8">
        <v>0</v>
      </c>
      <c r="P1562" s="8">
        <v>0</v>
      </c>
      <c r="Q1562" s="8">
        <v>0</v>
      </c>
      <c r="R1562" s="8">
        <v>0</v>
      </c>
      <c r="S1562" s="8">
        <v>0</v>
      </c>
      <c r="T1562" s="5">
        <v>0</v>
      </c>
      <c r="U1562" s="5">
        <v>0</v>
      </c>
      <c r="V1562" s="5">
        <f>VLOOKUP(A1562,Planilha1!B:E,4,0)</f>
        <v>-4.3046759024811481</v>
      </c>
    </row>
    <row r="1563" spans="1:22" x14ac:dyDescent="0.3">
      <c r="A1563" t="str">
        <f t="shared" si="48"/>
        <v>LPI 25KGLACTALIS</v>
      </c>
      <c r="B1563" t="str">
        <f t="shared" si="49"/>
        <v>5253978LPI 25KGLACTALIS</v>
      </c>
      <c r="C1563" s="5" t="s">
        <v>16</v>
      </c>
      <c r="D1563" s="5" t="s">
        <v>53</v>
      </c>
      <c r="E1563" s="5" t="s">
        <v>54</v>
      </c>
      <c r="F1563" s="5">
        <v>5253978</v>
      </c>
      <c r="G1563" s="5" t="s">
        <v>131</v>
      </c>
      <c r="H1563" s="5" t="s">
        <v>30</v>
      </c>
      <c r="I1563" s="5" t="s">
        <v>22</v>
      </c>
      <c r="J1563" s="5" t="s">
        <v>21</v>
      </c>
      <c r="K1563" s="6">
        <v>0</v>
      </c>
      <c r="L1563" s="7">
        <v>12000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  <c r="S1563" s="8">
        <v>0</v>
      </c>
      <c r="T1563" s="5">
        <v>0</v>
      </c>
      <c r="U1563" s="5">
        <v>0</v>
      </c>
      <c r="V1563" s="5">
        <f>VLOOKUP(A1563,Planilha1!B:E,4,0)</f>
        <v>-4.3046759024811481</v>
      </c>
    </row>
    <row r="1564" spans="1:22" x14ac:dyDescent="0.3">
      <c r="A1564" t="str">
        <f t="shared" si="48"/>
        <v>MERC + AROMLACTALIS</v>
      </c>
      <c r="B1564" t="str">
        <f t="shared" si="49"/>
        <v>5282566MERC + AROMLACTALIS</v>
      </c>
      <c r="C1564" s="5" t="s">
        <v>16</v>
      </c>
      <c r="D1564" s="5" t="s">
        <v>53</v>
      </c>
      <c r="E1564" s="5" t="s">
        <v>54</v>
      </c>
      <c r="F1564" s="5">
        <v>5282566</v>
      </c>
      <c r="G1564" s="5" t="s">
        <v>1002</v>
      </c>
      <c r="H1564" s="5" t="s">
        <v>113</v>
      </c>
      <c r="I1564" s="5" t="s">
        <v>22</v>
      </c>
      <c r="J1564" s="5" t="s">
        <v>230</v>
      </c>
      <c r="K1564" s="6">
        <v>0</v>
      </c>
      <c r="L1564" s="7">
        <v>-24.357000000000003</v>
      </c>
      <c r="M1564" s="8">
        <v>-0.9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  <c r="S1564" s="8">
        <v>0</v>
      </c>
      <c r="T1564" s="5">
        <v>0</v>
      </c>
      <c r="U1564" s="5">
        <v>0</v>
      </c>
      <c r="V1564" s="5">
        <f>VLOOKUP(A1564,Planilha1!B:E,4,0)</f>
        <v>0.86907188046232187</v>
      </c>
    </row>
    <row r="1565" spans="1:22" x14ac:dyDescent="0.3">
      <c r="A1565" t="str">
        <f t="shared" si="48"/>
        <v>IOGURTESLACTALIS</v>
      </c>
      <c r="B1565" t="str">
        <f t="shared" si="49"/>
        <v>5282649IOGURTESLACTALIS</v>
      </c>
      <c r="C1565" s="5" t="s">
        <v>16</v>
      </c>
      <c r="D1565" s="5" t="s">
        <v>53</v>
      </c>
      <c r="E1565" s="5" t="s">
        <v>54</v>
      </c>
      <c r="F1565" s="5">
        <v>5282649</v>
      </c>
      <c r="G1565" s="5" t="s">
        <v>1003</v>
      </c>
      <c r="H1565" s="5" t="s">
        <v>113</v>
      </c>
      <c r="I1565" s="5" t="s">
        <v>22</v>
      </c>
      <c r="J1565" s="5" t="s">
        <v>153</v>
      </c>
      <c r="K1565" s="6">
        <v>0</v>
      </c>
      <c r="L1565" s="7">
        <v>-81.164999999999978</v>
      </c>
      <c r="M1565" s="8">
        <v>-17.652833333333337</v>
      </c>
      <c r="N1565" s="8">
        <v>0</v>
      </c>
      <c r="O1565" s="8">
        <v>0</v>
      </c>
      <c r="P1565" s="8">
        <v>0</v>
      </c>
      <c r="Q1565" s="8">
        <v>0</v>
      </c>
      <c r="R1565" s="8">
        <v>0</v>
      </c>
      <c r="S1565" s="8">
        <v>0</v>
      </c>
      <c r="T1565" s="5">
        <v>0</v>
      </c>
      <c r="U1565" s="5">
        <v>0</v>
      </c>
      <c r="V1565" s="5">
        <f>VLOOKUP(A1565,Planilha1!B:E,4,0)</f>
        <v>3.0503167986984403</v>
      </c>
    </row>
    <row r="1566" spans="1:22" x14ac:dyDescent="0.3">
      <c r="A1566" t="str">
        <f t="shared" si="48"/>
        <v>SPREADSLACTALIS</v>
      </c>
      <c r="B1566" t="str">
        <f t="shared" si="49"/>
        <v>5282649SPREADSLACTALIS</v>
      </c>
      <c r="C1566" s="5" t="s">
        <v>16</v>
      </c>
      <c r="D1566" s="5" t="s">
        <v>53</v>
      </c>
      <c r="E1566" s="5" t="s">
        <v>54</v>
      </c>
      <c r="F1566" s="5">
        <v>5282649</v>
      </c>
      <c r="G1566" s="5" t="s">
        <v>1003</v>
      </c>
      <c r="H1566" s="5" t="s">
        <v>113</v>
      </c>
      <c r="I1566" s="5" t="s">
        <v>22</v>
      </c>
      <c r="J1566" s="5" t="s">
        <v>945</v>
      </c>
      <c r="K1566" s="6">
        <v>0</v>
      </c>
      <c r="L1566" s="7">
        <v>-0.59899999999999998</v>
      </c>
      <c r="M1566" s="8">
        <v>0</v>
      </c>
      <c r="N1566" s="8">
        <v>0</v>
      </c>
      <c r="O1566" s="8">
        <v>0</v>
      </c>
      <c r="P1566" s="8">
        <v>0</v>
      </c>
      <c r="Q1566" s="8">
        <v>0</v>
      </c>
      <c r="R1566" s="8">
        <v>0</v>
      </c>
      <c r="S1566" s="8">
        <v>0</v>
      </c>
      <c r="T1566" s="5">
        <v>0</v>
      </c>
      <c r="U1566" s="5">
        <v>0</v>
      </c>
      <c r="V1566" s="5">
        <f>VLOOKUP(A1566,Planilha1!B:E,4,0)</f>
        <v>13.599044988219518</v>
      </c>
    </row>
    <row r="1567" spans="1:22" x14ac:dyDescent="0.3">
      <c r="A1567" t="str">
        <f t="shared" si="48"/>
        <v>LPD 25KGLACTALIS</v>
      </c>
      <c r="B1567" t="str">
        <f t="shared" si="49"/>
        <v>5283460LPD 25KGLACTALIS</v>
      </c>
      <c r="C1567" s="5" t="s">
        <v>16</v>
      </c>
      <c r="D1567" s="5" t="s">
        <v>53</v>
      </c>
      <c r="E1567" s="5" t="s">
        <v>54</v>
      </c>
      <c r="F1567" s="5">
        <v>5283460</v>
      </c>
      <c r="G1567" s="5" t="s">
        <v>1004</v>
      </c>
      <c r="H1567" s="5" t="s">
        <v>113</v>
      </c>
      <c r="I1567" s="5" t="s">
        <v>22</v>
      </c>
      <c r="J1567" s="5" t="s">
        <v>43</v>
      </c>
      <c r="K1567" s="6">
        <v>0</v>
      </c>
      <c r="L1567" s="7">
        <v>25000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0</v>
      </c>
      <c r="S1567" s="8">
        <v>0</v>
      </c>
      <c r="T1567" s="5">
        <v>0</v>
      </c>
      <c r="U1567" s="5">
        <v>0</v>
      </c>
      <c r="V1567" s="5">
        <f>VLOOKUP(A1567,Planilha1!B:E,4,0)</f>
        <v>5.893629113453061</v>
      </c>
    </row>
    <row r="1568" spans="1:22" x14ac:dyDescent="0.3">
      <c r="A1568" t="str">
        <f t="shared" si="48"/>
        <v>LPD 25KGLACTALIS</v>
      </c>
      <c r="B1568" t="str">
        <f t="shared" si="49"/>
        <v>5284837LPD 25KGLACTALIS</v>
      </c>
      <c r="C1568" s="5" t="s">
        <v>16</v>
      </c>
      <c r="D1568" s="5" t="s">
        <v>53</v>
      </c>
      <c r="E1568" s="5" t="s">
        <v>54</v>
      </c>
      <c r="F1568" s="5">
        <v>5284837</v>
      </c>
      <c r="G1568" s="5" t="s">
        <v>1004</v>
      </c>
      <c r="H1568" s="5" t="s">
        <v>113</v>
      </c>
      <c r="I1568" s="5" t="s">
        <v>22</v>
      </c>
      <c r="J1568" s="5" t="s">
        <v>43</v>
      </c>
      <c r="K1568" s="6">
        <v>0</v>
      </c>
      <c r="L1568" s="7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0</v>
      </c>
      <c r="S1568" s="8">
        <v>0</v>
      </c>
      <c r="T1568" s="5">
        <v>0</v>
      </c>
      <c r="U1568" s="5">
        <v>0</v>
      </c>
      <c r="V1568" s="5">
        <f>VLOOKUP(A1568,Planilha1!B:E,4,0)</f>
        <v>5.893629113453061</v>
      </c>
    </row>
    <row r="1569" spans="1:22" x14ac:dyDescent="0.3">
      <c r="A1569" t="str">
        <f t="shared" si="48"/>
        <v>LEITE EM PÓLACTALIS</v>
      </c>
      <c r="B1569" t="str">
        <f t="shared" si="49"/>
        <v>5337960LEITE EM PÓLACTALIS</v>
      </c>
      <c r="C1569" s="5" t="s">
        <v>16</v>
      </c>
      <c r="D1569" s="5" t="s">
        <v>53</v>
      </c>
      <c r="E1569" s="5" t="s">
        <v>54</v>
      </c>
      <c r="F1569" s="5">
        <v>5337960</v>
      </c>
      <c r="G1569" s="5" t="s">
        <v>1005</v>
      </c>
      <c r="H1569" s="5" t="s">
        <v>30</v>
      </c>
      <c r="I1569" s="5" t="s">
        <v>22</v>
      </c>
      <c r="J1569" s="5" t="s">
        <v>84</v>
      </c>
      <c r="K1569" s="6">
        <v>0</v>
      </c>
      <c r="L1569" s="7">
        <v>-2275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  <c r="S1569" s="8">
        <v>0</v>
      </c>
      <c r="T1569" s="5">
        <v>0</v>
      </c>
      <c r="U1569" s="5">
        <v>0</v>
      </c>
      <c r="V1569" s="5">
        <f>VLOOKUP(A1569,Planilha1!B:E,4,0)</f>
        <v>-2.8055507108797499</v>
      </c>
    </row>
    <row r="1570" spans="1:22" x14ac:dyDescent="0.3">
      <c r="A1570" t="str">
        <f t="shared" si="48"/>
        <v>LPD 25KGLACTALIS</v>
      </c>
      <c r="B1570" t="str">
        <f t="shared" si="49"/>
        <v>5342353LPD 25KGLACTALIS</v>
      </c>
      <c r="C1570" s="5" t="s">
        <v>16</v>
      </c>
      <c r="D1570" s="5" t="s">
        <v>53</v>
      </c>
      <c r="E1570" s="5" t="s">
        <v>54</v>
      </c>
      <c r="F1570" s="5">
        <v>5342353</v>
      </c>
      <c r="G1570" s="5" t="s">
        <v>1006</v>
      </c>
      <c r="H1570" s="5" t="s">
        <v>88</v>
      </c>
      <c r="I1570" s="5" t="s">
        <v>22</v>
      </c>
      <c r="J1570" s="5" t="s">
        <v>43</v>
      </c>
      <c r="K1570" s="6">
        <v>0</v>
      </c>
      <c r="L1570" s="7">
        <v>750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  <c r="S1570" s="8">
        <v>0</v>
      </c>
      <c r="T1570" s="5">
        <v>0</v>
      </c>
      <c r="U1570" s="5">
        <v>0</v>
      </c>
      <c r="V1570" s="5">
        <f>VLOOKUP(A1570,Planilha1!B:E,4,0)</f>
        <v>5.893629113453061</v>
      </c>
    </row>
    <row r="1571" spans="1:22" x14ac:dyDescent="0.3">
      <c r="A1571" t="str">
        <f t="shared" si="48"/>
        <v>LPI 25KGLACTALIS</v>
      </c>
      <c r="B1571" t="str">
        <f t="shared" si="49"/>
        <v>5346909LPI 25KGLACTALIS</v>
      </c>
      <c r="C1571" s="5" t="s">
        <v>16</v>
      </c>
      <c r="D1571" s="5" t="s">
        <v>53</v>
      </c>
      <c r="E1571" s="5" t="s">
        <v>54</v>
      </c>
      <c r="F1571" s="5">
        <v>5346909</v>
      </c>
      <c r="G1571" s="5" t="s">
        <v>55</v>
      </c>
      <c r="H1571" s="5" t="s">
        <v>30</v>
      </c>
      <c r="I1571" s="5" t="s">
        <v>22</v>
      </c>
      <c r="J1571" s="5" t="s">
        <v>21</v>
      </c>
      <c r="K1571" s="6">
        <v>0</v>
      </c>
      <c r="L1571" s="7">
        <v>12000</v>
      </c>
      <c r="M1571" s="8">
        <v>4000</v>
      </c>
      <c r="N1571" s="8">
        <v>8000</v>
      </c>
      <c r="O1571" s="8">
        <v>0</v>
      </c>
      <c r="P1571" s="8">
        <v>0</v>
      </c>
      <c r="Q1571" s="8">
        <v>24000</v>
      </c>
      <c r="R1571" s="8">
        <v>0</v>
      </c>
      <c r="S1571" s="8">
        <v>0</v>
      </c>
      <c r="T1571" s="5">
        <v>24000</v>
      </c>
      <c r="U1571" s="5">
        <v>0</v>
      </c>
      <c r="V1571" s="5">
        <f>VLOOKUP(A1571,Planilha1!B:E,4,0)</f>
        <v>-4.3046759024811481</v>
      </c>
    </row>
    <row r="1572" spans="1:22" x14ac:dyDescent="0.3">
      <c r="A1572" t="str">
        <f t="shared" si="48"/>
        <v>SPREADSLACTALIS</v>
      </c>
      <c r="B1572" t="str">
        <f t="shared" si="49"/>
        <v>5171625SPREADSLACTALIS</v>
      </c>
      <c r="C1572" s="5" t="s">
        <v>16</v>
      </c>
      <c r="D1572" s="5" t="s">
        <v>16</v>
      </c>
      <c r="E1572" s="5" t="s">
        <v>132</v>
      </c>
      <c r="F1572" s="5">
        <v>5171625</v>
      </c>
      <c r="G1572" s="5" t="s">
        <v>155</v>
      </c>
      <c r="H1572" s="5" t="s">
        <v>30</v>
      </c>
      <c r="I1572" s="5" t="s">
        <v>22</v>
      </c>
      <c r="J1572" s="5" t="s">
        <v>945</v>
      </c>
      <c r="K1572" s="6">
        <v>0</v>
      </c>
      <c r="L1572" s="7">
        <v>2496</v>
      </c>
      <c r="M1572" s="8">
        <v>1400</v>
      </c>
      <c r="N1572" s="8">
        <v>1680</v>
      </c>
      <c r="O1572" s="8">
        <v>0</v>
      </c>
      <c r="P1572" s="8">
        <v>0</v>
      </c>
      <c r="Q1572" s="8">
        <v>1680</v>
      </c>
      <c r="R1572" s="8">
        <v>0</v>
      </c>
      <c r="S1572" s="8">
        <v>0</v>
      </c>
      <c r="T1572" s="5">
        <v>0</v>
      </c>
      <c r="U1572" s="5">
        <v>0</v>
      </c>
      <c r="V1572" s="5">
        <f>VLOOKUP(A1572,Planilha1!B:E,4,0)</f>
        <v>13.599044988219518</v>
      </c>
    </row>
    <row r="1573" spans="1:22" x14ac:dyDescent="0.3">
      <c r="A1573" t="str">
        <f t="shared" si="48"/>
        <v>LEITE UHTLACTALIS</v>
      </c>
      <c r="B1573" t="str">
        <f t="shared" si="49"/>
        <v>5279462LEITE UHTLACTALIS</v>
      </c>
      <c r="C1573" s="5" t="s">
        <v>16</v>
      </c>
      <c r="D1573" s="5" t="s">
        <v>16</v>
      </c>
      <c r="E1573" s="5" t="s">
        <v>132</v>
      </c>
      <c r="F1573" s="5">
        <v>5279462</v>
      </c>
      <c r="G1573" s="5" t="s">
        <v>155</v>
      </c>
      <c r="H1573" s="5" t="s">
        <v>30</v>
      </c>
      <c r="I1573" s="5" t="s">
        <v>22</v>
      </c>
      <c r="J1573" s="5" t="s">
        <v>156</v>
      </c>
      <c r="K1573" s="6">
        <v>0</v>
      </c>
      <c r="L1573" s="7">
        <v>48960</v>
      </c>
      <c r="M1573" s="8">
        <v>36720</v>
      </c>
      <c r="N1573" s="8">
        <v>40800</v>
      </c>
      <c r="O1573" s="8">
        <v>0</v>
      </c>
      <c r="P1573" s="8">
        <v>0</v>
      </c>
      <c r="Q1573" s="8">
        <v>48960</v>
      </c>
      <c r="R1573" s="8">
        <v>0</v>
      </c>
      <c r="S1573" s="8">
        <v>0</v>
      </c>
      <c r="T1573" s="5">
        <v>50428.800000000003</v>
      </c>
      <c r="U1573" s="5">
        <v>0</v>
      </c>
      <c r="V1573" s="5">
        <f>VLOOKUP(A1573,Planilha1!B:E,4,0)</f>
        <v>0.37177548115779385</v>
      </c>
    </row>
    <row r="1574" spans="1:22" x14ac:dyDescent="0.3">
      <c r="A1574" t="str">
        <f t="shared" si="48"/>
        <v>LEITE UHTLACTALIS</v>
      </c>
      <c r="B1574" t="str">
        <f t="shared" si="49"/>
        <v>5280734LEITE UHTLACTALIS</v>
      </c>
      <c r="C1574" s="5" t="s">
        <v>16</v>
      </c>
      <c r="D1574" s="5" t="s">
        <v>16</v>
      </c>
      <c r="E1574" s="5" t="s">
        <v>132</v>
      </c>
      <c r="F1574" s="5">
        <v>5280734</v>
      </c>
      <c r="G1574" s="5" t="s">
        <v>155</v>
      </c>
      <c r="H1574" s="5" t="s">
        <v>113</v>
      </c>
      <c r="I1574" s="5" t="s">
        <v>22</v>
      </c>
      <c r="J1574" s="5" t="s">
        <v>156</v>
      </c>
      <c r="K1574" s="6">
        <v>0</v>
      </c>
      <c r="L1574" s="7">
        <v>10200</v>
      </c>
      <c r="M1574" s="8">
        <v>18700</v>
      </c>
      <c r="N1574" s="8">
        <v>17000</v>
      </c>
      <c r="O1574" s="8">
        <v>0</v>
      </c>
      <c r="P1574" s="8">
        <v>0</v>
      </c>
      <c r="Q1574" s="8">
        <v>30588</v>
      </c>
      <c r="R1574" s="8">
        <v>0</v>
      </c>
      <c r="S1574" s="8">
        <v>0</v>
      </c>
      <c r="T1574" s="5">
        <v>21012</v>
      </c>
      <c r="U1574" s="5">
        <v>0</v>
      </c>
      <c r="V1574" s="5">
        <f>VLOOKUP(A1574,Planilha1!B:E,4,0)</f>
        <v>0.37177548115779385</v>
      </c>
    </row>
    <row r="1575" spans="1:22" x14ac:dyDescent="0.3">
      <c r="A1575" t="str">
        <f t="shared" si="48"/>
        <v>SORVETESLACTALIS</v>
      </c>
      <c r="B1575" t="str">
        <f t="shared" si="49"/>
        <v>5311421SORVETESLACTALIS</v>
      </c>
      <c r="C1575" s="5" t="s">
        <v>16</v>
      </c>
      <c r="D1575" s="5" t="s">
        <v>16</v>
      </c>
      <c r="E1575" s="5" t="s">
        <v>132</v>
      </c>
      <c r="F1575" s="5">
        <v>5311421</v>
      </c>
      <c r="G1575" s="5" t="s">
        <v>1007</v>
      </c>
      <c r="H1575" s="5" t="s">
        <v>30</v>
      </c>
      <c r="I1575" s="5" t="s">
        <v>22</v>
      </c>
      <c r="J1575" s="5" t="s">
        <v>1008</v>
      </c>
      <c r="K1575" s="6">
        <v>0</v>
      </c>
      <c r="L1575" s="7">
        <v>0</v>
      </c>
      <c r="M1575" s="8">
        <v>0</v>
      </c>
      <c r="N1575" s="8">
        <v>0</v>
      </c>
      <c r="O1575" s="8">
        <v>0</v>
      </c>
      <c r="P1575" s="8">
        <v>0</v>
      </c>
      <c r="Q1575" s="8">
        <v>0</v>
      </c>
      <c r="R1575" s="8">
        <v>0</v>
      </c>
      <c r="S1575" s="8">
        <v>0</v>
      </c>
      <c r="T1575" s="5">
        <v>0</v>
      </c>
      <c r="U1575" s="5">
        <v>0</v>
      </c>
      <c r="V1575" s="5">
        <f>VLOOKUP(A1575,Planilha1!B:E,4,0)</f>
        <v>0.96240440322290499</v>
      </c>
    </row>
    <row r="1576" spans="1:22" x14ac:dyDescent="0.3">
      <c r="A1576" t="str">
        <f t="shared" si="48"/>
        <v>COMPOSTOITAMBÉ</v>
      </c>
      <c r="B1576" t="str">
        <f t="shared" si="49"/>
        <v>5145758COMPOSTOITAMBÉ</v>
      </c>
      <c r="C1576" s="5" t="s">
        <v>16</v>
      </c>
      <c r="D1576" s="5" t="s">
        <v>28</v>
      </c>
      <c r="E1576" s="5" t="s">
        <v>23</v>
      </c>
      <c r="F1576" s="5">
        <v>5145758</v>
      </c>
      <c r="G1576" s="5" t="s">
        <v>1009</v>
      </c>
      <c r="H1576" s="5" t="s">
        <v>30</v>
      </c>
      <c r="I1576" s="5" t="s">
        <v>27</v>
      </c>
      <c r="J1576" s="5" t="s">
        <v>26</v>
      </c>
      <c r="K1576" s="6">
        <v>0</v>
      </c>
      <c r="L1576" s="7">
        <v>2500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0</v>
      </c>
      <c r="S1576" s="8">
        <v>0</v>
      </c>
      <c r="T1576" s="5">
        <v>0</v>
      </c>
      <c r="U1576" s="5">
        <v>0</v>
      </c>
      <c r="V1576" s="5">
        <f>VLOOKUP(A1576,Planilha1!B:E,4,0)</f>
        <v>0.15618217875936719</v>
      </c>
    </row>
    <row r="1577" spans="1:22" x14ac:dyDescent="0.3">
      <c r="A1577" t="str">
        <f t="shared" si="48"/>
        <v>COMPOSTOITAMBÉ</v>
      </c>
      <c r="B1577" t="str">
        <f t="shared" si="49"/>
        <v>5086953COMPOSTOITAMBÉ</v>
      </c>
      <c r="C1577" s="5" t="s">
        <v>16</v>
      </c>
      <c r="D1577" s="5" t="s">
        <v>17</v>
      </c>
      <c r="E1577" s="5" t="s">
        <v>66</v>
      </c>
      <c r="F1577" s="5">
        <v>5086953</v>
      </c>
      <c r="G1577" s="5" t="s">
        <v>1010</v>
      </c>
      <c r="H1577" s="5" t="s">
        <v>30</v>
      </c>
      <c r="I1577" s="5" t="s">
        <v>27</v>
      </c>
      <c r="J1577" s="5" t="s">
        <v>26</v>
      </c>
      <c r="K1577" s="6">
        <v>0</v>
      </c>
      <c r="L1577" s="7">
        <v>0</v>
      </c>
      <c r="M1577" s="8">
        <v>1083.3333333333333</v>
      </c>
      <c r="N1577" s="8">
        <v>833.33333333333337</v>
      </c>
      <c r="O1577" s="8">
        <v>2468.1128819754344</v>
      </c>
      <c r="P1577" s="8">
        <v>0</v>
      </c>
      <c r="Q1577" s="8">
        <v>0</v>
      </c>
      <c r="R1577" s="8">
        <v>0</v>
      </c>
      <c r="S1577" s="8">
        <v>0</v>
      </c>
      <c r="T1577" s="5">
        <v>0</v>
      </c>
      <c r="U1577" s="5">
        <v>0</v>
      </c>
      <c r="V1577" s="5">
        <f>VLOOKUP(A1577,Planilha1!B:E,4,0)</f>
        <v>0.15618217875936719</v>
      </c>
    </row>
    <row r="1578" spans="1:22" x14ac:dyDescent="0.3">
      <c r="A1578" t="str">
        <f t="shared" si="48"/>
        <v>COMPOSTOITAMBÉ</v>
      </c>
      <c r="B1578" t="str">
        <f t="shared" si="49"/>
        <v>5344936COMPOSTOITAMBÉ</v>
      </c>
      <c r="C1578" s="5" t="s">
        <v>16</v>
      </c>
      <c r="D1578" s="5" t="s">
        <v>28</v>
      </c>
      <c r="E1578" s="5" t="s">
        <v>23</v>
      </c>
      <c r="F1578" s="5">
        <v>5344936</v>
      </c>
      <c r="G1578" s="5" t="s">
        <v>1011</v>
      </c>
      <c r="H1578" s="5" t="s">
        <v>30</v>
      </c>
      <c r="I1578" s="5" t="s">
        <v>27</v>
      </c>
      <c r="J1578" s="5" t="s">
        <v>26</v>
      </c>
      <c r="K1578" s="6">
        <v>0</v>
      </c>
      <c r="L1578" s="7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0</v>
      </c>
      <c r="S1578" s="8">
        <v>0</v>
      </c>
      <c r="T1578" s="5">
        <v>0</v>
      </c>
      <c r="U1578" s="5">
        <v>0</v>
      </c>
      <c r="V1578" s="5">
        <f>VLOOKUP(A1578,Planilha1!B:E,4,0)</f>
        <v>0.15618217875936719</v>
      </c>
    </row>
    <row r="1579" spans="1:22" x14ac:dyDescent="0.3">
      <c r="A1579" t="str">
        <f t="shared" si="48"/>
        <v>COMPOSTOITAMBÉ</v>
      </c>
      <c r="B1579" t="str">
        <f t="shared" si="49"/>
        <v>5344937COMPOSTOITAMBÉ</v>
      </c>
      <c r="C1579" s="5" t="s">
        <v>16</v>
      </c>
      <c r="D1579" s="5" t="s">
        <v>28</v>
      </c>
      <c r="E1579" s="5" t="s">
        <v>23</v>
      </c>
      <c r="F1579" s="5">
        <v>5344937</v>
      </c>
      <c r="G1579" s="5" t="s">
        <v>1012</v>
      </c>
      <c r="H1579" s="5" t="s">
        <v>30</v>
      </c>
      <c r="I1579" s="5" t="s">
        <v>27</v>
      </c>
      <c r="J1579" s="5" t="s">
        <v>26</v>
      </c>
      <c r="K1579" s="6">
        <v>0</v>
      </c>
      <c r="L1579" s="7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0</v>
      </c>
      <c r="S1579" s="8">
        <v>0</v>
      </c>
      <c r="T1579" s="5">
        <v>0</v>
      </c>
      <c r="U1579" s="5">
        <v>0</v>
      </c>
      <c r="V1579" s="5">
        <f>VLOOKUP(A1579,Planilha1!B:E,4,0)</f>
        <v>0.15618217875936719</v>
      </c>
    </row>
    <row r="1580" spans="1:22" x14ac:dyDescent="0.3">
      <c r="A1580" t="str">
        <f t="shared" si="48"/>
        <v>COMPOSTOITAMBÉ</v>
      </c>
      <c r="B1580" t="str">
        <f t="shared" si="49"/>
        <v>5346856COMPOSTOITAMBÉ</v>
      </c>
      <c r="C1580" s="5" t="s">
        <v>16</v>
      </c>
      <c r="D1580" s="5" t="s">
        <v>28</v>
      </c>
      <c r="E1580" s="5" t="s">
        <v>23</v>
      </c>
      <c r="F1580" s="5">
        <v>5346856</v>
      </c>
      <c r="G1580" s="5" t="s">
        <v>1013</v>
      </c>
      <c r="H1580" s="5" t="s">
        <v>30</v>
      </c>
      <c r="I1580" s="5" t="s">
        <v>27</v>
      </c>
      <c r="J1580" s="5" t="s">
        <v>26</v>
      </c>
      <c r="K1580" s="6">
        <v>0</v>
      </c>
      <c r="L1580" s="7">
        <v>0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0</v>
      </c>
      <c r="S1580" s="8">
        <v>0</v>
      </c>
      <c r="T1580" s="5">
        <v>0</v>
      </c>
      <c r="U1580" s="5">
        <v>0</v>
      </c>
      <c r="V1580" s="5">
        <f>VLOOKUP(A1580,Planilha1!B:E,4,0)</f>
        <v>0.15618217875936719</v>
      </c>
    </row>
    <row r="1581" spans="1:22" x14ac:dyDescent="0.3">
      <c r="A1581" t="str">
        <f t="shared" si="48"/>
        <v>LPD 25KGITAMBÉ</v>
      </c>
      <c r="B1581" t="str">
        <f t="shared" si="49"/>
        <v>5012038LPD 25KGITAMBÉ</v>
      </c>
      <c r="C1581" s="5" t="s">
        <v>16</v>
      </c>
      <c r="D1581" s="5" t="s">
        <v>28</v>
      </c>
      <c r="E1581" s="5" t="s">
        <v>28</v>
      </c>
      <c r="F1581" s="5">
        <v>5012038</v>
      </c>
      <c r="G1581" s="5" t="s">
        <v>29</v>
      </c>
      <c r="H1581" s="5" t="s">
        <v>30</v>
      </c>
      <c r="I1581" s="5" t="s">
        <v>27</v>
      </c>
      <c r="J1581" s="5" t="s">
        <v>43</v>
      </c>
      <c r="K1581" s="6">
        <v>0</v>
      </c>
      <c r="L1581" s="7">
        <v>71725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0</v>
      </c>
      <c r="S1581" s="8">
        <v>0</v>
      </c>
      <c r="T1581" s="5">
        <v>0</v>
      </c>
      <c r="U1581" s="5">
        <v>0</v>
      </c>
      <c r="V1581" s="5">
        <f>VLOOKUP(A1581,Planilha1!B:E,4,0)</f>
        <v>3.3372177319587628</v>
      </c>
    </row>
    <row r="1582" spans="1:22" x14ac:dyDescent="0.3">
      <c r="A1582" t="str">
        <f t="shared" si="48"/>
        <v>IOGURTESLACTALIS</v>
      </c>
      <c r="B1582" t="str">
        <f t="shared" si="49"/>
        <v>5002549IOGURTESLACTALIS</v>
      </c>
      <c r="C1582" s="5" t="s">
        <v>149</v>
      </c>
      <c r="D1582" s="5" t="s">
        <v>210</v>
      </c>
      <c r="E1582" s="5" t="s">
        <v>210</v>
      </c>
      <c r="F1582" s="5">
        <v>5002549</v>
      </c>
      <c r="G1582" s="5" t="s">
        <v>212</v>
      </c>
      <c r="H1582" s="5" t="s">
        <v>30</v>
      </c>
      <c r="I1582" s="5" t="s">
        <v>22</v>
      </c>
      <c r="J1582" s="5" t="s">
        <v>153</v>
      </c>
      <c r="K1582" s="6">
        <v>0</v>
      </c>
      <c r="L1582" s="7">
        <v>4758.96</v>
      </c>
      <c r="M1582" s="8">
        <v>1269.7600000000002</v>
      </c>
      <c r="N1582" s="8">
        <v>1100.8000000000002</v>
      </c>
      <c r="O1582" s="8">
        <v>1008.3172347105328</v>
      </c>
      <c r="P1582" s="8">
        <v>0</v>
      </c>
      <c r="Q1582" s="8">
        <v>199.2</v>
      </c>
      <c r="R1582" s="8">
        <v>0</v>
      </c>
      <c r="S1582" s="8">
        <v>0</v>
      </c>
      <c r="T1582" s="5">
        <v>0</v>
      </c>
      <c r="U1582" s="5">
        <v>0</v>
      </c>
      <c r="V1582" s="5">
        <f>VLOOKUP(A1582,Planilha1!B:E,4,0)</f>
        <v>3.0503167986984403</v>
      </c>
    </row>
    <row r="1583" spans="1:22" x14ac:dyDescent="0.3">
      <c r="A1583" t="str">
        <f t="shared" si="48"/>
        <v>LPI 25KGLACTALIS</v>
      </c>
      <c r="B1583" t="str">
        <f t="shared" si="49"/>
        <v>5089548LPI 25KGLACTALIS</v>
      </c>
      <c r="C1583" s="5" t="s">
        <v>16</v>
      </c>
      <c r="D1583" s="5" t="s">
        <v>28</v>
      </c>
      <c r="E1583" s="5" t="s">
        <v>28</v>
      </c>
      <c r="F1583" s="5">
        <v>5089548</v>
      </c>
      <c r="G1583" s="5" t="s">
        <v>1014</v>
      </c>
      <c r="H1583" s="5" t="s">
        <v>30</v>
      </c>
      <c r="I1583" s="5" t="s">
        <v>22</v>
      </c>
      <c r="J1583" s="5" t="s">
        <v>21</v>
      </c>
      <c r="K1583" s="6">
        <v>0</v>
      </c>
      <c r="L1583" s="7">
        <v>0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0</v>
      </c>
      <c r="S1583" s="8">
        <v>0</v>
      </c>
      <c r="T1583" s="5">
        <v>0</v>
      </c>
      <c r="U1583" s="5">
        <v>0</v>
      </c>
      <c r="V1583" s="5">
        <f>VLOOKUP(A1583,Planilha1!B:E,4,0)</f>
        <v>-4.3046759024811481</v>
      </c>
    </row>
    <row r="1584" spans="1:22" x14ac:dyDescent="0.3">
      <c r="A1584" t="str">
        <f t="shared" si="48"/>
        <v>LPI 25KGLACTALIS</v>
      </c>
      <c r="B1584" t="str">
        <f t="shared" si="49"/>
        <v>5099074LPI 25KGLACTALIS</v>
      </c>
      <c r="C1584" s="5" t="s">
        <v>16</v>
      </c>
      <c r="D1584" s="5" t="s">
        <v>28</v>
      </c>
      <c r="E1584" s="5" t="s">
        <v>28</v>
      </c>
      <c r="F1584" s="5">
        <v>5099074</v>
      </c>
      <c r="G1584" s="5" t="s">
        <v>1015</v>
      </c>
      <c r="H1584" s="5" t="s">
        <v>30</v>
      </c>
      <c r="I1584" s="5" t="s">
        <v>22</v>
      </c>
      <c r="J1584" s="5" t="s">
        <v>21</v>
      </c>
      <c r="K1584" s="6">
        <v>0</v>
      </c>
      <c r="L1584" s="7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  <c r="S1584" s="8">
        <v>0</v>
      </c>
      <c r="T1584" s="5">
        <v>0</v>
      </c>
      <c r="U1584" s="5">
        <v>0</v>
      </c>
      <c r="V1584" s="5">
        <f>VLOOKUP(A1584,Planilha1!B:E,4,0)</f>
        <v>-4.3046759024811481</v>
      </c>
    </row>
    <row r="1585" spans="1:22" x14ac:dyDescent="0.3">
      <c r="A1585" t="str">
        <f t="shared" si="48"/>
        <v>LEITE CONDENSADOITAMBÉ</v>
      </c>
      <c r="B1585" t="str">
        <f t="shared" si="49"/>
        <v>5114175LEITE CONDENSADOITAMBÉ</v>
      </c>
      <c r="C1585" s="5" t="s">
        <v>16</v>
      </c>
      <c r="D1585" s="5" t="s">
        <v>28</v>
      </c>
      <c r="E1585" s="5" t="s">
        <v>28</v>
      </c>
      <c r="F1585" s="5">
        <v>5114175</v>
      </c>
      <c r="G1585" s="5" t="s">
        <v>1016</v>
      </c>
      <c r="H1585" s="5" t="s">
        <v>30</v>
      </c>
      <c r="I1585" s="5" t="s">
        <v>27</v>
      </c>
      <c r="J1585" s="5" t="s">
        <v>33</v>
      </c>
      <c r="K1585" s="6">
        <v>0</v>
      </c>
      <c r="L1585" s="7">
        <v>5590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  <c r="R1585" s="8">
        <v>0</v>
      </c>
      <c r="S1585" s="8">
        <v>0</v>
      </c>
      <c r="T1585" s="5">
        <v>0</v>
      </c>
      <c r="U1585" s="5">
        <v>0</v>
      </c>
      <c r="V1585" s="5">
        <f>VLOOKUP(A1585,Planilha1!B:E,4,0)</f>
        <v>1.4766792698630664</v>
      </c>
    </row>
    <row r="1586" spans="1:22" x14ac:dyDescent="0.3">
      <c r="A1586" t="str">
        <f t="shared" si="48"/>
        <v>LPD 25KGLACTALIS</v>
      </c>
      <c r="B1586" t="str">
        <f t="shared" si="49"/>
        <v>5116315LPD 25KGLACTALIS</v>
      </c>
      <c r="C1586" s="5" t="s">
        <v>16</v>
      </c>
      <c r="D1586" s="5" t="s">
        <v>28</v>
      </c>
      <c r="E1586" s="5" t="s">
        <v>28</v>
      </c>
      <c r="F1586" s="5">
        <v>5116315</v>
      </c>
      <c r="G1586" s="5" t="s">
        <v>168</v>
      </c>
      <c r="H1586" s="5" t="s">
        <v>30</v>
      </c>
      <c r="I1586" s="5" t="s">
        <v>22</v>
      </c>
      <c r="J1586" s="5" t="s">
        <v>43</v>
      </c>
      <c r="K1586" s="6">
        <v>0</v>
      </c>
      <c r="L1586" s="7">
        <v>24000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  <c r="S1586" s="8">
        <v>0</v>
      </c>
      <c r="T1586" s="5">
        <v>0</v>
      </c>
      <c r="U1586" s="5">
        <v>0</v>
      </c>
      <c r="V1586" s="5">
        <f>VLOOKUP(A1586,Planilha1!B:E,4,0)</f>
        <v>5.893629113453061</v>
      </c>
    </row>
    <row r="1587" spans="1:22" x14ac:dyDescent="0.3">
      <c r="A1587" t="str">
        <f t="shared" si="48"/>
        <v>LPD 25KGITAMBÉ</v>
      </c>
      <c r="B1587" t="str">
        <f t="shared" si="49"/>
        <v>5121735LPD 25KGITAMBÉ</v>
      </c>
      <c r="C1587" s="5" t="s">
        <v>16</v>
      </c>
      <c r="D1587" s="5" t="s">
        <v>28</v>
      </c>
      <c r="E1587" s="5" t="s">
        <v>28</v>
      </c>
      <c r="F1587" s="5">
        <v>5121735</v>
      </c>
      <c r="G1587" s="5" t="s">
        <v>1017</v>
      </c>
      <c r="H1587" s="5" t="s">
        <v>30</v>
      </c>
      <c r="I1587" s="5" t="s">
        <v>27</v>
      </c>
      <c r="J1587" s="5" t="s">
        <v>43</v>
      </c>
      <c r="K1587" s="6">
        <v>0</v>
      </c>
      <c r="L1587" s="7">
        <v>24775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  <c r="S1587" s="8">
        <v>0</v>
      </c>
      <c r="T1587" s="5">
        <v>0</v>
      </c>
      <c r="U1587" s="5">
        <v>0</v>
      </c>
      <c r="V1587" s="5">
        <f>VLOOKUP(A1587,Planilha1!B:E,4,0)</f>
        <v>3.3372177319587628</v>
      </c>
    </row>
    <row r="1588" spans="1:22" x14ac:dyDescent="0.3">
      <c r="A1588" t="str">
        <f t="shared" si="48"/>
        <v>DOCE DE LEITEITAMBÉ</v>
      </c>
      <c r="B1588" t="str">
        <f t="shared" si="49"/>
        <v>5129364DOCE DE LEITEITAMBÉ</v>
      </c>
      <c r="C1588" s="5" t="s">
        <v>16</v>
      </c>
      <c r="D1588" s="5" t="s">
        <v>28</v>
      </c>
      <c r="E1588" s="5" t="s">
        <v>28</v>
      </c>
      <c r="F1588" s="5">
        <v>5129364</v>
      </c>
      <c r="G1588" s="5" t="s">
        <v>1018</v>
      </c>
      <c r="H1588" s="5" t="s">
        <v>30</v>
      </c>
      <c r="I1588" s="5" t="s">
        <v>27</v>
      </c>
      <c r="J1588" s="5" t="s">
        <v>46</v>
      </c>
      <c r="K1588" s="6">
        <v>0</v>
      </c>
      <c r="L1588" s="7">
        <v>2500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  <c r="S1588" s="8">
        <v>0</v>
      </c>
      <c r="T1588" s="5">
        <v>0</v>
      </c>
      <c r="U1588" s="5">
        <v>0</v>
      </c>
      <c r="V1588" s="5">
        <f>VLOOKUP(A1588,Planilha1!B:E,4,0)</f>
        <v>5.8210743907543439</v>
      </c>
    </row>
    <row r="1589" spans="1:22" x14ac:dyDescent="0.3">
      <c r="A1589" t="str">
        <f t="shared" si="48"/>
        <v>LPI 25KGITAMBÉ</v>
      </c>
      <c r="B1589" t="str">
        <f t="shared" si="49"/>
        <v>5146430LPI 25KGITAMBÉ</v>
      </c>
      <c r="C1589" s="5" t="s">
        <v>16</v>
      </c>
      <c r="D1589" s="5" t="s">
        <v>28</v>
      </c>
      <c r="E1589" s="5" t="s">
        <v>28</v>
      </c>
      <c r="F1589" s="5">
        <v>5146430</v>
      </c>
      <c r="G1589" s="5" t="s">
        <v>1019</v>
      </c>
      <c r="H1589" s="5" t="s">
        <v>25</v>
      </c>
      <c r="I1589" s="5" t="s">
        <v>27</v>
      </c>
      <c r="J1589" s="5" t="s">
        <v>21</v>
      </c>
      <c r="K1589" s="6">
        <v>0</v>
      </c>
      <c r="L1589" s="7">
        <v>24000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  <c r="S1589" s="8">
        <v>0</v>
      </c>
      <c r="T1589" s="5">
        <v>0</v>
      </c>
      <c r="U1589" s="5">
        <v>0</v>
      </c>
      <c r="V1589" s="5">
        <f>VLOOKUP(A1589,Planilha1!B:E,4,0)</f>
        <v>-1.218192805504376</v>
      </c>
    </row>
    <row r="1590" spans="1:22" x14ac:dyDescent="0.3">
      <c r="A1590" t="str">
        <f t="shared" si="48"/>
        <v>LPI 25KGLACTALIS</v>
      </c>
      <c r="B1590" t="str">
        <f t="shared" si="49"/>
        <v>5146430LPI 25KGLACTALIS</v>
      </c>
      <c r="C1590" s="5" t="s">
        <v>16</v>
      </c>
      <c r="D1590" s="5" t="s">
        <v>28</v>
      </c>
      <c r="E1590" s="5" t="s">
        <v>28</v>
      </c>
      <c r="F1590" s="5">
        <v>5146430</v>
      </c>
      <c r="G1590" s="5" t="s">
        <v>1019</v>
      </c>
      <c r="H1590" s="5" t="s">
        <v>25</v>
      </c>
      <c r="I1590" s="5" t="s">
        <v>22</v>
      </c>
      <c r="J1590" s="5" t="s">
        <v>21</v>
      </c>
      <c r="K1590" s="6">
        <v>0</v>
      </c>
      <c r="L1590" s="7">
        <v>-19750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  <c r="S1590" s="8">
        <v>0</v>
      </c>
      <c r="T1590" s="5">
        <v>0</v>
      </c>
      <c r="U1590" s="5">
        <v>0</v>
      </c>
      <c r="V1590" s="5">
        <f>VLOOKUP(A1590,Planilha1!B:E,4,0)</f>
        <v>-4.3046759024811481</v>
      </c>
    </row>
    <row r="1591" spans="1:22" x14ac:dyDescent="0.3">
      <c r="A1591" t="str">
        <f t="shared" si="48"/>
        <v>LPI 25KGITAMBÉ</v>
      </c>
      <c r="B1591" t="str">
        <f t="shared" si="49"/>
        <v>5149588LPI 25KGITAMBÉ</v>
      </c>
      <c r="C1591" s="5" t="s">
        <v>16</v>
      </c>
      <c r="D1591" s="5" t="s">
        <v>28</v>
      </c>
      <c r="E1591" s="5" t="s">
        <v>28</v>
      </c>
      <c r="F1591" s="5">
        <v>5149588</v>
      </c>
      <c r="G1591" s="5" t="s">
        <v>1020</v>
      </c>
      <c r="H1591" s="5" t="s">
        <v>113</v>
      </c>
      <c r="I1591" s="5" t="s">
        <v>27</v>
      </c>
      <c r="J1591" s="5" t="s">
        <v>21</v>
      </c>
      <c r="K1591" s="6">
        <v>0</v>
      </c>
      <c r="L1591" s="7">
        <v>0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0</v>
      </c>
      <c r="S1591" s="8">
        <v>0</v>
      </c>
      <c r="T1591" s="5">
        <v>0</v>
      </c>
      <c r="U1591" s="5">
        <v>0</v>
      </c>
      <c r="V1591" s="5">
        <f>VLOOKUP(A1591,Planilha1!B:E,4,0)</f>
        <v>-1.218192805504376</v>
      </c>
    </row>
    <row r="1592" spans="1:22" x14ac:dyDescent="0.3">
      <c r="A1592" t="str">
        <f t="shared" si="48"/>
        <v>LPI 25KGLACTALIS</v>
      </c>
      <c r="B1592" t="str">
        <f t="shared" si="49"/>
        <v>5149588LPI 25KGLACTALIS</v>
      </c>
      <c r="C1592" s="5" t="s">
        <v>16</v>
      </c>
      <c r="D1592" s="5" t="s">
        <v>28</v>
      </c>
      <c r="E1592" s="5" t="s">
        <v>28</v>
      </c>
      <c r="F1592" s="5">
        <v>5149588</v>
      </c>
      <c r="G1592" s="5" t="s">
        <v>1020</v>
      </c>
      <c r="H1592" s="5" t="s">
        <v>113</v>
      </c>
      <c r="I1592" s="5" t="s">
        <v>22</v>
      </c>
      <c r="J1592" s="5" t="s">
        <v>21</v>
      </c>
      <c r="K1592" s="6">
        <v>0</v>
      </c>
      <c r="L1592" s="7">
        <v>0</v>
      </c>
      <c r="M1592" s="8">
        <v>2662.5</v>
      </c>
      <c r="N1592" s="8">
        <v>5325</v>
      </c>
      <c r="O1592" s="8">
        <v>0</v>
      </c>
      <c r="P1592" s="8">
        <v>0</v>
      </c>
      <c r="Q1592" s="8">
        <v>0</v>
      </c>
      <c r="R1592" s="8">
        <v>0</v>
      </c>
      <c r="S1592" s="8">
        <v>0</v>
      </c>
      <c r="T1592" s="5">
        <v>0</v>
      </c>
      <c r="U1592" s="5">
        <v>0</v>
      </c>
      <c r="V1592" s="5">
        <f>VLOOKUP(A1592,Planilha1!B:E,4,0)</f>
        <v>-4.3046759024811481</v>
      </c>
    </row>
    <row r="1593" spans="1:22" x14ac:dyDescent="0.3">
      <c r="A1593" t="str">
        <f t="shared" si="48"/>
        <v>LPD 25KGITAMBÉ</v>
      </c>
      <c r="B1593" t="str">
        <f t="shared" si="49"/>
        <v>5173305LPD 25KGITAMBÉ</v>
      </c>
      <c r="C1593" s="5" t="s">
        <v>16</v>
      </c>
      <c r="D1593" s="5" t="s">
        <v>28</v>
      </c>
      <c r="E1593" s="5" t="s">
        <v>28</v>
      </c>
      <c r="F1593" s="5">
        <v>5173305</v>
      </c>
      <c r="G1593" s="5" t="s">
        <v>172</v>
      </c>
      <c r="H1593" s="5" t="s">
        <v>30</v>
      </c>
      <c r="I1593" s="5" t="s">
        <v>27</v>
      </c>
      <c r="J1593" s="5" t="s">
        <v>43</v>
      </c>
      <c r="K1593" s="6">
        <v>0</v>
      </c>
      <c r="L1593" s="7">
        <v>20500</v>
      </c>
      <c r="M1593" s="8">
        <v>2000</v>
      </c>
      <c r="N1593" s="8">
        <v>4000</v>
      </c>
      <c r="O1593" s="8">
        <v>0</v>
      </c>
      <c r="P1593" s="8">
        <v>0</v>
      </c>
      <c r="Q1593" s="8">
        <v>0</v>
      </c>
      <c r="R1593" s="8">
        <v>0</v>
      </c>
      <c r="S1593" s="8">
        <v>0</v>
      </c>
      <c r="T1593" s="5">
        <v>0</v>
      </c>
      <c r="U1593" s="5">
        <v>0</v>
      </c>
      <c r="V1593" s="5">
        <f>VLOOKUP(A1593,Planilha1!B:E,4,0)</f>
        <v>3.3372177319587628</v>
      </c>
    </row>
    <row r="1594" spans="1:22" x14ac:dyDescent="0.3">
      <c r="A1594" t="str">
        <f t="shared" si="48"/>
        <v>LPD 25KGITAMBÉ</v>
      </c>
      <c r="B1594" t="str">
        <f t="shared" si="49"/>
        <v>5181144LPD 25KGITAMBÉ</v>
      </c>
      <c r="C1594" s="5" t="s">
        <v>16</v>
      </c>
      <c r="D1594" s="5" t="s">
        <v>28</v>
      </c>
      <c r="E1594" s="5" t="s">
        <v>28</v>
      </c>
      <c r="F1594" s="5">
        <v>5181144</v>
      </c>
      <c r="G1594" s="5" t="s">
        <v>1021</v>
      </c>
      <c r="H1594" s="5" t="s">
        <v>30</v>
      </c>
      <c r="I1594" s="5" t="s">
        <v>27</v>
      </c>
      <c r="J1594" s="5" t="s">
        <v>43</v>
      </c>
      <c r="K1594" s="6">
        <v>0</v>
      </c>
      <c r="L1594" s="7">
        <v>200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  <c r="S1594" s="8">
        <v>0</v>
      </c>
      <c r="T1594" s="5">
        <v>0</v>
      </c>
      <c r="U1594" s="5">
        <v>0</v>
      </c>
      <c r="V1594" s="5">
        <f>VLOOKUP(A1594,Planilha1!B:E,4,0)</f>
        <v>3.3372177319587628</v>
      </c>
    </row>
    <row r="1595" spans="1:22" x14ac:dyDescent="0.3">
      <c r="A1595" t="str">
        <f t="shared" si="48"/>
        <v>LPI 25KGITAMBÉ</v>
      </c>
      <c r="B1595" t="str">
        <f t="shared" si="49"/>
        <v>5204235LPI 25KGITAMBÉ</v>
      </c>
      <c r="C1595" s="5" t="s">
        <v>16</v>
      </c>
      <c r="D1595" s="5" t="s">
        <v>28</v>
      </c>
      <c r="E1595" s="5" t="s">
        <v>28</v>
      </c>
      <c r="F1595" s="5">
        <v>5204235</v>
      </c>
      <c r="G1595" s="5" t="s">
        <v>1022</v>
      </c>
      <c r="H1595" s="5" t="s">
        <v>30</v>
      </c>
      <c r="I1595" s="5" t="s">
        <v>27</v>
      </c>
      <c r="J1595" s="5" t="s">
        <v>21</v>
      </c>
      <c r="K1595" s="6">
        <v>0</v>
      </c>
      <c r="L1595" s="7">
        <v>0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0</v>
      </c>
      <c r="S1595" s="8">
        <v>0</v>
      </c>
      <c r="T1595" s="5">
        <v>0</v>
      </c>
      <c r="U1595" s="5">
        <v>0</v>
      </c>
      <c r="V1595" s="5">
        <f>VLOOKUP(A1595,Planilha1!B:E,4,0)</f>
        <v>-1.218192805504376</v>
      </c>
    </row>
    <row r="1596" spans="1:22" x14ac:dyDescent="0.3">
      <c r="A1596" t="str">
        <f t="shared" si="48"/>
        <v>LPI 25KGITAMBÉ</v>
      </c>
      <c r="B1596" t="str">
        <f t="shared" si="49"/>
        <v>5233288LPI 25KGITAMBÉ</v>
      </c>
      <c r="C1596" s="5" t="s">
        <v>16</v>
      </c>
      <c r="D1596" s="5" t="s">
        <v>28</v>
      </c>
      <c r="E1596" s="5" t="s">
        <v>28</v>
      </c>
      <c r="F1596" s="5">
        <v>5233288</v>
      </c>
      <c r="G1596" s="5" t="s">
        <v>1023</v>
      </c>
      <c r="H1596" s="5" t="s">
        <v>25</v>
      </c>
      <c r="I1596" s="5" t="s">
        <v>27</v>
      </c>
      <c r="J1596" s="5" t="s">
        <v>21</v>
      </c>
      <c r="K1596" s="6">
        <v>0</v>
      </c>
      <c r="L1596" s="7">
        <v>0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  <c r="S1596" s="8">
        <v>0</v>
      </c>
      <c r="T1596" s="5">
        <v>0</v>
      </c>
      <c r="U1596" s="5">
        <v>0</v>
      </c>
      <c r="V1596" s="5">
        <f>VLOOKUP(A1596,Planilha1!B:E,4,0)</f>
        <v>-1.218192805504376</v>
      </c>
    </row>
    <row r="1597" spans="1:22" x14ac:dyDescent="0.3">
      <c r="A1597" t="str">
        <f t="shared" si="48"/>
        <v>QUEIJOSLACTALIS</v>
      </c>
      <c r="B1597" t="str">
        <f t="shared" si="49"/>
        <v>5161273QUEIJOSLACTALIS</v>
      </c>
      <c r="C1597" s="5" t="s">
        <v>16</v>
      </c>
      <c r="D1597" s="5" t="s">
        <v>131</v>
      </c>
      <c r="E1597" s="5" t="s">
        <v>1024</v>
      </c>
      <c r="F1597" s="5">
        <v>5161273</v>
      </c>
      <c r="G1597" s="5" t="s">
        <v>131</v>
      </c>
      <c r="H1597" s="5" t="s">
        <v>30</v>
      </c>
      <c r="I1597" s="5" t="s">
        <v>22</v>
      </c>
      <c r="J1597" s="5" t="s">
        <v>63</v>
      </c>
      <c r="K1597" s="6">
        <v>0</v>
      </c>
      <c r="L1597" s="7">
        <v>0</v>
      </c>
      <c r="M1597" s="8">
        <v>0</v>
      </c>
      <c r="N1597" s="8">
        <v>0</v>
      </c>
      <c r="O1597" s="8">
        <v>0</v>
      </c>
      <c r="P1597" s="8">
        <v>0</v>
      </c>
      <c r="Q1597" s="8">
        <v>0</v>
      </c>
      <c r="R1597" s="8">
        <v>0</v>
      </c>
      <c r="S1597" s="8">
        <v>0</v>
      </c>
      <c r="T1597" s="5">
        <v>0</v>
      </c>
      <c r="U1597" s="5">
        <v>0</v>
      </c>
      <c r="V1597" s="5">
        <f>VLOOKUP(A1597,Planilha1!B:E,4,0)</f>
        <v>-1.9171310037550682</v>
      </c>
    </row>
    <row r="1598" spans="1:22" x14ac:dyDescent="0.3">
      <c r="A1598" t="str">
        <f t="shared" si="48"/>
        <v>IOGURTESLACTALIS</v>
      </c>
      <c r="B1598" t="str">
        <f t="shared" si="49"/>
        <v>5282885IOGURTESLACTALIS</v>
      </c>
      <c r="C1598" s="5" t="s">
        <v>16</v>
      </c>
      <c r="D1598" s="5" t="s">
        <v>1025</v>
      </c>
      <c r="E1598" s="5" t="s">
        <v>1025</v>
      </c>
      <c r="F1598" s="5">
        <v>5282885</v>
      </c>
      <c r="G1598" s="5" t="s">
        <v>1026</v>
      </c>
      <c r="H1598" s="5" t="s">
        <v>88</v>
      </c>
      <c r="I1598" s="5" t="s">
        <v>22</v>
      </c>
      <c r="J1598" s="5" t="s">
        <v>153</v>
      </c>
      <c r="K1598" s="6">
        <v>0</v>
      </c>
      <c r="L1598" s="7">
        <v>0</v>
      </c>
      <c r="M1598" s="8">
        <v>0</v>
      </c>
      <c r="N1598" s="8">
        <v>0</v>
      </c>
      <c r="O1598" s="8">
        <v>0</v>
      </c>
      <c r="P1598" s="8">
        <v>0</v>
      </c>
      <c r="Q1598" s="8">
        <v>0</v>
      </c>
      <c r="R1598" s="8">
        <v>0</v>
      </c>
      <c r="S1598" s="8">
        <v>0</v>
      </c>
      <c r="T1598" s="5">
        <v>0</v>
      </c>
      <c r="U1598" s="5">
        <v>0</v>
      </c>
      <c r="V1598" s="5">
        <f>VLOOKUP(A1598,Planilha1!B:E,4,0)</f>
        <v>3.0503167986984403</v>
      </c>
    </row>
    <row r="1599" spans="1:22" x14ac:dyDescent="0.3">
      <c r="A1599" t="str">
        <f t="shared" si="48"/>
        <v>LEITE EM PÓLACTALIS</v>
      </c>
      <c r="B1599" t="str">
        <f t="shared" si="49"/>
        <v>5282885LEITE EM PÓLACTALIS</v>
      </c>
      <c r="C1599" s="5" t="s">
        <v>16</v>
      </c>
      <c r="D1599" s="5" t="s">
        <v>1025</v>
      </c>
      <c r="E1599" s="5" t="s">
        <v>1025</v>
      </c>
      <c r="F1599" s="5">
        <v>5282885</v>
      </c>
      <c r="G1599" s="5" t="s">
        <v>1026</v>
      </c>
      <c r="H1599" s="5" t="s">
        <v>88</v>
      </c>
      <c r="I1599" s="5" t="s">
        <v>22</v>
      </c>
      <c r="J1599" s="5" t="s">
        <v>84</v>
      </c>
      <c r="K1599" s="6">
        <v>0</v>
      </c>
      <c r="L1599" s="7">
        <v>0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  <c r="R1599" s="8">
        <v>0</v>
      </c>
      <c r="S1599" s="8">
        <v>0</v>
      </c>
      <c r="T1599" s="5">
        <v>0</v>
      </c>
      <c r="U1599" s="5">
        <v>0</v>
      </c>
      <c r="V1599" s="5">
        <f>VLOOKUP(A1599,Planilha1!B:E,4,0)</f>
        <v>-2.8055507108797499</v>
      </c>
    </row>
    <row r="1600" spans="1:22" x14ac:dyDescent="0.3">
      <c r="A1600" t="str">
        <f t="shared" si="48"/>
        <v>MERC + AROMLACTALIS</v>
      </c>
      <c r="B1600" t="str">
        <f t="shared" si="49"/>
        <v>5282885MERC + AROMLACTALIS</v>
      </c>
      <c r="C1600" s="5" t="s">
        <v>16</v>
      </c>
      <c r="D1600" s="5" t="s">
        <v>1025</v>
      </c>
      <c r="E1600" s="5" t="s">
        <v>1025</v>
      </c>
      <c r="F1600" s="5">
        <v>5282885</v>
      </c>
      <c r="G1600" s="5" t="s">
        <v>1026</v>
      </c>
      <c r="H1600" s="5" t="s">
        <v>88</v>
      </c>
      <c r="I1600" s="5" t="s">
        <v>22</v>
      </c>
      <c r="J1600" s="5" t="s">
        <v>230</v>
      </c>
      <c r="K1600" s="6">
        <v>0</v>
      </c>
      <c r="L1600" s="7">
        <v>0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0</v>
      </c>
      <c r="S1600" s="8">
        <v>0</v>
      </c>
      <c r="T1600" s="5">
        <v>0</v>
      </c>
      <c r="U1600" s="5">
        <v>0</v>
      </c>
      <c r="V1600" s="5">
        <f>VLOOKUP(A1600,Planilha1!B:E,4,0)</f>
        <v>0.86907188046232187</v>
      </c>
    </row>
    <row r="1601" spans="1:22" x14ac:dyDescent="0.3">
      <c r="A1601" t="str">
        <f t="shared" si="48"/>
        <v>IOGURTESLACTALIS</v>
      </c>
      <c r="B1601" t="str">
        <f t="shared" si="49"/>
        <v>5303294IOGURTESLACTALIS</v>
      </c>
      <c r="C1601" s="5" t="s">
        <v>16</v>
      </c>
      <c r="D1601" s="5" t="s">
        <v>1025</v>
      </c>
      <c r="E1601" s="5" t="s">
        <v>1025</v>
      </c>
      <c r="F1601" s="5">
        <v>5303294</v>
      </c>
      <c r="G1601" s="5" t="s">
        <v>1026</v>
      </c>
      <c r="H1601" s="5" t="s">
        <v>88</v>
      </c>
      <c r="I1601" s="5" t="s">
        <v>22</v>
      </c>
      <c r="J1601" s="5" t="s">
        <v>153</v>
      </c>
      <c r="K1601" s="6">
        <v>0</v>
      </c>
      <c r="L1601" s="7">
        <v>0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0</v>
      </c>
      <c r="S1601" s="8">
        <v>0</v>
      </c>
      <c r="T1601" s="5">
        <v>0</v>
      </c>
      <c r="U1601" s="5">
        <v>0</v>
      </c>
      <c r="V1601" s="5">
        <f>VLOOKUP(A1601,Planilha1!B:E,4,0)</f>
        <v>3.0503167986984403</v>
      </c>
    </row>
    <row r="1602" spans="1:22" x14ac:dyDescent="0.3">
      <c r="A1602" t="str">
        <f t="shared" ref="A1602:A1665" si="50">J1602&amp;I1602</f>
        <v>LEITE EM PÓLACTALIS</v>
      </c>
      <c r="B1602" t="str">
        <f t="shared" si="49"/>
        <v>5303294LEITE EM PÓLACTALIS</v>
      </c>
      <c r="C1602" s="5" t="s">
        <v>16</v>
      </c>
      <c r="D1602" s="5" t="s">
        <v>1025</v>
      </c>
      <c r="E1602" s="5" t="s">
        <v>1025</v>
      </c>
      <c r="F1602" s="5">
        <v>5303294</v>
      </c>
      <c r="G1602" s="5" t="s">
        <v>1026</v>
      </c>
      <c r="H1602" s="5" t="s">
        <v>88</v>
      </c>
      <c r="I1602" s="5" t="s">
        <v>22</v>
      </c>
      <c r="J1602" s="5" t="s">
        <v>84</v>
      </c>
      <c r="K1602" s="6">
        <v>0</v>
      </c>
      <c r="L1602" s="7">
        <v>0</v>
      </c>
      <c r="M1602" s="8">
        <v>0</v>
      </c>
      <c r="N1602" s="8">
        <v>0</v>
      </c>
      <c r="O1602" s="8">
        <v>0</v>
      </c>
      <c r="P1602" s="8">
        <v>0</v>
      </c>
      <c r="Q1602" s="8">
        <v>0</v>
      </c>
      <c r="R1602" s="8">
        <v>0</v>
      </c>
      <c r="S1602" s="8">
        <v>0</v>
      </c>
      <c r="T1602" s="5">
        <v>0</v>
      </c>
      <c r="U1602" s="5">
        <v>0</v>
      </c>
      <c r="V1602" s="5">
        <f>VLOOKUP(A1602,Planilha1!B:E,4,0)</f>
        <v>-2.8055507108797499</v>
      </c>
    </row>
    <row r="1603" spans="1:22" x14ac:dyDescent="0.3">
      <c r="A1603" t="str">
        <f t="shared" si="50"/>
        <v>MERC + AROMLACTALIS</v>
      </c>
      <c r="B1603" t="str">
        <f t="shared" ref="B1603:B1666" si="51">F1603&amp;J1603&amp;I1603</f>
        <v>5303294MERC + AROMLACTALIS</v>
      </c>
      <c r="C1603" s="5" t="s">
        <v>16</v>
      </c>
      <c r="D1603" s="5" t="s">
        <v>1025</v>
      </c>
      <c r="E1603" s="5" t="s">
        <v>1025</v>
      </c>
      <c r="F1603" s="5">
        <v>5303294</v>
      </c>
      <c r="G1603" s="5" t="s">
        <v>1026</v>
      </c>
      <c r="H1603" s="5" t="s">
        <v>88</v>
      </c>
      <c r="I1603" s="5" t="s">
        <v>22</v>
      </c>
      <c r="J1603" s="5" t="s">
        <v>230</v>
      </c>
      <c r="K1603" s="6">
        <v>0</v>
      </c>
      <c r="L1603" s="7">
        <v>0</v>
      </c>
      <c r="M1603" s="8">
        <v>0</v>
      </c>
      <c r="N1603" s="8">
        <v>0</v>
      </c>
      <c r="O1603" s="8">
        <v>0</v>
      </c>
      <c r="P1603" s="8">
        <v>0</v>
      </c>
      <c r="Q1603" s="8">
        <v>0</v>
      </c>
      <c r="R1603" s="8">
        <v>0</v>
      </c>
      <c r="S1603" s="8">
        <v>0</v>
      </c>
      <c r="T1603" s="5">
        <v>0</v>
      </c>
      <c r="U1603" s="5">
        <v>0</v>
      </c>
      <c r="V1603" s="5">
        <f>VLOOKUP(A1603,Planilha1!B:E,4,0)</f>
        <v>0.86907188046232187</v>
      </c>
    </row>
    <row r="1604" spans="1:22" x14ac:dyDescent="0.3">
      <c r="A1604" t="str">
        <f t="shared" si="50"/>
        <v>QUEIJOSLACTALIS</v>
      </c>
      <c r="B1604" t="str">
        <f t="shared" si="51"/>
        <v>5303294QUEIJOSLACTALIS</v>
      </c>
      <c r="C1604" s="5" t="s">
        <v>16</v>
      </c>
      <c r="D1604" s="5" t="s">
        <v>1025</v>
      </c>
      <c r="E1604" s="5" t="s">
        <v>1025</v>
      </c>
      <c r="F1604" s="5">
        <v>5303294</v>
      </c>
      <c r="G1604" s="5" t="s">
        <v>1026</v>
      </c>
      <c r="H1604" s="5" t="s">
        <v>88</v>
      </c>
      <c r="I1604" s="5" t="s">
        <v>22</v>
      </c>
      <c r="J1604" s="5" t="s">
        <v>63</v>
      </c>
      <c r="K1604" s="6">
        <v>0</v>
      </c>
      <c r="L1604" s="7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  <c r="S1604" s="8">
        <v>0</v>
      </c>
      <c r="T1604" s="5">
        <v>0</v>
      </c>
      <c r="U1604" s="5">
        <v>0</v>
      </c>
      <c r="V1604" s="5">
        <f>VLOOKUP(A1604,Planilha1!B:E,4,0)</f>
        <v>-1.9171310037550682</v>
      </c>
    </row>
    <row r="1605" spans="1:22" x14ac:dyDescent="0.3">
      <c r="A1605" t="str">
        <f t="shared" si="50"/>
        <v>IOGURTESLACTALIS</v>
      </c>
      <c r="B1605" t="str">
        <f t="shared" si="51"/>
        <v>5334305IOGURTESLACTALIS</v>
      </c>
      <c r="C1605" s="5" t="s">
        <v>16</v>
      </c>
      <c r="D1605" s="5" t="s">
        <v>1025</v>
      </c>
      <c r="E1605" s="5" t="s">
        <v>1025</v>
      </c>
      <c r="F1605" s="5">
        <v>5334305</v>
      </c>
      <c r="G1605" s="5" t="s">
        <v>1026</v>
      </c>
      <c r="H1605" s="5" t="s">
        <v>113</v>
      </c>
      <c r="I1605" s="5" t="s">
        <v>22</v>
      </c>
      <c r="J1605" s="5" t="s">
        <v>153</v>
      </c>
      <c r="K1605" s="6">
        <v>0</v>
      </c>
      <c r="L1605" s="7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0</v>
      </c>
      <c r="S1605" s="8">
        <v>0</v>
      </c>
      <c r="T1605" s="5">
        <v>0</v>
      </c>
      <c r="U1605" s="5">
        <v>0</v>
      </c>
      <c r="V1605" s="5">
        <f>VLOOKUP(A1605,Planilha1!B:E,4,0)</f>
        <v>3.0503167986984403</v>
      </c>
    </row>
    <row r="1606" spans="1:22" x14ac:dyDescent="0.3">
      <c r="A1606" t="str">
        <f t="shared" si="50"/>
        <v>MERC + AROMLACTALIS</v>
      </c>
      <c r="B1606" t="str">
        <f t="shared" si="51"/>
        <v>5334305MERC + AROMLACTALIS</v>
      </c>
      <c r="C1606" s="5" t="s">
        <v>16</v>
      </c>
      <c r="D1606" s="5" t="s">
        <v>1025</v>
      </c>
      <c r="E1606" s="5" t="s">
        <v>1025</v>
      </c>
      <c r="F1606" s="5">
        <v>5334305</v>
      </c>
      <c r="G1606" s="5" t="s">
        <v>1026</v>
      </c>
      <c r="H1606" s="5" t="s">
        <v>113</v>
      </c>
      <c r="I1606" s="5" t="s">
        <v>22</v>
      </c>
      <c r="J1606" s="5" t="s">
        <v>230</v>
      </c>
      <c r="K1606" s="6">
        <v>0</v>
      </c>
      <c r="L1606" s="7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0</v>
      </c>
      <c r="S1606" s="8">
        <v>0</v>
      </c>
      <c r="T1606" s="5">
        <v>0</v>
      </c>
      <c r="U1606" s="5">
        <v>0</v>
      </c>
      <c r="V1606" s="5">
        <f>VLOOKUP(A1606,Planilha1!B:E,4,0)</f>
        <v>0.86907188046232187</v>
      </c>
    </row>
    <row r="1607" spans="1:22" x14ac:dyDescent="0.3">
      <c r="A1607" t="str">
        <f t="shared" si="50"/>
        <v>IOGURTESLACTALIS</v>
      </c>
      <c r="B1607" t="str">
        <f t="shared" si="51"/>
        <v>5335938IOGURTESLACTALIS</v>
      </c>
      <c r="C1607" s="5" t="s">
        <v>16</v>
      </c>
      <c r="D1607" s="5" t="s">
        <v>1025</v>
      </c>
      <c r="E1607" s="5" t="s">
        <v>1025</v>
      </c>
      <c r="F1607" s="5">
        <v>5335938</v>
      </c>
      <c r="G1607" s="5" t="s">
        <v>1026</v>
      </c>
      <c r="H1607" s="5" t="s">
        <v>30</v>
      </c>
      <c r="I1607" s="5" t="s">
        <v>22</v>
      </c>
      <c r="J1607" s="5" t="s">
        <v>153</v>
      </c>
      <c r="K1607" s="6">
        <v>0</v>
      </c>
      <c r="L1607" s="7">
        <v>0</v>
      </c>
      <c r="M1607" s="8">
        <v>0</v>
      </c>
      <c r="N1607" s="8">
        <v>0</v>
      </c>
      <c r="O1607" s="8">
        <v>0</v>
      </c>
      <c r="P1607" s="8">
        <v>0</v>
      </c>
      <c r="Q1607" s="8">
        <v>0</v>
      </c>
      <c r="R1607" s="8">
        <v>0</v>
      </c>
      <c r="S1607" s="8">
        <v>0</v>
      </c>
      <c r="T1607" s="5">
        <v>0</v>
      </c>
      <c r="U1607" s="5">
        <v>0</v>
      </c>
      <c r="V1607" s="5">
        <f>VLOOKUP(A1607,Planilha1!B:E,4,0)</f>
        <v>3.0503167986984403</v>
      </c>
    </row>
    <row r="1608" spans="1:22" x14ac:dyDescent="0.3">
      <c r="A1608" t="str">
        <f t="shared" si="50"/>
        <v>MERC + AROMLACTALIS</v>
      </c>
      <c r="B1608" t="str">
        <f t="shared" si="51"/>
        <v>5335938MERC + AROMLACTALIS</v>
      </c>
      <c r="C1608" s="5" t="s">
        <v>16</v>
      </c>
      <c r="D1608" s="5" t="s">
        <v>1025</v>
      </c>
      <c r="E1608" s="5" t="s">
        <v>1025</v>
      </c>
      <c r="F1608" s="5">
        <v>5335938</v>
      </c>
      <c r="G1608" s="5" t="s">
        <v>1026</v>
      </c>
      <c r="H1608" s="5" t="s">
        <v>30</v>
      </c>
      <c r="I1608" s="5" t="s">
        <v>22</v>
      </c>
      <c r="J1608" s="5" t="s">
        <v>230</v>
      </c>
      <c r="K1608" s="6">
        <v>0</v>
      </c>
      <c r="L1608" s="7">
        <v>0</v>
      </c>
      <c r="M1608" s="8">
        <v>0</v>
      </c>
      <c r="N1608" s="8">
        <v>0</v>
      </c>
      <c r="O1608" s="8">
        <v>0</v>
      </c>
      <c r="P1608" s="8">
        <v>0</v>
      </c>
      <c r="Q1608" s="8">
        <v>0</v>
      </c>
      <c r="R1608" s="8">
        <v>0</v>
      </c>
      <c r="S1608" s="8">
        <v>0</v>
      </c>
      <c r="T1608" s="5">
        <v>0</v>
      </c>
      <c r="U1608" s="5">
        <v>0</v>
      </c>
      <c r="V1608" s="5">
        <f>VLOOKUP(A1608,Planilha1!B:E,4,0)</f>
        <v>0.86907188046232187</v>
      </c>
    </row>
    <row r="1609" spans="1:22" x14ac:dyDescent="0.3">
      <c r="A1609" t="str">
        <f t="shared" si="50"/>
        <v>IOGURTESLACTALIS</v>
      </c>
      <c r="B1609" t="str">
        <f t="shared" si="51"/>
        <v>5337751IOGURTESLACTALIS</v>
      </c>
      <c r="C1609" s="5" t="s">
        <v>16</v>
      </c>
      <c r="D1609" s="5" t="s">
        <v>1025</v>
      </c>
      <c r="E1609" s="5" t="s">
        <v>1025</v>
      </c>
      <c r="F1609" s="5">
        <v>5337751</v>
      </c>
      <c r="G1609" s="5" t="s">
        <v>1026</v>
      </c>
      <c r="H1609" s="5" t="s">
        <v>88</v>
      </c>
      <c r="I1609" s="5" t="s">
        <v>22</v>
      </c>
      <c r="J1609" s="5" t="s">
        <v>153</v>
      </c>
      <c r="K1609" s="6">
        <v>0</v>
      </c>
      <c r="L1609" s="7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  <c r="S1609" s="8">
        <v>0</v>
      </c>
      <c r="T1609" s="5">
        <v>0</v>
      </c>
      <c r="U1609" s="5">
        <v>0</v>
      </c>
      <c r="V1609" s="5">
        <f>VLOOKUP(A1609,Planilha1!B:E,4,0)</f>
        <v>3.0503167986984403</v>
      </c>
    </row>
    <row r="1610" spans="1:22" x14ac:dyDescent="0.3">
      <c r="A1610" t="str">
        <f t="shared" si="50"/>
        <v>MERC + AROMLACTALIS</v>
      </c>
      <c r="B1610" t="str">
        <f t="shared" si="51"/>
        <v>5337751MERC + AROMLACTALIS</v>
      </c>
      <c r="C1610" s="5" t="s">
        <v>16</v>
      </c>
      <c r="D1610" s="5" t="s">
        <v>1025</v>
      </c>
      <c r="E1610" s="5" t="s">
        <v>1025</v>
      </c>
      <c r="F1610" s="5">
        <v>5337751</v>
      </c>
      <c r="G1610" s="5" t="s">
        <v>1026</v>
      </c>
      <c r="H1610" s="5" t="s">
        <v>88</v>
      </c>
      <c r="I1610" s="5" t="s">
        <v>22</v>
      </c>
      <c r="J1610" s="5" t="s">
        <v>230</v>
      </c>
      <c r="K1610" s="6">
        <v>0</v>
      </c>
      <c r="L1610" s="7">
        <v>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0</v>
      </c>
      <c r="S1610" s="8">
        <v>0</v>
      </c>
      <c r="T1610" s="5">
        <v>0</v>
      </c>
      <c r="U1610" s="5">
        <v>0</v>
      </c>
      <c r="V1610" s="5">
        <f>VLOOKUP(A1610,Planilha1!B:E,4,0)</f>
        <v>0.86907188046232187</v>
      </c>
    </row>
    <row r="1611" spans="1:22" x14ac:dyDescent="0.3">
      <c r="A1611" t="str">
        <f t="shared" si="50"/>
        <v>PARMESÃOLACTALIS</v>
      </c>
      <c r="B1611" t="str">
        <f t="shared" si="51"/>
        <v>5255804PARMESÃOLACTALIS</v>
      </c>
      <c r="C1611" s="5" t="s">
        <v>149</v>
      </c>
      <c r="D1611" s="5" t="s">
        <v>150</v>
      </c>
      <c r="E1611" s="5" t="s">
        <v>186</v>
      </c>
      <c r="F1611" s="5">
        <v>5255804</v>
      </c>
      <c r="G1611" s="5" t="s">
        <v>1027</v>
      </c>
      <c r="H1611" s="5" t="s">
        <v>30</v>
      </c>
      <c r="I1611" s="5" t="s">
        <v>22</v>
      </c>
      <c r="J1611" s="5" t="s">
        <v>195</v>
      </c>
      <c r="K1611" s="6">
        <v>0</v>
      </c>
      <c r="L1611" s="7">
        <v>0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0</v>
      </c>
      <c r="S1611" s="8">
        <v>300</v>
      </c>
      <c r="T1611" s="5">
        <v>300</v>
      </c>
      <c r="U1611" s="5">
        <v>0</v>
      </c>
      <c r="V1611" s="5">
        <f>VLOOKUP(A1611,Planilha1!B:E,4,0)</f>
        <v>6.310326960724681</v>
      </c>
    </row>
    <row r="1612" spans="1:22" x14ac:dyDescent="0.3">
      <c r="A1612" t="str">
        <f t="shared" si="50"/>
        <v>CREME UHTITAMBÉ</v>
      </c>
      <c r="B1612" t="str">
        <f t="shared" si="51"/>
        <v>5002086CREME UHTITAMBÉ</v>
      </c>
      <c r="C1612" s="5" t="s">
        <v>149</v>
      </c>
      <c r="D1612" s="5" t="s">
        <v>150</v>
      </c>
      <c r="E1612" s="5" t="s">
        <v>151</v>
      </c>
      <c r="F1612" s="5">
        <v>5002086</v>
      </c>
      <c r="G1612" s="5" t="s">
        <v>152</v>
      </c>
      <c r="H1612" s="5" t="s">
        <v>25</v>
      </c>
      <c r="I1612" s="5" t="s">
        <v>27</v>
      </c>
      <c r="J1612" s="5" t="s">
        <v>34</v>
      </c>
      <c r="K1612" s="6">
        <v>0</v>
      </c>
      <c r="L1612" s="7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0</v>
      </c>
      <c r="S1612" s="8">
        <v>300</v>
      </c>
      <c r="T1612" s="5">
        <v>300</v>
      </c>
      <c r="U1612" s="5">
        <v>485</v>
      </c>
      <c r="V1612" s="5">
        <f>VLOOKUP(A1612,Planilha1!B:E,4,0)</f>
        <v>1.2362540170747773</v>
      </c>
    </row>
    <row r="1613" spans="1:22" x14ac:dyDescent="0.3">
      <c r="A1613" t="str">
        <f t="shared" si="50"/>
        <v>LEITE CONDENSADOITAMBÉ</v>
      </c>
      <c r="B1613" t="str">
        <f t="shared" si="51"/>
        <v>5002086LEITE CONDENSADOITAMBÉ</v>
      </c>
      <c r="C1613" s="5" t="s">
        <v>149</v>
      </c>
      <c r="D1613" s="5" t="s">
        <v>150</v>
      </c>
      <c r="E1613" s="5" t="s">
        <v>151</v>
      </c>
      <c r="F1613" s="5">
        <v>5002086</v>
      </c>
      <c r="G1613" s="5" t="s">
        <v>152</v>
      </c>
      <c r="H1613" s="5" t="s">
        <v>25</v>
      </c>
      <c r="I1613" s="5" t="s">
        <v>27</v>
      </c>
      <c r="J1613" s="5" t="s">
        <v>33</v>
      </c>
      <c r="K1613" s="6">
        <v>0</v>
      </c>
      <c r="L1613" s="7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  <c r="S1613" s="8">
        <v>500</v>
      </c>
      <c r="T1613" s="5">
        <v>500</v>
      </c>
      <c r="U1613" s="5">
        <v>1000</v>
      </c>
      <c r="V1613" s="5">
        <f>VLOOKUP(A1613,Planilha1!B:E,4,0)</f>
        <v>1.4766792698630664</v>
      </c>
    </row>
    <row r="1614" spans="1:22" x14ac:dyDescent="0.3">
      <c r="A1614" t="str">
        <f t="shared" si="50"/>
        <v>LEITE EM PÓITAMBÉ</v>
      </c>
      <c r="B1614" t="str">
        <f t="shared" si="51"/>
        <v>5036304LEITE EM PÓITAMBÉ</v>
      </c>
      <c r="C1614" s="5" t="s">
        <v>149</v>
      </c>
      <c r="D1614" s="5" t="s">
        <v>150</v>
      </c>
      <c r="E1614" s="5" t="s">
        <v>151</v>
      </c>
      <c r="F1614" s="5">
        <v>5036304</v>
      </c>
      <c r="G1614" s="5" t="s">
        <v>200</v>
      </c>
      <c r="H1614" s="5" t="s">
        <v>36</v>
      </c>
      <c r="I1614" s="5" t="s">
        <v>27</v>
      </c>
      <c r="J1614" s="5" t="s">
        <v>84</v>
      </c>
      <c r="K1614" s="6">
        <v>0</v>
      </c>
      <c r="L1614" s="7">
        <v>-10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  <c r="S1614" s="8">
        <v>0</v>
      </c>
      <c r="T1614" s="5">
        <v>0</v>
      </c>
      <c r="U1614" s="5">
        <v>0</v>
      </c>
      <c r="V1614" s="5">
        <f>VLOOKUP(A1614,Planilha1!B:E,4,0)</f>
        <v>4.5971522734997743</v>
      </c>
    </row>
    <row r="1615" spans="1:22" x14ac:dyDescent="0.3">
      <c r="A1615" t="str">
        <f t="shared" si="50"/>
        <v>LEITE EM PÓITAMBÉ</v>
      </c>
      <c r="B1615" t="str">
        <f t="shared" si="51"/>
        <v>5129139LEITE EM PÓITAMBÉ</v>
      </c>
      <c r="C1615" s="5" t="s">
        <v>149</v>
      </c>
      <c r="D1615" s="5" t="s">
        <v>150</v>
      </c>
      <c r="E1615" s="5" t="s">
        <v>151</v>
      </c>
      <c r="F1615" s="5">
        <v>5129139</v>
      </c>
      <c r="G1615" s="5" t="s">
        <v>200</v>
      </c>
      <c r="H1615" s="5" t="s">
        <v>40</v>
      </c>
      <c r="I1615" s="5" t="s">
        <v>27</v>
      </c>
      <c r="J1615" s="5" t="s">
        <v>84</v>
      </c>
      <c r="K1615" s="6">
        <v>0</v>
      </c>
      <c r="L1615" s="7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  <c r="S1615" s="8">
        <v>0</v>
      </c>
      <c r="T1615" s="5">
        <v>0</v>
      </c>
      <c r="U1615" s="5">
        <v>0</v>
      </c>
      <c r="V1615" s="5">
        <f>VLOOKUP(A1615,Planilha1!B:E,4,0)</f>
        <v>4.5971522734997743</v>
      </c>
    </row>
    <row r="1616" spans="1:22" x14ac:dyDescent="0.3">
      <c r="A1616" t="str">
        <f t="shared" si="50"/>
        <v>LEITE UHTITAMBÉ</v>
      </c>
      <c r="B1616" t="str">
        <f t="shared" si="51"/>
        <v>5133254LEITE UHTITAMBÉ</v>
      </c>
      <c r="C1616" s="5" t="s">
        <v>149</v>
      </c>
      <c r="D1616" s="5" t="s">
        <v>150</v>
      </c>
      <c r="E1616" s="5" t="s">
        <v>151</v>
      </c>
      <c r="F1616" s="5">
        <v>5133254</v>
      </c>
      <c r="G1616" s="5" t="s">
        <v>200</v>
      </c>
      <c r="H1616" s="5" t="s">
        <v>101</v>
      </c>
      <c r="I1616" s="5" t="s">
        <v>27</v>
      </c>
      <c r="J1616" s="5" t="s">
        <v>156</v>
      </c>
      <c r="K1616" s="6">
        <v>0</v>
      </c>
      <c r="L1616" s="7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  <c r="S1616" s="8">
        <v>0</v>
      </c>
      <c r="T1616" s="5">
        <v>0</v>
      </c>
      <c r="U1616" s="5">
        <v>0</v>
      </c>
      <c r="V1616" s="5">
        <f>VLOOKUP(A1616,Planilha1!B:E,4,0)</f>
        <v>-0.14425288609148015</v>
      </c>
    </row>
    <row r="1617" spans="1:22" x14ac:dyDescent="0.3">
      <c r="A1617" t="str">
        <f t="shared" si="50"/>
        <v>LEITE UHTLACTALIS</v>
      </c>
      <c r="B1617" t="str">
        <f t="shared" si="51"/>
        <v>5171786LEITE UHTLACTALIS</v>
      </c>
      <c r="C1617" s="5" t="s">
        <v>149</v>
      </c>
      <c r="D1617" s="5" t="s">
        <v>150</v>
      </c>
      <c r="E1617" s="5" t="s">
        <v>151</v>
      </c>
      <c r="F1617" s="5">
        <v>5171786</v>
      </c>
      <c r="G1617" s="5" t="s">
        <v>200</v>
      </c>
      <c r="H1617" s="5" t="s">
        <v>113</v>
      </c>
      <c r="I1617" s="5" t="s">
        <v>22</v>
      </c>
      <c r="J1617" s="5" t="s">
        <v>156</v>
      </c>
      <c r="K1617" s="6">
        <v>0</v>
      </c>
      <c r="L1617" s="7">
        <v>8952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0</v>
      </c>
      <c r="S1617" s="8">
        <v>0</v>
      </c>
      <c r="T1617" s="5">
        <v>0</v>
      </c>
      <c r="U1617" s="5">
        <v>0</v>
      </c>
      <c r="V1617" s="5">
        <f>VLOOKUP(A1617,Planilha1!B:E,4,0)</f>
        <v>0.37177548115779385</v>
      </c>
    </row>
    <row r="1618" spans="1:22" x14ac:dyDescent="0.3">
      <c r="A1618" t="str">
        <f t="shared" si="50"/>
        <v>IOGURTESLACTALIS</v>
      </c>
      <c r="B1618" t="str">
        <f t="shared" si="51"/>
        <v>5174117IOGURTESLACTALIS</v>
      </c>
      <c r="C1618" s="5" t="s">
        <v>149</v>
      </c>
      <c r="D1618" s="5" t="s">
        <v>150</v>
      </c>
      <c r="E1618" s="5" t="s">
        <v>151</v>
      </c>
      <c r="F1618" s="5">
        <v>5174117</v>
      </c>
      <c r="G1618" s="5" t="s">
        <v>1028</v>
      </c>
      <c r="H1618" s="5" t="s">
        <v>154</v>
      </c>
      <c r="I1618" s="5" t="s">
        <v>22</v>
      </c>
      <c r="J1618" s="5" t="s">
        <v>153</v>
      </c>
      <c r="K1618" s="6">
        <v>0</v>
      </c>
      <c r="L1618" s="7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  <c r="S1618" s="8">
        <v>0</v>
      </c>
      <c r="T1618" s="5">
        <v>0</v>
      </c>
      <c r="U1618" s="5">
        <v>0</v>
      </c>
      <c r="V1618" s="5">
        <f>VLOOKUP(A1618,Planilha1!B:E,4,0)</f>
        <v>3.0503167986984403</v>
      </c>
    </row>
    <row r="1619" spans="1:22" x14ac:dyDescent="0.3">
      <c r="A1619" t="str">
        <f t="shared" si="50"/>
        <v>IOGURTESLACTALIS</v>
      </c>
      <c r="B1619" t="str">
        <f t="shared" si="51"/>
        <v>5194321IOGURTESLACTALIS</v>
      </c>
      <c r="C1619" s="5" t="s">
        <v>149</v>
      </c>
      <c r="D1619" s="5" t="s">
        <v>150</v>
      </c>
      <c r="E1619" s="5" t="s">
        <v>151</v>
      </c>
      <c r="F1619" s="5">
        <v>5194321</v>
      </c>
      <c r="G1619" s="5" t="s">
        <v>1029</v>
      </c>
      <c r="H1619" s="5" t="s">
        <v>30</v>
      </c>
      <c r="I1619" s="5" t="s">
        <v>22</v>
      </c>
      <c r="J1619" s="5" t="s">
        <v>153</v>
      </c>
      <c r="K1619" s="6">
        <v>0</v>
      </c>
      <c r="L1619" s="7">
        <v>183.6</v>
      </c>
      <c r="M1619" s="8">
        <v>0</v>
      </c>
      <c r="N1619" s="8">
        <v>0</v>
      </c>
      <c r="O1619" s="8">
        <v>0</v>
      </c>
      <c r="P1619" s="8">
        <v>0</v>
      </c>
      <c r="Q1619" s="8">
        <v>36.72</v>
      </c>
      <c r="R1619" s="8">
        <v>0</v>
      </c>
      <c r="S1619" s="8">
        <v>0</v>
      </c>
      <c r="T1619" s="5">
        <v>0</v>
      </c>
      <c r="U1619" s="5">
        <v>0</v>
      </c>
      <c r="V1619" s="5">
        <f>VLOOKUP(A1619,Planilha1!B:E,4,0)</f>
        <v>3.0503167986984403</v>
      </c>
    </row>
    <row r="1620" spans="1:22" x14ac:dyDescent="0.3">
      <c r="A1620" t="str">
        <f t="shared" si="50"/>
        <v>LEITE CONDENSADOLACTALIS</v>
      </c>
      <c r="B1620" t="str">
        <f t="shared" si="51"/>
        <v>5194321LEITE CONDENSADOLACTALIS</v>
      </c>
      <c r="C1620" s="5" t="s">
        <v>149</v>
      </c>
      <c r="D1620" s="5" t="s">
        <v>150</v>
      </c>
      <c r="E1620" s="5" t="s">
        <v>151</v>
      </c>
      <c r="F1620" s="5">
        <v>5194321</v>
      </c>
      <c r="G1620" s="5" t="s">
        <v>1029</v>
      </c>
      <c r="H1620" s="5" t="s">
        <v>30</v>
      </c>
      <c r="I1620" s="5" t="s">
        <v>22</v>
      </c>
      <c r="J1620" s="5" t="s">
        <v>33</v>
      </c>
      <c r="K1620" s="6">
        <v>0</v>
      </c>
      <c r="L1620" s="7">
        <v>6860</v>
      </c>
      <c r="M1620" s="8">
        <v>0</v>
      </c>
      <c r="N1620" s="8">
        <v>0</v>
      </c>
      <c r="O1620" s="8">
        <v>0</v>
      </c>
      <c r="P1620" s="8">
        <v>0</v>
      </c>
      <c r="Q1620" s="8">
        <v>0</v>
      </c>
      <c r="R1620" s="8">
        <v>0</v>
      </c>
      <c r="S1620" s="8">
        <v>0</v>
      </c>
      <c r="T1620" s="5">
        <v>0</v>
      </c>
      <c r="U1620" s="5">
        <v>0</v>
      </c>
      <c r="V1620" s="5">
        <f>VLOOKUP(A1620,Planilha1!B:E,4,0)</f>
        <v>1.8665071822970765</v>
      </c>
    </row>
    <row r="1621" spans="1:22" x14ac:dyDescent="0.3">
      <c r="A1621" t="str">
        <f t="shared" si="50"/>
        <v>LEITE CONDENSADOLACTALIS</v>
      </c>
      <c r="B1621" t="str">
        <f t="shared" si="51"/>
        <v>5261291LEITE CONDENSADOLACTALIS</v>
      </c>
      <c r="C1621" s="5" t="s">
        <v>149</v>
      </c>
      <c r="D1621" s="5" t="s">
        <v>150</v>
      </c>
      <c r="E1621" s="5" t="s">
        <v>151</v>
      </c>
      <c r="F1621" s="5">
        <v>5261291</v>
      </c>
      <c r="G1621" s="5" t="s">
        <v>207</v>
      </c>
      <c r="H1621" s="5" t="s">
        <v>30</v>
      </c>
      <c r="I1621" s="5" t="s">
        <v>22</v>
      </c>
      <c r="J1621" s="5" t="s">
        <v>33</v>
      </c>
      <c r="K1621" s="6">
        <v>0</v>
      </c>
      <c r="L1621" s="7">
        <v>28.44</v>
      </c>
      <c r="M1621" s="8">
        <v>27.181666666666672</v>
      </c>
      <c r="N1621" s="8">
        <v>18.813333333333333</v>
      </c>
      <c r="O1621" s="8">
        <v>28.44</v>
      </c>
      <c r="P1621" s="8">
        <v>0</v>
      </c>
      <c r="Q1621" s="8">
        <v>0</v>
      </c>
      <c r="R1621" s="8">
        <v>0</v>
      </c>
      <c r="S1621" s="8">
        <v>0</v>
      </c>
      <c r="T1621" s="5">
        <v>0</v>
      </c>
      <c r="U1621" s="5">
        <v>28</v>
      </c>
      <c r="V1621" s="5">
        <f>VLOOKUP(A1621,Planilha1!B:E,4,0)</f>
        <v>1.8665071822970765</v>
      </c>
    </row>
    <row r="1622" spans="1:22" x14ac:dyDescent="0.3">
      <c r="A1622" t="str">
        <f t="shared" si="50"/>
        <v>IOGURTESLACTALIS</v>
      </c>
      <c r="B1622" t="str">
        <f t="shared" si="51"/>
        <v>5261409IOGURTESLACTALIS</v>
      </c>
      <c r="C1622" s="5" t="s">
        <v>149</v>
      </c>
      <c r="D1622" s="5" t="s">
        <v>150</v>
      </c>
      <c r="E1622" s="5" t="s">
        <v>151</v>
      </c>
      <c r="F1622" s="5">
        <v>5261409</v>
      </c>
      <c r="G1622" s="5" t="s">
        <v>1030</v>
      </c>
      <c r="H1622" s="5" t="s">
        <v>30</v>
      </c>
      <c r="I1622" s="5" t="s">
        <v>22</v>
      </c>
      <c r="J1622" s="5" t="s">
        <v>153</v>
      </c>
      <c r="K1622" s="6">
        <v>0</v>
      </c>
      <c r="L1622" s="7">
        <v>0</v>
      </c>
      <c r="M1622" s="8">
        <v>10.733333333333333</v>
      </c>
      <c r="N1622" s="8">
        <v>14.266666666666667</v>
      </c>
      <c r="O1622" s="8">
        <v>0</v>
      </c>
      <c r="P1622" s="8">
        <v>0</v>
      </c>
      <c r="Q1622" s="8">
        <v>0</v>
      </c>
      <c r="R1622" s="8">
        <v>0</v>
      </c>
      <c r="S1622" s="8">
        <v>0</v>
      </c>
      <c r="T1622" s="5">
        <v>0</v>
      </c>
      <c r="U1622" s="5">
        <v>0</v>
      </c>
      <c r="V1622" s="5">
        <f>VLOOKUP(A1622,Planilha1!B:E,4,0)</f>
        <v>3.0503167986984403</v>
      </c>
    </row>
    <row r="1623" spans="1:22" x14ac:dyDescent="0.3">
      <c r="A1623" t="str">
        <f t="shared" si="50"/>
        <v>LEITE UHTLACTALIS</v>
      </c>
      <c r="B1623" t="str">
        <f t="shared" si="51"/>
        <v>5261409LEITE UHTLACTALIS</v>
      </c>
      <c r="C1623" s="5" t="s">
        <v>149</v>
      </c>
      <c r="D1623" s="5" t="s">
        <v>150</v>
      </c>
      <c r="E1623" s="5" t="s">
        <v>151</v>
      </c>
      <c r="F1623" s="5">
        <v>5261409</v>
      </c>
      <c r="G1623" s="5" t="s">
        <v>1030</v>
      </c>
      <c r="H1623" s="5" t="s">
        <v>30</v>
      </c>
      <c r="I1623" s="5" t="s">
        <v>22</v>
      </c>
      <c r="J1623" s="5" t="s">
        <v>156</v>
      </c>
      <c r="K1623" s="6">
        <v>0</v>
      </c>
      <c r="L1623" s="7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0</v>
      </c>
      <c r="S1623" s="8">
        <v>0</v>
      </c>
      <c r="T1623" s="5">
        <v>0</v>
      </c>
      <c r="U1623" s="5">
        <v>0</v>
      </c>
      <c r="V1623" s="5">
        <f>VLOOKUP(A1623,Planilha1!B:E,4,0)</f>
        <v>0.37177548115779385</v>
      </c>
    </row>
    <row r="1624" spans="1:22" x14ac:dyDescent="0.3">
      <c r="A1624" t="str">
        <f t="shared" si="50"/>
        <v>LEITE UHTLACTALIS</v>
      </c>
      <c r="B1624" t="str">
        <f t="shared" si="51"/>
        <v>5285639LEITE UHTLACTALIS</v>
      </c>
      <c r="C1624" s="5" t="s">
        <v>149</v>
      </c>
      <c r="D1624" s="5" t="s">
        <v>150</v>
      </c>
      <c r="E1624" s="5" t="s">
        <v>151</v>
      </c>
      <c r="F1624" s="5">
        <v>5285639</v>
      </c>
      <c r="G1624" s="5" t="s">
        <v>1031</v>
      </c>
      <c r="H1624" s="5" t="s">
        <v>30</v>
      </c>
      <c r="I1624" s="5" t="s">
        <v>22</v>
      </c>
      <c r="J1624" s="5" t="s">
        <v>156</v>
      </c>
      <c r="K1624" s="6">
        <v>0</v>
      </c>
      <c r="L1624" s="7">
        <v>22620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0</v>
      </c>
      <c r="S1624" s="8">
        <v>0</v>
      </c>
      <c r="T1624" s="5">
        <v>0</v>
      </c>
      <c r="U1624" s="5">
        <v>0</v>
      </c>
      <c r="V1624" s="5">
        <f>VLOOKUP(A1624,Planilha1!B:E,4,0)</f>
        <v>0.37177548115779385</v>
      </c>
    </row>
    <row r="1625" spans="1:22" x14ac:dyDescent="0.3">
      <c r="A1625" t="str">
        <f t="shared" si="50"/>
        <v>PARMESÃOLACTALIS</v>
      </c>
      <c r="B1625" t="str">
        <f t="shared" si="51"/>
        <v>5191803PARMESÃOLACTALIS</v>
      </c>
      <c r="C1625" s="5" t="s">
        <v>149</v>
      </c>
      <c r="D1625" s="5" t="s">
        <v>210</v>
      </c>
      <c r="E1625" s="5" t="s">
        <v>210</v>
      </c>
      <c r="F1625" s="5">
        <v>5191803</v>
      </c>
      <c r="G1625" s="5" t="s">
        <v>1032</v>
      </c>
      <c r="H1625" s="5" t="s">
        <v>30</v>
      </c>
      <c r="I1625" s="5" t="s">
        <v>22</v>
      </c>
      <c r="J1625" s="5" t="s">
        <v>195</v>
      </c>
      <c r="K1625" s="6">
        <v>0</v>
      </c>
      <c r="L1625" s="7">
        <v>191.63300000000001</v>
      </c>
      <c r="M1625" s="8">
        <v>269.56283333333329</v>
      </c>
      <c r="N1625" s="8">
        <v>366.27800000000002</v>
      </c>
      <c r="O1625" s="8">
        <v>0</v>
      </c>
      <c r="P1625" s="8">
        <v>0</v>
      </c>
      <c r="Q1625" s="8">
        <v>136.66800000000001</v>
      </c>
      <c r="R1625" s="8">
        <v>0</v>
      </c>
      <c r="S1625" s="8">
        <v>350</v>
      </c>
      <c r="T1625" s="5">
        <v>350</v>
      </c>
      <c r="U1625" s="5">
        <v>155</v>
      </c>
      <c r="V1625" s="5">
        <f>VLOOKUP(A1625,Planilha1!B:E,4,0)</f>
        <v>6.310326960724681</v>
      </c>
    </row>
    <row r="1626" spans="1:22" x14ac:dyDescent="0.3">
      <c r="A1626" t="str">
        <f t="shared" si="50"/>
        <v>MANTEIGA 5KGLACTALIS</v>
      </c>
      <c r="B1626" t="str">
        <f t="shared" si="51"/>
        <v>5207394MANTEIGA 5KGLACTALIS</v>
      </c>
      <c r="C1626" s="5" t="s">
        <v>149</v>
      </c>
      <c r="D1626" s="5" t="s">
        <v>210</v>
      </c>
      <c r="E1626" s="5" t="s">
        <v>210</v>
      </c>
      <c r="F1626" s="5">
        <v>5207394</v>
      </c>
      <c r="G1626" s="5" t="s">
        <v>215</v>
      </c>
      <c r="H1626" s="5" t="s">
        <v>154</v>
      </c>
      <c r="I1626" s="5" t="s">
        <v>22</v>
      </c>
      <c r="J1626" s="5" t="s">
        <v>60</v>
      </c>
      <c r="K1626" s="6">
        <v>0</v>
      </c>
      <c r="L1626" s="7">
        <v>150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0</v>
      </c>
      <c r="S1626" s="8">
        <v>0</v>
      </c>
      <c r="T1626" s="5">
        <v>0</v>
      </c>
      <c r="U1626" s="5">
        <v>0</v>
      </c>
      <c r="V1626" s="5">
        <f>VLOOKUP(A1626,Planilha1!B:E,4,0)</f>
        <v>11.476197020267191</v>
      </c>
    </row>
    <row r="1627" spans="1:22" x14ac:dyDescent="0.3">
      <c r="A1627" t="str">
        <f t="shared" si="50"/>
        <v>LEITE UHTLACTALIS</v>
      </c>
      <c r="B1627" t="str">
        <f t="shared" si="51"/>
        <v>5226499LEITE UHTLACTALIS</v>
      </c>
      <c r="C1627" s="5" t="s">
        <v>149</v>
      </c>
      <c r="D1627" s="5" t="s">
        <v>210</v>
      </c>
      <c r="E1627" s="5" t="s">
        <v>210</v>
      </c>
      <c r="F1627" s="5">
        <v>5226499</v>
      </c>
      <c r="G1627" s="5" t="s">
        <v>217</v>
      </c>
      <c r="H1627" s="5" t="s">
        <v>30</v>
      </c>
      <c r="I1627" s="5" t="s">
        <v>22</v>
      </c>
      <c r="J1627" s="5" t="s">
        <v>156</v>
      </c>
      <c r="K1627" s="6">
        <v>0</v>
      </c>
      <c r="L1627" s="7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0</v>
      </c>
      <c r="S1627" s="8">
        <v>0</v>
      </c>
      <c r="T1627" s="5">
        <v>0</v>
      </c>
      <c r="U1627" s="5">
        <v>0</v>
      </c>
      <c r="V1627" s="5">
        <f>VLOOKUP(A1627,Planilha1!B:E,4,0)</f>
        <v>0.37177548115779385</v>
      </c>
    </row>
    <row r="1628" spans="1:22" x14ac:dyDescent="0.3">
      <c r="A1628" t="str">
        <f t="shared" si="50"/>
        <v>LEITE CONDENSADOLACTALIS</v>
      </c>
      <c r="B1628" t="str">
        <f t="shared" si="51"/>
        <v>5336828LEITE CONDENSADOLACTALIS</v>
      </c>
      <c r="C1628" s="5" t="s">
        <v>149</v>
      </c>
      <c r="D1628" s="5" t="s">
        <v>210</v>
      </c>
      <c r="E1628" s="5" t="s">
        <v>210</v>
      </c>
      <c r="F1628" s="5">
        <v>5336828</v>
      </c>
      <c r="G1628" s="5" t="s">
        <v>225</v>
      </c>
      <c r="H1628" s="5" t="s">
        <v>30</v>
      </c>
      <c r="I1628" s="5" t="s">
        <v>22</v>
      </c>
      <c r="J1628" s="5" t="s">
        <v>33</v>
      </c>
      <c r="K1628" s="6">
        <v>0</v>
      </c>
      <c r="L1628" s="7">
        <v>0</v>
      </c>
      <c r="M1628" s="8">
        <v>3179.26</v>
      </c>
      <c r="N1628" s="8">
        <v>3192.28</v>
      </c>
      <c r="O1628" s="8">
        <v>2749.2</v>
      </c>
      <c r="P1628" s="8">
        <v>0</v>
      </c>
      <c r="Q1628" s="8">
        <v>3388</v>
      </c>
      <c r="R1628" s="8">
        <v>0</v>
      </c>
      <c r="S1628" s="8">
        <v>1008</v>
      </c>
      <c r="T1628" s="5">
        <v>1008</v>
      </c>
      <c r="U1628" s="5">
        <v>2520</v>
      </c>
      <c r="V1628" s="5">
        <f>VLOOKUP(A1628,Planilha1!B:E,4,0)</f>
        <v>1.8665071822970765</v>
      </c>
    </row>
    <row r="1629" spans="1:22" x14ac:dyDescent="0.3">
      <c r="A1629" t="str">
        <f t="shared" si="50"/>
        <v>CREME UHTITAMBÉ</v>
      </c>
      <c r="B1629" t="str">
        <f t="shared" si="51"/>
        <v>5005055CREME UHTITAMBÉ</v>
      </c>
      <c r="C1629" s="5" t="s">
        <v>226</v>
      </c>
      <c r="D1629" s="5" t="s">
        <v>727</v>
      </c>
      <c r="E1629" s="5" t="s">
        <v>733</v>
      </c>
      <c r="F1629" s="5">
        <v>5005055</v>
      </c>
      <c r="G1629" s="5" t="s">
        <v>1033</v>
      </c>
      <c r="H1629" s="5" t="s">
        <v>25</v>
      </c>
      <c r="I1629" s="5" t="s">
        <v>27</v>
      </c>
      <c r="J1629" s="5" t="s">
        <v>34</v>
      </c>
      <c r="K1629" s="6">
        <v>0</v>
      </c>
      <c r="L1629" s="7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  <c r="S1629" s="8">
        <v>0</v>
      </c>
      <c r="T1629" s="5">
        <v>0</v>
      </c>
      <c r="U1629" s="5">
        <v>0</v>
      </c>
      <c r="V1629" s="5">
        <f>VLOOKUP(A1629,Planilha1!B:E,4,0)</f>
        <v>1.2362540170747773</v>
      </c>
    </row>
    <row r="1630" spans="1:22" x14ac:dyDescent="0.3">
      <c r="A1630" t="str">
        <f t="shared" si="50"/>
        <v>LEITE CONDENSADOITAMBÉ</v>
      </c>
      <c r="B1630" t="str">
        <f t="shared" si="51"/>
        <v>5005055LEITE CONDENSADOITAMBÉ</v>
      </c>
      <c r="C1630" s="5" t="s">
        <v>226</v>
      </c>
      <c r="D1630" s="5" t="s">
        <v>727</v>
      </c>
      <c r="E1630" s="5" t="s">
        <v>733</v>
      </c>
      <c r="F1630" s="5">
        <v>5005055</v>
      </c>
      <c r="G1630" s="5" t="s">
        <v>1033</v>
      </c>
      <c r="H1630" s="5" t="s">
        <v>25</v>
      </c>
      <c r="I1630" s="5" t="s">
        <v>27</v>
      </c>
      <c r="J1630" s="5" t="s">
        <v>33</v>
      </c>
      <c r="K1630" s="6">
        <v>0</v>
      </c>
      <c r="L1630" s="7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0</v>
      </c>
      <c r="S1630" s="8">
        <v>0</v>
      </c>
      <c r="T1630" s="5">
        <v>0</v>
      </c>
      <c r="U1630" s="5">
        <v>0</v>
      </c>
      <c r="V1630" s="5">
        <f>VLOOKUP(A1630,Planilha1!B:E,4,0)</f>
        <v>1.4766792698630664</v>
      </c>
    </row>
    <row r="1631" spans="1:22" x14ac:dyDescent="0.3">
      <c r="A1631" t="str">
        <f t="shared" si="50"/>
        <v>BLISTERITAMBÉ</v>
      </c>
      <c r="B1631" t="str">
        <f t="shared" si="51"/>
        <v>5005427BLISTERITAMBÉ</v>
      </c>
      <c r="C1631" s="5" t="s">
        <v>226</v>
      </c>
      <c r="D1631" s="5" t="s">
        <v>727</v>
      </c>
      <c r="E1631" s="5" t="s">
        <v>733</v>
      </c>
      <c r="F1631" s="5">
        <v>5005427</v>
      </c>
      <c r="G1631" s="5" t="s">
        <v>1034</v>
      </c>
      <c r="H1631" s="5" t="s">
        <v>25</v>
      </c>
      <c r="I1631" s="5" t="s">
        <v>27</v>
      </c>
      <c r="J1631" s="5" t="s">
        <v>199</v>
      </c>
      <c r="K1631" s="6">
        <v>0</v>
      </c>
      <c r="L1631" s="7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0</v>
      </c>
      <c r="S1631" s="8">
        <v>0</v>
      </c>
      <c r="T1631" s="5">
        <v>0</v>
      </c>
      <c r="U1631" s="5">
        <v>0</v>
      </c>
      <c r="V1631" s="5">
        <f>VLOOKUP(A1631,Planilha1!B:E,4,0)</f>
        <v>10.339882680976428</v>
      </c>
    </row>
    <row r="1632" spans="1:22" x14ac:dyDescent="0.3">
      <c r="A1632" t="str">
        <f t="shared" si="50"/>
        <v>CREME UHTITAMBÉ</v>
      </c>
      <c r="B1632" t="str">
        <f t="shared" si="51"/>
        <v>5005427CREME UHTITAMBÉ</v>
      </c>
      <c r="C1632" s="5" t="s">
        <v>226</v>
      </c>
      <c r="D1632" s="5" t="s">
        <v>727</v>
      </c>
      <c r="E1632" s="5" t="s">
        <v>733</v>
      </c>
      <c r="F1632" s="5">
        <v>5005427</v>
      </c>
      <c r="G1632" s="5" t="s">
        <v>1034</v>
      </c>
      <c r="H1632" s="5" t="s">
        <v>25</v>
      </c>
      <c r="I1632" s="5" t="s">
        <v>27</v>
      </c>
      <c r="J1632" s="5" t="s">
        <v>34</v>
      </c>
      <c r="K1632" s="6">
        <v>0</v>
      </c>
      <c r="L1632" s="7">
        <v>0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0</v>
      </c>
      <c r="S1632" s="8">
        <v>0</v>
      </c>
      <c r="T1632" s="5">
        <v>0</v>
      </c>
      <c r="U1632" s="5">
        <v>0</v>
      </c>
      <c r="V1632" s="5">
        <f>VLOOKUP(A1632,Planilha1!B:E,4,0)</f>
        <v>1.2362540170747773</v>
      </c>
    </row>
    <row r="1633" spans="1:22" x14ac:dyDescent="0.3">
      <c r="A1633" t="str">
        <f t="shared" si="50"/>
        <v>LEITE CONDENSADOITAMBÉ</v>
      </c>
      <c r="B1633" t="str">
        <f t="shared" si="51"/>
        <v>5005427LEITE CONDENSADOITAMBÉ</v>
      </c>
      <c r="C1633" s="5" t="s">
        <v>226</v>
      </c>
      <c r="D1633" s="5" t="s">
        <v>727</v>
      </c>
      <c r="E1633" s="5" t="s">
        <v>733</v>
      </c>
      <c r="F1633" s="5">
        <v>5005427</v>
      </c>
      <c r="G1633" s="5" t="s">
        <v>1034</v>
      </c>
      <c r="H1633" s="5" t="s">
        <v>25</v>
      </c>
      <c r="I1633" s="5" t="s">
        <v>27</v>
      </c>
      <c r="J1633" s="5" t="s">
        <v>33</v>
      </c>
      <c r="K1633" s="6">
        <v>0</v>
      </c>
      <c r="L1633" s="7">
        <v>0</v>
      </c>
      <c r="M1633" s="8">
        <v>129.28</v>
      </c>
      <c r="N1633" s="8">
        <v>0</v>
      </c>
      <c r="O1633" s="8">
        <v>0</v>
      </c>
      <c r="P1633" s="8">
        <v>0</v>
      </c>
      <c r="Q1633" s="8">
        <v>0</v>
      </c>
      <c r="R1633" s="8">
        <v>0</v>
      </c>
      <c r="S1633" s="8">
        <v>0</v>
      </c>
      <c r="T1633" s="5">
        <v>0</v>
      </c>
      <c r="U1633" s="5">
        <v>0</v>
      </c>
      <c r="V1633" s="5">
        <f>VLOOKUP(A1633,Planilha1!B:E,4,0)</f>
        <v>1.4766792698630664</v>
      </c>
    </row>
    <row r="1634" spans="1:22" x14ac:dyDescent="0.3">
      <c r="A1634" t="str">
        <f t="shared" si="50"/>
        <v>LPI 25KGITAMBÉ</v>
      </c>
      <c r="B1634" t="str">
        <f t="shared" si="51"/>
        <v>5005427LPI 25KGITAMBÉ</v>
      </c>
      <c r="C1634" s="5" t="s">
        <v>226</v>
      </c>
      <c r="D1634" s="5" t="s">
        <v>727</v>
      </c>
      <c r="E1634" s="5" t="s">
        <v>733</v>
      </c>
      <c r="F1634" s="5">
        <v>5005427</v>
      </c>
      <c r="G1634" s="5" t="s">
        <v>1034</v>
      </c>
      <c r="H1634" s="5" t="s">
        <v>25</v>
      </c>
      <c r="I1634" s="5" t="s">
        <v>27</v>
      </c>
      <c r="J1634" s="5" t="s">
        <v>21</v>
      </c>
      <c r="K1634" s="6">
        <v>0</v>
      </c>
      <c r="L1634" s="7">
        <v>2600</v>
      </c>
      <c r="M1634" s="8">
        <v>2000</v>
      </c>
      <c r="N1634" s="8">
        <v>4000</v>
      </c>
      <c r="O1634" s="8">
        <v>0</v>
      </c>
      <c r="P1634" s="8">
        <v>0</v>
      </c>
      <c r="Q1634" s="8">
        <v>0</v>
      </c>
      <c r="R1634" s="8">
        <v>0</v>
      </c>
      <c r="S1634" s="8">
        <v>0</v>
      </c>
      <c r="T1634" s="5">
        <v>0</v>
      </c>
      <c r="U1634" s="5">
        <v>0</v>
      </c>
      <c r="V1634" s="5">
        <f>VLOOKUP(A1634,Planilha1!B:E,4,0)</f>
        <v>-1.218192805504376</v>
      </c>
    </row>
    <row r="1635" spans="1:22" x14ac:dyDescent="0.3">
      <c r="A1635" t="str">
        <f t="shared" si="50"/>
        <v>LEITE EM PÓITAMBÉ</v>
      </c>
      <c r="B1635" t="str">
        <f t="shared" si="51"/>
        <v>5006419LEITE EM PÓITAMBÉ</v>
      </c>
      <c r="C1635" s="5" t="s">
        <v>226</v>
      </c>
      <c r="D1635" s="5" t="s">
        <v>727</v>
      </c>
      <c r="E1635" s="5" t="s">
        <v>733</v>
      </c>
      <c r="F1635" s="5">
        <v>5006419</v>
      </c>
      <c r="G1635" s="5" t="s">
        <v>735</v>
      </c>
      <c r="H1635" s="5" t="s">
        <v>25</v>
      </c>
      <c r="I1635" s="5" t="s">
        <v>27</v>
      </c>
      <c r="J1635" s="5" t="s">
        <v>84</v>
      </c>
      <c r="K1635" s="6">
        <v>0</v>
      </c>
      <c r="L1635" s="7">
        <v>600</v>
      </c>
      <c r="M1635" s="8">
        <v>584.99999999999989</v>
      </c>
      <c r="N1635" s="8">
        <v>616.66666666666674</v>
      </c>
      <c r="O1635" s="8">
        <v>366.92617575668191</v>
      </c>
      <c r="P1635" s="8">
        <v>0</v>
      </c>
      <c r="Q1635" s="8">
        <v>0</v>
      </c>
      <c r="R1635" s="8">
        <v>0</v>
      </c>
      <c r="S1635" s="8">
        <v>0</v>
      </c>
      <c r="T1635" s="5">
        <v>0</v>
      </c>
      <c r="U1635" s="5">
        <v>0</v>
      </c>
      <c r="V1635" s="5">
        <f>VLOOKUP(A1635,Planilha1!B:E,4,0)</f>
        <v>4.5971522734997743</v>
      </c>
    </row>
    <row r="1636" spans="1:22" x14ac:dyDescent="0.3">
      <c r="A1636" t="str">
        <f t="shared" si="50"/>
        <v>LEITE CONDENSADOITAMBÉ</v>
      </c>
      <c r="B1636" t="str">
        <f t="shared" si="51"/>
        <v>5051163LEITE CONDENSADOITAMBÉ</v>
      </c>
      <c r="C1636" s="5" t="s">
        <v>226</v>
      </c>
      <c r="D1636" s="5" t="s">
        <v>727</v>
      </c>
      <c r="E1636" s="5" t="s">
        <v>733</v>
      </c>
      <c r="F1636" s="5">
        <v>5051163</v>
      </c>
      <c r="G1636" s="5" t="s">
        <v>739</v>
      </c>
      <c r="H1636" s="5" t="s">
        <v>25</v>
      </c>
      <c r="I1636" s="5" t="s">
        <v>27</v>
      </c>
      <c r="J1636" s="5" t="s">
        <v>33</v>
      </c>
      <c r="K1636" s="6">
        <v>0</v>
      </c>
      <c r="L1636" s="7">
        <v>0</v>
      </c>
      <c r="M1636" s="8">
        <v>4.1475</v>
      </c>
      <c r="N1636" s="8">
        <v>8.3333333333333339</v>
      </c>
      <c r="O1636" s="8">
        <v>0</v>
      </c>
      <c r="P1636" s="8">
        <v>0</v>
      </c>
      <c r="Q1636" s="8">
        <v>94.8</v>
      </c>
      <c r="R1636" s="8">
        <v>0</v>
      </c>
      <c r="S1636" s="8">
        <v>0</v>
      </c>
      <c r="T1636" s="5">
        <v>0</v>
      </c>
      <c r="U1636" s="5">
        <v>0</v>
      </c>
      <c r="V1636" s="5">
        <f>VLOOKUP(A1636,Planilha1!B:E,4,0)</f>
        <v>1.4766792698630664</v>
      </c>
    </row>
    <row r="1637" spans="1:22" x14ac:dyDescent="0.3">
      <c r="A1637" t="str">
        <f t="shared" si="50"/>
        <v>LEITE EM PÓITAMBÉ</v>
      </c>
      <c r="B1637" t="str">
        <f t="shared" si="51"/>
        <v>5115690LEITE EM PÓITAMBÉ</v>
      </c>
      <c r="C1637" s="5" t="s">
        <v>226</v>
      </c>
      <c r="D1637" s="5" t="s">
        <v>727</v>
      </c>
      <c r="E1637" s="5" t="s">
        <v>733</v>
      </c>
      <c r="F1637" s="5">
        <v>5115690</v>
      </c>
      <c r="G1637" s="5" t="s">
        <v>740</v>
      </c>
      <c r="H1637" s="5" t="s">
        <v>25</v>
      </c>
      <c r="I1637" s="5" t="s">
        <v>27</v>
      </c>
      <c r="J1637" s="5" t="s">
        <v>84</v>
      </c>
      <c r="K1637" s="6">
        <v>0</v>
      </c>
      <c r="L1637" s="7">
        <v>60</v>
      </c>
      <c r="M1637" s="8">
        <v>0</v>
      </c>
      <c r="N1637" s="8">
        <v>0</v>
      </c>
      <c r="O1637" s="8">
        <v>0</v>
      </c>
      <c r="P1637" s="8">
        <v>0</v>
      </c>
      <c r="Q1637" s="8">
        <v>0</v>
      </c>
      <c r="R1637" s="8">
        <v>0</v>
      </c>
      <c r="S1637" s="8">
        <v>0</v>
      </c>
      <c r="T1637" s="5">
        <v>0</v>
      </c>
      <c r="U1637" s="5">
        <v>0</v>
      </c>
      <c r="V1637" s="5">
        <f>VLOOKUP(A1637,Planilha1!B:E,4,0)</f>
        <v>4.5971522734997743</v>
      </c>
    </row>
    <row r="1638" spans="1:22" x14ac:dyDescent="0.3">
      <c r="A1638" t="str">
        <f t="shared" si="50"/>
        <v>COMPOSTOITAMBÉ</v>
      </c>
      <c r="B1638" t="str">
        <f t="shared" si="51"/>
        <v>5159222COMPOSTOITAMBÉ</v>
      </c>
      <c r="C1638" s="5" t="s">
        <v>226</v>
      </c>
      <c r="D1638" s="5" t="s">
        <v>727</v>
      </c>
      <c r="E1638" s="5" t="s">
        <v>733</v>
      </c>
      <c r="F1638" s="5">
        <v>5159222</v>
      </c>
      <c r="G1638" s="5" t="s">
        <v>743</v>
      </c>
      <c r="H1638" s="5" t="s">
        <v>25</v>
      </c>
      <c r="I1638" s="5" t="s">
        <v>27</v>
      </c>
      <c r="J1638" s="5" t="s">
        <v>26</v>
      </c>
      <c r="K1638" s="6">
        <v>0</v>
      </c>
      <c r="L1638" s="7">
        <v>0</v>
      </c>
      <c r="M1638" s="8">
        <v>3.3333333333333335</v>
      </c>
      <c r="N1638" s="8">
        <v>6.666666666666667</v>
      </c>
      <c r="O1638" s="8">
        <v>0</v>
      </c>
      <c r="P1638" s="8">
        <v>0</v>
      </c>
      <c r="Q1638" s="8">
        <v>0</v>
      </c>
      <c r="R1638" s="8">
        <v>0</v>
      </c>
      <c r="S1638" s="8">
        <v>100</v>
      </c>
      <c r="T1638" s="5">
        <v>100</v>
      </c>
      <c r="U1638" s="5">
        <v>100</v>
      </c>
      <c r="V1638" s="5">
        <f>VLOOKUP(A1638,Planilha1!B:E,4,0)</f>
        <v>0.15618217875936719</v>
      </c>
    </row>
    <row r="1639" spans="1:22" x14ac:dyDescent="0.3">
      <c r="A1639" t="str">
        <f t="shared" si="50"/>
        <v>BLISTERITAMBÉ</v>
      </c>
      <c r="B1639" t="str">
        <f t="shared" si="51"/>
        <v>5159508BLISTERITAMBÉ</v>
      </c>
      <c r="C1639" s="5" t="s">
        <v>226</v>
      </c>
      <c r="D1639" s="5" t="s">
        <v>727</v>
      </c>
      <c r="E1639" s="5" t="s">
        <v>733</v>
      </c>
      <c r="F1639" s="5">
        <v>5159508</v>
      </c>
      <c r="G1639" s="5" t="s">
        <v>744</v>
      </c>
      <c r="H1639" s="5" t="s">
        <v>25</v>
      </c>
      <c r="I1639" s="5" t="s">
        <v>27</v>
      </c>
      <c r="J1639" s="5" t="s">
        <v>199</v>
      </c>
      <c r="K1639" s="6">
        <v>0</v>
      </c>
      <c r="L1639" s="7">
        <v>0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  <c r="S1639" s="8">
        <v>0</v>
      </c>
      <c r="T1639" s="5">
        <v>0</v>
      </c>
      <c r="U1639" s="5">
        <v>0</v>
      </c>
      <c r="V1639" s="5">
        <f>VLOOKUP(A1639,Planilha1!B:E,4,0)</f>
        <v>10.339882680976428</v>
      </c>
    </row>
    <row r="1640" spans="1:22" x14ac:dyDescent="0.3">
      <c r="A1640" t="str">
        <f t="shared" si="50"/>
        <v>LPD 25KGITAMBÉ</v>
      </c>
      <c r="B1640" t="str">
        <f t="shared" si="51"/>
        <v>5159508LPD 25KGITAMBÉ</v>
      </c>
      <c r="C1640" s="5" t="s">
        <v>226</v>
      </c>
      <c r="D1640" s="5" t="s">
        <v>727</v>
      </c>
      <c r="E1640" s="5" t="s">
        <v>733</v>
      </c>
      <c r="F1640" s="5">
        <v>5159508</v>
      </c>
      <c r="G1640" s="5" t="s">
        <v>744</v>
      </c>
      <c r="H1640" s="5" t="s">
        <v>25</v>
      </c>
      <c r="I1640" s="5" t="s">
        <v>27</v>
      </c>
      <c r="J1640" s="5" t="s">
        <v>43</v>
      </c>
      <c r="K1640" s="6">
        <v>0</v>
      </c>
      <c r="L1640" s="7">
        <v>1000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0</v>
      </c>
      <c r="S1640" s="8">
        <v>0</v>
      </c>
      <c r="T1640" s="5">
        <v>0</v>
      </c>
      <c r="U1640" s="5">
        <v>0</v>
      </c>
      <c r="V1640" s="5">
        <f>VLOOKUP(A1640,Planilha1!B:E,4,0)</f>
        <v>3.3372177319587628</v>
      </c>
    </row>
    <row r="1641" spans="1:22" x14ac:dyDescent="0.3">
      <c r="A1641" t="str">
        <f t="shared" si="50"/>
        <v>LPI 25KGITAMBÉ</v>
      </c>
      <c r="B1641" t="str">
        <f t="shared" si="51"/>
        <v>5159508LPI 25KGITAMBÉ</v>
      </c>
      <c r="C1641" s="5" t="s">
        <v>226</v>
      </c>
      <c r="D1641" s="5" t="s">
        <v>727</v>
      </c>
      <c r="E1641" s="5" t="s">
        <v>733</v>
      </c>
      <c r="F1641" s="5">
        <v>5159508</v>
      </c>
      <c r="G1641" s="5" t="s">
        <v>744</v>
      </c>
      <c r="H1641" s="5" t="s">
        <v>25</v>
      </c>
      <c r="I1641" s="5" t="s">
        <v>27</v>
      </c>
      <c r="J1641" s="5" t="s">
        <v>21</v>
      </c>
      <c r="K1641" s="6">
        <v>0</v>
      </c>
      <c r="L1641" s="7">
        <v>0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0</v>
      </c>
      <c r="S1641" s="8">
        <v>0</v>
      </c>
      <c r="T1641" s="5">
        <v>0</v>
      </c>
      <c r="U1641" s="5">
        <v>0</v>
      </c>
      <c r="V1641" s="5">
        <f>VLOOKUP(A1641,Planilha1!B:E,4,0)</f>
        <v>-1.218192805504376</v>
      </c>
    </row>
    <row r="1642" spans="1:22" x14ac:dyDescent="0.3">
      <c r="A1642" t="str">
        <f t="shared" si="50"/>
        <v>CREME UHTITAMBÉ</v>
      </c>
      <c r="B1642" t="str">
        <f t="shared" si="51"/>
        <v>5162493CREME UHTITAMBÉ</v>
      </c>
      <c r="C1642" s="5" t="s">
        <v>226</v>
      </c>
      <c r="D1642" s="5" t="s">
        <v>727</v>
      </c>
      <c r="E1642" s="5" t="s">
        <v>733</v>
      </c>
      <c r="F1642" s="5">
        <v>5162493</v>
      </c>
      <c r="G1642" s="5" t="s">
        <v>1035</v>
      </c>
      <c r="H1642" s="5" t="s">
        <v>25</v>
      </c>
      <c r="I1642" s="5" t="s">
        <v>27</v>
      </c>
      <c r="J1642" s="5" t="s">
        <v>34</v>
      </c>
      <c r="K1642" s="6">
        <v>0</v>
      </c>
      <c r="L1642" s="7">
        <v>183.6</v>
      </c>
      <c r="M1642" s="8">
        <v>0</v>
      </c>
      <c r="N1642" s="8">
        <v>0</v>
      </c>
      <c r="O1642" s="8">
        <v>0</v>
      </c>
      <c r="P1642" s="8">
        <v>0</v>
      </c>
      <c r="Q1642" s="8">
        <v>0</v>
      </c>
      <c r="R1642" s="8">
        <v>0</v>
      </c>
      <c r="S1642" s="8">
        <v>0</v>
      </c>
      <c r="T1642" s="5">
        <v>0</v>
      </c>
      <c r="U1642" s="5">
        <v>0</v>
      </c>
      <c r="V1642" s="5">
        <f>VLOOKUP(A1642,Planilha1!B:E,4,0)</f>
        <v>1.2362540170747773</v>
      </c>
    </row>
    <row r="1643" spans="1:22" x14ac:dyDescent="0.3">
      <c r="A1643" t="str">
        <f t="shared" si="50"/>
        <v>DOCE DE LEITEITAMBÉ</v>
      </c>
      <c r="B1643" t="str">
        <f t="shared" si="51"/>
        <v>5162493DOCE DE LEITEITAMBÉ</v>
      </c>
      <c r="C1643" s="5" t="s">
        <v>226</v>
      </c>
      <c r="D1643" s="5" t="s">
        <v>727</v>
      </c>
      <c r="E1643" s="5" t="s">
        <v>733</v>
      </c>
      <c r="F1643" s="5">
        <v>5162493</v>
      </c>
      <c r="G1643" s="5" t="s">
        <v>1035</v>
      </c>
      <c r="H1643" s="5" t="s">
        <v>25</v>
      </c>
      <c r="I1643" s="5" t="s">
        <v>27</v>
      </c>
      <c r="J1643" s="5" t="s">
        <v>46</v>
      </c>
      <c r="K1643" s="6">
        <v>0</v>
      </c>
      <c r="L1643" s="7">
        <v>475.8</v>
      </c>
      <c r="M1643" s="8">
        <v>0</v>
      </c>
      <c r="N1643" s="8">
        <v>0</v>
      </c>
      <c r="O1643" s="8">
        <v>0</v>
      </c>
      <c r="P1643" s="8">
        <v>0</v>
      </c>
      <c r="Q1643" s="8">
        <v>0</v>
      </c>
      <c r="R1643" s="8">
        <v>0</v>
      </c>
      <c r="S1643" s="8">
        <v>0</v>
      </c>
      <c r="T1643" s="5">
        <v>0</v>
      </c>
      <c r="U1643" s="5">
        <v>0</v>
      </c>
      <c r="V1643" s="5">
        <f>VLOOKUP(A1643,Planilha1!B:E,4,0)</f>
        <v>5.8210743907543439</v>
      </c>
    </row>
    <row r="1644" spans="1:22" x14ac:dyDescent="0.3">
      <c r="A1644" t="str">
        <f t="shared" si="50"/>
        <v>LEITE CONDENSADOITAMBÉ</v>
      </c>
      <c r="B1644" t="str">
        <f t="shared" si="51"/>
        <v>5162493LEITE CONDENSADOITAMBÉ</v>
      </c>
      <c r="C1644" s="5" t="s">
        <v>226</v>
      </c>
      <c r="D1644" s="5" t="s">
        <v>727</v>
      </c>
      <c r="E1644" s="5" t="s">
        <v>733</v>
      </c>
      <c r="F1644" s="5">
        <v>5162493</v>
      </c>
      <c r="G1644" s="5" t="s">
        <v>1035</v>
      </c>
      <c r="H1644" s="5" t="s">
        <v>25</v>
      </c>
      <c r="I1644" s="5" t="s">
        <v>27</v>
      </c>
      <c r="J1644" s="5" t="s">
        <v>33</v>
      </c>
      <c r="K1644" s="6">
        <v>0</v>
      </c>
      <c r="L1644" s="7">
        <v>124.42500000000001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0</v>
      </c>
      <c r="S1644" s="8">
        <v>0</v>
      </c>
      <c r="T1644" s="5">
        <v>0</v>
      </c>
      <c r="U1644" s="5">
        <v>0</v>
      </c>
      <c r="V1644" s="5">
        <f>VLOOKUP(A1644,Planilha1!B:E,4,0)</f>
        <v>1.4766792698630664</v>
      </c>
    </row>
    <row r="1645" spans="1:22" x14ac:dyDescent="0.3">
      <c r="A1645" t="str">
        <f t="shared" si="50"/>
        <v>LEITE EM PÓITAMBÉ</v>
      </c>
      <c r="B1645" t="str">
        <f t="shared" si="51"/>
        <v>5162493LEITE EM PÓITAMBÉ</v>
      </c>
      <c r="C1645" s="5" t="s">
        <v>226</v>
      </c>
      <c r="D1645" s="5" t="s">
        <v>727</v>
      </c>
      <c r="E1645" s="5" t="s">
        <v>733</v>
      </c>
      <c r="F1645" s="5">
        <v>5162493</v>
      </c>
      <c r="G1645" s="5" t="s">
        <v>1035</v>
      </c>
      <c r="H1645" s="5" t="s">
        <v>25</v>
      </c>
      <c r="I1645" s="5" t="s">
        <v>27</v>
      </c>
      <c r="J1645" s="5" t="s">
        <v>84</v>
      </c>
      <c r="K1645" s="6">
        <v>0</v>
      </c>
      <c r="L1645" s="7">
        <v>1133.8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  <c r="R1645" s="8">
        <v>0</v>
      </c>
      <c r="S1645" s="8">
        <v>0</v>
      </c>
      <c r="T1645" s="5">
        <v>0</v>
      </c>
      <c r="U1645" s="5">
        <v>0</v>
      </c>
      <c r="V1645" s="5">
        <f>VLOOKUP(A1645,Planilha1!B:E,4,0)</f>
        <v>4.5971522734997743</v>
      </c>
    </row>
    <row r="1646" spans="1:22" x14ac:dyDescent="0.3">
      <c r="A1646" t="str">
        <f t="shared" si="50"/>
        <v>LEITE UHTITAMBÉ</v>
      </c>
      <c r="B1646" t="str">
        <f t="shared" si="51"/>
        <v>5162493LEITE UHTITAMBÉ</v>
      </c>
      <c r="C1646" s="5" t="s">
        <v>226</v>
      </c>
      <c r="D1646" s="5" t="s">
        <v>727</v>
      </c>
      <c r="E1646" s="5" t="s">
        <v>733</v>
      </c>
      <c r="F1646" s="5">
        <v>5162493</v>
      </c>
      <c r="G1646" s="5" t="s">
        <v>1035</v>
      </c>
      <c r="H1646" s="5" t="s">
        <v>25</v>
      </c>
      <c r="I1646" s="5" t="s">
        <v>27</v>
      </c>
      <c r="J1646" s="5" t="s">
        <v>156</v>
      </c>
      <c r="K1646" s="6">
        <v>0</v>
      </c>
      <c r="L1646" s="7">
        <v>1680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0</v>
      </c>
      <c r="S1646" s="8">
        <v>0</v>
      </c>
      <c r="T1646" s="5">
        <v>0</v>
      </c>
      <c r="U1646" s="5">
        <v>0</v>
      </c>
      <c r="V1646" s="5">
        <f>VLOOKUP(A1646,Planilha1!B:E,4,0)</f>
        <v>-0.14425288609148015</v>
      </c>
    </row>
    <row r="1647" spans="1:22" x14ac:dyDescent="0.3">
      <c r="A1647" t="str">
        <f t="shared" si="50"/>
        <v>QUEIJOSLACTALIS</v>
      </c>
      <c r="B1647" t="str">
        <f t="shared" si="51"/>
        <v>5346184QUEIJOSLACTALIS</v>
      </c>
      <c r="C1647" s="5" t="s">
        <v>226</v>
      </c>
      <c r="D1647" s="5" t="s">
        <v>752</v>
      </c>
      <c r="E1647" s="5" t="s">
        <v>1036</v>
      </c>
      <c r="F1647" s="5">
        <v>5346184</v>
      </c>
      <c r="G1647" s="5" t="s">
        <v>1031</v>
      </c>
      <c r="H1647" s="5" t="s">
        <v>154</v>
      </c>
      <c r="I1647" s="5" t="s">
        <v>22</v>
      </c>
      <c r="J1647" s="5" t="s">
        <v>63</v>
      </c>
      <c r="K1647" s="6">
        <v>0</v>
      </c>
      <c r="L1647" s="7">
        <v>0</v>
      </c>
      <c r="M1647" s="8">
        <v>0</v>
      </c>
      <c r="N1647" s="8">
        <v>0</v>
      </c>
      <c r="O1647" s="8">
        <v>0</v>
      </c>
      <c r="P1647" s="8">
        <v>0</v>
      </c>
      <c r="Q1647" s="8">
        <v>0</v>
      </c>
      <c r="R1647" s="8">
        <v>0</v>
      </c>
      <c r="S1647" s="8">
        <v>0</v>
      </c>
      <c r="T1647" s="5">
        <v>0</v>
      </c>
      <c r="U1647" s="5">
        <v>0</v>
      </c>
      <c r="V1647" s="5">
        <f>VLOOKUP(A1647,Planilha1!B:E,4,0)</f>
        <v>-1.9171310037550682</v>
      </c>
    </row>
    <row r="1648" spans="1:22" x14ac:dyDescent="0.3">
      <c r="A1648" t="str">
        <f t="shared" si="50"/>
        <v>BLISTERITAMBÉ</v>
      </c>
      <c r="B1648" t="str">
        <f t="shared" si="51"/>
        <v>5108984BLISTERITAMBÉ</v>
      </c>
      <c r="C1648" s="5" t="s">
        <v>226</v>
      </c>
      <c r="D1648" s="5" t="s">
        <v>752</v>
      </c>
      <c r="E1648" s="5" t="s">
        <v>767</v>
      </c>
      <c r="F1648" s="5">
        <v>5108984</v>
      </c>
      <c r="G1648" s="5" t="s">
        <v>1037</v>
      </c>
      <c r="H1648" s="5" t="s">
        <v>154</v>
      </c>
      <c r="I1648" s="5" t="s">
        <v>27</v>
      </c>
      <c r="J1648" s="5" t="s">
        <v>199</v>
      </c>
      <c r="K1648" s="6">
        <v>0</v>
      </c>
      <c r="L1648" s="7">
        <v>0</v>
      </c>
      <c r="M1648" s="8">
        <v>0</v>
      </c>
      <c r="N1648" s="8">
        <v>0</v>
      </c>
      <c r="O1648" s="8">
        <v>0</v>
      </c>
      <c r="P1648" s="8">
        <v>0</v>
      </c>
      <c r="Q1648" s="8">
        <v>0</v>
      </c>
      <c r="R1648" s="8">
        <v>0</v>
      </c>
      <c r="S1648" s="8">
        <v>0</v>
      </c>
      <c r="T1648" s="5">
        <v>0</v>
      </c>
      <c r="U1648" s="5">
        <v>0</v>
      </c>
      <c r="V1648" s="5">
        <f>VLOOKUP(A1648,Planilha1!B:E,4,0)</f>
        <v>10.339882680976428</v>
      </c>
    </row>
    <row r="1649" spans="1:22" x14ac:dyDescent="0.3">
      <c r="A1649" t="str">
        <f t="shared" si="50"/>
        <v>IOGURTESITAMBÉ</v>
      </c>
      <c r="B1649" t="str">
        <f t="shared" si="51"/>
        <v>5108984IOGURTESITAMBÉ</v>
      </c>
      <c r="C1649" s="5" t="s">
        <v>226</v>
      </c>
      <c r="D1649" s="5" t="s">
        <v>752</v>
      </c>
      <c r="E1649" s="5" t="s">
        <v>767</v>
      </c>
      <c r="F1649" s="5">
        <v>5108984</v>
      </c>
      <c r="G1649" s="5" t="s">
        <v>1037</v>
      </c>
      <c r="H1649" s="5" t="s">
        <v>154</v>
      </c>
      <c r="I1649" s="5" t="s">
        <v>27</v>
      </c>
      <c r="J1649" s="5" t="s">
        <v>153</v>
      </c>
      <c r="K1649" s="6">
        <v>0</v>
      </c>
      <c r="L1649" s="7">
        <v>0</v>
      </c>
      <c r="M1649" s="8">
        <v>201.86666666666667</v>
      </c>
      <c r="N1649" s="8">
        <v>404</v>
      </c>
      <c r="O1649" s="8">
        <v>0</v>
      </c>
      <c r="P1649" s="8">
        <v>0</v>
      </c>
      <c r="Q1649" s="8">
        <v>1021.1999999999999</v>
      </c>
      <c r="R1649" s="8">
        <v>0</v>
      </c>
      <c r="S1649" s="8">
        <v>0</v>
      </c>
      <c r="T1649" s="5">
        <v>0</v>
      </c>
      <c r="U1649" s="5">
        <v>0</v>
      </c>
      <c r="V1649" s="5">
        <f>VLOOKUP(A1649,Planilha1!B:E,4,0)</f>
        <v>3.2554443184120534</v>
      </c>
    </row>
    <row r="1650" spans="1:22" x14ac:dyDescent="0.3">
      <c r="A1650" t="str">
        <f t="shared" si="50"/>
        <v>MANTEIGA 5KGLACTALIS</v>
      </c>
      <c r="B1650" t="str">
        <f t="shared" si="51"/>
        <v>5108984MANTEIGA 5KGLACTALIS</v>
      </c>
      <c r="C1650" s="5" t="s">
        <v>226</v>
      </c>
      <c r="D1650" s="5" t="s">
        <v>752</v>
      </c>
      <c r="E1650" s="5" t="s">
        <v>767</v>
      </c>
      <c r="F1650" s="5">
        <v>5108984</v>
      </c>
      <c r="G1650" s="5" t="s">
        <v>1037</v>
      </c>
      <c r="H1650" s="5" t="s">
        <v>154</v>
      </c>
      <c r="I1650" s="5" t="s">
        <v>22</v>
      </c>
      <c r="J1650" s="5" t="s">
        <v>60</v>
      </c>
      <c r="K1650" s="6">
        <v>0</v>
      </c>
      <c r="L1650" s="7">
        <v>750</v>
      </c>
      <c r="M1650" s="8">
        <v>252.5</v>
      </c>
      <c r="N1650" s="8">
        <v>505</v>
      </c>
      <c r="O1650" s="8">
        <v>0</v>
      </c>
      <c r="P1650" s="8">
        <v>0</v>
      </c>
      <c r="Q1650" s="8">
        <v>15</v>
      </c>
      <c r="R1650" s="8">
        <v>0</v>
      </c>
      <c r="S1650" s="8">
        <v>0</v>
      </c>
      <c r="T1650" s="5">
        <v>0</v>
      </c>
      <c r="U1650" s="5">
        <v>850</v>
      </c>
      <c r="V1650" s="5">
        <f>VLOOKUP(A1650,Planilha1!B:E,4,0)</f>
        <v>11.476197020267191</v>
      </c>
    </row>
    <row r="1651" spans="1:22" x14ac:dyDescent="0.3">
      <c r="A1651" t="str">
        <f t="shared" si="50"/>
        <v>COMPOSTOITAMBÉ</v>
      </c>
      <c r="B1651" t="str">
        <f t="shared" si="51"/>
        <v>5166159COMPOSTOITAMBÉ</v>
      </c>
      <c r="C1651" s="5" t="s">
        <v>226</v>
      </c>
      <c r="D1651" s="5" t="s">
        <v>752</v>
      </c>
      <c r="E1651" s="5" t="s">
        <v>767</v>
      </c>
      <c r="F1651" s="5">
        <v>5166159</v>
      </c>
      <c r="G1651" s="5" t="s">
        <v>1038</v>
      </c>
      <c r="H1651" s="5" t="s">
        <v>154</v>
      </c>
      <c r="I1651" s="5" t="s">
        <v>27</v>
      </c>
      <c r="J1651" s="5" t="s">
        <v>26</v>
      </c>
      <c r="K1651" s="6">
        <v>0</v>
      </c>
      <c r="L1651" s="7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0</v>
      </c>
      <c r="S1651" s="8">
        <v>0</v>
      </c>
      <c r="T1651" s="5">
        <v>0</v>
      </c>
      <c r="U1651" s="5">
        <v>0</v>
      </c>
      <c r="V1651" s="5">
        <f>VLOOKUP(A1651,Planilha1!B:E,4,0)</f>
        <v>0.15618217875936719</v>
      </c>
    </row>
    <row r="1652" spans="1:22" x14ac:dyDescent="0.3">
      <c r="A1652" t="str">
        <f t="shared" si="50"/>
        <v>DOCE DE LEITEITAMBÉ</v>
      </c>
      <c r="B1652" t="str">
        <f t="shared" si="51"/>
        <v>5166159DOCE DE LEITEITAMBÉ</v>
      </c>
      <c r="C1652" s="5" t="s">
        <v>226</v>
      </c>
      <c r="D1652" s="5" t="s">
        <v>752</v>
      </c>
      <c r="E1652" s="5" t="s">
        <v>767</v>
      </c>
      <c r="F1652" s="5">
        <v>5166159</v>
      </c>
      <c r="G1652" s="5" t="s">
        <v>1038</v>
      </c>
      <c r="H1652" s="5" t="s">
        <v>154</v>
      </c>
      <c r="I1652" s="5" t="s">
        <v>27</v>
      </c>
      <c r="J1652" s="5" t="s">
        <v>46</v>
      </c>
      <c r="K1652" s="6">
        <v>0</v>
      </c>
      <c r="L1652" s="7">
        <v>1036</v>
      </c>
      <c r="M1652" s="8">
        <v>166.66666666666666</v>
      </c>
      <c r="N1652" s="8">
        <v>0</v>
      </c>
      <c r="O1652" s="8">
        <v>0</v>
      </c>
      <c r="P1652" s="8">
        <v>0</v>
      </c>
      <c r="Q1652" s="8">
        <v>0</v>
      </c>
      <c r="R1652" s="8">
        <v>0</v>
      </c>
      <c r="S1652" s="8">
        <v>0</v>
      </c>
      <c r="T1652" s="5">
        <v>0</v>
      </c>
      <c r="U1652" s="5">
        <v>0</v>
      </c>
      <c r="V1652" s="5">
        <f>VLOOKUP(A1652,Planilha1!B:E,4,0)</f>
        <v>5.8210743907543439</v>
      </c>
    </row>
    <row r="1653" spans="1:22" x14ac:dyDescent="0.3">
      <c r="A1653" t="str">
        <f t="shared" si="50"/>
        <v>LEITE CONDENSADOITAMBÉ</v>
      </c>
      <c r="B1653" t="str">
        <f t="shared" si="51"/>
        <v>5166159LEITE CONDENSADOITAMBÉ</v>
      </c>
      <c r="C1653" s="5" t="s">
        <v>226</v>
      </c>
      <c r="D1653" s="5" t="s">
        <v>752</v>
      </c>
      <c r="E1653" s="5" t="s">
        <v>767</v>
      </c>
      <c r="F1653" s="5">
        <v>5166159</v>
      </c>
      <c r="G1653" s="5" t="s">
        <v>1038</v>
      </c>
      <c r="H1653" s="5" t="s">
        <v>154</v>
      </c>
      <c r="I1653" s="5" t="s">
        <v>27</v>
      </c>
      <c r="J1653" s="5" t="s">
        <v>33</v>
      </c>
      <c r="K1653" s="6">
        <v>0</v>
      </c>
      <c r="L1653" s="7">
        <v>2000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0</v>
      </c>
      <c r="S1653" s="8">
        <v>0</v>
      </c>
      <c r="T1653" s="5">
        <v>0</v>
      </c>
      <c r="U1653" s="5">
        <v>0</v>
      </c>
      <c r="V1653" s="5">
        <f>VLOOKUP(A1653,Planilha1!B:E,4,0)</f>
        <v>1.4766792698630664</v>
      </c>
    </row>
    <row r="1654" spans="1:22" x14ac:dyDescent="0.3">
      <c r="A1654" t="str">
        <f t="shared" si="50"/>
        <v>LPD 25KGITAMBÉ</v>
      </c>
      <c r="B1654" t="str">
        <f t="shared" si="51"/>
        <v>5166159LPD 25KGITAMBÉ</v>
      </c>
      <c r="C1654" s="5" t="s">
        <v>226</v>
      </c>
      <c r="D1654" s="5" t="s">
        <v>752</v>
      </c>
      <c r="E1654" s="5" t="s">
        <v>767</v>
      </c>
      <c r="F1654" s="5">
        <v>5166159</v>
      </c>
      <c r="G1654" s="5" t="s">
        <v>1038</v>
      </c>
      <c r="H1654" s="5" t="s">
        <v>154</v>
      </c>
      <c r="I1654" s="5" t="s">
        <v>27</v>
      </c>
      <c r="J1654" s="5" t="s">
        <v>43</v>
      </c>
      <c r="K1654" s="6">
        <v>0</v>
      </c>
      <c r="L1654" s="7">
        <v>0</v>
      </c>
      <c r="M1654" s="8">
        <v>41.666666666666664</v>
      </c>
      <c r="N1654" s="8">
        <v>0</v>
      </c>
      <c r="O1654" s="8">
        <v>0</v>
      </c>
      <c r="P1654" s="8">
        <v>0</v>
      </c>
      <c r="Q1654" s="8">
        <v>0</v>
      </c>
      <c r="R1654" s="8">
        <v>0</v>
      </c>
      <c r="S1654" s="8">
        <v>0</v>
      </c>
      <c r="T1654" s="5">
        <v>0</v>
      </c>
      <c r="U1654" s="5">
        <v>0</v>
      </c>
      <c r="V1654" s="5">
        <f>VLOOKUP(A1654,Planilha1!B:E,4,0)</f>
        <v>3.3372177319587628</v>
      </c>
    </row>
    <row r="1655" spans="1:22" x14ac:dyDescent="0.3">
      <c r="A1655" t="str">
        <f t="shared" si="50"/>
        <v>DOCE DE LEITEITAMBÉ</v>
      </c>
      <c r="B1655" t="str">
        <f t="shared" si="51"/>
        <v>5220627DOCE DE LEITEITAMBÉ</v>
      </c>
      <c r="C1655" s="5" t="s">
        <v>226</v>
      </c>
      <c r="D1655" s="5" t="s">
        <v>752</v>
      </c>
      <c r="E1655" s="5" t="s">
        <v>767</v>
      </c>
      <c r="F1655" s="5">
        <v>5220627</v>
      </c>
      <c r="G1655" s="5" t="s">
        <v>1039</v>
      </c>
      <c r="H1655" s="5" t="s">
        <v>154</v>
      </c>
      <c r="I1655" s="5" t="s">
        <v>27</v>
      </c>
      <c r="J1655" s="5" t="s">
        <v>46</v>
      </c>
      <c r="K1655" s="6">
        <v>0</v>
      </c>
      <c r="L1655" s="7">
        <v>1000</v>
      </c>
      <c r="M1655" s="8">
        <v>150</v>
      </c>
      <c r="N1655" s="8">
        <v>300</v>
      </c>
      <c r="O1655" s="8">
        <v>0</v>
      </c>
      <c r="P1655" s="8">
        <v>0</v>
      </c>
      <c r="Q1655" s="8">
        <v>0</v>
      </c>
      <c r="R1655" s="8">
        <v>0</v>
      </c>
      <c r="S1655" s="8">
        <v>900</v>
      </c>
      <c r="T1655" s="5">
        <v>900</v>
      </c>
      <c r="U1655" s="5">
        <v>1800</v>
      </c>
      <c r="V1655" s="5">
        <f>VLOOKUP(A1655,Planilha1!B:E,4,0)</f>
        <v>5.8210743907543439</v>
      </c>
    </row>
    <row r="1656" spans="1:22" x14ac:dyDescent="0.3">
      <c r="A1656" t="str">
        <f t="shared" si="50"/>
        <v>LEITE CONDENSADOITAMBÉ</v>
      </c>
      <c r="B1656" t="str">
        <f t="shared" si="51"/>
        <v>5220627LEITE CONDENSADOITAMBÉ</v>
      </c>
      <c r="C1656" s="5" t="s">
        <v>226</v>
      </c>
      <c r="D1656" s="5" t="s">
        <v>752</v>
      </c>
      <c r="E1656" s="5" t="s">
        <v>767</v>
      </c>
      <c r="F1656" s="5">
        <v>5220627</v>
      </c>
      <c r="G1656" s="5" t="s">
        <v>1039</v>
      </c>
      <c r="H1656" s="5" t="s">
        <v>154</v>
      </c>
      <c r="I1656" s="5" t="s">
        <v>27</v>
      </c>
      <c r="J1656" s="5" t="s">
        <v>33</v>
      </c>
      <c r="K1656" s="6">
        <v>0</v>
      </c>
      <c r="L1656" s="7">
        <v>2000</v>
      </c>
      <c r="M1656" s="8">
        <v>151.66666666666666</v>
      </c>
      <c r="N1656" s="8">
        <v>303.33333333333331</v>
      </c>
      <c r="O1656" s="8">
        <v>0</v>
      </c>
      <c r="P1656" s="8">
        <v>0</v>
      </c>
      <c r="Q1656" s="8">
        <v>0</v>
      </c>
      <c r="R1656" s="8">
        <v>0</v>
      </c>
      <c r="S1656" s="8">
        <v>910</v>
      </c>
      <c r="T1656" s="5">
        <v>910</v>
      </c>
      <c r="U1656" s="5">
        <v>1820</v>
      </c>
      <c r="V1656" s="5">
        <f>VLOOKUP(A1656,Planilha1!B:E,4,0)</f>
        <v>1.4766792698630664</v>
      </c>
    </row>
    <row r="1657" spans="1:22" x14ac:dyDescent="0.3">
      <c r="A1657" t="str">
        <f t="shared" si="50"/>
        <v>LPI 25KGITAMBÉ</v>
      </c>
      <c r="B1657" t="str">
        <f t="shared" si="51"/>
        <v>5220627LPI 25KGITAMBÉ</v>
      </c>
      <c r="C1657" s="5" t="s">
        <v>226</v>
      </c>
      <c r="D1657" s="5" t="s">
        <v>752</v>
      </c>
      <c r="E1657" s="5" t="s">
        <v>767</v>
      </c>
      <c r="F1657" s="5">
        <v>5220627</v>
      </c>
      <c r="G1657" s="5" t="s">
        <v>1039</v>
      </c>
      <c r="H1657" s="5" t="s">
        <v>154</v>
      </c>
      <c r="I1657" s="5" t="s">
        <v>27</v>
      </c>
      <c r="J1657" s="5" t="s">
        <v>21</v>
      </c>
      <c r="K1657" s="6">
        <v>0</v>
      </c>
      <c r="L1657" s="7">
        <v>0</v>
      </c>
      <c r="M1657" s="8">
        <v>2166.6666666666665</v>
      </c>
      <c r="N1657" s="8">
        <v>0</v>
      </c>
      <c r="O1657" s="8">
        <v>0</v>
      </c>
      <c r="P1657" s="8">
        <v>0</v>
      </c>
      <c r="Q1657" s="8">
        <v>0</v>
      </c>
      <c r="R1657" s="8">
        <v>0</v>
      </c>
      <c r="S1657" s="8">
        <v>0</v>
      </c>
      <c r="T1657" s="5">
        <v>0</v>
      </c>
      <c r="U1657" s="5">
        <v>0</v>
      </c>
      <c r="V1657" s="5">
        <f>VLOOKUP(A1657,Planilha1!B:E,4,0)</f>
        <v>-1.218192805504376</v>
      </c>
    </row>
    <row r="1658" spans="1:22" x14ac:dyDescent="0.3">
      <c r="A1658" t="str">
        <f t="shared" si="50"/>
        <v>CREME UHTITAMBÉ</v>
      </c>
      <c r="B1658" t="str">
        <f t="shared" si="51"/>
        <v>5226531CREME UHTITAMBÉ</v>
      </c>
      <c r="C1658" s="5" t="s">
        <v>226</v>
      </c>
      <c r="D1658" s="5" t="s">
        <v>752</v>
      </c>
      <c r="E1658" s="5" t="s">
        <v>767</v>
      </c>
      <c r="F1658" s="5">
        <v>5226531</v>
      </c>
      <c r="G1658" s="5" t="s">
        <v>770</v>
      </c>
      <c r="H1658" s="5" t="s">
        <v>154</v>
      </c>
      <c r="I1658" s="5" t="s">
        <v>27</v>
      </c>
      <c r="J1658" s="5" t="s">
        <v>34</v>
      </c>
      <c r="K1658" s="6">
        <v>0</v>
      </c>
      <c r="L1658" s="7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0</v>
      </c>
      <c r="S1658" s="8">
        <v>0</v>
      </c>
      <c r="T1658" s="5">
        <v>0</v>
      </c>
      <c r="U1658" s="5">
        <v>0</v>
      </c>
      <c r="V1658" s="5">
        <f>VLOOKUP(A1658,Planilha1!B:E,4,0)</f>
        <v>1.2362540170747773</v>
      </c>
    </row>
    <row r="1659" spans="1:22" x14ac:dyDescent="0.3">
      <c r="A1659" t="str">
        <f t="shared" si="50"/>
        <v>DOCE DE LEITEITAMBÉ</v>
      </c>
      <c r="B1659" t="str">
        <f t="shared" si="51"/>
        <v>5226531DOCE DE LEITEITAMBÉ</v>
      </c>
      <c r="C1659" s="5" t="s">
        <v>226</v>
      </c>
      <c r="D1659" s="5" t="s">
        <v>752</v>
      </c>
      <c r="E1659" s="5" t="s">
        <v>767</v>
      </c>
      <c r="F1659" s="5">
        <v>5226531</v>
      </c>
      <c r="G1659" s="5" t="s">
        <v>770</v>
      </c>
      <c r="H1659" s="5" t="s">
        <v>154</v>
      </c>
      <c r="I1659" s="5" t="s">
        <v>27</v>
      </c>
      <c r="J1659" s="5" t="s">
        <v>46</v>
      </c>
      <c r="K1659" s="6">
        <v>0</v>
      </c>
      <c r="L1659" s="7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0</v>
      </c>
      <c r="S1659" s="8">
        <v>0</v>
      </c>
      <c r="T1659" s="5">
        <v>0</v>
      </c>
      <c r="U1659" s="5">
        <v>0</v>
      </c>
      <c r="V1659" s="5">
        <f>VLOOKUP(A1659,Planilha1!B:E,4,0)</f>
        <v>5.8210743907543439</v>
      </c>
    </row>
    <row r="1660" spans="1:22" x14ac:dyDescent="0.3">
      <c r="A1660" t="str">
        <f t="shared" si="50"/>
        <v>LEITE CONDENSADOITAMBÉ</v>
      </c>
      <c r="B1660" t="str">
        <f t="shared" si="51"/>
        <v>5226531LEITE CONDENSADOITAMBÉ</v>
      </c>
      <c r="C1660" s="5" t="s">
        <v>226</v>
      </c>
      <c r="D1660" s="5" t="s">
        <v>752</v>
      </c>
      <c r="E1660" s="5" t="s">
        <v>767</v>
      </c>
      <c r="F1660" s="5">
        <v>5226531</v>
      </c>
      <c r="G1660" s="5" t="s">
        <v>770</v>
      </c>
      <c r="H1660" s="5" t="s">
        <v>154</v>
      </c>
      <c r="I1660" s="5" t="s">
        <v>27</v>
      </c>
      <c r="J1660" s="5" t="s">
        <v>33</v>
      </c>
      <c r="K1660" s="6">
        <v>0</v>
      </c>
      <c r="L1660" s="7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0</v>
      </c>
      <c r="S1660" s="8">
        <v>0</v>
      </c>
      <c r="T1660" s="5">
        <v>0</v>
      </c>
      <c r="U1660" s="5">
        <v>0</v>
      </c>
      <c r="V1660" s="5">
        <f>VLOOKUP(A1660,Planilha1!B:E,4,0)</f>
        <v>1.4766792698630664</v>
      </c>
    </row>
    <row r="1661" spans="1:22" x14ac:dyDescent="0.3">
      <c r="A1661" t="str">
        <f t="shared" si="50"/>
        <v>BLISTERLACTALIS</v>
      </c>
      <c r="B1661" t="str">
        <f t="shared" si="51"/>
        <v>5275476BLISTERLACTALIS</v>
      </c>
      <c r="C1661" s="5" t="s">
        <v>226</v>
      </c>
      <c r="D1661" s="5" t="s">
        <v>752</v>
      </c>
      <c r="E1661" s="5" t="s">
        <v>767</v>
      </c>
      <c r="F1661" s="5">
        <v>5275476</v>
      </c>
      <c r="G1661" s="5" t="s">
        <v>1040</v>
      </c>
      <c r="H1661" s="5" t="s">
        <v>30</v>
      </c>
      <c r="I1661" s="5" t="s">
        <v>22</v>
      </c>
      <c r="J1661" s="5" t="s">
        <v>199</v>
      </c>
      <c r="K1661" s="6">
        <v>0</v>
      </c>
      <c r="L1661" s="7">
        <v>0</v>
      </c>
      <c r="M1661" s="8">
        <v>27.2</v>
      </c>
      <c r="N1661" s="8">
        <v>54.4</v>
      </c>
      <c r="O1661" s="8">
        <v>0</v>
      </c>
      <c r="P1661" s="8">
        <v>0</v>
      </c>
      <c r="Q1661" s="8">
        <v>0</v>
      </c>
      <c r="R1661" s="8">
        <v>0</v>
      </c>
      <c r="S1661" s="8">
        <v>0</v>
      </c>
      <c r="T1661" s="5">
        <v>0</v>
      </c>
      <c r="U1661" s="5">
        <v>0</v>
      </c>
      <c r="V1661" s="5">
        <f>VLOOKUP(A1661,Planilha1!B:E,4,0)</f>
        <v>13.783871706210666</v>
      </c>
    </row>
    <row r="1662" spans="1:22" x14ac:dyDescent="0.3">
      <c r="A1662" t="str">
        <f t="shared" si="50"/>
        <v>IOGURTESLACTALIS</v>
      </c>
      <c r="B1662" t="str">
        <f t="shared" si="51"/>
        <v>5275476IOGURTESLACTALIS</v>
      </c>
      <c r="C1662" s="5" t="s">
        <v>226</v>
      </c>
      <c r="D1662" s="5" t="s">
        <v>752</v>
      </c>
      <c r="E1662" s="5" t="s">
        <v>767</v>
      </c>
      <c r="F1662" s="5">
        <v>5275476</v>
      </c>
      <c r="G1662" s="5" t="s">
        <v>1040</v>
      </c>
      <c r="H1662" s="5" t="s">
        <v>30</v>
      </c>
      <c r="I1662" s="5" t="s">
        <v>22</v>
      </c>
      <c r="J1662" s="5" t="s">
        <v>153</v>
      </c>
      <c r="K1662" s="6">
        <v>0</v>
      </c>
      <c r="L1662" s="7">
        <v>1168.4000000000001</v>
      </c>
      <c r="M1662" s="8">
        <v>201.73333333333332</v>
      </c>
      <c r="N1662" s="8">
        <v>403.46666666666664</v>
      </c>
      <c r="O1662" s="8">
        <v>0</v>
      </c>
      <c r="P1662" s="8">
        <v>0</v>
      </c>
      <c r="Q1662" s="8">
        <v>0</v>
      </c>
      <c r="R1662" s="8">
        <v>0</v>
      </c>
      <c r="S1662" s="8">
        <v>0</v>
      </c>
      <c r="T1662" s="5">
        <v>0</v>
      </c>
      <c r="U1662" s="5">
        <v>0</v>
      </c>
      <c r="V1662" s="5">
        <f>VLOOKUP(A1662,Planilha1!B:E,4,0)</f>
        <v>3.0503167986984403</v>
      </c>
    </row>
    <row r="1663" spans="1:22" x14ac:dyDescent="0.3">
      <c r="A1663" t="str">
        <f t="shared" si="50"/>
        <v>MANTEIGA 5KGLACTALIS</v>
      </c>
      <c r="B1663" t="str">
        <f t="shared" si="51"/>
        <v>5275476MANTEIGA 5KGLACTALIS</v>
      </c>
      <c r="C1663" s="5" t="s">
        <v>226</v>
      </c>
      <c r="D1663" s="5" t="s">
        <v>752</v>
      </c>
      <c r="E1663" s="5" t="s">
        <v>767</v>
      </c>
      <c r="F1663" s="5">
        <v>5275476</v>
      </c>
      <c r="G1663" s="5" t="s">
        <v>1040</v>
      </c>
      <c r="H1663" s="5" t="s">
        <v>30</v>
      </c>
      <c r="I1663" s="5" t="s">
        <v>22</v>
      </c>
      <c r="J1663" s="5" t="s">
        <v>60</v>
      </c>
      <c r="K1663" s="6">
        <v>0</v>
      </c>
      <c r="L1663" s="7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0</v>
      </c>
      <c r="T1663" s="5">
        <v>0</v>
      </c>
      <c r="U1663" s="5">
        <v>0</v>
      </c>
      <c r="V1663" s="5">
        <f>VLOOKUP(A1663,Planilha1!B:E,4,0)</f>
        <v>11.476197020267191</v>
      </c>
    </row>
    <row r="1664" spans="1:22" x14ac:dyDescent="0.3">
      <c r="A1664" t="str">
        <f t="shared" si="50"/>
        <v>QUEIJOSLACTALIS</v>
      </c>
      <c r="B1664" t="str">
        <f t="shared" si="51"/>
        <v>5275476QUEIJOSLACTALIS</v>
      </c>
      <c r="C1664" s="5" t="s">
        <v>226</v>
      </c>
      <c r="D1664" s="5" t="s">
        <v>752</v>
      </c>
      <c r="E1664" s="5" t="s">
        <v>767</v>
      </c>
      <c r="F1664" s="5">
        <v>5275476</v>
      </c>
      <c r="G1664" s="5" t="s">
        <v>1040</v>
      </c>
      <c r="H1664" s="5" t="s">
        <v>30</v>
      </c>
      <c r="I1664" s="5" t="s">
        <v>22</v>
      </c>
      <c r="J1664" s="5" t="s">
        <v>63</v>
      </c>
      <c r="K1664" s="6">
        <v>0</v>
      </c>
      <c r="L1664" s="7">
        <v>0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  <c r="S1664" s="8">
        <v>0</v>
      </c>
      <c r="T1664" s="5">
        <v>0</v>
      </c>
      <c r="U1664" s="5">
        <v>0</v>
      </c>
      <c r="V1664" s="5">
        <f>VLOOKUP(A1664,Planilha1!B:E,4,0)</f>
        <v>-1.9171310037550682</v>
      </c>
    </row>
    <row r="1665" spans="1:22" x14ac:dyDescent="0.3">
      <c r="A1665" t="str">
        <f t="shared" si="50"/>
        <v>LEITE EM PÓITAMBÉ</v>
      </c>
      <c r="B1665" t="str">
        <f t="shared" si="51"/>
        <v>5313456LEITE EM PÓITAMBÉ</v>
      </c>
      <c r="C1665" s="5" t="s">
        <v>226</v>
      </c>
      <c r="D1665" s="5" t="s">
        <v>752</v>
      </c>
      <c r="E1665" s="5" t="s">
        <v>767</v>
      </c>
      <c r="F1665" s="5">
        <v>5313456</v>
      </c>
      <c r="G1665" s="5" t="s">
        <v>765</v>
      </c>
      <c r="H1665" s="5" t="s">
        <v>154</v>
      </c>
      <c r="I1665" s="5" t="s">
        <v>27</v>
      </c>
      <c r="J1665" s="5" t="s">
        <v>84</v>
      </c>
      <c r="K1665" s="6">
        <v>0</v>
      </c>
      <c r="L1665" s="7">
        <v>40</v>
      </c>
      <c r="M1665" s="8">
        <v>21.666666666666668</v>
      </c>
      <c r="N1665" s="8">
        <v>33.333333333333336</v>
      </c>
      <c r="O1665" s="8">
        <v>0</v>
      </c>
      <c r="P1665" s="8">
        <v>0</v>
      </c>
      <c r="Q1665" s="8">
        <v>0</v>
      </c>
      <c r="R1665" s="8">
        <v>0</v>
      </c>
      <c r="S1665" s="8">
        <v>0</v>
      </c>
      <c r="T1665" s="5">
        <v>0</v>
      </c>
      <c r="U1665" s="5">
        <v>0</v>
      </c>
      <c r="V1665" s="5">
        <f>VLOOKUP(A1665,Planilha1!B:E,4,0)</f>
        <v>4.5971522734997743</v>
      </c>
    </row>
    <row r="1666" spans="1:22" x14ac:dyDescent="0.3">
      <c r="A1666" t="str">
        <f t="shared" ref="A1666:A1729" si="52">J1666&amp;I1666</f>
        <v>MANTEIGA 5KGITAMBÉ</v>
      </c>
      <c r="B1666" t="str">
        <f t="shared" si="51"/>
        <v>5313456MANTEIGA 5KGITAMBÉ</v>
      </c>
      <c r="C1666" s="5" t="s">
        <v>226</v>
      </c>
      <c r="D1666" s="5" t="s">
        <v>752</v>
      </c>
      <c r="E1666" s="5" t="s">
        <v>767</v>
      </c>
      <c r="F1666" s="5">
        <v>5313456</v>
      </c>
      <c r="G1666" s="5" t="s">
        <v>765</v>
      </c>
      <c r="H1666" s="5" t="s">
        <v>154</v>
      </c>
      <c r="I1666" s="5" t="s">
        <v>27</v>
      </c>
      <c r="J1666" s="5" t="s">
        <v>60</v>
      </c>
      <c r="K1666" s="6">
        <v>0</v>
      </c>
      <c r="L1666" s="7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460</v>
      </c>
      <c r="R1666" s="8">
        <v>0</v>
      </c>
      <c r="S1666" s="8">
        <v>0</v>
      </c>
      <c r="T1666" s="5">
        <v>0</v>
      </c>
      <c r="U1666" s="5">
        <v>0</v>
      </c>
      <c r="V1666" s="5">
        <f>VLOOKUP(A1666,Planilha1!B:E,4,0)</f>
        <v>5.819800475298738</v>
      </c>
    </row>
    <row r="1667" spans="1:22" x14ac:dyDescent="0.3">
      <c r="A1667" t="str">
        <f t="shared" si="52"/>
        <v>BLISTERLACTALIS</v>
      </c>
      <c r="B1667" t="str">
        <f t="shared" ref="B1667:B1730" si="53">F1667&amp;J1667&amp;I1667</f>
        <v>5320070BLISTERLACTALIS</v>
      </c>
      <c r="C1667" s="5" t="s">
        <v>226</v>
      </c>
      <c r="D1667" s="5" t="s">
        <v>752</v>
      </c>
      <c r="E1667" s="5" t="s">
        <v>767</v>
      </c>
      <c r="F1667" s="5">
        <v>5320070</v>
      </c>
      <c r="G1667" s="5" t="s">
        <v>1041</v>
      </c>
      <c r="H1667" s="5" t="s">
        <v>154</v>
      </c>
      <c r="I1667" s="5" t="s">
        <v>22</v>
      </c>
      <c r="J1667" s="5" t="s">
        <v>199</v>
      </c>
      <c r="K1667" s="6">
        <v>0</v>
      </c>
      <c r="L1667" s="7">
        <v>2928</v>
      </c>
      <c r="M1667" s="8">
        <v>202.88</v>
      </c>
      <c r="N1667" s="8">
        <v>405.76</v>
      </c>
      <c r="O1667" s="8">
        <v>0</v>
      </c>
      <c r="P1667" s="8">
        <v>0</v>
      </c>
      <c r="Q1667" s="8">
        <v>312.95999999999998</v>
      </c>
      <c r="R1667" s="8">
        <v>0</v>
      </c>
      <c r="S1667" s="8">
        <v>0</v>
      </c>
      <c r="T1667" s="5">
        <v>0</v>
      </c>
      <c r="U1667" s="5">
        <v>81</v>
      </c>
      <c r="V1667" s="5">
        <f>VLOOKUP(A1667,Planilha1!B:E,4,0)</f>
        <v>13.783871706210666</v>
      </c>
    </row>
    <row r="1668" spans="1:22" x14ac:dyDescent="0.3">
      <c r="A1668" t="str">
        <f t="shared" si="52"/>
        <v>IOGURTESLACTALIS</v>
      </c>
      <c r="B1668" t="str">
        <f t="shared" si="53"/>
        <v>5320070IOGURTESLACTALIS</v>
      </c>
      <c r="C1668" s="5" t="s">
        <v>226</v>
      </c>
      <c r="D1668" s="5" t="s">
        <v>752</v>
      </c>
      <c r="E1668" s="5" t="s">
        <v>767</v>
      </c>
      <c r="F1668" s="5">
        <v>5320070</v>
      </c>
      <c r="G1668" s="5" t="s">
        <v>1041</v>
      </c>
      <c r="H1668" s="5" t="s">
        <v>154</v>
      </c>
      <c r="I1668" s="5" t="s">
        <v>22</v>
      </c>
      <c r="J1668" s="5" t="s">
        <v>153</v>
      </c>
      <c r="K1668" s="6">
        <v>0</v>
      </c>
      <c r="L1668" s="7">
        <v>15946.800000000003</v>
      </c>
      <c r="M1668" s="8">
        <v>5624.706666666666</v>
      </c>
      <c r="N1668" s="8">
        <v>10242.24</v>
      </c>
      <c r="O1668" s="8">
        <v>0</v>
      </c>
      <c r="P1668" s="8">
        <v>0</v>
      </c>
      <c r="Q1668" s="8">
        <v>3365.7599999999998</v>
      </c>
      <c r="R1668" s="8">
        <v>0</v>
      </c>
      <c r="S1668" s="8">
        <v>0</v>
      </c>
      <c r="T1668" s="5">
        <v>0</v>
      </c>
      <c r="U1668" s="5">
        <v>0</v>
      </c>
      <c r="V1668" s="5">
        <f>VLOOKUP(A1668,Planilha1!B:E,4,0)</f>
        <v>3.0503167986984403</v>
      </c>
    </row>
    <row r="1669" spans="1:22" x14ac:dyDescent="0.3">
      <c r="A1669" t="str">
        <f t="shared" si="52"/>
        <v>LEITE UHTLACTALIS</v>
      </c>
      <c r="B1669" t="str">
        <f t="shared" si="53"/>
        <v>5320070LEITE UHTLACTALIS</v>
      </c>
      <c r="C1669" s="5" t="s">
        <v>226</v>
      </c>
      <c r="D1669" s="5" t="s">
        <v>752</v>
      </c>
      <c r="E1669" s="5" t="s">
        <v>767</v>
      </c>
      <c r="F1669" s="5">
        <v>5320070</v>
      </c>
      <c r="G1669" s="5" t="s">
        <v>1041</v>
      </c>
      <c r="H1669" s="5" t="s">
        <v>154</v>
      </c>
      <c r="I1669" s="5" t="s">
        <v>22</v>
      </c>
      <c r="J1669" s="5" t="s">
        <v>156</v>
      </c>
      <c r="K1669" s="6">
        <v>0</v>
      </c>
      <c r="L1669" s="7">
        <v>29208</v>
      </c>
      <c r="M1669" s="8">
        <v>8418</v>
      </c>
      <c r="N1669" s="8">
        <v>8156</v>
      </c>
      <c r="O1669" s="8">
        <v>0</v>
      </c>
      <c r="P1669" s="8">
        <v>0</v>
      </c>
      <c r="Q1669" s="8">
        <v>28440</v>
      </c>
      <c r="R1669" s="8">
        <v>0</v>
      </c>
      <c r="S1669" s="8">
        <v>0</v>
      </c>
      <c r="T1669" s="5">
        <v>0</v>
      </c>
      <c r="U1669" s="5">
        <v>0</v>
      </c>
      <c r="V1669" s="5">
        <f>VLOOKUP(A1669,Planilha1!B:E,4,0)</f>
        <v>0.37177548115779385</v>
      </c>
    </row>
    <row r="1670" spans="1:22" x14ac:dyDescent="0.3">
      <c r="A1670" t="str">
        <f t="shared" si="52"/>
        <v>MANTEIGA 5KGLACTALIS</v>
      </c>
      <c r="B1670" t="str">
        <f t="shared" si="53"/>
        <v>5320070MANTEIGA 5KGLACTALIS</v>
      </c>
      <c r="C1670" s="5" t="s">
        <v>226</v>
      </c>
      <c r="D1670" s="5" t="s">
        <v>752</v>
      </c>
      <c r="E1670" s="5" t="s">
        <v>767</v>
      </c>
      <c r="F1670" s="5">
        <v>5320070</v>
      </c>
      <c r="G1670" s="5" t="s">
        <v>1041</v>
      </c>
      <c r="H1670" s="5" t="s">
        <v>154</v>
      </c>
      <c r="I1670" s="5" t="s">
        <v>22</v>
      </c>
      <c r="J1670" s="5" t="s">
        <v>60</v>
      </c>
      <c r="K1670" s="6">
        <v>0</v>
      </c>
      <c r="L1670" s="7">
        <v>2060</v>
      </c>
      <c r="M1670" s="8">
        <v>226.66666666666669</v>
      </c>
      <c r="N1670" s="8">
        <v>453.33333333333331</v>
      </c>
      <c r="O1670" s="8">
        <v>0</v>
      </c>
      <c r="P1670" s="8">
        <v>0</v>
      </c>
      <c r="Q1670" s="8">
        <v>110</v>
      </c>
      <c r="R1670" s="8">
        <v>0</v>
      </c>
      <c r="S1670" s="8">
        <v>0</v>
      </c>
      <c r="T1670" s="5">
        <v>0</v>
      </c>
      <c r="U1670" s="5">
        <v>40</v>
      </c>
      <c r="V1670" s="5">
        <f>VLOOKUP(A1670,Planilha1!B:E,4,0)</f>
        <v>11.476197020267191</v>
      </c>
    </row>
    <row r="1671" spans="1:22" x14ac:dyDescent="0.3">
      <c r="A1671" t="str">
        <f t="shared" si="52"/>
        <v>MERC + AROMLACTALIS</v>
      </c>
      <c r="B1671" t="str">
        <f t="shared" si="53"/>
        <v>5320070MERC + AROMLACTALIS</v>
      </c>
      <c r="C1671" s="5" t="s">
        <v>226</v>
      </c>
      <c r="D1671" s="5" t="s">
        <v>752</v>
      </c>
      <c r="E1671" s="5" t="s">
        <v>767</v>
      </c>
      <c r="F1671" s="5">
        <v>5320070</v>
      </c>
      <c r="G1671" s="5" t="s">
        <v>1041</v>
      </c>
      <c r="H1671" s="5" t="s">
        <v>154</v>
      </c>
      <c r="I1671" s="5" t="s">
        <v>22</v>
      </c>
      <c r="J1671" s="5" t="s">
        <v>230</v>
      </c>
      <c r="K1671" s="6">
        <v>0</v>
      </c>
      <c r="L1671" s="7">
        <v>0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0</v>
      </c>
      <c r="S1671" s="8">
        <v>0</v>
      </c>
      <c r="T1671" s="5">
        <v>0</v>
      </c>
      <c r="U1671" s="5">
        <v>0</v>
      </c>
      <c r="V1671" s="5">
        <f>VLOOKUP(A1671,Planilha1!B:E,4,0)</f>
        <v>0.86907188046232187</v>
      </c>
    </row>
    <row r="1672" spans="1:22" x14ac:dyDescent="0.3">
      <c r="A1672" t="str">
        <f t="shared" si="52"/>
        <v>QUEIJOSLACTALIS</v>
      </c>
      <c r="B1672" t="str">
        <f t="shared" si="53"/>
        <v>5320070QUEIJOSLACTALIS</v>
      </c>
      <c r="C1672" s="5" t="s">
        <v>226</v>
      </c>
      <c r="D1672" s="5" t="s">
        <v>752</v>
      </c>
      <c r="E1672" s="5" t="s">
        <v>767</v>
      </c>
      <c r="F1672" s="5">
        <v>5320070</v>
      </c>
      <c r="G1672" s="5" t="s">
        <v>1041</v>
      </c>
      <c r="H1672" s="5" t="s">
        <v>154</v>
      </c>
      <c r="I1672" s="5" t="s">
        <v>22</v>
      </c>
      <c r="J1672" s="5" t="s">
        <v>63</v>
      </c>
      <c r="K1672" s="6">
        <v>0</v>
      </c>
      <c r="L1672" s="7">
        <v>7112.1970000000001</v>
      </c>
      <c r="M1672" s="8">
        <v>0</v>
      </c>
      <c r="N1672" s="8">
        <v>0</v>
      </c>
      <c r="O1672" s="8">
        <v>0</v>
      </c>
      <c r="P1672" s="8">
        <v>0</v>
      </c>
      <c r="Q1672" s="8">
        <v>0</v>
      </c>
      <c r="R1672" s="8">
        <v>0</v>
      </c>
      <c r="S1672" s="8">
        <v>0</v>
      </c>
      <c r="T1672" s="5">
        <v>0</v>
      </c>
      <c r="U1672" s="5">
        <v>0</v>
      </c>
      <c r="V1672" s="5">
        <f>VLOOKUP(A1672,Planilha1!B:E,4,0)</f>
        <v>-1.9171310037550682</v>
      </c>
    </row>
    <row r="1673" spans="1:22" x14ac:dyDescent="0.3">
      <c r="A1673" t="str">
        <f t="shared" si="52"/>
        <v>MANTEIGA 5KGLACTALIS</v>
      </c>
      <c r="B1673" t="str">
        <f t="shared" si="53"/>
        <v>5017576MANTEIGA 5KGLACTALIS</v>
      </c>
      <c r="C1673" s="5" t="s">
        <v>226</v>
      </c>
      <c r="D1673" s="5" t="s">
        <v>752</v>
      </c>
      <c r="E1673" s="5" t="s">
        <v>774</v>
      </c>
      <c r="F1673" s="5">
        <v>5017576</v>
      </c>
      <c r="G1673" s="5" t="s">
        <v>775</v>
      </c>
      <c r="H1673" s="5" t="s">
        <v>32</v>
      </c>
      <c r="I1673" s="5" t="s">
        <v>22</v>
      </c>
      <c r="J1673" s="5" t="s">
        <v>60</v>
      </c>
      <c r="K1673" s="6">
        <v>0</v>
      </c>
      <c r="L1673" s="7">
        <v>0</v>
      </c>
      <c r="M1673" s="8">
        <v>497.5</v>
      </c>
      <c r="N1673" s="8">
        <v>861.66666666666663</v>
      </c>
      <c r="O1673" s="8">
        <v>0</v>
      </c>
      <c r="P1673" s="8">
        <v>0</v>
      </c>
      <c r="Q1673" s="8">
        <v>1750</v>
      </c>
      <c r="R1673" s="8">
        <v>0</v>
      </c>
      <c r="S1673" s="8">
        <v>500</v>
      </c>
      <c r="T1673" s="5">
        <v>500</v>
      </c>
      <c r="U1673" s="5">
        <v>620</v>
      </c>
      <c r="V1673" s="5">
        <f>VLOOKUP(A1673,Planilha1!B:E,4,0)</f>
        <v>11.476197020267191</v>
      </c>
    </row>
    <row r="1674" spans="1:22" x14ac:dyDescent="0.3">
      <c r="A1674" t="str">
        <f t="shared" si="52"/>
        <v>DOCE DE LEITEITAMBÉ</v>
      </c>
      <c r="B1674" t="str">
        <f t="shared" si="53"/>
        <v>5024011DOCE DE LEITEITAMBÉ</v>
      </c>
      <c r="C1674" s="5" t="s">
        <v>226</v>
      </c>
      <c r="D1674" s="5" t="s">
        <v>752</v>
      </c>
      <c r="E1674" s="5" t="s">
        <v>774</v>
      </c>
      <c r="F1674" s="5">
        <v>5024011</v>
      </c>
      <c r="G1674" s="5" t="s">
        <v>777</v>
      </c>
      <c r="H1674" s="5" t="s">
        <v>32</v>
      </c>
      <c r="I1674" s="5" t="s">
        <v>27</v>
      </c>
      <c r="J1674" s="5" t="s">
        <v>46</v>
      </c>
      <c r="K1674" s="6">
        <v>0</v>
      </c>
      <c r="L1674" s="7">
        <v>43.88</v>
      </c>
      <c r="M1674" s="8">
        <v>13.98</v>
      </c>
      <c r="N1674" s="8">
        <v>27.666666666666668</v>
      </c>
      <c r="O1674" s="8">
        <v>0</v>
      </c>
      <c r="P1674" s="8">
        <v>0</v>
      </c>
      <c r="Q1674" s="8">
        <v>0</v>
      </c>
      <c r="R1674" s="8">
        <v>0</v>
      </c>
      <c r="S1674" s="8">
        <v>24</v>
      </c>
      <c r="T1674" s="5">
        <v>24</v>
      </c>
      <c r="U1674" s="5">
        <v>0</v>
      </c>
      <c r="V1674" s="5">
        <f>VLOOKUP(A1674,Planilha1!B:E,4,0)</f>
        <v>5.8210743907543439</v>
      </c>
    </row>
    <row r="1675" spans="1:22" x14ac:dyDescent="0.3">
      <c r="A1675" t="str">
        <f t="shared" si="52"/>
        <v>CREME UHTITAMBÉ</v>
      </c>
      <c r="B1675" t="str">
        <f t="shared" si="53"/>
        <v>5027506CREME UHTITAMBÉ</v>
      </c>
      <c r="C1675" s="5" t="s">
        <v>226</v>
      </c>
      <c r="D1675" s="5" t="s">
        <v>752</v>
      </c>
      <c r="E1675" s="5" t="s">
        <v>774</v>
      </c>
      <c r="F1675" s="5">
        <v>5027506</v>
      </c>
      <c r="G1675" s="5" t="s">
        <v>1042</v>
      </c>
      <c r="H1675" s="5" t="s">
        <v>32</v>
      </c>
      <c r="I1675" s="5" t="s">
        <v>27</v>
      </c>
      <c r="J1675" s="5" t="s">
        <v>34</v>
      </c>
      <c r="K1675" s="6">
        <v>0</v>
      </c>
      <c r="L1675" s="7">
        <v>242.4</v>
      </c>
      <c r="M1675" s="8">
        <v>0</v>
      </c>
      <c r="N1675" s="8">
        <v>0</v>
      </c>
      <c r="O1675" s="8">
        <v>0</v>
      </c>
      <c r="P1675" s="8">
        <v>0</v>
      </c>
      <c r="Q1675" s="8">
        <v>0</v>
      </c>
      <c r="R1675" s="8">
        <v>0</v>
      </c>
      <c r="S1675" s="8">
        <v>0</v>
      </c>
      <c r="T1675" s="5">
        <v>0</v>
      </c>
      <c r="U1675" s="5">
        <v>0</v>
      </c>
      <c r="V1675" s="5">
        <f>VLOOKUP(A1675,Planilha1!B:E,4,0)</f>
        <v>1.2362540170747773</v>
      </c>
    </row>
    <row r="1676" spans="1:22" x14ac:dyDescent="0.3">
      <c r="A1676" t="str">
        <f t="shared" si="52"/>
        <v>DOCE DE LEITEITAMBÉ</v>
      </c>
      <c r="B1676" t="str">
        <f t="shared" si="53"/>
        <v>5027506DOCE DE LEITEITAMBÉ</v>
      </c>
      <c r="C1676" s="5" t="s">
        <v>226</v>
      </c>
      <c r="D1676" s="5" t="s">
        <v>752</v>
      </c>
      <c r="E1676" s="5" t="s">
        <v>774</v>
      </c>
      <c r="F1676" s="5">
        <v>5027506</v>
      </c>
      <c r="G1676" s="5" t="s">
        <v>1042</v>
      </c>
      <c r="H1676" s="5" t="s">
        <v>32</v>
      </c>
      <c r="I1676" s="5" t="s">
        <v>27</v>
      </c>
      <c r="J1676" s="5" t="s">
        <v>46</v>
      </c>
      <c r="K1676" s="6">
        <v>0</v>
      </c>
      <c r="L1676" s="7">
        <v>100</v>
      </c>
      <c r="M1676" s="8">
        <v>0</v>
      </c>
      <c r="N1676" s="8">
        <v>0</v>
      </c>
      <c r="O1676" s="8">
        <v>0</v>
      </c>
      <c r="P1676" s="8">
        <v>0</v>
      </c>
      <c r="Q1676" s="8">
        <v>0</v>
      </c>
      <c r="R1676" s="8">
        <v>0</v>
      </c>
      <c r="S1676" s="8">
        <v>0</v>
      </c>
      <c r="T1676" s="5">
        <v>0</v>
      </c>
      <c r="U1676" s="5">
        <v>0</v>
      </c>
      <c r="V1676" s="5">
        <f>VLOOKUP(A1676,Planilha1!B:E,4,0)</f>
        <v>5.8210743907543439</v>
      </c>
    </row>
    <row r="1677" spans="1:22" x14ac:dyDescent="0.3">
      <c r="A1677" t="str">
        <f t="shared" si="52"/>
        <v>LEITE EM PÓITAMBÉ</v>
      </c>
      <c r="B1677" t="str">
        <f t="shared" si="53"/>
        <v>5028457LEITE EM PÓITAMBÉ</v>
      </c>
      <c r="C1677" s="5" t="s">
        <v>226</v>
      </c>
      <c r="D1677" s="5" t="s">
        <v>752</v>
      </c>
      <c r="E1677" s="5" t="s">
        <v>774</v>
      </c>
      <c r="F1677" s="5">
        <v>5028457</v>
      </c>
      <c r="G1677" s="5" t="s">
        <v>778</v>
      </c>
      <c r="H1677" s="5" t="s">
        <v>32</v>
      </c>
      <c r="I1677" s="5" t="s">
        <v>27</v>
      </c>
      <c r="J1677" s="5" t="s">
        <v>84</v>
      </c>
      <c r="K1677" s="6">
        <v>0</v>
      </c>
      <c r="L1677" s="7">
        <v>100</v>
      </c>
      <c r="M1677" s="8">
        <v>25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  <c r="S1677" s="8">
        <v>0</v>
      </c>
      <c r="T1677" s="5">
        <v>0</v>
      </c>
      <c r="U1677" s="5">
        <v>0</v>
      </c>
      <c r="V1677" s="5">
        <f>VLOOKUP(A1677,Planilha1!B:E,4,0)</f>
        <v>4.5971522734997743</v>
      </c>
    </row>
    <row r="1678" spans="1:22" x14ac:dyDescent="0.3">
      <c r="A1678" t="str">
        <f t="shared" si="52"/>
        <v>CREME UHTITAMBÉ</v>
      </c>
      <c r="B1678" t="str">
        <f t="shared" si="53"/>
        <v>5032480CREME UHTITAMBÉ</v>
      </c>
      <c r="C1678" s="5" t="s">
        <v>226</v>
      </c>
      <c r="D1678" s="5" t="s">
        <v>752</v>
      </c>
      <c r="E1678" s="5" t="s">
        <v>774</v>
      </c>
      <c r="F1678" s="5">
        <v>5032480</v>
      </c>
      <c r="G1678" s="5" t="s">
        <v>1043</v>
      </c>
      <c r="H1678" s="5" t="s">
        <v>32</v>
      </c>
      <c r="I1678" s="5" t="s">
        <v>27</v>
      </c>
      <c r="J1678" s="5" t="s">
        <v>34</v>
      </c>
      <c r="K1678" s="6">
        <v>0</v>
      </c>
      <c r="L1678" s="7">
        <v>0</v>
      </c>
      <c r="M1678" s="8">
        <v>4.5</v>
      </c>
      <c r="N1678" s="8">
        <v>0</v>
      </c>
      <c r="O1678" s="8">
        <v>0</v>
      </c>
      <c r="P1678" s="8">
        <v>0</v>
      </c>
      <c r="Q1678" s="8">
        <v>0</v>
      </c>
      <c r="R1678" s="8">
        <v>0</v>
      </c>
      <c r="S1678" s="8">
        <v>0</v>
      </c>
      <c r="T1678" s="5">
        <v>0</v>
      </c>
      <c r="U1678" s="5">
        <v>0</v>
      </c>
      <c r="V1678" s="5">
        <f>VLOOKUP(A1678,Planilha1!B:E,4,0)</f>
        <v>1.2362540170747773</v>
      </c>
    </row>
    <row r="1679" spans="1:22" x14ac:dyDescent="0.3">
      <c r="A1679" t="str">
        <f t="shared" si="52"/>
        <v>DOCE DE LEITEITAMBÉ</v>
      </c>
      <c r="B1679" t="str">
        <f t="shared" si="53"/>
        <v>5032480DOCE DE LEITEITAMBÉ</v>
      </c>
      <c r="C1679" s="5" t="s">
        <v>226</v>
      </c>
      <c r="D1679" s="5" t="s">
        <v>752</v>
      </c>
      <c r="E1679" s="5" t="s">
        <v>774</v>
      </c>
      <c r="F1679" s="5">
        <v>5032480</v>
      </c>
      <c r="G1679" s="5" t="s">
        <v>1043</v>
      </c>
      <c r="H1679" s="5" t="s">
        <v>32</v>
      </c>
      <c r="I1679" s="5" t="s">
        <v>27</v>
      </c>
      <c r="J1679" s="5" t="s">
        <v>46</v>
      </c>
      <c r="K1679" s="6">
        <v>0</v>
      </c>
      <c r="L1679" s="7">
        <v>0</v>
      </c>
      <c r="M1679" s="8">
        <v>0</v>
      </c>
      <c r="N1679" s="8">
        <v>0</v>
      </c>
      <c r="O1679" s="8">
        <v>0</v>
      </c>
      <c r="P1679" s="8">
        <v>0</v>
      </c>
      <c r="Q1679" s="8">
        <v>0</v>
      </c>
      <c r="R1679" s="8">
        <v>0</v>
      </c>
      <c r="S1679" s="8">
        <v>0</v>
      </c>
      <c r="T1679" s="5">
        <v>0</v>
      </c>
      <c r="U1679" s="5">
        <v>0</v>
      </c>
      <c r="V1679" s="5">
        <f>VLOOKUP(A1679,Planilha1!B:E,4,0)</f>
        <v>5.8210743907543439</v>
      </c>
    </row>
    <row r="1680" spans="1:22" x14ac:dyDescent="0.3">
      <c r="A1680" t="str">
        <f t="shared" si="52"/>
        <v>LEITE CONDENSADOITAMBÉ</v>
      </c>
      <c r="B1680" t="str">
        <f t="shared" si="53"/>
        <v>5032480LEITE CONDENSADOITAMBÉ</v>
      </c>
      <c r="C1680" s="5" t="s">
        <v>226</v>
      </c>
      <c r="D1680" s="5" t="s">
        <v>752</v>
      </c>
      <c r="E1680" s="5" t="s">
        <v>774</v>
      </c>
      <c r="F1680" s="5">
        <v>5032480</v>
      </c>
      <c r="G1680" s="5" t="s">
        <v>1043</v>
      </c>
      <c r="H1680" s="5" t="s">
        <v>32</v>
      </c>
      <c r="I1680" s="5" t="s">
        <v>27</v>
      </c>
      <c r="J1680" s="5" t="s">
        <v>33</v>
      </c>
      <c r="K1680" s="6">
        <v>0</v>
      </c>
      <c r="L1680" s="7">
        <v>0</v>
      </c>
      <c r="M1680" s="8">
        <v>17.21</v>
      </c>
      <c r="N1680" s="8">
        <v>0</v>
      </c>
      <c r="O1680" s="8">
        <v>0</v>
      </c>
      <c r="P1680" s="8">
        <v>0</v>
      </c>
      <c r="Q1680" s="8">
        <v>0</v>
      </c>
      <c r="R1680" s="8">
        <v>0</v>
      </c>
      <c r="S1680" s="8">
        <v>0</v>
      </c>
      <c r="T1680" s="5">
        <v>0</v>
      </c>
      <c r="U1680" s="5">
        <v>0</v>
      </c>
      <c r="V1680" s="5">
        <f>VLOOKUP(A1680,Planilha1!B:E,4,0)</f>
        <v>1.4766792698630664</v>
      </c>
    </row>
    <row r="1681" spans="1:22" x14ac:dyDescent="0.3">
      <c r="A1681" t="str">
        <f t="shared" si="52"/>
        <v>CREME UHTITAMBÉ</v>
      </c>
      <c r="B1681" t="str">
        <f t="shared" si="53"/>
        <v>5033323CREME UHTITAMBÉ</v>
      </c>
      <c r="C1681" s="5" t="s">
        <v>226</v>
      </c>
      <c r="D1681" s="5" t="s">
        <v>752</v>
      </c>
      <c r="E1681" s="5" t="s">
        <v>774</v>
      </c>
      <c r="F1681" s="5">
        <v>5033323</v>
      </c>
      <c r="G1681" s="5" t="s">
        <v>1044</v>
      </c>
      <c r="H1681" s="5" t="s">
        <v>32</v>
      </c>
      <c r="I1681" s="5" t="s">
        <v>27</v>
      </c>
      <c r="J1681" s="5" t="s">
        <v>34</v>
      </c>
      <c r="K1681" s="6">
        <v>0</v>
      </c>
      <c r="L1681" s="7">
        <v>0</v>
      </c>
      <c r="M1681" s="8">
        <v>14.14</v>
      </c>
      <c r="N1681" s="8">
        <v>8</v>
      </c>
      <c r="O1681" s="8">
        <v>0</v>
      </c>
      <c r="P1681" s="8">
        <v>0</v>
      </c>
      <c r="Q1681" s="8">
        <v>0</v>
      </c>
      <c r="R1681" s="8">
        <v>0</v>
      </c>
      <c r="S1681" s="8">
        <v>0</v>
      </c>
      <c r="T1681" s="5">
        <v>0</v>
      </c>
      <c r="U1681" s="5">
        <v>0</v>
      </c>
      <c r="V1681" s="5">
        <f>VLOOKUP(A1681,Planilha1!B:E,4,0)</f>
        <v>1.2362540170747773</v>
      </c>
    </row>
    <row r="1682" spans="1:22" x14ac:dyDescent="0.3">
      <c r="A1682" t="str">
        <f t="shared" si="52"/>
        <v>LEITE CONDENSADOITAMBÉ</v>
      </c>
      <c r="B1682" t="str">
        <f t="shared" si="53"/>
        <v>5033323LEITE CONDENSADOITAMBÉ</v>
      </c>
      <c r="C1682" s="5" t="s">
        <v>226</v>
      </c>
      <c r="D1682" s="5" t="s">
        <v>752</v>
      </c>
      <c r="E1682" s="5" t="s">
        <v>774</v>
      </c>
      <c r="F1682" s="5">
        <v>5033323</v>
      </c>
      <c r="G1682" s="5" t="s">
        <v>1044</v>
      </c>
      <c r="H1682" s="5" t="s">
        <v>32</v>
      </c>
      <c r="I1682" s="5" t="s">
        <v>27</v>
      </c>
      <c r="J1682" s="5" t="s">
        <v>33</v>
      </c>
      <c r="K1682" s="6">
        <v>0</v>
      </c>
      <c r="L1682" s="7">
        <v>112.12</v>
      </c>
      <c r="M1682" s="8">
        <v>189.49333333333334</v>
      </c>
      <c r="N1682" s="8">
        <v>213.33333333333334</v>
      </c>
      <c r="O1682" s="8">
        <v>0</v>
      </c>
      <c r="P1682" s="8">
        <v>0</v>
      </c>
      <c r="Q1682" s="8">
        <v>112.12</v>
      </c>
      <c r="R1682" s="8">
        <v>0</v>
      </c>
      <c r="S1682" s="8">
        <v>0</v>
      </c>
      <c r="T1682" s="5">
        <v>0</v>
      </c>
      <c r="U1682" s="5">
        <v>24</v>
      </c>
      <c r="V1682" s="5">
        <f>VLOOKUP(A1682,Planilha1!B:E,4,0)</f>
        <v>1.4766792698630664</v>
      </c>
    </row>
    <row r="1683" spans="1:22" x14ac:dyDescent="0.3">
      <c r="A1683" t="str">
        <f t="shared" si="52"/>
        <v>LEITE EM PÓITAMBÉ</v>
      </c>
      <c r="B1683" t="str">
        <f t="shared" si="53"/>
        <v>5033323LEITE EM PÓITAMBÉ</v>
      </c>
      <c r="C1683" s="5" t="s">
        <v>226</v>
      </c>
      <c r="D1683" s="5" t="s">
        <v>752</v>
      </c>
      <c r="E1683" s="5" t="s">
        <v>774</v>
      </c>
      <c r="F1683" s="5">
        <v>5033323</v>
      </c>
      <c r="G1683" s="5" t="s">
        <v>1044</v>
      </c>
      <c r="H1683" s="5" t="s">
        <v>32</v>
      </c>
      <c r="I1683" s="5" t="s">
        <v>27</v>
      </c>
      <c r="J1683" s="5" t="s">
        <v>84</v>
      </c>
      <c r="K1683" s="6">
        <v>0</v>
      </c>
      <c r="L1683" s="7">
        <v>500</v>
      </c>
      <c r="M1683" s="8">
        <v>71.666666666666671</v>
      </c>
      <c r="N1683" s="8">
        <v>73.333333333333329</v>
      </c>
      <c r="O1683" s="8">
        <v>0</v>
      </c>
      <c r="P1683" s="8">
        <v>0</v>
      </c>
      <c r="Q1683" s="8">
        <v>0</v>
      </c>
      <c r="R1683" s="8">
        <v>0</v>
      </c>
      <c r="S1683" s="8">
        <v>0</v>
      </c>
      <c r="T1683" s="5">
        <v>0</v>
      </c>
      <c r="U1683" s="5">
        <v>0</v>
      </c>
      <c r="V1683" s="5">
        <f>VLOOKUP(A1683,Planilha1!B:E,4,0)</f>
        <v>4.5971522734997743</v>
      </c>
    </row>
    <row r="1684" spans="1:22" x14ac:dyDescent="0.3">
      <c r="A1684" t="str">
        <f t="shared" si="52"/>
        <v>DOCE DE LEITEITAMBÉ</v>
      </c>
      <c r="B1684" t="str">
        <f t="shared" si="53"/>
        <v>5168173DOCE DE LEITEITAMBÉ</v>
      </c>
      <c r="C1684" s="5" t="s">
        <v>226</v>
      </c>
      <c r="D1684" s="5" t="s">
        <v>752</v>
      </c>
      <c r="E1684" s="5" t="s">
        <v>774</v>
      </c>
      <c r="F1684" s="5">
        <v>5168173</v>
      </c>
      <c r="G1684" s="5" t="s">
        <v>1045</v>
      </c>
      <c r="H1684" s="5" t="s">
        <v>32</v>
      </c>
      <c r="I1684" s="5" t="s">
        <v>27</v>
      </c>
      <c r="J1684" s="5" t="s">
        <v>46</v>
      </c>
      <c r="K1684" s="6">
        <v>0</v>
      </c>
      <c r="L1684" s="7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  <c r="S1684" s="8">
        <v>0</v>
      </c>
      <c r="T1684" s="5">
        <v>0</v>
      </c>
      <c r="U1684" s="5">
        <v>0</v>
      </c>
      <c r="V1684" s="5">
        <f>VLOOKUP(A1684,Planilha1!B:E,4,0)</f>
        <v>5.8210743907543439</v>
      </c>
    </row>
    <row r="1685" spans="1:22" x14ac:dyDescent="0.3">
      <c r="A1685" t="str">
        <f t="shared" si="52"/>
        <v>LEITE CONDENSADOITAMBÉ</v>
      </c>
      <c r="B1685" t="str">
        <f t="shared" si="53"/>
        <v>5168173LEITE CONDENSADOITAMBÉ</v>
      </c>
      <c r="C1685" s="5" t="s">
        <v>226</v>
      </c>
      <c r="D1685" s="5" t="s">
        <v>752</v>
      </c>
      <c r="E1685" s="5" t="s">
        <v>774</v>
      </c>
      <c r="F1685" s="5">
        <v>5168173</v>
      </c>
      <c r="G1685" s="5" t="s">
        <v>1045</v>
      </c>
      <c r="H1685" s="5" t="s">
        <v>32</v>
      </c>
      <c r="I1685" s="5" t="s">
        <v>27</v>
      </c>
      <c r="J1685" s="5" t="s">
        <v>33</v>
      </c>
      <c r="K1685" s="6">
        <v>0</v>
      </c>
      <c r="L1685" s="7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  <c r="S1685" s="8">
        <v>0</v>
      </c>
      <c r="T1685" s="5">
        <v>0</v>
      </c>
      <c r="U1685" s="5">
        <v>0</v>
      </c>
      <c r="V1685" s="5">
        <f>VLOOKUP(A1685,Planilha1!B:E,4,0)</f>
        <v>1.4766792698630664</v>
      </c>
    </row>
    <row r="1686" spans="1:22" x14ac:dyDescent="0.3">
      <c r="A1686" t="str">
        <f t="shared" si="52"/>
        <v>LEITE CONDENSADOITAMBÉ</v>
      </c>
      <c r="B1686" t="str">
        <f t="shared" si="53"/>
        <v>5175205LEITE CONDENSADOITAMBÉ</v>
      </c>
      <c r="C1686" s="5" t="s">
        <v>226</v>
      </c>
      <c r="D1686" s="5" t="s">
        <v>752</v>
      </c>
      <c r="E1686" s="5" t="s">
        <v>774</v>
      </c>
      <c r="F1686" s="5">
        <v>5175205</v>
      </c>
      <c r="G1686" s="5" t="s">
        <v>786</v>
      </c>
      <c r="H1686" s="5" t="s">
        <v>32</v>
      </c>
      <c r="I1686" s="5" t="s">
        <v>27</v>
      </c>
      <c r="J1686" s="5" t="s">
        <v>33</v>
      </c>
      <c r="K1686" s="6">
        <v>0</v>
      </c>
      <c r="L1686" s="7">
        <v>200</v>
      </c>
      <c r="M1686" s="8">
        <v>50</v>
      </c>
      <c r="N1686" s="8">
        <v>100</v>
      </c>
      <c r="O1686" s="8">
        <v>0</v>
      </c>
      <c r="P1686" s="8">
        <v>0</v>
      </c>
      <c r="Q1686" s="8">
        <v>0</v>
      </c>
      <c r="R1686" s="8">
        <v>0</v>
      </c>
      <c r="S1686" s="8">
        <v>0</v>
      </c>
      <c r="T1686" s="5">
        <v>0</v>
      </c>
      <c r="U1686" s="5">
        <v>0</v>
      </c>
      <c r="V1686" s="5">
        <f>VLOOKUP(A1686,Planilha1!B:E,4,0)</f>
        <v>1.4766792698630664</v>
      </c>
    </row>
    <row r="1687" spans="1:22" x14ac:dyDescent="0.3">
      <c r="A1687" t="str">
        <f t="shared" si="52"/>
        <v>DOCE DE LEITEITAMBÉ</v>
      </c>
      <c r="B1687" t="str">
        <f t="shared" si="53"/>
        <v>5181104DOCE DE LEITEITAMBÉ</v>
      </c>
      <c r="C1687" s="5" t="s">
        <v>226</v>
      </c>
      <c r="D1687" s="5" t="s">
        <v>752</v>
      </c>
      <c r="E1687" s="5" t="s">
        <v>774</v>
      </c>
      <c r="F1687" s="5">
        <v>5181104</v>
      </c>
      <c r="G1687" s="5" t="s">
        <v>1046</v>
      </c>
      <c r="H1687" s="5" t="s">
        <v>32</v>
      </c>
      <c r="I1687" s="5" t="s">
        <v>27</v>
      </c>
      <c r="J1687" s="5" t="s">
        <v>46</v>
      </c>
      <c r="K1687" s="6">
        <v>0</v>
      </c>
      <c r="L1687" s="7">
        <v>500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  <c r="S1687" s="8">
        <v>0</v>
      </c>
      <c r="T1687" s="5">
        <v>0</v>
      </c>
      <c r="U1687" s="5">
        <v>0</v>
      </c>
      <c r="V1687" s="5">
        <f>VLOOKUP(A1687,Planilha1!B:E,4,0)</f>
        <v>5.8210743907543439</v>
      </c>
    </row>
    <row r="1688" spans="1:22" x14ac:dyDescent="0.3">
      <c r="A1688" t="str">
        <f t="shared" si="52"/>
        <v>SPREADSITAMBÉ</v>
      </c>
      <c r="B1688" t="str">
        <f t="shared" si="53"/>
        <v>5181104SPREADSITAMBÉ</v>
      </c>
      <c r="C1688" s="5" t="s">
        <v>226</v>
      </c>
      <c r="D1688" s="5" t="s">
        <v>752</v>
      </c>
      <c r="E1688" s="5" t="s">
        <v>774</v>
      </c>
      <c r="F1688" s="5">
        <v>5181104</v>
      </c>
      <c r="G1688" s="5" t="s">
        <v>1046</v>
      </c>
      <c r="H1688" s="5" t="s">
        <v>32</v>
      </c>
      <c r="I1688" s="5" t="s">
        <v>27</v>
      </c>
      <c r="J1688" s="5" t="s">
        <v>945</v>
      </c>
      <c r="K1688" s="6">
        <v>0</v>
      </c>
      <c r="L1688" s="7">
        <v>90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0</v>
      </c>
      <c r="S1688" s="8">
        <v>0</v>
      </c>
      <c r="T1688" s="5">
        <v>0</v>
      </c>
      <c r="U1688" s="5">
        <v>0</v>
      </c>
      <c r="V1688" s="5">
        <f>VLOOKUP(A1688,Planilha1!B:E,4,0)</f>
        <v>9.2962610783648607</v>
      </c>
    </row>
    <row r="1689" spans="1:22" x14ac:dyDescent="0.3">
      <c r="A1689" t="str">
        <f t="shared" si="52"/>
        <v>LEITE CONDENSADOITAMBÉ</v>
      </c>
      <c r="B1689" t="str">
        <f t="shared" si="53"/>
        <v>5194018LEITE CONDENSADOITAMBÉ</v>
      </c>
      <c r="C1689" s="5" t="s">
        <v>226</v>
      </c>
      <c r="D1689" s="5" t="s">
        <v>752</v>
      </c>
      <c r="E1689" s="5" t="s">
        <v>774</v>
      </c>
      <c r="F1689" s="5">
        <v>5194018</v>
      </c>
      <c r="G1689" s="5" t="s">
        <v>789</v>
      </c>
      <c r="H1689" s="5" t="s">
        <v>32</v>
      </c>
      <c r="I1689" s="5" t="s">
        <v>27</v>
      </c>
      <c r="J1689" s="5" t="s">
        <v>33</v>
      </c>
      <c r="K1689" s="6">
        <v>0</v>
      </c>
      <c r="L1689" s="7">
        <v>242.4</v>
      </c>
      <c r="M1689" s="8">
        <v>0</v>
      </c>
      <c r="N1689" s="8">
        <v>0</v>
      </c>
      <c r="O1689" s="8">
        <v>0</v>
      </c>
      <c r="P1689" s="8">
        <v>0</v>
      </c>
      <c r="Q1689" s="8">
        <v>0</v>
      </c>
      <c r="R1689" s="8">
        <v>0</v>
      </c>
      <c r="S1689" s="8">
        <v>0</v>
      </c>
      <c r="T1689" s="5">
        <v>0</v>
      </c>
      <c r="U1689" s="5">
        <v>61</v>
      </c>
      <c r="V1689" s="5">
        <f>VLOOKUP(A1689,Planilha1!B:E,4,0)</f>
        <v>1.4766792698630664</v>
      </c>
    </row>
    <row r="1690" spans="1:22" x14ac:dyDescent="0.3">
      <c r="A1690" t="str">
        <f t="shared" si="52"/>
        <v>DOCE DE LEITEITAMBÉ</v>
      </c>
      <c r="B1690" t="str">
        <f t="shared" si="53"/>
        <v>5210615DOCE DE LEITEITAMBÉ</v>
      </c>
      <c r="C1690" s="5" t="s">
        <v>226</v>
      </c>
      <c r="D1690" s="5" t="s">
        <v>752</v>
      </c>
      <c r="E1690" s="5" t="s">
        <v>774</v>
      </c>
      <c r="F1690" s="5">
        <v>5210615</v>
      </c>
      <c r="G1690" s="5" t="s">
        <v>1047</v>
      </c>
      <c r="H1690" s="5" t="s">
        <v>32</v>
      </c>
      <c r="I1690" s="5" t="s">
        <v>27</v>
      </c>
      <c r="J1690" s="5" t="s">
        <v>46</v>
      </c>
      <c r="K1690" s="6">
        <v>0</v>
      </c>
      <c r="L1690" s="7">
        <v>0</v>
      </c>
      <c r="M1690" s="8">
        <v>12</v>
      </c>
      <c r="N1690" s="8">
        <v>24</v>
      </c>
      <c r="O1690" s="8">
        <v>0</v>
      </c>
      <c r="P1690" s="8">
        <v>0</v>
      </c>
      <c r="Q1690" s="8">
        <v>0</v>
      </c>
      <c r="R1690" s="8">
        <v>0</v>
      </c>
      <c r="S1690" s="8">
        <v>0</v>
      </c>
      <c r="T1690" s="5">
        <v>0</v>
      </c>
      <c r="U1690" s="5">
        <v>0</v>
      </c>
      <c r="V1690" s="5">
        <f>VLOOKUP(A1690,Planilha1!B:E,4,0)</f>
        <v>5.8210743907543439</v>
      </c>
    </row>
    <row r="1691" spans="1:22" x14ac:dyDescent="0.3">
      <c r="A1691" t="str">
        <f t="shared" si="52"/>
        <v>LEITE EM PÓITAMBÉ</v>
      </c>
      <c r="B1691" t="str">
        <f t="shared" si="53"/>
        <v>5210615LEITE EM PÓITAMBÉ</v>
      </c>
      <c r="C1691" s="5" t="s">
        <v>226</v>
      </c>
      <c r="D1691" s="5" t="s">
        <v>752</v>
      </c>
      <c r="E1691" s="5" t="s">
        <v>774</v>
      </c>
      <c r="F1691" s="5">
        <v>5210615</v>
      </c>
      <c r="G1691" s="5" t="s">
        <v>1047</v>
      </c>
      <c r="H1691" s="5" t="s">
        <v>32</v>
      </c>
      <c r="I1691" s="5" t="s">
        <v>27</v>
      </c>
      <c r="J1691" s="5" t="s">
        <v>84</v>
      </c>
      <c r="K1691" s="6">
        <v>0</v>
      </c>
      <c r="L1691" s="7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0</v>
      </c>
      <c r="S1691" s="8">
        <v>0</v>
      </c>
      <c r="T1691" s="5">
        <v>0</v>
      </c>
      <c r="U1691" s="5">
        <v>0</v>
      </c>
      <c r="V1691" s="5">
        <f>VLOOKUP(A1691,Planilha1!B:E,4,0)</f>
        <v>4.5971522734997743</v>
      </c>
    </row>
    <row r="1692" spans="1:22" x14ac:dyDescent="0.3">
      <c r="A1692" t="str">
        <f t="shared" si="52"/>
        <v>LEITE CONDENSADOITAMBÉ</v>
      </c>
      <c r="B1692" t="str">
        <f t="shared" si="53"/>
        <v>5228955LEITE CONDENSADOITAMBÉ</v>
      </c>
      <c r="C1692" s="5" t="s">
        <v>226</v>
      </c>
      <c r="D1692" s="5" t="s">
        <v>752</v>
      </c>
      <c r="E1692" s="5" t="s">
        <v>774</v>
      </c>
      <c r="F1692" s="5">
        <v>5228955</v>
      </c>
      <c r="G1692" s="5" t="s">
        <v>1048</v>
      </c>
      <c r="H1692" s="5" t="s">
        <v>32</v>
      </c>
      <c r="I1692" s="5" t="s">
        <v>27</v>
      </c>
      <c r="J1692" s="5" t="s">
        <v>33</v>
      </c>
      <c r="K1692" s="6">
        <v>0</v>
      </c>
      <c r="L1692" s="7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0</v>
      </c>
      <c r="S1692" s="8">
        <v>0</v>
      </c>
      <c r="T1692" s="5">
        <v>0</v>
      </c>
      <c r="U1692" s="5">
        <v>0</v>
      </c>
      <c r="V1692" s="5">
        <f>VLOOKUP(A1692,Planilha1!B:E,4,0)</f>
        <v>1.4766792698630664</v>
      </c>
    </row>
    <row r="1693" spans="1:22" x14ac:dyDescent="0.3">
      <c r="A1693" t="str">
        <f t="shared" si="52"/>
        <v>COMPOSTOITAMBÉ</v>
      </c>
      <c r="B1693" t="str">
        <f t="shared" si="53"/>
        <v>5141420COMPOSTOITAMBÉ</v>
      </c>
      <c r="C1693" s="5" t="s">
        <v>226</v>
      </c>
      <c r="D1693" s="5" t="s">
        <v>797</v>
      </c>
      <c r="E1693" s="5" t="s">
        <v>753</v>
      </c>
      <c r="F1693" s="5">
        <v>5141420</v>
      </c>
      <c r="G1693" s="5" t="s">
        <v>800</v>
      </c>
      <c r="H1693" s="5" t="s">
        <v>801</v>
      </c>
      <c r="I1693" s="5" t="s">
        <v>27</v>
      </c>
      <c r="J1693" s="5" t="s">
        <v>26</v>
      </c>
      <c r="K1693" s="6">
        <v>0</v>
      </c>
      <c r="L1693" s="7">
        <v>1700</v>
      </c>
      <c r="M1693" s="8">
        <v>116.66666666666667</v>
      </c>
      <c r="N1693" s="8">
        <v>233.33333333333334</v>
      </c>
      <c r="O1693" s="8">
        <v>0</v>
      </c>
      <c r="P1693" s="8">
        <v>0</v>
      </c>
      <c r="Q1693" s="8">
        <v>0</v>
      </c>
      <c r="R1693" s="8">
        <v>0</v>
      </c>
      <c r="S1693" s="8">
        <v>350</v>
      </c>
      <c r="T1693" s="5">
        <v>0</v>
      </c>
      <c r="U1693" s="5">
        <v>0</v>
      </c>
      <c r="V1693" s="5">
        <f>VLOOKUP(A1693,Planilha1!B:E,4,0)</f>
        <v>0.15618217875936719</v>
      </c>
    </row>
    <row r="1694" spans="1:22" x14ac:dyDescent="0.3">
      <c r="A1694" t="str">
        <f t="shared" si="52"/>
        <v>LEITE EM PÓITAMBÉ</v>
      </c>
      <c r="B1694" t="str">
        <f t="shared" si="53"/>
        <v>5141420LEITE EM PÓITAMBÉ</v>
      </c>
      <c r="C1694" s="5" t="s">
        <v>226</v>
      </c>
      <c r="D1694" s="5" t="s">
        <v>797</v>
      </c>
      <c r="E1694" s="5" t="s">
        <v>753</v>
      </c>
      <c r="F1694" s="5">
        <v>5141420</v>
      </c>
      <c r="G1694" s="5" t="s">
        <v>800</v>
      </c>
      <c r="H1694" s="5" t="s">
        <v>801</v>
      </c>
      <c r="I1694" s="5" t="s">
        <v>27</v>
      </c>
      <c r="J1694" s="5" t="s">
        <v>84</v>
      </c>
      <c r="K1694" s="6">
        <v>0</v>
      </c>
      <c r="L1694" s="7">
        <v>0</v>
      </c>
      <c r="M1694" s="8">
        <v>316.66666666666669</v>
      </c>
      <c r="N1694" s="8">
        <v>466.66666666666669</v>
      </c>
      <c r="O1694" s="8">
        <v>0</v>
      </c>
      <c r="P1694" s="8">
        <v>0</v>
      </c>
      <c r="Q1694" s="8">
        <v>0</v>
      </c>
      <c r="R1694" s="8">
        <v>0</v>
      </c>
      <c r="S1694" s="8">
        <v>0</v>
      </c>
      <c r="T1694" s="5">
        <v>0</v>
      </c>
      <c r="U1694" s="5">
        <v>0</v>
      </c>
      <c r="V1694" s="5">
        <f>VLOOKUP(A1694,Planilha1!B:E,4,0)</f>
        <v>4.5971522734997743</v>
      </c>
    </row>
    <row r="1695" spans="1:22" x14ac:dyDescent="0.3">
      <c r="A1695" t="str">
        <f t="shared" si="52"/>
        <v>MANTEIGA 5KGITAMBÉ</v>
      </c>
      <c r="B1695" t="str">
        <f t="shared" si="53"/>
        <v>5141420MANTEIGA 5KGITAMBÉ</v>
      </c>
      <c r="C1695" s="5" t="s">
        <v>226</v>
      </c>
      <c r="D1695" s="5" t="s">
        <v>797</v>
      </c>
      <c r="E1695" s="5" t="s">
        <v>753</v>
      </c>
      <c r="F1695" s="5">
        <v>5141420</v>
      </c>
      <c r="G1695" s="5" t="s">
        <v>800</v>
      </c>
      <c r="H1695" s="5" t="s">
        <v>801</v>
      </c>
      <c r="I1695" s="5" t="s">
        <v>27</v>
      </c>
      <c r="J1695" s="5" t="s">
        <v>60</v>
      </c>
      <c r="K1695" s="6">
        <v>0</v>
      </c>
      <c r="L1695" s="7">
        <v>250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0</v>
      </c>
      <c r="S1695" s="8">
        <v>0</v>
      </c>
      <c r="T1695" s="5">
        <v>0</v>
      </c>
      <c r="U1695" s="5">
        <v>0</v>
      </c>
      <c r="V1695" s="5">
        <f>VLOOKUP(A1695,Planilha1!B:E,4,0)</f>
        <v>5.819800475298738</v>
      </c>
    </row>
    <row r="1696" spans="1:22" x14ac:dyDescent="0.3">
      <c r="A1696" t="str">
        <f t="shared" si="52"/>
        <v>COMPOSTOITAMBÉ</v>
      </c>
      <c r="B1696" t="str">
        <f t="shared" si="53"/>
        <v>5167678COMPOSTOITAMBÉ</v>
      </c>
      <c r="C1696" s="5" t="s">
        <v>226</v>
      </c>
      <c r="D1696" s="5" t="s">
        <v>797</v>
      </c>
      <c r="E1696" s="5" t="s">
        <v>753</v>
      </c>
      <c r="F1696" s="5">
        <v>5167678</v>
      </c>
      <c r="G1696" s="5" t="s">
        <v>1049</v>
      </c>
      <c r="H1696" s="5" t="s">
        <v>20</v>
      </c>
      <c r="I1696" s="5" t="s">
        <v>27</v>
      </c>
      <c r="J1696" s="5" t="s">
        <v>26</v>
      </c>
      <c r="K1696" s="6">
        <v>0</v>
      </c>
      <c r="L1696" s="7">
        <v>0</v>
      </c>
      <c r="M1696" s="8">
        <v>30</v>
      </c>
      <c r="N1696" s="8">
        <v>26.666666666666668</v>
      </c>
      <c r="O1696" s="8">
        <v>0</v>
      </c>
      <c r="P1696" s="8">
        <v>0</v>
      </c>
      <c r="Q1696" s="8">
        <v>0</v>
      </c>
      <c r="R1696" s="8">
        <v>0</v>
      </c>
      <c r="S1696" s="8">
        <v>0</v>
      </c>
      <c r="T1696" s="5">
        <v>0</v>
      </c>
      <c r="U1696" s="5">
        <v>0</v>
      </c>
      <c r="V1696" s="5">
        <f>VLOOKUP(A1696,Planilha1!B:E,4,0)</f>
        <v>0.15618217875936719</v>
      </c>
    </row>
    <row r="1697" spans="1:22" x14ac:dyDescent="0.3">
      <c r="A1697" t="str">
        <f t="shared" si="52"/>
        <v>MANTEIGA 5KGITAMBÉ</v>
      </c>
      <c r="B1697" t="str">
        <f t="shared" si="53"/>
        <v>5167678MANTEIGA 5KGITAMBÉ</v>
      </c>
      <c r="C1697" s="5" t="s">
        <v>226</v>
      </c>
      <c r="D1697" s="5" t="s">
        <v>797</v>
      </c>
      <c r="E1697" s="5" t="s">
        <v>753</v>
      </c>
      <c r="F1697" s="5">
        <v>5167678</v>
      </c>
      <c r="G1697" s="5" t="s">
        <v>1049</v>
      </c>
      <c r="H1697" s="5" t="s">
        <v>20</v>
      </c>
      <c r="I1697" s="5" t="s">
        <v>27</v>
      </c>
      <c r="J1697" s="5" t="s">
        <v>60</v>
      </c>
      <c r="K1697" s="6">
        <v>0</v>
      </c>
      <c r="L1697" s="7">
        <v>250</v>
      </c>
      <c r="M1697" s="8">
        <v>57.5</v>
      </c>
      <c r="N1697" s="8">
        <v>115</v>
      </c>
      <c r="O1697" s="8">
        <v>0</v>
      </c>
      <c r="P1697" s="8">
        <v>0</v>
      </c>
      <c r="Q1697" s="8">
        <v>0</v>
      </c>
      <c r="R1697" s="8">
        <v>0</v>
      </c>
      <c r="S1697" s="8">
        <v>150</v>
      </c>
      <c r="T1697" s="5">
        <v>150</v>
      </c>
      <c r="U1697" s="5">
        <v>150</v>
      </c>
      <c r="V1697" s="5">
        <f>VLOOKUP(A1697,Planilha1!B:E,4,0)</f>
        <v>5.819800475298738</v>
      </c>
    </row>
    <row r="1698" spans="1:22" x14ac:dyDescent="0.3">
      <c r="A1698" t="str">
        <f t="shared" si="52"/>
        <v>LPI 25KGITAMBÉ</v>
      </c>
      <c r="B1698" t="str">
        <f t="shared" si="53"/>
        <v>5190715LPI 25KGITAMBÉ</v>
      </c>
      <c r="C1698" s="5" t="s">
        <v>226</v>
      </c>
      <c r="D1698" s="5" t="s">
        <v>797</v>
      </c>
      <c r="E1698" s="5" t="s">
        <v>753</v>
      </c>
      <c r="F1698" s="5">
        <v>5190715</v>
      </c>
      <c r="G1698" s="5" t="s">
        <v>1050</v>
      </c>
      <c r="H1698" s="5" t="s">
        <v>20</v>
      </c>
      <c r="I1698" s="5" t="s">
        <v>27</v>
      </c>
      <c r="J1698" s="5" t="s">
        <v>21</v>
      </c>
      <c r="K1698" s="6">
        <v>0</v>
      </c>
      <c r="L1698" s="7">
        <v>0</v>
      </c>
      <c r="M1698" s="8">
        <v>0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  <c r="S1698" s="8">
        <v>0</v>
      </c>
      <c r="T1698" s="5">
        <v>0</v>
      </c>
      <c r="U1698" s="5">
        <v>0</v>
      </c>
      <c r="V1698" s="5">
        <f>VLOOKUP(A1698,Planilha1!B:E,4,0)</f>
        <v>-1.218192805504376</v>
      </c>
    </row>
    <row r="1699" spans="1:22" x14ac:dyDescent="0.3">
      <c r="A1699" t="str">
        <f t="shared" si="52"/>
        <v>CREME UHTITAMBÉ</v>
      </c>
      <c r="B1699" t="str">
        <f t="shared" si="53"/>
        <v>5172996CREME UHTITAMBÉ</v>
      </c>
      <c r="C1699" s="5" t="s">
        <v>226</v>
      </c>
      <c r="D1699" s="5" t="s">
        <v>797</v>
      </c>
      <c r="E1699" s="5" t="s">
        <v>812</v>
      </c>
      <c r="F1699" s="5">
        <v>5172996</v>
      </c>
      <c r="G1699" s="5" t="s">
        <v>1051</v>
      </c>
      <c r="H1699" s="5" t="s">
        <v>814</v>
      </c>
      <c r="I1699" s="5" t="s">
        <v>27</v>
      </c>
      <c r="J1699" s="5" t="s">
        <v>34</v>
      </c>
      <c r="K1699" s="6">
        <v>0</v>
      </c>
      <c r="L1699" s="7">
        <v>0</v>
      </c>
      <c r="M1699" s="8">
        <v>0</v>
      </c>
      <c r="N1699" s="8">
        <v>0</v>
      </c>
      <c r="O1699" s="8">
        <v>0</v>
      </c>
      <c r="P1699" s="8">
        <v>0</v>
      </c>
      <c r="Q1699" s="8">
        <v>0</v>
      </c>
      <c r="R1699" s="8">
        <v>0</v>
      </c>
      <c r="S1699" s="8">
        <v>0</v>
      </c>
      <c r="T1699" s="5">
        <v>0</v>
      </c>
      <c r="U1699" s="5">
        <v>0</v>
      </c>
      <c r="V1699" s="5">
        <f>VLOOKUP(A1699,Planilha1!B:E,4,0)</f>
        <v>1.2362540170747773</v>
      </c>
    </row>
    <row r="1700" spans="1:22" x14ac:dyDescent="0.3">
      <c r="A1700" t="str">
        <f t="shared" si="52"/>
        <v>DOCE DE LEITEITAMBÉ</v>
      </c>
      <c r="B1700" t="str">
        <f t="shared" si="53"/>
        <v>5172996DOCE DE LEITEITAMBÉ</v>
      </c>
      <c r="C1700" s="5" t="s">
        <v>226</v>
      </c>
      <c r="D1700" s="5" t="s">
        <v>797</v>
      </c>
      <c r="E1700" s="5" t="s">
        <v>812</v>
      </c>
      <c r="F1700" s="5">
        <v>5172996</v>
      </c>
      <c r="G1700" s="5" t="s">
        <v>1051</v>
      </c>
      <c r="H1700" s="5" t="s">
        <v>814</v>
      </c>
      <c r="I1700" s="5" t="s">
        <v>27</v>
      </c>
      <c r="J1700" s="5" t="s">
        <v>46</v>
      </c>
      <c r="K1700" s="6">
        <v>0</v>
      </c>
      <c r="L1700" s="7">
        <v>0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0</v>
      </c>
      <c r="S1700" s="8">
        <v>0</v>
      </c>
      <c r="T1700" s="5">
        <v>0</v>
      </c>
      <c r="U1700" s="5">
        <v>0</v>
      </c>
      <c r="V1700" s="5">
        <f>VLOOKUP(A1700,Planilha1!B:E,4,0)</f>
        <v>5.8210743907543439</v>
      </c>
    </row>
    <row r="1701" spans="1:22" x14ac:dyDescent="0.3">
      <c r="A1701" t="str">
        <f t="shared" si="52"/>
        <v>LEITE CONDENSADOITAMBÉ</v>
      </c>
      <c r="B1701" t="str">
        <f t="shared" si="53"/>
        <v>5172996LEITE CONDENSADOITAMBÉ</v>
      </c>
      <c r="C1701" s="5" t="s">
        <v>226</v>
      </c>
      <c r="D1701" s="5" t="s">
        <v>797</v>
      </c>
      <c r="E1701" s="5" t="s">
        <v>812</v>
      </c>
      <c r="F1701" s="5">
        <v>5172996</v>
      </c>
      <c r="G1701" s="5" t="s">
        <v>1051</v>
      </c>
      <c r="H1701" s="5" t="s">
        <v>814</v>
      </c>
      <c r="I1701" s="5" t="s">
        <v>27</v>
      </c>
      <c r="J1701" s="5" t="s">
        <v>33</v>
      </c>
      <c r="K1701" s="6">
        <v>0</v>
      </c>
      <c r="L1701" s="7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0</v>
      </c>
      <c r="S1701" s="8">
        <v>0</v>
      </c>
      <c r="T1701" s="5">
        <v>0</v>
      </c>
      <c r="U1701" s="5">
        <v>0</v>
      </c>
      <c r="V1701" s="5">
        <f>VLOOKUP(A1701,Planilha1!B:E,4,0)</f>
        <v>1.4766792698630664</v>
      </c>
    </row>
    <row r="1702" spans="1:22" x14ac:dyDescent="0.3">
      <c r="A1702" t="str">
        <f t="shared" si="52"/>
        <v>LEITE UHTITAMBÉ</v>
      </c>
      <c r="B1702" t="str">
        <f t="shared" si="53"/>
        <v>5172996LEITE UHTITAMBÉ</v>
      </c>
      <c r="C1702" s="5" t="s">
        <v>226</v>
      </c>
      <c r="D1702" s="5" t="s">
        <v>797</v>
      </c>
      <c r="E1702" s="5" t="s">
        <v>812</v>
      </c>
      <c r="F1702" s="5">
        <v>5172996</v>
      </c>
      <c r="G1702" s="5" t="s">
        <v>1051</v>
      </c>
      <c r="H1702" s="5" t="s">
        <v>814</v>
      </c>
      <c r="I1702" s="5" t="s">
        <v>27</v>
      </c>
      <c r="J1702" s="5" t="s">
        <v>156</v>
      </c>
      <c r="K1702" s="6">
        <v>0</v>
      </c>
      <c r="L1702" s="7">
        <v>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0</v>
      </c>
      <c r="S1702" s="8">
        <v>0</v>
      </c>
      <c r="T1702" s="5">
        <v>0</v>
      </c>
      <c r="U1702" s="5">
        <v>0</v>
      </c>
      <c r="V1702" s="5">
        <f>VLOOKUP(A1702,Planilha1!B:E,4,0)</f>
        <v>-0.14425288609148015</v>
      </c>
    </row>
    <row r="1703" spans="1:22" x14ac:dyDescent="0.3">
      <c r="A1703" t="str">
        <f t="shared" si="52"/>
        <v>DOCE DE LEITEITAMBÉ</v>
      </c>
      <c r="B1703" t="str">
        <f t="shared" si="53"/>
        <v>5034427DOCE DE LEITEITAMBÉ</v>
      </c>
      <c r="C1703" s="5" t="s">
        <v>226</v>
      </c>
      <c r="D1703" s="5" t="s">
        <v>797</v>
      </c>
      <c r="E1703" s="5" t="s">
        <v>1052</v>
      </c>
      <c r="F1703" s="5">
        <v>5034427</v>
      </c>
      <c r="G1703" s="5" t="s">
        <v>1053</v>
      </c>
      <c r="H1703" s="5" t="s">
        <v>20</v>
      </c>
      <c r="I1703" s="5" t="s">
        <v>27</v>
      </c>
      <c r="J1703" s="5" t="s">
        <v>46</v>
      </c>
      <c r="K1703" s="6">
        <v>0</v>
      </c>
      <c r="L1703" s="7">
        <v>0</v>
      </c>
      <c r="M1703" s="8">
        <v>19.713333333333335</v>
      </c>
      <c r="N1703" s="8">
        <v>39.333333333333336</v>
      </c>
      <c r="O1703" s="8">
        <v>0</v>
      </c>
      <c r="P1703" s="8">
        <v>0</v>
      </c>
      <c r="Q1703" s="8">
        <v>0</v>
      </c>
      <c r="R1703" s="8">
        <v>0</v>
      </c>
      <c r="S1703" s="8">
        <v>0</v>
      </c>
      <c r="T1703" s="5">
        <v>0</v>
      </c>
      <c r="U1703" s="5">
        <v>0</v>
      </c>
      <c r="V1703" s="5">
        <f>VLOOKUP(A1703,Planilha1!B:E,4,0)</f>
        <v>5.8210743907543439</v>
      </c>
    </row>
    <row r="1704" spans="1:22" x14ac:dyDescent="0.3">
      <c r="A1704" t="str">
        <f t="shared" si="52"/>
        <v>LEITE EM PÓITAMBÉ</v>
      </c>
      <c r="B1704" t="str">
        <f t="shared" si="53"/>
        <v>5034427LEITE EM PÓITAMBÉ</v>
      </c>
      <c r="C1704" s="5" t="s">
        <v>226</v>
      </c>
      <c r="D1704" s="5" t="s">
        <v>797</v>
      </c>
      <c r="E1704" s="5" t="s">
        <v>1052</v>
      </c>
      <c r="F1704" s="5">
        <v>5034427</v>
      </c>
      <c r="G1704" s="5" t="s">
        <v>1053</v>
      </c>
      <c r="H1704" s="5" t="s">
        <v>20</v>
      </c>
      <c r="I1704" s="5" t="s">
        <v>27</v>
      </c>
      <c r="J1704" s="5" t="s">
        <v>84</v>
      </c>
      <c r="K1704" s="6">
        <v>0</v>
      </c>
      <c r="L1704" s="7">
        <v>0</v>
      </c>
      <c r="M1704" s="8">
        <v>10</v>
      </c>
      <c r="N1704" s="8">
        <v>20</v>
      </c>
      <c r="O1704" s="8">
        <v>0</v>
      </c>
      <c r="P1704" s="8">
        <v>0</v>
      </c>
      <c r="Q1704" s="8">
        <v>0</v>
      </c>
      <c r="R1704" s="8">
        <v>0</v>
      </c>
      <c r="S1704" s="8">
        <v>0</v>
      </c>
      <c r="T1704" s="5">
        <v>0</v>
      </c>
      <c r="U1704" s="5">
        <v>0</v>
      </c>
      <c r="V1704" s="5">
        <f>VLOOKUP(A1704,Planilha1!B:E,4,0)</f>
        <v>4.5971522734997743</v>
      </c>
    </row>
    <row r="1705" spans="1:22" x14ac:dyDescent="0.3">
      <c r="A1705" t="str">
        <f t="shared" si="52"/>
        <v>CREME UHTITAMBÉ</v>
      </c>
      <c r="B1705" t="str">
        <f t="shared" si="53"/>
        <v>5214670CREME UHTITAMBÉ</v>
      </c>
      <c r="C1705" s="5" t="s">
        <v>226</v>
      </c>
      <c r="D1705" s="5" t="s">
        <v>797</v>
      </c>
      <c r="E1705" s="5" t="s">
        <v>1052</v>
      </c>
      <c r="F1705" s="5">
        <v>5214670</v>
      </c>
      <c r="G1705" s="5" t="s">
        <v>807</v>
      </c>
      <c r="H1705" s="5" t="s">
        <v>110</v>
      </c>
      <c r="I1705" s="5" t="s">
        <v>27</v>
      </c>
      <c r="J1705" s="5" t="s">
        <v>34</v>
      </c>
      <c r="K1705" s="6">
        <v>0</v>
      </c>
      <c r="L1705" s="7">
        <v>606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0</v>
      </c>
      <c r="S1705" s="8">
        <v>0</v>
      </c>
      <c r="T1705" s="5">
        <v>0</v>
      </c>
      <c r="U1705" s="5">
        <v>0</v>
      </c>
      <c r="V1705" s="5">
        <f>VLOOKUP(A1705,Planilha1!B:E,4,0)</f>
        <v>1.2362540170747773</v>
      </c>
    </row>
    <row r="1706" spans="1:22" x14ac:dyDescent="0.3">
      <c r="A1706" t="str">
        <f t="shared" si="52"/>
        <v>LEITE CONDENSADOITAMBÉ</v>
      </c>
      <c r="B1706" t="str">
        <f t="shared" si="53"/>
        <v>5214670LEITE CONDENSADOITAMBÉ</v>
      </c>
      <c r="C1706" s="5" t="s">
        <v>226</v>
      </c>
      <c r="D1706" s="5" t="s">
        <v>797</v>
      </c>
      <c r="E1706" s="5" t="s">
        <v>1052</v>
      </c>
      <c r="F1706" s="5">
        <v>5214670</v>
      </c>
      <c r="G1706" s="5" t="s">
        <v>807</v>
      </c>
      <c r="H1706" s="5" t="s">
        <v>110</v>
      </c>
      <c r="I1706" s="5" t="s">
        <v>27</v>
      </c>
      <c r="J1706" s="5" t="s">
        <v>33</v>
      </c>
      <c r="K1706" s="6">
        <v>0</v>
      </c>
      <c r="L1706" s="7">
        <v>0</v>
      </c>
      <c r="M1706" s="8">
        <v>0</v>
      </c>
      <c r="N1706" s="8">
        <v>0</v>
      </c>
      <c r="O1706" s="8">
        <v>0</v>
      </c>
      <c r="P1706" s="8">
        <v>0</v>
      </c>
      <c r="Q1706" s="8">
        <v>0</v>
      </c>
      <c r="R1706" s="8">
        <v>0</v>
      </c>
      <c r="S1706" s="8">
        <v>0</v>
      </c>
      <c r="T1706" s="5">
        <v>0</v>
      </c>
      <c r="U1706" s="5">
        <v>0</v>
      </c>
      <c r="V1706" s="5">
        <f>VLOOKUP(A1706,Planilha1!B:E,4,0)</f>
        <v>1.4766792698630664</v>
      </c>
    </row>
    <row r="1707" spans="1:22" x14ac:dyDescent="0.3">
      <c r="A1707" t="str">
        <f t="shared" si="52"/>
        <v>COMPOSTOITAMBÉ</v>
      </c>
      <c r="B1707" t="str">
        <f t="shared" si="53"/>
        <v>5345457COMPOSTOITAMBÉ</v>
      </c>
      <c r="C1707" s="5" t="s">
        <v>226</v>
      </c>
      <c r="D1707" s="5" t="s">
        <v>797</v>
      </c>
      <c r="E1707" s="5" t="s">
        <v>1052</v>
      </c>
      <c r="F1707" s="5">
        <v>5345457</v>
      </c>
      <c r="G1707" s="5" t="s">
        <v>1054</v>
      </c>
      <c r="H1707" s="5" t="s">
        <v>110</v>
      </c>
      <c r="I1707" s="5" t="s">
        <v>27</v>
      </c>
      <c r="J1707" s="5" t="s">
        <v>26</v>
      </c>
      <c r="K1707" s="6">
        <v>0</v>
      </c>
      <c r="L1707" s="7">
        <v>0</v>
      </c>
      <c r="M1707" s="8">
        <v>0</v>
      </c>
      <c r="N1707" s="8">
        <v>0</v>
      </c>
      <c r="O1707" s="8">
        <v>0</v>
      </c>
      <c r="P1707" s="8">
        <v>0</v>
      </c>
      <c r="Q1707" s="8">
        <v>0</v>
      </c>
      <c r="R1707" s="8">
        <v>0</v>
      </c>
      <c r="S1707" s="8">
        <v>0</v>
      </c>
      <c r="T1707" s="5">
        <v>0</v>
      </c>
      <c r="U1707" s="5">
        <v>0</v>
      </c>
      <c r="V1707" s="5">
        <f>VLOOKUP(A1707,Planilha1!B:E,4,0)</f>
        <v>0.15618217875936719</v>
      </c>
    </row>
    <row r="1708" spans="1:22" x14ac:dyDescent="0.3">
      <c r="A1708" t="str">
        <f t="shared" si="52"/>
        <v>BLISTERITAMBÉ</v>
      </c>
      <c r="B1708" t="str">
        <f t="shared" si="53"/>
        <v>5020855BLISTERITAMBÉ</v>
      </c>
      <c r="C1708" s="5" t="s">
        <v>226</v>
      </c>
      <c r="D1708" s="5" t="s">
        <v>833</v>
      </c>
      <c r="E1708" s="5" t="s">
        <v>753</v>
      </c>
      <c r="F1708" s="5">
        <v>5020855</v>
      </c>
      <c r="G1708" s="5" t="s">
        <v>1055</v>
      </c>
      <c r="H1708" s="5" t="s">
        <v>101</v>
      </c>
      <c r="I1708" s="5" t="s">
        <v>27</v>
      </c>
      <c r="J1708" s="5" t="s">
        <v>199</v>
      </c>
      <c r="K1708" s="6">
        <v>0</v>
      </c>
      <c r="L1708" s="7">
        <v>0</v>
      </c>
      <c r="M1708" s="8">
        <v>0</v>
      </c>
      <c r="N1708" s="8">
        <v>0</v>
      </c>
      <c r="O1708" s="8">
        <v>0</v>
      </c>
      <c r="P1708" s="8">
        <v>0</v>
      </c>
      <c r="Q1708" s="8">
        <v>0</v>
      </c>
      <c r="R1708" s="8">
        <v>0</v>
      </c>
      <c r="S1708" s="8">
        <v>0</v>
      </c>
      <c r="T1708" s="5">
        <v>0</v>
      </c>
      <c r="U1708" s="5">
        <v>0</v>
      </c>
      <c r="V1708" s="5">
        <f>VLOOKUP(A1708,Planilha1!B:E,4,0)</f>
        <v>10.339882680976428</v>
      </c>
    </row>
    <row r="1709" spans="1:22" x14ac:dyDescent="0.3">
      <c r="A1709" t="str">
        <f t="shared" si="52"/>
        <v>COMPOSTOITAMBÉ</v>
      </c>
      <c r="B1709" t="str">
        <f t="shared" si="53"/>
        <v>5020855COMPOSTOITAMBÉ</v>
      </c>
      <c r="C1709" s="5" t="s">
        <v>226</v>
      </c>
      <c r="D1709" s="5" t="s">
        <v>833</v>
      </c>
      <c r="E1709" s="5" t="s">
        <v>753</v>
      </c>
      <c r="F1709" s="5">
        <v>5020855</v>
      </c>
      <c r="G1709" s="5" t="s">
        <v>1055</v>
      </c>
      <c r="H1709" s="5" t="s">
        <v>101</v>
      </c>
      <c r="I1709" s="5" t="s">
        <v>27</v>
      </c>
      <c r="J1709" s="5" t="s">
        <v>26</v>
      </c>
      <c r="K1709" s="6">
        <v>0</v>
      </c>
      <c r="L1709" s="7">
        <v>0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  <c r="S1709" s="8">
        <v>0</v>
      </c>
      <c r="T1709" s="5">
        <v>0</v>
      </c>
      <c r="U1709" s="5">
        <v>0</v>
      </c>
      <c r="V1709" s="5">
        <f>VLOOKUP(A1709,Planilha1!B:E,4,0)</f>
        <v>0.15618217875936719</v>
      </c>
    </row>
    <row r="1710" spans="1:22" x14ac:dyDescent="0.3">
      <c r="A1710" t="str">
        <f t="shared" si="52"/>
        <v>CREME UHTITAMBÉ</v>
      </c>
      <c r="B1710" t="str">
        <f t="shared" si="53"/>
        <v>5020855CREME UHTITAMBÉ</v>
      </c>
      <c r="C1710" s="5" t="s">
        <v>226</v>
      </c>
      <c r="D1710" s="5" t="s">
        <v>833</v>
      </c>
      <c r="E1710" s="5" t="s">
        <v>753</v>
      </c>
      <c r="F1710" s="5">
        <v>5020855</v>
      </c>
      <c r="G1710" s="5" t="s">
        <v>1055</v>
      </c>
      <c r="H1710" s="5" t="s">
        <v>101</v>
      </c>
      <c r="I1710" s="5" t="s">
        <v>27</v>
      </c>
      <c r="J1710" s="5" t="s">
        <v>34</v>
      </c>
      <c r="K1710" s="6">
        <v>0</v>
      </c>
      <c r="L1710" s="7">
        <v>0</v>
      </c>
      <c r="M1710" s="8">
        <v>0</v>
      </c>
      <c r="N1710" s="8">
        <v>0</v>
      </c>
      <c r="O1710" s="8">
        <v>0</v>
      </c>
      <c r="P1710" s="8">
        <v>0</v>
      </c>
      <c r="Q1710" s="8">
        <v>0</v>
      </c>
      <c r="R1710" s="8">
        <v>0</v>
      </c>
      <c r="S1710" s="8">
        <v>0</v>
      </c>
      <c r="T1710" s="5">
        <v>0</v>
      </c>
      <c r="U1710" s="5">
        <v>0</v>
      </c>
      <c r="V1710" s="5">
        <f>VLOOKUP(A1710,Planilha1!B:E,4,0)</f>
        <v>1.2362540170747773</v>
      </c>
    </row>
    <row r="1711" spans="1:22" x14ac:dyDescent="0.3">
      <c r="A1711" t="str">
        <f t="shared" si="52"/>
        <v>DOCE DE LEITEITAMBÉ</v>
      </c>
      <c r="B1711" t="str">
        <f t="shared" si="53"/>
        <v>5020855DOCE DE LEITEITAMBÉ</v>
      </c>
      <c r="C1711" s="5" t="s">
        <v>226</v>
      </c>
      <c r="D1711" s="5" t="s">
        <v>833</v>
      </c>
      <c r="E1711" s="5" t="s">
        <v>753</v>
      </c>
      <c r="F1711" s="5">
        <v>5020855</v>
      </c>
      <c r="G1711" s="5" t="s">
        <v>1055</v>
      </c>
      <c r="H1711" s="5" t="s">
        <v>101</v>
      </c>
      <c r="I1711" s="5" t="s">
        <v>27</v>
      </c>
      <c r="J1711" s="5" t="s">
        <v>46</v>
      </c>
      <c r="K1711" s="6">
        <v>0</v>
      </c>
      <c r="L1711" s="7">
        <v>0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0</v>
      </c>
      <c r="S1711" s="8">
        <v>0</v>
      </c>
      <c r="T1711" s="5">
        <v>0</v>
      </c>
      <c r="U1711" s="5">
        <v>0</v>
      </c>
      <c r="V1711" s="5">
        <f>VLOOKUP(A1711,Planilha1!B:E,4,0)</f>
        <v>5.8210743907543439</v>
      </c>
    </row>
    <row r="1712" spans="1:22" x14ac:dyDescent="0.3">
      <c r="A1712" t="str">
        <f t="shared" si="52"/>
        <v>LEITE CONDENSADOITAMBÉ</v>
      </c>
      <c r="B1712" t="str">
        <f t="shared" si="53"/>
        <v>5020855LEITE CONDENSADOITAMBÉ</v>
      </c>
      <c r="C1712" s="5" t="s">
        <v>226</v>
      </c>
      <c r="D1712" s="5" t="s">
        <v>833</v>
      </c>
      <c r="E1712" s="5" t="s">
        <v>753</v>
      </c>
      <c r="F1712" s="5">
        <v>5020855</v>
      </c>
      <c r="G1712" s="5" t="s">
        <v>1055</v>
      </c>
      <c r="H1712" s="5" t="s">
        <v>101</v>
      </c>
      <c r="I1712" s="5" t="s">
        <v>27</v>
      </c>
      <c r="J1712" s="5" t="s">
        <v>33</v>
      </c>
      <c r="K1712" s="6">
        <v>0</v>
      </c>
      <c r="L1712" s="7">
        <v>-80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0</v>
      </c>
      <c r="S1712" s="8">
        <v>0</v>
      </c>
      <c r="T1712" s="5">
        <v>0</v>
      </c>
      <c r="U1712" s="5">
        <v>0</v>
      </c>
      <c r="V1712" s="5">
        <f>VLOOKUP(A1712,Planilha1!B:E,4,0)</f>
        <v>1.4766792698630664</v>
      </c>
    </row>
    <row r="1713" spans="1:22" x14ac:dyDescent="0.3">
      <c r="A1713" t="str">
        <f t="shared" si="52"/>
        <v>LEITE EM PÓITAMBÉ</v>
      </c>
      <c r="B1713" t="str">
        <f t="shared" si="53"/>
        <v>5020855LEITE EM PÓITAMBÉ</v>
      </c>
      <c r="C1713" s="5" t="s">
        <v>226</v>
      </c>
      <c r="D1713" s="5" t="s">
        <v>833</v>
      </c>
      <c r="E1713" s="5" t="s">
        <v>753</v>
      </c>
      <c r="F1713" s="5">
        <v>5020855</v>
      </c>
      <c r="G1713" s="5" t="s">
        <v>1055</v>
      </c>
      <c r="H1713" s="5" t="s">
        <v>101</v>
      </c>
      <c r="I1713" s="5" t="s">
        <v>27</v>
      </c>
      <c r="J1713" s="5" t="s">
        <v>84</v>
      </c>
      <c r="K1713" s="6">
        <v>0</v>
      </c>
      <c r="L1713" s="7">
        <v>0</v>
      </c>
      <c r="M1713" s="8">
        <v>0</v>
      </c>
      <c r="N1713" s="8">
        <v>0</v>
      </c>
      <c r="O1713" s="8">
        <v>0</v>
      </c>
      <c r="P1713" s="8">
        <v>0</v>
      </c>
      <c r="Q1713" s="8">
        <v>0</v>
      </c>
      <c r="R1713" s="8">
        <v>0</v>
      </c>
      <c r="S1713" s="8">
        <v>0</v>
      </c>
      <c r="T1713" s="5">
        <v>0</v>
      </c>
      <c r="U1713" s="5">
        <v>0</v>
      </c>
      <c r="V1713" s="5">
        <f>VLOOKUP(A1713,Planilha1!B:E,4,0)</f>
        <v>4.5971522734997743</v>
      </c>
    </row>
    <row r="1714" spans="1:22" x14ac:dyDescent="0.3">
      <c r="A1714" t="str">
        <f t="shared" si="52"/>
        <v>LEITE UHTITAMBÉ</v>
      </c>
      <c r="B1714" t="str">
        <f t="shared" si="53"/>
        <v>5020855LEITE UHTITAMBÉ</v>
      </c>
      <c r="C1714" s="5" t="s">
        <v>226</v>
      </c>
      <c r="D1714" s="5" t="s">
        <v>833</v>
      </c>
      <c r="E1714" s="5" t="s">
        <v>753</v>
      </c>
      <c r="F1714" s="5">
        <v>5020855</v>
      </c>
      <c r="G1714" s="5" t="s">
        <v>1055</v>
      </c>
      <c r="H1714" s="5" t="s">
        <v>101</v>
      </c>
      <c r="I1714" s="5" t="s">
        <v>27</v>
      </c>
      <c r="J1714" s="5" t="s">
        <v>156</v>
      </c>
      <c r="K1714" s="6">
        <v>0</v>
      </c>
      <c r="L1714" s="7">
        <v>0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0</v>
      </c>
      <c r="S1714" s="8">
        <v>0</v>
      </c>
      <c r="T1714" s="5">
        <v>0</v>
      </c>
      <c r="U1714" s="5">
        <v>0</v>
      </c>
      <c r="V1714" s="5">
        <f>VLOOKUP(A1714,Planilha1!B:E,4,0)</f>
        <v>-0.14425288609148015</v>
      </c>
    </row>
    <row r="1715" spans="1:22" x14ac:dyDescent="0.3">
      <c r="A1715" t="str">
        <f t="shared" si="52"/>
        <v>MANTEIGA 5KGITAMBÉ</v>
      </c>
      <c r="B1715" t="str">
        <f t="shared" si="53"/>
        <v>5020855MANTEIGA 5KGITAMBÉ</v>
      </c>
      <c r="C1715" s="5" t="s">
        <v>226</v>
      </c>
      <c r="D1715" s="5" t="s">
        <v>833</v>
      </c>
      <c r="E1715" s="5" t="s">
        <v>753</v>
      </c>
      <c r="F1715" s="5">
        <v>5020855</v>
      </c>
      <c r="G1715" s="5" t="s">
        <v>1055</v>
      </c>
      <c r="H1715" s="5" t="s">
        <v>101</v>
      </c>
      <c r="I1715" s="5" t="s">
        <v>27</v>
      </c>
      <c r="J1715" s="5" t="s">
        <v>60</v>
      </c>
      <c r="K1715" s="6">
        <v>0</v>
      </c>
      <c r="L1715" s="7">
        <v>0</v>
      </c>
      <c r="M1715" s="8">
        <v>0</v>
      </c>
      <c r="N1715" s="8">
        <v>0</v>
      </c>
      <c r="O1715" s="8">
        <v>0</v>
      </c>
      <c r="P1715" s="8">
        <v>0</v>
      </c>
      <c r="Q1715" s="8">
        <v>0</v>
      </c>
      <c r="R1715" s="8">
        <v>0</v>
      </c>
      <c r="S1715" s="8">
        <v>0</v>
      </c>
      <c r="T1715" s="5">
        <v>0</v>
      </c>
      <c r="U1715" s="5">
        <v>0</v>
      </c>
      <c r="V1715" s="5">
        <f>VLOOKUP(A1715,Planilha1!B:E,4,0)</f>
        <v>5.819800475298738</v>
      </c>
    </row>
    <row r="1716" spans="1:22" x14ac:dyDescent="0.3">
      <c r="A1716" t="str">
        <f t="shared" si="52"/>
        <v>MERC + AROMITAMBÉ</v>
      </c>
      <c r="B1716" t="str">
        <f t="shared" si="53"/>
        <v>5020855MERC + AROMITAMBÉ</v>
      </c>
      <c r="C1716" s="5" t="s">
        <v>226</v>
      </c>
      <c r="D1716" s="5" t="s">
        <v>833</v>
      </c>
      <c r="E1716" s="5" t="s">
        <v>753</v>
      </c>
      <c r="F1716" s="5">
        <v>5020855</v>
      </c>
      <c r="G1716" s="5" t="s">
        <v>1055</v>
      </c>
      <c r="H1716" s="5" t="s">
        <v>101</v>
      </c>
      <c r="I1716" s="5" t="s">
        <v>27</v>
      </c>
      <c r="J1716" s="5" t="s">
        <v>230</v>
      </c>
      <c r="K1716" s="6">
        <v>0</v>
      </c>
      <c r="L1716" s="7">
        <v>0</v>
      </c>
      <c r="M1716" s="8">
        <v>0</v>
      </c>
      <c r="N1716" s="8">
        <v>0</v>
      </c>
      <c r="O1716" s="8">
        <v>0</v>
      </c>
      <c r="P1716" s="8">
        <v>0</v>
      </c>
      <c r="Q1716" s="8">
        <v>0</v>
      </c>
      <c r="R1716" s="8">
        <v>0</v>
      </c>
      <c r="S1716" s="8">
        <v>0</v>
      </c>
      <c r="T1716" s="5">
        <v>0</v>
      </c>
      <c r="U1716" s="5">
        <v>0</v>
      </c>
      <c r="V1716" s="5">
        <f>VLOOKUP(A1716,Planilha1!B:E,4,0)</f>
        <v>1.0384020099151063</v>
      </c>
    </row>
    <row r="1717" spans="1:22" x14ac:dyDescent="0.3">
      <c r="A1717" t="str">
        <f t="shared" si="52"/>
        <v>CREME UHTITAMBÉ</v>
      </c>
      <c r="B1717" t="str">
        <f t="shared" si="53"/>
        <v>5194351CREME UHTITAMBÉ</v>
      </c>
      <c r="C1717" s="5" t="s">
        <v>226</v>
      </c>
      <c r="D1717" s="5" t="s">
        <v>833</v>
      </c>
      <c r="E1717" s="5" t="s">
        <v>753</v>
      </c>
      <c r="F1717" s="5">
        <v>5194351</v>
      </c>
      <c r="G1717" s="5" t="s">
        <v>1056</v>
      </c>
      <c r="H1717" s="5" t="s">
        <v>846</v>
      </c>
      <c r="I1717" s="5" t="s">
        <v>27</v>
      </c>
      <c r="J1717" s="5" t="s">
        <v>34</v>
      </c>
      <c r="K1717" s="6">
        <v>0</v>
      </c>
      <c r="L1717" s="7">
        <v>-24.24</v>
      </c>
      <c r="M1717" s="8">
        <v>1030.2</v>
      </c>
      <c r="N1717" s="8">
        <v>0</v>
      </c>
      <c r="O1717" s="8">
        <v>0</v>
      </c>
      <c r="P1717" s="8">
        <v>0</v>
      </c>
      <c r="Q1717" s="8">
        <v>0</v>
      </c>
      <c r="R1717" s="8">
        <v>0</v>
      </c>
      <c r="S1717" s="8">
        <v>0</v>
      </c>
      <c r="T1717" s="5">
        <v>0</v>
      </c>
      <c r="U1717" s="5">
        <v>0</v>
      </c>
      <c r="V1717" s="5">
        <f>VLOOKUP(A1717,Planilha1!B:E,4,0)</f>
        <v>1.2362540170747773</v>
      </c>
    </row>
    <row r="1718" spans="1:22" x14ac:dyDescent="0.3">
      <c r="A1718" t="str">
        <f t="shared" si="52"/>
        <v>DOCE DE LEITEITAMBÉ</v>
      </c>
      <c r="B1718" t="str">
        <f t="shared" si="53"/>
        <v>5194351DOCE DE LEITEITAMBÉ</v>
      </c>
      <c r="C1718" s="5" t="s">
        <v>226</v>
      </c>
      <c r="D1718" s="5" t="s">
        <v>833</v>
      </c>
      <c r="E1718" s="5" t="s">
        <v>753</v>
      </c>
      <c r="F1718" s="5">
        <v>5194351</v>
      </c>
      <c r="G1718" s="5" t="s">
        <v>1056</v>
      </c>
      <c r="H1718" s="5" t="s">
        <v>846</v>
      </c>
      <c r="I1718" s="5" t="s">
        <v>27</v>
      </c>
      <c r="J1718" s="5" t="s">
        <v>46</v>
      </c>
      <c r="K1718" s="6">
        <v>0</v>
      </c>
      <c r="L1718" s="7">
        <v>0</v>
      </c>
      <c r="M1718" s="8">
        <v>150</v>
      </c>
      <c r="N1718" s="8">
        <v>0</v>
      </c>
      <c r="O1718" s="8">
        <v>0</v>
      </c>
      <c r="P1718" s="8">
        <v>0</v>
      </c>
      <c r="Q1718" s="8">
        <v>0</v>
      </c>
      <c r="R1718" s="8">
        <v>0</v>
      </c>
      <c r="S1718" s="8">
        <v>0</v>
      </c>
      <c r="T1718" s="5">
        <v>0</v>
      </c>
      <c r="U1718" s="5">
        <v>0</v>
      </c>
      <c r="V1718" s="5">
        <f>VLOOKUP(A1718,Planilha1!B:E,4,0)</f>
        <v>5.8210743907543439</v>
      </c>
    </row>
    <row r="1719" spans="1:22" x14ac:dyDescent="0.3">
      <c r="A1719" t="str">
        <f t="shared" si="52"/>
        <v>LEITE CONDENSADOITAMBÉ</v>
      </c>
      <c r="B1719" t="str">
        <f t="shared" si="53"/>
        <v>5194351LEITE CONDENSADOITAMBÉ</v>
      </c>
      <c r="C1719" s="5" t="s">
        <v>226</v>
      </c>
      <c r="D1719" s="5" t="s">
        <v>833</v>
      </c>
      <c r="E1719" s="5" t="s">
        <v>753</v>
      </c>
      <c r="F1719" s="5">
        <v>5194351</v>
      </c>
      <c r="G1719" s="5" t="s">
        <v>1056</v>
      </c>
      <c r="H1719" s="5" t="s">
        <v>846</v>
      </c>
      <c r="I1719" s="5" t="s">
        <v>27</v>
      </c>
      <c r="J1719" s="5" t="s">
        <v>33</v>
      </c>
      <c r="K1719" s="6">
        <v>0</v>
      </c>
      <c r="L1719" s="7">
        <v>-40</v>
      </c>
      <c r="M1719" s="8">
        <v>606.66666666666663</v>
      </c>
      <c r="N1719" s="8">
        <v>0</v>
      </c>
      <c r="O1719" s="8">
        <v>0</v>
      </c>
      <c r="P1719" s="8">
        <v>0</v>
      </c>
      <c r="Q1719" s="8">
        <v>0</v>
      </c>
      <c r="R1719" s="8">
        <v>0</v>
      </c>
      <c r="S1719" s="8">
        <v>0</v>
      </c>
      <c r="T1719" s="5">
        <v>0</v>
      </c>
      <c r="U1719" s="5">
        <v>0</v>
      </c>
      <c r="V1719" s="5">
        <f>VLOOKUP(A1719,Planilha1!B:E,4,0)</f>
        <v>1.4766792698630664</v>
      </c>
    </row>
    <row r="1720" spans="1:22" x14ac:dyDescent="0.3">
      <c r="A1720" t="str">
        <f t="shared" si="52"/>
        <v>LEITE UHTITAMBÉ</v>
      </c>
      <c r="B1720" t="str">
        <f t="shared" si="53"/>
        <v>5194351LEITE UHTITAMBÉ</v>
      </c>
      <c r="C1720" s="5" t="s">
        <v>226</v>
      </c>
      <c r="D1720" s="5" t="s">
        <v>833</v>
      </c>
      <c r="E1720" s="5" t="s">
        <v>753</v>
      </c>
      <c r="F1720" s="5">
        <v>5194351</v>
      </c>
      <c r="G1720" s="5" t="s">
        <v>1056</v>
      </c>
      <c r="H1720" s="5" t="s">
        <v>846</v>
      </c>
      <c r="I1720" s="5" t="s">
        <v>27</v>
      </c>
      <c r="J1720" s="5" t="s">
        <v>156</v>
      </c>
      <c r="K1720" s="6">
        <v>0</v>
      </c>
      <c r="L1720" s="7">
        <v>0</v>
      </c>
      <c r="M1720" s="8">
        <v>2160</v>
      </c>
      <c r="N1720" s="8">
        <v>0</v>
      </c>
      <c r="O1720" s="8">
        <v>0</v>
      </c>
      <c r="P1720" s="8">
        <v>0</v>
      </c>
      <c r="Q1720" s="8">
        <v>0</v>
      </c>
      <c r="R1720" s="8">
        <v>0</v>
      </c>
      <c r="S1720" s="8">
        <v>0</v>
      </c>
      <c r="T1720" s="5">
        <v>0</v>
      </c>
      <c r="U1720" s="5">
        <v>0</v>
      </c>
      <c r="V1720" s="5">
        <f>VLOOKUP(A1720,Planilha1!B:E,4,0)</f>
        <v>-0.14425288609148015</v>
      </c>
    </row>
    <row r="1721" spans="1:22" x14ac:dyDescent="0.3">
      <c r="A1721" t="str">
        <f t="shared" si="52"/>
        <v>QUEIJOSLACTALIS</v>
      </c>
      <c r="B1721" t="str">
        <f t="shared" si="53"/>
        <v>5225860QUEIJOSLACTALIS</v>
      </c>
      <c r="C1721" s="5" t="s">
        <v>226</v>
      </c>
      <c r="D1721" s="5" t="s">
        <v>833</v>
      </c>
      <c r="E1721" s="5" t="s">
        <v>843</v>
      </c>
      <c r="F1721" s="5">
        <v>5225860</v>
      </c>
      <c r="G1721" s="5" t="s">
        <v>844</v>
      </c>
      <c r="H1721" s="5" t="s">
        <v>101</v>
      </c>
      <c r="I1721" s="5" t="s">
        <v>22</v>
      </c>
      <c r="J1721" s="5" t="s">
        <v>63</v>
      </c>
      <c r="K1721" s="6">
        <v>0</v>
      </c>
      <c r="L1721" s="7">
        <v>131</v>
      </c>
      <c r="M1721" s="8">
        <v>-2.9433333333333334</v>
      </c>
      <c r="N1721" s="8">
        <v>-5.8866666666666667</v>
      </c>
      <c r="O1721" s="8">
        <v>0</v>
      </c>
      <c r="P1721" s="8">
        <v>0</v>
      </c>
      <c r="Q1721" s="8">
        <v>0</v>
      </c>
      <c r="R1721" s="8">
        <v>0</v>
      </c>
      <c r="S1721" s="8">
        <v>0</v>
      </c>
      <c r="T1721" s="5">
        <v>0</v>
      </c>
      <c r="U1721" s="5">
        <v>0</v>
      </c>
      <c r="V1721" s="5">
        <f>VLOOKUP(A1721,Planilha1!B:E,4,0)</f>
        <v>-1.9171310037550682</v>
      </c>
    </row>
    <row r="1722" spans="1:22" x14ac:dyDescent="0.3">
      <c r="A1722" t="str">
        <f t="shared" si="52"/>
        <v>COMPOSTOITAMBÉ</v>
      </c>
      <c r="B1722" t="str">
        <f t="shared" si="53"/>
        <v>5338666COMPOSTOITAMBÉ</v>
      </c>
      <c r="C1722" s="5" t="s">
        <v>226</v>
      </c>
      <c r="D1722" s="5" t="s">
        <v>833</v>
      </c>
      <c r="E1722" s="5" t="s">
        <v>843</v>
      </c>
      <c r="F1722" s="5">
        <v>5338666</v>
      </c>
      <c r="G1722" s="5" t="s">
        <v>837</v>
      </c>
      <c r="H1722" s="5" t="s">
        <v>846</v>
      </c>
      <c r="I1722" s="5" t="s">
        <v>27</v>
      </c>
      <c r="J1722" s="5" t="s">
        <v>26</v>
      </c>
      <c r="K1722" s="6">
        <v>0</v>
      </c>
      <c r="L1722" s="7">
        <v>0</v>
      </c>
      <c r="M1722" s="8">
        <v>0</v>
      </c>
      <c r="N1722" s="8">
        <v>0</v>
      </c>
      <c r="O1722" s="8">
        <v>0</v>
      </c>
      <c r="P1722" s="8">
        <v>0</v>
      </c>
      <c r="Q1722" s="8">
        <v>0</v>
      </c>
      <c r="R1722" s="8">
        <v>0</v>
      </c>
      <c r="S1722" s="8">
        <v>0</v>
      </c>
      <c r="T1722" s="5">
        <v>0</v>
      </c>
      <c r="U1722" s="5">
        <v>0</v>
      </c>
      <c r="V1722" s="5">
        <f>VLOOKUP(A1722,Planilha1!B:E,4,0)</f>
        <v>0.15618217875936719</v>
      </c>
    </row>
    <row r="1723" spans="1:22" x14ac:dyDescent="0.3">
      <c r="A1723" t="str">
        <f t="shared" si="52"/>
        <v>CREME UHTITAMBÉ</v>
      </c>
      <c r="B1723" t="str">
        <f t="shared" si="53"/>
        <v>5338666CREME UHTITAMBÉ</v>
      </c>
      <c r="C1723" s="5" t="s">
        <v>226</v>
      </c>
      <c r="D1723" s="5" t="s">
        <v>833</v>
      </c>
      <c r="E1723" s="5" t="s">
        <v>843</v>
      </c>
      <c r="F1723" s="5">
        <v>5338666</v>
      </c>
      <c r="G1723" s="5" t="s">
        <v>837</v>
      </c>
      <c r="H1723" s="5" t="s">
        <v>846</v>
      </c>
      <c r="I1723" s="5" t="s">
        <v>27</v>
      </c>
      <c r="J1723" s="5" t="s">
        <v>34</v>
      </c>
      <c r="K1723" s="6">
        <v>0</v>
      </c>
      <c r="L1723" s="7">
        <v>0</v>
      </c>
      <c r="M1723" s="8">
        <v>0</v>
      </c>
      <c r="N1723" s="8">
        <v>0</v>
      </c>
      <c r="O1723" s="8">
        <v>0</v>
      </c>
      <c r="P1723" s="8">
        <v>350.47</v>
      </c>
      <c r="Q1723" s="8">
        <v>0</v>
      </c>
      <c r="R1723" s="8">
        <v>0</v>
      </c>
      <c r="S1723" s="8">
        <v>0</v>
      </c>
      <c r="T1723" s="5">
        <v>0</v>
      </c>
      <c r="U1723" s="5">
        <v>0</v>
      </c>
      <c r="V1723" s="5">
        <f>VLOOKUP(A1723,Planilha1!B:E,4,0)</f>
        <v>1.2362540170747773</v>
      </c>
    </row>
    <row r="1724" spans="1:22" x14ac:dyDescent="0.3">
      <c r="A1724" t="str">
        <f t="shared" si="52"/>
        <v>DOCE DE LEITEITAMBÉ</v>
      </c>
      <c r="B1724" t="str">
        <f t="shared" si="53"/>
        <v>5338666DOCE DE LEITEITAMBÉ</v>
      </c>
      <c r="C1724" s="5" t="s">
        <v>226</v>
      </c>
      <c r="D1724" s="5" t="s">
        <v>833</v>
      </c>
      <c r="E1724" s="5" t="s">
        <v>843</v>
      </c>
      <c r="F1724" s="5">
        <v>5338666</v>
      </c>
      <c r="G1724" s="5" t="s">
        <v>837</v>
      </c>
      <c r="H1724" s="5" t="s">
        <v>846</v>
      </c>
      <c r="I1724" s="5" t="s">
        <v>27</v>
      </c>
      <c r="J1724" s="5" t="s">
        <v>46</v>
      </c>
      <c r="K1724" s="6">
        <v>0</v>
      </c>
      <c r="L1724" s="7">
        <v>0</v>
      </c>
      <c r="M1724" s="8">
        <v>0</v>
      </c>
      <c r="N1724" s="8">
        <v>0</v>
      </c>
      <c r="O1724" s="8">
        <v>0</v>
      </c>
      <c r="P1724" s="8">
        <v>25</v>
      </c>
      <c r="Q1724" s="8">
        <v>0</v>
      </c>
      <c r="R1724" s="8">
        <v>0</v>
      </c>
      <c r="S1724" s="8">
        <v>0</v>
      </c>
      <c r="T1724" s="5">
        <v>0</v>
      </c>
      <c r="U1724" s="5">
        <v>0</v>
      </c>
      <c r="V1724" s="5">
        <f>VLOOKUP(A1724,Planilha1!B:E,4,0)</f>
        <v>5.8210743907543439</v>
      </c>
    </row>
    <row r="1725" spans="1:22" x14ac:dyDescent="0.3">
      <c r="A1725" t="str">
        <f t="shared" si="52"/>
        <v>LEITE CONDENSADOITAMBÉ</v>
      </c>
      <c r="B1725" t="str">
        <f t="shared" si="53"/>
        <v>5338666LEITE CONDENSADOITAMBÉ</v>
      </c>
      <c r="C1725" s="5" t="s">
        <v>226</v>
      </c>
      <c r="D1725" s="5" t="s">
        <v>833</v>
      </c>
      <c r="E1725" s="5" t="s">
        <v>843</v>
      </c>
      <c r="F1725" s="5">
        <v>5338666</v>
      </c>
      <c r="G1725" s="5" t="s">
        <v>837</v>
      </c>
      <c r="H1725" s="5" t="s">
        <v>846</v>
      </c>
      <c r="I1725" s="5" t="s">
        <v>27</v>
      </c>
      <c r="J1725" s="5" t="s">
        <v>33</v>
      </c>
      <c r="K1725" s="6">
        <v>0</v>
      </c>
      <c r="L1725" s="7">
        <v>-8747.5</v>
      </c>
      <c r="M1725" s="8">
        <v>0</v>
      </c>
      <c r="N1725" s="8">
        <v>0</v>
      </c>
      <c r="O1725" s="8">
        <v>0</v>
      </c>
      <c r="P1725" s="8">
        <v>2824.48</v>
      </c>
      <c r="Q1725" s="8">
        <v>0</v>
      </c>
      <c r="R1725" s="8">
        <v>0</v>
      </c>
      <c r="S1725" s="8">
        <v>0</v>
      </c>
      <c r="T1725" s="5">
        <v>0</v>
      </c>
      <c r="U1725" s="5">
        <v>0</v>
      </c>
      <c r="V1725" s="5">
        <f>VLOOKUP(A1725,Planilha1!B:E,4,0)</f>
        <v>1.4766792698630664</v>
      </c>
    </row>
    <row r="1726" spans="1:22" x14ac:dyDescent="0.3">
      <c r="A1726" t="str">
        <f t="shared" si="52"/>
        <v>LEITE EM PÓITAMBÉ</v>
      </c>
      <c r="B1726" t="str">
        <f t="shared" si="53"/>
        <v>5338666LEITE EM PÓITAMBÉ</v>
      </c>
      <c r="C1726" s="5" t="s">
        <v>226</v>
      </c>
      <c r="D1726" s="5" t="s">
        <v>833</v>
      </c>
      <c r="E1726" s="5" t="s">
        <v>843</v>
      </c>
      <c r="F1726" s="5">
        <v>5338666</v>
      </c>
      <c r="G1726" s="5" t="s">
        <v>837</v>
      </c>
      <c r="H1726" s="5" t="s">
        <v>846</v>
      </c>
      <c r="I1726" s="5" t="s">
        <v>27</v>
      </c>
      <c r="J1726" s="5" t="s">
        <v>84</v>
      </c>
      <c r="K1726" s="6">
        <v>0</v>
      </c>
      <c r="L1726" s="7">
        <v>0</v>
      </c>
      <c r="M1726" s="8">
        <v>0</v>
      </c>
      <c r="N1726" s="8">
        <v>0</v>
      </c>
      <c r="O1726" s="8">
        <v>0</v>
      </c>
      <c r="P1726" s="8">
        <v>601</v>
      </c>
      <c r="Q1726" s="8">
        <v>0</v>
      </c>
      <c r="R1726" s="8">
        <v>0</v>
      </c>
      <c r="S1726" s="8">
        <v>0</v>
      </c>
      <c r="T1726" s="5">
        <v>0</v>
      </c>
      <c r="U1726" s="5">
        <v>0</v>
      </c>
      <c r="V1726" s="5">
        <f>VLOOKUP(A1726,Planilha1!B:E,4,0)</f>
        <v>4.5971522734997743</v>
      </c>
    </row>
    <row r="1727" spans="1:22" x14ac:dyDescent="0.3">
      <c r="A1727" t="str">
        <f t="shared" si="52"/>
        <v>CREME UHTITAMBÉ</v>
      </c>
      <c r="B1727" t="str">
        <f t="shared" si="53"/>
        <v>5073333CREME UHTITAMBÉ</v>
      </c>
      <c r="C1727" s="5" t="s">
        <v>226</v>
      </c>
      <c r="D1727" s="5" t="s">
        <v>833</v>
      </c>
      <c r="E1727" s="5" t="s">
        <v>852</v>
      </c>
      <c r="F1727" s="5">
        <v>5073333</v>
      </c>
      <c r="G1727" s="5" t="s">
        <v>1057</v>
      </c>
      <c r="H1727" s="5" t="s">
        <v>40</v>
      </c>
      <c r="I1727" s="5" t="s">
        <v>27</v>
      </c>
      <c r="J1727" s="5" t="s">
        <v>34</v>
      </c>
      <c r="K1727" s="6">
        <v>0</v>
      </c>
      <c r="L1727" s="7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  <c r="S1727" s="8">
        <v>0</v>
      </c>
      <c r="T1727" s="5">
        <v>0</v>
      </c>
      <c r="U1727" s="5">
        <v>0</v>
      </c>
      <c r="V1727" s="5">
        <f>VLOOKUP(A1727,Planilha1!B:E,4,0)</f>
        <v>1.2362540170747773</v>
      </c>
    </row>
    <row r="1728" spans="1:22" x14ac:dyDescent="0.3">
      <c r="A1728" t="str">
        <f t="shared" si="52"/>
        <v>DOCE DE LEITEITAMBÉ</v>
      </c>
      <c r="B1728" t="str">
        <f t="shared" si="53"/>
        <v>5130738DOCE DE LEITEITAMBÉ</v>
      </c>
      <c r="C1728" s="5" t="s">
        <v>226</v>
      </c>
      <c r="D1728" s="5" t="s">
        <v>833</v>
      </c>
      <c r="E1728" s="5" t="s">
        <v>852</v>
      </c>
      <c r="F1728" s="5">
        <v>5130738</v>
      </c>
      <c r="G1728" s="5" t="s">
        <v>1058</v>
      </c>
      <c r="H1728" s="5" t="s">
        <v>40</v>
      </c>
      <c r="I1728" s="5" t="s">
        <v>27</v>
      </c>
      <c r="J1728" s="5" t="s">
        <v>46</v>
      </c>
      <c r="K1728" s="6">
        <v>0</v>
      </c>
      <c r="L1728" s="7">
        <v>150</v>
      </c>
      <c r="M1728" s="8">
        <v>53.333333333333336</v>
      </c>
      <c r="N1728" s="8">
        <v>66.666666666666671</v>
      </c>
      <c r="O1728" s="8">
        <v>0</v>
      </c>
      <c r="P1728" s="8">
        <v>0</v>
      </c>
      <c r="Q1728" s="8">
        <v>0</v>
      </c>
      <c r="R1728" s="8">
        <v>0</v>
      </c>
      <c r="S1728" s="8">
        <v>67</v>
      </c>
      <c r="T1728" s="5">
        <v>67</v>
      </c>
      <c r="U1728" s="5">
        <v>67</v>
      </c>
      <c r="V1728" s="5">
        <f>VLOOKUP(A1728,Planilha1!B:E,4,0)</f>
        <v>5.8210743907543439</v>
      </c>
    </row>
    <row r="1729" spans="1:22" x14ac:dyDescent="0.3">
      <c r="A1729" t="str">
        <f t="shared" si="52"/>
        <v>LEITE CONDENSADOITAMBÉ</v>
      </c>
      <c r="B1729" t="str">
        <f t="shared" si="53"/>
        <v>5130738LEITE CONDENSADOITAMBÉ</v>
      </c>
      <c r="C1729" s="5" t="s">
        <v>226</v>
      </c>
      <c r="D1729" s="5" t="s">
        <v>833</v>
      </c>
      <c r="E1729" s="5" t="s">
        <v>852</v>
      </c>
      <c r="F1729" s="5">
        <v>5130738</v>
      </c>
      <c r="G1729" s="5" t="s">
        <v>1058</v>
      </c>
      <c r="H1729" s="5" t="s">
        <v>40</v>
      </c>
      <c r="I1729" s="5" t="s">
        <v>27</v>
      </c>
      <c r="J1729" s="5" t="s">
        <v>33</v>
      </c>
      <c r="K1729" s="6">
        <v>0</v>
      </c>
      <c r="L1729" s="7">
        <v>50</v>
      </c>
      <c r="M1729" s="8">
        <v>30</v>
      </c>
      <c r="N1729" s="8">
        <v>50</v>
      </c>
      <c r="O1729" s="8">
        <v>0</v>
      </c>
      <c r="P1729" s="8">
        <v>0</v>
      </c>
      <c r="Q1729" s="8">
        <v>0</v>
      </c>
      <c r="R1729" s="8">
        <v>0</v>
      </c>
      <c r="S1729" s="8">
        <v>0</v>
      </c>
      <c r="T1729" s="5">
        <v>0</v>
      </c>
      <c r="U1729" s="5">
        <v>50</v>
      </c>
      <c r="V1729" s="5">
        <f>VLOOKUP(A1729,Planilha1!B:E,4,0)</f>
        <v>1.4766792698630664</v>
      </c>
    </row>
    <row r="1730" spans="1:22" x14ac:dyDescent="0.3">
      <c r="A1730" t="str">
        <f t="shared" ref="A1730:A1793" si="54">J1730&amp;I1730</f>
        <v>BLISTERITAMBÉ</v>
      </c>
      <c r="B1730" t="str">
        <f t="shared" si="53"/>
        <v>5144654BLISTERITAMBÉ</v>
      </c>
      <c r="C1730" s="5" t="s">
        <v>226</v>
      </c>
      <c r="D1730" s="5" t="s">
        <v>833</v>
      </c>
      <c r="E1730" s="5" t="s">
        <v>852</v>
      </c>
      <c r="F1730" s="5">
        <v>5144654</v>
      </c>
      <c r="G1730" s="5" t="s">
        <v>859</v>
      </c>
      <c r="H1730" s="5" t="s">
        <v>40</v>
      </c>
      <c r="I1730" s="5" t="s">
        <v>27</v>
      </c>
      <c r="J1730" s="5" t="s">
        <v>199</v>
      </c>
      <c r="K1730" s="6">
        <v>0</v>
      </c>
      <c r="L1730" s="7">
        <v>0</v>
      </c>
      <c r="M1730" s="8">
        <v>45.44</v>
      </c>
      <c r="N1730" s="8">
        <v>91</v>
      </c>
      <c r="O1730" s="8">
        <v>0</v>
      </c>
      <c r="P1730" s="8">
        <v>0</v>
      </c>
      <c r="Q1730" s="8">
        <v>0</v>
      </c>
      <c r="R1730" s="8">
        <v>0</v>
      </c>
      <c r="S1730" s="8">
        <v>91</v>
      </c>
      <c r="T1730" s="5">
        <v>91</v>
      </c>
      <c r="U1730" s="5">
        <v>91</v>
      </c>
      <c r="V1730" s="5">
        <f>VLOOKUP(A1730,Planilha1!B:E,4,0)</f>
        <v>10.339882680976428</v>
      </c>
    </row>
    <row r="1731" spans="1:22" x14ac:dyDescent="0.3">
      <c r="A1731" t="str">
        <f t="shared" si="54"/>
        <v>CREME UHTITAMBÉ</v>
      </c>
      <c r="B1731" t="str">
        <f t="shared" ref="B1731:B1794" si="55">F1731&amp;J1731&amp;I1731</f>
        <v>5144654CREME UHTITAMBÉ</v>
      </c>
      <c r="C1731" s="5" t="s">
        <v>226</v>
      </c>
      <c r="D1731" s="5" t="s">
        <v>833</v>
      </c>
      <c r="E1731" s="5" t="s">
        <v>852</v>
      </c>
      <c r="F1731" s="5">
        <v>5144654</v>
      </c>
      <c r="G1731" s="5" t="s">
        <v>859</v>
      </c>
      <c r="H1731" s="5" t="s">
        <v>40</v>
      </c>
      <c r="I1731" s="5" t="s">
        <v>27</v>
      </c>
      <c r="J1731" s="5" t="s">
        <v>34</v>
      </c>
      <c r="K1731" s="6">
        <v>0</v>
      </c>
      <c r="L1731" s="7">
        <v>0</v>
      </c>
      <c r="M1731" s="8">
        <v>0</v>
      </c>
      <c r="N1731" s="8">
        <v>0</v>
      </c>
      <c r="O1731" s="8">
        <v>0</v>
      </c>
      <c r="P1731" s="8">
        <v>0</v>
      </c>
      <c r="Q1731" s="8">
        <v>0</v>
      </c>
      <c r="R1731" s="8">
        <v>0</v>
      </c>
      <c r="S1731" s="8">
        <v>0</v>
      </c>
      <c r="T1731" s="5">
        <v>0</v>
      </c>
      <c r="U1731" s="5">
        <v>0</v>
      </c>
      <c r="V1731" s="5">
        <f>VLOOKUP(A1731,Planilha1!B:E,4,0)</f>
        <v>1.2362540170747773</v>
      </c>
    </row>
    <row r="1732" spans="1:22" x14ac:dyDescent="0.3">
      <c r="A1732" t="str">
        <f t="shared" si="54"/>
        <v>DOCE DE LEITEITAMBÉ</v>
      </c>
      <c r="B1732" t="str">
        <f t="shared" si="55"/>
        <v>5145674DOCE DE LEITEITAMBÉ</v>
      </c>
      <c r="C1732" s="5" t="s">
        <v>226</v>
      </c>
      <c r="D1732" s="5" t="s">
        <v>833</v>
      </c>
      <c r="E1732" s="5" t="s">
        <v>852</v>
      </c>
      <c r="F1732" s="5">
        <v>5145674</v>
      </c>
      <c r="G1732" s="5" t="s">
        <v>1059</v>
      </c>
      <c r="H1732" s="5" t="s">
        <v>40</v>
      </c>
      <c r="I1732" s="5" t="s">
        <v>27</v>
      </c>
      <c r="J1732" s="5" t="s">
        <v>46</v>
      </c>
      <c r="K1732" s="6">
        <v>0</v>
      </c>
      <c r="L1732" s="7">
        <v>1000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0</v>
      </c>
      <c r="S1732" s="8">
        <v>0</v>
      </c>
      <c r="T1732" s="5">
        <v>0</v>
      </c>
      <c r="U1732" s="5">
        <v>0</v>
      </c>
      <c r="V1732" s="5">
        <f>VLOOKUP(A1732,Planilha1!B:E,4,0)</f>
        <v>5.8210743907543439</v>
      </c>
    </row>
    <row r="1733" spans="1:22" x14ac:dyDescent="0.3">
      <c r="A1733" t="str">
        <f t="shared" si="54"/>
        <v>CREME UHTITAMBÉ</v>
      </c>
      <c r="B1733" t="str">
        <f t="shared" si="55"/>
        <v>5169969CREME UHTITAMBÉ</v>
      </c>
      <c r="C1733" s="5" t="s">
        <v>226</v>
      </c>
      <c r="D1733" s="5" t="s">
        <v>833</v>
      </c>
      <c r="E1733" s="5" t="s">
        <v>852</v>
      </c>
      <c r="F1733" s="5">
        <v>5169969</v>
      </c>
      <c r="G1733" s="5" t="s">
        <v>861</v>
      </c>
      <c r="H1733" s="5" t="s">
        <v>40</v>
      </c>
      <c r="I1733" s="5" t="s">
        <v>27</v>
      </c>
      <c r="J1733" s="5" t="s">
        <v>34</v>
      </c>
      <c r="K1733" s="6">
        <v>0</v>
      </c>
      <c r="L1733" s="7">
        <v>0</v>
      </c>
      <c r="M1733" s="8">
        <v>171.70000000000002</v>
      </c>
      <c r="N1733" s="8">
        <v>0</v>
      </c>
      <c r="O1733" s="8">
        <v>0</v>
      </c>
      <c r="P1733" s="8">
        <v>0</v>
      </c>
      <c r="Q1733" s="8">
        <v>0</v>
      </c>
      <c r="R1733" s="8">
        <v>0</v>
      </c>
      <c r="S1733" s="8">
        <v>0</v>
      </c>
      <c r="T1733" s="5">
        <v>0</v>
      </c>
      <c r="U1733" s="5">
        <v>0</v>
      </c>
      <c r="V1733" s="5">
        <f>VLOOKUP(A1733,Planilha1!B:E,4,0)</f>
        <v>1.2362540170747773</v>
      </c>
    </row>
    <row r="1734" spans="1:22" x14ac:dyDescent="0.3">
      <c r="A1734" t="str">
        <f t="shared" si="54"/>
        <v>DOCE DE LEITEITAMBÉ</v>
      </c>
      <c r="B1734" t="str">
        <f t="shared" si="55"/>
        <v>5182903DOCE DE LEITEITAMBÉ</v>
      </c>
      <c r="C1734" s="5" t="s">
        <v>226</v>
      </c>
      <c r="D1734" s="5" t="s">
        <v>833</v>
      </c>
      <c r="E1734" s="5" t="s">
        <v>852</v>
      </c>
      <c r="F1734" s="5">
        <v>5182903</v>
      </c>
      <c r="G1734" s="5" t="s">
        <v>1060</v>
      </c>
      <c r="H1734" s="5" t="s">
        <v>40</v>
      </c>
      <c r="I1734" s="5" t="s">
        <v>27</v>
      </c>
      <c r="J1734" s="5" t="s">
        <v>46</v>
      </c>
      <c r="K1734" s="6">
        <v>0</v>
      </c>
      <c r="L1734" s="7">
        <v>60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0</v>
      </c>
      <c r="S1734" s="8">
        <v>0</v>
      </c>
      <c r="T1734" s="5">
        <v>0</v>
      </c>
      <c r="U1734" s="5">
        <v>0</v>
      </c>
      <c r="V1734" s="5">
        <f>VLOOKUP(A1734,Planilha1!B:E,4,0)</f>
        <v>5.8210743907543439</v>
      </c>
    </row>
    <row r="1735" spans="1:22" x14ac:dyDescent="0.3">
      <c r="A1735" t="str">
        <f t="shared" si="54"/>
        <v>LEITE CONDENSADOITAMBÉ</v>
      </c>
      <c r="B1735" t="str">
        <f t="shared" si="55"/>
        <v>5185042LEITE CONDENSADOITAMBÉ</v>
      </c>
      <c r="C1735" s="5" t="s">
        <v>226</v>
      </c>
      <c r="D1735" s="5" t="s">
        <v>833</v>
      </c>
      <c r="E1735" s="5" t="s">
        <v>852</v>
      </c>
      <c r="F1735" s="5">
        <v>5185042</v>
      </c>
      <c r="G1735" s="5" t="s">
        <v>851</v>
      </c>
      <c r="H1735" s="5" t="s">
        <v>40</v>
      </c>
      <c r="I1735" s="5" t="s">
        <v>27</v>
      </c>
      <c r="J1735" s="5" t="s">
        <v>33</v>
      </c>
      <c r="K1735" s="6">
        <v>0</v>
      </c>
      <c r="L1735" s="7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0</v>
      </c>
      <c r="S1735" s="8">
        <v>0</v>
      </c>
      <c r="T1735" s="5">
        <v>0</v>
      </c>
      <c r="U1735" s="5">
        <v>0</v>
      </c>
      <c r="V1735" s="5">
        <f>VLOOKUP(A1735,Planilha1!B:E,4,0)</f>
        <v>1.4766792698630664</v>
      </c>
    </row>
    <row r="1736" spans="1:22" x14ac:dyDescent="0.3">
      <c r="A1736" t="str">
        <f t="shared" si="54"/>
        <v>CREME UHTITAMBÉ</v>
      </c>
      <c r="B1736" t="str">
        <f t="shared" si="55"/>
        <v>5218012CREME UHTITAMBÉ</v>
      </c>
      <c r="C1736" s="5" t="s">
        <v>226</v>
      </c>
      <c r="D1736" s="5" t="s">
        <v>833</v>
      </c>
      <c r="E1736" s="5" t="s">
        <v>852</v>
      </c>
      <c r="F1736" s="5">
        <v>5218012</v>
      </c>
      <c r="G1736" s="5" t="s">
        <v>1061</v>
      </c>
      <c r="H1736" s="5" t="s">
        <v>40</v>
      </c>
      <c r="I1736" s="5" t="s">
        <v>27</v>
      </c>
      <c r="J1736" s="5" t="s">
        <v>34</v>
      </c>
      <c r="K1736" s="6">
        <v>0</v>
      </c>
      <c r="L1736" s="7">
        <v>0</v>
      </c>
      <c r="M1736" s="8">
        <v>0</v>
      </c>
      <c r="N1736" s="8">
        <v>0</v>
      </c>
      <c r="O1736" s="8">
        <v>0</v>
      </c>
      <c r="P1736" s="8">
        <v>0</v>
      </c>
      <c r="Q1736" s="8">
        <v>0</v>
      </c>
      <c r="R1736" s="8">
        <v>0</v>
      </c>
      <c r="S1736" s="8">
        <v>0</v>
      </c>
      <c r="T1736" s="5">
        <v>0</v>
      </c>
      <c r="U1736" s="5">
        <v>0</v>
      </c>
      <c r="V1736" s="5">
        <f>VLOOKUP(A1736,Planilha1!B:E,4,0)</f>
        <v>1.2362540170747773</v>
      </c>
    </row>
    <row r="1737" spans="1:22" x14ac:dyDescent="0.3">
      <c r="A1737" t="str">
        <f t="shared" si="54"/>
        <v>DOCE DE LEITEITAMBÉ</v>
      </c>
      <c r="B1737" t="str">
        <f t="shared" si="55"/>
        <v>5220998DOCE DE LEITEITAMBÉ</v>
      </c>
      <c r="C1737" s="5" t="s">
        <v>226</v>
      </c>
      <c r="D1737" s="5" t="s">
        <v>833</v>
      </c>
      <c r="E1737" s="5" t="s">
        <v>852</v>
      </c>
      <c r="F1737" s="5">
        <v>5220998</v>
      </c>
      <c r="G1737" s="5" t="s">
        <v>1062</v>
      </c>
      <c r="H1737" s="5" t="s">
        <v>40</v>
      </c>
      <c r="I1737" s="5" t="s">
        <v>27</v>
      </c>
      <c r="J1737" s="5" t="s">
        <v>46</v>
      </c>
      <c r="K1737" s="6">
        <v>0</v>
      </c>
      <c r="L1737" s="7">
        <v>300</v>
      </c>
      <c r="M1737" s="8">
        <v>63.333333333333336</v>
      </c>
      <c r="N1737" s="8">
        <v>73.333333333333343</v>
      </c>
      <c r="O1737" s="8">
        <v>0</v>
      </c>
      <c r="P1737" s="8">
        <v>0</v>
      </c>
      <c r="Q1737" s="8">
        <v>0</v>
      </c>
      <c r="R1737" s="8">
        <v>0</v>
      </c>
      <c r="S1737" s="8">
        <v>160</v>
      </c>
      <c r="T1737" s="5">
        <v>160</v>
      </c>
      <c r="U1737" s="5">
        <v>73</v>
      </c>
      <c r="V1737" s="5">
        <f>VLOOKUP(A1737,Planilha1!B:E,4,0)</f>
        <v>5.8210743907543439</v>
      </c>
    </row>
    <row r="1738" spans="1:22" x14ac:dyDescent="0.3">
      <c r="A1738" t="str">
        <f t="shared" si="54"/>
        <v>LEITE CONDENSADOITAMBÉ</v>
      </c>
      <c r="B1738" t="str">
        <f t="shared" si="55"/>
        <v>5220998LEITE CONDENSADOITAMBÉ</v>
      </c>
      <c r="C1738" s="5" t="s">
        <v>226</v>
      </c>
      <c r="D1738" s="5" t="s">
        <v>833</v>
      </c>
      <c r="E1738" s="5" t="s">
        <v>852</v>
      </c>
      <c r="F1738" s="5">
        <v>5220998</v>
      </c>
      <c r="G1738" s="5" t="s">
        <v>1062</v>
      </c>
      <c r="H1738" s="5" t="s">
        <v>40</v>
      </c>
      <c r="I1738" s="5" t="s">
        <v>27</v>
      </c>
      <c r="J1738" s="5" t="s">
        <v>33</v>
      </c>
      <c r="K1738" s="6">
        <v>0</v>
      </c>
      <c r="L1738" s="7">
        <v>100</v>
      </c>
      <c r="M1738" s="8">
        <v>71.666666666666671</v>
      </c>
      <c r="N1738" s="8">
        <v>110</v>
      </c>
      <c r="O1738" s="8">
        <v>0</v>
      </c>
      <c r="P1738" s="8">
        <v>0</v>
      </c>
      <c r="Q1738" s="8">
        <v>0</v>
      </c>
      <c r="R1738" s="8">
        <v>0</v>
      </c>
      <c r="S1738" s="8">
        <v>110</v>
      </c>
      <c r="T1738" s="5">
        <v>110</v>
      </c>
      <c r="U1738" s="5">
        <v>110</v>
      </c>
      <c r="V1738" s="5">
        <f>VLOOKUP(A1738,Planilha1!B:E,4,0)</f>
        <v>1.4766792698630664</v>
      </c>
    </row>
    <row r="1739" spans="1:22" x14ac:dyDescent="0.3">
      <c r="A1739" t="str">
        <f t="shared" si="54"/>
        <v>LPI 25KGITAMBÉ</v>
      </c>
      <c r="B1739" t="str">
        <f t="shared" si="55"/>
        <v>5220998LPI 25KGITAMBÉ</v>
      </c>
      <c r="C1739" s="5" t="s">
        <v>226</v>
      </c>
      <c r="D1739" s="5" t="s">
        <v>833</v>
      </c>
      <c r="E1739" s="5" t="s">
        <v>852</v>
      </c>
      <c r="F1739" s="5">
        <v>5220998</v>
      </c>
      <c r="G1739" s="5" t="s">
        <v>1062</v>
      </c>
      <c r="H1739" s="5" t="s">
        <v>40</v>
      </c>
      <c r="I1739" s="5" t="s">
        <v>27</v>
      </c>
      <c r="J1739" s="5" t="s">
        <v>21</v>
      </c>
      <c r="K1739" s="6">
        <v>0</v>
      </c>
      <c r="L1739" s="7">
        <v>200</v>
      </c>
      <c r="M1739" s="8">
        <v>50</v>
      </c>
      <c r="N1739" s="8">
        <v>0</v>
      </c>
      <c r="O1739" s="8">
        <v>0</v>
      </c>
      <c r="P1739" s="8">
        <v>0</v>
      </c>
      <c r="Q1739" s="8">
        <v>0</v>
      </c>
      <c r="R1739" s="8">
        <v>0</v>
      </c>
      <c r="S1739" s="8">
        <v>0</v>
      </c>
      <c r="T1739" s="5">
        <v>0</v>
      </c>
      <c r="U1739" s="5">
        <v>0</v>
      </c>
      <c r="V1739" s="5">
        <f>VLOOKUP(A1739,Planilha1!B:E,4,0)</f>
        <v>-1.218192805504376</v>
      </c>
    </row>
    <row r="1740" spans="1:22" x14ac:dyDescent="0.3">
      <c r="A1740" t="str">
        <f t="shared" si="54"/>
        <v>COMPOSTOITAMBÉ</v>
      </c>
      <c r="B1740" t="str">
        <f t="shared" si="55"/>
        <v>5226360COMPOSTOITAMBÉ</v>
      </c>
      <c r="C1740" s="5" t="s">
        <v>226</v>
      </c>
      <c r="D1740" s="5" t="s">
        <v>833</v>
      </c>
      <c r="E1740" s="5" t="s">
        <v>852</v>
      </c>
      <c r="F1740" s="5">
        <v>5226360</v>
      </c>
      <c r="G1740" s="5" t="s">
        <v>867</v>
      </c>
      <c r="H1740" s="5" t="s">
        <v>40</v>
      </c>
      <c r="I1740" s="5" t="s">
        <v>27</v>
      </c>
      <c r="J1740" s="5" t="s">
        <v>26</v>
      </c>
      <c r="K1740" s="6">
        <v>0</v>
      </c>
      <c r="L1740" s="7">
        <v>0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  <c r="S1740" s="8">
        <v>0</v>
      </c>
      <c r="T1740" s="5">
        <v>0</v>
      </c>
      <c r="U1740" s="5">
        <v>0</v>
      </c>
      <c r="V1740" s="5">
        <f>VLOOKUP(A1740,Planilha1!B:E,4,0)</f>
        <v>0.15618217875936719</v>
      </c>
    </row>
    <row r="1741" spans="1:22" x14ac:dyDescent="0.3">
      <c r="A1741" t="str">
        <f t="shared" si="54"/>
        <v>IOGURTESITAMBÉ</v>
      </c>
      <c r="B1741" t="str">
        <f t="shared" si="55"/>
        <v>5227605IOGURTESITAMBÉ</v>
      </c>
      <c r="C1741" s="5" t="s">
        <v>226</v>
      </c>
      <c r="D1741" s="5" t="s">
        <v>833</v>
      </c>
      <c r="E1741" s="5" t="s">
        <v>852</v>
      </c>
      <c r="F1741" s="5">
        <v>5227605</v>
      </c>
      <c r="G1741" s="5" t="s">
        <v>870</v>
      </c>
      <c r="H1741" s="5" t="s">
        <v>40</v>
      </c>
      <c r="I1741" s="5" t="s">
        <v>27</v>
      </c>
      <c r="J1741" s="5" t="s">
        <v>153</v>
      </c>
      <c r="K1741" s="6">
        <v>0</v>
      </c>
      <c r="L1741" s="7">
        <v>122.4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  <c r="S1741" s="8">
        <v>0</v>
      </c>
      <c r="T1741" s="5">
        <v>0</v>
      </c>
      <c r="U1741" s="5">
        <v>0</v>
      </c>
      <c r="V1741" s="5">
        <f>VLOOKUP(A1741,Planilha1!B:E,4,0)</f>
        <v>3.2554443184120534</v>
      </c>
    </row>
    <row r="1742" spans="1:22" x14ac:dyDescent="0.3">
      <c r="A1742" t="str">
        <f t="shared" si="54"/>
        <v>LEITE CONDENSADOITAMBÉ</v>
      </c>
      <c r="B1742" t="str">
        <f t="shared" si="55"/>
        <v>5314201LEITE CONDENSADOITAMBÉ</v>
      </c>
      <c r="C1742" s="5" t="s">
        <v>226</v>
      </c>
      <c r="D1742" s="5" t="s">
        <v>833</v>
      </c>
      <c r="E1742" s="5" t="s">
        <v>852</v>
      </c>
      <c r="F1742" s="5">
        <v>5314201</v>
      </c>
      <c r="G1742" s="5" t="s">
        <v>1063</v>
      </c>
      <c r="H1742" s="5" t="s">
        <v>40</v>
      </c>
      <c r="I1742" s="5" t="s">
        <v>27</v>
      </c>
      <c r="J1742" s="5" t="s">
        <v>33</v>
      </c>
      <c r="K1742" s="6">
        <v>0</v>
      </c>
      <c r="L1742" s="7">
        <v>106.65</v>
      </c>
      <c r="M1742" s="8">
        <v>8.8875000000000011</v>
      </c>
      <c r="N1742" s="8">
        <v>17.666666666666668</v>
      </c>
      <c r="O1742" s="8">
        <v>0</v>
      </c>
      <c r="P1742" s="8">
        <v>0</v>
      </c>
      <c r="Q1742" s="8">
        <v>0</v>
      </c>
      <c r="R1742" s="8">
        <v>0</v>
      </c>
      <c r="S1742" s="8">
        <v>0</v>
      </c>
      <c r="T1742" s="5">
        <v>0</v>
      </c>
      <c r="U1742" s="5">
        <v>18</v>
      </c>
      <c r="V1742" s="5">
        <f>VLOOKUP(A1742,Planilha1!B:E,4,0)</f>
        <v>1.4766792698630664</v>
      </c>
    </row>
    <row r="1743" spans="1:22" x14ac:dyDescent="0.3">
      <c r="A1743" t="str">
        <f t="shared" si="54"/>
        <v>CREME UHTITAMBÉ</v>
      </c>
      <c r="B1743" t="str">
        <f t="shared" si="55"/>
        <v>5331983CREME UHTITAMBÉ</v>
      </c>
      <c r="C1743" s="5" t="s">
        <v>226</v>
      </c>
      <c r="D1743" s="5" t="s">
        <v>833</v>
      </c>
      <c r="E1743" s="5" t="s">
        <v>852</v>
      </c>
      <c r="F1743" s="5">
        <v>5331983</v>
      </c>
      <c r="G1743" s="5" t="s">
        <v>1064</v>
      </c>
      <c r="H1743" s="5" t="s">
        <v>40</v>
      </c>
      <c r="I1743" s="5" t="s">
        <v>27</v>
      </c>
      <c r="J1743" s="5" t="s">
        <v>34</v>
      </c>
      <c r="K1743" s="6">
        <v>0</v>
      </c>
      <c r="L1743" s="7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  <c r="S1743" s="8">
        <v>0</v>
      </c>
      <c r="T1743" s="5">
        <v>0</v>
      </c>
      <c r="U1743" s="5">
        <v>0</v>
      </c>
      <c r="V1743" s="5">
        <f>VLOOKUP(A1743,Planilha1!B:E,4,0)</f>
        <v>1.2362540170747773</v>
      </c>
    </row>
    <row r="1744" spans="1:22" x14ac:dyDescent="0.3">
      <c r="A1744" t="str">
        <f t="shared" si="54"/>
        <v>DOCE DE LEITEITAMBÉ</v>
      </c>
      <c r="B1744" t="str">
        <f t="shared" si="55"/>
        <v>5331983DOCE DE LEITEITAMBÉ</v>
      </c>
      <c r="C1744" s="5" t="s">
        <v>226</v>
      </c>
      <c r="D1744" s="5" t="s">
        <v>833</v>
      </c>
      <c r="E1744" s="5" t="s">
        <v>852</v>
      </c>
      <c r="F1744" s="5">
        <v>5331983</v>
      </c>
      <c r="G1744" s="5" t="s">
        <v>1064</v>
      </c>
      <c r="H1744" s="5" t="s">
        <v>40</v>
      </c>
      <c r="I1744" s="5" t="s">
        <v>27</v>
      </c>
      <c r="J1744" s="5" t="s">
        <v>46</v>
      </c>
      <c r="K1744" s="6">
        <v>0</v>
      </c>
      <c r="L1744" s="7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  <c r="S1744" s="8">
        <v>0</v>
      </c>
      <c r="T1744" s="5">
        <v>0</v>
      </c>
      <c r="U1744" s="5">
        <v>0</v>
      </c>
      <c r="V1744" s="5">
        <f>VLOOKUP(A1744,Planilha1!B:E,4,0)</f>
        <v>5.8210743907543439</v>
      </c>
    </row>
    <row r="1745" spans="1:22" x14ac:dyDescent="0.3">
      <c r="A1745" t="str">
        <f t="shared" si="54"/>
        <v>DOCE DE LEITEITAMBÉ</v>
      </c>
      <c r="B1745" t="str">
        <f t="shared" si="55"/>
        <v>5332489DOCE DE LEITEITAMBÉ</v>
      </c>
      <c r="C1745" s="5" t="s">
        <v>226</v>
      </c>
      <c r="D1745" s="5" t="s">
        <v>833</v>
      </c>
      <c r="E1745" s="5" t="s">
        <v>852</v>
      </c>
      <c r="F1745" s="5">
        <v>5332489</v>
      </c>
      <c r="G1745" s="5" t="s">
        <v>1065</v>
      </c>
      <c r="H1745" s="5" t="s">
        <v>40</v>
      </c>
      <c r="I1745" s="5" t="s">
        <v>27</v>
      </c>
      <c r="J1745" s="5" t="s">
        <v>46</v>
      </c>
      <c r="K1745" s="6">
        <v>0</v>
      </c>
      <c r="L1745" s="7">
        <v>150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  <c r="S1745" s="8">
        <v>0</v>
      </c>
      <c r="T1745" s="5">
        <v>0</v>
      </c>
      <c r="U1745" s="5">
        <v>0</v>
      </c>
      <c r="V1745" s="5">
        <f>VLOOKUP(A1745,Planilha1!B:E,4,0)</f>
        <v>5.8210743907543439</v>
      </c>
    </row>
    <row r="1746" spans="1:22" x14ac:dyDescent="0.3">
      <c r="A1746" t="str">
        <f t="shared" si="54"/>
        <v>CREME UHTITAMBÉ</v>
      </c>
      <c r="B1746" t="str">
        <f t="shared" si="55"/>
        <v>5338003CREME UHTITAMBÉ</v>
      </c>
      <c r="C1746" s="5" t="s">
        <v>226</v>
      </c>
      <c r="D1746" s="5" t="s">
        <v>833</v>
      </c>
      <c r="E1746" s="5" t="s">
        <v>852</v>
      </c>
      <c r="F1746" s="5">
        <v>5338003</v>
      </c>
      <c r="G1746" s="5" t="s">
        <v>874</v>
      </c>
      <c r="H1746" s="5" t="s">
        <v>40</v>
      </c>
      <c r="I1746" s="5" t="s">
        <v>27</v>
      </c>
      <c r="J1746" s="5" t="s">
        <v>34</v>
      </c>
      <c r="K1746" s="6">
        <v>0</v>
      </c>
      <c r="L1746" s="7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  <c r="S1746" s="8">
        <v>0</v>
      </c>
      <c r="T1746" s="5">
        <v>0</v>
      </c>
      <c r="U1746" s="5">
        <v>0</v>
      </c>
      <c r="V1746" s="5">
        <f>VLOOKUP(A1746,Planilha1!B:E,4,0)</f>
        <v>1.2362540170747773</v>
      </c>
    </row>
    <row r="1747" spans="1:22" x14ac:dyDescent="0.3">
      <c r="A1747" t="str">
        <f t="shared" si="54"/>
        <v>COMPOSTOITAMBÉ</v>
      </c>
      <c r="B1747" t="str">
        <f t="shared" si="55"/>
        <v>5344709COMPOSTOITAMBÉ</v>
      </c>
      <c r="C1747" s="5" t="s">
        <v>226</v>
      </c>
      <c r="D1747" s="5" t="s">
        <v>833</v>
      </c>
      <c r="E1747" s="5" t="s">
        <v>852</v>
      </c>
      <c r="F1747" s="5">
        <v>5344709</v>
      </c>
      <c r="G1747" s="5" t="s">
        <v>1066</v>
      </c>
      <c r="H1747" s="5" t="s">
        <v>40</v>
      </c>
      <c r="I1747" s="5" t="s">
        <v>27</v>
      </c>
      <c r="J1747" s="5" t="s">
        <v>26</v>
      </c>
      <c r="K1747" s="6">
        <v>0</v>
      </c>
      <c r="L1747" s="7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0</v>
      </c>
      <c r="T1747" s="5">
        <v>0</v>
      </c>
      <c r="U1747" s="5">
        <v>0</v>
      </c>
      <c r="V1747" s="5">
        <f>VLOOKUP(A1747,Planilha1!B:E,4,0)</f>
        <v>0.15618217875936719</v>
      </c>
    </row>
    <row r="1748" spans="1:22" x14ac:dyDescent="0.3">
      <c r="A1748" t="str">
        <f t="shared" si="54"/>
        <v>DOCE DE LEITEITAMBÉ</v>
      </c>
      <c r="B1748" t="str">
        <f t="shared" si="55"/>
        <v>5344709DOCE DE LEITEITAMBÉ</v>
      </c>
      <c r="C1748" s="5" t="s">
        <v>226</v>
      </c>
      <c r="D1748" s="5" t="s">
        <v>833</v>
      </c>
      <c r="E1748" s="5" t="s">
        <v>852</v>
      </c>
      <c r="F1748" s="5">
        <v>5344709</v>
      </c>
      <c r="G1748" s="5" t="s">
        <v>1066</v>
      </c>
      <c r="H1748" s="5" t="s">
        <v>40</v>
      </c>
      <c r="I1748" s="5" t="s">
        <v>27</v>
      </c>
      <c r="J1748" s="5" t="s">
        <v>46</v>
      </c>
      <c r="K1748" s="6">
        <v>0</v>
      </c>
      <c r="L1748" s="7">
        <v>0</v>
      </c>
      <c r="M1748" s="8">
        <v>0</v>
      </c>
      <c r="N1748" s="8">
        <v>0</v>
      </c>
      <c r="O1748" s="8">
        <v>0</v>
      </c>
      <c r="P1748" s="8">
        <v>0</v>
      </c>
      <c r="Q1748" s="8">
        <v>0</v>
      </c>
      <c r="R1748" s="8">
        <v>0</v>
      </c>
      <c r="S1748" s="8">
        <v>0</v>
      </c>
      <c r="T1748" s="5">
        <v>0</v>
      </c>
      <c r="U1748" s="5">
        <v>0</v>
      </c>
      <c r="V1748" s="5">
        <f>VLOOKUP(A1748,Planilha1!B:E,4,0)</f>
        <v>5.8210743907543439</v>
      </c>
    </row>
    <row r="1749" spans="1:22" x14ac:dyDescent="0.3">
      <c r="A1749" t="str">
        <f t="shared" si="54"/>
        <v>LEITE UHTITAMBÉ</v>
      </c>
      <c r="B1749" t="str">
        <f t="shared" si="55"/>
        <v>5026768LEITE UHTITAMBÉ</v>
      </c>
      <c r="C1749" s="5" t="s">
        <v>226</v>
      </c>
      <c r="D1749" s="5" t="s">
        <v>833</v>
      </c>
      <c r="E1749" s="5" t="s">
        <v>875</v>
      </c>
      <c r="F1749" s="5">
        <v>5026768</v>
      </c>
      <c r="G1749" s="5" t="s">
        <v>877</v>
      </c>
      <c r="H1749" s="5" t="s">
        <v>91</v>
      </c>
      <c r="I1749" s="5" t="s">
        <v>27</v>
      </c>
      <c r="J1749" s="5" t="s">
        <v>156</v>
      </c>
      <c r="K1749" s="6">
        <v>0</v>
      </c>
      <c r="L1749" s="7">
        <v>0</v>
      </c>
      <c r="M1749" s="8">
        <v>116</v>
      </c>
      <c r="N1749" s="8">
        <v>152</v>
      </c>
      <c r="O1749" s="8">
        <v>0</v>
      </c>
      <c r="P1749" s="8">
        <v>0</v>
      </c>
      <c r="Q1749" s="8">
        <v>0</v>
      </c>
      <c r="R1749" s="8">
        <v>0</v>
      </c>
      <c r="S1749" s="8">
        <v>0</v>
      </c>
      <c r="T1749" s="5">
        <v>0</v>
      </c>
      <c r="U1749" s="5">
        <v>0</v>
      </c>
      <c r="V1749" s="5">
        <f>VLOOKUP(A1749,Planilha1!B:E,4,0)</f>
        <v>-0.14425288609148015</v>
      </c>
    </row>
    <row r="1750" spans="1:22" x14ac:dyDescent="0.3">
      <c r="A1750" t="str">
        <f t="shared" si="54"/>
        <v>CREME UHTITAMBÉ</v>
      </c>
      <c r="B1750" t="str">
        <f t="shared" si="55"/>
        <v>5164138CREME UHTITAMBÉ</v>
      </c>
      <c r="C1750" s="5" t="s">
        <v>226</v>
      </c>
      <c r="D1750" s="5" t="s">
        <v>833</v>
      </c>
      <c r="E1750" s="5" t="s">
        <v>875</v>
      </c>
      <c r="F1750" s="5">
        <v>5164138</v>
      </c>
      <c r="G1750" s="5" t="s">
        <v>1067</v>
      </c>
      <c r="H1750" s="5" t="s">
        <v>91</v>
      </c>
      <c r="I1750" s="5" t="s">
        <v>27</v>
      </c>
      <c r="J1750" s="5" t="s">
        <v>34</v>
      </c>
      <c r="K1750" s="6">
        <v>0</v>
      </c>
      <c r="L1750" s="7">
        <v>2242.1999999999998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0</v>
      </c>
      <c r="S1750" s="8">
        <v>0</v>
      </c>
      <c r="T1750" s="5">
        <v>0</v>
      </c>
      <c r="U1750" s="5">
        <v>0</v>
      </c>
      <c r="V1750" s="5">
        <f>VLOOKUP(A1750,Planilha1!B:E,4,0)</f>
        <v>1.2362540170747773</v>
      </c>
    </row>
    <row r="1751" spans="1:22" x14ac:dyDescent="0.3">
      <c r="A1751" t="str">
        <f t="shared" si="54"/>
        <v>DOCE DE LEITEITAMBÉ</v>
      </c>
      <c r="B1751" t="str">
        <f t="shared" si="55"/>
        <v>5164138DOCE DE LEITEITAMBÉ</v>
      </c>
      <c r="C1751" s="5" t="s">
        <v>226</v>
      </c>
      <c r="D1751" s="5" t="s">
        <v>833</v>
      </c>
      <c r="E1751" s="5" t="s">
        <v>875</v>
      </c>
      <c r="F1751" s="5">
        <v>5164138</v>
      </c>
      <c r="G1751" s="5" t="s">
        <v>1067</v>
      </c>
      <c r="H1751" s="5" t="s">
        <v>91</v>
      </c>
      <c r="I1751" s="5" t="s">
        <v>27</v>
      </c>
      <c r="J1751" s="5" t="s">
        <v>46</v>
      </c>
      <c r="K1751" s="6">
        <v>0</v>
      </c>
      <c r="L1751" s="7">
        <v>120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  <c r="S1751" s="8">
        <v>0</v>
      </c>
      <c r="T1751" s="5">
        <v>0</v>
      </c>
      <c r="U1751" s="5">
        <v>0</v>
      </c>
      <c r="V1751" s="5">
        <f>VLOOKUP(A1751,Planilha1!B:E,4,0)</f>
        <v>5.8210743907543439</v>
      </c>
    </row>
    <row r="1752" spans="1:22" x14ac:dyDescent="0.3">
      <c r="A1752" t="str">
        <f t="shared" si="54"/>
        <v>LEITE CONDENSADOITAMBÉ</v>
      </c>
      <c r="B1752" t="str">
        <f t="shared" si="55"/>
        <v>5164138LEITE CONDENSADOITAMBÉ</v>
      </c>
      <c r="C1752" s="5" t="s">
        <v>226</v>
      </c>
      <c r="D1752" s="5" t="s">
        <v>833</v>
      </c>
      <c r="E1752" s="5" t="s">
        <v>875</v>
      </c>
      <c r="F1752" s="5">
        <v>5164138</v>
      </c>
      <c r="G1752" s="5" t="s">
        <v>1067</v>
      </c>
      <c r="H1752" s="5" t="s">
        <v>91</v>
      </c>
      <c r="I1752" s="5" t="s">
        <v>27</v>
      </c>
      <c r="J1752" s="5" t="s">
        <v>33</v>
      </c>
      <c r="K1752" s="6">
        <v>0</v>
      </c>
      <c r="L1752" s="7">
        <v>2500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  <c r="S1752" s="8">
        <v>2500</v>
      </c>
      <c r="T1752" s="5">
        <v>2500</v>
      </c>
      <c r="U1752" s="5">
        <v>2500</v>
      </c>
      <c r="V1752" s="5">
        <f>VLOOKUP(A1752,Planilha1!B:E,4,0)</f>
        <v>1.4766792698630664</v>
      </c>
    </row>
    <row r="1753" spans="1:22" x14ac:dyDescent="0.3">
      <c r="A1753" t="str">
        <f t="shared" si="54"/>
        <v>COMPOSTOITAMBÉ</v>
      </c>
      <c r="B1753" t="str">
        <f t="shared" si="55"/>
        <v>5182512COMPOSTOITAMBÉ</v>
      </c>
      <c r="C1753" s="5" t="s">
        <v>226</v>
      </c>
      <c r="D1753" s="5" t="s">
        <v>833</v>
      </c>
      <c r="E1753" s="5" t="s">
        <v>875</v>
      </c>
      <c r="F1753" s="5">
        <v>5182512</v>
      </c>
      <c r="G1753" s="5" t="s">
        <v>882</v>
      </c>
      <c r="H1753" s="5" t="s">
        <v>91</v>
      </c>
      <c r="I1753" s="5" t="s">
        <v>27</v>
      </c>
      <c r="J1753" s="5" t="s">
        <v>26</v>
      </c>
      <c r="K1753" s="6">
        <v>0</v>
      </c>
      <c r="L1753" s="7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  <c r="S1753" s="8">
        <v>0</v>
      </c>
      <c r="T1753" s="5">
        <v>0</v>
      </c>
      <c r="U1753" s="5">
        <v>0</v>
      </c>
      <c r="V1753" s="5">
        <f>VLOOKUP(A1753,Planilha1!B:E,4,0)</f>
        <v>0.15618217875936719</v>
      </c>
    </row>
    <row r="1754" spans="1:22" x14ac:dyDescent="0.3">
      <c r="A1754" t="str">
        <f t="shared" si="54"/>
        <v>MANTEIGA 5KGITAMBÉ</v>
      </c>
      <c r="B1754" t="str">
        <f t="shared" si="55"/>
        <v>5187333MANTEIGA 5KGITAMBÉ</v>
      </c>
      <c r="C1754" s="5" t="s">
        <v>226</v>
      </c>
      <c r="D1754" s="5" t="s">
        <v>833</v>
      </c>
      <c r="E1754" s="5" t="s">
        <v>875</v>
      </c>
      <c r="F1754" s="5">
        <v>5187333</v>
      </c>
      <c r="G1754" s="5" t="s">
        <v>1068</v>
      </c>
      <c r="H1754" s="5" t="s">
        <v>91</v>
      </c>
      <c r="I1754" s="5" t="s">
        <v>27</v>
      </c>
      <c r="J1754" s="5" t="s">
        <v>60</v>
      </c>
      <c r="K1754" s="6">
        <v>0</v>
      </c>
      <c r="L1754" s="7">
        <v>0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0</v>
      </c>
      <c r="S1754" s="8">
        <v>0</v>
      </c>
      <c r="T1754" s="5">
        <v>0</v>
      </c>
      <c r="U1754" s="5">
        <v>0</v>
      </c>
      <c r="V1754" s="5">
        <f>VLOOKUP(A1754,Planilha1!B:E,4,0)</f>
        <v>5.819800475298738</v>
      </c>
    </row>
    <row r="1755" spans="1:22" x14ac:dyDescent="0.3">
      <c r="A1755" t="str">
        <f t="shared" si="54"/>
        <v>LEITE CONDENSADOITAMBÉ</v>
      </c>
      <c r="B1755" t="str">
        <f t="shared" si="55"/>
        <v>5200068LEITE CONDENSADOITAMBÉ</v>
      </c>
      <c r="C1755" s="5" t="s">
        <v>226</v>
      </c>
      <c r="D1755" s="5" t="s">
        <v>833</v>
      </c>
      <c r="E1755" s="5" t="s">
        <v>875</v>
      </c>
      <c r="F1755" s="5">
        <v>5200068</v>
      </c>
      <c r="G1755" s="5" t="s">
        <v>1069</v>
      </c>
      <c r="H1755" s="5" t="s">
        <v>91</v>
      </c>
      <c r="I1755" s="5" t="s">
        <v>27</v>
      </c>
      <c r="J1755" s="5" t="s">
        <v>33</v>
      </c>
      <c r="K1755" s="6">
        <v>0</v>
      </c>
      <c r="L1755" s="7">
        <v>450</v>
      </c>
      <c r="M1755" s="8">
        <v>146.66666666666666</v>
      </c>
      <c r="N1755" s="8">
        <v>193.33333333333334</v>
      </c>
      <c r="O1755" s="8">
        <v>0</v>
      </c>
      <c r="P1755" s="8">
        <v>0</v>
      </c>
      <c r="Q1755" s="8">
        <v>0</v>
      </c>
      <c r="R1755" s="8">
        <v>0</v>
      </c>
      <c r="S1755" s="8">
        <v>193.33333333333334</v>
      </c>
      <c r="T1755" s="5">
        <v>193.33333333333334</v>
      </c>
      <c r="U1755" s="5">
        <v>193.33333333333334</v>
      </c>
      <c r="V1755" s="5">
        <f>VLOOKUP(A1755,Planilha1!B:E,4,0)</f>
        <v>1.4766792698630664</v>
      </c>
    </row>
    <row r="1756" spans="1:22" x14ac:dyDescent="0.3">
      <c r="A1756" t="str">
        <f t="shared" si="54"/>
        <v>CREME UHTITAMBÉ</v>
      </c>
      <c r="B1756" t="str">
        <f t="shared" si="55"/>
        <v>5200125CREME UHTITAMBÉ</v>
      </c>
      <c r="C1756" s="5" t="s">
        <v>226</v>
      </c>
      <c r="D1756" s="5" t="s">
        <v>833</v>
      </c>
      <c r="E1756" s="5" t="s">
        <v>875</v>
      </c>
      <c r="F1756" s="5">
        <v>5200125</v>
      </c>
      <c r="G1756" s="5" t="s">
        <v>886</v>
      </c>
      <c r="H1756" s="5" t="s">
        <v>91</v>
      </c>
      <c r="I1756" s="5" t="s">
        <v>27</v>
      </c>
      <c r="J1756" s="5" t="s">
        <v>34</v>
      </c>
      <c r="K1756" s="6">
        <v>0</v>
      </c>
      <c r="L1756" s="7">
        <v>0</v>
      </c>
      <c r="M1756" s="8">
        <v>27</v>
      </c>
      <c r="N1756" s="8">
        <v>36</v>
      </c>
      <c r="O1756" s="8">
        <v>0</v>
      </c>
      <c r="P1756" s="8">
        <v>0</v>
      </c>
      <c r="Q1756" s="8">
        <v>0</v>
      </c>
      <c r="R1756" s="8">
        <v>0</v>
      </c>
      <c r="S1756" s="8">
        <v>108</v>
      </c>
      <c r="T1756" s="5">
        <v>108</v>
      </c>
      <c r="U1756" s="5">
        <v>108</v>
      </c>
      <c r="V1756" s="5">
        <f>VLOOKUP(A1756,Planilha1!B:E,4,0)</f>
        <v>1.2362540170747773</v>
      </c>
    </row>
    <row r="1757" spans="1:22" x14ac:dyDescent="0.3">
      <c r="A1757" t="str">
        <f t="shared" si="54"/>
        <v>COMPOSTOITAMBÉ</v>
      </c>
      <c r="B1757" t="str">
        <f t="shared" si="55"/>
        <v>5209002COMPOSTOITAMBÉ</v>
      </c>
      <c r="C1757" s="5" t="s">
        <v>226</v>
      </c>
      <c r="D1757" s="5" t="s">
        <v>833</v>
      </c>
      <c r="E1757" s="5" t="s">
        <v>875</v>
      </c>
      <c r="F1757" s="5">
        <v>5209002</v>
      </c>
      <c r="G1757" s="5" t="s">
        <v>888</v>
      </c>
      <c r="H1757" s="5" t="s">
        <v>91</v>
      </c>
      <c r="I1757" s="5" t="s">
        <v>27</v>
      </c>
      <c r="J1757" s="5" t="s">
        <v>26</v>
      </c>
      <c r="K1757" s="6">
        <v>0</v>
      </c>
      <c r="L1757" s="7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  <c r="S1757" s="8">
        <v>0</v>
      </c>
      <c r="T1757" s="5">
        <v>0</v>
      </c>
      <c r="U1757" s="5">
        <v>0</v>
      </c>
      <c r="V1757" s="5">
        <f>VLOOKUP(A1757,Planilha1!B:E,4,0)</f>
        <v>0.15618217875936719</v>
      </c>
    </row>
    <row r="1758" spans="1:22" x14ac:dyDescent="0.3">
      <c r="A1758" t="str">
        <f t="shared" si="54"/>
        <v>BLISTERITAMBÉ</v>
      </c>
      <c r="B1758" t="str">
        <f t="shared" si="55"/>
        <v>5004685BLISTERITAMBÉ</v>
      </c>
      <c r="C1758" s="5" t="s">
        <v>226</v>
      </c>
      <c r="D1758" s="5" t="s">
        <v>227</v>
      </c>
      <c r="E1758" s="5" t="s">
        <v>1070</v>
      </c>
      <c r="F1758" s="5">
        <v>5004685</v>
      </c>
      <c r="G1758" s="5" t="s">
        <v>229</v>
      </c>
      <c r="H1758" s="5" t="s">
        <v>30</v>
      </c>
      <c r="I1758" s="5" t="s">
        <v>27</v>
      </c>
      <c r="J1758" s="5" t="s">
        <v>199</v>
      </c>
      <c r="K1758" s="6">
        <v>0</v>
      </c>
      <c r="L1758" s="7">
        <v>0</v>
      </c>
      <c r="M1758" s="8">
        <v>59.52</v>
      </c>
      <c r="N1758" s="8">
        <v>23</v>
      </c>
      <c r="O1758" s="8">
        <v>0</v>
      </c>
      <c r="P1758" s="8">
        <v>3.84</v>
      </c>
      <c r="Q1758" s="8">
        <v>38.4</v>
      </c>
      <c r="R1758" s="8">
        <v>17.28</v>
      </c>
      <c r="S1758" s="8">
        <v>0</v>
      </c>
      <c r="T1758" s="5">
        <v>0</v>
      </c>
      <c r="U1758" s="5">
        <v>0</v>
      </c>
      <c r="V1758" s="5">
        <f>VLOOKUP(A1758,Planilha1!B:E,4,0)</f>
        <v>10.339882680976428</v>
      </c>
    </row>
    <row r="1759" spans="1:22" x14ac:dyDescent="0.3">
      <c r="A1759" t="str">
        <f t="shared" si="54"/>
        <v>DOCE DE LEITELACTALIS</v>
      </c>
      <c r="B1759" t="str">
        <f t="shared" si="55"/>
        <v>5004685DOCE DE LEITELACTALIS</v>
      </c>
      <c r="C1759" s="5" t="s">
        <v>226</v>
      </c>
      <c r="D1759" s="5" t="s">
        <v>227</v>
      </c>
      <c r="E1759" s="5" t="s">
        <v>1070</v>
      </c>
      <c r="F1759" s="5">
        <v>5004685</v>
      </c>
      <c r="G1759" s="5" t="s">
        <v>229</v>
      </c>
      <c r="H1759" s="5" t="s">
        <v>30</v>
      </c>
      <c r="I1759" s="5" t="s">
        <v>22</v>
      </c>
      <c r="J1759" s="5" t="s">
        <v>46</v>
      </c>
      <c r="K1759" s="6">
        <v>0</v>
      </c>
      <c r="L1759" s="7">
        <v>415.5</v>
      </c>
      <c r="M1759" s="8">
        <v>-20</v>
      </c>
      <c r="N1759" s="8">
        <v>0</v>
      </c>
      <c r="O1759" s="8">
        <v>0</v>
      </c>
      <c r="P1759" s="8">
        <v>0</v>
      </c>
      <c r="Q1759" s="8">
        <v>0</v>
      </c>
      <c r="R1759" s="8">
        <v>0</v>
      </c>
      <c r="S1759" s="8">
        <v>0</v>
      </c>
      <c r="T1759" s="5">
        <v>0</v>
      </c>
      <c r="U1759" s="5">
        <v>0</v>
      </c>
      <c r="V1759" s="5">
        <f>VLOOKUP(A1759,Planilha1!B:E,4,0)</f>
        <v>5.6473514327668077</v>
      </c>
    </row>
    <row r="1760" spans="1:22" x14ac:dyDescent="0.3">
      <c r="A1760" t="str">
        <f t="shared" si="54"/>
        <v>LPI 25KGITAMBÉ</v>
      </c>
      <c r="B1760" t="str">
        <f t="shared" si="55"/>
        <v>5004685LPI 25KGITAMBÉ</v>
      </c>
      <c r="C1760" s="5" t="s">
        <v>226</v>
      </c>
      <c r="D1760" s="5" t="s">
        <v>227</v>
      </c>
      <c r="E1760" s="5" t="s">
        <v>1070</v>
      </c>
      <c r="F1760" s="5">
        <v>5004685</v>
      </c>
      <c r="G1760" s="5" t="s">
        <v>229</v>
      </c>
      <c r="H1760" s="5" t="s">
        <v>30</v>
      </c>
      <c r="I1760" s="5" t="s">
        <v>27</v>
      </c>
      <c r="J1760" s="5" t="s">
        <v>21</v>
      </c>
      <c r="K1760" s="6">
        <v>0</v>
      </c>
      <c r="L1760" s="7">
        <v>2000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0</v>
      </c>
      <c r="S1760" s="8">
        <v>0</v>
      </c>
      <c r="T1760" s="5">
        <v>0</v>
      </c>
      <c r="U1760" s="5">
        <v>0</v>
      </c>
      <c r="V1760" s="5">
        <f>VLOOKUP(A1760,Planilha1!B:E,4,0)</f>
        <v>-1.218192805504376</v>
      </c>
    </row>
    <row r="1761" spans="1:22" x14ac:dyDescent="0.3">
      <c r="A1761" t="str">
        <f t="shared" si="54"/>
        <v>QUEIJOSLACTALIS</v>
      </c>
      <c r="B1761" t="str">
        <f t="shared" si="55"/>
        <v>5004685QUEIJOSLACTALIS</v>
      </c>
      <c r="C1761" s="5" t="s">
        <v>226</v>
      </c>
      <c r="D1761" s="5" t="s">
        <v>227</v>
      </c>
      <c r="E1761" s="5" t="s">
        <v>1070</v>
      </c>
      <c r="F1761" s="5">
        <v>5004685</v>
      </c>
      <c r="G1761" s="5" t="s">
        <v>229</v>
      </c>
      <c r="H1761" s="5" t="s">
        <v>30</v>
      </c>
      <c r="I1761" s="5" t="s">
        <v>22</v>
      </c>
      <c r="J1761" s="5" t="s">
        <v>63</v>
      </c>
      <c r="K1761" s="6">
        <v>0</v>
      </c>
      <c r="L1761" s="7">
        <v>984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0</v>
      </c>
      <c r="S1761" s="8">
        <v>0</v>
      </c>
      <c r="T1761" s="5">
        <v>0</v>
      </c>
      <c r="U1761" s="5">
        <v>0</v>
      </c>
      <c r="V1761" s="5">
        <f>VLOOKUP(A1761,Planilha1!B:E,4,0)</f>
        <v>-1.9171310037550682</v>
      </c>
    </row>
    <row r="1762" spans="1:22" x14ac:dyDescent="0.3">
      <c r="A1762" t="str">
        <f t="shared" si="54"/>
        <v>SPREADSLACTALIS</v>
      </c>
      <c r="B1762" t="str">
        <f t="shared" si="55"/>
        <v>5004685SPREADSLACTALIS</v>
      </c>
      <c r="C1762" s="5" t="s">
        <v>226</v>
      </c>
      <c r="D1762" s="5" t="s">
        <v>227</v>
      </c>
      <c r="E1762" s="5" t="s">
        <v>1070</v>
      </c>
      <c r="F1762" s="5">
        <v>5004685</v>
      </c>
      <c r="G1762" s="5" t="s">
        <v>229</v>
      </c>
      <c r="H1762" s="5" t="s">
        <v>30</v>
      </c>
      <c r="I1762" s="5" t="s">
        <v>22</v>
      </c>
      <c r="J1762" s="5" t="s">
        <v>945</v>
      </c>
      <c r="K1762" s="6">
        <v>0</v>
      </c>
      <c r="L1762" s="7">
        <v>120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0</v>
      </c>
      <c r="S1762" s="8">
        <v>0</v>
      </c>
      <c r="T1762" s="5">
        <v>0</v>
      </c>
      <c r="U1762" s="5">
        <v>0</v>
      </c>
      <c r="V1762" s="5">
        <f>VLOOKUP(A1762,Planilha1!B:E,4,0)</f>
        <v>13.599044988219518</v>
      </c>
    </row>
    <row r="1763" spans="1:22" x14ac:dyDescent="0.3">
      <c r="A1763" t="str">
        <f t="shared" si="54"/>
        <v>CREME UHTITAMBÉ</v>
      </c>
      <c r="B1763" t="str">
        <f t="shared" si="55"/>
        <v>5213484CREME UHTITAMBÉ</v>
      </c>
      <c r="C1763" s="5" t="s">
        <v>226</v>
      </c>
      <c r="D1763" s="5" t="s">
        <v>227</v>
      </c>
      <c r="E1763" s="5" t="s">
        <v>228</v>
      </c>
      <c r="F1763" s="5">
        <v>5213484</v>
      </c>
      <c r="G1763" s="5" t="s">
        <v>236</v>
      </c>
      <c r="H1763" s="5" t="s">
        <v>30</v>
      </c>
      <c r="I1763" s="5" t="s">
        <v>27</v>
      </c>
      <c r="J1763" s="5" t="s">
        <v>34</v>
      </c>
      <c r="K1763" s="6">
        <v>0</v>
      </c>
      <c r="L1763" s="7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  <c r="S1763" s="8">
        <v>0</v>
      </c>
      <c r="T1763" s="5">
        <v>0</v>
      </c>
      <c r="U1763" s="5">
        <v>0</v>
      </c>
      <c r="V1763" s="5">
        <f>VLOOKUP(A1763,Planilha1!B:E,4,0)</f>
        <v>1.2362540170747773</v>
      </c>
    </row>
    <row r="1764" spans="1:22" x14ac:dyDescent="0.3">
      <c r="A1764" t="str">
        <f t="shared" si="54"/>
        <v>LEITE CONDENSADOITAMBÉ</v>
      </c>
      <c r="B1764" t="str">
        <f t="shared" si="55"/>
        <v>5213484LEITE CONDENSADOITAMBÉ</v>
      </c>
      <c r="C1764" s="5" t="s">
        <v>226</v>
      </c>
      <c r="D1764" s="5" t="s">
        <v>227</v>
      </c>
      <c r="E1764" s="5" t="s">
        <v>228</v>
      </c>
      <c r="F1764" s="5">
        <v>5213484</v>
      </c>
      <c r="G1764" s="5" t="s">
        <v>236</v>
      </c>
      <c r="H1764" s="5" t="s">
        <v>30</v>
      </c>
      <c r="I1764" s="5" t="s">
        <v>27</v>
      </c>
      <c r="J1764" s="5" t="s">
        <v>33</v>
      </c>
      <c r="K1764" s="6">
        <v>0</v>
      </c>
      <c r="L1764" s="7">
        <v>0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  <c r="S1764" s="8">
        <v>450</v>
      </c>
      <c r="T1764" s="5">
        <v>450</v>
      </c>
      <c r="U1764" s="5">
        <v>0</v>
      </c>
      <c r="V1764" s="5">
        <f>VLOOKUP(A1764,Planilha1!B:E,4,0)</f>
        <v>1.4766792698630664</v>
      </c>
    </row>
    <row r="1765" spans="1:22" x14ac:dyDescent="0.3">
      <c r="A1765" t="str">
        <f t="shared" si="54"/>
        <v>QUEIJOSLACTALIS</v>
      </c>
      <c r="B1765" t="str">
        <f t="shared" si="55"/>
        <v>5012419QUEIJOSLACTALIS</v>
      </c>
      <c r="C1765" s="5" t="s">
        <v>226</v>
      </c>
      <c r="D1765" s="5" t="s">
        <v>227</v>
      </c>
      <c r="E1765" s="5" t="s">
        <v>1722</v>
      </c>
      <c r="F1765" s="5">
        <v>5012419</v>
      </c>
      <c r="G1765" s="5" t="s">
        <v>1071</v>
      </c>
      <c r="H1765" s="5" t="s">
        <v>30</v>
      </c>
      <c r="I1765" s="5" t="s">
        <v>22</v>
      </c>
      <c r="J1765" s="5" t="s">
        <v>63</v>
      </c>
      <c r="K1765" s="6">
        <v>0</v>
      </c>
      <c r="L1765" s="7">
        <v>0</v>
      </c>
      <c r="M1765" s="8">
        <v>8</v>
      </c>
      <c r="N1765" s="8">
        <v>6.4</v>
      </c>
      <c r="O1765" s="8">
        <v>0</v>
      </c>
      <c r="P1765" s="8">
        <v>0</v>
      </c>
      <c r="Q1765" s="8">
        <v>0</v>
      </c>
      <c r="R1765" s="8">
        <v>0</v>
      </c>
      <c r="S1765" s="8">
        <v>0</v>
      </c>
      <c r="T1765" s="5">
        <v>0</v>
      </c>
      <c r="U1765" s="5">
        <v>0</v>
      </c>
      <c r="V1765" s="5">
        <f>VLOOKUP(A1765,Planilha1!B:E,4,0)</f>
        <v>-1.9171310037550682</v>
      </c>
    </row>
    <row r="1766" spans="1:22" x14ac:dyDescent="0.3">
      <c r="A1766" t="str">
        <f t="shared" si="54"/>
        <v>CREME UHTLACTALIS</v>
      </c>
      <c r="B1766" t="str">
        <f t="shared" si="55"/>
        <v>5027929CREME UHTLACTALIS</v>
      </c>
      <c r="C1766" s="5" t="s">
        <v>226</v>
      </c>
      <c r="D1766" s="5" t="s">
        <v>227</v>
      </c>
      <c r="E1766" s="5" t="s">
        <v>1722</v>
      </c>
      <c r="F1766" s="5">
        <v>5027929</v>
      </c>
      <c r="G1766" s="5" t="s">
        <v>239</v>
      </c>
      <c r="H1766" s="5" t="s">
        <v>30</v>
      </c>
      <c r="I1766" s="5" t="s">
        <v>22</v>
      </c>
      <c r="J1766" s="5" t="s">
        <v>34</v>
      </c>
      <c r="K1766" s="6">
        <v>0</v>
      </c>
      <c r="L1766" s="7">
        <v>0</v>
      </c>
      <c r="M1766" s="8">
        <v>22.5</v>
      </c>
      <c r="N1766" s="8">
        <v>36</v>
      </c>
      <c r="O1766" s="8">
        <v>0</v>
      </c>
      <c r="P1766" s="8">
        <v>0</v>
      </c>
      <c r="Q1766" s="8">
        <v>162</v>
      </c>
      <c r="R1766" s="8">
        <v>0</v>
      </c>
      <c r="S1766" s="8">
        <v>0</v>
      </c>
      <c r="T1766" s="5">
        <v>0</v>
      </c>
      <c r="U1766" s="5">
        <v>0</v>
      </c>
      <c r="V1766" s="5">
        <f>VLOOKUP(A1766,Planilha1!B:E,4,0)</f>
        <v>-1.4094522863012933</v>
      </c>
    </row>
    <row r="1767" spans="1:22" x14ac:dyDescent="0.3">
      <c r="A1767" t="str">
        <f t="shared" si="54"/>
        <v>LEITE CONDENSADOLACTALIS</v>
      </c>
      <c r="B1767" t="str">
        <f t="shared" si="55"/>
        <v>5027929LEITE CONDENSADOLACTALIS</v>
      </c>
      <c r="C1767" s="5" t="s">
        <v>226</v>
      </c>
      <c r="D1767" s="5" t="s">
        <v>227</v>
      </c>
      <c r="E1767" s="5" t="s">
        <v>1722</v>
      </c>
      <c r="F1767" s="5">
        <v>5027929</v>
      </c>
      <c r="G1767" s="5" t="s">
        <v>239</v>
      </c>
      <c r="H1767" s="5" t="s">
        <v>30</v>
      </c>
      <c r="I1767" s="5" t="s">
        <v>22</v>
      </c>
      <c r="J1767" s="5" t="s">
        <v>33</v>
      </c>
      <c r="K1767" s="6">
        <v>0</v>
      </c>
      <c r="L1767" s="7">
        <v>0</v>
      </c>
      <c r="M1767" s="8">
        <v>31.599999999999998</v>
      </c>
      <c r="N1767" s="8">
        <v>63.199999999999996</v>
      </c>
      <c r="O1767" s="8">
        <v>0</v>
      </c>
      <c r="P1767" s="8">
        <v>0</v>
      </c>
      <c r="Q1767" s="8">
        <v>0</v>
      </c>
      <c r="R1767" s="8">
        <v>0</v>
      </c>
      <c r="S1767" s="8">
        <v>0</v>
      </c>
      <c r="T1767" s="5">
        <v>0</v>
      </c>
      <c r="U1767" s="5">
        <v>0</v>
      </c>
      <c r="V1767" s="5">
        <f>VLOOKUP(A1767,Planilha1!B:E,4,0)</f>
        <v>1.8665071822970765</v>
      </c>
    </row>
    <row r="1768" spans="1:22" x14ac:dyDescent="0.3">
      <c r="A1768" t="str">
        <f t="shared" si="54"/>
        <v>LEITE UHTLACTALIS</v>
      </c>
      <c r="B1768" t="str">
        <f t="shared" si="55"/>
        <v>5027929LEITE UHTLACTALIS</v>
      </c>
      <c r="C1768" s="5" t="s">
        <v>226</v>
      </c>
      <c r="D1768" s="5" t="s">
        <v>227</v>
      </c>
      <c r="E1768" s="5" t="s">
        <v>1722</v>
      </c>
      <c r="F1768" s="5">
        <v>5027929</v>
      </c>
      <c r="G1768" s="5" t="s">
        <v>239</v>
      </c>
      <c r="H1768" s="5" t="s">
        <v>30</v>
      </c>
      <c r="I1768" s="5" t="s">
        <v>22</v>
      </c>
      <c r="J1768" s="5" t="s">
        <v>156</v>
      </c>
      <c r="K1768" s="6">
        <v>0</v>
      </c>
      <c r="L1768" s="7">
        <v>0</v>
      </c>
      <c r="M1768" s="8">
        <v>100</v>
      </c>
      <c r="N1768" s="8">
        <v>80</v>
      </c>
      <c r="O1768" s="8">
        <v>0</v>
      </c>
      <c r="P1768" s="8">
        <v>0</v>
      </c>
      <c r="Q1768" s="8">
        <v>0</v>
      </c>
      <c r="R1768" s="8">
        <v>0</v>
      </c>
      <c r="S1768" s="8">
        <v>0</v>
      </c>
      <c r="T1768" s="5">
        <v>0</v>
      </c>
      <c r="U1768" s="5">
        <v>0</v>
      </c>
      <c r="V1768" s="5">
        <f>VLOOKUP(A1768,Planilha1!B:E,4,0)</f>
        <v>0.37177548115779385</v>
      </c>
    </row>
    <row r="1769" spans="1:22" x14ac:dyDescent="0.3">
      <c r="A1769" t="str">
        <f t="shared" si="54"/>
        <v>CREME UHTLACTALIS</v>
      </c>
      <c r="B1769" t="str">
        <f t="shared" si="55"/>
        <v>5060465CREME UHTLACTALIS</v>
      </c>
      <c r="C1769" s="5" t="s">
        <v>226</v>
      </c>
      <c r="D1769" s="5" t="s">
        <v>227</v>
      </c>
      <c r="E1769" s="5" t="s">
        <v>1722</v>
      </c>
      <c r="F1769" s="5">
        <v>5060465</v>
      </c>
      <c r="G1769" s="5" t="s">
        <v>241</v>
      </c>
      <c r="H1769" s="5" t="s">
        <v>30</v>
      </c>
      <c r="I1769" s="5" t="s">
        <v>22</v>
      </c>
      <c r="J1769" s="5" t="s">
        <v>34</v>
      </c>
      <c r="K1769" s="6">
        <v>0</v>
      </c>
      <c r="L1769" s="7">
        <v>0</v>
      </c>
      <c r="M1769" s="8">
        <v>34.200000000000003</v>
      </c>
      <c r="N1769" s="8">
        <v>45</v>
      </c>
      <c r="O1769" s="8">
        <v>27</v>
      </c>
      <c r="P1769" s="8">
        <v>0</v>
      </c>
      <c r="Q1769" s="8">
        <v>0</v>
      </c>
      <c r="R1769" s="8">
        <v>0</v>
      </c>
      <c r="S1769" s="8">
        <v>22</v>
      </c>
      <c r="T1769" s="5">
        <v>27</v>
      </c>
      <c r="U1769" s="5">
        <v>27</v>
      </c>
      <c r="V1769" s="5">
        <f>VLOOKUP(A1769,Planilha1!B:E,4,0)</f>
        <v>-1.4094522863012933</v>
      </c>
    </row>
    <row r="1770" spans="1:22" x14ac:dyDescent="0.3">
      <c r="A1770" t="str">
        <f t="shared" si="54"/>
        <v>CREME UHTLACTALIS</v>
      </c>
      <c r="B1770" t="str">
        <f t="shared" si="55"/>
        <v>5127995CREME UHTLACTALIS</v>
      </c>
      <c r="C1770" s="5" t="s">
        <v>226</v>
      </c>
      <c r="D1770" s="5" t="s">
        <v>227</v>
      </c>
      <c r="E1770" s="5" t="s">
        <v>1722</v>
      </c>
      <c r="F1770" s="5">
        <v>5127995</v>
      </c>
      <c r="G1770" s="5" t="s">
        <v>1072</v>
      </c>
      <c r="H1770" s="5" t="s">
        <v>30</v>
      </c>
      <c r="I1770" s="5" t="s">
        <v>22</v>
      </c>
      <c r="J1770" s="5" t="s">
        <v>34</v>
      </c>
      <c r="K1770" s="6">
        <v>0</v>
      </c>
      <c r="L1770" s="7">
        <v>54</v>
      </c>
      <c r="M1770" s="8">
        <v>131.4</v>
      </c>
      <c r="N1770" s="8">
        <v>149.4</v>
      </c>
      <c r="O1770" s="8">
        <v>216</v>
      </c>
      <c r="P1770" s="8">
        <v>0</v>
      </c>
      <c r="Q1770" s="8">
        <v>0</v>
      </c>
      <c r="R1770" s="8">
        <v>0</v>
      </c>
      <c r="S1770" s="8">
        <v>108</v>
      </c>
      <c r="T1770" s="5">
        <v>216</v>
      </c>
      <c r="U1770" s="5">
        <v>216</v>
      </c>
      <c r="V1770" s="5">
        <f>VLOOKUP(A1770,Planilha1!B:E,4,0)</f>
        <v>-1.4094522863012933</v>
      </c>
    </row>
    <row r="1771" spans="1:22" x14ac:dyDescent="0.3">
      <c r="A1771" t="str">
        <f t="shared" si="54"/>
        <v>LEITE UHTLACTALIS</v>
      </c>
      <c r="B1771" t="str">
        <f t="shared" si="55"/>
        <v>5127995LEITE UHTLACTALIS</v>
      </c>
      <c r="C1771" s="5" t="s">
        <v>226</v>
      </c>
      <c r="D1771" s="5" t="s">
        <v>227</v>
      </c>
      <c r="E1771" s="5" t="s">
        <v>1722</v>
      </c>
      <c r="F1771" s="5">
        <v>5127995</v>
      </c>
      <c r="G1771" s="5" t="s">
        <v>1072</v>
      </c>
      <c r="H1771" s="5" t="s">
        <v>30</v>
      </c>
      <c r="I1771" s="5" t="s">
        <v>22</v>
      </c>
      <c r="J1771" s="5" t="s">
        <v>156</v>
      </c>
      <c r="K1771" s="6">
        <v>0</v>
      </c>
      <c r="L1771" s="7">
        <v>672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0</v>
      </c>
      <c r="S1771" s="8">
        <v>0</v>
      </c>
      <c r="T1771" s="5">
        <v>0</v>
      </c>
      <c r="U1771" s="5">
        <v>0</v>
      </c>
      <c r="V1771" s="5">
        <f>VLOOKUP(A1771,Planilha1!B:E,4,0)</f>
        <v>0.37177548115779385</v>
      </c>
    </row>
    <row r="1772" spans="1:22" x14ac:dyDescent="0.3">
      <c r="A1772" t="str">
        <f t="shared" si="54"/>
        <v>LEITE UHTLACTALIS</v>
      </c>
      <c r="B1772" t="str">
        <f t="shared" si="55"/>
        <v>5210624LEITE UHTLACTALIS</v>
      </c>
      <c r="C1772" s="5" t="s">
        <v>226</v>
      </c>
      <c r="D1772" s="5" t="s">
        <v>227</v>
      </c>
      <c r="E1772" s="5" t="s">
        <v>1722</v>
      </c>
      <c r="F1772" s="5">
        <v>5210624</v>
      </c>
      <c r="G1772" s="5" t="s">
        <v>1073</v>
      </c>
      <c r="H1772" s="5" t="s">
        <v>30</v>
      </c>
      <c r="I1772" s="5" t="s">
        <v>22</v>
      </c>
      <c r="J1772" s="5" t="s">
        <v>156</v>
      </c>
      <c r="K1772" s="6">
        <v>0</v>
      </c>
      <c r="L1772" s="7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0</v>
      </c>
      <c r="S1772" s="8">
        <v>0</v>
      </c>
      <c r="T1772" s="5">
        <v>0</v>
      </c>
      <c r="U1772" s="5">
        <v>0</v>
      </c>
      <c r="V1772" s="5">
        <f>VLOOKUP(A1772,Planilha1!B:E,4,0)</f>
        <v>0.37177548115779385</v>
      </c>
    </row>
    <row r="1773" spans="1:22" x14ac:dyDescent="0.3">
      <c r="A1773" t="str">
        <f t="shared" si="54"/>
        <v>LEITE UHTLACTALIS</v>
      </c>
      <c r="B1773" t="str">
        <f t="shared" si="55"/>
        <v>5248655LEITE UHTLACTALIS</v>
      </c>
      <c r="C1773" s="5" t="s">
        <v>226</v>
      </c>
      <c r="D1773" s="5" t="s">
        <v>227</v>
      </c>
      <c r="E1773" s="5" t="s">
        <v>1722</v>
      </c>
      <c r="F1773" s="5">
        <v>5248655</v>
      </c>
      <c r="G1773" s="5" t="s">
        <v>1074</v>
      </c>
      <c r="H1773" s="5" t="s">
        <v>30</v>
      </c>
      <c r="I1773" s="5" t="s">
        <v>22</v>
      </c>
      <c r="J1773" s="5" t="s">
        <v>156</v>
      </c>
      <c r="K1773" s="6">
        <v>0</v>
      </c>
      <c r="L1773" s="7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0</v>
      </c>
      <c r="S1773" s="8">
        <v>0</v>
      </c>
      <c r="T1773" s="5">
        <v>0</v>
      </c>
      <c r="U1773" s="5">
        <v>0</v>
      </c>
      <c r="V1773" s="5">
        <f>VLOOKUP(A1773,Planilha1!B:E,4,0)</f>
        <v>0.37177548115779385</v>
      </c>
    </row>
    <row r="1774" spans="1:22" x14ac:dyDescent="0.3">
      <c r="A1774" t="str">
        <f t="shared" si="54"/>
        <v>BLISTERLACTALIS</v>
      </c>
      <c r="B1774" t="str">
        <f t="shared" si="55"/>
        <v>5278293BLISTERLACTALIS</v>
      </c>
      <c r="C1774" s="5" t="s">
        <v>226</v>
      </c>
      <c r="D1774" s="5" t="s">
        <v>227</v>
      </c>
      <c r="E1774" s="5" t="s">
        <v>1722</v>
      </c>
      <c r="F1774" s="5">
        <v>5278293</v>
      </c>
      <c r="G1774" s="5" t="s">
        <v>1075</v>
      </c>
      <c r="H1774" s="5" t="s">
        <v>30</v>
      </c>
      <c r="I1774" s="5" t="s">
        <v>22</v>
      </c>
      <c r="J1774" s="5" t="s">
        <v>199</v>
      </c>
      <c r="K1774" s="6">
        <v>0</v>
      </c>
      <c r="L1774" s="7">
        <v>3.84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0</v>
      </c>
      <c r="S1774" s="8">
        <v>0</v>
      </c>
      <c r="T1774" s="5">
        <v>0</v>
      </c>
      <c r="U1774" s="5">
        <v>0</v>
      </c>
      <c r="V1774" s="5">
        <f>VLOOKUP(A1774,Planilha1!B:E,4,0)</f>
        <v>13.783871706210666</v>
      </c>
    </row>
    <row r="1775" spans="1:22" x14ac:dyDescent="0.3">
      <c r="A1775" t="str">
        <f t="shared" si="54"/>
        <v>MANTEIGA 5KGLACTALIS</v>
      </c>
      <c r="B1775" t="str">
        <f t="shared" si="55"/>
        <v>5278293MANTEIGA 5KGLACTALIS</v>
      </c>
      <c r="C1775" s="5" t="s">
        <v>226</v>
      </c>
      <c r="D1775" s="5" t="s">
        <v>227</v>
      </c>
      <c r="E1775" s="5" t="s">
        <v>1722</v>
      </c>
      <c r="F1775" s="5">
        <v>5278293</v>
      </c>
      <c r="G1775" s="5" t="s">
        <v>1075</v>
      </c>
      <c r="H1775" s="5" t="s">
        <v>30</v>
      </c>
      <c r="I1775" s="5" t="s">
        <v>22</v>
      </c>
      <c r="J1775" s="5" t="s">
        <v>60</v>
      </c>
      <c r="K1775" s="6">
        <v>0</v>
      </c>
      <c r="L1775" s="7">
        <v>60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  <c r="S1775" s="8">
        <v>0</v>
      </c>
      <c r="T1775" s="5">
        <v>0</v>
      </c>
      <c r="U1775" s="5">
        <v>0</v>
      </c>
      <c r="V1775" s="5">
        <f>VLOOKUP(A1775,Planilha1!B:E,4,0)</f>
        <v>11.476197020267191</v>
      </c>
    </row>
    <row r="1776" spans="1:22" x14ac:dyDescent="0.3">
      <c r="A1776" t="str">
        <f t="shared" si="54"/>
        <v>SPREADSLACTALIS</v>
      </c>
      <c r="B1776" t="str">
        <f t="shared" si="55"/>
        <v>5278293SPREADSLACTALIS</v>
      </c>
      <c r="C1776" s="5" t="s">
        <v>226</v>
      </c>
      <c r="D1776" s="5" t="s">
        <v>227</v>
      </c>
      <c r="E1776" s="5" t="s">
        <v>1722</v>
      </c>
      <c r="F1776" s="5">
        <v>5278293</v>
      </c>
      <c r="G1776" s="5" t="s">
        <v>1075</v>
      </c>
      <c r="H1776" s="5" t="s">
        <v>30</v>
      </c>
      <c r="I1776" s="5" t="s">
        <v>22</v>
      </c>
      <c r="J1776" s="5" t="s">
        <v>945</v>
      </c>
      <c r="K1776" s="6">
        <v>0</v>
      </c>
      <c r="L1776" s="7">
        <v>11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  <c r="S1776" s="8">
        <v>0</v>
      </c>
      <c r="T1776" s="5">
        <v>0</v>
      </c>
      <c r="U1776" s="5">
        <v>0</v>
      </c>
      <c r="V1776" s="5">
        <f>VLOOKUP(A1776,Planilha1!B:E,4,0)</f>
        <v>13.599044988219518</v>
      </c>
    </row>
    <row r="1777" spans="1:22" x14ac:dyDescent="0.3">
      <c r="A1777" t="str">
        <f t="shared" si="54"/>
        <v>DOCE DE LEITELACTALIS</v>
      </c>
      <c r="B1777" t="str">
        <f t="shared" si="55"/>
        <v>5279284DOCE DE LEITELACTALIS</v>
      </c>
      <c r="C1777" s="5" t="s">
        <v>226</v>
      </c>
      <c r="D1777" s="5" t="s">
        <v>227</v>
      </c>
      <c r="E1777" s="5" t="s">
        <v>1722</v>
      </c>
      <c r="F1777" s="5">
        <v>5279284</v>
      </c>
      <c r="G1777" s="5" t="s">
        <v>1076</v>
      </c>
      <c r="H1777" s="5" t="s">
        <v>30</v>
      </c>
      <c r="I1777" s="5" t="s">
        <v>22</v>
      </c>
      <c r="J1777" s="5" t="s">
        <v>46</v>
      </c>
      <c r="K1777" s="6">
        <v>0</v>
      </c>
      <c r="L1777" s="7">
        <v>6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0</v>
      </c>
      <c r="S1777" s="8">
        <v>0</v>
      </c>
      <c r="T1777" s="5">
        <v>0</v>
      </c>
      <c r="U1777" s="5">
        <v>0</v>
      </c>
      <c r="V1777" s="5">
        <f>VLOOKUP(A1777,Planilha1!B:E,4,0)</f>
        <v>5.6473514327668077</v>
      </c>
    </row>
    <row r="1778" spans="1:22" x14ac:dyDescent="0.3">
      <c r="A1778" t="str">
        <f t="shared" si="54"/>
        <v>SPREADSLACTALIS</v>
      </c>
      <c r="B1778" t="str">
        <f t="shared" si="55"/>
        <v>5290223SPREADSLACTALIS</v>
      </c>
      <c r="C1778" s="5" t="s">
        <v>226</v>
      </c>
      <c r="D1778" s="5" t="s">
        <v>227</v>
      </c>
      <c r="E1778" s="5" t="s">
        <v>1722</v>
      </c>
      <c r="F1778" s="5">
        <v>5290223</v>
      </c>
      <c r="G1778" s="5" t="s">
        <v>1077</v>
      </c>
      <c r="H1778" s="5" t="s">
        <v>30</v>
      </c>
      <c r="I1778" s="5" t="s">
        <v>22</v>
      </c>
      <c r="J1778" s="5" t="s">
        <v>945</v>
      </c>
      <c r="K1778" s="6">
        <v>0</v>
      </c>
      <c r="L1778" s="7">
        <v>62.4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0</v>
      </c>
      <c r="S1778" s="8">
        <v>0</v>
      </c>
      <c r="T1778" s="5">
        <v>0</v>
      </c>
      <c r="U1778" s="5">
        <v>0</v>
      </c>
      <c r="V1778" s="5">
        <f>VLOOKUP(A1778,Planilha1!B:E,4,0)</f>
        <v>13.599044988219518</v>
      </c>
    </row>
    <row r="1779" spans="1:22" x14ac:dyDescent="0.3">
      <c r="A1779" t="str">
        <f t="shared" si="54"/>
        <v>CREME UHTLACTALIS</v>
      </c>
      <c r="B1779" t="str">
        <f t="shared" si="55"/>
        <v>5166529CREME UHTLACTALIS</v>
      </c>
      <c r="C1779" s="5" t="s">
        <v>226</v>
      </c>
      <c r="D1779" s="5" t="s">
        <v>227</v>
      </c>
      <c r="E1779" s="5" t="s">
        <v>1722</v>
      </c>
      <c r="F1779" s="5">
        <v>5166529</v>
      </c>
      <c r="G1779" s="5" t="s">
        <v>255</v>
      </c>
      <c r="H1779" s="5" t="s">
        <v>30</v>
      </c>
      <c r="I1779" s="5" t="s">
        <v>22</v>
      </c>
      <c r="J1779" s="5" t="s">
        <v>34</v>
      </c>
      <c r="K1779" s="6">
        <v>0</v>
      </c>
      <c r="L1779" s="7">
        <v>75.599999999999994</v>
      </c>
      <c r="M1779" s="8">
        <v>111.60000000000001</v>
      </c>
      <c r="N1779" s="8">
        <v>138.6</v>
      </c>
      <c r="O1779" s="8">
        <v>86.4</v>
      </c>
      <c r="P1779" s="8">
        <v>0</v>
      </c>
      <c r="Q1779" s="8">
        <v>27</v>
      </c>
      <c r="R1779" s="8">
        <v>0</v>
      </c>
      <c r="S1779" s="8">
        <v>103</v>
      </c>
      <c r="T1779" s="5">
        <v>103</v>
      </c>
      <c r="U1779" s="5">
        <v>43</v>
      </c>
      <c r="V1779" s="5">
        <f>VLOOKUP(A1779,Planilha1!B:E,4,0)</f>
        <v>-1.4094522863012933</v>
      </c>
    </row>
    <row r="1780" spans="1:22" x14ac:dyDescent="0.3">
      <c r="A1780" t="str">
        <f t="shared" si="54"/>
        <v>LEITE CONDENSADOLACTALIS</v>
      </c>
      <c r="B1780" t="str">
        <f t="shared" si="55"/>
        <v>5166529LEITE CONDENSADOLACTALIS</v>
      </c>
      <c r="C1780" s="5" t="s">
        <v>226</v>
      </c>
      <c r="D1780" s="5" t="s">
        <v>227</v>
      </c>
      <c r="E1780" s="5" t="s">
        <v>1722</v>
      </c>
      <c r="F1780" s="5">
        <v>5166529</v>
      </c>
      <c r="G1780" s="5" t="s">
        <v>255</v>
      </c>
      <c r="H1780" s="5" t="s">
        <v>30</v>
      </c>
      <c r="I1780" s="5" t="s">
        <v>22</v>
      </c>
      <c r="J1780" s="5" t="s">
        <v>33</v>
      </c>
      <c r="K1780" s="6">
        <v>0</v>
      </c>
      <c r="L1780" s="7">
        <v>151.68</v>
      </c>
      <c r="M1780" s="8">
        <v>219.22499999999997</v>
      </c>
      <c r="N1780" s="8">
        <v>132.72</v>
      </c>
      <c r="O1780" s="8">
        <v>151.68</v>
      </c>
      <c r="P1780" s="8">
        <v>0</v>
      </c>
      <c r="Q1780" s="8">
        <v>0</v>
      </c>
      <c r="R1780" s="8">
        <v>0</v>
      </c>
      <c r="S1780" s="8">
        <v>360</v>
      </c>
      <c r="T1780" s="5">
        <v>360</v>
      </c>
      <c r="U1780" s="5">
        <v>228</v>
      </c>
      <c r="V1780" s="5">
        <f>VLOOKUP(A1780,Planilha1!B:E,4,0)</f>
        <v>1.8665071822970765</v>
      </c>
    </row>
    <row r="1781" spans="1:22" x14ac:dyDescent="0.3">
      <c r="A1781" t="str">
        <f t="shared" si="54"/>
        <v>IOGURTESLACTALIS</v>
      </c>
      <c r="B1781" t="str">
        <f t="shared" si="55"/>
        <v>5178073IOGURTESLACTALIS</v>
      </c>
      <c r="C1781" s="5" t="s">
        <v>226</v>
      </c>
      <c r="D1781" s="5" t="s">
        <v>227</v>
      </c>
      <c r="E1781" s="5" t="s">
        <v>1722</v>
      </c>
      <c r="F1781" s="5">
        <v>5178073</v>
      </c>
      <c r="G1781" s="5" t="s">
        <v>256</v>
      </c>
      <c r="H1781" s="5" t="s">
        <v>30</v>
      </c>
      <c r="I1781" s="5" t="s">
        <v>22</v>
      </c>
      <c r="J1781" s="5" t="s">
        <v>153</v>
      </c>
      <c r="K1781" s="6">
        <v>0</v>
      </c>
      <c r="L1781" s="7">
        <v>0</v>
      </c>
      <c r="M1781" s="8">
        <v>4.08</v>
      </c>
      <c r="N1781" s="8">
        <v>8.16</v>
      </c>
      <c r="O1781" s="8">
        <v>0</v>
      </c>
      <c r="P1781" s="8">
        <v>0</v>
      </c>
      <c r="Q1781" s="8">
        <v>0</v>
      </c>
      <c r="R1781" s="8">
        <v>0</v>
      </c>
      <c r="S1781" s="8">
        <v>0</v>
      </c>
      <c r="T1781" s="5">
        <v>0</v>
      </c>
      <c r="U1781" s="5">
        <v>0</v>
      </c>
      <c r="V1781" s="5">
        <f>VLOOKUP(A1781,Planilha1!B:E,4,0)</f>
        <v>3.0503167986984403</v>
      </c>
    </row>
    <row r="1782" spans="1:22" x14ac:dyDescent="0.3">
      <c r="A1782" t="str">
        <f t="shared" si="54"/>
        <v>MANTEIGA 5KGLACTALIS</v>
      </c>
      <c r="B1782" t="str">
        <f t="shared" si="55"/>
        <v>5178073MANTEIGA 5KGLACTALIS</v>
      </c>
      <c r="C1782" s="5" t="s">
        <v>226</v>
      </c>
      <c r="D1782" s="5" t="s">
        <v>227</v>
      </c>
      <c r="E1782" s="5" t="s">
        <v>1722</v>
      </c>
      <c r="F1782" s="5">
        <v>5178073</v>
      </c>
      <c r="G1782" s="5" t="s">
        <v>256</v>
      </c>
      <c r="H1782" s="5" t="s">
        <v>30</v>
      </c>
      <c r="I1782" s="5" t="s">
        <v>22</v>
      </c>
      <c r="J1782" s="5" t="s">
        <v>60</v>
      </c>
      <c r="K1782" s="6">
        <v>0</v>
      </c>
      <c r="L1782" s="7">
        <v>210</v>
      </c>
      <c r="M1782" s="8">
        <v>133.33333333333334</v>
      </c>
      <c r="N1782" s="8">
        <v>133.33333333333334</v>
      </c>
      <c r="O1782" s="8">
        <v>0</v>
      </c>
      <c r="P1782" s="8">
        <v>0</v>
      </c>
      <c r="Q1782" s="8">
        <v>0</v>
      </c>
      <c r="R1782" s="8">
        <v>0</v>
      </c>
      <c r="S1782" s="8">
        <v>0</v>
      </c>
      <c r="T1782" s="5">
        <v>5</v>
      </c>
      <c r="U1782" s="5">
        <v>0</v>
      </c>
      <c r="V1782" s="5">
        <f>VLOOKUP(A1782,Planilha1!B:E,4,0)</f>
        <v>11.476197020267191</v>
      </c>
    </row>
    <row r="1783" spans="1:22" x14ac:dyDescent="0.3">
      <c r="A1783" t="str">
        <f t="shared" si="54"/>
        <v>IOGURTESLACTALIS</v>
      </c>
      <c r="B1783" t="str">
        <f t="shared" si="55"/>
        <v>5180079IOGURTESLACTALIS</v>
      </c>
      <c r="C1783" s="5" t="s">
        <v>226</v>
      </c>
      <c r="D1783" s="5" t="s">
        <v>227</v>
      </c>
      <c r="E1783" s="5" t="s">
        <v>1722</v>
      </c>
      <c r="F1783" s="5">
        <v>5180079</v>
      </c>
      <c r="G1783" s="5" t="s">
        <v>257</v>
      </c>
      <c r="H1783" s="5" t="s">
        <v>30</v>
      </c>
      <c r="I1783" s="5" t="s">
        <v>22</v>
      </c>
      <c r="J1783" s="5" t="s">
        <v>153</v>
      </c>
      <c r="K1783" s="6">
        <v>0</v>
      </c>
      <c r="L1783" s="7">
        <v>20.399999999999999</v>
      </c>
      <c r="M1783" s="8">
        <v>23.493333333333332</v>
      </c>
      <c r="N1783" s="8">
        <v>46.986666666666665</v>
      </c>
      <c r="O1783" s="8">
        <v>0</v>
      </c>
      <c r="P1783" s="8">
        <v>0</v>
      </c>
      <c r="Q1783" s="8">
        <v>72.88</v>
      </c>
      <c r="R1783" s="8">
        <v>0</v>
      </c>
      <c r="S1783" s="8">
        <v>0</v>
      </c>
      <c r="T1783" s="5">
        <v>0</v>
      </c>
      <c r="U1783" s="5">
        <v>0</v>
      </c>
      <c r="V1783" s="5">
        <f>VLOOKUP(A1783,Planilha1!B:E,4,0)</f>
        <v>3.0503167986984403</v>
      </c>
    </row>
    <row r="1784" spans="1:22" x14ac:dyDescent="0.3">
      <c r="A1784" t="str">
        <f t="shared" si="54"/>
        <v>CREME UHTLACTALIS</v>
      </c>
      <c r="B1784" t="str">
        <f t="shared" si="55"/>
        <v>5228856CREME UHTLACTALIS</v>
      </c>
      <c r="C1784" s="5" t="s">
        <v>226</v>
      </c>
      <c r="D1784" s="5" t="s">
        <v>227</v>
      </c>
      <c r="E1784" s="5" t="s">
        <v>1722</v>
      </c>
      <c r="F1784" s="5">
        <v>5228856</v>
      </c>
      <c r="G1784" s="5" t="s">
        <v>260</v>
      </c>
      <c r="H1784" s="5" t="s">
        <v>30</v>
      </c>
      <c r="I1784" s="5" t="s">
        <v>22</v>
      </c>
      <c r="J1784" s="5" t="s">
        <v>34</v>
      </c>
      <c r="K1784" s="6">
        <v>0</v>
      </c>
      <c r="L1784" s="7">
        <v>10.8</v>
      </c>
      <c r="M1784" s="8">
        <v>20.700000000000003</v>
      </c>
      <c r="N1784" s="8">
        <v>23.400000000000002</v>
      </c>
      <c r="O1784" s="8">
        <v>21.6</v>
      </c>
      <c r="P1784" s="8">
        <v>0</v>
      </c>
      <c r="Q1784" s="8">
        <v>0</v>
      </c>
      <c r="R1784" s="8">
        <v>0</v>
      </c>
      <c r="S1784" s="8">
        <v>22</v>
      </c>
      <c r="T1784" s="5">
        <v>22</v>
      </c>
      <c r="U1784" s="5">
        <v>0</v>
      </c>
      <c r="V1784" s="5">
        <f>VLOOKUP(A1784,Planilha1!B:E,4,0)</f>
        <v>-1.4094522863012933</v>
      </c>
    </row>
    <row r="1785" spans="1:22" x14ac:dyDescent="0.3">
      <c r="A1785" t="str">
        <f t="shared" si="54"/>
        <v>LEITE CONDENSADOLACTALIS</v>
      </c>
      <c r="B1785" t="str">
        <f t="shared" si="55"/>
        <v>5228856LEITE CONDENSADOLACTALIS</v>
      </c>
      <c r="C1785" s="5" t="s">
        <v>226</v>
      </c>
      <c r="D1785" s="5" t="s">
        <v>227</v>
      </c>
      <c r="E1785" s="5" t="s">
        <v>1722</v>
      </c>
      <c r="F1785" s="5">
        <v>5228856</v>
      </c>
      <c r="G1785" s="5" t="s">
        <v>260</v>
      </c>
      <c r="H1785" s="5" t="s">
        <v>30</v>
      </c>
      <c r="I1785" s="5" t="s">
        <v>22</v>
      </c>
      <c r="J1785" s="5" t="s">
        <v>33</v>
      </c>
      <c r="K1785" s="6">
        <v>0</v>
      </c>
      <c r="L1785" s="7">
        <v>37.92</v>
      </c>
      <c r="M1785" s="8">
        <v>29.193333333333332</v>
      </c>
      <c r="N1785" s="8">
        <v>10.986666666666668</v>
      </c>
      <c r="O1785" s="8">
        <v>0</v>
      </c>
      <c r="P1785" s="8">
        <v>0</v>
      </c>
      <c r="Q1785" s="8">
        <v>0</v>
      </c>
      <c r="R1785" s="8">
        <v>0</v>
      </c>
      <c r="S1785" s="8">
        <v>28</v>
      </c>
      <c r="T1785" s="5">
        <v>28</v>
      </c>
      <c r="U1785" s="5">
        <v>19</v>
      </c>
      <c r="V1785" s="5">
        <f>VLOOKUP(A1785,Planilha1!B:E,4,0)</f>
        <v>1.8665071822970765</v>
      </c>
    </row>
    <row r="1786" spans="1:22" x14ac:dyDescent="0.3">
      <c r="A1786" t="str">
        <f t="shared" si="54"/>
        <v>MANTEIGA 5KGLACTALIS</v>
      </c>
      <c r="B1786" t="str">
        <f t="shared" si="55"/>
        <v>5230076MANTEIGA 5KGLACTALIS</v>
      </c>
      <c r="C1786" s="5" t="s">
        <v>226</v>
      </c>
      <c r="D1786" s="5" t="s">
        <v>227</v>
      </c>
      <c r="E1786" s="5" t="s">
        <v>1722</v>
      </c>
      <c r="F1786" s="5">
        <v>5230076</v>
      </c>
      <c r="G1786" s="5" t="s">
        <v>261</v>
      </c>
      <c r="H1786" s="5" t="s">
        <v>30</v>
      </c>
      <c r="I1786" s="5" t="s">
        <v>22</v>
      </c>
      <c r="J1786" s="5" t="s">
        <v>60</v>
      </c>
      <c r="K1786" s="6">
        <v>0</v>
      </c>
      <c r="L1786" s="7">
        <v>0</v>
      </c>
      <c r="M1786" s="8">
        <v>0</v>
      </c>
      <c r="N1786" s="8">
        <v>0</v>
      </c>
      <c r="O1786" s="8">
        <v>0</v>
      </c>
      <c r="P1786" s="8">
        <v>0</v>
      </c>
      <c r="Q1786" s="8">
        <v>0</v>
      </c>
      <c r="R1786" s="8">
        <v>0</v>
      </c>
      <c r="S1786" s="8">
        <v>0</v>
      </c>
      <c r="T1786" s="5">
        <v>0</v>
      </c>
      <c r="U1786" s="5">
        <v>0</v>
      </c>
      <c r="V1786" s="5">
        <f>VLOOKUP(A1786,Planilha1!B:E,4,0)</f>
        <v>11.476197020267191</v>
      </c>
    </row>
    <row r="1787" spans="1:22" x14ac:dyDescent="0.3">
      <c r="A1787" t="str">
        <f t="shared" si="54"/>
        <v>LEITE UHTLACTALIS</v>
      </c>
      <c r="B1787" t="str">
        <f t="shared" si="55"/>
        <v>5247942LEITE UHTLACTALIS</v>
      </c>
      <c r="C1787" s="5" t="s">
        <v>226</v>
      </c>
      <c r="D1787" s="5" t="s">
        <v>227</v>
      </c>
      <c r="E1787" s="5" t="s">
        <v>1722</v>
      </c>
      <c r="F1787" s="5">
        <v>5247942</v>
      </c>
      <c r="G1787" s="5" t="s">
        <v>1078</v>
      </c>
      <c r="H1787" s="5" t="s">
        <v>30</v>
      </c>
      <c r="I1787" s="5" t="s">
        <v>22</v>
      </c>
      <c r="J1787" s="5" t="s">
        <v>156</v>
      </c>
      <c r="K1787" s="6">
        <v>0</v>
      </c>
      <c r="L1787" s="7">
        <v>180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  <c r="S1787" s="8">
        <v>0</v>
      </c>
      <c r="T1787" s="5">
        <v>0</v>
      </c>
      <c r="U1787" s="5">
        <v>0</v>
      </c>
      <c r="V1787" s="5">
        <f>VLOOKUP(A1787,Planilha1!B:E,4,0)</f>
        <v>0.37177548115779385</v>
      </c>
    </row>
    <row r="1788" spans="1:22" x14ac:dyDescent="0.3">
      <c r="A1788" t="str">
        <f t="shared" si="54"/>
        <v>QUEIJOSLACTALIS</v>
      </c>
      <c r="B1788" t="str">
        <f t="shared" si="55"/>
        <v>5247942QUEIJOSLACTALIS</v>
      </c>
      <c r="C1788" s="5" t="s">
        <v>226</v>
      </c>
      <c r="D1788" s="5" t="s">
        <v>227</v>
      </c>
      <c r="E1788" s="5" t="s">
        <v>1722</v>
      </c>
      <c r="F1788" s="5">
        <v>5247942</v>
      </c>
      <c r="G1788" s="5" t="s">
        <v>1078</v>
      </c>
      <c r="H1788" s="5" t="s">
        <v>30</v>
      </c>
      <c r="I1788" s="5" t="s">
        <v>22</v>
      </c>
      <c r="J1788" s="5" t="s">
        <v>63</v>
      </c>
      <c r="K1788" s="6">
        <v>0</v>
      </c>
      <c r="L1788" s="7">
        <v>47.25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  <c r="S1788" s="8">
        <v>0</v>
      </c>
      <c r="T1788" s="5">
        <v>0</v>
      </c>
      <c r="U1788" s="5">
        <v>0</v>
      </c>
      <c r="V1788" s="5">
        <f>VLOOKUP(A1788,Planilha1!B:E,4,0)</f>
        <v>-1.9171310037550682</v>
      </c>
    </row>
    <row r="1789" spans="1:22" x14ac:dyDescent="0.3">
      <c r="A1789" t="str">
        <f t="shared" si="54"/>
        <v>QUEIJOSLACTALIS</v>
      </c>
      <c r="B1789" t="str">
        <f t="shared" si="55"/>
        <v>5249505QUEIJOSLACTALIS</v>
      </c>
      <c r="C1789" s="5" t="s">
        <v>226</v>
      </c>
      <c r="D1789" s="5" t="s">
        <v>227</v>
      </c>
      <c r="E1789" s="5" t="s">
        <v>1722</v>
      </c>
      <c r="F1789" s="5">
        <v>5249505</v>
      </c>
      <c r="G1789" s="5" t="s">
        <v>1079</v>
      </c>
      <c r="H1789" s="5" t="s">
        <v>30</v>
      </c>
      <c r="I1789" s="5" t="s">
        <v>22</v>
      </c>
      <c r="J1789" s="5" t="s">
        <v>63</v>
      </c>
      <c r="K1789" s="6">
        <v>0</v>
      </c>
      <c r="L1789" s="7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5">
        <v>0</v>
      </c>
      <c r="U1789" s="5">
        <v>0</v>
      </c>
      <c r="V1789" s="5">
        <f>VLOOKUP(A1789,Planilha1!B:E,4,0)</f>
        <v>-1.9171310037550682</v>
      </c>
    </row>
    <row r="1790" spans="1:22" x14ac:dyDescent="0.3">
      <c r="A1790" t="str">
        <f t="shared" si="54"/>
        <v>QUEIJOSLACTALIS</v>
      </c>
      <c r="B1790" t="str">
        <f t="shared" si="55"/>
        <v>5250636QUEIJOSLACTALIS</v>
      </c>
      <c r="C1790" s="5" t="s">
        <v>226</v>
      </c>
      <c r="D1790" s="5" t="s">
        <v>227</v>
      </c>
      <c r="E1790" s="5" t="s">
        <v>1722</v>
      </c>
      <c r="F1790" s="5">
        <v>5250636</v>
      </c>
      <c r="G1790" s="5" t="s">
        <v>1080</v>
      </c>
      <c r="H1790" s="5" t="s">
        <v>30</v>
      </c>
      <c r="I1790" s="5" t="s">
        <v>22</v>
      </c>
      <c r="J1790" s="5" t="s">
        <v>63</v>
      </c>
      <c r="K1790" s="6">
        <v>0</v>
      </c>
      <c r="L1790" s="7">
        <v>0</v>
      </c>
      <c r="M1790" s="8">
        <v>0</v>
      </c>
      <c r="N1790" s="8">
        <v>0</v>
      </c>
      <c r="O1790" s="8">
        <v>0</v>
      </c>
      <c r="P1790" s="8">
        <v>0</v>
      </c>
      <c r="Q1790" s="8">
        <v>0</v>
      </c>
      <c r="R1790" s="8">
        <v>0</v>
      </c>
      <c r="S1790" s="8">
        <v>0</v>
      </c>
      <c r="T1790" s="5">
        <v>0</v>
      </c>
      <c r="U1790" s="5">
        <v>0</v>
      </c>
      <c r="V1790" s="5">
        <f>VLOOKUP(A1790,Planilha1!B:E,4,0)</f>
        <v>-1.9171310037550682</v>
      </c>
    </row>
    <row r="1791" spans="1:22" x14ac:dyDescent="0.3">
      <c r="A1791" t="str">
        <f t="shared" si="54"/>
        <v>LEITE CONDENSADOLACTALIS</v>
      </c>
      <c r="B1791" t="str">
        <f t="shared" si="55"/>
        <v>5252882LEITE CONDENSADOLACTALIS</v>
      </c>
      <c r="C1791" s="5" t="s">
        <v>226</v>
      </c>
      <c r="D1791" s="5" t="s">
        <v>227</v>
      </c>
      <c r="E1791" s="5" t="s">
        <v>1722</v>
      </c>
      <c r="F1791" s="5">
        <v>5252882</v>
      </c>
      <c r="G1791" s="5" t="s">
        <v>274</v>
      </c>
      <c r="H1791" s="5" t="s">
        <v>30</v>
      </c>
      <c r="I1791" s="5" t="s">
        <v>22</v>
      </c>
      <c r="J1791" s="5" t="s">
        <v>33</v>
      </c>
      <c r="K1791" s="6">
        <v>0</v>
      </c>
      <c r="L1791" s="7">
        <v>28.44</v>
      </c>
      <c r="M1791" s="8">
        <v>29.032499999999999</v>
      </c>
      <c r="N1791" s="8">
        <v>22.12</v>
      </c>
      <c r="O1791" s="8">
        <v>37.92</v>
      </c>
      <c r="P1791" s="8">
        <v>0</v>
      </c>
      <c r="Q1791" s="8">
        <v>28.44</v>
      </c>
      <c r="R1791" s="8">
        <v>0</v>
      </c>
      <c r="S1791" s="8">
        <v>28</v>
      </c>
      <c r="T1791" s="5">
        <v>28</v>
      </c>
      <c r="U1791" s="5">
        <v>28</v>
      </c>
      <c r="V1791" s="5">
        <f>VLOOKUP(A1791,Planilha1!B:E,4,0)</f>
        <v>1.8665071822970765</v>
      </c>
    </row>
    <row r="1792" spans="1:22" x14ac:dyDescent="0.3">
      <c r="A1792" t="str">
        <f t="shared" si="54"/>
        <v>LEITE UHTLACTALIS</v>
      </c>
      <c r="B1792" t="str">
        <f t="shared" si="55"/>
        <v>5253709LEITE UHTLACTALIS</v>
      </c>
      <c r="C1792" s="5" t="s">
        <v>226</v>
      </c>
      <c r="D1792" s="5" t="s">
        <v>227</v>
      </c>
      <c r="E1792" s="5" t="s">
        <v>1722</v>
      </c>
      <c r="F1792" s="5">
        <v>5253709</v>
      </c>
      <c r="G1792" s="5" t="s">
        <v>1081</v>
      </c>
      <c r="H1792" s="5" t="s">
        <v>30</v>
      </c>
      <c r="I1792" s="5" t="s">
        <v>22</v>
      </c>
      <c r="J1792" s="5" t="s">
        <v>156</v>
      </c>
      <c r="K1792" s="6">
        <v>0</v>
      </c>
      <c r="L1792" s="7">
        <v>240</v>
      </c>
      <c r="M1792" s="8">
        <v>0</v>
      </c>
      <c r="N1792" s="8">
        <v>0</v>
      </c>
      <c r="O1792" s="8">
        <v>0</v>
      </c>
      <c r="P1792" s="8">
        <v>0</v>
      </c>
      <c r="Q1792" s="8">
        <v>0</v>
      </c>
      <c r="R1792" s="8">
        <v>0</v>
      </c>
      <c r="S1792" s="8">
        <v>0</v>
      </c>
      <c r="T1792" s="5">
        <v>0</v>
      </c>
      <c r="U1792" s="5">
        <v>0</v>
      </c>
      <c r="V1792" s="5">
        <f>VLOOKUP(A1792,Planilha1!B:E,4,0)</f>
        <v>0.37177548115779385</v>
      </c>
    </row>
    <row r="1793" spans="1:22" x14ac:dyDescent="0.3">
      <c r="A1793" t="str">
        <f t="shared" si="54"/>
        <v>LEITE UHTLACTALIS</v>
      </c>
      <c r="B1793" t="str">
        <f t="shared" si="55"/>
        <v>5255022LEITE UHTLACTALIS</v>
      </c>
      <c r="C1793" s="5" t="s">
        <v>226</v>
      </c>
      <c r="D1793" s="5" t="s">
        <v>227</v>
      </c>
      <c r="E1793" s="5" t="s">
        <v>1722</v>
      </c>
      <c r="F1793" s="5">
        <v>5255022</v>
      </c>
      <c r="G1793" s="5" t="s">
        <v>276</v>
      </c>
      <c r="H1793" s="5" t="s">
        <v>30</v>
      </c>
      <c r="I1793" s="5" t="s">
        <v>22</v>
      </c>
      <c r="J1793" s="5" t="s">
        <v>156</v>
      </c>
      <c r="K1793" s="6">
        <v>0</v>
      </c>
      <c r="L1793" s="7">
        <v>120</v>
      </c>
      <c r="M1793" s="8">
        <v>1</v>
      </c>
      <c r="N1793" s="8">
        <v>0</v>
      </c>
      <c r="O1793" s="8">
        <v>0</v>
      </c>
      <c r="P1793" s="8">
        <v>0</v>
      </c>
      <c r="Q1793" s="8">
        <v>0</v>
      </c>
      <c r="R1793" s="8">
        <v>0</v>
      </c>
      <c r="S1793" s="8">
        <v>0</v>
      </c>
      <c r="T1793" s="5">
        <v>0</v>
      </c>
      <c r="U1793" s="5">
        <v>0</v>
      </c>
      <c r="V1793" s="5">
        <f>VLOOKUP(A1793,Planilha1!B:E,4,0)</f>
        <v>0.37177548115779385</v>
      </c>
    </row>
    <row r="1794" spans="1:22" x14ac:dyDescent="0.3">
      <c r="A1794" t="str">
        <f t="shared" ref="A1794:A1857" si="56">J1794&amp;I1794</f>
        <v>QUEIJOSLACTALIS</v>
      </c>
      <c r="B1794" t="str">
        <f t="shared" si="55"/>
        <v>5257842QUEIJOSLACTALIS</v>
      </c>
      <c r="C1794" s="5" t="s">
        <v>226</v>
      </c>
      <c r="D1794" s="5" t="s">
        <v>227</v>
      </c>
      <c r="E1794" s="5" t="s">
        <v>1722</v>
      </c>
      <c r="F1794" s="5">
        <v>5257842</v>
      </c>
      <c r="G1794" s="5" t="s">
        <v>1082</v>
      </c>
      <c r="H1794" s="5" t="s">
        <v>30</v>
      </c>
      <c r="I1794" s="5" t="s">
        <v>22</v>
      </c>
      <c r="J1794" s="5" t="s">
        <v>63</v>
      </c>
      <c r="K1794" s="6">
        <v>0</v>
      </c>
      <c r="L1794" s="7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0</v>
      </c>
      <c r="S1794" s="8">
        <v>0</v>
      </c>
      <c r="T1794" s="5">
        <v>0</v>
      </c>
      <c r="U1794" s="5">
        <v>0</v>
      </c>
      <c r="V1794" s="5">
        <f>VLOOKUP(A1794,Planilha1!B:E,4,0)</f>
        <v>-1.9171310037550682</v>
      </c>
    </row>
    <row r="1795" spans="1:22" x14ac:dyDescent="0.3">
      <c r="A1795" t="str">
        <f t="shared" si="56"/>
        <v>LEITE CONDENSADOLACTALIS</v>
      </c>
      <c r="B1795" t="str">
        <f t="shared" ref="B1795:B1858" si="57">F1795&amp;J1795&amp;I1795</f>
        <v>5263652LEITE CONDENSADOLACTALIS</v>
      </c>
      <c r="C1795" s="5" t="s">
        <v>226</v>
      </c>
      <c r="D1795" s="5" t="s">
        <v>227</v>
      </c>
      <c r="E1795" s="5" t="s">
        <v>1722</v>
      </c>
      <c r="F1795" s="5">
        <v>5263652</v>
      </c>
      <c r="G1795" s="5" t="s">
        <v>292</v>
      </c>
      <c r="H1795" s="5" t="s">
        <v>30</v>
      </c>
      <c r="I1795" s="5" t="s">
        <v>22</v>
      </c>
      <c r="J1795" s="5" t="s">
        <v>33</v>
      </c>
      <c r="K1795" s="6">
        <v>0</v>
      </c>
      <c r="L1795" s="7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0</v>
      </c>
      <c r="S1795" s="8">
        <v>0</v>
      </c>
      <c r="T1795" s="5">
        <v>0</v>
      </c>
      <c r="U1795" s="5">
        <v>0</v>
      </c>
      <c r="V1795" s="5">
        <f>VLOOKUP(A1795,Planilha1!B:E,4,0)</f>
        <v>1.8665071822970765</v>
      </c>
    </row>
    <row r="1796" spans="1:22" x14ac:dyDescent="0.3">
      <c r="A1796" t="str">
        <f t="shared" si="56"/>
        <v>LEITE UHTLACTALIS</v>
      </c>
      <c r="B1796" t="str">
        <f t="shared" si="57"/>
        <v>5267409LEITE UHTLACTALIS</v>
      </c>
      <c r="C1796" s="5" t="s">
        <v>226</v>
      </c>
      <c r="D1796" s="5" t="s">
        <v>227</v>
      </c>
      <c r="E1796" s="5" t="s">
        <v>1722</v>
      </c>
      <c r="F1796" s="5">
        <v>5267409</v>
      </c>
      <c r="G1796" s="5" t="s">
        <v>1083</v>
      </c>
      <c r="H1796" s="5" t="s">
        <v>30</v>
      </c>
      <c r="I1796" s="5" t="s">
        <v>22</v>
      </c>
      <c r="J1796" s="5" t="s">
        <v>156</v>
      </c>
      <c r="K1796" s="6">
        <v>0</v>
      </c>
      <c r="L1796" s="7">
        <v>1020</v>
      </c>
      <c r="M1796" s="8">
        <v>100</v>
      </c>
      <c r="N1796" s="8">
        <v>200</v>
      </c>
      <c r="O1796" s="8">
        <v>0</v>
      </c>
      <c r="P1796" s="8">
        <v>0</v>
      </c>
      <c r="Q1796" s="8">
        <v>120</v>
      </c>
      <c r="R1796" s="8">
        <v>0</v>
      </c>
      <c r="S1796" s="8">
        <v>0</v>
      </c>
      <c r="T1796" s="5">
        <v>0</v>
      </c>
      <c r="U1796" s="5">
        <v>0</v>
      </c>
      <c r="V1796" s="5">
        <f>VLOOKUP(A1796,Planilha1!B:E,4,0)</f>
        <v>0.37177548115779385</v>
      </c>
    </row>
    <row r="1797" spans="1:22" x14ac:dyDescent="0.3">
      <c r="A1797" t="str">
        <f t="shared" si="56"/>
        <v>MANTEIGA 5KGLACTALIS</v>
      </c>
      <c r="B1797" t="str">
        <f t="shared" si="57"/>
        <v>5267409MANTEIGA 5KGLACTALIS</v>
      </c>
      <c r="C1797" s="5" t="s">
        <v>226</v>
      </c>
      <c r="D1797" s="5" t="s">
        <v>227</v>
      </c>
      <c r="E1797" s="5" t="s">
        <v>1722</v>
      </c>
      <c r="F1797" s="5">
        <v>5267409</v>
      </c>
      <c r="G1797" s="5" t="s">
        <v>1083</v>
      </c>
      <c r="H1797" s="5" t="s">
        <v>30</v>
      </c>
      <c r="I1797" s="5" t="s">
        <v>22</v>
      </c>
      <c r="J1797" s="5" t="s">
        <v>60</v>
      </c>
      <c r="K1797" s="6">
        <v>0</v>
      </c>
      <c r="L1797" s="7">
        <v>10</v>
      </c>
      <c r="M1797" s="8">
        <v>0.83333333333333337</v>
      </c>
      <c r="N1797" s="8">
        <v>1.6666666666666667</v>
      </c>
      <c r="O1797" s="8">
        <v>0</v>
      </c>
      <c r="P1797" s="8">
        <v>0</v>
      </c>
      <c r="Q1797" s="8">
        <v>0</v>
      </c>
      <c r="R1797" s="8">
        <v>0</v>
      </c>
      <c r="S1797" s="8">
        <v>0</v>
      </c>
      <c r="T1797" s="5">
        <v>0</v>
      </c>
      <c r="U1797" s="5">
        <v>0</v>
      </c>
      <c r="V1797" s="5">
        <f>VLOOKUP(A1797,Planilha1!B:E,4,0)</f>
        <v>11.476197020267191</v>
      </c>
    </row>
    <row r="1798" spans="1:22" x14ac:dyDescent="0.3">
      <c r="A1798" t="str">
        <f t="shared" si="56"/>
        <v>BLISTERLACTALIS</v>
      </c>
      <c r="B1798" t="str">
        <f t="shared" si="57"/>
        <v>5273892BLISTERLACTALIS</v>
      </c>
      <c r="C1798" s="5" t="s">
        <v>226</v>
      </c>
      <c r="D1798" s="5" t="s">
        <v>227</v>
      </c>
      <c r="E1798" s="5" t="s">
        <v>1722</v>
      </c>
      <c r="F1798" s="5">
        <v>5273892</v>
      </c>
      <c r="G1798" s="5" t="s">
        <v>1084</v>
      </c>
      <c r="H1798" s="5" t="s">
        <v>30</v>
      </c>
      <c r="I1798" s="5" t="s">
        <v>22</v>
      </c>
      <c r="J1798" s="5" t="s">
        <v>199</v>
      </c>
      <c r="K1798" s="6">
        <v>0</v>
      </c>
      <c r="L1798" s="7">
        <v>72.959999999999994</v>
      </c>
      <c r="M1798" s="8">
        <v>14.719999999999999</v>
      </c>
      <c r="N1798" s="8">
        <v>29.439999999999998</v>
      </c>
      <c r="O1798" s="8">
        <v>0</v>
      </c>
      <c r="P1798" s="8">
        <v>0</v>
      </c>
      <c r="Q1798" s="8">
        <v>0</v>
      </c>
      <c r="R1798" s="8">
        <v>0</v>
      </c>
      <c r="S1798" s="8">
        <v>23</v>
      </c>
      <c r="T1798" s="5">
        <v>23</v>
      </c>
      <c r="U1798" s="5">
        <v>23</v>
      </c>
      <c r="V1798" s="5">
        <f>VLOOKUP(A1798,Planilha1!B:E,4,0)</f>
        <v>13.783871706210666</v>
      </c>
    </row>
    <row r="1799" spans="1:22" x14ac:dyDescent="0.3">
      <c r="A1799" t="str">
        <f t="shared" si="56"/>
        <v>CREME UHTLACTALIS</v>
      </c>
      <c r="B1799" t="str">
        <f t="shared" si="57"/>
        <v>5273892CREME UHTLACTALIS</v>
      </c>
      <c r="C1799" s="5" t="s">
        <v>226</v>
      </c>
      <c r="D1799" s="5" t="s">
        <v>227</v>
      </c>
      <c r="E1799" s="5" t="s">
        <v>1722</v>
      </c>
      <c r="F1799" s="5">
        <v>5273892</v>
      </c>
      <c r="G1799" s="5" t="s">
        <v>1084</v>
      </c>
      <c r="H1799" s="5" t="s">
        <v>30</v>
      </c>
      <c r="I1799" s="5" t="s">
        <v>22</v>
      </c>
      <c r="J1799" s="5" t="s">
        <v>34</v>
      </c>
      <c r="K1799" s="6">
        <v>0</v>
      </c>
      <c r="L1799" s="7">
        <v>0</v>
      </c>
      <c r="M1799" s="8">
        <v>0</v>
      </c>
      <c r="N1799" s="8">
        <v>0</v>
      </c>
      <c r="O1799" s="8">
        <v>0</v>
      </c>
      <c r="P1799" s="8">
        <v>0</v>
      </c>
      <c r="Q1799" s="8">
        <v>0</v>
      </c>
      <c r="R1799" s="8">
        <v>0</v>
      </c>
      <c r="S1799" s="8">
        <v>0</v>
      </c>
      <c r="T1799" s="5">
        <v>0</v>
      </c>
      <c r="U1799" s="5">
        <v>0</v>
      </c>
      <c r="V1799" s="5">
        <f>VLOOKUP(A1799,Planilha1!B:E,4,0)</f>
        <v>-1.4094522863012933</v>
      </c>
    </row>
    <row r="1800" spans="1:22" x14ac:dyDescent="0.3">
      <c r="A1800" t="str">
        <f t="shared" si="56"/>
        <v>DOCE DE LEITELACTALIS</v>
      </c>
      <c r="B1800" t="str">
        <f t="shared" si="57"/>
        <v>5278610DOCE DE LEITELACTALIS</v>
      </c>
      <c r="C1800" s="5" t="s">
        <v>226</v>
      </c>
      <c r="D1800" s="5" t="s">
        <v>227</v>
      </c>
      <c r="E1800" s="5" t="s">
        <v>1722</v>
      </c>
      <c r="F1800" s="5">
        <v>5278610</v>
      </c>
      <c r="G1800" s="5" t="s">
        <v>308</v>
      </c>
      <c r="H1800" s="5" t="s">
        <v>30</v>
      </c>
      <c r="I1800" s="5" t="s">
        <v>22</v>
      </c>
      <c r="J1800" s="5" t="s">
        <v>46</v>
      </c>
      <c r="K1800" s="6">
        <v>0</v>
      </c>
      <c r="L1800" s="7">
        <v>18</v>
      </c>
      <c r="M1800" s="8">
        <v>15.5</v>
      </c>
      <c r="N1800" s="8">
        <v>20</v>
      </c>
      <c r="O1800" s="8">
        <v>0</v>
      </c>
      <c r="P1800" s="8">
        <v>0</v>
      </c>
      <c r="Q1800" s="8">
        <v>-27</v>
      </c>
      <c r="R1800" s="8">
        <v>0</v>
      </c>
      <c r="S1800" s="8">
        <v>27</v>
      </c>
      <c r="T1800" s="5">
        <v>27</v>
      </c>
      <c r="U1800" s="5">
        <v>0</v>
      </c>
      <c r="V1800" s="5">
        <f>VLOOKUP(A1800,Planilha1!B:E,4,0)</f>
        <v>5.6473514327668077</v>
      </c>
    </row>
    <row r="1801" spans="1:22" x14ac:dyDescent="0.3">
      <c r="A1801" t="str">
        <f t="shared" si="56"/>
        <v>IOGURTESLACTALIS</v>
      </c>
      <c r="B1801" t="str">
        <f t="shared" si="57"/>
        <v>5279547IOGURTESLACTALIS</v>
      </c>
      <c r="C1801" s="5" t="s">
        <v>226</v>
      </c>
      <c r="D1801" s="5" t="s">
        <v>227</v>
      </c>
      <c r="E1801" s="5" t="s">
        <v>1722</v>
      </c>
      <c r="F1801" s="5">
        <v>5279547</v>
      </c>
      <c r="G1801" s="5" t="s">
        <v>309</v>
      </c>
      <c r="H1801" s="5" t="s">
        <v>30</v>
      </c>
      <c r="I1801" s="5" t="s">
        <v>22</v>
      </c>
      <c r="J1801" s="5" t="s">
        <v>153</v>
      </c>
      <c r="K1801" s="6">
        <v>0</v>
      </c>
      <c r="L1801" s="7">
        <v>36.799999999999997</v>
      </c>
      <c r="M1801" s="8">
        <v>0</v>
      </c>
      <c r="N1801" s="8">
        <v>0</v>
      </c>
      <c r="O1801" s="8">
        <v>0</v>
      </c>
      <c r="P1801" s="8">
        <v>0</v>
      </c>
      <c r="Q1801" s="8">
        <v>0</v>
      </c>
      <c r="R1801" s="8">
        <v>0</v>
      </c>
      <c r="S1801" s="8">
        <v>0</v>
      </c>
      <c r="T1801" s="5">
        <v>0</v>
      </c>
      <c r="U1801" s="5">
        <v>0</v>
      </c>
      <c r="V1801" s="5">
        <f>VLOOKUP(A1801,Planilha1!B:E,4,0)</f>
        <v>3.0503167986984403</v>
      </c>
    </row>
    <row r="1802" spans="1:22" x14ac:dyDescent="0.3">
      <c r="A1802" t="str">
        <f t="shared" si="56"/>
        <v>LEITE CONDENSADOLACTALIS</v>
      </c>
      <c r="B1802" t="str">
        <f t="shared" si="57"/>
        <v>5282417LEITE CONDENSADOLACTALIS</v>
      </c>
      <c r="C1802" s="5" t="s">
        <v>226</v>
      </c>
      <c r="D1802" s="5" t="s">
        <v>227</v>
      </c>
      <c r="E1802" s="5" t="s">
        <v>1722</v>
      </c>
      <c r="F1802" s="5">
        <v>5282417</v>
      </c>
      <c r="G1802" s="5" t="s">
        <v>315</v>
      </c>
      <c r="H1802" s="5" t="s">
        <v>30</v>
      </c>
      <c r="I1802" s="5" t="s">
        <v>22</v>
      </c>
      <c r="J1802" s="5" t="s">
        <v>33</v>
      </c>
      <c r="K1802" s="6">
        <v>0</v>
      </c>
      <c r="L1802" s="7">
        <v>0</v>
      </c>
      <c r="M1802" s="8">
        <v>104.99999999999999</v>
      </c>
      <c r="N1802" s="8">
        <v>93.333333333333329</v>
      </c>
      <c r="O1802" s="8">
        <v>0</v>
      </c>
      <c r="P1802" s="8">
        <v>0</v>
      </c>
      <c r="Q1802" s="8">
        <v>0</v>
      </c>
      <c r="R1802" s="8">
        <v>0</v>
      </c>
      <c r="S1802" s="8">
        <v>140</v>
      </c>
      <c r="T1802" s="5">
        <v>140</v>
      </c>
      <c r="U1802" s="5">
        <v>0</v>
      </c>
      <c r="V1802" s="5">
        <f>VLOOKUP(A1802,Planilha1!B:E,4,0)</f>
        <v>1.8665071822970765</v>
      </c>
    </row>
    <row r="1803" spans="1:22" x14ac:dyDescent="0.3">
      <c r="A1803" t="str">
        <f t="shared" si="56"/>
        <v>BLISTERLACTALIS</v>
      </c>
      <c r="B1803" t="str">
        <f t="shared" si="57"/>
        <v>5282647BLISTERLACTALIS</v>
      </c>
      <c r="C1803" s="5" t="s">
        <v>226</v>
      </c>
      <c r="D1803" s="5" t="s">
        <v>227</v>
      </c>
      <c r="E1803" s="5" t="s">
        <v>1722</v>
      </c>
      <c r="F1803" s="5">
        <v>5282647</v>
      </c>
      <c r="G1803" s="5" t="s">
        <v>1085</v>
      </c>
      <c r="H1803" s="5" t="s">
        <v>30</v>
      </c>
      <c r="I1803" s="5" t="s">
        <v>22</v>
      </c>
      <c r="J1803" s="5" t="s">
        <v>199</v>
      </c>
      <c r="K1803" s="6">
        <v>0</v>
      </c>
      <c r="L1803" s="7">
        <v>28.08</v>
      </c>
      <c r="M1803" s="8">
        <v>1.92</v>
      </c>
      <c r="N1803" s="8">
        <v>3.84</v>
      </c>
      <c r="O1803" s="8">
        <v>0</v>
      </c>
      <c r="P1803" s="8">
        <v>0</v>
      </c>
      <c r="Q1803" s="8">
        <v>0</v>
      </c>
      <c r="R1803" s="8">
        <v>0</v>
      </c>
      <c r="S1803" s="8">
        <v>24</v>
      </c>
      <c r="T1803" s="5">
        <v>24</v>
      </c>
      <c r="U1803" s="5">
        <v>12</v>
      </c>
      <c r="V1803" s="5">
        <f>VLOOKUP(A1803,Planilha1!B:E,4,0)</f>
        <v>13.783871706210666</v>
      </c>
    </row>
    <row r="1804" spans="1:22" x14ac:dyDescent="0.3">
      <c r="A1804" t="str">
        <f t="shared" si="56"/>
        <v>IOGURTESLACTALIS</v>
      </c>
      <c r="B1804" t="str">
        <f t="shared" si="57"/>
        <v>5285363IOGURTESLACTALIS</v>
      </c>
      <c r="C1804" s="5" t="s">
        <v>226</v>
      </c>
      <c r="D1804" s="5" t="s">
        <v>227</v>
      </c>
      <c r="E1804" s="5" t="s">
        <v>1722</v>
      </c>
      <c r="F1804" s="5">
        <v>5285363</v>
      </c>
      <c r="G1804" s="5" t="s">
        <v>317</v>
      </c>
      <c r="H1804" s="5" t="s">
        <v>30</v>
      </c>
      <c r="I1804" s="5" t="s">
        <v>22</v>
      </c>
      <c r="J1804" s="5" t="s">
        <v>153</v>
      </c>
      <c r="K1804" s="6">
        <v>0</v>
      </c>
      <c r="L1804" s="7">
        <v>30.6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0</v>
      </c>
      <c r="S1804" s="8">
        <v>0</v>
      </c>
      <c r="T1804" s="5">
        <v>0</v>
      </c>
      <c r="U1804" s="5">
        <v>0</v>
      </c>
      <c r="V1804" s="5">
        <f>VLOOKUP(A1804,Planilha1!B:E,4,0)</f>
        <v>3.0503167986984403</v>
      </c>
    </row>
    <row r="1805" spans="1:22" x14ac:dyDescent="0.3">
      <c r="A1805" t="str">
        <f t="shared" si="56"/>
        <v>MANTEIGA 5KGLACTALIS</v>
      </c>
      <c r="B1805" t="str">
        <f t="shared" si="57"/>
        <v>5285506MANTEIGA 5KGLACTALIS</v>
      </c>
      <c r="C1805" s="5" t="s">
        <v>226</v>
      </c>
      <c r="D1805" s="5" t="s">
        <v>227</v>
      </c>
      <c r="E1805" s="5" t="s">
        <v>1722</v>
      </c>
      <c r="F1805" s="5">
        <v>5285506</v>
      </c>
      <c r="G1805" s="5" t="s">
        <v>1086</v>
      </c>
      <c r="H1805" s="5" t="s">
        <v>30</v>
      </c>
      <c r="I1805" s="5" t="s">
        <v>22</v>
      </c>
      <c r="J1805" s="5" t="s">
        <v>60</v>
      </c>
      <c r="K1805" s="6">
        <v>0</v>
      </c>
      <c r="L1805" s="7">
        <v>20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0</v>
      </c>
      <c r="S1805" s="8">
        <v>0</v>
      </c>
      <c r="T1805" s="5">
        <v>0</v>
      </c>
      <c r="U1805" s="5">
        <v>0</v>
      </c>
      <c r="V1805" s="5">
        <f>VLOOKUP(A1805,Planilha1!B:E,4,0)</f>
        <v>11.476197020267191</v>
      </c>
    </row>
    <row r="1806" spans="1:22" x14ac:dyDescent="0.3">
      <c r="A1806" t="str">
        <f t="shared" si="56"/>
        <v>LEITE UHTLACTALIS</v>
      </c>
      <c r="B1806" t="str">
        <f t="shared" si="57"/>
        <v>5285544LEITE UHTLACTALIS</v>
      </c>
      <c r="C1806" s="5" t="s">
        <v>226</v>
      </c>
      <c r="D1806" s="5" t="s">
        <v>227</v>
      </c>
      <c r="E1806" s="5" t="s">
        <v>1722</v>
      </c>
      <c r="F1806" s="5">
        <v>5285544</v>
      </c>
      <c r="G1806" s="5" t="s">
        <v>1087</v>
      </c>
      <c r="H1806" s="5" t="s">
        <v>30</v>
      </c>
      <c r="I1806" s="5" t="s">
        <v>22</v>
      </c>
      <c r="J1806" s="5" t="s">
        <v>156</v>
      </c>
      <c r="K1806" s="6">
        <v>0</v>
      </c>
      <c r="L1806" s="7">
        <v>360</v>
      </c>
      <c r="M1806" s="8">
        <v>32</v>
      </c>
      <c r="N1806" s="8">
        <v>24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  <c r="T1806" s="5">
        <v>0</v>
      </c>
      <c r="U1806" s="5">
        <v>0</v>
      </c>
      <c r="V1806" s="5">
        <f>VLOOKUP(A1806,Planilha1!B:E,4,0)</f>
        <v>0.37177548115779385</v>
      </c>
    </row>
    <row r="1807" spans="1:22" x14ac:dyDescent="0.3">
      <c r="A1807" t="str">
        <f t="shared" si="56"/>
        <v>QUEIJOSLACTALIS</v>
      </c>
      <c r="B1807" t="str">
        <f t="shared" si="57"/>
        <v>5289989QUEIJOSLACTALIS</v>
      </c>
      <c r="C1807" s="5" t="s">
        <v>226</v>
      </c>
      <c r="D1807" s="5" t="s">
        <v>227</v>
      </c>
      <c r="E1807" s="5" t="s">
        <v>1722</v>
      </c>
      <c r="F1807" s="5">
        <v>5289989</v>
      </c>
      <c r="G1807" s="5" t="s">
        <v>1088</v>
      </c>
      <c r="H1807" s="5" t="s">
        <v>30</v>
      </c>
      <c r="I1807" s="5" t="s">
        <v>22</v>
      </c>
      <c r="J1807" s="5" t="s">
        <v>63</v>
      </c>
      <c r="K1807" s="6">
        <v>0</v>
      </c>
      <c r="L1807" s="7">
        <v>0</v>
      </c>
      <c r="M1807" s="8">
        <v>0</v>
      </c>
      <c r="N1807" s="8">
        <v>0</v>
      </c>
      <c r="O1807" s="8">
        <v>0</v>
      </c>
      <c r="P1807" s="8">
        <v>0</v>
      </c>
      <c r="Q1807" s="8">
        <v>0</v>
      </c>
      <c r="R1807" s="8">
        <v>0</v>
      </c>
      <c r="S1807" s="8">
        <v>0</v>
      </c>
      <c r="T1807" s="5">
        <v>0</v>
      </c>
      <c r="U1807" s="5">
        <v>0</v>
      </c>
      <c r="V1807" s="5">
        <f>VLOOKUP(A1807,Planilha1!B:E,4,0)</f>
        <v>-1.9171310037550682</v>
      </c>
    </row>
    <row r="1808" spans="1:22" x14ac:dyDescent="0.3">
      <c r="A1808" t="str">
        <f t="shared" si="56"/>
        <v>CREME UHTLACTALIS</v>
      </c>
      <c r="B1808" t="str">
        <f t="shared" si="57"/>
        <v>5291157CREME UHTLACTALIS</v>
      </c>
      <c r="C1808" s="5" t="s">
        <v>226</v>
      </c>
      <c r="D1808" s="5" t="s">
        <v>227</v>
      </c>
      <c r="E1808" s="5" t="s">
        <v>1722</v>
      </c>
      <c r="F1808" s="5">
        <v>5291157</v>
      </c>
      <c r="G1808" s="5" t="s">
        <v>322</v>
      </c>
      <c r="H1808" s="5" t="s">
        <v>30</v>
      </c>
      <c r="I1808" s="5" t="s">
        <v>22</v>
      </c>
      <c r="J1808" s="5" t="s">
        <v>34</v>
      </c>
      <c r="K1808" s="6">
        <v>0</v>
      </c>
      <c r="L1808" s="7">
        <v>32.4</v>
      </c>
      <c r="M1808" s="8">
        <v>12.6</v>
      </c>
      <c r="N1808" s="8">
        <v>10.799999999999999</v>
      </c>
      <c r="O1808" s="8">
        <v>10.8</v>
      </c>
      <c r="P1808" s="8">
        <v>0</v>
      </c>
      <c r="Q1808" s="8">
        <v>32.4</v>
      </c>
      <c r="R1808" s="8">
        <v>0</v>
      </c>
      <c r="S1808" s="8">
        <v>32</v>
      </c>
      <c r="T1808" s="5">
        <v>32</v>
      </c>
      <c r="U1808" s="5">
        <v>16</v>
      </c>
      <c r="V1808" s="5">
        <f>VLOOKUP(A1808,Planilha1!B:E,4,0)</f>
        <v>-1.4094522863012933</v>
      </c>
    </row>
    <row r="1809" spans="1:22" x14ac:dyDescent="0.3">
      <c r="A1809" t="str">
        <f t="shared" si="56"/>
        <v>LEITE UHTLACTALIS</v>
      </c>
      <c r="B1809" t="str">
        <f t="shared" si="57"/>
        <v>5291285LEITE UHTLACTALIS</v>
      </c>
      <c r="C1809" s="5" t="s">
        <v>226</v>
      </c>
      <c r="D1809" s="5" t="s">
        <v>227</v>
      </c>
      <c r="E1809" s="5" t="s">
        <v>1722</v>
      </c>
      <c r="F1809" s="5">
        <v>5291285</v>
      </c>
      <c r="G1809" s="5" t="s">
        <v>1089</v>
      </c>
      <c r="H1809" s="5" t="s">
        <v>30</v>
      </c>
      <c r="I1809" s="5" t="s">
        <v>22</v>
      </c>
      <c r="J1809" s="5" t="s">
        <v>156</v>
      </c>
      <c r="K1809" s="6">
        <v>0</v>
      </c>
      <c r="L1809" s="7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0</v>
      </c>
      <c r="S1809" s="8">
        <v>0</v>
      </c>
      <c r="T1809" s="5">
        <v>0</v>
      </c>
      <c r="U1809" s="5">
        <v>0</v>
      </c>
      <c r="V1809" s="5">
        <f>VLOOKUP(A1809,Planilha1!B:E,4,0)</f>
        <v>0.37177548115779385</v>
      </c>
    </row>
    <row r="1810" spans="1:22" x14ac:dyDescent="0.3">
      <c r="A1810" t="str">
        <f t="shared" si="56"/>
        <v>LEITE UHTLACTALIS</v>
      </c>
      <c r="B1810" t="str">
        <f t="shared" si="57"/>
        <v>5291635LEITE UHTLACTALIS</v>
      </c>
      <c r="C1810" s="5" t="s">
        <v>226</v>
      </c>
      <c r="D1810" s="5" t="s">
        <v>227</v>
      </c>
      <c r="E1810" s="5" t="s">
        <v>1722</v>
      </c>
      <c r="F1810" s="5">
        <v>5291635</v>
      </c>
      <c r="G1810" s="5" t="s">
        <v>1090</v>
      </c>
      <c r="H1810" s="5" t="s">
        <v>30</v>
      </c>
      <c r="I1810" s="5" t="s">
        <v>22</v>
      </c>
      <c r="J1810" s="5" t="s">
        <v>156</v>
      </c>
      <c r="K1810" s="6">
        <v>0</v>
      </c>
      <c r="L1810" s="7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0</v>
      </c>
      <c r="R1810" s="8">
        <v>0</v>
      </c>
      <c r="S1810" s="8">
        <v>0</v>
      </c>
      <c r="T1810" s="5">
        <v>0</v>
      </c>
      <c r="U1810" s="5">
        <v>0</v>
      </c>
      <c r="V1810" s="5">
        <f>VLOOKUP(A1810,Planilha1!B:E,4,0)</f>
        <v>0.37177548115779385</v>
      </c>
    </row>
    <row r="1811" spans="1:22" x14ac:dyDescent="0.3">
      <c r="A1811" t="str">
        <f t="shared" si="56"/>
        <v>LPD 25KGLACTALIS</v>
      </c>
      <c r="B1811" t="str">
        <f t="shared" si="57"/>
        <v>5292294LPD 25KGLACTALIS</v>
      </c>
      <c r="C1811" s="5" t="s">
        <v>226</v>
      </c>
      <c r="D1811" s="5" t="s">
        <v>227</v>
      </c>
      <c r="E1811" s="5" t="s">
        <v>1722</v>
      </c>
      <c r="F1811" s="5">
        <v>5292294</v>
      </c>
      <c r="G1811" s="5" t="s">
        <v>326</v>
      </c>
      <c r="H1811" s="5" t="s">
        <v>30</v>
      </c>
      <c r="I1811" s="5" t="s">
        <v>22</v>
      </c>
      <c r="J1811" s="5" t="s">
        <v>43</v>
      </c>
      <c r="K1811" s="6">
        <v>0</v>
      </c>
      <c r="L1811" s="7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0</v>
      </c>
      <c r="S1811" s="8">
        <v>0</v>
      </c>
      <c r="T1811" s="5">
        <v>0</v>
      </c>
      <c r="U1811" s="5">
        <v>0</v>
      </c>
      <c r="V1811" s="5">
        <f>VLOOKUP(A1811,Planilha1!B:E,4,0)</f>
        <v>5.893629113453061</v>
      </c>
    </row>
    <row r="1812" spans="1:22" x14ac:dyDescent="0.3">
      <c r="A1812" t="str">
        <f t="shared" si="56"/>
        <v>LEITE UHTLACTALIS</v>
      </c>
      <c r="B1812" t="str">
        <f t="shared" si="57"/>
        <v>5292469LEITE UHTLACTALIS</v>
      </c>
      <c r="C1812" s="5" t="s">
        <v>226</v>
      </c>
      <c r="D1812" s="5" t="s">
        <v>227</v>
      </c>
      <c r="E1812" s="5" t="s">
        <v>1722</v>
      </c>
      <c r="F1812" s="5">
        <v>5292469</v>
      </c>
      <c r="G1812" s="5" t="s">
        <v>1091</v>
      </c>
      <c r="H1812" s="5" t="s">
        <v>30</v>
      </c>
      <c r="I1812" s="5" t="s">
        <v>22</v>
      </c>
      <c r="J1812" s="5" t="s">
        <v>156</v>
      </c>
      <c r="K1812" s="6">
        <v>0</v>
      </c>
      <c r="L1812" s="7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0</v>
      </c>
      <c r="S1812" s="8">
        <v>0</v>
      </c>
      <c r="T1812" s="5">
        <v>0</v>
      </c>
      <c r="U1812" s="5">
        <v>0</v>
      </c>
      <c r="V1812" s="5">
        <f>VLOOKUP(A1812,Planilha1!B:E,4,0)</f>
        <v>0.37177548115779385</v>
      </c>
    </row>
    <row r="1813" spans="1:22" x14ac:dyDescent="0.3">
      <c r="A1813" t="str">
        <f t="shared" si="56"/>
        <v>SPREADSLACTALIS</v>
      </c>
      <c r="B1813" t="str">
        <f t="shared" si="57"/>
        <v>5292769SPREADSLACTALIS</v>
      </c>
      <c r="C1813" s="5" t="s">
        <v>226</v>
      </c>
      <c r="D1813" s="5" t="s">
        <v>227</v>
      </c>
      <c r="E1813" s="5" t="s">
        <v>1722</v>
      </c>
      <c r="F1813" s="5">
        <v>5292769</v>
      </c>
      <c r="G1813" s="5" t="s">
        <v>1092</v>
      </c>
      <c r="H1813" s="5" t="s">
        <v>30</v>
      </c>
      <c r="I1813" s="5" t="s">
        <v>22</v>
      </c>
      <c r="J1813" s="5" t="s">
        <v>945</v>
      </c>
      <c r="K1813" s="6">
        <v>0</v>
      </c>
      <c r="L1813" s="7">
        <v>4.8</v>
      </c>
      <c r="M1813" s="8">
        <v>1.2999999999999998</v>
      </c>
      <c r="N1813" s="8">
        <v>0</v>
      </c>
      <c r="O1813" s="8">
        <v>0</v>
      </c>
      <c r="P1813" s="8">
        <v>0</v>
      </c>
      <c r="Q1813" s="8">
        <v>0</v>
      </c>
      <c r="R1813" s="8">
        <v>0</v>
      </c>
      <c r="S1813" s="8">
        <v>0</v>
      </c>
      <c r="T1813" s="5">
        <v>0</v>
      </c>
      <c r="U1813" s="5">
        <v>0</v>
      </c>
      <c r="V1813" s="5">
        <f>VLOOKUP(A1813,Planilha1!B:E,4,0)</f>
        <v>13.599044988219518</v>
      </c>
    </row>
    <row r="1814" spans="1:22" x14ac:dyDescent="0.3">
      <c r="A1814" t="str">
        <f t="shared" si="56"/>
        <v>LEITE UHTLACTALIS</v>
      </c>
      <c r="B1814" t="str">
        <f t="shared" si="57"/>
        <v>5309465LEITE UHTLACTALIS</v>
      </c>
      <c r="C1814" s="5" t="s">
        <v>226</v>
      </c>
      <c r="D1814" s="5" t="s">
        <v>227</v>
      </c>
      <c r="E1814" s="5" t="s">
        <v>1722</v>
      </c>
      <c r="F1814" s="5">
        <v>5309465</v>
      </c>
      <c r="G1814" s="5" t="s">
        <v>1093</v>
      </c>
      <c r="H1814" s="5" t="s">
        <v>30</v>
      </c>
      <c r="I1814" s="5" t="s">
        <v>22</v>
      </c>
      <c r="J1814" s="5" t="s">
        <v>156</v>
      </c>
      <c r="K1814" s="6">
        <v>0</v>
      </c>
      <c r="L1814" s="7">
        <v>0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0</v>
      </c>
      <c r="S1814" s="8">
        <v>0</v>
      </c>
      <c r="T1814" s="5">
        <v>0</v>
      </c>
      <c r="U1814" s="5">
        <v>0</v>
      </c>
      <c r="V1814" s="5">
        <f>VLOOKUP(A1814,Planilha1!B:E,4,0)</f>
        <v>0.37177548115779385</v>
      </c>
    </row>
    <row r="1815" spans="1:22" x14ac:dyDescent="0.3">
      <c r="A1815" t="str">
        <f t="shared" si="56"/>
        <v>QUEIJOSLACTALIS</v>
      </c>
      <c r="B1815" t="str">
        <f t="shared" si="57"/>
        <v>5309465QUEIJOSLACTALIS</v>
      </c>
      <c r="C1815" s="5" t="s">
        <v>226</v>
      </c>
      <c r="D1815" s="5" t="s">
        <v>227</v>
      </c>
      <c r="E1815" s="5" t="s">
        <v>1722</v>
      </c>
      <c r="F1815" s="5">
        <v>5309465</v>
      </c>
      <c r="G1815" s="5" t="s">
        <v>1093</v>
      </c>
      <c r="H1815" s="5" t="s">
        <v>30</v>
      </c>
      <c r="I1815" s="5" t="s">
        <v>22</v>
      </c>
      <c r="J1815" s="5" t="s">
        <v>63</v>
      </c>
      <c r="K1815" s="6">
        <v>0</v>
      </c>
      <c r="L1815" s="7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0</v>
      </c>
      <c r="S1815" s="8">
        <v>0</v>
      </c>
      <c r="T1815" s="5">
        <v>0</v>
      </c>
      <c r="U1815" s="5">
        <v>0</v>
      </c>
      <c r="V1815" s="5">
        <f>VLOOKUP(A1815,Planilha1!B:E,4,0)</f>
        <v>-1.9171310037550682</v>
      </c>
    </row>
    <row r="1816" spans="1:22" x14ac:dyDescent="0.3">
      <c r="A1816" t="str">
        <f t="shared" si="56"/>
        <v>LEITE CONDENSADOLACTALIS</v>
      </c>
      <c r="B1816" t="str">
        <f t="shared" si="57"/>
        <v>5310066LEITE CONDENSADOLACTALIS</v>
      </c>
      <c r="C1816" s="5" t="s">
        <v>226</v>
      </c>
      <c r="D1816" s="5" t="s">
        <v>227</v>
      </c>
      <c r="E1816" s="5" t="s">
        <v>1722</v>
      </c>
      <c r="F1816" s="5">
        <v>5310066</v>
      </c>
      <c r="G1816" s="5" t="s">
        <v>1094</v>
      </c>
      <c r="H1816" s="5" t="s">
        <v>30</v>
      </c>
      <c r="I1816" s="5" t="s">
        <v>22</v>
      </c>
      <c r="J1816" s="5" t="s">
        <v>33</v>
      </c>
      <c r="K1816" s="6">
        <v>0</v>
      </c>
      <c r="L1816" s="7">
        <v>978.56</v>
      </c>
      <c r="M1816" s="8">
        <v>816.66666666666663</v>
      </c>
      <c r="N1816" s="8">
        <v>686</v>
      </c>
      <c r="O1816" s="8">
        <v>490</v>
      </c>
      <c r="P1816" s="8">
        <v>0</v>
      </c>
      <c r="Q1816" s="8">
        <v>168</v>
      </c>
      <c r="R1816" s="8">
        <v>0</v>
      </c>
      <c r="S1816" s="8">
        <v>1258</v>
      </c>
      <c r="T1816" s="5">
        <v>1260</v>
      </c>
      <c r="U1816" s="5">
        <v>606</v>
      </c>
      <c r="V1816" s="5">
        <f>VLOOKUP(A1816,Planilha1!B:E,4,0)</f>
        <v>1.8665071822970765</v>
      </c>
    </row>
    <row r="1817" spans="1:22" x14ac:dyDescent="0.3">
      <c r="A1817" t="str">
        <f t="shared" si="56"/>
        <v>LEITE UHTLACTALIS</v>
      </c>
      <c r="B1817" t="str">
        <f t="shared" si="57"/>
        <v>5310066LEITE UHTLACTALIS</v>
      </c>
      <c r="C1817" s="5" t="s">
        <v>226</v>
      </c>
      <c r="D1817" s="5" t="s">
        <v>227</v>
      </c>
      <c r="E1817" s="5" t="s">
        <v>1722</v>
      </c>
      <c r="F1817" s="5">
        <v>5310066</v>
      </c>
      <c r="G1817" s="5" t="s">
        <v>1094</v>
      </c>
      <c r="H1817" s="5" t="s">
        <v>30</v>
      </c>
      <c r="I1817" s="5" t="s">
        <v>22</v>
      </c>
      <c r="J1817" s="5" t="s">
        <v>156</v>
      </c>
      <c r="K1817" s="6">
        <v>0</v>
      </c>
      <c r="L1817" s="7">
        <v>480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0</v>
      </c>
      <c r="S1817" s="8">
        <v>0</v>
      </c>
      <c r="T1817" s="5">
        <v>0</v>
      </c>
      <c r="U1817" s="5">
        <v>0</v>
      </c>
      <c r="V1817" s="5">
        <f>VLOOKUP(A1817,Planilha1!B:E,4,0)</f>
        <v>0.37177548115779385</v>
      </c>
    </row>
    <row r="1818" spans="1:22" x14ac:dyDescent="0.3">
      <c r="A1818" t="str">
        <f t="shared" si="56"/>
        <v>BLISTERLACTALIS</v>
      </c>
      <c r="B1818" t="str">
        <f t="shared" si="57"/>
        <v>5314633BLISTERLACTALIS</v>
      </c>
      <c r="C1818" s="5" t="s">
        <v>226</v>
      </c>
      <c r="D1818" s="5" t="s">
        <v>227</v>
      </c>
      <c r="E1818" s="5" t="s">
        <v>1722</v>
      </c>
      <c r="F1818" s="5">
        <v>5314633</v>
      </c>
      <c r="G1818" s="5" t="s">
        <v>340</v>
      </c>
      <c r="H1818" s="5" t="s">
        <v>30</v>
      </c>
      <c r="I1818" s="5" t="s">
        <v>22</v>
      </c>
      <c r="J1818" s="5" t="s">
        <v>199</v>
      </c>
      <c r="K1818" s="6">
        <v>0</v>
      </c>
      <c r="L1818" s="7">
        <v>1.92</v>
      </c>
      <c r="M1818" s="8">
        <v>0.96</v>
      </c>
      <c r="N1818" s="8">
        <v>1.28</v>
      </c>
      <c r="O1818" s="8">
        <v>0</v>
      </c>
      <c r="P1818" s="8">
        <v>0</v>
      </c>
      <c r="Q1818" s="8">
        <v>0</v>
      </c>
      <c r="R1818" s="8">
        <v>0</v>
      </c>
      <c r="S1818" s="8">
        <v>0</v>
      </c>
      <c r="T1818" s="5">
        <v>0</v>
      </c>
      <c r="U1818" s="5">
        <v>0</v>
      </c>
      <c r="V1818" s="5">
        <f>VLOOKUP(A1818,Planilha1!B:E,4,0)</f>
        <v>13.783871706210666</v>
      </c>
    </row>
    <row r="1819" spans="1:22" x14ac:dyDescent="0.3">
      <c r="A1819" t="str">
        <f t="shared" si="56"/>
        <v>CREME UHTLACTALIS</v>
      </c>
      <c r="B1819" t="str">
        <f t="shared" si="57"/>
        <v>5314633CREME UHTLACTALIS</v>
      </c>
      <c r="C1819" s="5" t="s">
        <v>226</v>
      </c>
      <c r="D1819" s="5" t="s">
        <v>227</v>
      </c>
      <c r="E1819" s="5" t="s">
        <v>1722</v>
      </c>
      <c r="F1819" s="5">
        <v>5314633</v>
      </c>
      <c r="G1819" s="5" t="s">
        <v>340</v>
      </c>
      <c r="H1819" s="5" t="s">
        <v>30</v>
      </c>
      <c r="I1819" s="5" t="s">
        <v>22</v>
      </c>
      <c r="J1819" s="5" t="s">
        <v>34</v>
      </c>
      <c r="K1819" s="6">
        <v>0</v>
      </c>
      <c r="L1819" s="7">
        <v>5.4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0</v>
      </c>
      <c r="S1819" s="8">
        <v>0</v>
      </c>
      <c r="T1819" s="5">
        <v>0</v>
      </c>
      <c r="U1819" s="5">
        <v>0</v>
      </c>
      <c r="V1819" s="5">
        <f>VLOOKUP(A1819,Planilha1!B:E,4,0)</f>
        <v>-1.4094522863012933</v>
      </c>
    </row>
    <row r="1820" spans="1:22" x14ac:dyDescent="0.3">
      <c r="A1820" t="str">
        <f t="shared" si="56"/>
        <v>LEITE UHTLACTALIS</v>
      </c>
      <c r="B1820" t="str">
        <f t="shared" si="57"/>
        <v>5314633LEITE UHTLACTALIS</v>
      </c>
      <c r="C1820" s="5" t="s">
        <v>226</v>
      </c>
      <c r="D1820" s="5" t="s">
        <v>227</v>
      </c>
      <c r="E1820" s="5" t="s">
        <v>1722</v>
      </c>
      <c r="F1820" s="5">
        <v>5314633</v>
      </c>
      <c r="G1820" s="5" t="s">
        <v>340</v>
      </c>
      <c r="H1820" s="5" t="s">
        <v>30</v>
      </c>
      <c r="I1820" s="5" t="s">
        <v>22</v>
      </c>
      <c r="J1820" s="5" t="s">
        <v>156</v>
      </c>
      <c r="K1820" s="6">
        <v>0</v>
      </c>
      <c r="L1820" s="7">
        <v>36</v>
      </c>
      <c r="M1820" s="8">
        <v>6</v>
      </c>
      <c r="N1820" s="8">
        <v>12</v>
      </c>
      <c r="O1820" s="8">
        <v>0</v>
      </c>
      <c r="P1820" s="8">
        <v>0</v>
      </c>
      <c r="Q1820" s="8">
        <v>0</v>
      </c>
      <c r="R1820" s="8">
        <v>0</v>
      </c>
      <c r="S1820" s="8">
        <v>0</v>
      </c>
      <c r="T1820" s="5">
        <v>0</v>
      </c>
      <c r="U1820" s="5">
        <v>0</v>
      </c>
      <c r="V1820" s="5">
        <f>VLOOKUP(A1820,Planilha1!B:E,4,0)</f>
        <v>0.37177548115779385</v>
      </c>
    </row>
    <row r="1821" spans="1:22" x14ac:dyDescent="0.3">
      <c r="A1821" t="str">
        <f t="shared" si="56"/>
        <v>LEITE CONDENSADOLACTALIS</v>
      </c>
      <c r="B1821" t="str">
        <f t="shared" si="57"/>
        <v>5319061LEITE CONDENSADOLACTALIS</v>
      </c>
      <c r="C1821" s="5" t="s">
        <v>226</v>
      </c>
      <c r="D1821" s="5" t="s">
        <v>227</v>
      </c>
      <c r="E1821" s="5" t="s">
        <v>1722</v>
      </c>
      <c r="F1821" s="5">
        <v>5319061</v>
      </c>
      <c r="G1821" s="5" t="s">
        <v>341</v>
      </c>
      <c r="H1821" s="5" t="s">
        <v>30</v>
      </c>
      <c r="I1821" s="5" t="s">
        <v>22</v>
      </c>
      <c r="J1821" s="5" t="s">
        <v>33</v>
      </c>
      <c r="K1821" s="6">
        <v>0</v>
      </c>
      <c r="L1821" s="7">
        <v>56</v>
      </c>
      <c r="M1821" s="8">
        <v>20.999999999999996</v>
      </c>
      <c r="N1821" s="8">
        <v>4.666666666666667</v>
      </c>
      <c r="O1821" s="8">
        <v>0</v>
      </c>
      <c r="P1821" s="8">
        <v>0</v>
      </c>
      <c r="Q1821" s="8">
        <v>0</v>
      </c>
      <c r="R1821" s="8">
        <v>0</v>
      </c>
      <c r="S1821" s="8">
        <v>0</v>
      </c>
      <c r="T1821" s="5">
        <v>0</v>
      </c>
      <c r="U1821" s="5">
        <v>0</v>
      </c>
      <c r="V1821" s="5">
        <f>VLOOKUP(A1821,Planilha1!B:E,4,0)</f>
        <v>1.8665071822970765</v>
      </c>
    </row>
    <row r="1822" spans="1:22" x14ac:dyDescent="0.3">
      <c r="A1822" t="str">
        <f t="shared" si="56"/>
        <v>MANTEIGA 5KGLACTALIS</v>
      </c>
      <c r="B1822" t="str">
        <f t="shared" si="57"/>
        <v>5320664MANTEIGA 5KGLACTALIS</v>
      </c>
      <c r="C1822" s="5" t="s">
        <v>226</v>
      </c>
      <c r="D1822" s="5" t="s">
        <v>227</v>
      </c>
      <c r="E1822" s="5" t="s">
        <v>1722</v>
      </c>
      <c r="F1822" s="5">
        <v>5320664</v>
      </c>
      <c r="G1822" s="5" t="s">
        <v>278</v>
      </c>
      <c r="H1822" s="5" t="s">
        <v>30</v>
      </c>
      <c r="I1822" s="5" t="s">
        <v>22</v>
      </c>
      <c r="J1822" s="5" t="s">
        <v>60</v>
      </c>
      <c r="K1822" s="6">
        <v>0</v>
      </c>
      <c r="L1822" s="7">
        <v>40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0</v>
      </c>
      <c r="S1822" s="8">
        <v>0</v>
      </c>
      <c r="T1822" s="5">
        <v>0</v>
      </c>
      <c r="U1822" s="5">
        <v>0</v>
      </c>
      <c r="V1822" s="5">
        <f>VLOOKUP(A1822,Planilha1!B:E,4,0)</f>
        <v>11.476197020267191</v>
      </c>
    </row>
    <row r="1823" spans="1:22" x14ac:dyDescent="0.3">
      <c r="A1823" t="str">
        <f t="shared" si="56"/>
        <v>MANTEIGA 5KGLACTALIS</v>
      </c>
      <c r="B1823" t="str">
        <f t="shared" si="57"/>
        <v>5326435MANTEIGA 5KGLACTALIS</v>
      </c>
      <c r="C1823" s="5" t="s">
        <v>226</v>
      </c>
      <c r="D1823" s="5" t="s">
        <v>227</v>
      </c>
      <c r="E1823" s="5" t="s">
        <v>1722</v>
      </c>
      <c r="F1823" s="5">
        <v>5326435</v>
      </c>
      <c r="G1823" s="5" t="s">
        <v>1095</v>
      </c>
      <c r="H1823" s="5" t="s">
        <v>30</v>
      </c>
      <c r="I1823" s="5" t="s">
        <v>22</v>
      </c>
      <c r="J1823" s="5" t="s">
        <v>60</v>
      </c>
      <c r="K1823" s="6">
        <v>0</v>
      </c>
      <c r="L1823" s="7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  <c r="S1823" s="8">
        <v>0</v>
      </c>
      <c r="T1823" s="5">
        <v>0</v>
      </c>
      <c r="U1823" s="5">
        <v>0</v>
      </c>
      <c r="V1823" s="5">
        <f>VLOOKUP(A1823,Planilha1!B:E,4,0)</f>
        <v>11.476197020267191</v>
      </c>
    </row>
    <row r="1824" spans="1:22" x14ac:dyDescent="0.3">
      <c r="A1824" t="str">
        <f t="shared" si="56"/>
        <v>QUEIJOSLACTALIS</v>
      </c>
      <c r="B1824" t="str">
        <f t="shared" si="57"/>
        <v>5328788QUEIJOSLACTALIS</v>
      </c>
      <c r="C1824" s="5" t="s">
        <v>226</v>
      </c>
      <c r="D1824" s="5" t="s">
        <v>227</v>
      </c>
      <c r="E1824" s="5" t="s">
        <v>1722</v>
      </c>
      <c r="F1824" s="5">
        <v>5328788</v>
      </c>
      <c r="G1824" s="5" t="s">
        <v>1096</v>
      </c>
      <c r="H1824" s="5" t="s">
        <v>30</v>
      </c>
      <c r="I1824" s="5" t="s">
        <v>22</v>
      </c>
      <c r="J1824" s="5" t="s">
        <v>63</v>
      </c>
      <c r="K1824" s="6">
        <v>0</v>
      </c>
      <c r="L1824" s="7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  <c r="S1824" s="8">
        <v>0</v>
      </c>
      <c r="T1824" s="5">
        <v>0</v>
      </c>
      <c r="U1824" s="5">
        <v>0</v>
      </c>
      <c r="V1824" s="5">
        <f>VLOOKUP(A1824,Planilha1!B:E,4,0)</f>
        <v>-1.9171310037550682</v>
      </c>
    </row>
    <row r="1825" spans="1:22" x14ac:dyDescent="0.3">
      <c r="A1825" t="str">
        <f t="shared" si="56"/>
        <v>QUEIJOSLACTALIS</v>
      </c>
      <c r="B1825" t="str">
        <f t="shared" si="57"/>
        <v>5329387QUEIJOSLACTALIS</v>
      </c>
      <c r="C1825" s="5" t="s">
        <v>226</v>
      </c>
      <c r="D1825" s="5" t="s">
        <v>227</v>
      </c>
      <c r="E1825" s="5" t="s">
        <v>1722</v>
      </c>
      <c r="F1825" s="5">
        <v>5329387</v>
      </c>
      <c r="G1825" s="5" t="s">
        <v>1097</v>
      </c>
      <c r="H1825" s="5" t="s">
        <v>30</v>
      </c>
      <c r="I1825" s="5" t="s">
        <v>22</v>
      </c>
      <c r="J1825" s="5" t="s">
        <v>63</v>
      </c>
      <c r="K1825" s="6">
        <v>0</v>
      </c>
      <c r="L1825" s="7">
        <v>0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0</v>
      </c>
      <c r="S1825" s="8">
        <v>0</v>
      </c>
      <c r="T1825" s="5">
        <v>0</v>
      </c>
      <c r="U1825" s="5">
        <v>0</v>
      </c>
      <c r="V1825" s="5">
        <f>VLOOKUP(A1825,Planilha1!B:E,4,0)</f>
        <v>-1.9171310037550682</v>
      </c>
    </row>
    <row r="1826" spans="1:22" x14ac:dyDescent="0.3">
      <c r="A1826" t="str">
        <f t="shared" si="56"/>
        <v>CREME UHTLACTALIS</v>
      </c>
      <c r="B1826" t="str">
        <f t="shared" si="57"/>
        <v>5330471CREME UHTLACTALIS</v>
      </c>
      <c r="C1826" s="5" t="s">
        <v>226</v>
      </c>
      <c r="D1826" s="5" t="s">
        <v>227</v>
      </c>
      <c r="E1826" s="5" t="s">
        <v>1722</v>
      </c>
      <c r="F1826" s="5">
        <v>5330471</v>
      </c>
      <c r="G1826" s="5" t="s">
        <v>352</v>
      </c>
      <c r="H1826" s="5" t="s">
        <v>30</v>
      </c>
      <c r="I1826" s="5" t="s">
        <v>22</v>
      </c>
      <c r="J1826" s="5" t="s">
        <v>34</v>
      </c>
      <c r="K1826" s="6">
        <v>0</v>
      </c>
      <c r="L1826" s="7">
        <v>32.4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0</v>
      </c>
      <c r="S1826" s="8">
        <v>0</v>
      </c>
      <c r="T1826" s="5">
        <v>0</v>
      </c>
      <c r="U1826" s="5">
        <v>0</v>
      </c>
      <c r="V1826" s="5">
        <f>VLOOKUP(A1826,Planilha1!B:E,4,0)</f>
        <v>-1.4094522863012933</v>
      </c>
    </row>
    <row r="1827" spans="1:22" x14ac:dyDescent="0.3">
      <c r="A1827" t="str">
        <f t="shared" si="56"/>
        <v>LEITE UHTLACTALIS</v>
      </c>
      <c r="B1827" t="str">
        <f t="shared" si="57"/>
        <v>5330471LEITE UHTLACTALIS</v>
      </c>
      <c r="C1827" s="5" t="s">
        <v>226</v>
      </c>
      <c r="D1827" s="5" t="s">
        <v>227</v>
      </c>
      <c r="E1827" s="5" t="s">
        <v>1722</v>
      </c>
      <c r="F1827" s="5">
        <v>5330471</v>
      </c>
      <c r="G1827" s="5" t="s">
        <v>352</v>
      </c>
      <c r="H1827" s="5" t="s">
        <v>30</v>
      </c>
      <c r="I1827" s="5" t="s">
        <v>22</v>
      </c>
      <c r="J1827" s="5" t="s">
        <v>156</v>
      </c>
      <c r="K1827" s="6">
        <v>0</v>
      </c>
      <c r="L1827" s="7">
        <v>0</v>
      </c>
      <c r="M1827" s="8">
        <v>12</v>
      </c>
      <c r="N1827" s="8">
        <v>24</v>
      </c>
      <c r="O1827" s="8">
        <v>0</v>
      </c>
      <c r="P1827" s="8">
        <v>0</v>
      </c>
      <c r="Q1827" s="8">
        <v>0</v>
      </c>
      <c r="R1827" s="8">
        <v>0</v>
      </c>
      <c r="S1827" s="8">
        <v>0</v>
      </c>
      <c r="T1827" s="5">
        <v>0</v>
      </c>
      <c r="U1827" s="5">
        <v>0</v>
      </c>
      <c r="V1827" s="5">
        <f>VLOOKUP(A1827,Planilha1!B:E,4,0)</f>
        <v>0.37177548115779385</v>
      </c>
    </row>
    <row r="1828" spans="1:22" x14ac:dyDescent="0.3">
      <c r="A1828" t="str">
        <f t="shared" si="56"/>
        <v>CREME UHTLACTALIS</v>
      </c>
      <c r="B1828" t="str">
        <f t="shared" si="57"/>
        <v>5332242CREME UHTLACTALIS</v>
      </c>
      <c r="C1828" s="5" t="s">
        <v>226</v>
      </c>
      <c r="D1828" s="5" t="s">
        <v>227</v>
      </c>
      <c r="E1828" s="5" t="s">
        <v>1722</v>
      </c>
      <c r="F1828" s="5">
        <v>5332242</v>
      </c>
      <c r="G1828" s="5" t="s">
        <v>1098</v>
      </c>
      <c r="H1828" s="5" t="s">
        <v>30</v>
      </c>
      <c r="I1828" s="5" t="s">
        <v>22</v>
      </c>
      <c r="J1828" s="5" t="s">
        <v>34</v>
      </c>
      <c r="K1828" s="6">
        <v>0</v>
      </c>
      <c r="L1828" s="7">
        <v>5.4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  <c r="S1828" s="8">
        <v>5</v>
      </c>
      <c r="T1828" s="5">
        <v>5</v>
      </c>
      <c r="U1828" s="5">
        <v>5</v>
      </c>
      <c r="V1828" s="5">
        <f>VLOOKUP(A1828,Planilha1!B:E,4,0)</f>
        <v>-1.4094522863012933</v>
      </c>
    </row>
    <row r="1829" spans="1:22" x14ac:dyDescent="0.3">
      <c r="A1829" t="str">
        <f t="shared" si="56"/>
        <v>LEITE UHTLACTALIS</v>
      </c>
      <c r="B1829" t="str">
        <f t="shared" si="57"/>
        <v>5332242LEITE UHTLACTALIS</v>
      </c>
      <c r="C1829" s="5" t="s">
        <v>226</v>
      </c>
      <c r="D1829" s="5" t="s">
        <v>227</v>
      </c>
      <c r="E1829" s="5" t="s">
        <v>1722</v>
      </c>
      <c r="F1829" s="5">
        <v>5332242</v>
      </c>
      <c r="G1829" s="5" t="s">
        <v>1098</v>
      </c>
      <c r="H1829" s="5" t="s">
        <v>30</v>
      </c>
      <c r="I1829" s="5" t="s">
        <v>22</v>
      </c>
      <c r="J1829" s="5" t="s">
        <v>156</v>
      </c>
      <c r="K1829" s="6">
        <v>0</v>
      </c>
      <c r="L1829" s="7">
        <v>240</v>
      </c>
      <c r="M1829" s="8">
        <v>0</v>
      </c>
      <c r="N1829" s="8">
        <v>0</v>
      </c>
      <c r="O1829" s="8">
        <v>0</v>
      </c>
      <c r="P1829" s="8">
        <v>0</v>
      </c>
      <c r="Q1829" s="8">
        <v>120</v>
      </c>
      <c r="R1829" s="8">
        <v>0</v>
      </c>
      <c r="S1829" s="8">
        <v>0</v>
      </c>
      <c r="T1829" s="5">
        <v>0</v>
      </c>
      <c r="U1829" s="5">
        <v>0</v>
      </c>
      <c r="V1829" s="5">
        <f>VLOOKUP(A1829,Planilha1!B:E,4,0)</f>
        <v>0.37177548115779385</v>
      </c>
    </row>
    <row r="1830" spans="1:22" x14ac:dyDescent="0.3">
      <c r="A1830" t="str">
        <f t="shared" si="56"/>
        <v>LEITE UHTLACTALIS</v>
      </c>
      <c r="B1830" t="str">
        <f t="shared" si="57"/>
        <v>5337089LEITE UHTLACTALIS</v>
      </c>
      <c r="C1830" s="5" t="s">
        <v>226</v>
      </c>
      <c r="D1830" s="5" t="s">
        <v>227</v>
      </c>
      <c r="E1830" s="5" t="s">
        <v>1722</v>
      </c>
      <c r="F1830" s="5">
        <v>5337089</v>
      </c>
      <c r="G1830" s="5" t="s">
        <v>359</v>
      </c>
      <c r="H1830" s="5" t="s">
        <v>30</v>
      </c>
      <c r="I1830" s="5" t="s">
        <v>22</v>
      </c>
      <c r="J1830" s="5" t="s">
        <v>156</v>
      </c>
      <c r="K1830" s="6">
        <v>0</v>
      </c>
      <c r="L1830" s="7">
        <v>36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0</v>
      </c>
      <c r="S1830" s="8">
        <v>0</v>
      </c>
      <c r="T1830" s="5">
        <v>0</v>
      </c>
      <c r="U1830" s="5">
        <v>0</v>
      </c>
      <c r="V1830" s="5">
        <f>VLOOKUP(A1830,Planilha1!B:E,4,0)</f>
        <v>0.37177548115779385</v>
      </c>
    </row>
    <row r="1831" spans="1:22" x14ac:dyDescent="0.3">
      <c r="A1831" t="str">
        <f t="shared" si="56"/>
        <v>LEITE UHTLACTALIS</v>
      </c>
      <c r="B1831" t="str">
        <f t="shared" si="57"/>
        <v>5338829LEITE UHTLACTALIS</v>
      </c>
      <c r="C1831" s="5" t="s">
        <v>226</v>
      </c>
      <c r="D1831" s="5" t="s">
        <v>227</v>
      </c>
      <c r="E1831" s="5" t="s">
        <v>1722</v>
      </c>
      <c r="F1831" s="5">
        <v>5338829</v>
      </c>
      <c r="G1831" s="5" t="s">
        <v>363</v>
      </c>
      <c r="H1831" s="5" t="s">
        <v>30</v>
      </c>
      <c r="I1831" s="5" t="s">
        <v>22</v>
      </c>
      <c r="J1831" s="5" t="s">
        <v>156</v>
      </c>
      <c r="K1831" s="6">
        <v>0</v>
      </c>
      <c r="L1831" s="7">
        <v>48</v>
      </c>
      <c r="M1831" s="8">
        <v>0</v>
      </c>
      <c r="N1831" s="8">
        <v>0</v>
      </c>
      <c r="O1831" s="8">
        <v>0</v>
      </c>
      <c r="P1831" s="8">
        <v>0</v>
      </c>
      <c r="Q1831" s="8">
        <v>0</v>
      </c>
      <c r="R1831" s="8">
        <v>0</v>
      </c>
      <c r="S1831" s="8">
        <v>0</v>
      </c>
      <c r="T1831" s="5">
        <v>0</v>
      </c>
      <c r="U1831" s="5">
        <v>0</v>
      </c>
      <c r="V1831" s="5">
        <f>VLOOKUP(A1831,Planilha1!B:E,4,0)</f>
        <v>0.37177548115779385</v>
      </c>
    </row>
    <row r="1832" spans="1:22" x14ac:dyDescent="0.3">
      <c r="A1832" t="str">
        <f t="shared" si="56"/>
        <v>LEITE UHTLACTALIS</v>
      </c>
      <c r="B1832" t="str">
        <f t="shared" si="57"/>
        <v>5338918LEITE UHTLACTALIS</v>
      </c>
      <c r="C1832" s="5" t="s">
        <v>226</v>
      </c>
      <c r="D1832" s="5" t="s">
        <v>227</v>
      </c>
      <c r="E1832" s="5" t="s">
        <v>1722</v>
      </c>
      <c r="F1832" s="5">
        <v>5338918</v>
      </c>
      <c r="G1832" s="5" t="s">
        <v>365</v>
      </c>
      <c r="H1832" s="5" t="s">
        <v>30</v>
      </c>
      <c r="I1832" s="5" t="s">
        <v>22</v>
      </c>
      <c r="J1832" s="5" t="s">
        <v>156</v>
      </c>
      <c r="K1832" s="6">
        <v>0</v>
      </c>
      <c r="L1832" s="7">
        <v>12</v>
      </c>
      <c r="M1832" s="8">
        <v>0</v>
      </c>
      <c r="N1832" s="8">
        <v>0</v>
      </c>
      <c r="O1832" s="8">
        <v>0</v>
      </c>
      <c r="P1832" s="8">
        <v>0</v>
      </c>
      <c r="Q1832" s="8">
        <v>0</v>
      </c>
      <c r="R1832" s="8">
        <v>0</v>
      </c>
      <c r="S1832" s="8">
        <v>0</v>
      </c>
      <c r="T1832" s="5">
        <v>0</v>
      </c>
      <c r="U1832" s="5">
        <v>0</v>
      </c>
      <c r="V1832" s="5">
        <f>VLOOKUP(A1832,Planilha1!B:E,4,0)</f>
        <v>0.37177548115779385</v>
      </c>
    </row>
    <row r="1833" spans="1:22" x14ac:dyDescent="0.3">
      <c r="A1833" t="str">
        <f t="shared" si="56"/>
        <v>LEITE UHTLACTALIS</v>
      </c>
      <c r="B1833" t="str">
        <f t="shared" si="57"/>
        <v>5342209LEITE UHTLACTALIS</v>
      </c>
      <c r="C1833" s="5" t="s">
        <v>226</v>
      </c>
      <c r="D1833" s="5" t="s">
        <v>227</v>
      </c>
      <c r="E1833" s="5" t="s">
        <v>1722</v>
      </c>
      <c r="F1833" s="5">
        <v>5342209</v>
      </c>
      <c r="G1833" s="5" t="s">
        <v>1099</v>
      </c>
      <c r="H1833" s="5" t="s">
        <v>30</v>
      </c>
      <c r="I1833" s="5" t="s">
        <v>22</v>
      </c>
      <c r="J1833" s="5" t="s">
        <v>156</v>
      </c>
      <c r="K1833" s="6">
        <v>0</v>
      </c>
      <c r="L1833" s="7">
        <v>0</v>
      </c>
      <c r="M1833" s="8">
        <v>0</v>
      </c>
      <c r="N1833" s="8">
        <v>0</v>
      </c>
      <c r="O1833" s="8">
        <v>0</v>
      </c>
      <c r="P1833" s="8">
        <v>0</v>
      </c>
      <c r="Q1833" s="8">
        <v>0</v>
      </c>
      <c r="R1833" s="8">
        <v>0</v>
      </c>
      <c r="S1833" s="8">
        <v>0</v>
      </c>
      <c r="T1833" s="5">
        <v>0</v>
      </c>
      <c r="U1833" s="5">
        <v>0</v>
      </c>
      <c r="V1833" s="5">
        <f>VLOOKUP(A1833,Planilha1!B:E,4,0)</f>
        <v>0.37177548115779385</v>
      </c>
    </row>
    <row r="1834" spans="1:22" x14ac:dyDescent="0.3">
      <c r="A1834" t="str">
        <f t="shared" si="56"/>
        <v>LEITE UHTLACTALIS</v>
      </c>
      <c r="B1834" t="str">
        <f t="shared" si="57"/>
        <v>5342433LEITE UHTLACTALIS</v>
      </c>
      <c r="C1834" s="5" t="s">
        <v>226</v>
      </c>
      <c r="D1834" s="5" t="s">
        <v>227</v>
      </c>
      <c r="E1834" s="5" t="s">
        <v>1722</v>
      </c>
      <c r="F1834" s="5">
        <v>5342433</v>
      </c>
      <c r="G1834" s="5" t="s">
        <v>1100</v>
      </c>
      <c r="H1834" s="5" t="s">
        <v>30</v>
      </c>
      <c r="I1834" s="5" t="s">
        <v>22</v>
      </c>
      <c r="J1834" s="5" t="s">
        <v>156</v>
      </c>
      <c r="K1834" s="6">
        <v>0</v>
      </c>
      <c r="L1834" s="7">
        <v>0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0</v>
      </c>
      <c r="S1834" s="8">
        <v>0</v>
      </c>
      <c r="T1834" s="5">
        <v>0</v>
      </c>
      <c r="U1834" s="5">
        <v>0</v>
      </c>
      <c r="V1834" s="5">
        <f>VLOOKUP(A1834,Planilha1!B:E,4,0)</f>
        <v>0.37177548115779385</v>
      </c>
    </row>
    <row r="1835" spans="1:22" x14ac:dyDescent="0.3">
      <c r="A1835" t="str">
        <f t="shared" si="56"/>
        <v>LEITE UHTLACTALIS</v>
      </c>
      <c r="B1835" t="str">
        <f t="shared" si="57"/>
        <v>5344670LEITE UHTLACTALIS</v>
      </c>
      <c r="C1835" s="5" t="s">
        <v>226</v>
      </c>
      <c r="D1835" s="5" t="s">
        <v>227</v>
      </c>
      <c r="E1835" s="5" t="s">
        <v>1722</v>
      </c>
      <c r="F1835" s="5">
        <v>5344670</v>
      </c>
      <c r="G1835" s="5" t="s">
        <v>368</v>
      </c>
      <c r="H1835" s="5" t="s">
        <v>30</v>
      </c>
      <c r="I1835" s="5" t="s">
        <v>22</v>
      </c>
      <c r="J1835" s="5" t="s">
        <v>156</v>
      </c>
      <c r="K1835" s="6">
        <v>0</v>
      </c>
      <c r="L1835" s="7">
        <v>0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0</v>
      </c>
      <c r="S1835" s="8">
        <v>0</v>
      </c>
      <c r="T1835" s="5">
        <v>0</v>
      </c>
      <c r="U1835" s="5">
        <v>0</v>
      </c>
      <c r="V1835" s="5">
        <f>VLOOKUP(A1835,Planilha1!B:E,4,0)</f>
        <v>0.37177548115779385</v>
      </c>
    </row>
    <row r="1836" spans="1:22" x14ac:dyDescent="0.3">
      <c r="A1836" t="str">
        <f t="shared" si="56"/>
        <v>SPREADSLACTALIS</v>
      </c>
      <c r="B1836" t="str">
        <f t="shared" si="57"/>
        <v>5344670SPREADSLACTALIS</v>
      </c>
      <c r="C1836" s="5" t="s">
        <v>226</v>
      </c>
      <c r="D1836" s="5" t="s">
        <v>227</v>
      </c>
      <c r="E1836" s="5" t="s">
        <v>1722</v>
      </c>
      <c r="F1836" s="5">
        <v>5344670</v>
      </c>
      <c r="G1836" s="5" t="s">
        <v>368</v>
      </c>
      <c r="H1836" s="5" t="s">
        <v>30</v>
      </c>
      <c r="I1836" s="5" t="s">
        <v>22</v>
      </c>
      <c r="J1836" s="5" t="s">
        <v>945</v>
      </c>
      <c r="K1836" s="6">
        <v>0</v>
      </c>
      <c r="L1836" s="7">
        <v>68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  <c r="S1836" s="8">
        <v>0</v>
      </c>
      <c r="T1836" s="5">
        <v>0</v>
      </c>
      <c r="U1836" s="5">
        <v>0</v>
      </c>
      <c r="V1836" s="5">
        <f>VLOOKUP(A1836,Planilha1!B:E,4,0)</f>
        <v>13.599044988219518</v>
      </c>
    </row>
    <row r="1837" spans="1:22" x14ac:dyDescent="0.3">
      <c r="A1837" t="str">
        <f t="shared" si="56"/>
        <v>LEITE UHTLACTALIS</v>
      </c>
      <c r="B1837" t="str">
        <f t="shared" si="57"/>
        <v>5345932LEITE UHTLACTALIS</v>
      </c>
      <c r="C1837" s="5" t="s">
        <v>226</v>
      </c>
      <c r="D1837" s="5" t="s">
        <v>227</v>
      </c>
      <c r="E1837" s="5" t="s">
        <v>1722</v>
      </c>
      <c r="F1837" s="5">
        <v>5345932</v>
      </c>
      <c r="G1837" s="5" t="s">
        <v>369</v>
      </c>
      <c r="H1837" s="5" t="s">
        <v>30</v>
      </c>
      <c r="I1837" s="5" t="s">
        <v>22</v>
      </c>
      <c r="J1837" s="5" t="s">
        <v>156</v>
      </c>
      <c r="K1837" s="6">
        <v>0</v>
      </c>
      <c r="L1837" s="7">
        <v>24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0</v>
      </c>
      <c r="S1837" s="8">
        <v>0</v>
      </c>
      <c r="T1837" s="5">
        <v>0</v>
      </c>
      <c r="U1837" s="5">
        <v>0</v>
      </c>
      <c r="V1837" s="5">
        <f>VLOOKUP(A1837,Planilha1!B:E,4,0)</f>
        <v>0.37177548115779385</v>
      </c>
    </row>
    <row r="1838" spans="1:22" x14ac:dyDescent="0.3">
      <c r="A1838" t="str">
        <f t="shared" si="56"/>
        <v>MANTEIGA 5KGLACTALIS</v>
      </c>
      <c r="B1838" t="str">
        <f t="shared" si="57"/>
        <v>5346421MANTEIGA 5KGLACTALIS</v>
      </c>
      <c r="C1838" s="5" t="s">
        <v>226</v>
      </c>
      <c r="D1838" s="5" t="s">
        <v>227</v>
      </c>
      <c r="E1838" s="5" t="s">
        <v>1722</v>
      </c>
      <c r="F1838" s="5">
        <v>5346421</v>
      </c>
      <c r="G1838" s="5" t="s">
        <v>1101</v>
      </c>
      <c r="H1838" s="5" t="s">
        <v>30</v>
      </c>
      <c r="I1838" s="5" t="s">
        <v>22</v>
      </c>
      <c r="J1838" s="5" t="s">
        <v>60</v>
      </c>
      <c r="K1838" s="6">
        <v>0</v>
      </c>
      <c r="L1838" s="7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0</v>
      </c>
      <c r="S1838" s="8">
        <v>0</v>
      </c>
      <c r="T1838" s="5">
        <v>0</v>
      </c>
      <c r="U1838" s="5">
        <v>0</v>
      </c>
      <c r="V1838" s="5">
        <f>VLOOKUP(A1838,Planilha1!B:E,4,0)</f>
        <v>11.476197020267191</v>
      </c>
    </row>
    <row r="1839" spans="1:22" x14ac:dyDescent="0.3">
      <c r="A1839" t="str">
        <f t="shared" si="56"/>
        <v>LEITE UHTLACTALIS</v>
      </c>
      <c r="B1839" t="str">
        <f t="shared" si="57"/>
        <v>5346649LEITE UHTLACTALIS</v>
      </c>
      <c r="C1839" s="5" t="s">
        <v>226</v>
      </c>
      <c r="D1839" s="5" t="s">
        <v>227</v>
      </c>
      <c r="E1839" s="5" t="s">
        <v>1722</v>
      </c>
      <c r="F1839" s="5">
        <v>5346649</v>
      </c>
      <c r="G1839" s="5" t="s">
        <v>1102</v>
      </c>
      <c r="H1839" s="5" t="s">
        <v>30</v>
      </c>
      <c r="I1839" s="5" t="s">
        <v>22</v>
      </c>
      <c r="J1839" s="5" t="s">
        <v>156</v>
      </c>
      <c r="K1839" s="6">
        <v>0</v>
      </c>
      <c r="L1839" s="7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  <c r="S1839" s="8">
        <v>0</v>
      </c>
      <c r="T1839" s="5">
        <v>0</v>
      </c>
      <c r="U1839" s="5">
        <v>0</v>
      </c>
      <c r="V1839" s="5">
        <f>VLOOKUP(A1839,Planilha1!B:E,4,0)</f>
        <v>0.37177548115779385</v>
      </c>
    </row>
    <row r="1840" spans="1:22" x14ac:dyDescent="0.3">
      <c r="A1840" t="str">
        <f t="shared" si="56"/>
        <v>QUEIJOSLACTALIS</v>
      </c>
      <c r="B1840" t="str">
        <f t="shared" si="57"/>
        <v>5346844QUEIJOSLACTALIS</v>
      </c>
      <c r="C1840" s="5" t="s">
        <v>226</v>
      </c>
      <c r="D1840" s="5" t="s">
        <v>227</v>
      </c>
      <c r="E1840" s="5" t="s">
        <v>1722</v>
      </c>
      <c r="F1840" s="5">
        <v>5346844</v>
      </c>
      <c r="G1840" s="5" t="s">
        <v>1103</v>
      </c>
      <c r="H1840" s="5" t="s">
        <v>30</v>
      </c>
      <c r="I1840" s="5" t="s">
        <v>22</v>
      </c>
      <c r="J1840" s="5" t="s">
        <v>63</v>
      </c>
      <c r="K1840" s="6">
        <v>0</v>
      </c>
      <c r="L1840" s="7">
        <v>6.620000000000001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0</v>
      </c>
      <c r="S1840" s="8">
        <v>0</v>
      </c>
      <c r="T1840" s="5">
        <v>0</v>
      </c>
      <c r="U1840" s="5">
        <v>0</v>
      </c>
      <c r="V1840" s="5">
        <f>VLOOKUP(A1840,Planilha1!B:E,4,0)</f>
        <v>-1.9171310037550682</v>
      </c>
    </row>
    <row r="1841" spans="1:22" x14ac:dyDescent="0.3">
      <c r="A1841" t="str">
        <f t="shared" si="56"/>
        <v>LEITE UHTLACTALIS</v>
      </c>
      <c r="B1841" t="str">
        <f t="shared" si="57"/>
        <v>5347675LEITE UHTLACTALIS</v>
      </c>
      <c r="C1841" s="5" t="s">
        <v>226</v>
      </c>
      <c r="D1841" s="5" t="s">
        <v>227</v>
      </c>
      <c r="E1841" s="5" t="s">
        <v>1722</v>
      </c>
      <c r="F1841" s="5">
        <v>5347675</v>
      </c>
      <c r="G1841" s="5" t="s">
        <v>1104</v>
      </c>
      <c r="H1841" s="5" t="s">
        <v>30</v>
      </c>
      <c r="I1841" s="5" t="s">
        <v>22</v>
      </c>
      <c r="J1841" s="5" t="s">
        <v>156</v>
      </c>
      <c r="K1841" s="6">
        <v>0</v>
      </c>
      <c r="L1841" s="7">
        <v>636</v>
      </c>
      <c r="M1841" s="8">
        <v>100</v>
      </c>
      <c r="N1841" s="8">
        <v>200</v>
      </c>
      <c r="O1841" s="8">
        <v>0</v>
      </c>
      <c r="P1841" s="8">
        <v>0</v>
      </c>
      <c r="Q1841" s="8">
        <v>120</v>
      </c>
      <c r="R1841" s="8">
        <v>0</v>
      </c>
      <c r="S1841" s="8">
        <v>0</v>
      </c>
      <c r="T1841" s="5">
        <v>0</v>
      </c>
      <c r="U1841" s="5">
        <v>0</v>
      </c>
      <c r="V1841" s="5">
        <f>VLOOKUP(A1841,Planilha1!B:E,4,0)</f>
        <v>0.37177548115779385</v>
      </c>
    </row>
    <row r="1842" spans="1:22" x14ac:dyDescent="0.3">
      <c r="A1842" t="str">
        <f t="shared" si="56"/>
        <v>LEITE UHTLACTALIS</v>
      </c>
      <c r="B1842" t="str">
        <f t="shared" si="57"/>
        <v>5347915LEITE UHTLACTALIS</v>
      </c>
      <c r="C1842" s="5" t="s">
        <v>226</v>
      </c>
      <c r="D1842" s="5" t="s">
        <v>227</v>
      </c>
      <c r="E1842" s="5" t="s">
        <v>1722</v>
      </c>
      <c r="F1842" s="5">
        <v>5347915</v>
      </c>
      <c r="G1842" s="5" t="s">
        <v>1105</v>
      </c>
      <c r="H1842" s="5" t="s">
        <v>30</v>
      </c>
      <c r="I1842" s="5" t="s">
        <v>22</v>
      </c>
      <c r="J1842" s="5" t="s">
        <v>156</v>
      </c>
      <c r="K1842" s="6">
        <v>0</v>
      </c>
      <c r="L1842" s="7">
        <v>300</v>
      </c>
      <c r="M1842" s="8">
        <v>0</v>
      </c>
      <c r="N1842" s="8">
        <v>0</v>
      </c>
      <c r="O1842" s="8">
        <v>0</v>
      </c>
      <c r="P1842" s="8">
        <v>0</v>
      </c>
      <c r="Q1842" s="8">
        <v>0</v>
      </c>
      <c r="R1842" s="8">
        <v>0</v>
      </c>
      <c r="S1842" s="8">
        <v>0</v>
      </c>
      <c r="T1842" s="5">
        <v>0</v>
      </c>
      <c r="U1842" s="5">
        <v>0</v>
      </c>
      <c r="V1842" s="5">
        <f>VLOOKUP(A1842,Planilha1!B:E,4,0)</f>
        <v>0.37177548115779385</v>
      </c>
    </row>
    <row r="1843" spans="1:22" x14ac:dyDescent="0.3">
      <c r="A1843" t="str">
        <f t="shared" si="56"/>
        <v>LEITE UHTLACTALIS</v>
      </c>
      <c r="B1843" t="str">
        <f t="shared" si="57"/>
        <v>5034559LEITE UHTLACTALIS</v>
      </c>
      <c r="C1843" s="5" t="s">
        <v>226</v>
      </c>
      <c r="D1843" s="5" t="s">
        <v>227</v>
      </c>
      <c r="E1843" s="5" t="s">
        <v>1722</v>
      </c>
      <c r="F1843" s="5">
        <v>5034559</v>
      </c>
      <c r="G1843" s="5" t="s">
        <v>379</v>
      </c>
      <c r="H1843" s="5" t="s">
        <v>30</v>
      </c>
      <c r="I1843" s="5" t="s">
        <v>22</v>
      </c>
      <c r="J1843" s="5" t="s">
        <v>156</v>
      </c>
      <c r="K1843" s="6">
        <v>0</v>
      </c>
      <c r="L1843" s="7">
        <v>0</v>
      </c>
      <c r="M1843" s="8">
        <v>88</v>
      </c>
      <c r="N1843" s="8">
        <v>56</v>
      </c>
      <c r="O1843" s="8">
        <v>0</v>
      </c>
      <c r="P1843" s="8">
        <v>0</v>
      </c>
      <c r="Q1843" s="8">
        <v>0</v>
      </c>
      <c r="R1843" s="8">
        <v>0</v>
      </c>
      <c r="S1843" s="8">
        <v>0</v>
      </c>
      <c r="T1843" s="5">
        <v>0</v>
      </c>
      <c r="U1843" s="5">
        <v>0</v>
      </c>
      <c r="V1843" s="5">
        <f>VLOOKUP(A1843,Planilha1!B:E,4,0)</f>
        <v>0.37177548115779385</v>
      </c>
    </row>
    <row r="1844" spans="1:22" x14ac:dyDescent="0.3">
      <c r="A1844" t="str">
        <f t="shared" si="56"/>
        <v>LEITE UHTLACTALIS</v>
      </c>
      <c r="B1844" t="str">
        <f t="shared" si="57"/>
        <v>5113476LEITE UHTLACTALIS</v>
      </c>
      <c r="C1844" s="5" t="s">
        <v>226</v>
      </c>
      <c r="D1844" s="5" t="s">
        <v>227</v>
      </c>
      <c r="E1844" s="5" t="s">
        <v>1722</v>
      </c>
      <c r="F1844" s="5">
        <v>5113476</v>
      </c>
      <c r="G1844" s="5" t="s">
        <v>391</v>
      </c>
      <c r="H1844" s="5" t="s">
        <v>30</v>
      </c>
      <c r="I1844" s="5" t="s">
        <v>22</v>
      </c>
      <c r="J1844" s="5" t="s">
        <v>156</v>
      </c>
      <c r="K1844" s="6">
        <v>0</v>
      </c>
      <c r="L1844" s="7">
        <v>0</v>
      </c>
      <c r="M1844" s="8">
        <v>360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  <c r="S1844" s="8">
        <v>0</v>
      </c>
      <c r="T1844" s="5">
        <v>0</v>
      </c>
      <c r="U1844" s="5">
        <v>0</v>
      </c>
      <c r="V1844" s="5">
        <f>VLOOKUP(A1844,Planilha1!B:E,4,0)</f>
        <v>0.37177548115779385</v>
      </c>
    </row>
    <row r="1845" spans="1:22" x14ac:dyDescent="0.3">
      <c r="A1845" t="str">
        <f t="shared" si="56"/>
        <v>MANTEIGA 5KGLACTALIS</v>
      </c>
      <c r="B1845" t="str">
        <f t="shared" si="57"/>
        <v>5116958MANTEIGA 5KGLACTALIS</v>
      </c>
      <c r="C1845" s="5" t="s">
        <v>226</v>
      </c>
      <c r="D1845" s="5" t="s">
        <v>227</v>
      </c>
      <c r="E1845" s="5" t="s">
        <v>1722</v>
      </c>
      <c r="F1845" s="5">
        <v>5116958</v>
      </c>
      <c r="G1845" s="5" t="s">
        <v>382</v>
      </c>
      <c r="H1845" s="5" t="s">
        <v>30</v>
      </c>
      <c r="I1845" s="5" t="s">
        <v>22</v>
      </c>
      <c r="J1845" s="5" t="s">
        <v>60</v>
      </c>
      <c r="K1845" s="6">
        <v>0</v>
      </c>
      <c r="L1845" s="7">
        <v>0</v>
      </c>
      <c r="M1845" s="8">
        <v>18.333333333333336</v>
      </c>
      <c r="N1845" s="8">
        <v>26.666666666666668</v>
      </c>
      <c r="O1845" s="8">
        <v>0</v>
      </c>
      <c r="P1845" s="8">
        <v>0</v>
      </c>
      <c r="Q1845" s="8">
        <v>40</v>
      </c>
      <c r="R1845" s="8">
        <v>0</v>
      </c>
      <c r="S1845" s="8">
        <v>40</v>
      </c>
      <c r="T1845" s="5">
        <v>40</v>
      </c>
      <c r="U1845" s="5">
        <v>40</v>
      </c>
      <c r="V1845" s="5">
        <f>VLOOKUP(A1845,Planilha1!B:E,4,0)</f>
        <v>11.476197020267191</v>
      </c>
    </row>
    <row r="1846" spans="1:22" x14ac:dyDescent="0.3">
      <c r="A1846" t="str">
        <f t="shared" si="56"/>
        <v>LEITE UHTLACTALIS</v>
      </c>
      <c r="B1846" t="str">
        <f t="shared" si="57"/>
        <v>5135368LEITE UHTLACTALIS</v>
      </c>
      <c r="C1846" s="5" t="s">
        <v>226</v>
      </c>
      <c r="D1846" s="5" t="s">
        <v>227</v>
      </c>
      <c r="E1846" s="5" t="s">
        <v>1722</v>
      </c>
      <c r="F1846" s="5">
        <v>5135368</v>
      </c>
      <c r="G1846" s="5" t="s">
        <v>1106</v>
      </c>
      <c r="H1846" s="5" t="s">
        <v>30</v>
      </c>
      <c r="I1846" s="5" t="s">
        <v>22</v>
      </c>
      <c r="J1846" s="5" t="s">
        <v>156</v>
      </c>
      <c r="K1846" s="6">
        <v>0</v>
      </c>
      <c r="L1846" s="7">
        <v>0</v>
      </c>
      <c r="M1846" s="8">
        <v>18</v>
      </c>
      <c r="N1846" s="8">
        <v>36</v>
      </c>
      <c r="O1846" s="8">
        <v>0</v>
      </c>
      <c r="P1846" s="8">
        <v>0</v>
      </c>
      <c r="Q1846" s="8">
        <v>0</v>
      </c>
      <c r="R1846" s="8">
        <v>0</v>
      </c>
      <c r="S1846" s="8">
        <v>0</v>
      </c>
      <c r="T1846" s="5">
        <v>0</v>
      </c>
      <c r="U1846" s="5">
        <v>0</v>
      </c>
      <c r="V1846" s="5">
        <f>VLOOKUP(A1846,Planilha1!B:E,4,0)</f>
        <v>0.37177548115779385</v>
      </c>
    </row>
    <row r="1847" spans="1:22" x14ac:dyDescent="0.3">
      <c r="A1847" t="str">
        <f t="shared" si="56"/>
        <v>LEITE UHTLACTALIS</v>
      </c>
      <c r="B1847" t="str">
        <f t="shared" si="57"/>
        <v>5158914LEITE UHTLACTALIS</v>
      </c>
      <c r="C1847" s="5" t="s">
        <v>226</v>
      </c>
      <c r="D1847" s="5" t="s">
        <v>227</v>
      </c>
      <c r="E1847" s="5" t="s">
        <v>1722</v>
      </c>
      <c r="F1847" s="5">
        <v>5158914</v>
      </c>
      <c r="G1847" s="5" t="s">
        <v>1107</v>
      </c>
      <c r="H1847" s="5" t="s">
        <v>30</v>
      </c>
      <c r="I1847" s="5" t="s">
        <v>22</v>
      </c>
      <c r="J1847" s="5" t="s">
        <v>156</v>
      </c>
      <c r="K1847" s="6">
        <v>0</v>
      </c>
      <c r="L1847" s="7">
        <v>240</v>
      </c>
      <c r="M1847" s="8">
        <v>160</v>
      </c>
      <c r="N1847" s="8">
        <v>240</v>
      </c>
      <c r="O1847" s="8">
        <v>0</v>
      </c>
      <c r="P1847" s="8">
        <v>0</v>
      </c>
      <c r="Q1847" s="8">
        <v>0</v>
      </c>
      <c r="R1847" s="8">
        <v>0</v>
      </c>
      <c r="S1847" s="8">
        <v>0</v>
      </c>
      <c r="T1847" s="5">
        <v>0</v>
      </c>
      <c r="U1847" s="5">
        <v>0</v>
      </c>
      <c r="V1847" s="5">
        <f>VLOOKUP(A1847,Planilha1!B:E,4,0)</f>
        <v>0.37177548115779385</v>
      </c>
    </row>
    <row r="1848" spans="1:22" x14ac:dyDescent="0.3">
      <c r="A1848" t="str">
        <f t="shared" si="56"/>
        <v>LEITE UHTLACTALIS</v>
      </c>
      <c r="B1848" t="str">
        <f t="shared" si="57"/>
        <v>5167905LEITE UHTLACTALIS</v>
      </c>
      <c r="C1848" s="5" t="s">
        <v>226</v>
      </c>
      <c r="D1848" s="5" t="s">
        <v>227</v>
      </c>
      <c r="E1848" s="5" t="s">
        <v>1722</v>
      </c>
      <c r="F1848" s="5">
        <v>5167905</v>
      </c>
      <c r="G1848" s="5" t="s">
        <v>379</v>
      </c>
      <c r="H1848" s="5" t="s">
        <v>30</v>
      </c>
      <c r="I1848" s="5" t="s">
        <v>22</v>
      </c>
      <c r="J1848" s="5" t="s">
        <v>156</v>
      </c>
      <c r="K1848" s="6">
        <v>0</v>
      </c>
      <c r="L1848" s="7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  <c r="S1848" s="8">
        <v>0</v>
      </c>
      <c r="T1848" s="5">
        <v>0</v>
      </c>
      <c r="U1848" s="5">
        <v>0</v>
      </c>
      <c r="V1848" s="5">
        <f>VLOOKUP(A1848,Planilha1!B:E,4,0)</f>
        <v>0.37177548115779385</v>
      </c>
    </row>
    <row r="1849" spans="1:22" x14ac:dyDescent="0.3">
      <c r="A1849" t="str">
        <f t="shared" si="56"/>
        <v>LEITE UHTLACTALIS</v>
      </c>
      <c r="B1849" t="str">
        <f t="shared" si="57"/>
        <v>5172394LEITE UHTLACTALIS</v>
      </c>
      <c r="C1849" s="5" t="s">
        <v>226</v>
      </c>
      <c r="D1849" s="5" t="s">
        <v>227</v>
      </c>
      <c r="E1849" s="5" t="s">
        <v>1722</v>
      </c>
      <c r="F1849" s="5">
        <v>5172394</v>
      </c>
      <c r="G1849" s="5" t="s">
        <v>1108</v>
      </c>
      <c r="H1849" s="5" t="s">
        <v>30</v>
      </c>
      <c r="I1849" s="5" t="s">
        <v>22</v>
      </c>
      <c r="J1849" s="5" t="s">
        <v>156</v>
      </c>
      <c r="K1849" s="6">
        <v>0</v>
      </c>
      <c r="L1849" s="7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  <c r="S1849" s="8">
        <v>0</v>
      </c>
      <c r="T1849" s="5">
        <v>0</v>
      </c>
      <c r="U1849" s="5">
        <v>0</v>
      </c>
      <c r="V1849" s="5">
        <f>VLOOKUP(A1849,Planilha1!B:E,4,0)</f>
        <v>0.37177548115779385</v>
      </c>
    </row>
    <row r="1850" spans="1:22" x14ac:dyDescent="0.3">
      <c r="A1850" t="str">
        <f t="shared" si="56"/>
        <v>MANTEIGA 5KGLACTALIS</v>
      </c>
      <c r="B1850" t="str">
        <f t="shared" si="57"/>
        <v>5175073MANTEIGA 5KGLACTALIS</v>
      </c>
      <c r="C1850" s="5" t="s">
        <v>226</v>
      </c>
      <c r="D1850" s="5" t="s">
        <v>227</v>
      </c>
      <c r="E1850" s="5" t="s">
        <v>1722</v>
      </c>
      <c r="F1850" s="5">
        <v>5175073</v>
      </c>
      <c r="G1850" s="5" t="s">
        <v>385</v>
      </c>
      <c r="H1850" s="5" t="s">
        <v>30</v>
      </c>
      <c r="I1850" s="5" t="s">
        <v>22</v>
      </c>
      <c r="J1850" s="5" t="s">
        <v>60</v>
      </c>
      <c r="K1850" s="6">
        <v>0</v>
      </c>
      <c r="L1850" s="7">
        <v>0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0</v>
      </c>
      <c r="S1850" s="8">
        <v>0</v>
      </c>
      <c r="T1850" s="5">
        <v>0</v>
      </c>
      <c r="U1850" s="5">
        <v>0</v>
      </c>
      <c r="V1850" s="5">
        <f>VLOOKUP(A1850,Planilha1!B:E,4,0)</f>
        <v>11.476197020267191</v>
      </c>
    </row>
    <row r="1851" spans="1:22" x14ac:dyDescent="0.3">
      <c r="A1851" t="str">
        <f t="shared" si="56"/>
        <v>MERC + AROMLACTALIS</v>
      </c>
      <c r="B1851" t="str">
        <f t="shared" si="57"/>
        <v>5175073MERC + AROMLACTALIS</v>
      </c>
      <c r="C1851" s="5" t="s">
        <v>226</v>
      </c>
      <c r="D1851" s="5" t="s">
        <v>227</v>
      </c>
      <c r="E1851" s="5" t="s">
        <v>1722</v>
      </c>
      <c r="F1851" s="5">
        <v>5175073</v>
      </c>
      <c r="G1851" s="5" t="s">
        <v>385</v>
      </c>
      <c r="H1851" s="5" t="s">
        <v>30</v>
      </c>
      <c r="I1851" s="5" t="s">
        <v>22</v>
      </c>
      <c r="J1851" s="5" t="s">
        <v>230</v>
      </c>
      <c r="K1851" s="6">
        <v>0</v>
      </c>
      <c r="L1851" s="7">
        <v>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  <c r="S1851" s="8">
        <v>0</v>
      </c>
      <c r="T1851" s="5">
        <v>0</v>
      </c>
      <c r="U1851" s="5">
        <v>0</v>
      </c>
      <c r="V1851" s="5">
        <f>VLOOKUP(A1851,Planilha1!B:E,4,0)</f>
        <v>0.86907188046232187</v>
      </c>
    </row>
    <row r="1852" spans="1:22" x14ac:dyDescent="0.3">
      <c r="A1852" t="str">
        <f t="shared" si="56"/>
        <v>LEITE UHTLACTALIS</v>
      </c>
      <c r="B1852" t="str">
        <f t="shared" si="57"/>
        <v>5179227LEITE UHTLACTALIS</v>
      </c>
      <c r="C1852" s="5" t="s">
        <v>226</v>
      </c>
      <c r="D1852" s="5" t="s">
        <v>227</v>
      </c>
      <c r="E1852" s="5" t="s">
        <v>1722</v>
      </c>
      <c r="F1852" s="5">
        <v>5179227</v>
      </c>
      <c r="G1852" s="5" t="s">
        <v>387</v>
      </c>
      <c r="H1852" s="5" t="s">
        <v>30</v>
      </c>
      <c r="I1852" s="5" t="s">
        <v>22</v>
      </c>
      <c r="J1852" s="5" t="s">
        <v>156</v>
      </c>
      <c r="K1852" s="6">
        <v>0</v>
      </c>
      <c r="L1852" s="7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0</v>
      </c>
      <c r="S1852" s="8">
        <v>0</v>
      </c>
      <c r="T1852" s="5">
        <v>0</v>
      </c>
      <c r="U1852" s="5">
        <v>0</v>
      </c>
      <c r="V1852" s="5">
        <f>VLOOKUP(A1852,Planilha1!B:E,4,0)</f>
        <v>0.37177548115779385</v>
      </c>
    </row>
    <row r="1853" spans="1:22" x14ac:dyDescent="0.3">
      <c r="A1853" t="str">
        <f t="shared" si="56"/>
        <v>LEITE CONDENSADOLACTALIS</v>
      </c>
      <c r="B1853" t="str">
        <f t="shared" si="57"/>
        <v>5182399LEITE CONDENSADOLACTALIS</v>
      </c>
      <c r="C1853" s="5" t="s">
        <v>226</v>
      </c>
      <c r="D1853" s="5" t="s">
        <v>227</v>
      </c>
      <c r="E1853" s="5" t="s">
        <v>1722</v>
      </c>
      <c r="F1853" s="5">
        <v>5182399</v>
      </c>
      <c r="G1853" s="5" t="s">
        <v>272</v>
      </c>
      <c r="H1853" s="5" t="s">
        <v>30</v>
      </c>
      <c r="I1853" s="5" t="s">
        <v>22</v>
      </c>
      <c r="J1853" s="5" t="s">
        <v>33</v>
      </c>
      <c r="K1853" s="6">
        <v>0</v>
      </c>
      <c r="L1853" s="7">
        <v>28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0</v>
      </c>
      <c r="S1853" s="8">
        <v>0</v>
      </c>
      <c r="T1853" s="5">
        <v>0</v>
      </c>
      <c r="U1853" s="5">
        <v>0</v>
      </c>
      <c r="V1853" s="5">
        <f>VLOOKUP(A1853,Planilha1!B:E,4,0)</f>
        <v>1.8665071822970765</v>
      </c>
    </row>
    <row r="1854" spans="1:22" x14ac:dyDescent="0.3">
      <c r="A1854" t="str">
        <f t="shared" si="56"/>
        <v>BLISTERLACTALIS</v>
      </c>
      <c r="B1854" t="str">
        <f t="shared" si="57"/>
        <v>5185158BLISTERLACTALIS</v>
      </c>
      <c r="C1854" s="5" t="s">
        <v>226</v>
      </c>
      <c r="D1854" s="5" t="s">
        <v>227</v>
      </c>
      <c r="E1854" s="5" t="s">
        <v>1722</v>
      </c>
      <c r="F1854" s="5">
        <v>5185158</v>
      </c>
      <c r="G1854" s="5" t="s">
        <v>388</v>
      </c>
      <c r="H1854" s="5" t="s">
        <v>30</v>
      </c>
      <c r="I1854" s="5" t="s">
        <v>22</v>
      </c>
      <c r="J1854" s="5" t="s">
        <v>199</v>
      </c>
      <c r="K1854" s="6">
        <v>0</v>
      </c>
      <c r="L1854" s="7">
        <v>3.84</v>
      </c>
      <c r="M1854" s="8">
        <v>0.96</v>
      </c>
      <c r="N1854" s="8">
        <v>0.64</v>
      </c>
      <c r="O1854" s="8">
        <v>0</v>
      </c>
      <c r="P1854" s="8">
        <v>0</v>
      </c>
      <c r="Q1854" s="8">
        <v>0</v>
      </c>
      <c r="R1854" s="8">
        <v>0</v>
      </c>
      <c r="S1854" s="8">
        <v>0</v>
      </c>
      <c r="T1854" s="5">
        <v>0</v>
      </c>
      <c r="U1854" s="5">
        <v>0</v>
      </c>
      <c r="V1854" s="5">
        <f>VLOOKUP(A1854,Planilha1!B:E,4,0)</f>
        <v>13.783871706210666</v>
      </c>
    </row>
    <row r="1855" spans="1:22" x14ac:dyDescent="0.3">
      <c r="A1855" t="str">
        <f t="shared" si="56"/>
        <v>DOCE DE LEITELACTALIS</v>
      </c>
      <c r="B1855" t="str">
        <f t="shared" si="57"/>
        <v>5197450DOCE DE LEITELACTALIS</v>
      </c>
      <c r="C1855" s="5" t="s">
        <v>226</v>
      </c>
      <c r="D1855" s="5" t="s">
        <v>227</v>
      </c>
      <c r="E1855" s="5" t="s">
        <v>1722</v>
      </c>
      <c r="F1855" s="5">
        <v>5197450</v>
      </c>
      <c r="G1855" s="5" t="s">
        <v>1109</v>
      </c>
      <c r="H1855" s="5" t="s">
        <v>30</v>
      </c>
      <c r="I1855" s="5" t="s">
        <v>22</v>
      </c>
      <c r="J1855" s="5" t="s">
        <v>46</v>
      </c>
      <c r="K1855" s="6">
        <v>0</v>
      </c>
      <c r="L1855" s="7">
        <v>27</v>
      </c>
      <c r="M1855" s="8">
        <v>8.25</v>
      </c>
      <c r="N1855" s="8">
        <v>9</v>
      </c>
      <c r="O1855" s="8">
        <v>0</v>
      </c>
      <c r="P1855" s="8">
        <v>0</v>
      </c>
      <c r="Q1855" s="8">
        <v>0</v>
      </c>
      <c r="R1855" s="8">
        <v>0</v>
      </c>
      <c r="S1855" s="8">
        <v>9</v>
      </c>
      <c r="T1855" s="5">
        <v>9</v>
      </c>
      <c r="U1855" s="5">
        <v>0</v>
      </c>
      <c r="V1855" s="5">
        <f>VLOOKUP(A1855,Planilha1!B:E,4,0)</f>
        <v>5.6473514327668077</v>
      </c>
    </row>
    <row r="1856" spans="1:22" x14ac:dyDescent="0.3">
      <c r="A1856" t="str">
        <f t="shared" si="56"/>
        <v>MANTEIGA 5KGLACTALIS</v>
      </c>
      <c r="B1856" t="str">
        <f t="shared" si="57"/>
        <v>5210128MANTEIGA 5KGLACTALIS</v>
      </c>
      <c r="C1856" s="5" t="s">
        <v>226</v>
      </c>
      <c r="D1856" s="5" t="s">
        <v>227</v>
      </c>
      <c r="E1856" s="5" t="s">
        <v>1722</v>
      </c>
      <c r="F1856" s="5">
        <v>5210128</v>
      </c>
      <c r="G1856" s="5" t="s">
        <v>392</v>
      </c>
      <c r="H1856" s="5" t="s">
        <v>30</v>
      </c>
      <c r="I1856" s="5" t="s">
        <v>22</v>
      </c>
      <c r="J1856" s="5" t="s">
        <v>60</v>
      </c>
      <c r="K1856" s="6">
        <v>0</v>
      </c>
      <c r="L1856" s="7">
        <v>15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0</v>
      </c>
      <c r="S1856" s="8">
        <v>0</v>
      </c>
      <c r="T1856" s="5">
        <v>0</v>
      </c>
      <c r="U1856" s="5">
        <v>0</v>
      </c>
      <c r="V1856" s="5">
        <f>VLOOKUP(A1856,Planilha1!B:E,4,0)</f>
        <v>11.476197020267191</v>
      </c>
    </row>
    <row r="1857" spans="1:22" x14ac:dyDescent="0.3">
      <c r="A1857" t="str">
        <f t="shared" si="56"/>
        <v>IOGURTESLACTALIS</v>
      </c>
      <c r="B1857" t="str">
        <f t="shared" si="57"/>
        <v>5247932IOGURTESLACTALIS</v>
      </c>
      <c r="C1857" s="5" t="s">
        <v>226</v>
      </c>
      <c r="D1857" s="5" t="s">
        <v>227</v>
      </c>
      <c r="E1857" s="5" t="s">
        <v>1722</v>
      </c>
      <c r="F1857" s="5">
        <v>5247932</v>
      </c>
      <c r="G1857" s="5" t="s">
        <v>395</v>
      </c>
      <c r="H1857" s="5" t="s">
        <v>30</v>
      </c>
      <c r="I1857" s="5" t="s">
        <v>22</v>
      </c>
      <c r="J1857" s="5" t="s">
        <v>153</v>
      </c>
      <c r="K1857" s="6">
        <v>0</v>
      </c>
      <c r="L1857" s="7">
        <v>89.759999999999991</v>
      </c>
      <c r="M1857" s="8">
        <v>46.919999999999995</v>
      </c>
      <c r="N1857" s="8">
        <v>24.48</v>
      </c>
      <c r="O1857" s="8">
        <v>0</v>
      </c>
      <c r="P1857" s="8">
        <v>0</v>
      </c>
      <c r="Q1857" s="8">
        <v>0</v>
      </c>
      <c r="R1857" s="8">
        <v>0</v>
      </c>
      <c r="S1857" s="8">
        <v>0</v>
      </c>
      <c r="T1857" s="5">
        <v>0</v>
      </c>
      <c r="U1857" s="5">
        <v>0</v>
      </c>
      <c r="V1857" s="5">
        <f>VLOOKUP(A1857,Planilha1!B:E,4,0)</f>
        <v>3.0503167986984403</v>
      </c>
    </row>
    <row r="1858" spans="1:22" x14ac:dyDescent="0.3">
      <c r="A1858" t="str">
        <f t="shared" ref="A1858:A1921" si="58">J1858&amp;I1858</f>
        <v>LEITE UHTLACTALIS</v>
      </c>
      <c r="B1858" t="str">
        <f t="shared" si="57"/>
        <v>5248300LEITE UHTLACTALIS</v>
      </c>
      <c r="C1858" s="5" t="s">
        <v>226</v>
      </c>
      <c r="D1858" s="5" t="s">
        <v>227</v>
      </c>
      <c r="E1858" s="5" t="s">
        <v>1722</v>
      </c>
      <c r="F1858" s="5">
        <v>5248300</v>
      </c>
      <c r="G1858" s="5" t="s">
        <v>1110</v>
      </c>
      <c r="H1858" s="5" t="s">
        <v>30</v>
      </c>
      <c r="I1858" s="5" t="s">
        <v>22</v>
      </c>
      <c r="J1858" s="5" t="s">
        <v>156</v>
      </c>
      <c r="K1858" s="6">
        <v>0</v>
      </c>
      <c r="L1858" s="7">
        <v>0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0</v>
      </c>
      <c r="S1858" s="8">
        <v>0</v>
      </c>
      <c r="T1858" s="5">
        <v>0</v>
      </c>
      <c r="U1858" s="5">
        <v>0</v>
      </c>
      <c r="V1858" s="5">
        <f>VLOOKUP(A1858,Planilha1!B:E,4,0)</f>
        <v>0.37177548115779385</v>
      </c>
    </row>
    <row r="1859" spans="1:22" x14ac:dyDescent="0.3">
      <c r="A1859" t="str">
        <f t="shared" si="58"/>
        <v>LEITE CONDENSADOLACTALIS</v>
      </c>
      <c r="B1859" t="str">
        <f t="shared" ref="B1859:B1922" si="59">F1859&amp;J1859&amp;I1859</f>
        <v>5248517LEITE CONDENSADOLACTALIS</v>
      </c>
      <c r="C1859" s="5" t="s">
        <v>226</v>
      </c>
      <c r="D1859" s="5" t="s">
        <v>227</v>
      </c>
      <c r="E1859" s="5" t="s">
        <v>1722</v>
      </c>
      <c r="F1859" s="5">
        <v>5248517</v>
      </c>
      <c r="G1859" s="5" t="s">
        <v>398</v>
      </c>
      <c r="H1859" s="5" t="s">
        <v>30</v>
      </c>
      <c r="I1859" s="5" t="s">
        <v>22</v>
      </c>
      <c r="J1859" s="5" t="s">
        <v>33</v>
      </c>
      <c r="K1859" s="6">
        <v>0</v>
      </c>
      <c r="L1859" s="7">
        <v>9.48</v>
      </c>
      <c r="M1859" s="8">
        <v>9.6775000000000002</v>
      </c>
      <c r="N1859" s="8">
        <v>3.16</v>
      </c>
      <c r="O1859" s="8">
        <v>9.48</v>
      </c>
      <c r="P1859" s="8">
        <v>0</v>
      </c>
      <c r="Q1859" s="8">
        <v>0</v>
      </c>
      <c r="R1859" s="8">
        <v>0</v>
      </c>
      <c r="S1859" s="8">
        <v>19</v>
      </c>
      <c r="T1859" s="5">
        <v>0</v>
      </c>
      <c r="U1859" s="5">
        <v>0</v>
      </c>
      <c r="V1859" s="5">
        <f>VLOOKUP(A1859,Planilha1!B:E,4,0)</f>
        <v>1.8665071822970765</v>
      </c>
    </row>
    <row r="1860" spans="1:22" x14ac:dyDescent="0.3">
      <c r="A1860" t="str">
        <f t="shared" si="58"/>
        <v>LEITE UHTLACTALIS</v>
      </c>
      <c r="B1860" t="str">
        <f t="shared" si="59"/>
        <v>5248758LEITE UHTLACTALIS</v>
      </c>
      <c r="C1860" s="5" t="s">
        <v>226</v>
      </c>
      <c r="D1860" s="5" t="s">
        <v>227</v>
      </c>
      <c r="E1860" s="5" t="s">
        <v>1722</v>
      </c>
      <c r="F1860" s="5">
        <v>5248758</v>
      </c>
      <c r="G1860" s="5" t="s">
        <v>1111</v>
      </c>
      <c r="H1860" s="5" t="s">
        <v>30</v>
      </c>
      <c r="I1860" s="5" t="s">
        <v>22</v>
      </c>
      <c r="J1860" s="5" t="s">
        <v>156</v>
      </c>
      <c r="K1860" s="6">
        <v>0</v>
      </c>
      <c r="L1860" s="7">
        <v>1200</v>
      </c>
      <c r="M1860" s="8">
        <v>800</v>
      </c>
      <c r="N1860" s="8">
        <v>1000</v>
      </c>
      <c r="O1860" s="8">
        <v>0</v>
      </c>
      <c r="P1860" s="8">
        <v>0</v>
      </c>
      <c r="Q1860" s="8">
        <v>0</v>
      </c>
      <c r="R1860" s="8">
        <v>0</v>
      </c>
      <c r="S1860" s="8">
        <v>0</v>
      </c>
      <c r="T1860" s="5">
        <v>0</v>
      </c>
      <c r="U1860" s="5">
        <v>0</v>
      </c>
      <c r="V1860" s="5">
        <f>VLOOKUP(A1860,Planilha1!B:E,4,0)</f>
        <v>0.37177548115779385</v>
      </c>
    </row>
    <row r="1861" spans="1:22" x14ac:dyDescent="0.3">
      <c r="A1861" t="str">
        <f t="shared" si="58"/>
        <v>CREME UHTLACTALIS</v>
      </c>
      <c r="B1861" t="str">
        <f t="shared" si="59"/>
        <v>5252779CREME UHTLACTALIS</v>
      </c>
      <c r="C1861" s="5" t="s">
        <v>226</v>
      </c>
      <c r="D1861" s="5" t="s">
        <v>227</v>
      </c>
      <c r="E1861" s="5" t="s">
        <v>1722</v>
      </c>
      <c r="F1861" s="5">
        <v>5252779</v>
      </c>
      <c r="G1861" s="5" t="s">
        <v>400</v>
      </c>
      <c r="H1861" s="5" t="s">
        <v>30</v>
      </c>
      <c r="I1861" s="5" t="s">
        <v>22</v>
      </c>
      <c r="J1861" s="5" t="s">
        <v>34</v>
      </c>
      <c r="K1861" s="6">
        <v>0</v>
      </c>
      <c r="L1861" s="7">
        <v>21.6</v>
      </c>
      <c r="M1861" s="8">
        <v>9</v>
      </c>
      <c r="N1861" s="8">
        <v>7.2</v>
      </c>
      <c r="O1861" s="8">
        <v>21.6</v>
      </c>
      <c r="P1861" s="8">
        <v>0</v>
      </c>
      <c r="Q1861" s="8">
        <v>0</v>
      </c>
      <c r="R1861" s="8">
        <v>0</v>
      </c>
      <c r="S1861" s="8">
        <v>0</v>
      </c>
      <c r="T1861" s="5">
        <v>0</v>
      </c>
      <c r="U1861" s="5">
        <v>22</v>
      </c>
      <c r="V1861" s="5">
        <f>VLOOKUP(A1861,Planilha1!B:E,4,0)</f>
        <v>-1.4094522863012933</v>
      </c>
    </row>
    <row r="1862" spans="1:22" x14ac:dyDescent="0.3">
      <c r="A1862" t="str">
        <f t="shared" si="58"/>
        <v>LEITE CONDENSADOLACTALIS</v>
      </c>
      <c r="B1862" t="str">
        <f t="shared" si="59"/>
        <v>5252779LEITE CONDENSADOLACTALIS</v>
      </c>
      <c r="C1862" s="5" t="s">
        <v>226</v>
      </c>
      <c r="D1862" s="5" t="s">
        <v>227</v>
      </c>
      <c r="E1862" s="5" t="s">
        <v>1722</v>
      </c>
      <c r="F1862" s="5">
        <v>5252779</v>
      </c>
      <c r="G1862" s="5" t="s">
        <v>400</v>
      </c>
      <c r="H1862" s="5" t="s">
        <v>30</v>
      </c>
      <c r="I1862" s="5" t="s">
        <v>22</v>
      </c>
      <c r="J1862" s="5" t="s">
        <v>33</v>
      </c>
      <c r="K1862" s="6">
        <v>0</v>
      </c>
      <c r="L1862" s="7">
        <v>28.44</v>
      </c>
      <c r="M1862" s="8">
        <v>33.180000000000007</v>
      </c>
      <c r="N1862" s="8">
        <v>12.64</v>
      </c>
      <c r="O1862" s="8">
        <v>37.92</v>
      </c>
      <c r="P1862" s="8">
        <v>0</v>
      </c>
      <c r="Q1862" s="8">
        <v>0</v>
      </c>
      <c r="R1862" s="8">
        <v>0</v>
      </c>
      <c r="S1862" s="8">
        <v>0</v>
      </c>
      <c r="T1862" s="5">
        <v>0</v>
      </c>
      <c r="U1862" s="5">
        <v>38</v>
      </c>
      <c r="V1862" s="5">
        <f>VLOOKUP(A1862,Planilha1!B:E,4,0)</f>
        <v>1.8665071822970765</v>
      </c>
    </row>
    <row r="1863" spans="1:22" x14ac:dyDescent="0.3">
      <c r="A1863" t="str">
        <f t="shared" si="58"/>
        <v>SPREADSLACTALIS</v>
      </c>
      <c r="B1863" t="str">
        <f t="shared" si="59"/>
        <v>5252870SPREADSLACTALIS</v>
      </c>
      <c r="C1863" s="5" t="s">
        <v>226</v>
      </c>
      <c r="D1863" s="5" t="s">
        <v>227</v>
      </c>
      <c r="E1863" s="5" t="s">
        <v>1722</v>
      </c>
      <c r="F1863" s="5">
        <v>5252870</v>
      </c>
      <c r="G1863" s="5" t="s">
        <v>401</v>
      </c>
      <c r="H1863" s="5" t="s">
        <v>30</v>
      </c>
      <c r="I1863" s="5" t="s">
        <v>22</v>
      </c>
      <c r="J1863" s="5" t="s">
        <v>945</v>
      </c>
      <c r="K1863" s="6">
        <v>0</v>
      </c>
      <c r="L1863" s="7">
        <v>4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0</v>
      </c>
      <c r="S1863" s="8">
        <v>0</v>
      </c>
      <c r="T1863" s="5">
        <v>0</v>
      </c>
      <c r="U1863" s="5">
        <v>0</v>
      </c>
      <c r="V1863" s="5">
        <f>VLOOKUP(A1863,Planilha1!B:E,4,0)</f>
        <v>13.599044988219518</v>
      </c>
    </row>
    <row r="1864" spans="1:22" x14ac:dyDescent="0.3">
      <c r="A1864" t="str">
        <f t="shared" si="58"/>
        <v>LEITE CONDENSADOLACTALIS</v>
      </c>
      <c r="B1864" t="str">
        <f t="shared" si="59"/>
        <v>5253375LEITE CONDENSADOLACTALIS</v>
      </c>
      <c r="C1864" s="5" t="s">
        <v>226</v>
      </c>
      <c r="D1864" s="5" t="s">
        <v>227</v>
      </c>
      <c r="E1864" s="5" t="s">
        <v>1722</v>
      </c>
      <c r="F1864" s="5">
        <v>5253375</v>
      </c>
      <c r="G1864" s="5" t="s">
        <v>403</v>
      </c>
      <c r="H1864" s="5" t="s">
        <v>30</v>
      </c>
      <c r="I1864" s="5" t="s">
        <v>22</v>
      </c>
      <c r="J1864" s="5" t="s">
        <v>33</v>
      </c>
      <c r="K1864" s="6">
        <v>0</v>
      </c>
      <c r="L1864" s="7">
        <v>420</v>
      </c>
      <c r="M1864" s="8">
        <v>221.66666666666666</v>
      </c>
      <c r="N1864" s="8">
        <v>186.66666666666666</v>
      </c>
      <c r="O1864" s="8">
        <v>140</v>
      </c>
      <c r="P1864" s="8">
        <v>0</v>
      </c>
      <c r="Q1864" s="8">
        <v>0</v>
      </c>
      <c r="R1864" s="8">
        <v>0</v>
      </c>
      <c r="S1864" s="8">
        <v>140</v>
      </c>
      <c r="T1864" s="5">
        <v>140</v>
      </c>
      <c r="U1864" s="5">
        <v>140</v>
      </c>
      <c r="V1864" s="5">
        <f>VLOOKUP(A1864,Planilha1!B:E,4,0)</f>
        <v>1.8665071822970765</v>
      </c>
    </row>
    <row r="1865" spans="1:22" x14ac:dyDescent="0.3">
      <c r="A1865" t="str">
        <f t="shared" si="58"/>
        <v>LEITE CONDENSADOLACTALIS</v>
      </c>
      <c r="B1865" t="str">
        <f t="shared" si="59"/>
        <v>5253475LEITE CONDENSADOLACTALIS</v>
      </c>
      <c r="C1865" s="5" t="s">
        <v>226</v>
      </c>
      <c r="D1865" s="5" t="s">
        <v>227</v>
      </c>
      <c r="E1865" s="5" t="s">
        <v>1722</v>
      </c>
      <c r="F1865" s="5">
        <v>5253475</v>
      </c>
      <c r="G1865" s="5" t="s">
        <v>1112</v>
      </c>
      <c r="H1865" s="5" t="s">
        <v>30</v>
      </c>
      <c r="I1865" s="5" t="s">
        <v>22</v>
      </c>
      <c r="J1865" s="5" t="s">
        <v>33</v>
      </c>
      <c r="K1865" s="6">
        <v>0</v>
      </c>
      <c r="L1865" s="7">
        <v>140</v>
      </c>
      <c r="M1865" s="8">
        <v>151.66666666666666</v>
      </c>
      <c r="N1865" s="8">
        <v>186.66666666666666</v>
      </c>
      <c r="O1865" s="8">
        <v>140</v>
      </c>
      <c r="P1865" s="8">
        <v>0</v>
      </c>
      <c r="Q1865" s="8">
        <v>0</v>
      </c>
      <c r="R1865" s="8">
        <v>0</v>
      </c>
      <c r="S1865" s="8">
        <v>0</v>
      </c>
      <c r="T1865" s="5">
        <v>140</v>
      </c>
      <c r="U1865" s="5">
        <v>0</v>
      </c>
      <c r="V1865" s="5">
        <f>VLOOKUP(A1865,Planilha1!B:E,4,0)</f>
        <v>1.8665071822970765</v>
      </c>
    </row>
    <row r="1866" spans="1:22" x14ac:dyDescent="0.3">
      <c r="A1866" t="str">
        <f t="shared" si="58"/>
        <v>CREME UHTLACTALIS</v>
      </c>
      <c r="B1866" t="str">
        <f t="shared" si="59"/>
        <v>5253730CREME UHTLACTALIS</v>
      </c>
      <c r="C1866" s="5" t="s">
        <v>226</v>
      </c>
      <c r="D1866" s="5" t="s">
        <v>227</v>
      </c>
      <c r="E1866" s="5" t="s">
        <v>1722</v>
      </c>
      <c r="F1866" s="5">
        <v>5253730</v>
      </c>
      <c r="G1866" s="5" t="s">
        <v>404</v>
      </c>
      <c r="H1866" s="5" t="s">
        <v>30</v>
      </c>
      <c r="I1866" s="5" t="s">
        <v>22</v>
      </c>
      <c r="J1866" s="5" t="s">
        <v>34</v>
      </c>
      <c r="K1866" s="6">
        <v>0</v>
      </c>
      <c r="L1866" s="7">
        <v>5.4</v>
      </c>
      <c r="M1866" s="8">
        <v>0.9</v>
      </c>
      <c r="N1866" s="8">
        <v>0</v>
      </c>
      <c r="O1866" s="8">
        <v>0</v>
      </c>
      <c r="P1866" s="8">
        <v>0</v>
      </c>
      <c r="Q1866" s="8">
        <v>0</v>
      </c>
      <c r="R1866" s="8">
        <v>0</v>
      </c>
      <c r="S1866" s="8">
        <v>0</v>
      </c>
      <c r="T1866" s="5">
        <v>0</v>
      </c>
      <c r="U1866" s="5">
        <v>0</v>
      </c>
      <c r="V1866" s="5">
        <f>VLOOKUP(A1866,Planilha1!B:E,4,0)</f>
        <v>-1.4094522863012933</v>
      </c>
    </row>
    <row r="1867" spans="1:22" x14ac:dyDescent="0.3">
      <c r="A1867" t="str">
        <f t="shared" si="58"/>
        <v>LEITE CONDENSADOLACTALIS</v>
      </c>
      <c r="B1867" t="str">
        <f t="shared" si="59"/>
        <v>5253730LEITE CONDENSADOLACTALIS</v>
      </c>
      <c r="C1867" s="5" t="s">
        <v>226</v>
      </c>
      <c r="D1867" s="5" t="s">
        <v>227</v>
      </c>
      <c r="E1867" s="5" t="s">
        <v>1722</v>
      </c>
      <c r="F1867" s="5">
        <v>5253730</v>
      </c>
      <c r="G1867" s="5" t="s">
        <v>404</v>
      </c>
      <c r="H1867" s="5" t="s">
        <v>30</v>
      </c>
      <c r="I1867" s="5" t="s">
        <v>22</v>
      </c>
      <c r="J1867" s="5" t="s">
        <v>33</v>
      </c>
      <c r="K1867" s="6">
        <v>0</v>
      </c>
      <c r="L1867" s="7">
        <v>9.48</v>
      </c>
      <c r="M1867" s="8">
        <v>4.9375</v>
      </c>
      <c r="N1867" s="8">
        <v>3.16</v>
      </c>
      <c r="O1867" s="8">
        <v>9.48</v>
      </c>
      <c r="P1867" s="8">
        <v>0</v>
      </c>
      <c r="Q1867" s="8">
        <v>0</v>
      </c>
      <c r="R1867" s="8">
        <v>0</v>
      </c>
      <c r="S1867" s="8">
        <v>0</v>
      </c>
      <c r="T1867" s="5">
        <v>0</v>
      </c>
      <c r="U1867" s="5">
        <v>9</v>
      </c>
      <c r="V1867" s="5">
        <f>VLOOKUP(A1867,Planilha1!B:E,4,0)</f>
        <v>1.8665071822970765</v>
      </c>
    </row>
    <row r="1868" spans="1:22" x14ac:dyDescent="0.3">
      <c r="A1868" t="str">
        <f t="shared" si="58"/>
        <v>IOGURTESLACTALIS</v>
      </c>
      <c r="B1868" t="str">
        <f t="shared" si="59"/>
        <v>5256334IOGURTESLACTALIS</v>
      </c>
      <c r="C1868" s="5" t="s">
        <v>226</v>
      </c>
      <c r="D1868" s="5" t="s">
        <v>227</v>
      </c>
      <c r="E1868" s="5" t="s">
        <v>1722</v>
      </c>
      <c r="F1868" s="5">
        <v>5256334</v>
      </c>
      <c r="G1868" s="5" t="s">
        <v>1113</v>
      </c>
      <c r="H1868" s="5" t="s">
        <v>30</v>
      </c>
      <c r="I1868" s="5" t="s">
        <v>22</v>
      </c>
      <c r="J1868" s="5" t="s">
        <v>153</v>
      </c>
      <c r="K1868" s="6">
        <v>0</v>
      </c>
      <c r="L1868" s="7">
        <v>-12.24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0</v>
      </c>
      <c r="S1868" s="8">
        <v>0</v>
      </c>
      <c r="T1868" s="5">
        <v>0</v>
      </c>
      <c r="U1868" s="5">
        <v>0</v>
      </c>
      <c r="V1868" s="5">
        <f>VLOOKUP(A1868,Planilha1!B:E,4,0)</f>
        <v>3.0503167986984403</v>
      </c>
    </row>
    <row r="1869" spans="1:22" x14ac:dyDescent="0.3">
      <c r="A1869" t="str">
        <f t="shared" si="58"/>
        <v>CREME UHTLACTALIS</v>
      </c>
      <c r="B1869" t="str">
        <f t="shared" si="59"/>
        <v>5262263CREME UHTLACTALIS</v>
      </c>
      <c r="C1869" s="5" t="s">
        <v>226</v>
      </c>
      <c r="D1869" s="5" t="s">
        <v>227</v>
      </c>
      <c r="E1869" s="5" t="s">
        <v>1722</v>
      </c>
      <c r="F1869" s="5">
        <v>5262263</v>
      </c>
      <c r="G1869" s="5" t="s">
        <v>413</v>
      </c>
      <c r="H1869" s="5" t="s">
        <v>30</v>
      </c>
      <c r="I1869" s="5" t="s">
        <v>22</v>
      </c>
      <c r="J1869" s="5" t="s">
        <v>34</v>
      </c>
      <c r="K1869" s="6">
        <v>0</v>
      </c>
      <c r="L1869" s="7">
        <v>0</v>
      </c>
      <c r="M1869" s="8">
        <v>18</v>
      </c>
      <c r="N1869" s="8">
        <v>16.2</v>
      </c>
      <c r="O1869" s="8">
        <v>0</v>
      </c>
      <c r="P1869" s="8">
        <v>0</v>
      </c>
      <c r="Q1869" s="8">
        <v>0</v>
      </c>
      <c r="R1869" s="8">
        <v>0</v>
      </c>
      <c r="S1869" s="8">
        <v>0</v>
      </c>
      <c r="T1869" s="5">
        <v>0</v>
      </c>
      <c r="U1869" s="5">
        <v>0</v>
      </c>
      <c r="V1869" s="5">
        <f>VLOOKUP(A1869,Planilha1!B:E,4,0)</f>
        <v>-1.4094522863012933</v>
      </c>
    </row>
    <row r="1870" spans="1:22" x14ac:dyDescent="0.3">
      <c r="A1870" t="str">
        <f t="shared" si="58"/>
        <v>LEITE CONDENSADOLACTALIS</v>
      </c>
      <c r="B1870" t="str">
        <f t="shared" si="59"/>
        <v>5262339LEITE CONDENSADOLACTALIS</v>
      </c>
      <c r="C1870" s="5" t="s">
        <v>226</v>
      </c>
      <c r="D1870" s="5" t="s">
        <v>227</v>
      </c>
      <c r="E1870" s="5" t="s">
        <v>1722</v>
      </c>
      <c r="F1870" s="5">
        <v>5262339</v>
      </c>
      <c r="G1870" s="5" t="s">
        <v>414</v>
      </c>
      <c r="H1870" s="5" t="s">
        <v>30</v>
      </c>
      <c r="I1870" s="5" t="s">
        <v>22</v>
      </c>
      <c r="J1870" s="5" t="s">
        <v>33</v>
      </c>
      <c r="K1870" s="6">
        <v>0</v>
      </c>
      <c r="L1870" s="7">
        <v>37.92</v>
      </c>
      <c r="M1870" s="8">
        <v>18.96</v>
      </c>
      <c r="N1870" s="8">
        <v>0</v>
      </c>
      <c r="O1870" s="8">
        <v>0</v>
      </c>
      <c r="P1870" s="8">
        <v>0</v>
      </c>
      <c r="Q1870" s="8">
        <v>0</v>
      </c>
      <c r="R1870" s="8">
        <v>0</v>
      </c>
      <c r="S1870" s="8">
        <v>0</v>
      </c>
      <c r="T1870" s="5">
        <v>0</v>
      </c>
      <c r="U1870" s="5">
        <v>0</v>
      </c>
      <c r="V1870" s="5">
        <f>VLOOKUP(A1870,Planilha1!B:E,4,0)</f>
        <v>1.8665071822970765</v>
      </c>
    </row>
    <row r="1871" spans="1:22" x14ac:dyDescent="0.3">
      <c r="A1871" t="str">
        <f t="shared" si="58"/>
        <v>LEITE CONDENSADOLACTALIS</v>
      </c>
      <c r="B1871" t="str">
        <f t="shared" si="59"/>
        <v>5262765LEITE CONDENSADOLACTALIS</v>
      </c>
      <c r="C1871" s="5" t="s">
        <v>226</v>
      </c>
      <c r="D1871" s="5" t="s">
        <v>227</v>
      </c>
      <c r="E1871" s="5" t="s">
        <v>1722</v>
      </c>
      <c r="F1871" s="5">
        <v>5262765</v>
      </c>
      <c r="G1871" s="5" t="s">
        <v>1114</v>
      </c>
      <c r="H1871" s="5" t="s">
        <v>30</v>
      </c>
      <c r="I1871" s="5" t="s">
        <v>22</v>
      </c>
      <c r="J1871" s="5" t="s">
        <v>33</v>
      </c>
      <c r="K1871" s="6">
        <v>0</v>
      </c>
      <c r="L1871" s="7">
        <v>14</v>
      </c>
      <c r="M1871" s="8">
        <v>3.9133333333333336</v>
      </c>
      <c r="N1871" s="8">
        <v>0</v>
      </c>
      <c r="O1871" s="8">
        <v>0</v>
      </c>
      <c r="P1871" s="8">
        <v>0</v>
      </c>
      <c r="Q1871" s="8">
        <v>0</v>
      </c>
      <c r="R1871" s="8">
        <v>0</v>
      </c>
      <c r="S1871" s="8">
        <v>0</v>
      </c>
      <c r="T1871" s="5">
        <v>0</v>
      </c>
      <c r="U1871" s="5">
        <v>0</v>
      </c>
      <c r="V1871" s="5">
        <f>VLOOKUP(A1871,Planilha1!B:E,4,0)</f>
        <v>1.8665071822970765</v>
      </c>
    </row>
    <row r="1872" spans="1:22" x14ac:dyDescent="0.3">
      <c r="A1872" t="str">
        <f t="shared" si="58"/>
        <v>LEITE UHTLACTALIS</v>
      </c>
      <c r="B1872" t="str">
        <f t="shared" si="59"/>
        <v>5262839LEITE UHTLACTALIS</v>
      </c>
      <c r="C1872" s="5" t="s">
        <v>226</v>
      </c>
      <c r="D1872" s="5" t="s">
        <v>227</v>
      </c>
      <c r="E1872" s="5" t="s">
        <v>1722</v>
      </c>
      <c r="F1872" s="5">
        <v>5262839</v>
      </c>
      <c r="G1872" s="5" t="s">
        <v>1115</v>
      </c>
      <c r="H1872" s="5" t="s">
        <v>30</v>
      </c>
      <c r="I1872" s="5" t="s">
        <v>22</v>
      </c>
      <c r="J1872" s="5" t="s">
        <v>156</v>
      </c>
      <c r="K1872" s="6">
        <v>0</v>
      </c>
      <c r="L1872" s="7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5">
        <v>0</v>
      </c>
      <c r="U1872" s="5">
        <v>0</v>
      </c>
      <c r="V1872" s="5">
        <f>VLOOKUP(A1872,Planilha1!B:E,4,0)</f>
        <v>0.37177548115779385</v>
      </c>
    </row>
    <row r="1873" spans="1:22" x14ac:dyDescent="0.3">
      <c r="A1873" t="str">
        <f t="shared" si="58"/>
        <v>BLISTERLACTALIS</v>
      </c>
      <c r="B1873" t="str">
        <f t="shared" si="59"/>
        <v>5263133BLISTERLACTALIS</v>
      </c>
      <c r="C1873" s="5" t="s">
        <v>226</v>
      </c>
      <c r="D1873" s="5" t="s">
        <v>227</v>
      </c>
      <c r="E1873" s="5" t="s">
        <v>1722</v>
      </c>
      <c r="F1873" s="5">
        <v>5263133</v>
      </c>
      <c r="G1873" s="5" t="s">
        <v>417</v>
      </c>
      <c r="H1873" s="5" t="s">
        <v>30</v>
      </c>
      <c r="I1873" s="5" t="s">
        <v>22</v>
      </c>
      <c r="J1873" s="5" t="s">
        <v>199</v>
      </c>
      <c r="K1873" s="6">
        <v>0</v>
      </c>
      <c r="L1873" s="7">
        <v>1.92</v>
      </c>
      <c r="M1873" s="8">
        <v>0.32</v>
      </c>
      <c r="N1873" s="8">
        <v>0.64</v>
      </c>
      <c r="O1873" s="8">
        <v>0</v>
      </c>
      <c r="P1873" s="8">
        <v>0</v>
      </c>
      <c r="Q1873" s="8">
        <v>0</v>
      </c>
      <c r="R1873" s="8">
        <v>0</v>
      </c>
      <c r="S1873" s="8">
        <v>0</v>
      </c>
      <c r="T1873" s="5">
        <v>0</v>
      </c>
      <c r="U1873" s="5">
        <v>0</v>
      </c>
      <c r="V1873" s="5">
        <f>VLOOKUP(A1873,Planilha1!B:E,4,0)</f>
        <v>13.783871706210666</v>
      </c>
    </row>
    <row r="1874" spans="1:22" x14ac:dyDescent="0.3">
      <c r="A1874" t="str">
        <f t="shared" si="58"/>
        <v>CREME UHTLACTALIS</v>
      </c>
      <c r="B1874" t="str">
        <f t="shared" si="59"/>
        <v>5263133CREME UHTLACTALIS</v>
      </c>
      <c r="C1874" s="5" t="s">
        <v>226</v>
      </c>
      <c r="D1874" s="5" t="s">
        <v>227</v>
      </c>
      <c r="E1874" s="5" t="s">
        <v>1722</v>
      </c>
      <c r="F1874" s="5">
        <v>5263133</v>
      </c>
      <c r="G1874" s="5" t="s">
        <v>417</v>
      </c>
      <c r="H1874" s="5" t="s">
        <v>30</v>
      </c>
      <c r="I1874" s="5" t="s">
        <v>22</v>
      </c>
      <c r="J1874" s="5" t="s">
        <v>34</v>
      </c>
      <c r="K1874" s="6">
        <v>0</v>
      </c>
      <c r="L1874" s="7">
        <v>10.8</v>
      </c>
      <c r="M1874" s="8">
        <v>0</v>
      </c>
      <c r="N1874" s="8">
        <v>0</v>
      </c>
      <c r="O1874" s="8">
        <v>0</v>
      </c>
      <c r="P1874" s="8">
        <v>0</v>
      </c>
      <c r="Q1874" s="8">
        <v>0</v>
      </c>
      <c r="R1874" s="8">
        <v>0</v>
      </c>
      <c r="S1874" s="8">
        <v>0</v>
      </c>
      <c r="T1874" s="5">
        <v>0</v>
      </c>
      <c r="U1874" s="5">
        <v>0</v>
      </c>
      <c r="V1874" s="5">
        <f>VLOOKUP(A1874,Planilha1!B:E,4,0)</f>
        <v>-1.4094522863012933</v>
      </c>
    </row>
    <row r="1875" spans="1:22" x14ac:dyDescent="0.3">
      <c r="A1875" t="str">
        <f t="shared" si="58"/>
        <v>LEITE UHTLACTALIS</v>
      </c>
      <c r="B1875" t="str">
        <f t="shared" si="59"/>
        <v>5263976LEITE UHTLACTALIS</v>
      </c>
      <c r="C1875" s="5" t="s">
        <v>226</v>
      </c>
      <c r="D1875" s="5" t="s">
        <v>227</v>
      </c>
      <c r="E1875" s="5" t="s">
        <v>1722</v>
      </c>
      <c r="F1875" s="5">
        <v>5263976</v>
      </c>
      <c r="G1875" s="5" t="s">
        <v>420</v>
      </c>
      <c r="H1875" s="5" t="s">
        <v>30</v>
      </c>
      <c r="I1875" s="5" t="s">
        <v>22</v>
      </c>
      <c r="J1875" s="5" t="s">
        <v>156</v>
      </c>
      <c r="K1875" s="6">
        <v>0</v>
      </c>
      <c r="L1875" s="7">
        <v>0</v>
      </c>
      <c r="M1875" s="8">
        <v>0</v>
      </c>
      <c r="N1875" s="8">
        <v>0</v>
      </c>
      <c r="O1875" s="8">
        <v>0</v>
      </c>
      <c r="P1875" s="8">
        <v>0</v>
      </c>
      <c r="Q1875" s="8">
        <v>0</v>
      </c>
      <c r="R1875" s="8">
        <v>0</v>
      </c>
      <c r="S1875" s="8">
        <v>0</v>
      </c>
      <c r="T1875" s="5">
        <v>0</v>
      </c>
      <c r="U1875" s="5">
        <v>0</v>
      </c>
      <c r="V1875" s="5">
        <f>VLOOKUP(A1875,Planilha1!B:E,4,0)</f>
        <v>0.37177548115779385</v>
      </c>
    </row>
    <row r="1876" spans="1:22" x14ac:dyDescent="0.3">
      <c r="A1876" t="str">
        <f t="shared" si="58"/>
        <v>LEITE UHTLACTALIS</v>
      </c>
      <c r="B1876" t="str">
        <f t="shared" si="59"/>
        <v>5264847LEITE UHTLACTALIS</v>
      </c>
      <c r="C1876" s="5" t="s">
        <v>226</v>
      </c>
      <c r="D1876" s="5" t="s">
        <v>227</v>
      </c>
      <c r="E1876" s="5" t="s">
        <v>1722</v>
      </c>
      <c r="F1876" s="5">
        <v>5264847</v>
      </c>
      <c r="G1876" s="5" t="s">
        <v>1116</v>
      </c>
      <c r="H1876" s="5" t="s">
        <v>30</v>
      </c>
      <c r="I1876" s="5" t="s">
        <v>22</v>
      </c>
      <c r="J1876" s="5" t="s">
        <v>156</v>
      </c>
      <c r="K1876" s="6">
        <v>0</v>
      </c>
      <c r="L1876" s="7">
        <v>0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0</v>
      </c>
      <c r="S1876" s="8">
        <v>0</v>
      </c>
      <c r="T1876" s="5">
        <v>0</v>
      </c>
      <c r="U1876" s="5">
        <v>0</v>
      </c>
      <c r="V1876" s="5">
        <f>VLOOKUP(A1876,Planilha1!B:E,4,0)</f>
        <v>0.37177548115779385</v>
      </c>
    </row>
    <row r="1877" spans="1:22" x14ac:dyDescent="0.3">
      <c r="A1877" t="str">
        <f t="shared" si="58"/>
        <v>CREME UHTLACTALIS</v>
      </c>
      <c r="B1877" t="str">
        <f t="shared" si="59"/>
        <v>5265010CREME UHTLACTALIS</v>
      </c>
      <c r="C1877" s="5" t="s">
        <v>226</v>
      </c>
      <c r="D1877" s="5" t="s">
        <v>227</v>
      </c>
      <c r="E1877" s="5" t="s">
        <v>1722</v>
      </c>
      <c r="F1877" s="5">
        <v>5265010</v>
      </c>
      <c r="G1877" s="5" t="s">
        <v>422</v>
      </c>
      <c r="H1877" s="5" t="s">
        <v>30</v>
      </c>
      <c r="I1877" s="5" t="s">
        <v>22</v>
      </c>
      <c r="J1877" s="5" t="s">
        <v>34</v>
      </c>
      <c r="K1877" s="6">
        <v>0</v>
      </c>
      <c r="L1877" s="7">
        <v>0</v>
      </c>
      <c r="M1877" s="8">
        <v>0</v>
      </c>
      <c r="N1877" s="8">
        <v>0</v>
      </c>
      <c r="O1877" s="8">
        <v>0</v>
      </c>
      <c r="P1877" s="8">
        <v>0</v>
      </c>
      <c r="Q1877" s="8">
        <v>0</v>
      </c>
      <c r="R1877" s="8">
        <v>0</v>
      </c>
      <c r="S1877" s="8">
        <v>0</v>
      </c>
      <c r="T1877" s="5">
        <v>0</v>
      </c>
      <c r="U1877" s="5">
        <v>0</v>
      </c>
      <c r="V1877" s="5">
        <f>VLOOKUP(A1877,Planilha1!B:E,4,0)</f>
        <v>-1.4094522863012933</v>
      </c>
    </row>
    <row r="1878" spans="1:22" x14ac:dyDescent="0.3">
      <c r="A1878" t="str">
        <f t="shared" si="58"/>
        <v>LEITE UHTLACTALIS</v>
      </c>
      <c r="B1878" t="str">
        <f t="shared" si="59"/>
        <v>5265907LEITE UHTLACTALIS</v>
      </c>
      <c r="C1878" s="5" t="s">
        <v>226</v>
      </c>
      <c r="D1878" s="5" t="s">
        <v>227</v>
      </c>
      <c r="E1878" s="5" t="s">
        <v>1722</v>
      </c>
      <c r="F1878" s="5">
        <v>5265907</v>
      </c>
      <c r="G1878" s="5" t="s">
        <v>424</v>
      </c>
      <c r="H1878" s="5" t="s">
        <v>30</v>
      </c>
      <c r="I1878" s="5" t="s">
        <v>22</v>
      </c>
      <c r="J1878" s="5" t="s">
        <v>156</v>
      </c>
      <c r="K1878" s="6">
        <v>0</v>
      </c>
      <c r="L1878" s="7">
        <v>240</v>
      </c>
      <c r="M1878" s="8">
        <v>160</v>
      </c>
      <c r="N1878" s="8">
        <v>240</v>
      </c>
      <c r="O1878" s="8">
        <v>0</v>
      </c>
      <c r="P1878" s="8">
        <v>0</v>
      </c>
      <c r="Q1878" s="8">
        <v>0</v>
      </c>
      <c r="R1878" s="8">
        <v>0</v>
      </c>
      <c r="S1878" s="8">
        <v>0</v>
      </c>
      <c r="T1878" s="5">
        <v>0</v>
      </c>
      <c r="U1878" s="5">
        <v>0</v>
      </c>
      <c r="V1878" s="5">
        <f>VLOOKUP(A1878,Planilha1!B:E,4,0)</f>
        <v>0.37177548115779385</v>
      </c>
    </row>
    <row r="1879" spans="1:22" x14ac:dyDescent="0.3">
      <c r="A1879" t="str">
        <f t="shared" si="58"/>
        <v>LEITE UHTLACTALIS</v>
      </c>
      <c r="B1879" t="str">
        <f t="shared" si="59"/>
        <v>5265947LEITE UHTLACTALIS</v>
      </c>
      <c r="C1879" s="5" t="s">
        <v>226</v>
      </c>
      <c r="D1879" s="5" t="s">
        <v>227</v>
      </c>
      <c r="E1879" s="5" t="s">
        <v>1722</v>
      </c>
      <c r="F1879" s="5">
        <v>5265947</v>
      </c>
      <c r="G1879" s="5" t="s">
        <v>425</v>
      </c>
      <c r="H1879" s="5" t="s">
        <v>30</v>
      </c>
      <c r="I1879" s="5" t="s">
        <v>22</v>
      </c>
      <c r="J1879" s="5" t="s">
        <v>156</v>
      </c>
      <c r="K1879" s="6">
        <v>0</v>
      </c>
      <c r="L1879" s="7">
        <v>0</v>
      </c>
      <c r="M1879" s="8">
        <v>72</v>
      </c>
      <c r="N1879" s="8">
        <v>64</v>
      </c>
      <c r="O1879" s="8">
        <v>0</v>
      </c>
      <c r="P1879" s="8">
        <v>0</v>
      </c>
      <c r="Q1879" s="8">
        <v>0</v>
      </c>
      <c r="R1879" s="8">
        <v>0</v>
      </c>
      <c r="S1879" s="8">
        <v>0</v>
      </c>
      <c r="T1879" s="5">
        <v>0</v>
      </c>
      <c r="U1879" s="5">
        <v>0</v>
      </c>
      <c r="V1879" s="5">
        <f>VLOOKUP(A1879,Planilha1!B:E,4,0)</f>
        <v>0.37177548115779385</v>
      </c>
    </row>
    <row r="1880" spans="1:22" x14ac:dyDescent="0.3">
      <c r="A1880" t="str">
        <f t="shared" si="58"/>
        <v>LEITE UHTLACTALIS</v>
      </c>
      <c r="B1880" t="str">
        <f t="shared" si="59"/>
        <v>5265948LEITE UHTLACTALIS</v>
      </c>
      <c r="C1880" s="5" t="s">
        <v>226</v>
      </c>
      <c r="D1880" s="5" t="s">
        <v>227</v>
      </c>
      <c r="E1880" s="5" t="s">
        <v>1722</v>
      </c>
      <c r="F1880" s="5">
        <v>5265948</v>
      </c>
      <c r="G1880" s="5" t="s">
        <v>425</v>
      </c>
      <c r="H1880" s="5" t="s">
        <v>30</v>
      </c>
      <c r="I1880" s="5" t="s">
        <v>22</v>
      </c>
      <c r="J1880" s="5" t="s">
        <v>156</v>
      </c>
      <c r="K1880" s="6">
        <v>0</v>
      </c>
      <c r="L1880" s="7">
        <v>0</v>
      </c>
      <c r="M1880" s="8">
        <v>72</v>
      </c>
      <c r="N1880" s="8">
        <v>96</v>
      </c>
      <c r="O1880" s="8">
        <v>0</v>
      </c>
      <c r="P1880" s="8">
        <v>0</v>
      </c>
      <c r="Q1880" s="8">
        <v>0</v>
      </c>
      <c r="R1880" s="8">
        <v>0</v>
      </c>
      <c r="S1880" s="8">
        <v>0</v>
      </c>
      <c r="T1880" s="5">
        <v>0</v>
      </c>
      <c r="U1880" s="5">
        <v>0</v>
      </c>
      <c r="V1880" s="5">
        <f>VLOOKUP(A1880,Planilha1!B:E,4,0)</f>
        <v>0.37177548115779385</v>
      </c>
    </row>
    <row r="1881" spans="1:22" x14ac:dyDescent="0.3">
      <c r="A1881" t="str">
        <f t="shared" si="58"/>
        <v>QUEIJOSLACTALIS</v>
      </c>
      <c r="B1881" t="str">
        <f t="shared" si="59"/>
        <v>5266323QUEIJOSLACTALIS</v>
      </c>
      <c r="C1881" s="5" t="s">
        <v>226</v>
      </c>
      <c r="D1881" s="5" t="s">
        <v>227</v>
      </c>
      <c r="E1881" s="5" t="s">
        <v>1722</v>
      </c>
      <c r="F1881" s="5">
        <v>5266323</v>
      </c>
      <c r="G1881" s="5" t="s">
        <v>430</v>
      </c>
      <c r="H1881" s="5" t="s">
        <v>30</v>
      </c>
      <c r="I1881" s="5" t="s">
        <v>22</v>
      </c>
      <c r="J1881" s="5" t="s">
        <v>63</v>
      </c>
      <c r="K1881" s="6">
        <v>0</v>
      </c>
      <c r="L1881" s="7">
        <v>31.324999999999999</v>
      </c>
      <c r="M1881" s="8">
        <v>0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  <c r="S1881" s="8">
        <v>0</v>
      </c>
      <c r="T1881" s="5">
        <v>0</v>
      </c>
      <c r="U1881" s="5">
        <v>0</v>
      </c>
      <c r="V1881" s="5">
        <f>VLOOKUP(A1881,Planilha1!B:E,4,0)</f>
        <v>-1.9171310037550682</v>
      </c>
    </row>
    <row r="1882" spans="1:22" x14ac:dyDescent="0.3">
      <c r="A1882" t="str">
        <f t="shared" si="58"/>
        <v>LEITE CONDENSADOLACTALIS</v>
      </c>
      <c r="B1882" t="str">
        <f t="shared" si="59"/>
        <v>5266544LEITE CONDENSADOLACTALIS</v>
      </c>
      <c r="C1882" s="5" t="s">
        <v>226</v>
      </c>
      <c r="D1882" s="5" t="s">
        <v>227</v>
      </c>
      <c r="E1882" s="5" t="s">
        <v>1722</v>
      </c>
      <c r="F1882" s="5">
        <v>5266544</v>
      </c>
      <c r="G1882" s="5" t="s">
        <v>434</v>
      </c>
      <c r="H1882" s="5" t="s">
        <v>30</v>
      </c>
      <c r="I1882" s="5" t="s">
        <v>22</v>
      </c>
      <c r="J1882" s="5" t="s">
        <v>33</v>
      </c>
      <c r="K1882" s="6">
        <v>0</v>
      </c>
      <c r="L1882" s="7">
        <v>42</v>
      </c>
      <c r="M1882" s="8">
        <v>32.666666666666671</v>
      </c>
      <c r="N1882" s="8">
        <v>23.333333333333336</v>
      </c>
      <c r="O1882" s="8">
        <v>0</v>
      </c>
      <c r="P1882" s="8">
        <v>0</v>
      </c>
      <c r="Q1882" s="8">
        <v>0</v>
      </c>
      <c r="R1882" s="8">
        <v>0</v>
      </c>
      <c r="S1882" s="8">
        <v>28</v>
      </c>
      <c r="T1882" s="5">
        <v>28</v>
      </c>
      <c r="U1882" s="5">
        <v>28</v>
      </c>
      <c r="V1882" s="5">
        <f>VLOOKUP(A1882,Planilha1!B:E,4,0)</f>
        <v>1.8665071822970765</v>
      </c>
    </row>
    <row r="1883" spans="1:22" x14ac:dyDescent="0.3">
      <c r="A1883" t="str">
        <f t="shared" si="58"/>
        <v>IOGURTESLACTALIS</v>
      </c>
      <c r="B1883" t="str">
        <f t="shared" si="59"/>
        <v>5266735IOGURTESLACTALIS</v>
      </c>
      <c r="C1883" s="5" t="s">
        <v>226</v>
      </c>
      <c r="D1883" s="5" t="s">
        <v>227</v>
      </c>
      <c r="E1883" s="5" t="s">
        <v>1722</v>
      </c>
      <c r="F1883" s="5">
        <v>5266735</v>
      </c>
      <c r="G1883" s="5" t="s">
        <v>272</v>
      </c>
      <c r="H1883" s="5" t="s">
        <v>30</v>
      </c>
      <c r="I1883" s="5" t="s">
        <v>22</v>
      </c>
      <c r="J1883" s="5" t="s">
        <v>153</v>
      </c>
      <c r="K1883" s="6">
        <v>0</v>
      </c>
      <c r="L1883" s="7">
        <v>0</v>
      </c>
      <c r="M1883" s="8">
        <v>16.866666666666667</v>
      </c>
      <c r="N1883" s="8">
        <v>18.399999999999999</v>
      </c>
      <c r="O1883" s="8">
        <v>0</v>
      </c>
      <c r="P1883" s="8">
        <v>0</v>
      </c>
      <c r="Q1883" s="8">
        <v>0</v>
      </c>
      <c r="R1883" s="8">
        <v>0</v>
      </c>
      <c r="S1883" s="8">
        <v>0</v>
      </c>
      <c r="T1883" s="5">
        <v>0</v>
      </c>
      <c r="U1883" s="5">
        <v>0</v>
      </c>
      <c r="V1883" s="5">
        <f>VLOOKUP(A1883,Planilha1!B:E,4,0)</f>
        <v>3.0503167986984403</v>
      </c>
    </row>
    <row r="1884" spans="1:22" x14ac:dyDescent="0.3">
      <c r="A1884" t="str">
        <f t="shared" si="58"/>
        <v>DOCE DE LEITELACTALIS</v>
      </c>
      <c r="B1884" t="str">
        <f t="shared" si="59"/>
        <v>5269528DOCE DE LEITELACTALIS</v>
      </c>
      <c r="C1884" s="5" t="s">
        <v>226</v>
      </c>
      <c r="D1884" s="5" t="s">
        <v>227</v>
      </c>
      <c r="E1884" s="5" t="s">
        <v>1722</v>
      </c>
      <c r="F1884" s="5">
        <v>5269528</v>
      </c>
      <c r="G1884" s="5" t="s">
        <v>439</v>
      </c>
      <c r="H1884" s="5" t="s">
        <v>30</v>
      </c>
      <c r="I1884" s="5" t="s">
        <v>22</v>
      </c>
      <c r="J1884" s="5" t="s">
        <v>46</v>
      </c>
      <c r="K1884" s="6">
        <v>0</v>
      </c>
      <c r="L1884" s="7">
        <v>9.6</v>
      </c>
      <c r="M1884" s="8">
        <v>1.4000000000000001</v>
      </c>
      <c r="N1884" s="8">
        <v>0</v>
      </c>
      <c r="O1884" s="8">
        <v>0</v>
      </c>
      <c r="P1884" s="8">
        <v>0</v>
      </c>
      <c r="Q1884" s="8">
        <v>8.4</v>
      </c>
      <c r="R1884" s="8">
        <v>0</v>
      </c>
      <c r="S1884" s="8">
        <v>0</v>
      </c>
      <c r="T1884" s="5">
        <v>0</v>
      </c>
      <c r="U1884" s="5">
        <v>0</v>
      </c>
      <c r="V1884" s="5">
        <f>VLOOKUP(A1884,Planilha1!B:E,4,0)</f>
        <v>5.6473514327668077</v>
      </c>
    </row>
    <row r="1885" spans="1:22" x14ac:dyDescent="0.3">
      <c r="A1885" t="str">
        <f t="shared" si="58"/>
        <v>IOGURTESLACTALIS</v>
      </c>
      <c r="B1885" t="str">
        <f t="shared" si="59"/>
        <v>5269835IOGURTESLACTALIS</v>
      </c>
      <c r="C1885" s="5" t="s">
        <v>226</v>
      </c>
      <c r="D1885" s="5" t="s">
        <v>227</v>
      </c>
      <c r="E1885" s="5" t="s">
        <v>1722</v>
      </c>
      <c r="F1885" s="5">
        <v>5269835</v>
      </c>
      <c r="G1885" s="5" t="s">
        <v>440</v>
      </c>
      <c r="H1885" s="5" t="s">
        <v>30</v>
      </c>
      <c r="I1885" s="5" t="s">
        <v>22</v>
      </c>
      <c r="J1885" s="5" t="s">
        <v>153</v>
      </c>
      <c r="K1885" s="6">
        <v>0</v>
      </c>
      <c r="L1885" s="7">
        <v>4.08</v>
      </c>
      <c r="M1885" s="8">
        <v>3.4000000000000004</v>
      </c>
      <c r="N1885" s="8">
        <v>6.8</v>
      </c>
      <c r="O1885" s="8">
        <v>0</v>
      </c>
      <c r="P1885" s="8">
        <v>0</v>
      </c>
      <c r="Q1885" s="8">
        <v>0</v>
      </c>
      <c r="R1885" s="8">
        <v>0</v>
      </c>
      <c r="S1885" s="8">
        <v>0</v>
      </c>
      <c r="T1885" s="5">
        <v>0</v>
      </c>
      <c r="U1885" s="5">
        <v>0</v>
      </c>
      <c r="V1885" s="5">
        <f>VLOOKUP(A1885,Planilha1!B:E,4,0)</f>
        <v>3.0503167986984403</v>
      </c>
    </row>
    <row r="1886" spans="1:22" x14ac:dyDescent="0.3">
      <c r="A1886" t="str">
        <f t="shared" si="58"/>
        <v>MANTEIGA 5KGLACTALIS</v>
      </c>
      <c r="B1886" t="str">
        <f t="shared" si="59"/>
        <v>5269835MANTEIGA 5KGLACTALIS</v>
      </c>
      <c r="C1886" s="5" t="s">
        <v>226</v>
      </c>
      <c r="D1886" s="5" t="s">
        <v>227</v>
      </c>
      <c r="E1886" s="5" t="s">
        <v>1722</v>
      </c>
      <c r="F1886" s="5">
        <v>5269835</v>
      </c>
      <c r="G1886" s="5" t="s">
        <v>440</v>
      </c>
      <c r="H1886" s="5" t="s">
        <v>30</v>
      </c>
      <c r="I1886" s="5" t="s">
        <v>22</v>
      </c>
      <c r="J1886" s="5" t="s">
        <v>60</v>
      </c>
      <c r="K1886" s="6">
        <v>0</v>
      </c>
      <c r="L1886" s="7">
        <v>15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0</v>
      </c>
      <c r="S1886" s="8">
        <v>0</v>
      </c>
      <c r="T1886" s="5">
        <v>0</v>
      </c>
      <c r="U1886" s="5">
        <v>0</v>
      </c>
      <c r="V1886" s="5">
        <f>VLOOKUP(A1886,Planilha1!B:E,4,0)</f>
        <v>11.476197020267191</v>
      </c>
    </row>
    <row r="1887" spans="1:22" x14ac:dyDescent="0.3">
      <c r="A1887" t="str">
        <f t="shared" si="58"/>
        <v>BLISTERLACTALIS</v>
      </c>
      <c r="B1887" t="str">
        <f t="shared" si="59"/>
        <v>5270158BLISTERLACTALIS</v>
      </c>
      <c r="C1887" s="5" t="s">
        <v>226</v>
      </c>
      <c r="D1887" s="5" t="s">
        <v>227</v>
      </c>
      <c r="E1887" s="5" t="s">
        <v>1722</v>
      </c>
      <c r="F1887" s="5">
        <v>5270158</v>
      </c>
      <c r="G1887" s="5" t="s">
        <v>441</v>
      </c>
      <c r="H1887" s="5" t="s">
        <v>30</v>
      </c>
      <c r="I1887" s="5" t="s">
        <v>22</v>
      </c>
      <c r="J1887" s="5" t="s">
        <v>199</v>
      </c>
      <c r="K1887" s="6">
        <v>0</v>
      </c>
      <c r="L1887" s="7">
        <v>1.92</v>
      </c>
      <c r="M1887" s="8">
        <v>0.32</v>
      </c>
      <c r="N1887" s="8">
        <v>0.64</v>
      </c>
      <c r="O1887" s="8">
        <v>0</v>
      </c>
      <c r="P1887" s="8">
        <v>0</v>
      </c>
      <c r="Q1887" s="8">
        <v>1.92</v>
      </c>
      <c r="R1887" s="8">
        <v>0</v>
      </c>
      <c r="S1887" s="8">
        <v>0</v>
      </c>
      <c r="T1887" s="5">
        <v>0</v>
      </c>
      <c r="U1887" s="5">
        <v>0</v>
      </c>
      <c r="V1887" s="5">
        <f>VLOOKUP(A1887,Planilha1!B:E,4,0)</f>
        <v>13.783871706210666</v>
      </c>
    </row>
    <row r="1888" spans="1:22" x14ac:dyDescent="0.3">
      <c r="A1888" t="str">
        <f t="shared" si="58"/>
        <v>BLISTERLACTALIS</v>
      </c>
      <c r="B1888" t="str">
        <f t="shared" si="59"/>
        <v>5270159BLISTERLACTALIS</v>
      </c>
      <c r="C1888" s="5" t="s">
        <v>226</v>
      </c>
      <c r="D1888" s="5" t="s">
        <v>227</v>
      </c>
      <c r="E1888" s="5" t="s">
        <v>1722</v>
      </c>
      <c r="F1888" s="5">
        <v>5270159</v>
      </c>
      <c r="G1888" s="5" t="s">
        <v>442</v>
      </c>
      <c r="H1888" s="5" t="s">
        <v>30</v>
      </c>
      <c r="I1888" s="5" t="s">
        <v>22</v>
      </c>
      <c r="J1888" s="5" t="s">
        <v>199</v>
      </c>
      <c r="K1888" s="6">
        <v>0</v>
      </c>
      <c r="L1888" s="7">
        <v>4.08</v>
      </c>
      <c r="M1888" s="8">
        <v>0.68</v>
      </c>
      <c r="N1888" s="8">
        <v>0</v>
      </c>
      <c r="O1888" s="8">
        <v>0</v>
      </c>
      <c r="P1888" s="8">
        <v>0</v>
      </c>
      <c r="Q1888" s="8">
        <v>4.32</v>
      </c>
      <c r="R1888" s="8">
        <v>0</v>
      </c>
      <c r="S1888" s="8">
        <v>0</v>
      </c>
      <c r="T1888" s="5">
        <v>0</v>
      </c>
      <c r="U1888" s="5">
        <v>0</v>
      </c>
      <c r="V1888" s="5">
        <f>VLOOKUP(A1888,Planilha1!B:E,4,0)</f>
        <v>13.783871706210666</v>
      </c>
    </row>
    <row r="1889" spans="1:22" x14ac:dyDescent="0.3">
      <c r="A1889" t="str">
        <f t="shared" si="58"/>
        <v>LEITE CONDENSADOLACTALIS</v>
      </c>
      <c r="B1889" t="str">
        <f t="shared" si="59"/>
        <v>5279849LEITE CONDENSADOLACTALIS</v>
      </c>
      <c r="C1889" s="5" t="s">
        <v>226</v>
      </c>
      <c r="D1889" s="5" t="s">
        <v>227</v>
      </c>
      <c r="E1889" s="5" t="s">
        <v>1722</v>
      </c>
      <c r="F1889" s="5">
        <v>5279849</v>
      </c>
      <c r="G1889" s="5" t="s">
        <v>450</v>
      </c>
      <c r="H1889" s="5" t="s">
        <v>30</v>
      </c>
      <c r="I1889" s="5" t="s">
        <v>22</v>
      </c>
      <c r="J1889" s="5" t="s">
        <v>33</v>
      </c>
      <c r="K1889" s="6">
        <v>0</v>
      </c>
      <c r="L1889" s="7">
        <v>18.96</v>
      </c>
      <c r="M1889" s="8">
        <v>15.8</v>
      </c>
      <c r="N1889" s="8">
        <v>6.32</v>
      </c>
      <c r="O1889" s="8">
        <v>18.96</v>
      </c>
      <c r="P1889" s="8">
        <v>0</v>
      </c>
      <c r="Q1889" s="8">
        <v>0</v>
      </c>
      <c r="R1889" s="8">
        <v>0</v>
      </c>
      <c r="S1889" s="8">
        <v>19</v>
      </c>
      <c r="T1889" s="5">
        <v>19</v>
      </c>
      <c r="U1889" s="5">
        <v>19</v>
      </c>
      <c r="V1889" s="5">
        <f>VLOOKUP(A1889,Planilha1!B:E,4,0)</f>
        <v>1.8665071822970765</v>
      </c>
    </row>
    <row r="1890" spans="1:22" x14ac:dyDescent="0.3">
      <c r="A1890" t="str">
        <f t="shared" si="58"/>
        <v>SPREADSLACTALIS</v>
      </c>
      <c r="B1890" t="str">
        <f t="shared" si="59"/>
        <v>5279849SPREADSLACTALIS</v>
      </c>
      <c r="C1890" s="5" t="s">
        <v>226</v>
      </c>
      <c r="D1890" s="5" t="s">
        <v>227</v>
      </c>
      <c r="E1890" s="5" t="s">
        <v>1722</v>
      </c>
      <c r="F1890" s="5">
        <v>5279849</v>
      </c>
      <c r="G1890" s="5" t="s">
        <v>450</v>
      </c>
      <c r="H1890" s="5" t="s">
        <v>30</v>
      </c>
      <c r="I1890" s="5" t="s">
        <v>22</v>
      </c>
      <c r="J1890" s="5" t="s">
        <v>945</v>
      </c>
      <c r="K1890" s="6">
        <v>0</v>
      </c>
      <c r="L1890" s="7">
        <v>6</v>
      </c>
      <c r="M1890" s="8">
        <v>0</v>
      </c>
      <c r="N1890" s="8">
        <v>0</v>
      </c>
      <c r="O1890" s="8">
        <v>0</v>
      </c>
      <c r="P1890" s="8">
        <v>0</v>
      </c>
      <c r="Q1890" s="8">
        <v>0</v>
      </c>
      <c r="R1890" s="8">
        <v>0</v>
      </c>
      <c r="S1890" s="8">
        <v>0</v>
      </c>
      <c r="T1890" s="5">
        <v>0</v>
      </c>
      <c r="U1890" s="5">
        <v>0</v>
      </c>
      <c r="V1890" s="5">
        <f>VLOOKUP(A1890,Planilha1!B:E,4,0)</f>
        <v>13.599044988219518</v>
      </c>
    </row>
    <row r="1891" spans="1:22" x14ac:dyDescent="0.3">
      <c r="A1891" t="str">
        <f t="shared" si="58"/>
        <v>LEITE UHTLACTALIS</v>
      </c>
      <c r="B1891" t="str">
        <f t="shared" si="59"/>
        <v>5286858LEITE UHTLACTALIS</v>
      </c>
      <c r="C1891" s="5" t="s">
        <v>226</v>
      </c>
      <c r="D1891" s="5" t="s">
        <v>227</v>
      </c>
      <c r="E1891" s="5" t="s">
        <v>1722</v>
      </c>
      <c r="F1891" s="5">
        <v>5286858</v>
      </c>
      <c r="G1891" s="5" t="s">
        <v>458</v>
      </c>
      <c r="H1891" s="5" t="s">
        <v>30</v>
      </c>
      <c r="I1891" s="5" t="s">
        <v>22</v>
      </c>
      <c r="J1891" s="5" t="s">
        <v>156</v>
      </c>
      <c r="K1891" s="6">
        <v>0</v>
      </c>
      <c r="L1891" s="7">
        <v>0</v>
      </c>
      <c r="M1891" s="8">
        <v>2</v>
      </c>
      <c r="N1891" s="8">
        <v>0</v>
      </c>
      <c r="O1891" s="8">
        <v>0</v>
      </c>
      <c r="P1891" s="8">
        <v>0</v>
      </c>
      <c r="Q1891" s="8">
        <v>0</v>
      </c>
      <c r="R1891" s="8">
        <v>0</v>
      </c>
      <c r="S1891" s="8">
        <v>0</v>
      </c>
      <c r="T1891" s="5">
        <v>0</v>
      </c>
      <c r="U1891" s="5">
        <v>0</v>
      </c>
      <c r="V1891" s="5">
        <f>VLOOKUP(A1891,Planilha1!B:E,4,0)</f>
        <v>0.37177548115779385</v>
      </c>
    </row>
    <row r="1892" spans="1:22" x14ac:dyDescent="0.3">
      <c r="A1892" t="str">
        <f t="shared" si="58"/>
        <v>CREME UHTLACTALIS</v>
      </c>
      <c r="B1892" t="str">
        <f t="shared" si="59"/>
        <v>5287152CREME UHTLACTALIS</v>
      </c>
      <c r="C1892" s="5" t="s">
        <v>226</v>
      </c>
      <c r="D1892" s="5" t="s">
        <v>227</v>
      </c>
      <c r="E1892" s="5" t="s">
        <v>1722</v>
      </c>
      <c r="F1892" s="5">
        <v>5287152</v>
      </c>
      <c r="G1892" s="5" t="s">
        <v>459</v>
      </c>
      <c r="H1892" s="5" t="s">
        <v>30</v>
      </c>
      <c r="I1892" s="5" t="s">
        <v>22</v>
      </c>
      <c r="J1892" s="5" t="s">
        <v>34</v>
      </c>
      <c r="K1892" s="6">
        <v>0</v>
      </c>
      <c r="L1892" s="7">
        <v>5.4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0</v>
      </c>
      <c r="S1892" s="8">
        <v>0</v>
      </c>
      <c r="T1892" s="5">
        <v>0</v>
      </c>
      <c r="U1892" s="5">
        <v>0</v>
      </c>
      <c r="V1892" s="5">
        <f>VLOOKUP(A1892,Planilha1!B:E,4,0)</f>
        <v>-1.4094522863012933</v>
      </c>
    </row>
    <row r="1893" spans="1:22" x14ac:dyDescent="0.3">
      <c r="A1893" t="str">
        <f t="shared" si="58"/>
        <v>IOGURTESLACTALIS</v>
      </c>
      <c r="B1893" t="str">
        <f t="shared" si="59"/>
        <v>5297137IOGURTESLACTALIS</v>
      </c>
      <c r="C1893" s="5" t="s">
        <v>226</v>
      </c>
      <c r="D1893" s="5" t="s">
        <v>227</v>
      </c>
      <c r="E1893" s="5" t="s">
        <v>1722</v>
      </c>
      <c r="F1893" s="5">
        <v>5297137</v>
      </c>
      <c r="G1893" s="5" t="s">
        <v>1117</v>
      </c>
      <c r="H1893" s="5" t="s">
        <v>30</v>
      </c>
      <c r="I1893" s="5" t="s">
        <v>22</v>
      </c>
      <c r="J1893" s="5" t="s">
        <v>153</v>
      </c>
      <c r="K1893" s="6">
        <v>0</v>
      </c>
      <c r="L1893" s="7">
        <v>88.84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0</v>
      </c>
      <c r="S1893" s="8">
        <v>0</v>
      </c>
      <c r="T1893" s="5">
        <v>0</v>
      </c>
      <c r="U1893" s="5">
        <v>0</v>
      </c>
      <c r="V1893" s="5">
        <f>VLOOKUP(A1893,Planilha1!B:E,4,0)</f>
        <v>3.0503167986984403</v>
      </c>
    </row>
    <row r="1894" spans="1:22" x14ac:dyDescent="0.3">
      <c r="A1894" t="str">
        <f t="shared" si="58"/>
        <v>QUEIJOSLACTALIS</v>
      </c>
      <c r="B1894" t="str">
        <f t="shared" si="59"/>
        <v>5297137QUEIJOSLACTALIS</v>
      </c>
      <c r="C1894" s="5" t="s">
        <v>226</v>
      </c>
      <c r="D1894" s="5" t="s">
        <v>227</v>
      </c>
      <c r="E1894" s="5" t="s">
        <v>1722</v>
      </c>
      <c r="F1894" s="5">
        <v>5297137</v>
      </c>
      <c r="G1894" s="5" t="s">
        <v>1117</v>
      </c>
      <c r="H1894" s="5" t="s">
        <v>30</v>
      </c>
      <c r="I1894" s="5" t="s">
        <v>22</v>
      </c>
      <c r="J1894" s="5" t="s">
        <v>63</v>
      </c>
      <c r="K1894" s="6">
        <v>0</v>
      </c>
      <c r="L1894" s="7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0</v>
      </c>
      <c r="S1894" s="8">
        <v>0</v>
      </c>
      <c r="T1894" s="5">
        <v>0</v>
      </c>
      <c r="U1894" s="5">
        <v>0</v>
      </c>
      <c r="V1894" s="5">
        <f>VLOOKUP(A1894,Planilha1!B:E,4,0)</f>
        <v>-1.9171310037550682</v>
      </c>
    </row>
    <row r="1895" spans="1:22" x14ac:dyDescent="0.3">
      <c r="A1895" t="str">
        <f t="shared" si="58"/>
        <v>LEITE CONDENSADOLACTALIS</v>
      </c>
      <c r="B1895" t="str">
        <f t="shared" si="59"/>
        <v>5297751LEITE CONDENSADOLACTALIS</v>
      </c>
      <c r="C1895" s="5" t="s">
        <v>226</v>
      </c>
      <c r="D1895" s="5" t="s">
        <v>227</v>
      </c>
      <c r="E1895" s="5" t="s">
        <v>1722</v>
      </c>
      <c r="F1895" s="5">
        <v>5297751</v>
      </c>
      <c r="G1895" s="5" t="s">
        <v>1118</v>
      </c>
      <c r="H1895" s="5" t="s">
        <v>30</v>
      </c>
      <c r="I1895" s="5" t="s">
        <v>22</v>
      </c>
      <c r="J1895" s="5" t="s">
        <v>33</v>
      </c>
      <c r="K1895" s="6">
        <v>0</v>
      </c>
      <c r="L1895" s="7">
        <v>28</v>
      </c>
      <c r="M1895" s="8">
        <v>14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  <c r="S1895" s="8">
        <v>0</v>
      </c>
      <c r="T1895" s="5">
        <v>0</v>
      </c>
      <c r="U1895" s="5">
        <v>0</v>
      </c>
      <c r="V1895" s="5">
        <f>VLOOKUP(A1895,Planilha1!B:E,4,0)</f>
        <v>1.8665071822970765</v>
      </c>
    </row>
    <row r="1896" spans="1:22" x14ac:dyDescent="0.3">
      <c r="A1896" t="str">
        <f t="shared" si="58"/>
        <v>LEITE UHTLACTALIS</v>
      </c>
      <c r="B1896" t="str">
        <f t="shared" si="59"/>
        <v>5297751LEITE UHTLACTALIS</v>
      </c>
      <c r="C1896" s="5" t="s">
        <v>226</v>
      </c>
      <c r="D1896" s="5" t="s">
        <v>227</v>
      </c>
      <c r="E1896" s="5" t="s">
        <v>1722</v>
      </c>
      <c r="F1896" s="5">
        <v>5297751</v>
      </c>
      <c r="G1896" s="5" t="s">
        <v>1118</v>
      </c>
      <c r="H1896" s="5" t="s">
        <v>30</v>
      </c>
      <c r="I1896" s="5" t="s">
        <v>22</v>
      </c>
      <c r="J1896" s="5" t="s">
        <v>156</v>
      </c>
      <c r="K1896" s="6">
        <v>0</v>
      </c>
      <c r="L1896" s="7">
        <v>0</v>
      </c>
      <c r="M1896" s="8">
        <v>0</v>
      </c>
      <c r="N1896" s="8">
        <v>0</v>
      </c>
      <c r="O1896" s="8">
        <v>0</v>
      </c>
      <c r="P1896" s="8">
        <v>0</v>
      </c>
      <c r="Q1896" s="8">
        <v>0</v>
      </c>
      <c r="R1896" s="8">
        <v>0</v>
      </c>
      <c r="S1896" s="8">
        <v>0</v>
      </c>
      <c r="T1896" s="5">
        <v>0</v>
      </c>
      <c r="U1896" s="5">
        <v>0</v>
      </c>
      <c r="V1896" s="5">
        <f>VLOOKUP(A1896,Planilha1!B:E,4,0)</f>
        <v>0.37177548115779385</v>
      </c>
    </row>
    <row r="1897" spans="1:22" x14ac:dyDescent="0.3">
      <c r="A1897" t="str">
        <f t="shared" si="58"/>
        <v>IOGURTESLACTALIS</v>
      </c>
      <c r="B1897" t="str">
        <f t="shared" si="59"/>
        <v>5300112IOGURTESLACTALIS</v>
      </c>
      <c r="C1897" s="5" t="s">
        <v>226</v>
      </c>
      <c r="D1897" s="5" t="s">
        <v>227</v>
      </c>
      <c r="E1897" s="5" t="s">
        <v>1722</v>
      </c>
      <c r="F1897" s="5">
        <v>5300112</v>
      </c>
      <c r="G1897" s="5" t="s">
        <v>1119</v>
      </c>
      <c r="H1897" s="5" t="s">
        <v>30</v>
      </c>
      <c r="I1897" s="5" t="s">
        <v>22</v>
      </c>
      <c r="J1897" s="5" t="s">
        <v>153</v>
      </c>
      <c r="K1897" s="6">
        <v>0</v>
      </c>
      <c r="L1897" s="7">
        <v>0</v>
      </c>
      <c r="M1897" s="8">
        <v>0</v>
      </c>
      <c r="N1897" s="8">
        <v>0</v>
      </c>
      <c r="O1897" s="8">
        <v>0</v>
      </c>
      <c r="P1897" s="8">
        <v>0</v>
      </c>
      <c r="Q1897" s="8">
        <v>0</v>
      </c>
      <c r="R1897" s="8">
        <v>0</v>
      </c>
      <c r="S1897" s="8">
        <v>0</v>
      </c>
      <c r="T1897" s="5">
        <v>0</v>
      </c>
      <c r="U1897" s="5">
        <v>0</v>
      </c>
      <c r="V1897" s="5">
        <f>VLOOKUP(A1897,Planilha1!B:E,4,0)</f>
        <v>3.0503167986984403</v>
      </c>
    </row>
    <row r="1898" spans="1:22" x14ac:dyDescent="0.3">
      <c r="A1898" t="str">
        <f t="shared" si="58"/>
        <v>LEITE UHTLACTALIS</v>
      </c>
      <c r="B1898" t="str">
        <f t="shared" si="59"/>
        <v>5307383LEITE UHTLACTALIS</v>
      </c>
      <c r="C1898" s="5" t="s">
        <v>226</v>
      </c>
      <c r="D1898" s="5" t="s">
        <v>227</v>
      </c>
      <c r="E1898" s="5" t="s">
        <v>1722</v>
      </c>
      <c r="F1898" s="5">
        <v>5307383</v>
      </c>
      <c r="G1898" s="5" t="s">
        <v>1120</v>
      </c>
      <c r="H1898" s="5" t="s">
        <v>30</v>
      </c>
      <c r="I1898" s="5" t="s">
        <v>22</v>
      </c>
      <c r="J1898" s="5" t="s">
        <v>156</v>
      </c>
      <c r="K1898" s="6">
        <v>0</v>
      </c>
      <c r="L1898" s="7">
        <v>408</v>
      </c>
      <c r="M1898" s="8">
        <v>32</v>
      </c>
      <c r="N1898" s="8">
        <v>0</v>
      </c>
      <c r="O1898" s="8">
        <v>0</v>
      </c>
      <c r="P1898" s="8">
        <v>0</v>
      </c>
      <c r="Q1898" s="8">
        <v>0</v>
      </c>
      <c r="R1898" s="8">
        <v>0</v>
      </c>
      <c r="S1898" s="8">
        <v>0</v>
      </c>
      <c r="T1898" s="5">
        <v>0</v>
      </c>
      <c r="U1898" s="5">
        <v>0</v>
      </c>
      <c r="V1898" s="5">
        <f>VLOOKUP(A1898,Planilha1!B:E,4,0)</f>
        <v>0.37177548115779385</v>
      </c>
    </row>
    <row r="1899" spans="1:22" x14ac:dyDescent="0.3">
      <c r="A1899" t="str">
        <f t="shared" si="58"/>
        <v>QUEIJOSLACTALIS</v>
      </c>
      <c r="B1899" t="str">
        <f t="shared" si="59"/>
        <v>5312629QUEIJOSLACTALIS</v>
      </c>
      <c r="C1899" s="5" t="s">
        <v>226</v>
      </c>
      <c r="D1899" s="5" t="s">
        <v>227</v>
      </c>
      <c r="E1899" s="5" t="s">
        <v>1722</v>
      </c>
      <c r="F1899" s="5">
        <v>5312629</v>
      </c>
      <c r="G1899" s="5" t="s">
        <v>434</v>
      </c>
      <c r="H1899" s="5" t="s">
        <v>30</v>
      </c>
      <c r="I1899" s="5" t="s">
        <v>22</v>
      </c>
      <c r="J1899" s="5" t="s">
        <v>63</v>
      </c>
      <c r="K1899" s="6">
        <v>0</v>
      </c>
      <c r="L1899" s="7">
        <v>23.7</v>
      </c>
      <c r="M1899" s="8">
        <v>0</v>
      </c>
      <c r="N1899" s="8">
        <v>0</v>
      </c>
      <c r="O1899" s="8">
        <v>0</v>
      </c>
      <c r="P1899" s="8">
        <v>0</v>
      </c>
      <c r="Q1899" s="8">
        <v>0</v>
      </c>
      <c r="R1899" s="8">
        <v>0</v>
      </c>
      <c r="S1899" s="8">
        <v>0</v>
      </c>
      <c r="T1899" s="5">
        <v>0</v>
      </c>
      <c r="U1899" s="5">
        <v>0</v>
      </c>
      <c r="V1899" s="5">
        <f>VLOOKUP(A1899,Planilha1!B:E,4,0)</f>
        <v>-1.9171310037550682</v>
      </c>
    </row>
    <row r="1900" spans="1:22" x14ac:dyDescent="0.3">
      <c r="A1900" t="str">
        <f t="shared" si="58"/>
        <v>LEITE CONDENSADOLACTALIS</v>
      </c>
      <c r="B1900" t="str">
        <f t="shared" si="59"/>
        <v>5315163LEITE CONDENSADOLACTALIS</v>
      </c>
      <c r="C1900" s="5" t="s">
        <v>226</v>
      </c>
      <c r="D1900" s="5" t="s">
        <v>227</v>
      </c>
      <c r="E1900" s="5" t="s">
        <v>1722</v>
      </c>
      <c r="F1900" s="5">
        <v>5315163</v>
      </c>
      <c r="G1900" s="5" t="s">
        <v>434</v>
      </c>
      <c r="H1900" s="5" t="s">
        <v>30</v>
      </c>
      <c r="I1900" s="5" t="s">
        <v>22</v>
      </c>
      <c r="J1900" s="5" t="s">
        <v>33</v>
      </c>
      <c r="K1900" s="6">
        <v>0</v>
      </c>
      <c r="L1900" s="7">
        <v>14</v>
      </c>
      <c r="M1900" s="8">
        <v>18.666666666666668</v>
      </c>
      <c r="N1900" s="8">
        <v>14</v>
      </c>
      <c r="O1900" s="8">
        <v>28</v>
      </c>
      <c r="P1900" s="8">
        <v>0</v>
      </c>
      <c r="Q1900" s="8">
        <v>0</v>
      </c>
      <c r="R1900" s="8">
        <v>0</v>
      </c>
      <c r="S1900" s="8">
        <v>28</v>
      </c>
      <c r="T1900" s="5">
        <v>28</v>
      </c>
      <c r="U1900" s="5">
        <v>28</v>
      </c>
      <c r="V1900" s="5">
        <f>VLOOKUP(A1900,Planilha1!B:E,4,0)</f>
        <v>1.8665071822970765</v>
      </c>
    </row>
    <row r="1901" spans="1:22" x14ac:dyDescent="0.3">
      <c r="A1901" t="str">
        <f t="shared" si="58"/>
        <v>QUEIJOSLACTALIS</v>
      </c>
      <c r="B1901" t="str">
        <f t="shared" si="59"/>
        <v>5315163QUEIJOSLACTALIS</v>
      </c>
      <c r="C1901" s="5" t="s">
        <v>226</v>
      </c>
      <c r="D1901" s="5" t="s">
        <v>227</v>
      </c>
      <c r="E1901" s="5" t="s">
        <v>1722</v>
      </c>
      <c r="F1901" s="5">
        <v>5315163</v>
      </c>
      <c r="G1901" s="5" t="s">
        <v>434</v>
      </c>
      <c r="H1901" s="5" t="s">
        <v>30</v>
      </c>
      <c r="I1901" s="5" t="s">
        <v>22</v>
      </c>
      <c r="J1901" s="5" t="s">
        <v>63</v>
      </c>
      <c r="K1901" s="6">
        <v>0</v>
      </c>
      <c r="L1901" s="7">
        <v>58.97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0</v>
      </c>
      <c r="S1901" s="8">
        <v>0</v>
      </c>
      <c r="T1901" s="5">
        <v>0</v>
      </c>
      <c r="U1901" s="5">
        <v>0</v>
      </c>
      <c r="V1901" s="5">
        <f>VLOOKUP(A1901,Planilha1!B:E,4,0)</f>
        <v>-1.9171310037550682</v>
      </c>
    </row>
    <row r="1902" spans="1:22" x14ac:dyDescent="0.3">
      <c r="A1902" t="str">
        <f t="shared" si="58"/>
        <v>LEITE UHTLACTALIS</v>
      </c>
      <c r="B1902" t="str">
        <f t="shared" si="59"/>
        <v>5315264LEITE UHTLACTALIS</v>
      </c>
      <c r="C1902" s="5" t="s">
        <v>226</v>
      </c>
      <c r="D1902" s="5" t="s">
        <v>227</v>
      </c>
      <c r="E1902" s="5" t="s">
        <v>1722</v>
      </c>
      <c r="F1902" s="5">
        <v>5315264</v>
      </c>
      <c r="G1902" s="5" t="s">
        <v>1121</v>
      </c>
      <c r="H1902" s="5" t="s">
        <v>30</v>
      </c>
      <c r="I1902" s="5" t="s">
        <v>22</v>
      </c>
      <c r="J1902" s="5" t="s">
        <v>156</v>
      </c>
      <c r="K1902" s="6">
        <v>0</v>
      </c>
      <c r="L1902" s="7">
        <v>0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0</v>
      </c>
      <c r="S1902" s="8">
        <v>0</v>
      </c>
      <c r="T1902" s="5">
        <v>0</v>
      </c>
      <c r="U1902" s="5">
        <v>0</v>
      </c>
      <c r="V1902" s="5">
        <f>VLOOKUP(A1902,Planilha1!B:E,4,0)</f>
        <v>0.37177548115779385</v>
      </c>
    </row>
    <row r="1903" spans="1:22" x14ac:dyDescent="0.3">
      <c r="A1903" t="str">
        <f t="shared" si="58"/>
        <v>DOCE DE LEITELACTALIS</v>
      </c>
      <c r="B1903" t="str">
        <f t="shared" si="59"/>
        <v>5316375DOCE DE LEITELACTALIS</v>
      </c>
      <c r="C1903" s="5" t="s">
        <v>226</v>
      </c>
      <c r="D1903" s="5" t="s">
        <v>227</v>
      </c>
      <c r="E1903" s="5" t="s">
        <v>1722</v>
      </c>
      <c r="F1903" s="5">
        <v>5316375</v>
      </c>
      <c r="G1903" s="5" t="s">
        <v>471</v>
      </c>
      <c r="H1903" s="5" t="s">
        <v>30</v>
      </c>
      <c r="I1903" s="5" t="s">
        <v>22</v>
      </c>
      <c r="J1903" s="5" t="s">
        <v>46</v>
      </c>
      <c r="K1903" s="6">
        <v>0</v>
      </c>
      <c r="L1903" s="7">
        <v>6</v>
      </c>
      <c r="M1903" s="8">
        <v>0</v>
      </c>
      <c r="N1903" s="8">
        <v>0</v>
      </c>
      <c r="O1903" s="8">
        <v>0</v>
      </c>
      <c r="P1903" s="8">
        <v>0</v>
      </c>
      <c r="Q1903" s="8">
        <v>0</v>
      </c>
      <c r="R1903" s="8">
        <v>0</v>
      </c>
      <c r="S1903" s="8">
        <v>0</v>
      </c>
      <c r="T1903" s="5">
        <v>0</v>
      </c>
      <c r="U1903" s="5">
        <v>0</v>
      </c>
      <c r="V1903" s="5">
        <f>VLOOKUP(A1903,Planilha1!B:E,4,0)</f>
        <v>5.6473514327668077</v>
      </c>
    </row>
    <row r="1904" spans="1:22" x14ac:dyDescent="0.3">
      <c r="A1904" t="str">
        <f t="shared" si="58"/>
        <v>LEITE UHTLACTALIS</v>
      </c>
      <c r="B1904" t="str">
        <f t="shared" si="59"/>
        <v>5316683LEITE UHTLACTALIS</v>
      </c>
      <c r="C1904" s="5" t="s">
        <v>226</v>
      </c>
      <c r="D1904" s="5" t="s">
        <v>227</v>
      </c>
      <c r="E1904" s="5" t="s">
        <v>1722</v>
      </c>
      <c r="F1904" s="5">
        <v>5316683</v>
      </c>
      <c r="G1904" s="5" t="s">
        <v>1122</v>
      </c>
      <c r="H1904" s="5" t="s">
        <v>30</v>
      </c>
      <c r="I1904" s="5" t="s">
        <v>22</v>
      </c>
      <c r="J1904" s="5" t="s">
        <v>156</v>
      </c>
      <c r="K1904" s="6">
        <v>0</v>
      </c>
      <c r="L1904" s="7">
        <v>0</v>
      </c>
      <c r="M1904" s="8">
        <v>0</v>
      </c>
      <c r="N1904" s="8">
        <v>0</v>
      </c>
      <c r="O1904" s="8">
        <v>0</v>
      </c>
      <c r="P1904" s="8">
        <v>0</v>
      </c>
      <c r="Q1904" s="8">
        <v>0</v>
      </c>
      <c r="R1904" s="8">
        <v>0</v>
      </c>
      <c r="S1904" s="8">
        <v>0</v>
      </c>
      <c r="T1904" s="5">
        <v>0</v>
      </c>
      <c r="U1904" s="5">
        <v>0</v>
      </c>
      <c r="V1904" s="5">
        <f>VLOOKUP(A1904,Planilha1!B:E,4,0)</f>
        <v>0.37177548115779385</v>
      </c>
    </row>
    <row r="1905" spans="1:22" x14ac:dyDescent="0.3">
      <c r="A1905" t="str">
        <f t="shared" si="58"/>
        <v>MANTEIGA 5KGLACTALIS</v>
      </c>
      <c r="B1905" t="str">
        <f t="shared" si="59"/>
        <v>5334170MANTEIGA 5KGLACTALIS</v>
      </c>
      <c r="C1905" s="5" t="s">
        <v>226</v>
      </c>
      <c r="D1905" s="5" t="s">
        <v>227</v>
      </c>
      <c r="E1905" s="5" t="s">
        <v>1722</v>
      </c>
      <c r="F1905" s="5">
        <v>5334170</v>
      </c>
      <c r="G1905" s="5" t="s">
        <v>1123</v>
      </c>
      <c r="H1905" s="5" t="s">
        <v>30</v>
      </c>
      <c r="I1905" s="5" t="s">
        <v>22</v>
      </c>
      <c r="J1905" s="5" t="s">
        <v>60</v>
      </c>
      <c r="K1905" s="6">
        <v>0</v>
      </c>
      <c r="L1905" s="7">
        <v>0</v>
      </c>
      <c r="M1905" s="8">
        <v>0</v>
      </c>
      <c r="N1905" s="8">
        <v>0</v>
      </c>
      <c r="O1905" s="8">
        <v>0</v>
      </c>
      <c r="P1905" s="8">
        <v>0</v>
      </c>
      <c r="Q1905" s="8">
        <v>0</v>
      </c>
      <c r="R1905" s="8">
        <v>0</v>
      </c>
      <c r="S1905" s="8">
        <v>0</v>
      </c>
      <c r="T1905" s="5">
        <v>0</v>
      </c>
      <c r="U1905" s="5">
        <v>0</v>
      </c>
      <c r="V1905" s="5">
        <f>VLOOKUP(A1905,Planilha1!B:E,4,0)</f>
        <v>11.476197020267191</v>
      </c>
    </row>
    <row r="1906" spans="1:22" x14ac:dyDescent="0.3">
      <c r="A1906" t="str">
        <f t="shared" si="58"/>
        <v>LEITE UHTLACTALIS</v>
      </c>
      <c r="B1906" t="str">
        <f t="shared" si="59"/>
        <v>5336764LEITE UHTLACTALIS</v>
      </c>
      <c r="C1906" s="5" t="s">
        <v>226</v>
      </c>
      <c r="D1906" s="5" t="s">
        <v>227</v>
      </c>
      <c r="E1906" s="5" t="s">
        <v>1722</v>
      </c>
      <c r="F1906" s="5">
        <v>5336764</v>
      </c>
      <c r="G1906" s="5" t="s">
        <v>1124</v>
      </c>
      <c r="H1906" s="5" t="s">
        <v>30</v>
      </c>
      <c r="I1906" s="5" t="s">
        <v>22</v>
      </c>
      <c r="J1906" s="5" t="s">
        <v>156</v>
      </c>
      <c r="K1906" s="6">
        <v>0</v>
      </c>
      <c r="L1906" s="7">
        <v>60</v>
      </c>
      <c r="M1906" s="8">
        <v>0</v>
      </c>
      <c r="N1906" s="8">
        <v>0</v>
      </c>
      <c r="O1906" s="8">
        <v>0</v>
      </c>
      <c r="P1906" s="8">
        <v>0</v>
      </c>
      <c r="Q1906" s="8">
        <v>0</v>
      </c>
      <c r="R1906" s="8">
        <v>0</v>
      </c>
      <c r="S1906" s="8">
        <v>0</v>
      </c>
      <c r="T1906" s="5">
        <v>0</v>
      </c>
      <c r="U1906" s="5">
        <v>0</v>
      </c>
      <c r="V1906" s="5">
        <f>VLOOKUP(A1906,Planilha1!B:E,4,0)</f>
        <v>0.37177548115779385</v>
      </c>
    </row>
    <row r="1907" spans="1:22" x14ac:dyDescent="0.3">
      <c r="A1907" t="str">
        <f t="shared" si="58"/>
        <v>QUEIJOSLACTALIS</v>
      </c>
      <c r="B1907" t="str">
        <f t="shared" si="59"/>
        <v>5336764QUEIJOSLACTALIS</v>
      </c>
      <c r="C1907" s="5" t="s">
        <v>226</v>
      </c>
      <c r="D1907" s="5" t="s">
        <v>227</v>
      </c>
      <c r="E1907" s="5" t="s">
        <v>1722</v>
      </c>
      <c r="F1907" s="5">
        <v>5336764</v>
      </c>
      <c r="G1907" s="5" t="s">
        <v>1124</v>
      </c>
      <c r="H1907" s="5" t="s">
        <v>30</v>
      </c>
      <c r="I1907" s="5" t="s">
        <v>22</v>
      </c>
      <c r="J1907" s="5" t="s">
        <v>63</v>
      </c>
      <c r="K1907" s="6">
        <v>0</v>
      </c>
      <c r="L1907" s="7">
        <v>47.569000000000003</v>
      </c>
      <c r="M1907" s="8">
        <v>0</v>
      </c>
      <c r="N1907" s="8">
        <v>0</v>
      </c>
      <c r="O1907" s="8">
        <v>0</v>
      </c>
      <c r="P1907" s="8">
        <v>0</v>
      </c>
      <c r="Q1907" s="8">
        <v>0</v>
      </c>
      <c r="R1907" s="8">
        <v>0</v>
      </c>
      <c r="S1907" s="8">
        <v>0</v>
      </c>
      <c r="T1907" s="5">
        <v>0</v>
      </c>
      <c r="U1907" s="5">
        <v>0</v>
      </c>
      <c r="V1907" s="5">
        <f>VLOOKUP(A1907,Planilha1!B:E,4,0)</f>
        <v>-1.9171310037550682</v>
      </c>
    </row>
    <row r="1908" spans="1:22" x14ac:dyDescent="0.3">
      <c r="A1908" t="str">
        <f t="shared" si="58"/>
        <v>CREME UHTLACTALIS</v>
      </c>
      <c r="B1908" t="str">
        <f t="shared" si="59"/>
        <v>5339146CREME UHTLACTALIS</v>
      </c>
      <c r="C1908" s="5" t="s">
        <v>226</v>
      </c>
      <c r="D1908" s="5" t="s">
        <v>227</v>
      </c>
      <c r="E1908" s="5" t="s">
        <v>1722</v>
      </c>
      <c r="F1908" s="5">
        <v>5339146</v>
      </c>
      <c r="G1908" s="5" t="s">
        <v>1125</v>
      </c>
      <c r="H1908" s="5" t="s">
        <v>30</v>
      </c>
      <c r="I1908" s="5" t="s">
        <v>22</v>
      </c>
      <c r="J1908" s="5" t="s">
        <v>34</v>
      </c>
      <c r="K1908" s="6">
        <v>0</v>
      </c>
      <c r="L1908" s="7">
        <v>10.8</v>
      </c>
      <c r="M1908" s="8">
        <v>3.6</v>
      </c>
      <c r="N1908" s="8">
        <v>0</v>
      </c>
      <c r="O1908" s="8">
        <v>0</v>
      </c>
      <c r="P1908" s="8">
        <v>0</v>
      </c>
      <c r="Q1908" s="8">
        <v>0</v>
      </c>
      <c r="R1908" s="8">
        <v>0</v>
      </c>
      <c r="S1908" s="8">
        <v>0</v>
      </c>
      <c r="T1908" s="5">
        <v>0</v>
      </c>
      <c r="U1908" s="5">
        <v>0</v>
      </c>
      <c r="V1908" s="5">
        <f>VLOOKUP(A1908,Planilha1!B:E,4,0)</f>
        <v>-1.4094522863012933</v>
      </c>
    </row>
    <row r="1909" spans="1:22" x14ac:dyDescent="0.3">
      <c r="A1909" t="str">
        <f t="shared" si="58"/>
        <v>LEITE CONDENSADOLACTALIS</v>
      </c>
      <c r="B1909" t="str">
        <f t="shared" si="59"/>
        <v>5339146LEITE CONDENSADOLACTALIS</v>
      </c>
      <c r="C1909" s="5" t="s">
        <v>226</v>
      </c>
      <c r="D1909" s="5" t="s">
        <v>227</v>
      </c>
      <c r="E1909" s="5" t="s">
        <v>1722</v>
      </c>
      <c r="F1909" s="5">
        <v>5339146</v>
      </c>
      <c r="G1909" s="5" t="s">
        <v>1125</v>
      </c>
      <c r="H1909" s="5" t="s">
        <v>30</v>
      </c>
      <c r="I1909" s="5" t="s">
        <v>22</v>
      </c>
      <c r="J1909" s="5" t="s">
        <v>33</v>
      </c>
      <c r="K1909" s="6">
        <v>0</v>
      </c>
      <c r="L1909" s="7">
        <v>18.96</v>
      </c>
      <c r="M1909" s="8">
        <v>9.48</v>
      </c>
      <c r="N1909" s="8">
        <v>6.32</v>
      </c>
      <c r="O1909" s="8">
        <v>18.96</v>
      </c>
      <c r="P1909" s="8">
        <v>0</v>
      </c>
      <c r="Q1909" s="8">
        <v>0</v>
      </c>
      <c r="R1909" s="8">
        <v>0</v>
      </c>
      <c r="S1909" s="8">
        <v>0</v>
      </c>
      <c r="T1909" s="5">
        <v>0</v>
      </c>
      <c r="U1909" s="5">
        <v>0</v>
      </c>
      <c r="V1909" s="5">
        <f>VLOOKUP(A1909,Planilha1!B:E,4,0)</f>
        <v>1.8665071822970765</v>
      </c>
    </row>
    <row r="1910" spans="1:22" x14ac:dyDescent="0.3">
      <c r="A1910" t="str">
        <f t="shared" si="58"/>
        <v>CREME 35%LACTALIS</v>
      </c>
      <c r="B1910" t="str">
        <f t="shared" si="59"/>
        <v>5339889CREME 35%LACTALIS</v>
      </c>
      <c r="C1910" s="5" t="s">
        <v>226</v>
      </c>
      <c r="D1910" s="5" t="s">
        <v>227</v>
      </c>
      <c r="E1910" s="5" t="s">
        <v>1722</v>
      </c>
      <c r="F1910" s="5">
        <v>5339889</v>
      </c>
      <c r="G1910" s="5" t="s">
        <v>1126</v>
      </c>
      <c r="H1910" s="5" t="s">
        <v>30</v>
      </c>
      <c r="I1910" s="5" t="s">
        <v>22</v>
      </c>
      <c r="J1910" s="5" t="s">
        <v>89</v>
      </c>
      <c r="K1910" s="6">
        <v>0</v>
      </c>
      <c r="L1910" s="7">
        <v>160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  <c r="R1910" s="8">
        <v>0</v>
      </c>
      <c r="S1910" s="8">
        <v>0</v>
      </c>
      <c r="T1910" s="5">
        <v>0</v>
      </c>
      <c r="U1910" s="5">
        <v>0</v>
      </c>
      <c r="V1910" s="5">
        <f>VLOOKUP(A1910,Planilha1!B:E,4,0)</f>
        <v>6.4420264254159507</v>
      </c>
    </row>
    <row r="1911" spans="1:22" x14ac:dyDescent="0.3">
      <c r="A1911" t="str">
        <f t="shared" si="58"/>
        <v>LEITE UHTLACTALIS</v>
      </c>
      <c r="B1911" t="str">
        <f t="shared" si="59"/>
        <v>5341678LEITE UHTLACTALIS</v>
      </c>
      <c r="C1911" s="5" t="s">
        <v>226</v>
      </c>
      <c r="D1911" s="5" t="s">
        <v>227</v>
      </c>
      <c r="E1911" s="5" t="s">
        <v>1722</v>
      </c>
      <c r="F1911" s="5">
        <v>5341678</v>
      </c>
      <c r="G1911" s="5" t="s">
        <v>484</v>
      </c>
      <c r="H1911" s="5" t="s">
        <v>30</v>
      </c>
      <c r="I1911" s="5" t="s">
        <v>22</v>
      </c>
      <c r="J1911" s="5" t="s">
        <v>156</v>
      </c>
      <c r="K1911" s="6">
        <v>0</v>
      </c>
      <c r="L1911" s="7">
        <v>12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  <c r="R1911" s="8">
        <v>0</v>
      </c>
      <c r="S1911" s="8">
        <v>0</v>
      </c>
      <c r="T1911" s="5">
        <v>0</v>
      </c>
      <c r="U1911" s="5">
        <v>0</v>
      </c>
      <c r="V1911" s="5">
        <f>VLOOKUP(A1911,Planilha1!B:E,4,0)</f>
        <v>0.37177548115779385</v>
      </c>
    </row>
    <row r="1912" spans="1:22" x14ac:dyDescent="0.3">
      <c r="A1912" t="str">
        <f t="shared" si="58"/>
        <v>SPREADSLACTALIS</v>
      </c>
      <c r="B1912" t="str">
        <f t="shared" si="59"/>
        <v>5343099SPREADSLACTALIS</v>
      </c>
      <c r="C1912" s="5" t="s">
        <v>226</v>
      </c>
      <c r="D1912" s="5" t="s">
        <v>227</v>
      </c>
      <c r="E1912" s="5" t="s">
        <v>1722</v>
      </c>
      <c r="F1912" s="5">
        <v>5343099</v>
      </c>
      <c r="G1912" s="5" t="s">
        <v>486</v>
      </c>
      <c r="H1912" s="5" t="s">
        <v>30</v>
      </c>
      <c r="I1912" s="5" t="s">
        <v>22</v>
      </c>
      <c r="J1912" s="5" t="s">
        <v>945</v>
      </c>
      <c r="K1912" s="6">
        <v>0</v>
      </c>
      <c r="L1912" s="7">
        <v>4</v>
      </c>
      <c r="M1912" s="8">
        <v>0</v>
      </c>
      <c r="N1912" s="8">
        <v>0</v>
      </c>
      <c r="O1912" s="8">
        <v>0</v>
      </c>
      <c r="P1912" s="8">
        <v>0</v>
      </c>
      <c r="Q1912" s="8">
        <v>0</v>
      </c>
      <c r="R1912" s="8">
        <v>0</v>
      </c>
      <c r="S1912" s="8">
        <v>0</v>
      </c>
      <c r="T1912" s="5">
        <v>0</v>
      </c>
      <c r="U1912" s="5">
        <v>0</v>
      </c>
      <c r="V1912" s="5">
        <f>VLOOKUP(A1912,Planilha1!B:E,4,0)</f>
        <v>13.599044988219518</v>
      </c>
    </row>
    <row r="1913" spans="1:22" x14ac:dyDescent="0.3">
      <c r="A1913" t="str">
        <f t="shared" si="58"/>
        <v>LEITE UHTLACTALIS</v>
      </c>
      <c r="B1913" t="str">
        <f t="shared" si="59"/>
        <v>5344450LEITE UHTLACTALIS</v>
      </c>
      <c r="C1913" s="5" t="s">
        <v>226</v>
      </c>
      <c r="D1913" s="5" t="s">
        <v>227</v>
      </c>
      <c r="E1913" s="5" t="s">
        <v>1722</v>
      </c>
      <c r="F1913" s="5">
        <v>5344450</v>
      </c>
      <c r="G1913" s="5" t="s">
        <v>1127</v>
      </c>
      <c r="H1913" s="5" t="s">
        <v>30</v>
      </c>
      <c r="I1913" s="5" t="s">
        <v>22</v>
      </c>
      <c r="J1913" s="5" t="s">
        <v>156</v>
      </c>
      <c r="K1913" s="6">
        <v>0</v>
      </c>
      <c r="L1913" s="7">
        <v>0</v>
      </c>
      <c r="M1913" s="8">
        <v>0</v>
      </c>
      <c r="N1913" s="8">
        <v>0</v>
      </c>
      <c r="O1913" s="8">
        <v>0</v>
      </c>
      <c r="P1913" s="8">
        <v>0</v>
      </c>
      <c r="Q1913" s="8">
        <v>0</v>
      </c>
      <c r="R1913" s="8">
        <v>0</v>
      </c>
      <c r="S1913" s="8">
        <v>0</v>
      </c>
      <c r="T1913" s="5">
        <v>0</v>
      </c>
      <c r="U1913" s="5">
        <v>0</v>
      </c>
      <c r="V1913" s="5">
        <f>VLOOKUP(A1913,Planilha1!B:E,4,0)</f>
        <v>0.37177548115779385</v>
      </c>
    </row>
    <row r="1914" spans="1:22" x14ac:dyDescent="0.3">
      <c r="A1914" t="str">
        <f t="shared" si="58"/>
        <v>LEITE UHTLACTALIS</v>
      </c>
      <c r="B1914" t="str">
        <f t="shared" si="59"/>
        <v>5345908LEITE UHTLACTALIS</v>
      </c>
      <c r="C1914" s="5" t="s">
        <v>226</v>
      </c>
      <c r="D1914" s="5" t="s">
        <v>227</v>
      </c>
      <c r="E1914" s="5" t="s">
        <v>1722</v>
      </c>
      <c r="F1914" s="5">
        <v>5345908</v>
      </c>
      <c r="G1914" s="5" t="s">
        <v>1031</v>
      </c>
      <c r="H1914" s="5" t="s">
        <v>30</v>
      </c>
      <c r="I1914" s="5" t="s">
        <v>22</v>
      </c>
      <c r="J1914" s="5" t="s">
        <v>156</v>
      </c>
      <c r="K1914" s="6">
        <v>0</v>
      </c>
      <c r="L1914" s="7">
        <v>0</v>
      </c>
      <c r="M1914" s="8">
        <v>0</v>
      </c>
      <c r="N1914" s="8">
        <v>0</v>
      </c>
      <c r="O1914" s="8">
        <v>0</v>
      </c>
      <c r="P1914" s="8">
        <v>0</v>
      </c>
      <c r="Q1914" s="8">
        <v>0</v>
      </c>
      <c r="R1914" s="8">
        <v>0</v>
      </c>
      <c r="S1914" s="8">
        <v>0</v>
      </c>
      <c r="T1914" s="5">
        <v>0</v>
      </c>
      <c r="U1914" s="5">
        <v>0</v>
      </c>
      <c r="V1914" s="5">
        <f>VLOOKUP(A1914,Planilha1!B:E,4,0)</f>
        <v>0.37177548115779385</v>
      </c>
    </row>
    <row r="1915" spans="1:22" x14ac:dyDescent="0.3">
      <c r="A1915" t="str">
        <f t="shared" si="58"/>
        <v>DOCE DE LEITELACTALIS</v>
      </c>
      <c r="B1915" t="str">
        <f t="shared" si="59"/>
        <v>5346301DOCE DE LEITELACTALIS</v>
      </c>
      <c r="C1915" s="5" t="s">
        <v>226</v>
      </c>
      <c r="D1915" s="5" t="s">
        <v>227</v>
      </c>
      <c r="E1915" s="5" t="s">
        <v>1722</v>
      </c>
      <c r="F1915" s="5">
        <v>5346301</v>
      </c>
      <c r="G1915" s="5" t="s">
        <v>1128</v>
      </c>
      <c r="H1915" s="5" t="s">
        <v>30</v>
      </c>
      <c r="I1915" s="5" t="s">
        <v>22</v>
      </c>
      <c r="J1915" s="5" t="s">
        <v>46</v>
      </c>
      <c r="K1915" s="6">
        <v>0</v>
      </c>
      <c r="L1915" s="7">
        <v>45</v>
      </c>
      <c r="M1915" s="8">
        <v>20.25</v>
      </c>
      <c r="N1915" s="8">
        <v>40.5</v>
      </c>
      <c r="O1915" s="8">
        <v>0</v>
      </c>
      <c r="P1915" s="8">
        <v>0</v>
      </c>
      <c r="Q1915" s="8">
        <v>0</v>
      </c>
      <c r="R1915" s="8">
        <v>0</v>
      </c>
      <c r="S1915" s="8">
        <v>27</v>
      </c>
      <c r="T1915" s="5">
        <v>27</v>
      </c>
      <c r="U1915" s="5">
        <v>27</v>
      </c>
      <c r="V1915" s="5">
        <f>VLOOKUP(A1915,Planilha1!B:E,4,0)</f>
        <v>5.6473514327668077</v>
      </c>
    </row>
    <row r="1916" spans="1:22" x14ac:dyDescent="0.3">
      <c r="A1916" t="str">
        <f t="shared" si="58"/>
        <v>MERC + AROMLACTALIS</v>
      </c>
      <c r="B1916" t="str">
        <f t="shared" si="59"/>
        <v>5346518MERC + AROMLACTALIS</v>
      </c>
      <c r="C1916" s="5" t="s">
        <v>226</v>
      </c>
      <c r="D1916" s="5" t="s">
        <v>227</v>
      </c>
      <c r="E1916" s="5" t="s">
        <v>1722</v>
      </c>
      <c r="F1916" s="5">
        <v>5346518</v>
      </c>
      <c r="G1916" s="5" t="s">
        <v>1129</v>
      </c>
      <c r="H1916" s="5" t="s">
        <v>30</v>
      </c>
      <c r="I1916" s="5" t="s">
        <v>22</v>
      </c>
      <c r="J1916" s="5" t="s">
        <v>230</v>
      </c>
      <c r="K1916" s="6">
        <v>0</v>
      </c>
      <c r="L1916" s="7">
        <v>3</v>
      </c>
      <c r="M1916" s="8">
        <v>0</v>
      </c>
      <c r="N1916" s="8">
        <v>0</v>
      </c>
      <c r="O1916" s="8">
        <v>0</v>
      </c>
      <c r="P1916" s="8">
        <v>0</v>
      </c>
      <c r="Q1916" s="8">
        <v>0</v>
      </c>
      <c r="R1916" s="8">
        <v>0</v>
      </c>
      <c r="S1916" s="8">
        <v>0</v>
      </c>
      <c r="T1916" s="5">
        <v>0</v>
      </c>
      <c r="U1916" s="5">
        <v>0</v>
      </c>
      <c r="V1916" s="5">
        <f>VLOOKUP(A1916,Planilha1!B:E,4,0)</f>
        <v>0.86907188046232187</v>
      </c>
    </row>
    <row r="1917" spans="1:22" x14ac:dyDescent="0.3">
      <c r="A1917" t="str">
        <f t="shared" si="58"/>
        <v>QUEIJOSLACTALIS</v>
      </c>
      <c r="B1917" t="str">
        <f t="shared" si="59"/>
        <v>5346518QUEIJOSLACTALIS</v>
      </c>
      <c r="C1917" s="5" t="s">
        <v>226</v>
      </c>
      <c r="D1917" s="5" t="s">
        <v>227</v>
      </c>
      <c r="E1917" s="5" t="s">
        <v>1722</v>
      </c>
      <c r="F1917" s="5">
        <v>5346518</v>
      </c>
      <c r="G1917" s="5" t="s">
        <v>1129</v>
      </c>
      <c r="H1917" s="5" t="s">
        <v>30</v>
      </c>
      <c r="I1917" s="5" t="s">
        <v>22</v>
      </c>
      <c r="J1917" s="5" t="s">
        <v>63</v>
      </c>
      <c r="K1917" s="6">
        <v>0</v>
      </c>
      <c r="L1917" s="7">
        <v>6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  <c r="S1917" s="8">
        <v>0</v>
      </c>
      <c r="T1917" s="5">
        <v>0</v>
      </c>
      <c r="U1917" s="5">
        <v>0</v>
      </c>
      <c r="V1917" s="5">
        <f>VLOOKUP(A1917,Planilha1!B:E,4,0)</f>
        <v>-1.9171310037550682</v>
      </c>
    </row>
    <row r="1918" spans="1:22" x14ac:dyDescent="0.3">
      <c r="A1918" t="str">
        <f t="shared" si="58"/>
        <v>LEITE UHTLACTALIS</v>
      </c>
      <c r="B1918" t="str">
        <f t="shared" si="59"/>
        <v>5347317LEITE UHTLACTALIS</v>
      </c>
      <c r="C1918" s="5" t="s">
        <v>226</v>
      </c>
      <c r="D1918" s="5" t="s">
        <v>227</v>
      </c>
      <c r="E1918" s="5" t="s">
        <v>1722</v>
      </c>
      <c r="F1918" s="5">
        <v>5347317</v>
      </c>
      <c r="G1918" s="5" t="s">
        <v>1130</v>
      </c>
      <c r="H1918" s="5" t="s">
        <v>30</v>
      </c>
      <c r="I1918" s="5" t="s">
        <v>22</v>
      </c>
      <c r="J1918" s="5" t="s">
        <v>156</v>
      </c>
      <c r="K1918" s="6">
        <v>0</v>
      </c>
      <c r="L1918" s="7">
        <v>48</v>
      </c>
      <c r="M1918" s="8">
        <v>8</v>
      </c>
      <c r="N1918" s="8">
        <v>16</v>
      </c>
      <c r="O1918" s="8">
        <v>0</v>
      </c>
      <c r="P1918" s="8">
        <v>0</v>
      </c>
      <c r="Q1918" s="8">
        <v>0</v>
      </c>
      <c r="R1918" s="8">
        <v>0</v>
      </c>
      <c r="S1918" s="8">
        <v>0</v>
      </c>
      <c r="T1918" s="5">
        <v>0</v>
      </c>
      <c r="U1918" s="5">
        <v>0</v>
      </c>
      <c r="V1918" s="5">
        <f>VLOOKUP(A1918,Planilha1!B:E,4,0)</f>
        <v>0.37177548115779385</v>
      </c>
    </row>
    <row r="1919" spans="1:22" x14ac:dyDescent="0.3">
      <c r="A1919" t="str">
        <f t="shared" si="58"/>
        <v>IOGURTESLACTALIS</v>
      </c>
      <c r="B1919" t="str">
        <f t="shared" si="59"/>
        <v>5347472IOGURTESLACTALIS</v>
      </c>
      <c r="C1919" s="5" t="s">
        <v>226</v>
      </c>
      <c r="D1919" s="5" t="s">
        <v>227</v>
      </c>
      <c r="E1919" s="5" t="s">
        <v>1722</v>
      </c>
      <c r="F1919" s="5">
        <v>5347472</v>
      </c>
      <c r="G1919" s="5" t="s">
        <v>1131</v>
      </c>
      <c r="H1919" s="5" t="s">
        <v>30</v>
      </c>
      <c r="I1919" s="5" t="s">
        <v>22</v>
      </c>
      <c r="J1919" s="5" t="s">
        <v>153</v>
      </c>
      <c r="K1919" s="6">
        <v>0</v>
      </c>
      <c r="L1919" s="7">
        <v>15.32</v>
      </c>
      <c r="M1919" s="8">
        <v>2.5533333333333332</v>
      </c>
      <c r="N1919" s="8">
        <v>5.1066666666666665</v>
      </c>
      <c r="O1919" s="8">
        <v>0</v>
      </c>
      <c r="P1919" s="8">
        <v>0</v>
      </c>
      <c r="Q1919" s="8">
        <v>0</v>
      </c>
      <c r="R1919" s="8">
        <v>0</v>
      </c>
      <c r="S1919" s="8">
        <v>0</v>
      </c>
      <c r="T1919" s="5">
        <v>0</v>
      </c>
      <c r="U1919" s="5">
        <v>0</v>
      </c>
      <c r="V1919" s="5">
        <f>VLOOKUP(A1919,Planilha1!B:E,4,0)</f>
        <v>3.0503167986984403</v>
      </c>
    </row>
    <row r="1920" spans="1:22" x14ac:dyDescent="0.3">
      <c r="A1920" t="str">
        <f t="shared" si="58"/>
        <v>MERC + AROMLACTALIS</v>
      </c>
      <c r="B1920" t="str">
        <f t="shared" si="59"/>
        <v>5347472MERC + AROMLACTALIS</v>
      </c>
      <c r="C1920" s="5" t="s">
        <v>226</v>
      </c>
      <c r="D1920" s="5" t="s">
        <v>227</v>
      </c>
      <c r="E1920" s="5" t="s">
        <v>1722</v>
      </c>
      <c r="F1920" s="5">
        <v>5347472</v>
      </c>
      <c r="G1920" s="5" t="s">
        <v>1131</v>
      </c>
      <c r="H1920" s="5" t="s">
        <v>30</v>
      </c>
      <c r="I1920" s="5" t="s">
        <v>22</v>
      </c>
      <c r="J1920" s="5" t="s">
        <v>230</v>
      </c>
      <c r="K1920" s="6">
        <v>0</v>
      </c>
      <c r="L1920" s="7">
        <v>5.4</v>
      </c>
      <c r="M1920" s="8">
        <v>0</v>
      </c>
      <c r="N1920" s="8">
        <v>0</v>
      </c>
      <c r="O1920" s="8">
        <v>0</v>
      </c>
      <c r="P1920" s="8">
        <v>0</v>
      </c>
      <c r="Q1920" s="8">
        <v>0</v>
      </c>
      <c r="R1920" s="8">
        <v>0</v>
      </c>
      <c r="S1920" s="8">
        <v>0</v>
      </c>
      <c r="T1920" s="5">
        <v>0</v>
      </c>
      <c r="U1920" s="5">
        <v>0</v>
      </c>
      <c r="V1920" s="5">
        <f>VLOOKUP(A1920,Planilha1!B:E,4,0)</f>
        <v>0.86907188046232187</v>
      </c>
    </row>
    <row r="1921" spans="1:22" x14ac:dyDescent="0.3">
      <c r="A1921" t="str">
        <f t="shared" si="58"/>
        <v>LEITE UHTLACTALIS</v>
      </c>
      <c r="B1921" t="str">
        <f t="shared" si="59"/>
        <v>5347517LEITE UHTLACTALIS</v>
      </c>
      <c r="C1921" s="5" t="s">
        <v>226</v>
      </c>
      <c r="D1921" s="5" t="s">
        <v>227</v>
      </c>
      <c r="E1921" s="5" t="s">
        <v>1722</v>
      </c>
      <c r="F1921" s="5">
        <v>5347517</v>
      </c>
      <c r="G1921" s="5" t="s">
        <v>1132</v>
      </c>
      <c r="H1921" s="5" t="s">
        <v>30</v>
      </c>
      <c r="I1921" s="5" t="s">
        <v>22</v>
      </c>
      <c r="J1921" s="5" t="s">
        <v>156</v>
      </c>
      <c r="K1921" s="6">
        <v>0</v>
      </c>
      <c r="L1921" s="7">
        <v>84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0</v>
      </c>
      <c r="S1921" s="8">
        <v>0</v>
      </c>
      <c r="T1921" s="5">
        <v>0</v>
      </c>
      <c r="U1921" s="5">
        <v>0</v>
      </c>
      <c r="V1921" s="5">
        <f>VLOOKUP(A1921,Planilha1!B:E,4,0)</f>
        <v>0.37177548115779385</v>
      </c>
    </row>
    <row r="1922" spans="1:22" x14ac:dyDescent="0.3">
      <c r="A1922" t="str">
        <f t="shared" ref="A1922:A1985" si="60">J1922&amp;I1922</f>
        <v>BLISTERLACTALIS</v>
      </c>
      <c r="B1922" t="str">
        <f t="shared" si="59"/>
        <v>5002471BLISTERLACTALIS</v>
      </c>
      <c r="C1922" s="5" t="s">
        <v>226</v>
      </c>
      <c r="D1922" s="5" t="s">
        <v>227</v>
      </c>
      <c r="E1922" s="5" t="s">
        <v>1722</v>
      </c>
      <c r="F1922" s="5">
        <v>5002471</v>
      </c>
      <c r="G1922" s="5" t="s">
        <v>1133</v>
      </c>
      <c r="H1922" s="5" t="s">
        <v>30</v>
      </c>
      <c r="I1922" s="5" t="s">
        <v>22</v>
      </c>
      <c r="J1922" s="5" t="s">
        <v>199</v>
      </c>
      <c r="K1922" s="6">
        <v>0</v>
      </c>
      <c r="L1922" s="7">
        <v>11.52</v>
      </c>
      <c r="M1922" s="8">
        <v>6.28</v>
      </c>
      <c r="N1922" s="8">
        <v>10</v>
      </c>
      <c r="O1922" s="8">
        <v>0</v>
      </c>
      <c r="P1922" s="8">
        <v>0</v>
      </c>
      <c r="Q1922" s="8">
        <v>0</v>
      </c>
      <c r="R1922" s="8">
        <v>0</v>
      </c>
      <c r="S1922" s="8">
        <v>0</v>
      </c>
      <c r="T1922" s="5">
        <v>0</v>
      </c>
      <c r="U1922" s="5">
        <v>0</v>
      </c>
      <c r="V1922" s="5">
        <f>VLOOKUP(A1922,Planilha1!B:E,4,0)</f>
        <v>13.783871706210666</v>
      </c>
    </row>
    <row r="1923" spans="1:22" x14ac:dyDescent="0.3">
      <c r="A1923" t="str">
        <f t="shared" si="60"/>
        <v>LEITE UHTLACTALIS</v>
      </c>
      <c r="B1923" t="str">
        <f t="shared" ref="B1923:B1986" si="61">F1923&amp;J1923&amp;I1923</f>
        <v>5008588LEITE UHTLACTALIS</v>
      </c>
      <c r="C1923" s="5" t="s">
        <v>226</v>
      </c>
      <c r="D1923" s="5" t="s">
        <v>227</v>
      </c>
      <c r="E1923" s="5" t="s">
        <v>1722</v>
      </c>
      <c r="F1923" s="5">
        <v>5008588</v>
      </c>
      <c r="G1923" s="5" t="s">
        <v>1134</v>
      </c>
      <c r="H1923" s="5" t="s">
        <v>30</v>
      </c>
      <c r="I1923" s="5" t="s">
        <v>22</v>
      </c>
      <c r="J1923" s="5" t="s">
        <v>156</v>
      </c>
      <c r="K1923" s="6">
        <v>0</v>
      </c>
      <c r="L1923" s="7">
        <v>0</v>
      </c>
      <c r="M1923" s="8">
        <v>0</v>
      </c>
      <c r="N1923" s="8">
        <v>0</v>
      </c>
      <c r="O1923" s="8">
        <v>0</v>
      </c>
      <c r="P1923" s="8">
        <v>0</v>
      </c>
      <c r="Q1923" s="8">
        <v>480</v>
      </c>
      <c r="R1923" s="8">
        <v>0</v>
      </c>
      <c r="S1923" s="8">
        <v>0</v>
      </c>
      <c r="T1923" s="5">
        <v>0</v>
      </c>
      <c r="U1923" s="5">
        <v>0</v>
      </c>
      <c r="V1923" s="5">
        <f>VLOOKUP(A1923,Planilha1!B:E,4,0)</f>
        <v>0.37177548115779385</v>
      </c>
    </row>
    <row r="1924" spans="1:22" x14ac:dyDescent="0.3">
      <c r="A1924" t="str">
        <f t="shared" si="60"/>
        <v>LEITE UHTLACTALIS</v>
      </c>
      <c r="B1924" t="str">
        <f t="shared" si="61"/>
        <v>5109539LEITE UHTLACTALIS</v>
      </c>
      <c r="C1924" s="5" t="s">
        <v>226</v>
      </c>
      <c r="D1924" s="5" t="s">
        <v>227</v>
      </c>
      <c r="E1924" s="5" t="s">
        <v>1722</v>
      </c>
      <c r="F1924" s="5">
        <v>5109539</v>
      </c>
      <c r="G1924" s="5" t="s">
        <v>1135</v>
      </c>
      <c r="H1924" s="5" t="s">
        <v>30</v>
      </c>
      <c r="I1924" s="5" t="s">
        <v>22</v>
      </c>
      <c r="J1924" s="5" t="s">
        <v>156</v>
      </c>
      <c r="K1924" s="6">
        <v>0</v>
      </c>
      <c r="L1924" s="7">
        <v>0</v>
      </c>
      <c r="M1924" s="8">
        <v>0</v>
      </c>
      <c r="N1924" s="8">
        <v>0</v>
      </c>
      <c r="O1924" s="8">
        <v>0</v>
      </c>
      <c r="P1924" s="8">
        <v>0</v>
      </c>
      <c r="Q1924" s="8">
        <v>0</v>
      </c>
      <c r="R1924" s="8">
        <v>0</v>
      </c>
      <c r="S1924" s="8">
        <v>0</v>
      </c>
      <c r="T1924" s="5">
        <v>0</v>
      </c>
      <c r="U1924" s="5">
        <v>0</v>
      </c>
      <c r="V1924" s="5">
        <f>VLOOKUP(A1924,Planilha1!B:E,4,0)</f>
        <v>0.37177548115779385</v>
      </c>
    </row>
    <row r="1925" spans="1:22" x14ac:dyDescent="0.3">
      <c r="A1925" t="str">
        <f t="shared" si="60"/>
        <v>DOCE DE LEITELACTALIS</v>
      </c>
      <c r="B1925" t="str">
        <f t="shared" si="61"/>
        <v>5208858DOCE DE LEITELACTALIS</v>
      </c>
      <c r="C1925" s="5" t="s">
        <v>226</v>
      </c>
      <c r="D1925" s="5" t="s">
        <v>227</v>
      </c>
      <c r="E1925" s="5" t="s">
        <v>1722</v>
      </c>
      <c r="F1925" s="5">
        <v>5208858</v>
      </c>
      <c r="G1925" s="5" t="s">
        <v>1136</v>
      </c>
      <c r="H1925" s="5" t="s">
        <v>30</v>
      </c>
      <c r="I1925" s="5" t="s">
        <v>22</v>
      </c>
      <c r="J1925" s="5" t="s">
        <v>46</v>
      </c>
      <c r="K1925" s="6">
        <v>0</v>
      </c>
      <c r="L1925" s="7">
        <v>36</v>
      </c>
      <c r="M1925" s="8">
        <v>12</v>
      </c>
      <c r="N1925" s="8">
        <v>18</v>
      </c>
      <c r="O1925" s="8">
        <v>0</v>
      </c>
      <c r="P1925" s="8">
        <v>0</v>
      </c>
      <c r="Q1925" s="8">
        <v>0</v>
      </c>
      <c r="R1925" s="8">
        <v>0</v>
      </c>
      <c r="S1925" s="8">
        <v>0</v>
      </c>
      <c r="T1925" s="5">
        <v>0</v>
      </c>
      <c r="U1925" s="5">
        <v>0</v>
      </c>
      <c r="V1925" s="5">
        <f>VLOOKUP(A1925,Planilha1!B:E,4,0)</f>
        <v>5.6473514327668077</v>
      </c>
    </row>
    <row r="1926" spans="1:22" x14ac:dyDescent="0.3">
      <c r="A1926" t="str">
        <f t="shared" si="60"/>
        <v>CREME UHTLACTALIS</v>
      </c>
      <c r="B1926" t="str">
        <f t="shared" si="61"/>
        <v>5210748CREME UHTLACTALIS</v>
      </c>
      <c r="C1926" s="5" t="s">
        <v>226</v>
      </c>
      <c r="D1926" s="5" t="s">
        <v>227</v>
      </c>
      <c r="E1926" s="5" t="s">
        <v>1722</v>
      </c>
      <c r="F1926" s="5">
        <v>5210748</v>
      </c>
      <c r="G1926" s="5" t="s">
        <v>506</v>
      </c>
      <c r="H1926" s="5" t="s">
        <v>30</v>
      </c>
      <c r="I1926" s="5" t="s">
        <v>22</v>
      </c>
      <c r="J1926" s="5" t="s">
        <v>34</v>
      </c>
      <c r="K1926" s="6">
        <v>0</v>
      </c>
      <c r="L1926" s="7">
        <v>16.2</v>
      </c>
      <c r="M1926" s="8">
        <v>0</v>
      </c>
      <c r="N1926" s="8">
        <v>0</v>
      </c>
      <c r="O1926" s="8">
        <v>0</v>
      </c>
      <c r="P1926" s="8">
        <v>0</v>
      </c>
      <c r="Q1926" s="8">
        <v>0</v>
      </c>
      <c r="R1926" s="8">
        <v>0</v>
      </c>
      <c r="S1926" s="8">
        <v>0</v>
      </c>
      <c r="T1926" s="5">
        <v>0</v>
      </c>
      <c r="U1926" s="5">
        <v>0</v>
      </c>
      <c r="V1926" s="5">
        <f>VLOOKUP(A1926,Planilha1!B:E,4,0)</f>
        <v>-1.4094522863012933</v>
      </c>
    </row>
    <row r="1927" spans="1:22" x14ac:dyDescent="0.3">
      <c r="A1927" t="str">
        <f t="shared" si="60"/>
        <v>IOGURTESLACTALIS</v>
      </c>
      <c r="B1927" t="str">
        <f t="shared" si="61"/>
        <v>5234382IOGURTESLACTALIS</v>
      </c>
      <c r="C1927" s="5" t="s">
        <v>226</v>
      </c>
      <c r="D1927" s="5" t="s">
        <v>227</v>
      </c>
      <c r="E1927" s="5" t="s">
        <v>1722</v>
      </c>
      <c r="F1927" s="5">
        <v>5234382</v>
      </c>
      <c r="G1927" s="5" t="s">
        <v>1137</v>
      </c>
      <c r="H1927" s="5" t="s">
        <v>30</v>
      </c>
      <c r="I1927" s="5" t="s">
        <v>22</v>
      </c>
      <c r="J1927" s="5" t="s">
        <v>153</v>
      </c>
      <c r="K1927" s="6">
        <v>0</v>
      </c>
      <c r="L1927" s="7">
        <v>4.08</v>
      </c>
      <c r="M1927" s="8">
        <v>0</v>
      </c>
      <c r="N1927" s="8">
        <v>0</v>
      </c>
      <c r="O1927" s="8">
        <v>0</v>
      </c>
      <c r="P1927" s="8">
        <v>0</v>
      </c>
      <c r="Q1927" s="8">
        <v>0</v>
      </c>
      <c r="R1927" s="8">
        <v>0</v>
      </c>
      <c r="S1927" s="8">
        <v>0</v>
      </c>
      <c r="T1927" s="5">
        <v>0</v>
      </c>
      <c r="U1927" s="5">
        <v>0</v>
      </c>
      <c r="V1927" s="5">
        <f>VLOOKUP(A1927,Planilha1!B:E,4,0)</f>
        <v>3.0503167986984403</v>
      </c>
    </row>
    <row r="1928" spans="1:22" x14ac:dyDescent="0.3">
      <c r="A1928" t="str">
        <f t="shared" si="60"/>
        <v>LEITE UHTLACTALIS</v>
      </c>
      <c r="B1928" t="str">
        <f t="shared" si="61"/>
        <v>5234382LEITE UHTLACTALIS</v>
      </c>
      <c r="C1928" s="5" t="s">
        <v>226</v>
      </c>
      <c r="D1928" s="5" t="s">
        <v>227</v>
      </c>
      <c r="E1928" s="5" t="s">
        <v>1722</v>
      </c>
      <c r="F1928" s="5">
        <v>5234382</v>
      </c>
      <c r="G1928" s="5" t="s">
        <v>1137</v>
      </c>
      <c r="H1928" s="5" t="s">
        <v>30</v>
      </c>
      <c r="I1928" s="5" t="s">
        <v>22</v>
      </c>
      <c r="J1928" s="5" t="s">
        <v>156</v>
      </c>
      <c r="K1928" s="6">
        <v>0</v>
      </c>
      <c r="L1928" s="7">
        <v>60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0</v>
      </c>
      <c r="S1928" s="8">
        <v>0</v>
      </c>
      <c r="T1928" s="5">
        <v>0</v>
      </c>
      <c r="U1928" s="5">
        <v>0</v>
      </c>
      <c r="V1928" s="5">
        <f>VLOOKUP(A1928,Planilha1!B:E,4,0)</f>
        <v>0.37177548115779385</v>
      </c>
    </row>
    <row r="1929" spans="1:22" x14ac:dyDescent="0.3">
      <c r="A1929" t="str">
        <f t="shared" si="60"/>
        <v>SPREADSLACTALIS</v>
      </c>
      <c r="B1929" t="str">
        <f t="shared" si="61"/>
        <v>5234382SPREADSLACTALIS</v>
      </c>
      <c r="C1929" s="5" t="s">
        <v>226</v>
      </c>
      <c r="D1929" s="5" t="s">
        <v>227</v>
      </c>
      <c r="E1929" s="5" t="s">
        <v>1722</v>
      </c>
      <c r="F1929" s="5">
        <v>5234382</v>
      </c>
      <c r="G1929" s="5" t="s">
        <v>1137</v>
      </c>
      <c r="H1929" s="5" t="s">
        <v>30</v>
      </c>
      <c r="I1929" s="5" t="s">
        <v>22</v>
      </c>
      <c r="J1929" s="5" t="s">
        <v>945</v>
      </c>
      <c r="K1929" s="6">
        <v>0</v>
      </c>
      <c r="L1929" s="7">
        <v>8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  <c r="S1929" s="8">
        <v>0</v>
      </c>
      <c r="T1929" s="5">
        <v>0</v>
      </c>
      <c r="U1929" s="5">
        <v>0</v>
      </c>
      <c r="V1929" s="5">
        <f>VLOOKUP(A1929,Planilha1!B:E,4,0)</f>
        <v>13.599044988219518</v>
      </c>
    </row>
    <row r="1930" spans="1:22" x14ac:dyDescent="0.3">
      <c r="A1930" t="str">
        <f t="shared" si="60"/>
        <v>LEITE UHTLACTALIS</v>
      </c>
      <c r="B1930" t="str">
        <f t="shared" si="61"/>
        <v>5262287LEITE UHTLACTALIS</v>
      </c>
      <c r="C1930" s="5" t="s">
        <v>226</v>
      </c>
      <c r="D1930" s="5" t="s">
        <v>227</v>
      </c>
      <c r="E1930" s="5" t="s">
        <v>1722</v>
      </c>
      <c r="F1930" s="5">
        <v>5262287</v>
      </c>
      <c r="G1930" s="5" t="s">
        <v>1138</v>
      </c>
      <c r="H1930" s="5" t="s">
        <v>30</v>
      </c>
      <c r="I1930" s="5" t="s">
        <v>22</v>
      </c>
      <c r="J1930" s="5" t="s">
        <v>156</v>
      </c>
      <c r="K1930" s="6">
        <v>0</v>
      </c>
      <c r="L1930" s="7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  <c r="S1930" s="8">
        <v>0</v>
      </c>
      <c r="T1930" s="5">
        <v>0</v>
      </c>
      <c r="U1930" s="5">
        <v>0</v>
      </c>
      <c r="V1930" s="5">
        <f>VLOOKUP(A1930,Planilha1!B:E,4,0)</f>
        <v>0.37177548115779385</v>
      </c>
    </row>
    <row r="1931" spans="1:22" x14ac:dyDescent="0.3">
      <c r="A1931" t="str">
        <f t="shared" si="60"/>
        <v>IOGURTESLACTALIS</v>
      </c>
      <c r="B1931" t="str">
        <f t="shared" si="61"/>
        <v>5316970IOGURTESLACTALIS</v>
      </c>
      <c r="C1931" s="5" t="s">
        <v>226</v>
      </c>
      <c r="D1931" s="5" t="s">
        <v>227</v>
      </c>
      <c r="E1931" s="5" t="s">
        <v>1722</v>
      </c>
      <c r="F1931" s="5">
        <v>5316970</v>
      </c>
      <c r="G1931" s="5" t="s">
        <v>1139</v>
      </c>
      <c r="H1931" s="5" t="s">
        <v>30</v>
      </c>
      <c r="I1931" s="5" t="s">
        <v>22</v>
      </c>
      <c r="J1931" s="5" t="s">
        <v>153</v>
      </c>
      <c r="K1931" s="6">
        <v>0</v>
      </c>
      <c r="L1931" s="7">
        <v>12.24</v>
      </c>
      <c r="M1931" s="8">
        <v>34</v>
      </c>
      <c r="N1931" s="8">
        <v>47.6</v>
      </c>
      <c r="O1931" s="8">
        <v>0</v>
      </c>
      <c r="P1931" s="8">
        <v>0</v>
      </c>
      <c r="Q1931" s="8">
        <v>17.920000000000002</v>
      </c>
      <c r="R1931" s="8">
        <v>0</v>
      </c>
      <c r="S1931" s="8">
        <v>0</v>
      </c>
      <c r="T1931" s="5">
        <v>0</v>
      </c>
      <c r="U1931" s="5">
        <v>0</v>
      </c>
      <c r="V1931" s="5">
        <f>VLOOKUP(A1931,Planilha1!B:E,4,0)</f>
        <v>3.0503167986984403</v>
      </c>
    </row>
    <row r="1932" spans="1:22" x14ac:dyDescent="0.3">
      <c r="A1932" t="str">
        <f t="shared" si="60"/>
        <v>LEITE UHTLACTALIS</v>
      </c>
      <c r="B1932" t="str">
        <f t="shared" si="61"/>
        <v>5318686LEITE UHTLACTALIS</v>
      </c>
      <c r="C1932" s="5" t="s">
        <v>226</v>
      </c>
      <c r="D1932" s="5" t="s">
        <v>227</v>
      </c>
      <c r="E1932" s="5" t="s">
        <v>1722</v>
      </c>
      <c r="F1932" s="5">
        <v>5318686</v>
      </c>
      <c r="G1932" s="5" t="s">
        <v>1140</v>
      </c>
      <c r="H1932" s="5" t="s">
        <v>30</v>
      </c>
      <c r="I1932" s="5" t="s">
        <v>22</v>
      </c>
      <c r="J1932" s="5" t="s">
        <v>156</v>
      </c>
      <c r="K1932" s="6">
        <v>0</v>
      </c>
      <c r="L1932" s="7">
        <v>0</v>
      </c>
      <c r="M1932" s="8">
        <v>110</v>
      </c>
      <c r="N1932" s="8">
        <v>140</v>
      </c>
      <c r="O1932" s="8">
        <v>0</v>
      </c>
      <c r="P1932" s="8">
        <v>0</v>
      </c>
      <c r="Q1932" s="8">
        <v>0</v>
      </c>
      <c r="R1932" s="8">
        <v>0</v>
      </c>
      <c r="S1932" s="8">
        <v>0</v>
      </c>
      <c r="T1932" s="5">
        <v>0</v>
      </c>
      <c r="U1932" s="5">
        <v>0</v>
      </c>
      <c r="V1932" s="5">
        <f>VLOOKUP(A1932,Planilha1!B:E,4,0)</f>
        <v>0.37177548115779385</v>
      </c>
    </row>
    <row r="1933" spans="1:22" x14ac:dyDescent="0.3">
      <c r="A1933" t="str">
        <f t="shared" si="60"/>
        <v>LEITE UHTLACTALIS</v>
      </c>
      <c r="B1933" t="str">
        <f t="shared" si="61"/>
        <v>5321719LEITE UHTLACTALIS</v>
      </c>
      <c r="C1933" s="5" t="s">
        <v>226</v>
      </c>
      <c r="D1933" s="5" t="s">
        <v>227</v>
      </c>
      <c r="E1933" s="5" t="s">
        <v>1722</v>
      </c>
      <c r="F1933" s="5">
        <v>5321719</v>
      </c>
      <c r="G1933" s="5" t="s">
        <v>521</v>
      </c>
      <c r="H1933" s="5" t="s">
        <v>30</v>
      </c>
      <c r="I1933" s="5" t="s">
        <v>22</v>
      </c>
      <c r="J1933" s="5" t="s">
        <v>156</v>
      </c>
      <c r="K1933" s="6">
        <v>0</v>
      </c>
      <c r="L1933" s="7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0</v>
      </c>
      <c r="S1933" s="8">
        <v>0</v>
      </c>
      <c r="T1933" s="5">
        <v>0</v>
      </c>
      <c r="U1933" s="5">
        <v>0</v>
      </c>
      <c r="V1933" s="5">
        <f>VLOOKUP(A1933,Planilha1!B:E,4,0)</f>
        <v>0.37177548115779385</v>
      </c>
    </row>
    <row r="1934" spans="1:22" x14ac:dyDescent="0.3">
      <c r="A1934" t="str">
        <f t="shared" si="60"/>
        <v>LEITE UHTLACTALIS</v>
      </c>
      <c r="B1934" t="str">
        <f t="shared" si="61"/>
        <v>5329771LEITE UHTLACTALIS</v>
      </c>
      <c r="C1934" s="5" t="s">
        <v>226</v>
      </c>
      <c r="D1934" s="5" t="s">
        <v>227</v>
      </c>
      <c r="E1934" s="5" t="s">
        <v>1722</v>
      </c>
      <c r="F1934" s="5">
        <v>5329771</v>
      </c>
      <c r="G1934" s="5" t="s">
        <v>1141</v>
      </c>
      <c r="H1934" s="5" t="s">
        <v>30</v>
      </c>
      <c r="I1934" s="5" t="s">
        <v>22</v>
      </c>
      <c r="J1934" s="5" t="s">
        <v>156</v>
      </c>
      <c r="K1934" s="6">
        <v>0</v>
      </c>
      <c r="L1934" s="7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0</v>
      </c>
      <c r="S1934" s="8">
        <v>0</v>
      </c>
      <c r="T1934" s="5">
        <v>0</v>
      </c>
      <c r="U1934" s="5">
        <v>0</v>
      </c>
      <c r="V1934" s="5">
        <f>VLOOKUP(A1934,Planilha1!B:E,4,0)</f>
        <v>0.37177548115779385</v>
      </c>
    </row>
    <row r="1935" spans="1:22" x14ac:dyDescent="0.3">
      <c r="A1935" t="str">
        <f t="shared" si="60"/>
        <v>QUEIJOSLACTALIS</v>
      </c>
      <c r="B1935" t="str">
        <f t="shared" si="61"/>
        <v>5329771QUEIJOSLACTALIS</v>
      </c>
      <c r="C1935" s="5" t="s">
        <v>226</v>
      </c>
      <c r="D1935" s="5" t="s">
        <v>227</v>
      </c>
      <c r="E1935" s="5" t="s">
        <v>1722</v>
      </c>
      <c r="F1935" s="5">
        <v>5329771</v>
      </c>
      <c r="G1935" s="5" t="s">
        <v>1141</v>
      </c>
      <c r="H1935" s="5" t="s">
        <v>30</v>
      </c>
      <c r="I1935" s="5" t="s">
        <v>22</v>
      </c>
      <c r="J1935" s="5" t="s">
        <v>63</v>
      </c>
      <c r="K1935" s="6">
        <v>0</v>
      </c>
      <c r="L1935" s="7">
        <v>10.319000000000001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0</v>
      </c>
      <c r="S1935" s="8">
        <v>0</v>
      </c>
      <c r="T1935" s="5">
        <v>0</v>
      </c>
      <c r="U1935" s="5">
        <v>0</v>
      </c>
      <c r="V1935" s="5">
        <f>VLOOKUP(A1935,Planilha1!B:E,4,0)</f>
        <v>-1.9171310037550682</v>
      </c>
    </row>
    <row r="1936" spans="1:22" x14ac:dyDescent="0.3">
      <c r="A1936" t="str">
        <f t="shared" si="60"/>
        <v>LEITE UHTLACTALIS</v>
      </c>
      <c r="B1936" t="str">
        <f t="shared" si="61"/>
        <v>5342210LEITE UHTLACTALIS</v>
      </c>
      <c r="C1936" s="5" t="s">
        <v>226</v>
      </c>
      <c r="D1936" s="5" t="s">
        <v>227</v>
      </c>
      <c r="E1936" s="5" t="s">
        <v>1722</v>
      </c>
      <c r="F1936" s="5">
        <v>5342210</v>
      </c>
      <c r="G1936" s="5" t="s">
        <v>531</v>
      </c>
      <c r="H1936" s="5" t="s">
        <v>30</v>
      </c>
      <c r="I1936" s="5" t="s">
        <v>22</v>
      </c>
      <c r="J1936" s="5" t="s">
        <v>156</v>
      </c>
      <c r="K1936" s="6">
        <v>0</v>
      </c>
      <c r="L1936" s="7">
        <v>24</v>
      </c>
      <c r="M1936" s="8">
        <v>16</v>
      </c>
      <c r="N1936" s="8">
        <v>32</v>
      </c>
      <c r="O1936" s="8">
        <v>0</v>
      </c>
      <c r="P1936" s="8">
        <v>0</v>
      </c>
      <c r="Q1936" s="8">
        <v>0</v>
      </c>
      <c r="R1936" s="8">
        <v>0</v>
      </c>
      <c r="S1936" s="8">
        <v>0</v>
      </c>
      <c r="T1936" s="5">
        <v>0</v>
      </c>
      <c r="U1936" s="5">
        <v>0</v>
      </c>
      <c r="V1936" s="5">
        <f>VLOOKUP(A1936,Planilha1!B:E,4,0)</f>
        <v>0.37177548115779385</v>
      </c>
    </row>
    <row r="1937" spans="1:22" x14ac:dyDescent="0.3">
      <c r="A1937" t="str">
        <f t="shared" si="60"/>
        <v>LEITE UHTLACTALIS</v>
      </c>
      <c r="B1937" t="str">
        <f t="shared" si="61"/>
        <v>5344035LEITE UHTLACTALIS</v>
      </c>
      <c r="C1937" s="5" t="s">
        <v>226</v>
      </c>
      <c r="D1937" s="5" t="s">
        <v>227</v>
      </c>
      <c r="E1937" s="5" t="s">
        <v>1722</v>
      </c>
      <c r="F1937" s="5">
        <v>5344035</v>
      </c>
      <c r="G1937" s="5" t="s">
        <v>1142</v>
      </c>
      <c r="H1937" s="5" t="s">
        <v>30</v>
      </c>
      <c r="I1937" s="5" t="s">
        <v>22</v>
      </c>
      <c r="J1937" s="5" t="s">
        <v>156</v>
      </c>
      <c r="K1937" s="6">
        <v>0</v>
      </c>
      <c r="L1937" s="7">
        <v>144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0</v>
      </c>
      <c r="S1937" s="8">
        <v>0</v>
      </c>
      <c r="T1937" s="5">
        <v>0</v>
      </c>
      <c r="U1937" s="5">
        <v>0</v>
      </c>
      <c r="V1937" s="5">
        <f>VLOOKUP(A1937,Planilha1!B:E,4,0)</f>
        <v>0.37177548115779385</v>
      </c>
    </row>
    <row r="1938" spans="1:22" x14ac:dyDescent="0.3">
      <c r="A1938" t="str">
        <f t="shared" si="60"/>
        <v>LEITE UHTLACTALIS</v>
      </c>
      <c r="B1938" t="str">
        <f t="shared" si="61"/>
        <v>5330092LEITE UHTLACTALIS</v>
      </c>
      <c r="C1938" s="5" t="s">
        <v>226</v>
      </c>
      <c r="D1938" s="5" t="s">
        <v>227</v>
      </c>
      <c r="E1938" s="5" t="s">
        <v>1722</v>
      </c>
      <c r="F1938" s="5">
        <v>5330092</v>
      </c>
      <c r="G1938" s="5" t="s">
        <v>1143</v>
      </c>
      <c r="H1938" s="5" t="s">
        <v>30</v>
      </c>
      <c r="I1938" s="5" t="s">
        <v>22</v>
      </c>
      <c r="J1938" s="5" t="s">
        <v>156</v>
      </c>
      <c r="K1938" s="6">
        <v>0</v>
      </c>
      <c r="L1938" s="7">
        <v>0</v>
      </c>
      <c r="M1938" s="8"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0</v>
      </c>
      <c r="S1938" s="8">
        <v>0</v>
      </c>
      <c r="T1938" s="5">
        <v>0</v>
      </c>
      <c r="U1938" s="5">
        <v>0</v>
      </c>
      <c r="V1938" s="5">
        <f>VLOOKUP(A1938,Planilha1!B:E,4,0)</f>
        <v>0.37177548115779385</v>
      </c>
    </row>
    <row r="1939" spans="1:22" x14ac:dyDescent="0.3">
      <c r="A1939" t="str">
        <f t="shared" si="60"/>
        <v>QUEIJOSLACTALIS</v>
      </c>
      <c r="B1939" t="str">
        <f t="shared" si="61"/>
        <v>5066049QUEIJOSLACTALIS</v>
      </c>
      <c r="C1939" s="5" t="s">
        <v>226</v>
      </c>
      <c r="D1939" s="5" t="s">
        <v>227</v>
      </c>
      <c r="E1939" s="5" t="s">
        <v>1722</v>
      </c>
      <c r="F1939" s="5">
        <v>5066049</v>
      </c>
      <c r="G1939" s="5" t="s">
        <v>563</v>
      </c>
      <c r="H1939" s="5" t="s">
        <v>30</v>
      </c>
      <c r="I1939" s="5" t="s">
        <v>22</v>
      </c>
      <c r="J1939" s="5" t="s">
        <v>63</v>
      </c>
      <c r="K1939" s="6">
        <v>0</v>
      </c>
      <c r="L1939" s="7">
        <v>4.8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  <c r="S1939" s="8">
        <v>0</v>
      </c>
      <c r="T1939" s="5">
        <v>0</v>
      </c>
      <c r="U1939" s="5">
        <v>0</v>
      </c>
      <c r="V1939" s="5">
        <f>VLOOKUP(A1939,Planilha1!B:E,4,0)</f>
        <v>-1.9171310037550682</v>
      </c>
    </row>
    <row r="1940" spans="1:22" x14ac:dyDescent="0.3">
      <c r="A1940" t="str">
        <f t="shared" si="60"/>
        <v>CREME UHTLACTALIS</v>
      </c>
      <c r="B1940" t="str">
        <f t="shared" si="61"/>
        <v>5111178CREME UHTLACTALIS</v>
      </c>
      <c r="C1940" s="5" t="s">
        <v>226</v>
      </c>
      <c r="D1940" s="5" t="s">
        <v>227</v>
      </c>
      <c r="E1940" s="5" t="s">
        <v>1722</v>
      </c>
      <c r="F1940" s="5">
        <v>5111178</v>
      </c>
      <c r="G1940" s="5" t="s">
        <v>564</v>
      </c>
      <c r="H1940" s="5" t="s">
        <v>30</v>
      </c>
      <c r="I1940" s="5" t="s">
        <v>22</v>
      </c>
      <c r="J1940" s="5" t="s">
        <v>34</v>
      </c>
      <c r="K1940" s="6">
        <v>0</v>
      </c>
      <c r="L1940" s="7">
        <v>27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  <c r="S1940" s="8">
        <v>0</v>
      </c>
      <c r="T1940" s="5">
        <v>0</v>
      </c>
      <c r="U1940" s="5">
        <v>0</v>
      </c>
      <c r="V1940" s="5">
        <f>VLOOKUP(A1940,Planilha1!B:E,4,0)</f>
        <v>-1.4094522863012933</v>
      </c>
    </row>
    <row r="1941" spans="1:22" x14ac:dyDescent="0.3">
      <c r="A1941" t="str">
        <f t="shared" si="60"/>
        <v>DOCE DE LEITELACTALIS</v>
      </c>
      <c r="B1941" t="str">
        <f t="shared" si="61"/>
        <v>5111178DOCE DE LEITELACTALIS</v>
      </c>
      <c r="C1941" s="5" t="s">
        <v>226</v>
      </c>
      <c r="D1941" s="5" t="s">
        <v>227</v>
      </c>
      <c r="E1941" s="5" t="s">
        <v>1722</v>
      </c>
      <c r="F1941" s="5">
        <v>5111178</v>
      </c>
      <c r="G1941" s="5" t="s">
        <v>564</v>
      </c>
      <c r="H1941" s="5" t="s">
        <v>30</v>
      </c>
      <c r="I1941" s="5" t="s">
        <v>22</v>
      </c>
      <c r="J1941" s="5" t="s">
        <v>46</v>
      </c>
      <c r="K1941" s="6">
        <v>0</v>
      </c>
      <c r="L1941" s="7">
        <v>0</v>
      </c>
      <c r="M1941" s="8">
        <v>5.25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  <c r="S1941" s="8">
        <v>0</v>
      </c>
      <c r="T1941" s="5">
        <v>0</v>
      </c>
      <c r="U1941" s="5">
        <v>0</v>
      </c>
      <c r="V1941" s="5">
        <f>VLOOKUP(A1941,Planilha1!B:E,4,0)</f>
        <v>5.6473514327668077</v>
      </c>
    </row>
    <row r="1942" spans="1:22" x14ac:dyDescent="0.3">
      <c r="A1942" t="str">
        <f t="shared" si="60"/>
        <v>LEITE UHTLACTALIS</v>
      </c>
      <c r="B1942" t="str">
        <f t="shared" si="61"/>
        <v>5133487LEITE UHTLACTALIS</v>
      </c>
      <c r="C1942" s="5" t="s">
        <v>226</v>
      </c>
      <c r="D1942" s="5" t="s">
        <v>227</v>
      </c>
      <c r="E1942" s="5" t="s">
        <v>1722</v>
      </c>
      <c r="F1942" s="5">
        <v>5133487</v>
      </c>
      <c r="G1942" s="5" t="s">
        <v>566</v>
      </c>
      <c r="H1942" s="5" t="s">
        <v>30</v>
      </c>
      <c r="I1942" s="5" t="s">
        <v>22</v>
      </c>
      <c r="J1942" s="5" t="s">
        <v>156</v>
      </c>
      <c r="K1942" s="6">
        <v>0</v>
      </c>
      <c r="L1942" s="7">
        <v>6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0</v>
      </c>
      <c r="S1942" s="8">
        <v>0</v>
      </c>
      <c r="T1942" s="5">
        <v>0</v>
      </c>
      <c r="U1942" s="5">
        <v>0</v>
      </c>
      <c r="V1942" s="5">
        <f>VLOOKUP(A1942,Planilha1!B:E,4,0)</f>
        <v>0.37177548115779385</v>
      </c>
    </row>
    <row r="1943" spans="1:22" x14ac:dyDescent="0.3">
      <c r="A1943" t="str">
        <f t="shared" si="60"/>
        <v>DOCE DE LEITELACTALIS</v>
      </c>
      <c r="B1943" t="str">
        <f t="shared" si="61"/>
        <v>5148870DOCE DE LEITELACTALIS</v>
      </c>
      <c r="C1943" s="5" t="s">
        <v>226</v>
      </c>
      <c r="D1943" s="5" t="s">
        <v>227</v>
      </c>
      <c r="E1943" s="5" t="s">
        <v>1722</v>
      </c>
      <c r="F1943" s="5">
        <v>5148870</v>
      </c>
      <c r="G1943" s="5" t="s">
        <v>1144</v>
      </c>
      <c r="H1943" s="5" t="s">
        <v>30</v>
      </c>
      <c r="I1943" s="5" t="s">
        <v>22</v>
      </c>
      <c r="J1943" s="5" t="s">
        <v>46</v>
      </c>
      <c r="K1943" s="6">
        <v>0</v>
      </c>
      <c r="L1943" s="7">
        <v>9</v>
      </c>
      <c r="M1943" s="8">
        <v>0</v>
      </c>
      <c r="N1943" s="8">
        <v>0</v>
      </c>
      <c r="O1943" s="8">
        <v>0</v>
      </c>
      <c r="P1943" s="8">
        <v>0</v>
      </c>
      <c r="Q1943" s="8">
        <v>0</v>
      </c>
      <c r="R1943" s="8">
        <v>0</v>
      </c>
      <c r="S1943" s="8">
        <v>0</v>
      </c>
      <c r="T1943" s="5">
        <v>0</v>
      </c>
      <c r="U1943" s="5">
        <v>0</v>
      </c>
      <c r="V1943" s="5">
        <f>VLOOKUP(A1943,Planilha1!B:E,4,0)</f>
        <v>5.6473514327668077</v>
      </c>
    </row>
    <row r="1944" spans="1:22" x14ac:dyDescent="0.3">
      <c r="A1944" t="str">
        <f t="shared" si="60"/>
        <v>MANTEIGA 5KGLACTALIS</v>
      </c>
      <c r="B1944" t="str">
        <f t="shared" si="61"/>
        <v>5148870MANTEIGA 5KGLACTALIS</v>
      </c>
      <c r="C1944" s="5" t="s">
        <v>226</v>
      </c>
      <c r="D1944" s="5" t="s">
        <v>227</v>
      </c>
      <c r="E1944" s="5" t="s">
        <v>1722</v>
      </c>
      <c r="F1944" s="5">
        <v>5148870</v>
      </c>
      <c r="G1944" s="5" t="s">
        <v>1144</v>
      </c>
      <c r="H1944" s="5" t="s">
        <v>30</v>
      </c>
      <c r="I1944" s="5" t="s">
        <v>22</v>
      </c>
      <c r="J1944" s="5" t="s">
        <v>60</v>
      </c>
      <c r="K1944" s="6">
        <v>0</v>
      </c>
      <c r="L1944" s="7">
        <v>0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  <c r="S1944" s="8">
        <v>0</v>
      </c>
      <c r="T1944" s="5">
        <v>0</v>
      </c>
      <c r="U1944" s="5">
        <v>0</v>
      </c>
      <c r="V1944" s="5">
        <f>VLOOKUP(A1944,Planilha1!B:E,4,0)</f>
        <v>11.476197020267191</v>
      </c>
    </row>
    <row r="1945" spans="1:22" x14ac:dyDescent="0.3">
      <c r="A1945" t="str">
        <f t="shared" si="60"/>
        <v>LEITE UHTLACTALIS</v>
      </c>
      <c r="B1945" t="str">
        <f t="shared" si="61"/>
        <v>5222492LEITE UHTLACTALIS</v>
      </c>
      <c r="C1945" s="5" t="s">
        <v>226</v>
      </c>
      <c r="D1945" s="5" t="s">
        <v>227</v>
      </c>
      <c r="E1945" s="5" t="s">
        <v>1722</v>
      </c>
      <c r="F1945" s="5">
        <v>5222492</v>
      </c>
      <c r="G1945" s="5" t="s">
        <v>1145</v>
      </c>
      <c r="H1945" s="5" t="s">
        <v>30</v>
      </c>
      <c r="I1945" s="5" t="s">
        <v>22</v>
      </c>
      <c r="J1945" s="5" t="s">
        <v>156</v>
      </c>
      <c r="K1945" s="6">
        <v>0</v>
      </c>
      <c r="L1945" s="7">
        <v>0</v>
      </c>
      <c r="M1945" s="8">
        <v>24</v>
      </c>
      <c r="N1945" s="8">
        <v>0</v>
      </c>
      <c r="O1945" s="8">
        <v>0</v>
      </c>
      <c r="P1945" s="8">
        <v>0</v>
      </c>
      <c r="Q1945" s="8">
        <v>0</v>
      </c>
      <c r="R1945" s="8">
        <v>0</v>
      </c>
      <c r="S1945" s="8">
        <v>0</v>
      </c>
      <c r="T1945" s="5">
        <v>0</v>
      </c>
      <c r="U1945" s="5">
        <v>0</v>
      </c>
      <c r="V1945" s="5">
        <f>VLOOKUP(A1945,Planilha1!B:E,4,0)</f>
        <v>0.37177548115779385</v>
      </c>
    </row>
    <row r="1946" spans="1:22" x14ac:dyDescent="0.3">
      <c r="A1946" t="str">
        <f t="shared" si="60"/>
        <v>IOGURTESLACTALIS</v>
      </c>
      <c r="B1946" t="str">
        <f t="shared" si="61"/>
        <v>5227109IOGURTESLACTALIS</v>
      </c>
      <c r="C1946" s="5" t="s">
        <v>226</v>
      </c>
      <c r="D1946" s="5" t="s">
        <v>227</v>
      </c>
      <c r="E1946" s="5" t="s">
        <v>1722</v>
      </c>
      <c r="F1946" s="5">
        <v>5227109</v>
      </c>
      <c r="G1946" s="5" t="s">
        <v>1146</v>
      </c>
      <c r="H1946" s="5" t="s">
        <v>30</v>
      </c>
      <c r="I1946" s="5" t="s">
        <v>22</v>
      </c>
      <c r="J1946" s="5" t="s">
        <v>153</v>
      </c>
      <c r="K1946" s="6">
        <v>0</v>
      </c>
      <c r="L1946" s="7">
        <v>16.32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0</v>
      </c>
      <c r="S1946" s="8">
        <v>0</v>
      </c>
      <c r="T1946" s="5">
        <v>0</v>
      </c>
      <c r="U1946" s="5">
        <v>0</v>
      </c>
      <c r="V1946" s="5">
        <f>VLOOKUP(A1946,Planilha1!B:E,4,0)</f>
        <v>3.0503167986984403</v>
      </c>
    </row>
    <row r="1947" spans="1:22" x14ac:dyDescent="0.3">
      <c r="A1947" t="str">
        <f t="shared" si="60"/>
        <v>LEITE UHTLACTALIS</v>
      </c>
      <c r="B1947" t="str">
        <f t="shared" si="61"/>
        <v>5227109LEITE UHTLACTALIS</v>
      </c>
      <c r="C1947" s="5" t="s">
        <v>226</v>
      </c>
      <c r="D1947" s="5" t="s">
        <v>227</v>
      </c>
      <c r="E1947" s="5" t="s">
        <v>1722</v>
      </c>
      <c r="F1947" s="5">
        <v>5227109</v>
      </c>
      <c r="G1947" s="5" t="s">
        <v>1146</v>
      </c>
      <c r="H1947" s="5" t="s">
        <v>30</v>
      </c>
      <c r="I1947" s="5" t="s">
        <v>22</v>
      </c>
      <c r="J1947" s="5" t="s">
        <v>156</v>
      </c>
      <c r="K1947" s="6">
        <v>0</v>
      </c>
      <c r="L1947" s="7">
        <v>12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  <c r="S1947" s="8">
        <v>0</v>
      </c>
      <c r="T1947" s="5">
        <v>0</v>
      </c>
      <c r="U1947" s="5">
        <v>0</v>
      </c>
      <c r="V1947" s="5">
        <f>VLOOKUP(A1947,Planilha1!B:E,4,0)</f>
        <v>0.37177548115779385</v>
      </c>
    </row>
    <row r="1948" spans="1:22" x14ac:dyDescent="0.3">
      <c r="A1948" t="str">
        <f t="shared" si="60"/>
        <v>CREME UHTLACTALIS</v>
      </c>
      <c r="B1948" t="str">
        <f t="shared" si="61"/>
        <v>5230504CREME UHTLACTALIS</v>
      </c>
      <c r="C1948" s="5" t="s">
        <v>226</v>
      </c>
      <c r="D1948" s="5" t="s">
        <v>227</v>
      </c>
      <c r="E1948" s="5" t="s">
        <v>1722</v>
      </c>
      <c r="F1948" s="5">
        <v>5230504</v>
      </c>
      <c r="G1948" s="5" t="s">
        <v>1147</v>
      </c>
      <c r="H1948" s="5" t="s">
        <v>30</v>
      </c>
      <c r="I1948" s="5" t="s">
        <v>22</v>
      </c>
      <c r="J1948" s="5" t="s">
        <v>34</v>
      </c>
      <c r="K1948" s="6">
        <v>0</v>
      </c>
      <c r="L1948" s="7">
        <v>0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  <c r="S1948" s="8">
        <v>0</v>
      </c>
      <c r="T1948" s="5">
        <v>0</v>
      </c>
      <c r="U1948" s="5">
        <v>0</v>
      </c>
      <c r="V1948" s="5">
        <f>VLOOKUP(A1948,Planilha1!B:E,4,0)</f>
        <v>-1.4094522863012933</v>
      </c>
    </row>
    <row r="1949" spans="1:22" x14ac:dyDescent="0.3">
      <c r="A1949" t="str">
        <f t="shared" si="60"/>
        <v>DOCE DE LEITELACTALIS</v>
      </c>
      <c r="B1949" t="str">
        <f t="shared" si="61"/>
        <v>5230504DOCE DE LEITELACTALIS</v>
      </c>
      <c r="C1949" s="5" t="s">
        <v>226</v>
      </c>
      <c r="D1949" s="5" t="s">
        <v>227</v>
      </c>
      <c r="E1949" s="5" t="s">
        <v>1722</v>
      </c>
      <c r="F1949" s="5">
        <v>5230504</v>
      </c>
      <c r="G1949" s="5" t="s">
        <v>1147</v>
      </c>
      <c r="H1949" s="5" t="s">
        <v>30</v>
      </c>
      <c r="I1949" s="5" t="s">
        <v>22</v>
      </c>
      <c r="J1949" s="5" t="s">
        <v>46</v>
      </c>
      <c r="K1949" s="6">
        <v>0</v>
      </c>
      <c r="L1949" s="7">
        <v>9.6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S1949" s="8">
        <v>0</v>
      </c>
      <c r="T1949" s="5">
        <v>0</v>
      </c>
      <c r="U1949" s="5">
        <v>0</v>
      </c>
      <c r="V1949" s="5">
        <f>VLOOKUP(A1949,Planilha1!B:E,4,0)</f>
        <v>5.6473514327668077</v>
      </c>
    </row>
    <row r="1950" spans="1:22" x14ac:dyDescent="0.3">
      <c r="A1950" t="str">
        <f t="shared" si="60"/>
        <v>LEITE UHTLACTALIS</v>
      </c>
      <c r="B1950" t="str">
        <f t="shared" si="61"/>
        <v>5230504LEITE UHTLACTALIS</v>
      </c>
      <c r="C1950" s="5" t="s">
        <v>226</v>
      </c>
      <c r="D1950" s="5" t="s">
        <v>227</v>
      </c>
      <c r="E1950" s="5" t="s">
        <v>1722</v>
      </c>
      <c r="F1950" s="5">
        <v>5230504</v>
      </c>
      <c r="G1950" s="5" t="s">
        <v>1147</v>
      </c>
      <c r="H1950" s="5" t="s">
        <v>30</v>
      </c>
      <c r="I1950" s="5" t="s">
        <v>22</v>
      </c>
      <c r="J1950" s="5" t="s">
        <v>156</v>
      </c>
      <c r="K1950" s="6">
        <v>0</v>
      </c>
      <c r="L1950" s="7">
        <v>96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  <c r="S1950" s="8">
        <v>0</v>
      </c>
      <c r="T1950" s="5">
        <v>0</v>
      </c>
      <c r="U1950" s="5">
        <v>0</v>
      </c>
      <c r="V1950" s="5">
        <f>VLOOKUP(A1950,Planilha1!B:E,4,0)</f>
        <v>0.37177548115779385</v>
      </c>
    </row>
    <row r="1951" spans="1:22" x14ac:dyDescent="0.3">
      <c r="A1951" t="str">
        <f t="shared" si="60"/>
        <v>LEITE UHTLACTALIS</v>
      </c>
      <c r="B1951" t="str">
        <f t="shared" si="61"/>
        <v>5248415LEITE UHTLACTALIS</v>
      </c>
      <c r="C1951" s="5" t="s">
        <v>226</v>
      </c>
      <c r="D1951" s="5" t="s">
        <v>227</v>
      </c>
      <c r="E1951" s="5" t="s">
        <v>1722</v>
      </c>
      <c r="F1951" s="5">
        <v>5248415</v>
      </c>
      <c r="G1951" s="5" t="s">
        <v>1148</v>
      </c>
      <c r="H1951" s="5" t="s">
        <v>30</v>
      </c>
      <c r="I1951" s="5" t="s">
        <v>22</v>
      </c>
      <c r="J1951" s="5" t="s">
        <v>156</v>
      </c>
      <c r="K1951" s="6">
        <v>0</v>
      </c>
      <c r="L1951" s="7">
        <v>0</v>
      </c>
      <c r="M1951" s="8">
        <v>608</v>
      </c>
      <c r="N1951" s="8">
        <v>1216</v>
      </c>
      <c r="O1951" s="8">
        <v>0</v>
      </c>
      <c r="P1951" s="8">
        <v>0</v>
      </c>
      <c r="Q1951" s="8">
        <v>0</v>
      </c>
      <c r="R1951" s="8">
        <v>0</v>
      </c>
      <c r="S1951" s="8">
        <v>0</v>
      </c>
      <c r="T1951" s="5">
        <v>0</v>
      </c>
      <c r="U1951" s="5">
        <v>0</v>
      </c>
      <c r="V1951" s="5">
        <f>VLOOKUP(A1951,Planilha1!B:E,4,0)</f>
        <v>0.37177548115779385</v>
      </c>
    </row>
    <row r="1952" spans="1:22" x14ac:dyDescent="0.3">
      <c r="A1952" t="str">
        <f t="shared" si="60"/>
        <v>LEITE UHTLACTALIS</v>
      </c>
      <c r="B1952" t="str">
        <f t="shared" si="61"/>
        <v>5249304LEITE UHTLACTALIS</v>
      </c>
      <c r="C1952" s="5" t="s">
        <v>226</v>
      </c>
      <c r="D1952" s="5" t="s">
        <v>227</v>
      </c>
      <c r="E1952" s="5" t="s">
        <v>1722</v>
      </c>
      <c r="F1952" s="5">
        <v>5249304</v>
      </c>
      <c r="G1952" s="5" t="s">
        <v>1149</v>
      </c>
      <c r="H1952" s="5" t="s">
        <v>30</v>
      </c>
      <c r="I1952" s="5" t="s">
        <v>22</v>
      </c>
      <c r="J1952" s="5" t="s">
        <v>156</v>
      </c>
      <c r="K1952" s="6">
        <v>0</v>
      </c>
      <c r="L1952" s="7">
        <v>120</v>
      </c>
      <c r="M1952" s="8">
        <v>80</v>
      </c>
      <c r="N1952" s="8">
        <v>80</v>
      </c>
      <c r="O1952" s="8">
        <v>0</v>
      </c>
      <c r="P1952" s="8">
        <v>0</v>
      </c>
      <c r="Q1952" s="8">
        <v>0</v>
      </c>
      <c r="R1952" s="8">
        <v>0</v>
      </c>
      <c r="S1952" s="8">
        <v>0</v>
      </c>
      <c r="T1952" s="5">
        <v>0</v>
      </c>
      <c r="U1952" s="5">
        <v>0</v>
      </c>
      <c r="V1952" s="5">
        <f>VLOOKUP(A1952,Planilha1!B:E,4,0)</f>
        <v>0.37177548115779385</v>
      </c>
    </row>
    <row r="1953" spans="1:22" x14ac:dyDescent="0.3">
      <c r="A1953" t="str">
        <f t="shared" si="60"/>
        <v>CREME UHTLACTALIS</v>
      </c>
      <c r="B1953" t="str">
        <f t="shared" si="61"/>
        <v>5249870CREME UHTLACTALIS</v>
      </c>
      <c r="C1953" s="5" t="s">
        <v>226</v>
      </c>
      <c r="D1953" s="5" t="s">
        <v>227</v>
      </c>
      <c r="E1953" s="5" t="s">
        <v>1722</v>
      </c>
      <c r="F1953" s="5">
        <v>5249870</v>
      </c>
      <c r="G1953" s="5" t="s">
        <v>580</v>
      </c>
      <c r="H1953" s="5" t="s">
        <v>30</v>
      </c>
      <c r="I1953" s="5" t="s">
        <v>22</v>
      </c>
      <c r="J1953" s="5" t="s">
        <v>34</v>
      </c>
      <c r="K1953" s="6">
        <v>0</v>
      </c>
      <c r="L1953" s="7">
        <v>16.200000000000003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0</v>
      </c>
      <c r="S1953" s="8">
        <v>0</v>
      </c>
      <c r="T1953" s="5">
        <v>0</v>
      </c>
      <c r="U1953" s="5">
        <v>0</v>
      </c>
      <c r="V1953" s="5">
        <f>VLOOKUP(A1953,Planilha1!B:E,4,0)</f>
        <v>-1.4094522863012933</v>
      </c>
    </row>
    <row r="1954" spans="1:22" x14ac:dyDescent="0.3">
      <c r="A1954" t="str">
        <f t="shared" si="60"/>
        <v>LEITE CONDENSADOLACTALIS</v>
      </c>
      <c r="B1954" t="str">
        <f t="shared" si="61"/>
        <v>5249870LEITE CONDENSADOLACTALIS</v>
      </c>
      <c r="C1954" s="5" t="s">
        <v>226</v>
      </c>
      <c r="D1954" s="5" t="s">
        <v>227</v>
      </c>
      <c r="E1954" s="5" t="s">
        <v>1722</v>
      </c>
      <c r="F1954" s="5">
        <v>5249870</v>
      </c>
      <c r="G1954" s="5" t="s">
        <v>580</v>
      </c>
      <c r="H1954" s="5" t="s">
        <v>30</v>
      </c>
      <c r="I1954" s="5" t="s">
        <v>22</v>
      </c>
      <c r="J1954" s="5" t="s">
        <v>33</v>
      </c>
      <c r="K1954" s="6">
        <v>0</v>
      </c>
      <c r="L1954" s="7">
        <v>20.145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0</v>
      </c>
      <c r="S1954" s="8">
        <v>0</v>
      </c>
      <c r="T1954" s="5">
        <v>0</v>
      </c>
      <c r="U1954" s="5">
        <v>0</v>
      </c>
      <c r="V1954" s="5">
        <f>VLOOKUP(A1954,Planilha1!B:E,4,0)</f>
        <v>1.8665071822970765</v>
      </c>
    </row>
    <row r="1955" spans="1:22" x14ac:dyDescent="0.3">
      <c r="A1955" t="str">
        <f t="shared" si="60"/>
        <v>CREME UHTLACTALIS</v>
      </c>
      <c r="B1955" t="str">
        <f t="shared" si="61"/>
        <v>5254073CREME UHTLACTALIS</v>
      </c>
      <c r="C1955" s="5" t="s">
        <v>226</v>
      </c>
      <c r="D1955" s="5" t="s">
        <v>227</v>
      </c>
      <c r="E1955" s="5" t="s">
        <v>1722</v>
      </c>
      <c r="F1955" s="5">
        <v>5254073</v>
      </c>
      <c r="G1955" s="5" t="s">
        <v>1150</v>
      </c>
      <c r="H1955" s="5" t="s">
        <v>30</v>
      </c>
      <c r="I1955" s="5" t="s">
        <v>22</v>
      </c>
      <c r="J1955" s="5" t="s">
        <v>34</v>
      </c>
      <c r="K1955" s="6">
        <v>0</v>
      </c>
      <c r="L1955" s="7">
        <v>54</v>
      </c>
      <c r="M1955" s="8">
        <v>54.9</v>
      </c>
      <c r="N1955" s="8">
        <v>63</v>
      </c>
      <c r="O1955" s="8">
        <v>54</v>
      </c>
      <c r="P1955" s="8">
        <v>0</v>
      </c>
      <c r="Q1955" s="8">
        <v>54</v>
      </c>
      <c r="R1955" s="8">
        <v>0</v>
      </c>
      <c r="S1955" s="8">
        <v>27</v>
      </c>
      <c r="T1955" s="5">
        <v>27</v>
      </c>
      <c r="U1955" s="5">
        <v>27</v>
      </c>
      <c r="V1955" s="5">
        <f>VLOOKUP(A1955,Planilha1!B:E,4,0)</f>
        <v>-1.4094522863012933</v>
      </c>
    </row>
    <row r="1956" spans="1:22" x14ac:dyDescent="0.3">
      <c r="A1956" t="str">
        <f t="shared" si="60"/>
        <v>LEITE UHTLACTALIS</v>
      </c>
      <c r="B1956" t="str">
        <f t="shared" si="61"/>
        <v>5254073LEITE UHTLACTALIS</v>
      </c>
      <c r="C1956" s="5" t="s">
        <v>226</v>
      </c>
      <c r="D1956" s="5" t="s">
        <v>227</v>
      </c>
      <c r="E1956" s="5" t="s">
        <v>1722</v>
      </c>
      <c r="F1956" s="5">
        <v>5254073</v>
      </c>
      <c r="G1956" s="5" t="s">
        <v>1150</v>
      </c>
      <c r="H1956" s="5" t="s">
        <v>30</v>
      </c>
      <c r="I1956" s="5" t="s">
        <v>22</v>
      </c>
      <c r="J1956" s="5" t="s">
        <v>156</v>
      </c>
      <c r="K1956" s="6">
        <v>0</v>
      </c>
      <c r="L1956" s="7">
        <v>144</v>
      </c>
      <c r="M1956" s="8">
        <v>54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  <c r="S1956" s="8">
        <v>0</v>
      </c>
      <c r="T1956" s="5">
        <v>0</v>
      </c>
      <c r="U1956" s="5">
        <v>0</v>
      </c>
      <c r="V1956" s="5">
        <f>VLOOKUP(A1956,Planilha1!B:E,4,0)</f>
        <v>0.37177548115779385</v>
      </c>
    </row>
    <row r="1957" spans="1:22" x14ac:dyDescent="0.3">
      <c r="A1957" t="str">
        <f t="shared" si="60"/>
        <v>LEITE UHTLACTALIS</v>
      </c>
      <c r="B1957" t="str">
        <f t="shared" si="61"/>
        <v>5254158LEITE UHTLACTALIS</v>
      </c>
      <c r="C1957" s="5" t="s">
        <v>226</v>
      </c>
      <c r="D1957" s="5" t="s">
        <v>227</v>
      </c>
      <c r="E1957" s="5" t="s">
        <v>1722</v>
      </c>
      <c r="F1957" s="5">
        <v>5254158</v>
      </c>
      <c r="G1957" s="5" t="s">
        <v>585</v>
      </c>
      <c r="H1957" s="5" t="s">
        <v>30</v>
      </c>
      <c r="I1957" s="5" t="s">
        <v>22</v>
      </c>
      <c r="J1957" s="5" t="s">
        <v>156</v>
      </c>
      <c r="K1957" s="6">
        <v>0</v>
      </c>
      <c r="L1957" s="7">
        <v>636</v>
      </c>
      <c r="M1957" s="8">
        <v>0</v>
      </c>
      <c r="N1957" s="8">
        <v>0</v>
      </c>
      <c r="O1957" s="8">
        <v>0</v>
      </c>
      <c r="P1957" s="8">
        <v>0</v>
      </c>
      <c r="Q1957" s="8">
        <v>0</v>
      </c>
      <c r="R1957" s="8">
        <v>0</v>
      </c>
      <c r="S1957" s="8">
        <v>0</v>
      </c>
      <c r="T1957" s="5">
        <v>0</v>
      </c>
      <c r="U1957" s="5">
        <v>0</v>
      </c>
      <c r="V1957" s="5">
        <f>VLOOKUP(A1957,Planilha1!B:E,4,0)</f>
        <v>0.37177548115779385</v>
      </c>
    </row>
    <row r="1958" spans="1:22" x14ac:dyDescent="0.3">
      <c r="A1958" t="str">
        <f t="shared" si="60"/>
        <v>LEITE UHTLACTALIS</v>
      </c>
      <c r="B1958" t="str">
        <f t="shared" si="61"/>
        <v>5255030LEITE UHTLACTALIS</v>
      </c>
      <c r="C1958" s="5" t="s">
        <v>226</v>
      </c>
      <c r="D1958" s="5" t="s">
        <v>227</v>
      </c>
      <c r="E1958" s="5" t="s">
        <v>1722</v>
      </c>
      <c r="F1958" s="5">
        <v>5255030</v>
      </c>
      <c r="G1958" s="5" t="s">
        <v>1151</v>
      </c>
      <c r="H1958" s="5" t="s">
        <v>30</v>
      </c>
      <c r="I1958" s="5" t="s">
        <v>22</v>
      </c>
      <c r="J1958" s="5" t="s">
        <v>156</v>
      </c>
      <c r="K1958" s="6">
        <v>0</v>
      </c>
      <c r="L1958" s="7">
        <v>24</v>
      </c>
      <c r="M1958" s="8">
        <v>54</v>
      </c>
      <c r="N1958" s="8">
        <v>36</v>
      </c>
      <c r="O1958" s="8">
        <v>0</v>
      </c>
      <c r="P1958" s="8">
        <v>0</v>
      </c>
      <c r="Q1958" s="8">
        <v>0</v>
      </c>
      <c r="R1958" s="8">
        <v>0</v>
      </c>
      <c r="S1958" s="8">
        <v>0</v>
      </c>
      <c r="T1958" s="5">
        <v>0</v>
      </c>
      <c r="U1958" s="5">
        <v>0</v>
      </c>
      <c r="V1958" s="5">
        <f>VLOOKUP(A1958,Planilha1!B:E,4,0)</f>
        <v>0.37177548115779385</v>
      </c>
    </row>
    <row r="1959" spans="1:22" x14ac:dyDescent="0.3">
      <c r="A1959" t="str">
        <f t="shared" si="60"/>
        <v>DOCE DE LEITELACTALIS</v>
      </c>
      <c r="B1959" t="str">
        <f t="shared" si="61"/>
        <v>5256555DOCE DE LEITELACTALIS</v>
      </c>
      <c r="C1959" s="5" t="s">
        <v>226</v>
      </c>
      <c r="D1959" s="5" t="s">
        <v>227</v>
      </c>
      <c r="E1959" s="5" t="s">
        <v>1722</v>
      </c>
      <c r="F1959" s="5">
        <v>5256555</v>
      </c>
      <c r="G1959" s="5" t="s">
        <v>586</v>
      </c>
      <c r="H1959" s="5" t="s">
        <v>30</v>
      </c>
      <c r="I1959" s="5" t="s">
        <v>22</v>
      </c>
      <c r="J1959" s="5" t="s">
        <v>46</v>
      </c>
      <c r="K1959" s="6">
        <v>0</v>
      </c>
      <c r="L1959" s="7">
        <v>30</v>
      </c>
      <c r="M1959" s="8">
        <v>3.5</v>
      </c>
      <c r="N1959" s="8">
        <v>0</v>
      </c>
      <c r="O1959" s="8">
        <v>0</v>
      </c>
      <c r="P1959" s="8">
        <v>0</v>
      </c>
      <c r="Q1959" s="8">
        <v>0</v>
      </c>
      <c r="R1959" s="8">
        <v>0</v>
      </c>
      <c r="S1959" s="8">
        <v>0</v>
      </c>
      <c r="T1959" s="5">
        <v>0</v>
      </c>
      <c r="U1959" s="5">
        <v>0</v>
      </c>
      <c r="V1959" s="5">
        <f>VLOOKUP(A1959,Planilha1!B:E,4,0)</f>
        <v>5.6473514327668077</v>
      </c>
    </row>
    <row r="1960" spans="1:22" x14ac:dyDescent="0.3">
      <c r="A1960" t="str">
        <f t="shared" si="60"/>
        <v>PARMESÃOLACTALIS</v>
      </c>
      <c r="B1960" t="str">
        <f t="shared" si="61"/>
        <v>5257756PARMESÃOLACTALIS</v>
      </c>
      <c r="C1960" s="5" t="s">
        <v>226</v>
      </c>
      <c r="D1960" s="5" t="s">
        <v>227</v>
      </c>
      <c r="E1960" s="5" t="s">
        <v>1722</v>
      </c>
      <c r="F1960" s="5">
        <v>5257756</v>
      </c>
      <c r="G1960" s="5" t="s">
        <v>1152</v>
      </c>
      <c r="H1960" s="5" t="s">
        <v>30</v>
      </c>
      <c r="I1960" s="5" t="s">
        <v>22</v>
      </c>
      <c r="J1960" s="5" t="s">
        <v>195</v>
      </c>
      <c r="K1960" s="6">
        <v>0</v>
      </c>
      <c r="L1960" s="7">
        <v>11.835000000000001</v>
      </c>
      <c r="M1960" s="8">
        <v>0</v>
      </c>
      <c r="N1960" s="8">
        <v>0</v>
      </c>
      <c r="O1960" s="8">
        <v>0</v>
      </c>
      <c r="P1960" s="8">
        <v>0</v>
      </c>
      <c r="Q1960" s="8">
        <v>0</v>
      </c>
      <c r="R1960" s="8">
        <v>0</v>
      </c>
      <c r="S1960" s="8">
        <v>0</v>
      </c>
      <c r="T1960" s="5">
        <v>0</v>
      </c>
      <c r="U1960" s="5">
        <v>0</v>
      </c>
      <c r="V1960" s="5">
        <f>VLOOKUP(A1960,Planilha1!B:E,4,0)</f>
        <v>6.310326960724681</v>
      </c>
    </row>
    <row r="1961" spans="1:22" x14ac:dyDescent="0.3">
      <c r="A1961" t="str">
        <f t="shared" si="60"/>
        <v>LEITE CONDENSADOLACTALIS</v>
      </c>
      <c r="B1961" t="str">
        <f t="shared" si="61"/>
        <v>5260140LEITE CONDENSADOLACTALIS</v>
      </c>
      <c r="C1961" s="5" t="s">
        <v>226</v>
      </c>
      <c r="D1961" s="5" t="s">
        <v>227</v>
      </c>
      <c r="E1961" s="5" t="s">
        <v>1722</v>
      </c>
      <c r="F1961" s="5">
        <v>5260140</v>
      </c>
      <c r="G1961" s="5" t="s">
        <v>588</v>
      </c>
      <c r="H1961" s="5" t="s">
        <v>30</v>
      </c>
      <c r="I1961" s="5" t="s">
        <v>22</v>
      </c>
      <c r="J1961" s="5" t="s">
        <v>33</v>
      </c>
      <c r="K1961" s="6">
        <v>0</v>
      </c>
      <c r="L1961" s="7">
        <v>28</v>
      </c>
      <c r="M1961" s="8">
        <v>25.666666666666668</v>
      </c>
      <c r="N1961" s="8">
        <v>18.666666666666668</v>
      </c>
      <c r="O1961" s="8">
        <v>14</v>
      </c>
      <c r="P1961" s="8">
        <v>0</v>
      </c>
      <c r="Q1961" s="8">
        <v>0</v>
      </c>
      <c r="R1961" s="8">
        <v>0</v>
      </c>
      <c r="S1961" s="8">
        <v>0</v>
      </c>
      <c r="T1961" s="5">
        <v>0</v>
      </c>
      <c r="U1961" s="5">
        <v>0</v>
      </c>
      <c r="V1961" s="5">
        <f>VLOOKUP(A1961,Planilha1!B:E,4,0)</f>
        <v>1.8665071822970765</v>
      </c>
    </row>
    <row r="1962" spans="1:22" x14ac:dyDescent="0.3">
      <c r="A1962" t="str">
        <f t="shared" si="60"/>
        <v>DOCE DE LEITELACTALIS</v>
      </c>
      <c r="B1962" t="str">
        <f t="shared" si="61"/>
        <v>5261194DOCE DE LEITELACTALIS</v>
      </c>
      <c r="C1962" s="5" t="s">
        <v>226</v>
      </c>
      <c r="D1962" s="5" t="s">
        <v>227</v>
      </c>
      <c r="E1962" s="5" t="s">
        <v>1722</v>
      </c>
      <c r="F1962" s="5">
        <v>5261194</v>
      </c>
      <c r="G1962" s="5" t="s">
        <v>1153</v>
      </c>
      <c r="H1962" s="5" t="s">
        <v>30</v>
      </c>
      <c r="I1962" s="5" t="s">
        <v>22</v>
      </c>
      <c r="J1962" s="5" t="s">
        <v>46</v>
      </c>
      <c r="K1962" s="6">
        <v>0</v>
      </c>
      <c r="L1962" s="7">
        <v>0</v>
      </c>
      <c r="M1962" s="8">
        <v>0</v>
      </c>
      <c r="N1962" s="8">
        <v>0</v>
      </c>
      <c r="O1962" s="8">
        <v>0</v>
      </c>
      <c r="P1962" s="8">
        <v>0</v>
      </c>
      <c r="Q1962" s="8">
        <v>0</v>
      </c>
      <c r="R1962" s="8">
        <v>0</v>
      </c>
      <c r="S1962" s="8">
        <v>0</v>
      </c>
      <c r="T1962" s="5">
        <v>0</v>
      </c>
      <c r="U1962" s="5">
        <v>0</v>
      </c>
      <c r="V1962" s="5">
        <f>VLOOKUP(A1962,Planilha1!B:E,4,0)</f>
        <v>5.6473514327668077</v>
      </c>
    </row>
    <row r="1963" spans="1:22" x14ac:dyDescent="0.3">
      <c r="A1963" t="str">
        <f t="shared" si="60"/>
        <v>CREME UHTLACTALIS</v>
      </c>
      <c r="B1963" t="str">
        <f t="shared" si="61"/>
        <v>5262129CREME UHTLACTALIS</v>
      </c>
      <c r="C1963" s="5" t="s">
        <v>226</v>
      </c>
      <c r="D1963" s="5" t="s">
        <v>227</v>
      </c>
      <c r="E1963" s="5" t="s">
        <v>1722</v>
      </c>
      <c r="F1963" s="5">
        <v>5262129</v>
      </c>
      <c r="G1963" s="5" t="s">
        <v>595</v>
      </c>
      <c r="H1963" s="5" t="s">
        <v>30</v>
      </c>
      <c r="I1963" s="5" t="s">
        <v>22</v>
      </c>
      <c r="J1963" s="5" t="s">
        <v>34</v>
      </c>
      <c r="K1963" s="6">
        <v>0</v>
      </c>
      <c r="L1963" s="7">
        <v>10.8</v>
      </c>
      <c r="M1963" s="8">
        <v>1.8</v>
      </c>
      <c r="N1963" s="8">
        <v>1.8</v>
      </c>
      <c r="O1963" s="8">
        <v>0</v>
      </c>
      <c r="P1963" s="8">
        <v>0</v>
      </c>
      <c r="Q1963" s="8">
        <v>0</v>
      </c>
      <c r="R1963" s="8">
        <v>0</v>
      </c>
      <c r="S1963" s="8">
        <v>0</v>
      </c>
      <c r="T1963" s="5">
        <v>0</v>
      </c>
      <c r="U1963" s="5">
        <v>0</v>
      </c>
      <c r="V1963" s="5">
        <f>VLOOKUP(A1963,Planilha1!B:E,4,0)</f>
        <v>-1.4094522863012933</v>
      </c>
    </row>
    <row r="1964" spans="1:22" x14ac:dyDescent="0.3">
      <c r="A1964" t="str">
        <f t="shared" si="60"/>
        <v>DOCE DE LEITELACTALIS</v>
      </c>
      <c r="B1964" t="str">
        <f t="shared" si="61"/>
        <v>5262129DOCE DE LEITELACTALIS</v>
      </c>
      <c r="C1964" s="5" t="s">
        <v>226</v>
      </c>
      <c r="D1964" s="5" t="s">
        <v>227</v>
      </c>
      <c r="E1964" s="5" t="s">
        <v>1722</v>
      </c>
      <c r="F1964" s="5">
        <v>5262129</v>
      </c>
      <c r="G1964" s="5" t="s">
        <v>595</v>
      </c>
      <c r="H1964" s="5" t="s">
        <v>30</v>
      </c>
      <c r="I1964" s="5" t="s">
        <v>22</v>
      </c>
      <c r="J1964" s="5" t="s">
        <v>46</v>
      </c>
      <c r="K1964" s="6">
        <v>0</v>
      </c>
      <c r="L1964" s="7">
        <v>6</v>
      </c>
      <c r="M1964" s="8">
        <v>0</v>
      </c>
      <c r="N1964" s="8">
        <v>0</v>
      </c>
      <c r="O1964" s="8">
        <v>0</v>
      </c>
      <c r="P1964" s="8">
        <v>0</v>
      </c>
      <c r="Q1964" s="8">
        <v>0</v>
      </c>
      <c r="R1964" s="8">
        <v>0</v>
      </c>
      <c r="S1964" s="8">
        <v>0</v>
      </c>
      <c r="T1964" s="5">
        <v>0</v>
      </c>
      <c r="U1964" s="5">
        <v>0</v>
      </c>
      <c r="V1964" s="5">
        <f>VLOOKUP(A1964,Planilha1!B:E,4,0)</f>
        <v>5.6473514327668077</v>
      </c>
    </row>
    <row r="1965" spans="1:22" x14ac:dyDescent="0.3">
      <c r="A1965" t="str">
        <f t="shared" si="60"/>
        <v>LEITE CONDENSADOLACTALIS</v>
      </c>
      <c r="B1965" t="str">
        <f t="shared" si="61"/>
        <v>5262129LEITE CONDENSADOLACTALIS</v>
      </c>
      <c r="C1965" s="5" t="s">
        <v>226</v>
      </c>
      <c r="D1965" s="5" t="s">
        <v>227</v>
      </c>
      <c r="E1965" s="5" t="s">
        <v>1722</v>
      </c>
      <c r="F1965" s="5">
        <v>5262129</v>
      </c>
      <c r="G1965" s="5" t="s">
        <v>595</v>
      </c>
      <c r="H1965" s="5" t="s">
        <v>30</v>
      </c>
      <c r="I1965" s="5" t="s">
        <v>22</v>
      </c>
      <c r="J1965" s="5" t="s">
        <v>33</v>
      </c>
      <c r="K1965" s="6">
        <v>0</v>
      </c>
      <c r="L1965" s="7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0</v>
      </c>
      <c r="S1965" s="8">
        <v>0</v>
      </c>
      <c r="T1965" s="5">
        <v>0</v>
      </c>
      <c r="U1965" s="5">
        <v>0</v>
      </c>
      <c r="V1965" s="5">
        <f>VLOOKUP(A1965,Planilha1!B:E,4,0)</f>
        <v>1.8665071822970765</v>
      </c>
    </row>
    <row r="1966" spans="1:22" x14ac:dyDescent="0.3">
      <c r="A1966" t="str">
        <f t="shared" si="60"/>
        <v>IOGURTESLACTALIS</v>
      </c>
      <c r="B1966" t="str">
        <f t="shared" si="61"/>
        <v>5262269IOGURTESLACTALIS</v>
      </c>
      <c r="C1966" s="5" t="s">
        <v>226</v>
      </c>
      <c r="D1966" s="5" t="s">
        <v>227</v>
      </c>
      <c r="E1966" s="5" t="s">
        <v>1722</v>
      </c>
      <c r="F1966" s="5">
        <v>5262269</v>
      </c>
      <c r="G1966" s="5" t="s">
        <v>285</v>
      </c>
      <c r="H1966" s="5" t="s">
        <v>30</v>
      </c>
      <c r="I1966" s="5" t="s">
        <v>22</v>
      </c>
      <c r="J1966" s="5" t="s">
        <v>153</v>
      </c>
      <c r="K1966" s="6">
        <v>0</v>
      </c>
      <c r="L1966" s="7">
        <v>58.239999999999995</v>
      </c>
      <c r="M1966" s="8">
        <v>0</v>
      </c>
      <c r="N1966" s="8">
        <v>0</v>
      </c>
      <c r="O1966" s="8">
        <v>0</v>
      </c>
      <c r="P1966" s="8">
        <v>0</v>
      </c>
      <c r="Q1966" s="8">
        <v>0</v>
      </c>
      <c r="R1966" s="8">
        <v>0</v>
      </c>
      <c r="S1966" s="8">
        <v>0</v>
      </c>
      <c r="T1966" s="5">
        <v>0</v>
      </c>
      <c r="U1966" s="5">
        <v>0</v>
      </c>
      <c r="V1966" s="5">
        <f>VLOOKUP(A1966,Planilha1!B:E,4,0)</f>
        <v>3.0503167986984403</v>
      </c>
    </row>
    <row r="1967" spans="1:22" x14ac:dyDescent="0.3">
      <c r="A1967" t="str">
        <f t="shared" si="60"/>
        <v>DOCE DE LEITELACTALIS</v>
      </c>
      <c r="B1967" t="str">
        <f t="shared" si="61"/>
        <v>5263269DOCE DE LEITELACTALIS</v>
      </c>
      <c r="C1967" s="5" t="s">
        <v>226</v>
      </c>
      <c r="D1967" s="5" t="s">
        <v>227</v>
      </c>
      <c r="E1967" s="5" t="s">
        <v>1722</v>
      </c>
      <c r="F1967" s="5">
        <v>5263269</v>
      </c>
      <c r="G1967" s="5" t="s">
        <v>1154</v>
      </c>
      <c r="H1967" s="5" t="s">
        <v>30</v>
      </c>
      <c r="I1967" s="5" t="s">
        <v>22</v>
      </c>
      <c r="J1967" s="5" t="s">
        <v>46</v>
      </c>
      <c r="K1967" s="6">
        <v>0</v>
      </c>
      <c r="L1967" s="7">
        <v>45</v>
      </c>
      <c r="M1967" s="8">
        <v>58.75</v>
      </c>
      <c r="N1967" s="8">
        <v>54</v>
      </c>
      <c r="O1967" s="8">
        <v>0</v>
      </c>
      <c r="P1967" s="8">
        <v>0</v>
      </c>
      <c r="Q1967" s="8">
        <v>0</v>
      </c>
      <c r="R1967" s="8">
        <v>0</v>
      </c>
      <c r="S1967" s="8">
        <v>54</v>
      </c>
      <c r="T1967" s="5">
        <v>54</v>
      </c>
      <c r="U1967" s="5">
        <v>0</v>
      </c>
      <c r="V1967" s="5">
        <f>VLOOKUP(A1967,Planilha1!B:E,4,0)</f>
        <v>5.6473514327668077</v>
      </c>
    </row>
    <row r="1968" spans="1:22" x14ac:dyDescent="0.3">
      <c r="A1968" t="str">
        <f t="shared" si="60"/>
        <v>IOGURTESLACTALIS</v>
      </c>
      <c r="B1968" t="str">
        <f t="shared" si="61"/>
        <v>5264044IOGURTESLACTALIS</v>
      </c>
      <c r="C1968" s="5" t="s">
        <v>226</v>
      </c>
      <c r="D1968" s="5" t="s">
        <v>227</v>
      </c>
      <c r="E1968" s="5" t="s">
        <v>1722</v>
      </c>
      <c r="F1968" s="5">
        <v>5264044</v>
      </c>
      <c r="G1968" s="5" t="s">
        <v>603</v>
      </c>
      <c r="H1968" s="5" t="s">
        <v>30</v>
      </c>
      <c r="I1968" s="5" t="s">
        <v>22</v>
      </c>
      <c r="J1968" s="5" t="s">
        <v>153</v>
      </c>
      <c r="K1968" s="6">
        <v>0</v>
      </c>
      <c r="L1968" s="7">
        <v>20.28</v>
      </c>
      <c r="M1968" s="8">
        <v>0</v>
      </c>
      <c r="N1968" s="8">
        <v>0</v>
      </c>
      <c r="O1968" s="8">
        <v>0</v>
      </c>
      <c r="P1968" s="8">
        <v>0</v>
      </c>
      <c r="Q1968" s="8">
        <v>0</v>
      </c>
      <c r="R1968" s="8">
        <v>0</v>
      </c>
      <c r="S1968" s="8">
        <v>0</v>
      </c>
      <c r="T1968" s="5">
        <v>0</v>
      </c>
      <c r="U1968" s="5">
        <v>0</v>
      </c>
      <c r="V1968" s="5">
        <f>VLOOKUP(A1968,Planilha1!B:E,4,0)</f>
        <v>3.0503167986984403</v>
      </c>
    </row>
    <row r="1969" spans="1:22" x14ac:dyDescent="0.3">
      <c r="A1969" t="str">
        <f t="shared" si="60"/>
        <v>LEITE UHTLACTALIS</v>
      </c>
      <c r="B1969" t="str">
        <f t="shared" si="61"/>
        <v>5272670LEITE UHTLACTALIS</v>
      </c>
      <c r="C1969" s="5" t="s">
        <v>226</v>
      </c>
      <c r="D1969" s="5" t="s">
        <v>227</v>
      </c>
      <c r="E1969" s="5" t="s">
        <v>1722</v>
      </c>
      <c r="F1969" s="5">
        <v>5272670</v>
      </c>
      <c r="G1969" s="5" t="s">
        <v>1155</v>
      </c>
      <c r="H1969" s="5" t="s">
        <v>30</v>
      </c>
      <c r="I1969" s="5" t="s">
        <v>22</v>
      </c>
      <c r="J1969" s="5" t="s">
        <v>156</v>
      </c>
      <c r="K1969" s="6">
        <v>0</v>
      </c>
      <c r="L1969" s="7">
        <v>180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  <c r="S1969" s="8">
        <v>0</v>
      </c>
      <c r="T1969" s="5">
        <v>0</v>
      </c>
      <c r="U1969" s="5">
        <v>0</v>
      </c>
      <c r="V1969" s="5">
        <f>VLOOKUP(A1969,Planilha1!B:E,4,0)</f>
        <v>0.37177548115779385</v>
      </c>
    </row>
    <row r="1970" spans="1:22" x14ac:dyDescent="0.3">
      <c r="A1970" t="str">
        <f t="shared" si="60"/>
        <v>IOGURTESLACTALIS</v>
      </c>
      <c r="B1970" t="str">
        <f t="shared" si="61"/>
        <v>5282678IOGURTESLACTALIS</v>
      </c>
      <c r="C1970" s="5" t="s">
        <v>226</v>
      </c>
      <c r="D1970" s="5" t="s">
        <v>227</v>
      </c>
      <c r="E1970" s="5" t="s">
        <v>1722</v>
      </c>
      <c r="F1970" s="5">
        <v>5282678</v>
      </c>
      <c r="G1970" s="5" t="s">
        <v>1156</v>
      </c>
      <c r="H1970" s="5" t="s">
        <v>30</v>
      </c>
      <c r="I1970" s="5" t="s">
        <v>22</v>
      </c>
      <c r="J1970" s="5" t="s">
        <v>153</v>
      </c>
      <c r="K1970" s="6">
        <v>0</v>
      </c>
      <c r="L1970" s="7">
        <v>8.16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  <c r="S1970" s="8">
        <v>0</v>
      </c>
      <c r="T1970" s="5">
        <v>0</v>
      </c>
      <c r="U1970" s="5">
        <v>0</v>
      </c>
      <c r="V1970" s="5">
        <f>VLOOKUP(A1970,Planilha1!B:E,4,0)</f>
        <v>3.0503167986984403</v>
      </c>
    </row>
    <row r="1971" spans="1:22" x14ac:dyDescent="0.3">
      <c r="A1971" t="str">
        <f t="shared" si="60"/>
        <v>LEITE UHTLACTALIS</v>
      </c>
      <c r="B1971" t="str">
        <f t="shared" si="61"/>
        <v>5282678LEITE UHTLACTALIS</v>
      </c>
      <c r="C1971" s="5" t="s">
        <v>226</v>
      </c>
      <c r="D1971" s="5" t="s">
        <v>227</v>
      </c>
      <c r="E1971" s="5" t="s">
        <v>1722</v>
      </c>
      <c r="F1971" s="5">
        <v>5282678</v>
      </c>
      <c r="G1971" s="5" t="s">
        <v>1156</v>
      </c>
      <c r="H1971" s="5" t="s">
        <v>30</v>
      </c>
      <c r="I1971" s="5" t="s">
        <v>22</v>
      </c>
      <c r="J1971" s="5" t="s">
        <v>156</v>
      </c>
      <c r="K1971" s="6">
        <v>0</v>
      </c>
      <c r="L1971" s="7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0</v>
      </c>
      <c r="S1971" s="8">
        <v>0</v>
      </c>
      <c r="T1971" s="5">
        <v>0</v>
      </c>
      <c r="U1971" s="5">
        <v>0</v>
      </c>
      <c r="V1971" s="5">
        <f>VLOOKUP(A1971,Planilha1!B:E,4,0)</f>
        <v>0.37177548115779385</v>
      </c>
    </row>
    <row r="1972" spans="1:22" x14ac:dyDescent="0.3">
      <c r="A1972" t="str">
        <f t="shared" si="60"/>
        <v>QUEIJOSLACTALIS</v>
      </c>
      <c r="B1972" t="str">
        <f t="shared" si="61"/>
        <v>5282678QUEIJOSLACTALIS</v>
      </c>
      <c r="C1972" s="5" t="s">
        <v>226</v>
      </c>
      <c r="D1972" s="5" t="s">
        <v>227</v>
      </c>
      <c r="E1972" s="5" t="s">
        <v>1722</v>
      </c>
      <c r="F1972" s="5">
        <v>5282678</v>
      </c>
      <c r="G1972" s="5" t="s">
        <v>1156</v>
      </c>
      <c r="H1972" s="5" t="s">
        <v>30</v>
      </c>
      <c r="I1972" s="5" t="s">
        <v>22</v>
      </c>
      <c r="J1972" s="5" t="s">
        <v>63</v>
      </c>
      <c r="K1972" s="6">
        <v>0</v>
      </c>
      <c r="L1972" s="7">
        <v>11.84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0</v>
      </c>
      <c r="S1972" s="8">
        <v>0</v>
      </c>
      <c r="T1972" s="5">
        <v>0</v>
      </c>
      <c r="U1972" s="5">
        <v>0</v>
      </c>
      <c r="V1972" s="5">
        <f>VLOOKUP(A1972,Planilha1!B:E,4,0)</f>
        <v>-1.9171310037550682</v>
      </c>
    </row>
    <row r="1973" spans="1:22" x14ac:dyDescent="0.3">
      <c r="A1973" t="str">
        <f t="shared" si="60"/>
        <v>CREME UHTLACTALIS</v>
      </c>
      <c r="B1973" t="str">
        <f t="shared" si="61"/>
        <v>5285369CREME UHTLACTALIS</v>
      </c>
      <c r="C1973" s="5" t="s">
        <v>226</v>
      </c>
      <c r="D1973" s="5" t="s">
        <v>227</v>
      </c>
      <c r="E1973" s="5" t="s">
        <v>1722</v>
      </c>
      <c r="F1973" s="5">
        <v>5285369</v>
      </c>
      <c r="G1973" s="5" t="s">
        <v>626</v>
      </c>
      <c r="H1973" s="5" t="s">
        <v>30</v>
      </c>
      <c r="I1973" s="5" t="s">
        <v>22</v>
      </c>
      <c r="J1973" s="5" t="s">
        <v>34</v>
      </c>
      <c r="K1973" s="6">
        <v>0</v>
      </c>
      <c r="L1973" s="7">
        <v>5.4</v>
      </c>
      <c r="M1973" s="8">
        <v>2.7</v>
      </c>
      <c r="N1973" s="8">
        <v>1.8</v>
      </c>
      <c r="O1973" s="8">
        <v>0</v>
      </c>
      <c r="P1973" s="8">
        <v>0</v>
      </c>
      <c r="Q1973" s="8">
        <v>0</v>
      </c>
      <c r="R1973" s="8">
        <v>0</v>
      </c>
      <c r="S1973" s="8">
        <v>0</v>
      </c>
      <c r="T1973" s="5">
        <v>0</v>
      </c>
      <c r="U1973" s="5">
        <v>0</v>
      </c>
      <c r="V1973" s="5">
        <f>VLOOKUP(A1973,Planilha1!B:E,4,0)</f>
        <v>-1.4094522863012933</v>
      </c>
    </row>
    <row r="1974" spans="1:22" x14ac:dyDescent="0.3">
      <c r="A1974" t="str">
        <f t="shared" si="60"/>
        <v>LEITE CONDENSADOLACTALIS</v>
      </c>
      <c r="B1974" t="str">
        <f t="shared" si="61"/>
        <v>5285369LEITE CONDENSADOLACTALIS</v>
      </c>
      <c r="C1974" s="5" t="s">
        <v>226</v>
      </c>
      <c r="D1974" s="5" t="s">
        <v>227</v>
      </c>
      <c r="E1974" s="5" t="s">
        <v>1722</v>
      </c>
      <c r="F1974" s="5">
        <v>5285369</v>
      </c>
      <c r="G1974" s="5" t="s">
        <v>626</v>
      </c>
      <c r="H1974" s="5" t="s">
        <v>30</v>
      </c>
      <c r="I1974" s="5" t="s">
        <v>22</v>
      </c>
      <c r="J1974" s="5" t="s">
        <v>33</v>
      </c>
      <c r="K1974" s="6">
        <v>0</v>
      </c>
      <c r="L1974" s="7">
        <v>21.33</v>
      </c>
      <c r="M1974" s="8">
        <v>7.9</v>
      </c>
      <c r="N1974" s="8">
        <v>6.32</v>
      </c>
      <c r="O1974" s="8">
        <v>9.48</v>
      </c>
      <c r="P1974" s="8">
        <v>0</v>
      </c>
      <c r="Q1974" s="8">
        <v>0</v>
      </c>
      <c r="R1974" s="8">
        <v>0</v>
      </c>
      <c r="S1974" s="8">
        <v>0</v>
      </c>
      <c r="T1974" s="5">
        <v>0</v>
      </c>
      <c r="U1974" s="5">
        <v>0</v>
      </c>
      <c r="V1974" s="5">
        <f>VLOOKUP(A1974,Planilha1!B:E,4,0)</f>
        <v>1.8665071822970765</v>
      </c>
    </row>
    <row r="1975" spans="1:22" x14ac:dyDescent="0.3">
      <c r="A1975" t="str">
        <f t="shared" si="60"/>
        <v>LEITE UHTLACTALIS</v>
      </c>
      <c r="B1975" t="str">
        <f t="shared" si="61"/>
        <v>5285686LEITE UHTLACTALIS</v>
      </c>
      <c r="C1975" s="5" t="s">
        <v>226</v>
      </c>
      <c r="D1975" s="5" t="s">
        <v>227</v>
      </c>
      <c r="E1975" s="5" t="s">
        <v>1722</v>
      </c>
      <c r="F1975" s="5">
        <v>5285686</v>
      </c>
      <c r="G1975" s="5" t="s">
        <v>1157</v>
      </c>
      <c r="H1975" s="5" t="s">
        <v>30</v>
      </c>
      <c r="I1975" s="5" t="s">
        <v>22</v>
      </c>
      <c r="J1975" s="5" t="s">
        <v>156</v>
      </c>
      <c r="K1975" s="6">
        <v>0</v>
      </c>
      <c r="L1975" s="7">
        <v>84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0</v>
      </c>
      <c r="S1975" s="8">
        <v>0</v>
      </c>
      <c r="T1975" s="5">
        <v>0</v>
      </c>
      <c r="U1975" s="5">
        <v>0</v>
      </c>
      <c r="V1975" s="5">
        <f>VLOOKUP(A1975,Planilha1!B:E,4,0)</f>
        <v>0.37177548115779385</v>
      </c>
    </row>
    <row r="1976" spans="1:22" x14ac:dyDescent="0.3">
      <c r="A1976" t="str">
        <f t="shared" si="60"/>
        <v>MANTEIGA 5KGLACTALIS</v>
      </c>
      <c r="B1976" t="str">
        <f t="shared" si="61"/>
        <v>5288872MANTEIGA 5KGLACTALIS</v>
      </c>
      <c r="C1976" s="5" t="s">
        <v>226</v>
      </c>
      <c r="D1976" s="5" t="s">
        <v>227</v>
      </c>
      <c r="E1976" s="5" t="s">
        <v>1722</v>
      </c>
      <c r="F1976" s="5">
        <v>5288872</v>
      </c>
      <c r="G1976" s="5" t="s">
        <v>1158</v>
      </c>
      <c r="H1976" s="5" t="s">
        <v>30</v>
      </c>
      <c r="I1976" s="5" t="s">
        <v>22</v>
      </c>
      <c r="J1976" s="5" t="s">
        <v>60</v>
      </c>
      <c r="K1976" s="6">
        <v>0</v>
      </c>
      <c r="L1976" s="7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0</v>
      </c>
      <c r="S1976" s="8">
        <v>0</v>
      </c>
      <c r="T1976" s="5">
        <v>0</v>
      </c>
      <c r="U1976" s="5">
        <v>0</v>
      </c>
      <c r="V1976" s="5">
        <f>VLOOKUP(A1976,Planilha1!B:E,4,0)</f>
        <v>11.476197020267191</v>
      </c>
    </row>
    <row r="1977" spans="1:22" x14ac:dyDescent="0.3">
      <c r="A1977" t="str">
        <f t="shared" si="60"/>
        <v>DOCE DE LEITELACTALIS</v>
      </c>
      <c r="B1977" t="str">
        <f t="shared" si="61"/>
        <v>5289223DOCE DE LEITELACTALIS</v>
      </c>
      <c r="C1977" s="5" t="s">
        <v>226</v>
      </c>
      <c r="D1977" s="5" t="s">
        <v>227</v>
      </c>
      <c r="E1977" s="5" t="s">
        <v>1722</v>
      </c>
      <c r="F1977" s="5">
        <v>5289223</v>
      </c>
      <c r="G1977" s="5" t="s">
        <v>633</v>
      </c>
      <c r="H1977" s="5" t="s">
        <v>30</v>
      </c>
      <c r="I1977" s="5" t="s">
        <v>22</v>
      </c>
      <c r="J1977" s="5" t="s">
        <v>46</v>
      </c>
      <c r="K1977" s="6">
        <v>0</v>
      </c>
      <c r="L1977" s="7">
        <v>18</v>
      </c>
      <c r="M1977" s="8">
        <v>25.45</v>
      </c>
      <c r="N1977" s="8">
        <v>16.5</v>
      </c>
      <c r="O1977" s="8">
        <v>0</v>
      </c>
      <c r="P1977" s="8">
        <v>0</v>
      </c>
      <c r="Q1977" s="8">
        <v>0</v>
      </c>
      <c r="R1977" s="8">
        <v>0</v>
      </c>
      <c r="S1977" s="8">
        <v>32</v>
      </c>
      <c r="T1977" s="5">
        <v>32</v>
      </c>
      <c r="U1977" s="5">
        <v>32</v>
      </c>
      <c r="V1977" s="5">
        <f>VLOOKUP(A1977,Planilha1!B:E,4,0)</f>
        <v>5.6473514327668077</v>
      </c>
    </row>
    <row r="1978" spans="1:22" x14ac:dyDescent="0.3">
      <c r="A1978" t="str">
        <f t="shared" si="60"/>
        <v>MANTEIGA 5KGLACTALIS</v>
      </c>
      <c r="B1978" t="str">
        <f t="shared" si="61"/>
        <v>5289761MANTEIGA 5KGLACTALIS</v>
      </c>
      <c r="C1978" s="5" t="s">
        <v>226</v>
      </c>
      <c r="D1978" s="5" t="s">
        <v>227</v>
      </c>
      <c r="E1978" s="5" t="s">
        <v>1722</v>
      </c>
      <c r="F1978" s="5">
        <v>5289761</v>
      </c>
      <c r="G1978" s="5" t="s">
        <v>1159</v>
      </c>
      <c r="H1978" s="5" t="s">
        <v>30</v>
      </c>
      <c r="I1978" s="5" t="s">
        <v>22</v>
      </c>
      <c r="J1978" s="5" t="s">
        <v>60</v>
      </c>
      <c r="K1978" s="6">
        <v>0</v>
      </c>
      <c r="L1978" s="7">
        <v>0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  <c r="S1978" s="8">
        <v>0</v>
      </c>
      <c r="T1978" s="5">
        <v>0</v>
      </c>
      <c r="U1978" s="5">
        <v>0</v>
      </c>
      <c r="V1978" s="5">
        <f>VLOOKUP(A1978,Planilha1!B:E,4,0)</f>
        <v>11.476197020267191</v>
      </c>
    </row>
    <row r="1979" spans="1:22" x14ac:dyDescent="0.3">
      <c r="A1979" t="str">
        <f t="shared" si="60"/>
        <v>IOGURTESLACTALIS</v>
      </c>
      <c r="B1979" t="str">
        <f t="shared" si="61"/>
        <v>5293180IOGURTESLACTALIS</v>
      </c>
      <c r="C1979" s="5" t="s">
        <v>226</v>
      </c>
      <c r="D1979" s="5" t="s">
        <v>227</v>
      </c>
      <c r="E1979" s="5" t="s">
        <v>1722</v>
      </c>
      <c r="F1979" s="5">
        <v>5293180</v>
      </c>
      <c r="G1979" s="5" t="s">
        <v>1160</v>
      </c>
      <c r="H1979" s="5" t="s">
        <v>30</v>
      </c>
      <c r="I1979" s="5" t="s">
        <v>22</v>
      </c>
      <c r="J1979" s="5" t="s">
        <v>153</v>
      </c>
      <c r="K1979" s="6">
        <v>0</v>
      </c>
      <c r="L1979" s="7">
        <v>9.48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  <c r="S1979" s="8">
        <v>0</v>
      </c>
      <c r="T1979" s="5">
        <v>0</v>
      </c>
      <c r="U1979" s="5">
        <v>0</v>
      </c>
      <c r="V1979" s="5">
        <f>VLOOKUP(A1979,Planilha1!B:E,4,0)</f>
        <v>3.0503167986984403</v>
      </c>
    </row>
    <row r="1980" spans="1:22" x14ac:dyDescent="0.3">
      <c r="A1980" t="str">
        <f t="shared" si="60"/>
        <v>LEITE UHTLACTALIS</v>
      </c>
      <c r="B1980" t="str">
        <f t="shared" si="61"/>
        <v>5293180LEITE UHTLACTALIS</v>
      </c>
      <c r="C1980" s="5" t="s">
        <v>226</v>
      </c>
      <c r="D1980" s="5" t="s">
        <v>227</v>
      </c>
      <c r="E1980" s="5" t="s">
        <v>1722</v>
      </c>
      <c r="F1980" s="5">
        <v>5293180</v>
      </c>
      <c r="G1980" s="5" t="s">
        <v>1160</v>
      </c>
      <c r="H1980" s="5" t="s">
        <v>30</v>
      </c>
      <c r="I1980" s="5" t="s">
        <v>22</v>
      </c>
      <c r="J1980" s="5" t="s">
        <v>156</v>
      </c>
      <c r="K1980" s="6">
        <v>0</v>
      </c>
      <c r="L1980" s="7">
        <v>36</v>
      </c>
      <c r="M1980" s="8">
        <v>0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  <c r="S1980" s="8">
        <v>0</v>
      </c>
      <c r="T1980" s="5">
        <v>0</v>
      </c>
      <c r="U1980" s="5">
        <v>0</v>
      </c>
      <c r="V1980" s="5">
        <f>VLOOKUP(A1980,Planilha1!B:E,4,0)</f>
        <v>0.37177548115779385</v>
      </c>
    </row>
    <row r="1981" spans="1:22" x14ac:dyDescent="0.3">
      <c r="A1981" t="str">
        <f t="shared" si="60"/>
        <v>CREME UHTLACTALIS</v>
      </c>
      <c r="B1981" t="str">
        <f t="shared" si="61"/>
        <v>5301791CREME UHTLACTALIS</v>
      </c>
      <c r="C1981" s="5" t="s">
        <v>226</v>
      </c>
      <c r="D1981" s="5" t="s">
        <v>227</v>
      </c>
      <c r="E1981" s="5" t="s">
        <v>1722</v>
      </c>
      <c r="F1981" s="5">
        <v>5301791</v>
      </c>
      <c r="G1981" s="5" t="s">
        <v>639</v>
      </c>
      <c r="H1981" s="5" t="s">
        <v>30</v>
      </c>
      <c r="I1981" s="5" t="s">
        <v>22</v>
      </c>
      <c r="J1981" s="5" t="s">
        <v>34</v>
      </c>
      <c r="K1981" s="6">
        <v>0</v>
      </c>
      <c r="L1981" s="7">
        <v>205.2</v>
      </c>
      <c r="M1981" s="8">
        <v>176.39999999999998</v>
      </c>
      <c r="N1981" s="8">
        <v>115.2</v>
      </c>
      <c r="O1981" s="8">
        <v>43.2</v>
      </c>
      <c r="P1981" s="8">
        <v>0</v>
      </c>
      <c r="Q1981" s="8">
        <v>0</v>
      </c>
      <c r="R1981" s="8">
        <v>0</v>
      </c>
      <c r="S1981" s="8">
        <v>173</v>
      </c>
      <c r="T1981" s="5">
        <v>173</v>
      </c>
      <c r="U1981" s="5">
        <v>43</v>
      </c>
      <c r="V1981" s="5">
        <f>VLOOKUP(A1981,Planilha1!B:E,4,0)</f>
        <v>-1.4094522863012933</v>
      </c>
    </row>
    <row r="1982" spans="1:22" x14ac:dyDescent="0.3">
      <c r="A1982" t="str">
        <f t="shared" si="60"/>
        <v>LEITE UHTLACTALIS</v>
      </c>
      <c r="B1982" t="str">
        <f t="shared" si="61"/>
        <v>5302766LEITE UHTLACTALIS</v>
      </c>
      <c r="C1982" s="5" t="s">
        <v>226</v>
      </c>
      <c r="D1982" s="5" t="s">
        <v>227</v>
      </c>
      <c r="E1982" s="5" t="s">
        <v>1722</v>
      </c>
      <c r="F1982" s="5">
        <v>5302766</v>
      </c>
      <c r="G1982" s="5" t="s">
        <v>641</v>
      </c>
      <c r="H1982" s="5" t="s">
        <v>30</v>
      </c>
      <c r="I1982" s="5" t="s">
        <v>22</v>
      </c>
      <c r="J1982" s="5" t="s">
        <v>156</v>
      </c>
      <c r="K1982" s="6">
        <v>0</v>
      </c>
      <c r="L1982" s="7">
        <v>0</v>
      </c>
      <c r="M1982" s="8">
        <v>22</v>
      </c>
      <c r="N1982" s="8">
        <v>12</v>
      </c>
      <c r="O1982" s="8">
        <v>0</v>
      </c>
      <c r="P1982" s="8">
        <v>0</v>
      </c>
      <c r="Q1982" s="8">
        <v>0</v>
      </c>
      <c r="R1982" s="8">
        <v>0</v>
      </c>
      <c r="S1982" s="8">
        <v>0</v>
      </c>
      <c r="T1982" s="5">
        <v>0</v>
      </c>
      <c r="U1982" s="5">
        <v>0</v>
      </c>
      <c r="V1982" s="5">
        <f>VLOOKUP(A1982,Planilha1!B:E,4,0)</f>
        <v>0.37177548115779385</v>
      </c>
    </row>
    <row r="1983" spans="1:22" x14ac:dyDescent="0.3">
      <c r="A1983" t="str">
        <f t="shared" si="60"/>
        <v>MANTEIGA 5KGLACTALIS</v>
      </c>
      <c r="B1983" t="str">
        <f t="shared" si="61"/>
        <v>5303467MANTEIGA 5KGLACTALIS</v>
      </c>
      <c r="C1983" s="5" t="s">
        <v>226</v>
      </c>
      <c r="D1983" s="5" t="s">
        <v>227</v>
      </c>
      <c r="E1983" s="5" t="s">
        <v>1722</v>
      </c>
      <c r="F1983" s="5">
        <v>5303467</v>
      </c>
      <c r="G1983" s="5" t="s">
        <v>1161</v>
      </c>
      <c r="H1983" s="5" t="s">
        <v>30</v>
      </c>
      <c r="I1983" s="5" t="s">
        <v>22</v>
      </c>
      <c r="J1983" s="5" t="s">
        <v>60</v>
      </c>
      <c r="K1983" s="6">
        <v>0</v>
      </c>
      <c r="L1983" s="7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8">
        <v>0</v>
      </c>
      <c r="S1983" s="8">
        <v>0</v>
      </c>
      <c r="T1983" s="5">
        <v>0</v>
      </c>
      <c r="U1983" s="5">
        <v>0</v>
      </c>
      <c r="V1983" s="5">
        <f>VLOOKUP(A1983,Planilha1!B:E,4,0)</f>
        <v>11.476197020267191</v>
      </c>
    </row>
    <row r="1984" spans="1:22" x14ac:dyDescent="0.3">
      <c r="A1984" t="str">
        <f t="shared" si="60"/>
        <v>IOGURTESLACTALIS</v>
      </c>
      <c r="B1984" t="str">
        <f t="shared" si="61"/>
        <v>5304927IOGURTESLACTALIS</v>
      </c>
      <c r="C1984" s="5" t="s">
        <v>226</v>
      </c>
      <c r="D1984" s="5" t="s">
        <v>227</v>
      </c>
      <c r="E1984" s="5" t="s">
        <v>1722</v>
      </c>
      <c r="F1984" s="5">
        <v>5304927</v>
      </c>
      <c r="G1984" s="5" t="s">
        <v>1162</v>
      </c>
      <c r="H1984" s="5" t="s">
        <v>30</v>
      </c>
      <c r="I1984" s="5" t="s">
        <v>22</v>
      </c>
      <c r="J1984" s="5" t="s">
        <v>153</v>
      </c>
      <c r="K1984" s="6">
        <v>0</v>
      </c>
      <c r="L1984" s="7">
        <v>10.8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0</v>
      </c>
      <c r="S1984" s="8">
        <v>0</v>
      </c>
      <c r="T1984" s="5">
        <v>0</v>
      </c>
      <c r="U1984" s="5">
        <v>0</v>
      </c>
      <c r="V1984" s="5">
        <f>VLOOKUP(A1984,Planilha1!B:E,4,0)</f>
        <v>3.0503167986984403</v>
      </c>
    </row>
    <row r="1985" spans="1:22" x14ac:dyDescent="0.3">
      <c r="A1985" t="str">
        <f t="shared" si="60"/>
        <v>LEITE UHTLACTALIS</v>
      </c>
      <c r="B1985" t="str">
        <f t="shared" si="61"/>
        <v>5304927LEITE UHTLACTALIS</v>
      </c>
      <c r="C1985" s="5" t="s">
        <v>226</v>
      </c>
      <c r="D1985" s="5" t="s">
        <v>227</v>
      </c>
      <c r="E1985" s="5" t="s">
        <v>1722</v>
      </c>
      <c r="F1985" s="5">
        <v>5304927</v>
      </c>
      <c r="G1985" s="5" t="s">
        <v>1162</v>
      </c>
      <c r="H1985" s="5" t="s">
        <v>30</v>
      </c>
      <c r="I1985" s="5" t="s">
        <v>22</v>
      </c>
      <c r="J1985" s="5" t="s">
        <v>156</v>
      </c>
      <c r="K1985" s="6">
        <v>0</v>
      </c>
      <c r="L1985" s="7">
        <v>72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0</v>
      </c>
      <c r="S1985" s="8">
        <v>0</v>
      </c>
      <c r="T1985" s="5">
        <v>0</v>
      </c>
      <c r="U1985" s="5">
        <v>0</v>
      </c>
      <c r="V1985" s="5">
        <f>VLOOKUP(A1985,Planilha1!B:E,4,0)</f>
        <v>0.37177548115779385</v>
      </c>
    </row>
    <row r="1986" spans="1:22" x14ac:dyDescent="0.3">
      <c r="A1986" t="str">
        <f t="shared" ref="A1986:A2049" si="62">J1986&amp;I1986</f>
        <v>LEITE UHTLACTALIS</v>
      </c>
      <c r="B1986" t="str">
        <f t="shared" si="61"/>
        <v>5307407LEITE UHTLACTALIS</v>
      </c>
      <c r="C1986" s="5" t="s">
        <v>226</v>
      </c>
      <c r="D1986" s="5" t="s">
        <v>227</v>
      </c>
      <c r="E1986" s="5" t="s">
        <v>1722</v>
      </c>
      <c r="F1986" s="5">
        <v>5307407</v>
      </c>
      <c r="G1986" s="5" t="s">
        <v>1163</v>
      </c>
      <c r="H1986" s="5" t="s">
        <v>30</v>
      </c>
      <c r="I1986" s="5" t="s">
        <v>22</v>
      </c>
      <c r="J1986" s="5" t="s">
        <v>156</v>
      </c>
      <c r="K1986" s="6">
        <v>0</v>
      </c>
      <c r="L1986" s="7">
        <v>36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0</v>
      </c>
      <c r="S1986" s="8">
        <v>0</v>
      </c>
      <c r="T1986" s="5">
        <v>0</v>
      </c>
      <c r="U1986" s="5">
        <v>0</v>
      </c>
      <c r="V1986" s="5">
        <f>VLOOKUP(A1986,Planilha1!B:E,4,0)</f>
        <v>0.37177548115779385</v>
      </c>
    </row>
    <row r="1987" spans="1:22" x14ac:dyDescent="0.3">
      <c r="A1987" t="str">
        <f t="shared" si="62"/>
        <v>MANTEIGA 5KGLACTALIS</v>
      </c>
      <c r="B1987" t="str">
        <f t="shared" ref="B1987:B2050" si="63">F1987&amp;J1987&amp;I1987</f>
        <v>5307407MANTEIGA 5KGLACTALIS</v>
      </c>
      <c r="C1987" s="5" t="s">
        <v>226</v>
      </c>
      <c r="D1987" s="5" t="s">
        <v>227</v>
      </c>
      <c r="E1987" s="5" t="s">
        <v>1722</v>
      </c>
      <c r="F1987" s="5">
        <v>5307407</v>
      </c>
      <c r="G1987" s="5" t="s">
        <v>1163</v>
      </c>
      <c r="H1987" s="5" t="s">
        <v>30</v>
      </c>
      <c r="I1987" s="5" t="s">
        <v>22</v>
      </c>
      <c r="J1987" s="5" t="s">
        <v>60</v>
      </c>
      <c r="K1987" s="6">
        <v>0</v>
      </c>
      <c r="L1987" s="7">
        <v>40</v>
      </c>
      <c r="M1987" s="8">
        <v>13.333333333333332</v>
      </c>
      <c r="N1987" s="8">
        <v>15</v>
      </c>
      <c r="O1987" s="8">
        <v>0</v>
      </c>
      <c r="P1987" s="8">
        <v>0</v>
      </c>
      <c r="Q1987" s="8">
        <v>0</v>
      </c>
      <c r="R1987" s="8">
        <v>0</v>
      </c>
      <c r="S1987" s="8">
        <v>10</v>
      </c>
      <c r="T1987" s="5">
        <v>10</v>
      </c>
      <c r="U1987" s="5">
        <v>10</v>
      </c>
      <c r="V1987" s="5">
        <f>VLOOKUP(A1987,Planilha1!B:E,4,0)</f>
        <v>11.476197020267191</v>
      </c>
    </row>
    <row r="1988" spans="1:22" x14ac:dyDescent="0.3">
      <c r="A1988" t="str">
        <f t="shared" si="62"/>
        <v>LEITE UHTLACTALIS</v>
      </c>
      <c r="B1988" t="str">
        <f t="shared" si="63"/>
        <v>5311265LEITE UHTLACTALIS</v>
      </c>
      <c r="C1988" s="5" t="s">
        <v>226</v>
      </c>
      <c r="D1988" s="5" t="s">
        <v>227</v>
      </c>
      <c r="E1988" s="5" t="s">
        <v>1722</v>
      </c>
      <c r="F1988" s="5">
        <v>5311265</v>
      </c>
      <c r="G1988" s="5" t="s">
        <v>1164</v>
      </c>
      <c r="H1988" s="5" t="s">
        <v>30</v>
      </c>
      <c r="I1988" s="5" t="s">
        <v>22</v>
      </c>
      <c r="J1988" s="5" t="s">
        <v>156</v>
      </c>
      <c r="K1988" s="6">
        <v>0</v>
      </c>
      <c r="L1988" s="7">
        <v>0</v>
      </c>
      <c r="M1988" s="8">
        <v>0</v>
      </c>
      <c r="N1988" s="8">
        <v>0</v>
      </c>
      <c r="O1988" s="8">
        <v>0</v>
      </c>
      <c r="P1988" s="8">
        <v>0</v>
      </c>
      <c r="Q1988" s="8">
        <v>168</v>
      </c>
      <c r="R1988" s="8">
        <v>0</v>
      </c>
      <c r="S1988" s="8">
        <v>0</v>
      </c>
      <c r="T1988" s="5">
        <v>0</v>
      </c>
      <c r="U1988" s="5">
        <v>0</v>
      </c>
      <c r="V1988" s="5">
        <f>VLOOKUP(A1988,Planilha1!B:E,4,0)</f>
        <v>0.37177548115779385</v>
      </c>
    </row>
    <row r="1989" spans="1:22" x14ac:dyDescent="0.3">
      <c r="A1989" t="str">
        <f t="shared" si="62"/>
        <v>LEITE UHTLACTALIS</v>
      </c>
      <c r="B1989" t="str">
        <f t="shared" si="63"/>
        <v>5314343LEITE UHTLACTALIS</v>
      </c>
      <c r="C1989" s="5" t="s">
        <v>226</v>
      </c>
      <c r="D1989" s="5" t="s">
        <v>227</v>
      </c>
      <c r="E1989" s="5" t="s">
        <v>1722</v>
      </c>
      <c r="F1989" s="5">
        <v>5314343</v>
      </c>
      <c r="G1989" s="5" t="s">
        <v>1165</v>
      </c>
      <c r="H1989" s="5" t="s">
        <v>30</v>
      </c>
      <c r="I1989" s="5" t="s">
        <v>22</v>
      </c>
      <c r="J1989" s="5" t="s">
        <v>156</v>
      </c>
      <c r="K1989" s="6">
        <v>0</v>
      </c>
      <c r="L1989" s="7">
        <v>60</v>
      </c>
      <c r="M1989" s="8">
        <v>6</v>
      </c>
      <c r="N1989" s="8">
        <v>0</v>
      </c>
      <c r="O1989" s="8">
        <v>0</v>
      </c>
      <c r="P1989" s="8">
        <v>0</v>
      </c>
      <c r="Q1989" s="8">
        <v>0</v>
      </c>
      <c r="R1989" s="8">
        <v>0</v>
      </c>
      <c r="S1989" s="8">
        <v>0</v>
      </c>
      <c r="T1989" s="5">
        <v>0</v>
      </c>
      <c r="U1989" s="5">
        <v>0</v>
      </c>
      <c r="V1989" s="5">
        <f>VLOOKUP(A1989,Planilha1!B:E,4,0)</f>
        <v>0.37177548115779385</v>
      </c>
    </row>
    <row r="1990" spans="1:22" x14ac:dyDescent="0.3">
      <c r="A1990" t="str">
        <f t="shared" si="62"/>
        <v>MANTEIGA 5KGLACTALIS</v>
      </c>
      <c r="B1990" t="str">
        <f t="shared" si="63"/>
        <v>5314343MANTEIGA 5KGLACTALIS</v>
      </c>
      <c r="C1990" s="5" t="s">
        <v>226</v>
      </c>
      <c r="D1990" s="5" t="s">
        <v>227</v>
      </c>
      <c r="E1990" s="5" t="s">
        <v>1722</v>
      </c>
      <c r="F1990" s="5">
        <v>5314343</v>
      </c>
      <c r="G1990" s="5" t="s">
        <v>1165</v>
      </c>
      <c r="H1990" s="5" t="s">
        <v>30</v>
      </c>
      <c r="I1990" s="5" t="s">
        <v>22</v>
      </c>
      <c r="J1990" s="5" t="s">
        <v>60</v>
      </c>
      <c r="K1990" s="6">
        <v>0</v>
      </c>
      <c r="L1990" s="7">
        <v>15</v>
      </c>
      <c r="M1990" s="8">
        <v>15.833333333333332</v>
      </c>
      <c r="N1990" s="8">
        <v>20</v>
      </c>
      <c r="O1990" s="8">
        <v>0</v>
      </c>
      <c r="P1990" s="8">
        <v>0</v>
      </c>
      <c r="Q1990" s="8">
        <v>0</v>
      </c>
      <c r="R1990" s="8">
        <v>0</v>
      </c>
      <c r="S1990" s="8">
        <v>10</v>
      </c>
      <c r="T1990" s="5">
        <v>10</v>
      </c>
      <c r="U1990" s="5">
        <v>0</v>
      </c>
      <c r="V1990" s="5">
        <f>VLOOKUP(A1990,Planilha1!B:E,4,0)</f>
        <v>11.476197020267191</v>
      </c>
    </row>
    <row r="1991" spans="1:22" x14ac:dyDescent="0.3">
      <c r="A1991" t="str">
        <f t="shared" si="62"/>
        <v>CREME UHTLACTALIS</v>
      </c>
      <c r="B1991" t="str">
        <f t="shared" si="63"/>
        <v>5316731CREME UHTLACTALIS</v>
      </c>
      <c r="C1991" s="5" t="s">
        <v>226</v>
      </c>
      <c r="D1991" s="5" t="s">
        <v>227</v>
      </c>
      <c r="E1991" s="5" t="s">
        <v>1722</v>
      </c>
      <c r="F1991" s="5">
        <v>5316731</v>
      </c>
      <c r="G1991" s="5" t="s">
        <v>654</v>
      </c>
      <c r="H1991" s="5" t="s">
        <v>30</v>
      </c>
      <c r="I1991" s="5" t="s">
        <v>22</v>
      </c>
      <c r="J1991" s="5" t="s">
        <v>34</v>
      </c>
      <c r="K1991" s="6">
        <v>0</v>
      </c>
      <c r="L1991" s="7">
        <v>5.4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0</v>
      </c>
      <c r="S1991" s="8">
        <v>0</v>
      </c>
      <c r="T1991" s="5">
        <v>0</v>
      </c>
      <c r="U1991" s="5">
        <v>0</v>
      </c>
      <c r="V1991" s="5">
        <f>VLOOKUP(A1991,Planilha1!B:E,4,0)</f>
        <v>-1.4094522863012933</v>
      </c>
    </row>
    <row r="1992" spans="1:22" x14ac:dyDescent="0.3">
      <c r="A1992" t="str">
        <f t="shared" si="62"/>
        <v>MANTEIGA 5KGLACTALIS</v>
      </c>
      <c r="B1992" t="str">
        <f t="shared" si="63"/>
        <v>5316965MANTEIGA 5KGLACTALIS</v>
      </c>
      <c r="C1992" s="5" t="s">
        <v>226</v>
      </c>
      <c r="D1992" s="5" t="s">
        <v>227</v>
      </c>
      <c r="E1992" s="5" t="s">
        <v>1722</v>
      </c>
      <c r="F1992" s="5">
        <v>5316965</v>
      </c>
      <c r="G1992" s="5" t="s">
        <v>1166</v>
      </c>
      <c r="H1992" s="5" t="s">
        <v>30</v>
      </c>
      <c r="I1992" s="5" t="s">
        <v>22</v>
      </c>
      <c r="J1992" s="5" t="s">
        <v>60</v>
      </c>
      <c r="K1992" s="6">
        <v>0</v>
      </c>
      <c r="L1992" s="7">
        <v>5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0</v>
      </c>
      <c r="S1992" s="8">
        <v>5</v>
      </c>
      <c r="T1992" s="5">
        <v>5</v>
      </c>
      <c r="U1992" s="5">
        <v>5</v>
      </c>
      <c r="V1992" s="5">
        <f>VLOOKUP(A1992,Planilha1!B:E,4,0)</f>
        <v>11.476197020267191</v>
      </c>
    </row>
    <row r="1993" spans="1:22" x14ac:dyDescent="0.3">
      <c r="A1993" t="str">
        <f t="shared" si="62"/>
        <v>MANTEIGA 5KGLACTALIS</v>
      </c>
      <c r="B1993" t="str">
        <f t="shared" si="63"/>
        <v>5318502MANTEIGA 5KGLACTALIS</v>
      </c>
      <c r="C1993" s="5" t="s">
        <v>226</v>
      </c>
      <c r="D1993" s="5" t="s">
        <v>227</v>
      </c>
      <c r="E1993" s="5" t="s">
        <v>1722</v>
      </c>
      <c r="F1993" s="5">
        <v>5318502</v>
      </c>
      <c r="G1993" s="5" t="s">
        <v>1167</v>
      </c>
      <c r="H1993" s="5" t="s">
        <v>30</v>
      </c>
      <c r="I1993" s="5" t="s">
        <v>22</v>
      </c>
      <c r="J1993" s="5" t="s">
        <v>60</v>
      </c>
      <c r="K1993" s="6">
        <v>0</v>
      </c>
      <c r="L1993" s="7">
        <v>0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0</v>
      </c>
      <c r="S1993" s="8">
        <v>0</v>
      </c>
      <c r="T1993" s="5">
        <v>0</v>
      </c>
      <c r="U1993" s="5">
        <v>0</v>
      </c>
      <c r="V1993" s="5">
        <f>VLOOKUP(A1993,Planilha1!B:E,4,0)</f>
        <v>11.476197020267191</v>
      </c>
    </row>
    <row r="1994" spans="1:22" x14ac:dyDescent="0.3">
      <c r="A1994" t="str">
        <f t="shared" si="62"/>
        <v>LEITE UHTLACTALIS</v>
      </c>
      <c r="B1994" t="str">
        <f t="shared" si="63"/>
        <v>5318719LEITE UHTLACTALIS</v>
      </c>
      <c r="C1994" s="5" t="s">
        <v>226</v>
      </c>
      <c r="D1994" s="5" t="s">
        <v>227</v>
      </c>
      <c r="E1994" s="5" t="s">
        <v>1722</v>
      </c>
      <c r="F1994" s="5">
        <v>5318719</v>
      </c>
      <c r="G1994" s="5" t="s">
        <v>1168</v>
      </c>
      <c r="H1994" s="5" t="s">
        <v>30</v>
      </c>
      <c r="I1994" s="5" t="s">
        <v>22</v>
      </c>
      <c r="J1994" s="5" t="s">
        <v>156</v>
      </c>
      <c r="K1994" s="6">
        <v>0</v>
      </c>
      <c r="L1994" s="7">
        <v>0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0</v>
      </c>
      <c r="S1994" s="8">
        <v>0</v>
      </c>
      <c r="T1994" s="5">
        <v>0</v>
      </c>
      <c r="U1994" s="5">
        <v>0</v>
      </c>
      <c r="V1994" s="5">
        <f>VLOOKUP(A1994,Planilha1!B:E,4,0)</f>
        <v>0.37177548115779385</v>
      </c>
    </row>
    <row r="1995" spans="1:22" x14ac:dyDescent="0.3">
      <c r="A1995" t="str">
        <f t="shared" si="62"/>
        <v>LEITE UHTLACTALIS</v>
      </c>
      <c r="B1995" t="str">
        <f t="shared" si="63"/>
        <v>5318912LEITE UHTLACTALIS</v>
      </c>
      <c r="C1995" s="5" t="s">
        <v>226</v>
      </c>
      <c r="D1995" s="5" t="s">
        <v>227</v>
      </c>
      <c r="E1995" s="5" t="s">
        <v>1722</v>
      </c>
      <c r="F1995" s="5">
        <v>5318912</v>
      </c>
      <c r="G1995" s="5" t="s">
        <v>1169</v>
      </c>
      <c r="H1995" s="5" t="s">
        <v>30</v>
      </c>
      <c r="I1995" s="5" t="s">
        <v>22</v>
      </c>
      <c r="J1995" s="5" t="s">
        <v>156</v>
      </c>
      <c r="K1995" s="6">
        <v>0</v>
      </c>
      <c r="L1995" s="7">
        <v>0</v>
      </c>
      <c r="M1995" s="8">
        <v>44</v>
      </c>
      <c r="N1995" s="8">
        <v>88</v>
      </c>
      <c r="O1995" s="8">
        <v>0</v>
      </c>
      <c r="P1995" s="8">
        <v>0</v>
      </c>
      <c r="Q1995" s="8">
        <v>0</v>
      </c>
      <c r="R1995" s="8">
        <v>0</v>
      </c>
      <c r="S1995" s="8">
        <v>0</v>
      </c>
      <c r="T1995" s="5">
        <v>0</v>
      </c>
      <c r="U1995" s="5">
        <v>0</v>
      </c>
      <c r="V1995" s="5">
        <f>VLOOKUP(A1995,Planilha1!B:E,4,0)</f>
        <v>0.37177548115779385</v>
      </c>
    </row>
    <row r="1996" spans="1:22" x14ac:dyDescent="0.3">
      <c r="A1996" t="str">
        <f t="shared" si="62"/>
        <v>LEITE UHTLACTALIS</v>
      </c>
      <c r="B1996" t="str">
        <f t="shared" si="63"/>
        <v>5318914LEITE UHTLACTALIS</v>
      </c>
      <c r="C1996" s="5" t="s">
        <v>226</v>
      </c>
      <c r="D1996" s="5" t="s">
        <v>227</v>
      </c>
      <c r="E1996" s="5" t="s">
        <v>1722</v>
      </c>
      <c r="F1996" s="5">
        <v>5318914</v>
      </c>
      <c r="G1996" s="5" t="s">
        <v>1170</v>
      </c>
      <c r="H1996" s="5" t="s">
        <v>30</v>
      </c>
      <c r="I1996" s="5" t="s">
        <v>22</v>
      </c>
      <c r="J1996" s="5" t="s">
        <v>156</v>
      </c>
      <c r="K1996" s="6">
        <v>0</v>
      </c>
      <c r="L1996" s="7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  <c r="S1996" s="8">
        <v>0</v>
      </c>
      <c r="T1996" s="5">
        <v>0</v>
      </c>
      <c r="U1996" s="5">
        <v>0</v>
      </c>
      <c r="V1996" s="5">
        <f>VLOOKUP(A1996,Planilha1!B:E,4,0)</f>
        <v>0.37177548115779385</v>
      </c>
    </row>
    <row r="1997" spans="1:22" x14ac:dyDescent="0.3">
      <c r="A1997" t="str">
        <f t="shared" si="62"/>
        <v>LEITE UHTLACTALIS</v>
      </c>
      <c r="B1997" t="str">
        <f t="shared" si="63"/>
        <v>5318916LEITE UHTLACTALIS</v>
      </c>
      <c r="C1997" s="5" t="s">
        <v>226</v>
      </c>
      <c r="D1997" s="5" t="s">
        <v>227</v>
      </c>
      <c r="E1997" s="5" t="s">
        <v>1722</v>
      </c>
      <c r="F1997" s="5">
        <v>5318916</v>
      </c>
      <c r="G1997" s="5" t="s">
        <v>1171</v>
      </c>
      <c r="H1997" s="5" t="s">
        <v>30</v>
      </c>
      <c r="I1997" s="5" t="s">
        <v>22</v>
      </c>
      <c r="J1997" s="5" t="s">
        <v>156</v>
      </c>
      <c r="K1997" s="6">
        <v>0</v>
      </c>
      <c r="L1997" s="7">
        <v>0</v>
      </c>
      <c r="M1997" s="8">
        <v>64</v>
      </c>
      <c r="N1997" s="8">
        <v>80</v>
      </c>
      <c r="O1997" s="8">
        <v>0</v>
      </c>
      <c r="P1997" s="8">
        <v>0</v>
      </c>
      <c r="Q1997" s="8">
        <v>0</v>
      </c>
      <c r="R1997" s="8">
        <v>0</v>
      </c>
      <c r="S1997" s="8">
        <v>0</v>
      </c>
      <c r="T1997" s="5">
        <v>0</v>
      </c>
      <c r="U1997" s="5">
        <v>0</v>
      </c>
      <c r="V1997" s="5">
        <f>VLOOKUP(A1997,Planilha1!B:E,4,0)</f>
        <v>0.37177548115779385</v>
      </c>
    </row>
    <row r="1998" spans="1:22" x14ac:dyDescent="0.3">
      <c r="A1998" t="str">
        <f t="shared" si="62"/>
        <v>QUEIJOSLACTALIS</v>
      </c>
      <c r="B1998" t="str">
        <f t="shared" si="63"/>
        <v>5318961QUEIJOSLACTALIS</v>
      </c>
      <c r="C1998" s="5" t="s">
        <v>226</v>
      </c>
      <c r="D1998" s="5" t="s">
        <v>227</v>
      </c>
      <c r="E1998" s="5" t="s">
        <v>1722</v>
      </c>
      <c r="F1998" s="5">
        <v>5318961</v>
      </c>
      <c r="G1998" s="5" t="s">
        <v>1172</v>
      </c>
      <c r="H1998" s="5" t="s">
        <v>30</v>
      </c>
      <c r="I1998" s="5" t="s">
        <v>22</v>
      </c>
      <c r="J1998" s="5" t="s">
        <v>63</v>
      </c>
      <c r="K1998" s="6">
        <v>0</v>
      </c>
      <c r="L1998" s="7">
        <v>23.81</v>
      </c>
      <c r="M1998" s="8">
        <v>1.9416666666666667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  <c r="S1998" s="8">
        <v>0</v>
      </c>
      <c r="T1998" s="5">
        <v>0</v>
      </c>
      <c r="U1998" s="5">
        <v>0</v>
      </c>
      <c r="V1998" s="5">
        <f>VLOOKUP(A1998,Planilha1!B:E,4,0)</f>
        <v>-1.9171310037550682</v>
      </c>
    </row>
    <row r="1999" spans="1:22" x14ac:dyDescent="0.3">
      <c r="A1999" t="str">
        <f t="shared" si="62"/>
        <v>IOGURTESLACTALIS</v>
      </c>
      <c r="B1999" t="str">
        <f t="shared" si="63"/>
        <v>5320895IOGURTESLACTALIS</v>
      </c>
      <c r="C1999" s="5" t="s">
        <v>226</v>
      </c>
      <c r="D1999" s="5" t="s">
        <v>227</v>
      </c>
      <c r="E1999" s="5" t="s">
        <v>1722</v>
      </c>
      <c r="F1999" s="5">
        <v>5320895</v>
      </c>
      <c r="G1999" s="5" t="s">
        <v>1173</v>
      </c>
      <c r="H1999" s="5" t="s">
        <v>30</v>
      </c>
      <c r="I1999" s="5" t="s">
        <v>22</v>
      </c>
      <c r="J1999" s="5" t="s">
        <v>153</v>
      </c>
      <c r="K1999" s="6">
        <v>0</v>
      </c>
      <c r="L1999" s="7">
        <v>106.08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  <c r="S1999" s="8">
        <v>0</v>
      </c>
      <c r="T1999" s="5">
        <v>0</v>
      </c>
      <c r="U1999" s="5">
        <v>0</v>
      </c>
      <c r="V1999" s="5">
        <f>VLOOKUP(A1999,Planilha1!B:E,4,0)</f>
        <v>3.0503167986984403</v>
      </c>
    </row>
    <row r="2000" spans="1:22" x14ac:dyDescent="0.3">
      <c r="A2000" t="str">
        <f t="shared" si="62"/>
        <v>MANTEIGA 5KGLACTALIS</v>
      </c>
      <c r="B2000" t="str">
        <f t="shared" si="63"/>
        <v>5323305MANTEIGA 5KGLACTALIS</v>
      </c>
      <c r="C2000" s="5" t="s">
        <v>226</v>
      </c>
      <c r="D2000" s="5" t="s">
        <v>227</v>
      </c>
      <c r="E2000" s="5" t="s">
        <v>1722</v>
      </c>
      <c r="F2000" s="5">
        <v>5323305</v>
      </c>
      <c r="G2000" s="5" t="s">
        <v>1174</v>
      </c>
      <c r="H2000" s="5" t="s">
        <v>30</v>
      </c>
      <c r="I2000" s="5" t="s">
        <v>22</v>
      </c>
      <c r="J2000" s="5" t="s">
        <v>60</v>
      </c>
      <c r="K2000" s="6">
        <v>0</v>
      </c>
      <c r="L2000" s="7">
        <v>20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  <c r="S2000" s="8">
        <v>0</v>
      </c>
      <c r="T2000" s="5">
        <v>0</v>
      </c>
      <c r="U2000" s="5">
        <v>0</v>
      </c>
      <c r="V2000" s="5">
        <f>VLOOKUP(A2000,Planilha1!B:E,4,0)</f>
        <v>11.476197020267191</v>
      </c>
    </row>
    <row r="2001" spans="1:22" x14ac:dyDescent="0.3">
      <c r="A2001" t="str">
        <f t="shared" si="62"/>
        <v>MANTEIGA 5KGLACTALIS</v>
      </c>
      <c r="B2001" t="str">
        <f t="shared" si="63"/>
        <v>5323737MANTEIGA 5KGLACTALIS</v>
      </c>
      <c r="C2001" s="5" t="s">
        <v>226</v>
      </c>
      <c r="D2001" s="5" t="s">
        <v>227</v>
      </c>
      <c r="E2001" s="5" t="s">
        <v>1722</v>
      </c>
      <c r="F2001" s="5">
        <v>5323737</v>
      </c>
      <c r="G2001" s="5" t="s">
        <v>659</v>
      </c>
      <c r="H2001" s="5" t="s">
        <v>30</v>
      </c>
      <c r="I2001" s="5" t="s">
        <v>22</v>
      </c>
      <c r="J2001" s="5" t="s">
        <v>60</v>
      </c>
      <c r="K2001" s="6">
        <v>0</v>
      </c>
      <c r="L2001" s="7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  <c r="S2001" s="8">
        <v>0</v>
      </c>
      <c r="T2001" s="5">
        <v>0</v>
      </c>
      <c r="U2001" s="5">
        <v>0</v>
      </c>
      <c r="V2001" s="5">
        <f>VLOOKUP(A2001,Planilha1!B:E,4,0)</f>
        <v>11.476197020267191</v>
      </c>
    </row>
    <row r="2002" spans="1:22" x14ac:dyDescent="0.3">
      <c r="A2002" t="str">
        <f t="shared" si="62"/>
        <v>MANTEIGA 5KGLACTALIS</v>
      </c>
      <c r="B2002" t="str">
        <f t="shared" si="63"/>
        <v>5326669MANTEIGA 5KGLACTALIS</v>
      </c>
      <c r="C2002" s="5" t="s">
        <v>226</v>
      </c>
      <c r="D2002" s="5" t="s">
        <v>227</v>
      </c>
      <c r="E2002" s="5" t="s">
        <v>1722</v>
      </c>
      <c r="F2002" s="5">
        <v>5326669</v>
      </c>
      <c r="G2002" s="5" t="s">
        <v>665</v>
      </c>
      <c r="H2002" s="5" t="s">
        <v>30</v>
      </c>
      <c r="I2002" s="5" t="s">
        <v>22</v>
      </c>
      <c r="J2002" s="5" t="s">
        <v>60</v>
      </c>
      <c r="K2002" s="6">
        <v>0</v>
      </c>
      <c r="L2002" s="7">
        <v>50</v>
      </c>
      <c r="M2002" s="8">
        <v>33.333333333333329</v>
      </c>
      <c r="N2002" s="8">
        <v>66.666666666666671</v>
      </c>
      <c r="O2002" s="8">
        <v>0</v>
      </c>
      <c r="P2002" s="8">
        <v>0</v>
      </c>
      <c r="Q2002" s="8">
        <v>0</v>
      </c>
      <c r="R2002" s="8">
        <v>0</v>
      </c>
      <c r="S2002" s="8">
        <v>50</v>
      </c>
      <c r="T2002" s="5">
        <v>50</v>
      </c>
      <c r="U2002" s="5">
        <v>400</v>
      </c>
      <c r="V2002" s="5">
        <f>VLOOKUP(A2002,Planilha1!B:E,4,0)</f>
        <v>11.476197020267191</v>
      </c>
    </row>
    <row r="2003" spans="1:22" x14ac:dyDescent="0.3">
      <c r="A2003" t="str">
        <f t="shared" si="62"/>
        <v>LEITE UHTLACTALIS</v>
      </c>
      <c r="B2003" t="str">
        <f t="shared" si="63"/>
        <v>5326812LEITE UHTLACTALIS</v>
      </c>
      <c r="C2003" s="5" t="s">
        <v>226</v>
      </c>
      <c r="D2003" s="5" t="s">
        <v>227</v>
      </c>
      <c r="E2003" s="5" t="s">
        <v>1722</v>
      </c>
      <c r="F2003" s="5">
        <v>5326812</v>
      </c>
      <c r="G2003" s="5" t="s">
        <v>1175</v>
      </c>
      <c r="H2003" s="5" t="s">
        <v>30</v>
      </c>
      <c r="I2003" s="5" t="s">
        <v>22</v>
      </c>
      <c r="J2003" s="5" t="s">
        <v>156</v>
      </c>
      <c r="K2003" s="6">
        <v>0</v>
      </c>
      <c r="L2003" s="7">
        <v>24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  <c r="S2003" s="8">
        <v>0</v>
      </c>
      <c r="T2003" s="5">
        <v>0</v>
      </c>
      <c r="U2003" s="5">
        <v>0</v>
      </c>
      <c r="V2003" s="5">
        <f>VLOOKUP(A2003,Planilha1!B:E,4,0)</f>
        <v>0.37177548115779385</v>
      </c>
    </row>
    <row r="2004" spans="1:22" x14ac:dyDescent="0.3">
      <c r="A2004" t="str">
        <f t="shared" si="62"/>
        <v>MANTEIGA 5KGLACTALIS</v>
      </c>
      <c r="B2004" t="str">
        <f t="shared" si="63"/>
        <v>5326812MANTEIGA 5KGLACTALIS</v>
      </c>
      <c r="C2004" s="5" t="s">
        <v>226</v>
      </c>
      <c r="D2004" s="5" t="s">
        <v>227</v>
      </c>
      <c r="E2004" s="5" t="s">
        <v>1722</v>
      </c>
      <c r="F2004" s="5">
        <v>5326812</v>
      </c>
      <c r="G2004" s="5" t="s">
        <v>1175</v>
      </c>
      <c r="H2004" s="5" t="s">
        <v>30</v>
      </c>
      <c r="I2004" s="5" t="s">
        <v>22</v>
      </c>
      <c r="J2004" s="5" t="s">
        <v>60</v>
      </c>
      <c r="K2004" s="6">
        <v>0</v>
      </c>
      <c r="L2004" s="7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  <c r="S2004" s="8">
        <v>0</v>
      </c>
      <c r="T2004" s="5">
        <v>0</v>
      </c>
      <c r="U2004" s="5">
        <v>0</v>
      </c>
      <c r="V2004" s="5">
        <f>VLOOKUP(A2004,Planilha1!B:E,4,0)</f>
        <v>11.476197020267191</v>
      </c>
    </row>
    <row r="2005" spans="1:22" x14ac:dyDescent="0.3">
      <c r="A2005" t="str">
        <f t="shared" si="62"/>
        <v>MANTEIGA 5KGLACTALIS</v>
      </c>
      <c r="B2005" t="str">
        <f t="shared" si="63"/>
        <v>5330238MANTEIGA 5KGLACTALIS</v>
      </c>
      <c r="C2005" s="5" t="s">
        <v>226</v>
      </c>
      <c r="D2005" s="5" t="s">
        <v>227</v>
      </c>
      <c r="E2005" s="5" t="s">
        <v>1722</v>
      </c>
      <c r="F2005" s="5">
        <v>5330238</v>
      </c>
      <c r="G2005" s="5" t="s">
        <v>1176</v>
      </c>
      <c r="H2005" s="5" t="s">
        <v>30</v>
      </c>
      <c r="I2005" s="5" t="s">
        <v>22</v>
      </c>
      <c r="J2005" s="5" t="s">
        <v>60</v>
      </c>
      <c r="K2005" s="6">
        <v>0</v>
      </c>
      <c r="L2005" s="7">
        <v>5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  <c r="S2005" s="8">
        <v>0</v>
      </c>
      <c r="T2005" s="5">
        <v>0</v>
      </c>
      <c r="U2005" s="5">
        <v>0</v>
      </c>
      <c r="V2005" s="5">
        <f>VLOOKUP(A2005,Planilha1!B:E,4,0)</f>
        <v>11.476197020267191</v>
      </c>
    </row>
    <row r="2006" spans="1:22" x14ac:dyDescent="0.3">
      <c r="A2006" t="str">
        <f t="shared" si="62"/>
        <v>IOGURTESLACTALIS</v>
      </c>
      <c r="B2006" t="str">
        <f t="shared" si="63"/>
        <v>5331205IOGURTESLACTALIS</v>
      </c>
      <c r="C2006" s="5" t="s">
        <v>226</v>
      </c>
      <c r="D2006" s="5" t="s">
        <v>227</v>
      </c>
      <c r="E2006" s="5" t="s">
        <v>1722</v>
      </c>
      <c r="F2006" s="5">
        <v>5331205</v>
      </c>
      <c r="G2006" s="5" t="s">
        <v>662</v>
      </c>
      <c r="H2006" s="5" t="s">
        <v>30</v>
      </c>
      <c r="I2006" s="5" t="s">
        <v>22</v>
      </c>
      <c r="J2006" s="5" t="s">
        <v>153</v>
      </c>
      <c r="K2006" s="6">
        <v>0</v>
      </c>
      <c r="L2006" s="7">
        <v>65.599999999999994</v>
      </c>
      <c r="M2006" s="8">
        <v>9.16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  <c r="S2006" s="8">
        <v>0</v>
      </c>
      <c r="T2006" s="5">
        <v>0</v>
      </c>
      <c r="U2006" s="5">
        <v>0</v>
      </c>
      <c r="V2006" s="5">
        <f>VLOOKUP(A2006,Planilha1!B:E,4,0)</f>
        <v>3.0503167986984403</v>
      </c>
    </row>
    <row r="2007" spans="1:22" x14ac:dyDescent="0.3">
      <c r="A2007" t="str">
        <f t="shared" si="62"/>
        <v>LEITE UHTLACTALIS</v>
      </c>
      <c r="B2007" t="str">
        <f t="shared" si="63"/>
        <v>5335178LEITE UHTLACTALIS</v>
      </c>
      <c r="C2007" s="5" t="s">
        <v>226</v>
      </c>
      <c r="D2007" s="5" t="s">
        <v>227</v>
      </c>
      <c r="E2007" s="5" t="s">
        <v>1722</v>
      </c>
      <c r="F2007" s="5">
        <v>5335178</v>
      </c>
      <c r="G2007" s="5" t="s">
        <v>1177</v>
      </c>
      <c r="H2007" s="5" t="s">
        <v>30</v>
      </c>
      <c r="I2007" s="5" t="s">
        <v>22</v>
      </c>
      <c r="J2007" s="5" t="s">
        <v>156</v>
      </c>
      <c r="K2007" s="6">
        <v>0</v>
      </c>
      <c r="L2007" s="7">
        <v>0</v>
      </c>
      <c r="M2007" s="8">
        <v>0</v>
      </c>
      <c r="N2007" s="8">
        <v>0</v>
      </c>
      <c r="O2007" s="8">
        <v>0</v>
      </c>
      <c r="P2007" s="8">
        <v>0</v>
      </c>
      <c r="Q2007" s="8">
        <v>0</v>
      </c>
      <c r="R2007" s="8">
        <v>0</v>
      </c>
      <c r="S2007" s="8">
        <v>0</v>
      </c>
      <c r="T2007" s="5">
        <v>0</v>
      </c>
      <c r="U2007" s="5">
        <v>0</v>
      </c>
      <c r="V2007" s="5">
        <f>VLOOKUP(A2007,Planilha1!B:E,4,0)</f>
        <v>0.37177548115779385</v>
      </c>
    </row>
    <row r="2008" spans="1:22" x14ac:dyDescent="0.3">
      <c r="A2008" t="str">
        <f t="shared" si="62"/>
        <v>LEITE UHTLACTALIS</v>
      </c>
      <c r="B2008" t="str">
        <f t="shared" si="63"/>
        <v>5335701LEITE UHTLACTALIS</v>
      </c>
      <c r="C2008" s="5" t="s">
        <v>226</v>
      </c>
      <c r="D2008" s="5" t="s">
        <v>227</v>
      </c>
      <c r="E2008" s="5" t="s">
        <v>1722</v>
      </c>
      <c r="F2008" s="5">
        <v>5335701</v>
      </c>
      <c r="G2008" s="5" t="s">
        <v>663</v>
      </c>
      <c r="H2008" s="5" t="s">
        <v>30</v>
      </c>
      <c r="I2008" s="5" t="s">
        <v>22</v>
      </c>
      <c r="J2008" s="5" t="s">
        <v>156</v>
      </c>
      <c r="K2008" s="6">
        <v>0</v>
      </c>
      <c r="L2008" s="7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0</v>
      </c>
      <c r="S2008" s="8">
        <v>0</v>
      </c>
      <c r="T2008" s="5">
        <v>0</v>
      </c>
      <c r="U2008" s="5">
        <v>0</v>
      </c>
      <c r="V2008" s="5">
        <f>VLOOKUP(A2008,Planilha1!B:E,4,0)</f>
        <v>0.37177548115779385</v>
      </c>
    </row>
    <row r="2009" spans="1:22" x14ac:dyDescent="0.3">
      <c r="A2009" t="str">
        <f t="shared" si="62"/>
        <v>LEITE UHTLACTALIS</v>
      </c>
      <c r="B2009" t="str">
        <f t="shared" si="63"/>
        <v>5336119LEITE UHTLACTALIS</v>
      </c>
      <c r="C2009" s="5" t="s">
        <v>226</v>
      </c>
      <c r="D2009" s="5" t="s">
        <v>227</v>
      </c>
      <c r="E2009" s="5" t="s">
        <v>1722</v>
      </c>
      <c r="F2009" s="5">
        <v>5336119</v>
      </c>
      <c r="G2009" s="5" t="s">
        <v>1178</v>
      </c>
      <c r="H2009" s="5" t="s">
        <v>30</v>
      </c>
      <c r="I2009" s="5" t="s">
        <v>22</v>
      </c>
      <c r="J2009" s="5" t="s">
        <v>156</v>
      </c>
      <c r="K2009" s="6">
        <v>0</v>
      </c>
      <c r="L2009" s="7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  <c r="S2009" s="8">
        <v>0</v>
      </c>
      <c r="T2009" s="5">
        <v>0</v>
      </c>
      <c r="U2009" s="5">
        <v>0</v>
      </c>
      <c r="V2009" s="5">
        <f>VLOOKUP(A2009,Planilha1!B:E,4,0)</f>
        <v>0.37177548115779385</v>
      </c>
    </row>
    <row r="2010" spans="1:22" x14ac:dyDescent="0.3">
      <c r="A2010" t="str">
        <f t="shared" si="62"/>
        <v>LEITE UHTLACTALIS</v>
      </c>
      <c r="B2010" t="str">
        <f t="shared" si="63"/>
        <v>5337000LEITE UHTLACTALIS</v>
      </c>
      <c r="C2010" s="5" t="s">
        <v>226</v>
      </c>
      <c r="D2010" s="5" t="s">
        <v>227</v>
      </c>
      <c r="E2010" s="5" t="s">
        <v>1722</v>
      </c>
      <c r="F2010" s="5">
        <v>5337000</v>
      </c>
      <c r="G2010" s="5" t="s">
        <v>1179</v>
      </c>
      <c r="H2010" s="5" t="s">
        <v>30</v>
      </c>
      <c r="I2010" s="5" t="s">
        <v>22</v>
      </c>
      <c r="J2010" s="5" t="s">
        <v>156</v>
      </c>
      <c r="K2010" s="6">
        <v>0</v>
      </c>
      <c r="L2010" s="7">
        <v>0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0</v>
      </c>
      <c r="S2010" s="8">
        <v>0</v>
      </c>
      <c r="T2010" s="5">
        <v>0</v>
      </c>
      <c r="U2010" s="5">
        <v>0</v>
      </c>
      <c r="V2010" s="5">
        <f>VLOOKUP(A2010,Planilha1!B:E,4,0)</f>
        <v>0.37177548115779385</v>
      </c>
    </row>
    <row r="2011" spans="1:22" x14ac:dyDescent="0.3">
      <c r="A2011" t="str">
        <f t="shared" si="62"/>
        <v>LEITE UHTLACTALIS</v>
      </c>
      <c r="B2011" t="str">
        <f t="shared" si="63"/>
        <v>5337340LEITE UHTLACTALIS</v>
      </c>
      <c r="C2011" s="5" t="s">
        <v>226</v>
      </c>
      <c r="D2011" s="5" t="s">
        <v>227</v>
      </c>
      <c r="E2011" s="5" t="s">
        <v>1722</v>
      </c>
      <c r="F2011" s="5">
        <v>5337340</v>
      </c>
      <c r="G2011" s="5" t="s">
        <v>1180</v>
      </c>
      <c r="H2011" s="5" t="s">
        <v>30</v>
      </c>
      <c r="I2011" s="5" t="s">
        <v>22</v>
      </c>
      <c r="J2011" s="5" t="s">
        <v>156</v>
      </c>
      <c r="K2011" s="6">
        <v>0</v>
      </c>
      <c r="L2011" s="7">
        <v>0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0</v>
      </c>
      <c r="S2011" s="8">
        <v>0</v>
      </c>
      <c r="T2011" s="5">
        <v>0</v>
      </c>
      <c r="U2011" s="5">
        <v>0</v>
      </c>
      <c r="V2011" s="5">
        <f>VLOOKUP(A2011,Planilha1!B:E,4,0)</f>
        <v>0.37177548115779385</v>
      </c>
    </row>
    <row r="2012" spans="1:22" x14ac:dyDescent="0.3">
      <c r="A2012" t="str">
        <f t="shared" si="62"/>
        <v>LEITE UHTLACTALIS</v>
      </c>
      <c r="B2012" t="str">
        <f t="shared" si="63"/>
        <v>5341874LEITE UHTLACTALIS</v>
      </c>
      <c r="C2012" s="5" t="s">
        <v>226</v>
      </c>
      <c r="D2012" s="5" t="s">
        <v>227</v>
      </c>
      <c r="E2012" s="5" t="s">
        <v>1722</v>
      </c>
      <c r="F2012" s="5">
        <v>5341874</v>
      </c>
      <c r="G2012" s="5" t="s">
        <v>1181</v>
      </c>
      <c r="H2012" s="5" t="s">
        <v>30</v>
      </c>
      <c r="I2012" s="5" t="s">
        <v>22</v>
      </c>
      <c r="J2012" s="5" t="s">
        <v>156</v>
      </c>
      <c r="K2012" s="6">
        <v>0</v>
      </c>
      <c r="L2012" s="7">
        <v>0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0</v>
      </c>
      <c r="S2012" s="8">
        <v>0</v>
      </c>
      <c r="T2012" s="5">
        <v>0</v>
      </c>
      <c r="U2012" s="5">
        <v>0</v>
      </c>
      <c r="V2012" s="5">
        <f>VLOOKUP(A2012,Planilha1!B:E,4,0)</f>
        <v>0.37177548115779385</v>
      </c>
    </row>
    <row r="2013" spans="1:22" x14ac:dyDescent="0.3">
      <c r="A2013" t="str">
        <f t="shared" si="62"/>
        <v>DOCE DE LEITELACTALIS</v>
      </c>
      <c r="B2013" t="str">
        <f t="shared" si="63"/>
        <v>5015829DOCE DE LEITELACTALIS</v>
      </c>
      <c r="C2013" s="5" t="s">
        <v>226</v>
      </c>
      <c r="D2013" s="5" t="s">
        <v>227</v>
      </c>
      <c r="E2013" s="5" t="s">
        <v>1722</v>
      </c>
      <c r="F2013" s="5">
        <v>5015829</v>
      </c>
      <c r="G2013" s="5" t="s">
        <v>1182</v>
      </c>
      <c r="H2013" s="5" t="s">
        <v>30</v>
      </c>
      <c r="I2013" s="5" t="s">
        <v>22</v>
      </c>
      <c r="J2013" s="5" t="s">
        <v>46</v>
      </c>
      <c r="K2013" s="6">
        <v>0</v>
      </c>
      <c r="L2013" s="7">
        <v>3168</v>
      </c>
      <c r="M2013" s="8">
        <v>1019.9583333333334</v>
      </c>
      <c r="N2013" s="8">
        <v>840</v>
      </c>
      <c r="O2013" s="8">
        <v>0</v>
      </c>
      <c r="P2013" s="8">
        <v>0</v>
      </c>
      <c r="Q2013" s="8">
        <v>0</v>
      </c>
      <c r="R2013" s="8">
        <v>0</v>
      </c>
      <c r="S2013" s="8">
        <v>0</v>
      </c>
      <c r="T2013" s="5">
        <v>0</v>
      </c>
      <c r="U2013" s="5">
        <v>0</v>
      </c>
      <c r="V2013" s="5">
        <f>VLOOKUP(A2013,Planilha1!B:E,4,0)</f>
        <v>5.6473514327668077</v>
      </c>
    </row>
    <row r="2014" spans="1:22" x14ac:dyDescent="0.3">
      <c r="A2014" t="str">
        <f t="shared" si="62"/>
        <v>LEITE EM PÓLACTALIS</v>
      </c>
      <c r="B2014" t="str">
        <f t="shared" si="63"/>
        <v>5015829LEITE EM PÓLACTALIS</v>
      </c>
      <c r="C2014" s="5" t="s">
        <v>226</v>
      </c>
      <c r="D2014" s="5" t="s">
        <v>227</v>
      </c>
      <c r="E2014" s="5" t="s">
        <v>1722</v>
      </c>
      <c r="F2014" s="5">
        <v>5015829</v>
      </c>
      <c r="G2014" s="5" t="s">
        <v>1182</v>
      </c>
      <c r="H2014" s="5" t="s">
        <v>30</v>
      </c>
      <c r="I2014" s="5" t="s">
        <v>22</v>
      </c>
      <c r="J2014" s="5" t="s">
        <v>84</v>
      </c>
      <c r="K2014" s="6">
        <v>0</v>
      </c>
      <c r="L2014" s="7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  <c r="S2014" s="8">
        <v>0</v>
      </c>
      <c r="T2014" s="5">
        <v>0</v>
      </c>
      <c r="U2014" s="5">
        <v>0</v>
      </c>
      <c r="V2014" s="5">
        <f>VLOOKUP(A2014,Planilha1!B:E,4,0)</f>
        <v>-2.8055507108797499</v>
      </c>
    </row>
    <row r="2015" spans="1:22" x14ac:dyDescent="0.3">
      <c r="A2015" t="str">
        <f t="shared" si="62"/>
        <v>LEITE UHTLACTALIS</v>
      </c>
      <c r="B2015" t="str">
        <f t="shared" si="63"/>
        <v>5180549LEITE UHTLACTALIS</v>
      </c>
      <c r="C2015" s="5" t="s">
        <v>226</v>
      </c>
      <c r="D2015" s="5" t="s">
        <v>227</v>
      </c>
      <c r="E2015" s="5" t="s">
        <v>1722</v>
      </c>
      <c r="F2015" s="5">
        <v>5180549</v>
      </c>
      <c r="G2015" s="5" t="s">
        <v>391</v>
      </c>
      <c r="H2015" s="5" t="s">
        <v>30</v>
      </c>
      <c r="I2015" s="5" t="s">
        <v>22</v>
      </c>
      <c r="J2015" s="5" t="s">
        <v>156</v>
      </c>
      <c r="K2015" s="6">
        <v>0</v>
      </c>
      <c r="L2015" s="7">
        <v>0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0</v>
      </c>
      <c r="S2015" s="8">
        <v>0</v>
      </c>
      <c r="T2015" s="5">
        <v>0</v>
      </c>
      <c r="U2015" s="5">
        <v>0</v>
      </c>
      <c r="V2015" s="5">
        <f>VLOOKUP(A2015,Planilha1!B:E,4,0)</f>
        <v>0.37177548115779385</v>
      </c>
    </row>
    <row r="2016" spans="1:22" x14ac:dyDescent="0.3">
      <c r="A2016" t="str">
        <f t="shared" si="62"/>
        <v>DOCE DE LEITELACTALIS</v>
      </c>
      <c r="B2016" t="str">
        <f t="shared" si="63"/>
        <v>5261543DOCE DE LEITELACTALIS</v>
      </c>
      <c r="C2016" s="5" t="s">
        <v>226</v>
      </c>
      <c r="D2016" s="5" t="s">
        <v>227</v>
      </c>
      <c r="E2016" s="5" t="s">
        <v>1722</v>
      </c>
      <c r="F2016" s="5">
        <v>5261543</v>
      </c>
      <c r="G2016" s="5" t="s">
        <v>1183</v>
      </c>
      <c r="H2016" s="5" t="s">
        <v>30</v>
      </c>
      <c r="I2016" s="5" t="s">
        <v>22</v>
      </c>
      <c r="J2016" s="5" t="s">
        <v>46</v>
      </c>
      <c r="K2016" s="6">
        <v>0</v>
      </c>
      <c r="L2016" s="7">
        <v>135</v>
      </c>
      <c r="M2016" s="8">
        <v>93</v>
      </c>
      <c r="N2016" s="8">
        <v>102</v>
      </c>
      <c r="O2016" s="8">
        <v>0</v>
      </c>
      <c r="P2016" s="8">
        <v>0</v>
      </c>
      <c r="Q2016" s="8">
        <v>0</v>
      </c>
      <c r="R2016" s="8">
        <v>0</v>
      </c>
      <c r="S2016" s="8">
        <v>90</v>
      </c>
      <c r="T2016" s="5">
        <v>90</v>
      </c>
      <c r="U2016" s="5">
        <v>0</v>
      </c>
      <c r="V2016" s="5">
        <f>VLOOKUP(A2016,Planilha1!B:E,4,0)</f>
        <v>5.6473514327668077</v>
      </c>
    </row>
    <row r="2017" spans="1:22" x14ac:dyDescent="0.3">
      <c r="A2017" t="str">
        <f t="shared" si="62"/>
        <v>LEITE UHTLACTALIS</v>
      </c>
      <c r="B2017" t="str">
        <f t="shared" si="63"/>
        <v>5262833LEITE UHTLACTALIS</v>
      </c>
      <c r="C2017" s="5" t="s">
        <v>226</v>
      </c>
      <c r="D2017" s="5" t="s">
        <v>227</v>
      </c>
      <c r="E2017" s="5" t="s">
        <v>1722</v>
      </c>
      <c r="F2017" s="5">
        <v>5262833</v>
      </c>
      <c r="G2017" s="5" t="s">
        <v>1184</v>
      </c>
      <c r="H2017" s="5" t="s">
        <v>30</v>
      </c>
      <c r="I2017" s="5" t="s">
        <v>22</v>
      </c>
      <c r="J2017" s="5" t="s">
        <v>156</v>
      </c>
      <c r="K2017" s="6">
        <v>0</v>
      </c>
      <c r="L2017" s="7">
        <v>0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0</v>
      </c>
      <c r="S2017" s="8">
        <v>0</v>
      </c>
      <c r="T2017" s="5">
        <v>0</v>
      </c>
      <c r="U2017" s="5">
        <v>0</v>
      </c>
      <c r="V2017" s="5">
        <f>VLOOKUP(A2017,Planilha1!B:E,4,0)</f>
        <v>0.37177548115779385</v>
      </c>
    </row>
    <row r="2018" spans="1:22" x14ac:dyDescent="0.3">
      <c r="A2018" t="str">
        <f t="shared" si="62"/>
        <v>DOCE DE LEITELACTALIS</v>
      </c>
      <c r="B2018" t="str">
        <f t="shared" si="63"/>
        <v>5266506DOCE DE LEITELACTALIS</v>
      </c>
      <c r="C2018" s="5" t="s">
        <v>226</v>
      </c>
      <c r="D2018" s="5" t="s">
        <v>227</v>
      </c>
      <c r="E2018" s="5" t="s">
        <v>1722</v>
      </c>
      <c r="F2018" s="5">
        <v>5266506</v>
      </c>
      <c r="G2018" s="5" t="s">
        <v>1185</v>
      </c>
      <c r="H2018" s="5" t="s">
        <v>30</v>
      </c>
      <c r="I2018" s="5" t="s">
        <v>22</v>
      </c>
      <c r="J2018" s="5" t="s">
        <v>46</v>
      </c>
      <c r="K2018" s="6">
        <v>0</v>
      </c>
      <c r="L2018" s="7">
        <v>90</v>
      </c>
      <c r="M2018" s="8">
        <v>30</v>
      </c>
      <c r="N2018" s="8">
        <v>15</v>
      </c>
      <c r="O2018" s="8">
        <v>0</v>
      </c>
      <c r="P2018" s="8">
        <v>0</v>
      </c>
      <c r="Q2018" s="8">
        <v>0</v>
      </c>
      <c r="R2018" s="8">
        <v>0</v>
      </c>
      <c r="S2018" s="8">
        <v>0</v>
      </c>
      <c r="T2018" s="5">
        <v>0</v>
      </c>
      <c r="U2018" s="5">
        <v>0</v>
      </c>
      <c r="V2018" s="5">
        <f>VLOOKUP(A2018,Planilha1!B:E,4,0)</f>
        <v>5.6473514327668077</v>
      </c>
    </row>
    <row r="2019" spans="1:22" x14ac:dyDescent="0.3">
      <c r="A2019" t="str">
        <f t="shared" si="62"/>
        <v>MANTEIGA 5KGLACTALIS</v>
      </c>
      <c r="B2019" t="str">
        <f t="shared" si="63"/>
        <v>5270949MANTEIGA 5KGLACTALIS</v>
      </c>
      <c r="C2019" s="5" t="s">
        <v>226</v>
      </c>
      <c r="D2019" s="5" t="s">
        <v>227</v>
      </c>
      <c r="E2019" s="5" t="s">
        <v>1722</v>
      </c>
      <c r="F2019" s="5">
        <v>5270949</v>
      </c>
      <c r="G2019" s="5" t="s">
        <v>1186</v>
      </c>
      <c r="H2019" s="5" t="s">
        <v>30</v>
      </c>
      <c r="I2019" s="5" t="s">
        <v>22</v>
      </c>
      <c r="J2019" s="5" t="s">
        <v>60</v>
      </c>
      <c r="K2019" s="6">
        <v>0</v>
      </c>
      <c r="L2019" s="7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  <c r="S2019" s="8">
        <v>0</v>
      </c>
      <c r="T2019" s="5">
        <v>0</v>
      </c>
      <c r="U2019" s="5">
        <v>0</v>
      </c>
      <c r="V2019" s="5">
        <f>VLOOKUP(A2019,Planilha1!B:E,4,0)</f>
        <v>11.476197020267191</v>
      </c>
    </row>
    <row r="2020" spans="1:22" x14ac:dyDescent="0.3">
      <c r="A2020" t="str">
        <f t="shared" si="62"/>
        <v>LEITE UHTLACTALIS</v>
      </c>
      <c r="B2020" t="str">
        <f t="shared" si="63"/>
        <v>5274930LEITE UHTLACTALIS</v>
      </c>
      <c r="C2020" s="5" t="s">
        <v>226</v>
      </c>
      <c r="D2020" s="5" t="s">
        <v>227</v>
      </c>
      <c r="E2020" s="5" t="s">
        <v>1722</v>
      </c>
      <c r="F2020" s="5">
        <v>5274930</v>
      </c>
      <c r="G2020" s="5" t="s">
        <v>1187</v>
      </c>
      <c r="H2020" s="5" t="s">
        <v>30</v>
      </c>
      <c r="I2020" s="5" t="s">
        <v>22</v>
      </c>
      <c r="J2020" s="5" t="s">
        <v>156</v>
      </c>
      <c r="K2020" s="6">
        <v>0</v>
      </c>
      <c r="L2020" s="7">
        <v>0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  <c r="S2020" s="8">
        <v>0</v>
      </c>
      <c r="T2020" s="5">
        <v>0</v>
      </c>
      <c r="U2020" s="5">
        <v>0</v>
      </c>
      <c r="V2020" s="5">
        <f>VLOOKUP(A2020,Planilha1!B:E,4,0)</f>
        <v>0.37177548115779385</v>
      </c>
    </row>
    <row r="2021" spans="1:22" x14ac:dyDescent="0.3">
      <c r="A2021" t="str">
        <f t="shared" si="62"/>
        <v>LEITE UHTLACTALIS</v>
      </c>
      <c r="B2021" t="str">
        <f t="shared" si="63"/>
        <v>5293026LEITE UHTLACTALIS</v>
      </c>
      <c r="C2021" s="5" t="s">
        <v>226</v>
      </c>
      <c r="D2021" s="5" t="s">
        <v>227</v>
      </c>
      <c r="E2021" s="5" t="s">
        <v>1722</v>
      </c>
      <c r="F2021" s="5">
        <v>5293026</v>
      </c>
      <c r="G2021" s="5" t="s">
        <v>1188</v>
      </c>
      <c r="H2021" s="5" t="s">
        <v>30</v>
      </c>
      <c r="I2021" s="5" t="s">
        <v>22</v>
      </c>
      <c r="J2021" s="5" t="s">
        <v>156</v>
      </c>
      <c r="K2021" s="6">
        <v>0</v>
      </c>
      <c r="L2021" s="7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  <c r="S2021" s="8">
        <v>0</v>
      </c>
      <c r="T2021" s="5">
        <v>0</v>
      </c>
      <c r="U2021" s="5">
        <v>0</v>
      </c>
      <c r="V2021" s="5">
        <f>VLOOKUP(A2021,Planilha1!B:E,4,0)</f>
        <v>0.37177548115779385</v>
      </c>
    </row>
    <row r="2022" spans="1:22" x14ac:dyDescent="0.3">
      <c r="A2022" t="str">
        <f t="shared" si="62"/>
        <v>LEITE EM PÓLACTALIS</v>
      </c>
      <c r="B2022" t="str">
        <f t="shared" si="63"/>
        <v>5316640LEITE EM PÓLACTALIS</v>
      </c>
      <c r="C2022" s="5" t="s">
        <v>226</v>
      </c>
      <c r="D2022" s="5" t="s">
        <v>227</v>
      </c>
      <c r="E2022" s="5" t="s">
        <v>1722</v>
      </c>
      <c r="F2022" s="5">
        <v>5316640</v>
      </c>
      <c r="G2022" s="5" t="s">
        <v>1189</v>
      </c>
      <c r="H2022" s="5" t="s">
        <v>30</v>
      </c>
      <c r="I2022" s="5" t="s">
        <v>22</v>
      </c>
      <c r="J2022" s="5" t="s">
        <v>84</v>
      </c>
      <c r="K2022" s="6">
        <v>0</v>
      </c>
      <c r="L2022" s="7">
        <v>18</v>
      </c>
      <c r="M2022" s="8">
        <v>0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  <c r="S2022" s="8">
        <v>0</v>
      </c>
      <c r="T2022" s="5">
        <v>0</v>
      </c>
      <c r="U2022" s="5">
        <v>0</v>
      </c>
      <c r="V2022" s="5">
        <f>VLOOKUP(A2022,Planilha1!B:E,4,0)</f>
        <v>-2.8055507108797499</v>
      </c>
    </row>
    <row r="2023" spans="1:22" x14ac:dyDescent="0.3">
      <c r="A2023" t="str">
        <f t="shared" si="62"/>
        <v>LEITE UHTLACTALIS</v>
      </c>
      <c r="B2023" t="str">
        <f t="shared" si="63"/>
        <v>5316640LEITE UHTLACTALIS</v>
      </c>
      <c r="C2023" s="5" t="s">
        <v>226</v>
      </c>
      <c r="D2023" s="5" t="s">
        <v>227</v>
      </c>
      <c r="E2023" s="5" t="s">
        <v>1722</v>
      </c>
      <c r="F2023" s="5">
        <v>5316640</v>
      </c>
      <c r="G2023" s="5" t="s">
        <v>1189</v>
      </c>
      <c r="H2023" s="5" t="s">
        <v>30</v>
      </c>
      <c r="I2023" s="5" t="s">
        <v>22</v>
      </c>
      <c r="J2023" s="5" t="s">
        <v>156</v>
      </c>
      <c r="K2023" s="6">
        <v>0</v>
      </c>
      <c r="L2023" s="7">
        <v>48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0</v>
      </c>
      <c r="S2023" s="8">
        <v>0</v>
      </c>
      <c r="T2023" s="5">
        <v>0</v>
      </c>
      <c r="U2023" s="5">
        <v>0</v>
      </c>
      <c r="V2023" s="5">
        <f>VLOOKUP(A2023,Planilha1!B:E,4,0)</f>
        <v>0.37177548115779385</v>
      </c>
    </row>
    <row r="2024" spans="1:22" x14ac:dyDescent="0.3">
      <c r="A2024" t="str">
        <f t="shared" si="62"/>
        <v>DOCE DE LEITELACTALIS</v>
      </c>
      <c r="B2024" t="str">
        <f t="shared" si="63"/>
        <v>5319203DOCE DE LEITELACTALIS</v>
      </c>
      <c r="C2024" s="5" t="s">
        <v>226</v>
      </c>
      <c r="D2024" s="5" t="s">
        <v>227</v>
      </c>
      <c r="E2024" s="5" t="s">
        <v>1722</v>
      </c>
      <c r="F2024" s="5">
        <v>5319203</v>
      </c>
      <c r="G2024" s="5" t="s">
        <v>1190</v>
      </c>
      <c r="H2024" s="5" t="s">
        <v>30</v>
      </c>
      <c r="I2024" s="5" t="s">
        <v>22</v>
      </c>
      <c r="J2024" s="5" t="s">
        <v>46</v>
      </c>
      <c r="K2024" s="6">
        <v>0</v>
      </c>
      <c r="L2024" s="7">
        <v>90</v>
      </c>
      <c r="M2024" s="8">
        <v>56.25</v>
      </c>
      <c r="N2024" s="8">
        <v>67.5</v>
      </c>
      <c r="O2024" s="8">
        <v>0</v>
      </c>
      <c r="P2024" s="8">
        <v>0</v>
      </c>
      <c r="Q2024" s="8">
        <v>0</v>
      </c>
      <c r="R2024" s="8">
        <v>0</v>
      </c>
      <c r="S2024" s="8">
        <v>68</v>
      </c>
      <c r="T2024" s="5">
        <v>68</v>
      </c>
      <c r="U2024" s="5">
        <v>0</v>
      </c>
      <c r="V2024" s="5">
        <f>VLOOKUP(A2024,Planilha1!B:E,4,0)</f>
        <v>5.6473514327668077</v>
      </c>
    </row>
    <row r="2025" spans="1:22" x14ac:dyDescent="0.3">
      <c r="A2025" t="str">
        <f t="shared" si="62"/>
        <v>IOGURTESLACTALIS</v>
      </c>
      <c r="B2025" t="str">
        <f t="shared" si="63"/>
        <v>5330147IOGURTESLACTALIS</v>
      </c>
      <c r="C2025" s="5" t="s">
        <v>226</v>
      </c>
      <c r="D2025" s="5" t="s">
        <v>227</v>
      </c>
      <c r="E2025" s="5" t="s">
        <v>1722</v>
      </c>
      <c r="F2025" s="5">
        <v>5330147</v>
      </c>
      <c r="G2025" s="5" t="s">
        <v>1191</v>
      </c>
      <c r="H2025" s="5" t="s">
        <v>30</v>
      </c>
      <c r="I2025" s="5" t="s">
        <v>22</v>
      </c>
      <c r="J2025" s="5" t="s">
        <v>153</v>
      </c>
      <c r="K2025" s="6">
        <v>0</v>
      </c>
      <c r="L2025" s="7">
        <v>0</v>
      </c>
      <c r="M2025" s="8">
        <v>0</v>
      </c>
      <c r="N2025" s="8">
        <v>0</v>
      </c>
      <c r="O2025" s="8">
        <v>0</v>
      </c>
      <c r="P2025" s="8">
        <v>0</v>
      </c>
      <c r="Q2025" s="8">
        <v>71.680000000000007</v>
      </c>
      <c r="R2025" s="8">
        <v>0</v>
      </c>
      <c r="S2025" s="8">
        <v>0</v>
      </c>
      <c r="T2025" s="5">
        <v>0</v>
      </c>
      <c r="U2025" s="5">
        <v>0</v>
      </c>
      <c r="V2025" s="5">
        <f>VLOOKUP(A2025,Planilha1!B:E,4,0)</f>
        <v>3.0503167986984403</v>
      </c>
    </row>
    <row r="2026" spans="1:22" x14ac:dyDescent="0.3">
      <c r="A2026" t="str">
        <f t="shared" si="62"/>
        <v>QUEIJOSLACTALIS</v>
      </c>
      <c r="B2026" t="str">
        <f t="shared" si="63"/>
        <v>5334288QUEIJOSLACTALIS</v>
      </c>
      <c r="C2026" s="5" t="s">
        <v>226</v>
      </c>
      <c r="D2026" s="5" t="s">
        <v>227</v>
      </c>
      <c r="E2026" s="5" t="s">
        <v>1722</v>
      </c>
      <c r="F2026" s="5">
        <v>5334288</v>
      </c>
      <c r="G2026" s="5" t="s">
        <v>1192</v>
      </c>
      <c r="H2026" s="5" t="s">
        <v>30</v>
      </c>
      <c r="I2026" s="5" t="s">
        <v>22</v>
      </c>
      <c r="J2026" s="5" t="s">
        <v>63</v>
      </c>
      <c r="K2026" s="6">
        <v>0</v>
      </c>
      <c r="L2026" s="7">
        <v>345.95100000000002</v>
      </c>
      <c r="M2026" s="8">
        <v>96</v>
      </c>
      <c r="N2026" s="8">
        <v>120</v>
      </c>
      <c r="O2026" s="8">
        <v>0</v>
      </c>
      <c r="P2026" s="8">
        <v>0</v>
      </c>
      <c r="Q2026" s="8">
        <v>0</v>
      </c>
      <c r="R2026" s="8">
        <v>0</v>
      </c>
      <c r="S2026" s="8">
        <v>0</v>
      </c>
      <c r="T2026" s="5">
        <v>0</v>
      </c>
      <c r="U2026" s="5">
        <v>0</v>
      </c>
      <c r="V2026" s="5">
        <f>VLOOKUP(A2026,Planilha1!B:E,4,0)</f>
        <v>-1.9171310037550682</v>
      </c>
    </row>
    <row r="2027" spans="1:22" x14ac:dyDescent="0.3">
      <c r="A2027" t="str">
        <f t="shared" si="62"/>
        <v>LEITE UHTLACTALIS</v>
      </c>
      <c r="B2027" t="str">
        <f t="shared" si="63"/>
        <v>5338011LEITE UHTLACTALIS</v>
      </c>
      <c r="C2027" s="5" t="s">
        <v>226</v>
      </c>
      <c r="D2027" s="5" t="s">
        <v>227</v>
      </c>
      <c r="E2027" s="5" t="s">
        <v>1722</v>
      </c>
      <c r="F2027" s="5">
        <v>5338011</v>
      </c>
      <c r="G2027" s="5" t="s">
        <v>688</v>
      </c>
      <c r="H2027" s="5" t="s">
        <v>30</v>
      </c>
      <c r="I2027" s="5" t="s">
        <v>22</v>
      </c>
      <c r="J2027" s="5" t="s">
        <v>156</v>
      </c>
      <c r="K2027" s="6">
        <v>0</v>
      </c>
      <c r="L2027" s="7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0</v>
      </c>
      <c r="S2027" s="8">
        <v>0</v>
      </c>
      <c r="T2027" s="5">
        <v>0</v>
      </c>
      <c r="U2027" s="5">
        <v>0</v>
      </c>
      <c r="V2027" s="5">
        <f>VLOOKUP(A2027,Planilha1!B:E,4,0)</f>
        <v>0.37177548115779385</v>
      </c>
    </row>
    <row r="2028" spans="1:22" x14ac:dyDescent="0.3">
      <c r="A2028" t="str">
        <f t="shared" si="62"/>
        <v>LEITE UHTLACTALIS</v>
      </c>
      <c r="B2028" t="str">
        <f t="shared" si="63"/>
        <v>5339799LEITE UHTLACTALIS</v>
      </c>
      <c r="C2028" s="5" t="s">
        <v>226</v>
      </c>
      <c r="D2028" s="5" t="s">
        <v>227</v>
      </c>
      <c r="E2028" s="5" t="s">
        <v>1722</v>
      </c>
      <c r="F2028" s="5">
        <v>5339799</v>
      </c>
      <c r="G2028" s="5" t="s">
        <v>1193</v>
      </c>
      <c r="H2028" s="5" t="s">
        <v>30</v>
      </c>
      <c r="I2028" s="5" t="s">
        <v>22</v>
      </c>
      <c r="J2028" s="5" t="s">
        <v>156</v>
      </c>
      <c r="K2028" s="6">
        <v>0</v>
      </c>
      <c r="L2028" s="7">
        <v>48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0</v>
      </c>
      <c r="S2028" s="8">
        <v>0</v>
      </c>
      <c r="T2028" s="5">
        <v>0</v>
      </c>
      <c r="U2028" s="5">
        <v>0</v>
      </c>
      <c r="V2028" s="5">
        <f>VLOOKUP(A2028,Planilha1!B:E,4,0)</f>
        <v>0.37177548115779385</v>
      </c>
    </row>
    <row r="2029" spans="1:22" x14ac:dyDescent="0.3">
      <c r="A2029" t="str">
        <f t="shared" si="62"/>
        <v>QUEIJOSLACTALIS</v>
      </c>
      <c r="B2029" t="str">
        <f t="shared" si="63"/>
        <v>5339799QUEIJOSLACTALIS</v>
      </c>
      <c r="C2029" s="5" t="s">
        <v>226</v>
      </c>
      <c r="D2029" s="5" t="s">
        <v>227</v>
      </c>
      <c r="E2029" s="5" t="s">
        <v>1722</v>
      </c>
      <c r="F2029" s="5">
        <v>5339799</v>
      </c>
      <c r="G2029" s="5" t="s">
        <v>1193</v>
      </c>
      <c r="H2029" s="5" t="s">
        <v>30</v>
      </c>
      <c r="I2029" s="5" t="s">
        <v>22</v>
      </c>
      <c r="J2029" s="5" t="s">
        <v>63</v>
      </c>
      <c r="K2029" s="6">
        <v>0</v>
      </c>
      <c r="L2029" s="7">
        <v>5.2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0</v>
      </c>
      <c r="S2029" s="8">
        <v>0</v>
      </c>
      <c r="T2029" s="5">
        <v>0</v>
      </c>
      <c r="U2029" s="5">
        <v>0</v>
      </c>
      <c r="V2029" s="5">
        <f>VLOOKUP(A2029,Planilha1!B:E,4,0)</f>
        <v>-1.9171310037550682</v>
      </c>
    </row>
    <row r="2030" spans="1:22" x14ac:dyDescent="0.3">
      <c r="A2030" t="str">
        <f t="shared" si="62"/>
        <v>SPREADSLACTALIS</v>
      </c>
      <c r="B2030" t="str">
        <f t="shared" si="63"/>
        <v>5339799SPREADSLACTALIS</v>
      </c>
      <c r="C2030" s="5" t="s">
        <v>226</v>
      </c>
      <c r="D2030" s="5" t="s">
        <v>227</v>
      </c>
      <c r="E2030" s="5" t="s">
        <v>1722</v>
      </c>
      <c r="F2030" s="5">
        <v>5339799</v>
      </c>
      <c r="G2030" s="5" t="s">
        <v>1193</v>
      </c>
      <c r="H2030" s="5" t="s">
        <v>30</v>
      </c>
      <c r="I2030" s="5" t="s">
        <v>22</v>
      </c>
      <c r="J2030" s="5" t="s">
        <v>945</v>
      </c>
      <c r="K2030" s="6">
        <v>0</v>
      </c>
      <c r="L2030" s="7">
        <v>4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0</v>
      </c>
      <c r="S2030" s="8">
        <v>0</v>
      </c>
      <c r="T2030" s="5">
        <v>0</v>
      </c>
      <c r="U2030" s="5">
        <v>0</v>
      </c>
      <c r="V2030" s="5">
        <f>VLOOKUP(A2030,Planilha1!B:E,4,0)</f>
        <v>13.599044988219518</v>
      </c>
    </row>
    <row r="2031" spans="1:22" x14ac:dyDescent="0.3">
      <c r="A2031" t="str">
        <f t="shared" si="62"/>
        <v>QUEIJOSLACTALIS</v>
      </c>
      <c r="B2031" t="str">
        <f t="shared" si="63"/>
        <v>5264167QUEIJOSLACTALIS</v>
      </c>
      <c r="C2031" s="5" t="s">
        <v>226</v>
      </c>
      <c r="D2031" s="5" t="s">
        <v>227</v>
      </c>
      <c r="E2031" s="5" t="s">
        <v>1722</v>
      </c>
      <c r="F2031" s="5">
        <v>5264167</v>
      </c>
      <c r="G2031" s="5" t="s">
        <v>699</v>
      </c>
      <c r="H2031" s="5" t="s">
        <v>30</v>
      </c>
      <c r="I2031" s="5" t="s">
        <v>22</v>
      </c>
      <c r="J2031" s="5" t="s">
        <v>63</v>
      </c>
      <c r="K2031" s="6">
        <v>0</v>
      </c>
      <c r="L2031" s="7">
        <v>11.458</v>
      </c>
      <c r="M2031" s="8">
        <v>7.7193333333333332</v>
      </c>
      <c r="N2031" s="8">
        <v>7.7320000000000002</v>
      </c>
      <c r="O2031" s="8">
        <v>0</v>
      </c>
      <c r="P2031" s="8">
        <v>0</v>
      </c>
      <c r="Q2031" s="8">
        <v>0</v>
      </c>
      <c r="R2031" s="8">
        <v>0</v>
      </c>
      <c r="S2031" s="8">
        <v>0</v>
      </c>
      <c r="T2031" s="5">
        <v>0</v>
      </c>
      <c r="U2031" s="5">
        <v>0</v>
      </c>
      <c r="V2031" s="5">
        <f>VLOOKUP(A2031,Planilha1!B:E,4,0)</f>
        <v>-1.9171310037550682</v>
      </c>
    </row>
    <row r="2032" spans="1:22" x14ac:dyDescent="0.3">
      <c r="A2032" t="str">
        <f t="shared" si="62"/>
        <v>LPI 25KGITAMBÉ</v>
      </c>
      <c r="B2032" t="str">
        <f t="shared" si="63"/>
        <v>5020347LPI 25KGITAMBÉ</v>
      </c>
      <c r="C2032" s="5" t="s">
        <v>226</v>
      </c>
      <c r="D2032" s="5" t="s">
        <v>227</v>
      </c>
      <c r="E2032" s="5" t="s">
        <v>703</v>
      </c>
      <c r="F2032" s="5">
        <v>5020347</v>
      </c>
      <c r="G2032" s="5" t="s">
        <v>705</v>
      </c>
      <c r="H2032" s="5" t="s">
        <v>30</v>
      </c>
      <c r="I2032" s="5" t="s">
        <v>27</v>
      </c>
      <c r="J2032" s="5" t="s">
        <v>21</v>
      </c>
      <c r="K2032" s="6">
        <v>0</v>
      </c>
      <c r="L2032" s="7">
        <v>0</v>
      </c>
      <c r="M2032" s="8">
        <v>1879.1666666666665</v>
      </c>
      <c r="N2032" s="8">
        <v>2000</v>
      </c>
      <c r="O2032" s="8">
        <v>0</v>
      </c>
      <c r="P2032" s="8">
        <v>0</v>
      </c>
      <c r="Q2032" s="8">
        <v>0</v>
      </c>
      <c r="R2032" s="8">
        <v>0</v>
      </c>
      <c r="S2032" s="8">
        <v>0</v>
      </c>
      <c r="T2032" s="5">
        <v>0</v>
      </c>
      <c r="U2032" s="5">
        <v>0</v>
      </c>
      <c r="V2032" s="5">
        <f>VLOOKUP(A2032,Planilha1!B:E,4,0)</f>
        <v>-1.218192805504376</v>
      </c>
    </row>
    <row r="2033" spans="1:22" x14ac:dyDescent="0.3">
      <c r="A2033" t="str">
        <f t="shared" si="62"/>
        <v>DOCE DE LEITEITAMBÉ</v>
      </c>
      <c r="B2033" t="str">
        <f t="shared" si="63"/>
        <v>5020352DOCE DE LEITEITAMBÉ</v>
      </c>
      <c r="C2033" s="5" t="s">
        <v>226</v>
      </c>
      <c r="D2033" s="5" t="s">
        <v>227</v>
      </c>
      <c r="E2033" s="5" t="s">
        <v>703</v>
      </c>
      <c r="F2033" s="5">
        <v>5020352</v>
      </c>
      <c r="G2033" s="5" t="s">
        <v>706</v>
      </c>
      <c r="H2033" s="5" t="s">
        <v>30</v>
      </c>
      <c r="I2033" s="5" t="s">
        <v>27</v>
      </c>
      <c r="J2033" s="5" t="s">
        <v>46</v>
      </c>
      <c r="K2033" s="6">
        <v>0</v>
      </c>
      <c r="L2033" s="7">
        <v>0</v>
      </c>
      <c r="M2033" s="8">
        <v>40</v>
      </c>
      <c r="N2033" s="8">
        <v>80</v>
      </c>
      <c r="O2033" s="8">
        <v>0</v>
      </c>
      <c r="P2033" s="8">
        <v>0</v>
      </c>
      <c r="Q2033" s="8">
        <v>0</v>
      </c>
      <c r="R2033" s="8">
        <v>0</v>
      </c>
      <c r="S2033" s="8">
        <v>0</v>
      </c>
      <c r="T2033" s="5">
        <v>0</v>
      </c>
      <c r="U2033" s="5">
        <v>0</v>
      </c>
      <c r="V2033" s="5">
        <f>VLOOKUP(A2033,Planilha1!B:E,4,0)</f>
        <v>5.8210743907543439</v>
      </c>
    </row>
    <row r="2034" spans="1:22" x14ac:dyDescent="0.3">
      <c r="A2034" t="str">
        <f t="shared" si="62"/>
        <v>LPI 25KGITAMBÉ</v>
      </c>
      <c r="B2034" t="str">
        <f t="shared" si="63"/>
        <v>5020352LPI 25KGITAMBÉ</v>
      </c>
      <c r="C2034" s="5" t="s">
        <v>226</v>
      </c>
      <c r="D2034" s="5" t="s">
        <v>227</v>
      </c>
      <c r="E2034" s="5" t="s">
        <v>703</v>
      </c>
      <c r="F2034" s="5">
        <v>5020352</v>
      </c>
      <c r="G2034" s="5" t="s">
        <v>706</v>
      </c>
      <c r="H2034" s="5" t="s">
        <v>30</v>
      </c>
      <c r="I2034" s="5" t="s">
        <v>27</v>
      </c>
      <c r="J2034" s="5" t="s">
        <v>21</v>
      </c>
      <c r="K2034" s="6">
        <v>0</v>
      </c>
      <c r="L2034" s="7">
        <v>0</v>
      </c>
      <c r="M2034" s="8">
        <v>1283.3333333333333</v>
      </c>
      <c r="N2034" s="8">
        <v>1333.3333333333333</v>
      </c>
      <c r="O2034" s="8">
        <v>0</v>
      </c>
      <c r="P2034" s="8">
        <v>0</v>
      </c>
      <c r="Q2034" s="8">
        <v>0</v>
      </c>
      <c r="R2034" s="8">
        <v>0</v>
      </c>
      <c r="S2034" s="8">
        <v>0</v>
      </c>
      <c r="T2034" s="5">
        <v>0</v>
      </c>
      <c r="U2034" s="5">
        <v>0</v>
      </c>
      <c r="V2034" s="5">
        <f>VLOOKUP(A2034,Planilha1!B:E,4,0)</f>
        <v>-1.218192805504376</v>
      </c>
    </row>
    <row r="2035" spans="1:22" x14ac:dyDescent="0.3">
      <c r="A2035" t="str">
        <f t="shared" si="62"/>
        <v>CREME UHTITAMBÉ</v>
      </c>
      <c r="B2035" t="str">
        <f t="shared" si="63"/>
        <v>5022847CREME UHTITAMBÉ</v>
      </c>
      <c r="C2035" s="5" t="s">
        <v>226</v>
      </c>
      <c r="D2035" s="5" t="s">
        <v>227</v>
      </c>
      <c r="E2035" s="5" t="s">
        <v>703</v>
      </c>
      <c r="F2035" s="5">
        <v>5022847</v>
      </c>
      <c r="G2035" s="5" t="s">
        <v>232</v>
      </c>
      <c r="H2035" s="5" t="s">
        <v>30</v>
      </c>
      <c r="I2035" s="5" t="s">
        <v>27</v>
      </c>
      <c r="J2035" s="5" t="s">
        <v>34</v>
      </c>
      <c r="K2035" s="6">
        <v>0</v>
      </c>
      <c r="L2035" s="7">
        <v>36.36</v>
      </c>
      <c r="M2035" s="8">
        <v>6.06</v>
      </c>
      <c r="N2035" s="8">
        <v>0</v>
      </c>
      <c r="O2035" s="8">
        <v>0</v>
      </c>
      <c r="P2035" s="8">
        <v>0</v>
      </c>
      <c r="Q2035" s="8">
        <v>0</v>
      </c>
      <c r="R2035" s="8">
        <v>0</v>
      </c>
      <c r="S2035" s="8">
        <v>0</v>
      </c>
      <c r="T2035" s="5">
        <v>0</v>
      </c>
      <c r="U2035" s="5">
        <v>0</v>
      </c>
      <c r="V2035" s="5">
        <f>VLOOKUP(A2035,Planilha1!B:E,4,0)</f>
        <v>1.2362540170747773</v>
      </c>
    </row>
    <row r="2036" spans="1:22" x14ac:dyDescent="0.3">
      <c r="A2036" t="str">
        <f t="shared" si="62"/>
        <v>LEITE CONDENSADOITAMBÉ</v>
      </c>
      <c r="B2036" t="str">
        <f t="shared" si="63"/>
        <v>5022847LEITE CONDENSADOITAMBÉ</v>
      </c>
      <c r="C2036" s="5" t="s">
        <v>226</v>
      </c>
      <c r="D2036" s="5" t="s">
        <v>227</v>
      </c>
      <c r="E2036" s="5" t="s">
        <v>703</v>
      </c>
      <c r="F2036" s="5">
        <v>5022847</v>
      </c>
      <c r="G2036" s="5" t="s">
        <v>232</v>
      </c>
      <c r="H2036" s="5" t="s">
        <v>30</v>
      </c>
      <c r="I2036" s="5" t="s">
        <v>27</v>
      </c>
      <c r="J2036" s="5" t="s">
        <v>33</v>
      </c>
      <c r="K2036" s="6">
        <v>0</v>
      </c>
      <c r="L2036" s="7">
        <v>483.28500000000003</v>
      </c>
      <c r="M2036" s="8">
        <v>74.765000000000001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5">
        <v>0</v>
      </c>
      <c r="U2036" s="5">
        <v>0</v>
      </c>
      <c r="V2036" s="5">
        <f>VLOOKUP(A2036,Planilha1!B:E,4,0)</f>
        <v>1.4766792698630664</v>
      </c>
    </row>
    <row r="2037" spans="1:22" x14ac:dyDescent="0.3">
      <c r="A2037" t="str">
        <f t="shared" si="62"/>
        <v>COMPOSTOITAMBÉ</v>
      </c>
      <c r="B2037" t="str">
        <f t="shared" si="63"/>
        <v>5031156COMPOSTOITAMBÉ</v>
      </c>
      <c r="C2037" s="5" t="s">
        <v>226</v>
      </c>
      <c r="D2037" s="5" t="s">
        <v>227</v>
      </c>
      <c r="E2037" s="5" t="s">
        <v>703</v>
      </c>
      <c r="F2037" s="5">
        <v>5031156</v>
      </c>
      <c r="G2037" s="5" t="s">
        <v>707</v>
      </c>
      <c r="H2037" s="5" t="s">
        <v>30</v>
      </c>
      <c r="I2037" s="5" t="s">
        <v>27</v>
      </c>
      <c r="J2037" s="5" t="s">
        <v>26</v>
      </c>
      <c r="K2037" s="6">
        <v>0</v>
      </c>
      <c r="L2037" s="7">
        <v>500</v>
      </c>
      <c r="M2037" s="8">
        <v>38.333333333333336</v>
      </c>
      <c r="N2037" s="8">
        <v>76.666666666666671</v>
      </c>
      <c r="O2037" s="8">
        <v>0</v>
      </c>
      <c r="P2037" s="8">
        <v>0</v>
      </c>
      <c r="Q2037" s="8">
        <v>0</v>
      </c>
      <c r="R2037" s="8">
        <v>0</v>
      </c>
      <c r="S2037" s="8">
        <v>0</v>
      </c>
      <c r="T2037" s="5">
        <v>0</v>
      </c>
      <c r="U2037" s="5">
        <v>0</v>
      </c>
      <c r="V2037" s="5">
        <f>VLOOKUP(A2037,Planilha1!B:E,4,0)</f>
        <v>0.15618217875936719</v>
      </c>
    </row>
    <row r="2038" spans="1:22" x14ac:dyDescent="0.3">
      <c r="A2038" t="str">
        <f t="shared" si="62"/>
        <v>BLISTERITAMBÉ</v>
      </c>
      <c r="B2038" t="str">
        <f t="shared" si="63"/>
        <v>5038157BLISTERITAMBÉ</v>
      </c>
      <c r="C2038" s="5" t="s">
        <v>226</v>
      </c>
      <c r="D2038" s="5" t="s">
        <v>227</v>
      </c>
      <c r="E2038" s="5" t="s">
        <v>703</v>
      </c>
      <c r="F2038" s="5">
        <v>5038157</v>
      </c>
      <c r="G2038" s="5" t="s">
        <v>1194</v>
      </c>
      <c r="H2038" s="5" t="s">
        <v>30</v>
      </c>
      <c r="I2038" s="5" t="s">
        <v>27</v>
      </c>
      <c r="J2038" s="5" t="s">
        <v>199</v>
      </c>
      <c r="K2038" s="6">
        <v>0</v>
      </c>
      <c r="L2038" s="7">
        <v>2496</v>
      </c>
      <c r="M2038" s="8">
        <v>15.04</v>
      </c>
      <c r="N2038" s="8">
        <v>30</v>
      </c>
      <c r="O2038" s="8">
        <v>0</v>
      </c>
      <c r="P2038" s="8">
        <v>0</v>
      </c>
      <c r="Q2038" s="8">
        <v>0</v>
      </c>
      <c r="R2038" s="8">
        <v>0</v>
      </c>
      <c r="S2038" s="8">
        <v>689</v>
      </c>
      <c r="T2038" s="5">
        <v>0</v>
      </c>
      <c r="U2038" s="5">
        <v>689</v>
      </c>
      <c r="V2038" s="5">
        <f>VLOOKUP(A2038,Planilha1!B:E,4,0)</f>
        <v>10.339882680976428</v>
      </c>
    </row>
    <row r="2039" spans="1:22" x14ac:dyDescent="0.3">
      <c r="A2039" t="str">
        <f t="shared" si="62"/>
        <v>CREME UHTITAMBÉ</v>
      </c>
      <c r="B2039" t="str">
        <f t="shared" si="63"/>
        <v>5038157CREME UHTITAMBÉ</v>
      </c>
      <c r="C2039" s="5" t="s">
        <v>226</v>
      </c>
      <c r="D2039" s="5" t="s">
        <v>227</v>
      </c>
      <c r="E2039" s="5" t="s">
        <v>703</v>
      </c>
      <c r="F2039" s="5">
        <v>5038157</v>
      </c>
      <c r="G2039" s="5" t="s">
        <v>1194</v>
      </c>
      <c r="H2039" s="5" t="s">
        <v>30</v>
      </c>
      <c r="I2039" s="5" t="s">
        <v>27</v>
      </c>
      <c r="J2039" s="5" t="s">
        <v>34</v>
      </c>
      <c r="K2039" s="6">
        <v>0</v>
      </c>
      <c r="L2039" s="7">
        <v>1624.08</v>
      </c>
      <c r="M2039" s="8">
        <v>0</v>
      </c>
      <c r="N2039" s="8">
        <v>0</v>
      </c>
      <c r="O2039" s="8">
        <v>0</v>
      </c>
      <c r="P2039" s="8">
        <v>0</v>
      </c>
      <c r="Q2039" s="8">
        <v>921.12</v>
      </c>
      <c r="R2039" s="8">
        <v>0</v>
      </c>
      <c r="S2039" s="8">
        <v>1800</v>
      </c>
      <c r="T2039" s="5">
        <v>980</v>
      </c>
      <c r="U2039" s="5">
        <v>0</v>
      </c>
      <c r="V2039" s="5">
        <f>VLOOKUP(A2039,Planilha1!B:E,4,0)</f>
        <v>1.2362540170747773</v>
      </c>
    </row>
    <row r="2040" spans="1:22" x14ac:dyDescent="0.3">
      <c r="A2040" t="str">
        <f t="shared" si="62"/>
        <v>LEITE CONDENSADOITAMBÉ</v>
      </c>
      <c r="B2040" t="str">
        <f t="shared" si="63"/>
        <v>5038157LEITE CONDENSADOITAMBÉ</v>
      </c>
      <c r="C2040" s="5" t="s">
        <v>226</v>
      </c>
      <c r="D2040" s="5" t="s">
        <v>227</v>
      </c>
      <c r="E2040" s="5" t="s">
        <v>703</v>
      </c>
      <c r="F2040" s="5">
        <v>5038157</v>
      </c>
      <c r="G2040" s="5" t="s">
        <v>1194</v>
      </c>
      <c r="H2040" s="5" t="s">
        <v>30</v>
      </c>
      <c r="I2040" s="5" t="s">
        <v>27</v>
      </c>
      <c r="J2040" s="5" t="s">
        <v>33</v>
      </c>
      <c r="K2040" s="6">
        <v>0</v>
      </c>
      <c r="L2040" s="7">
        <v>440</v>
      </c>
      <c r="M2040" s="8">
        <v>0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  <c r="S2040" s="8">
        <v>0</v>
      </c>
      <c r="T2040" s="5">
        <v>0</v>
      </c>
      <c r="U2040" s="5">
        <v>0</v>
      </c>
      <c r="V2040" s="5">
        <f>VLOOKUP(A2040,Planilha1!B:E,4,0)</f>
        <v>1.4766792698630664</v>
      </c>
    </row>
    <row r="2041" spans="1:22" x14ac:dyDescent="0.3">
      <c r="A2041" t="str">
        <f t="shared" si="62"/>
        <v>COMPOSTOITAMBÉ</v>
      </c>
      <c r="B2041" t="str">
        <f t="shared" si="63"/>
        <v>5070522COMPOSTOITAMBÉ</v>
      </c>
      <c r="C2041" s="5" t="s">
        <v>226</v>
      </c>
      <c r="D2041" s="5" t="s">
        <v>227</v>
      </c>
      <c r="E2041" s="5" t="s">
        <v>703</v>
      </c>
      <c r="F2041" s="5">
        <v>5070522</v>
      </c>
      <c r="G2041" s="5" t="s">
        <v>708</v>
      </c>
      <c r="H2041" s="5" t="s">
        <v>30</v>
      </c>
      <c r="I2041" s="5" t="s">
        <v>27</v>
      </c>
      <c r="J2041" s="5" t="s">
        <v>26</v>
      </c>
      <c r="K2041" s="6">
        <v>0</v>
      </c>
      <c r="L2041" s="7">
        <v>0</v>
      </c>
      <c r="M2041" s="8">
        <v>116.66666666666667</v>
      </c>
      <c r="N2041" s="8">
        <v>233.33333333333334</v>
      </c>
      <c r="O2041" s="8">
        <v>0</v>
      </c>
      <c r="P2041" s="8">
        <v>0</v>
      </c>
      <c r="Q2041" s="8">
        <v>0</v>
      </c>
      <c r="R2041" s="8">
        <v>0</v>
      </c>
      <c r="S2041" s="8">
        <v>760</v>
      </c>
      <c r="T2041" s="5">
        <v>200</v>
      </c>
      <c r="U2041" s="5">
        <v>760</v>
      </c>
      <c r="V2041" s="5">
        <f>VLOOKUP(A2041,Planilha1!B:E,4,0)</f>
        <v>0.15618217875936719</v>
      </c>
    </row>
    <row r="2042" spans="1:22" x14ac:dyDescent="0.3">
      <c r="A2042" t="str">
        <f t="shared" si="62"/>
        <v>COMPOSTOITAMBÉ</v>
      </c>
      <c r="B2042" t="str">
        <f t="shared" si="63"/>
        <v>5109334COMPOSTOITAMBÉ</v>
      </c>
      <c r="C2042" s="5" t="s">
        <v>226</v>
      </c>
      <c r="D2042" s="5" t="s">
        <v>227</v>
      </c>
      <c r="E2042" s="5" t="s">
        <v>703</v>
      </c>
      <c r="F2042" s="5">
        <v>5109334</v>
      </c>
      <c r="G2042" s="5" t="s">
        <v>1195</v>
      </c>
      <c r="H2042" s="5" t="s">
        <v>30</v>
      </c>
      <c r="I2042" s="5" t="s">
        <v>27</v>
      </c>
      <c r="J2042" s="5" t="s">
        <v>26</v>
      </c>
      <c r="K2042" s="6">
        <v>0</v>
      </c>
      <c r="L2042" s="7">
        <v>300</v>
      </c>
      <c r="M2042" s="8">
        <v>1982.5000000000002</v>
      </c>
      <c r="N2042" s="8">
        <v>3091.6666666666665</v>
      </c>
      <c r="O2042" s="8">
        <v>0</v>
      </c>
      <c r="P2042" s="8">
        <v>0</v>
      </c>
      <c r="Q2042" s="8">
        <v>10</v>
      </c>
      <c r="R2042" s="8">
        <v>0</v>
      </c>
      <c r="S2042" s="8">
        <v>0</v>
      </c>
      <c r="T2042" s="5">
        <v>10</v>
      </c>
      <c r="U2042" s="5">
        <v>0</v>
      </c>
      <c r="V2042" s="5">
        <f>VLOOKUP(A2042,Planilha1!B:E,4,0)</f>
        <v>0.15618217875936719</v>
      </c>
    </row>
    <row r="2043" spans="1:22" x14ac:dyDescent="0.3">
      <c r="A2043" t="str">
        <f t="shared" si="62"/>
        <v>DOCE DE LEITEITAMBÉ</v>
      </c>
      <c r="B2043" t="str">
        <f t="shared" si="63"/>
        <v>5109334DOCE DE LEITEITAMBÉ</v>
      </c>
      <c r="C2043" s="5" t="s">
        <v>226</v>
      </c>
      <c r="D2043" s="5" t="s">
        <v>227</v>
      </c>
      <c r="E2043" s="5" t="s">
        <v>703</v>
      </c>
      <c r="F2043" s="5">
        <v>5109334</v>
      </c>
      <c r="G2043" s="5" t="s">
        <v>1195</v>
      </c>
      <c r="H2043" s="5" t="s">
        <v>30</v>
      </c>
      <c r="I2043" s="5" t="s">
        <v>27</v>
      </c>
      <c r="J2043" s="5" t="s">
        <v>46</v>
      </c>
      <c r="K2043" s="6">
        <v>0</v>
      </c>
      <c r="L2043" s="7">
        <v>115.6</v>
      </c>
      <c r="M2043" s="8">
        <v>58.406666666666673</v>
      </c>
      <c r="N2043" s="8">
        <v>19.666666666666668</v>
      </c>
      <c r="O2043" s="8">
        <v>0</v>
      </c>
      <c r="P2043" s="8">
        <v>0</v>
      </c>
      <c r="Q2043" s="8">
        <v>10</v>
      </c>
      <c r="R2043" s="8">
        <v>0</v>
      </c>
      <c r="S2043" s="8">
        <v>0</v>
      </c>
      <c r="T2043" s="5">
        <v>10</v>
      </c>
      <c r="U2043" s="5">
        <v>0</v>
      </c>
      <c r="V2043" s="5">
        <f>VLOOKUP(A2043,Planilha1!B:E,4,0)</f>
        <v>5.8210743907543439</v>
      </c>
    </row>
    <row r="2044" spans="1:22" x14ac:dyDescent="0.3">
      <c r="A2044" t="str">
        <f t="shared" si="62"/>
        <v>LEITE CONDENSADOITAMBÉ</v>
      </c>
      <c r="B2044" t="str">
        <f t="shared" si="63"/>
        <v>5109334LEITE CONDENSADOITAMBÉ</v>
      </c>
      <c r="C2044" s="5" t="s">
        <v>226</v>
      </c>
      <c r="D2044" s="5" t="s">
        <v>227</v>
      </c>
      <c r="E2044" s="5" t="s">
        <v>703</v>
      </c>
      <c r="F2044" s="5">
        <v>5109334</v>
      </c>
      <c r="G2044" s="5" t="s">
        <v>1195</v>
      </c>
      <c r="H2044" s="5" t="s">
        <v>30</v>
      </c>
      <c r="I2044" s="5" t="s">
        <v>27</v>
      </c>
      <c r="J2044" s="5" t="s">
        <v>33</v>
      </c>
      <c r="K2044" s="6">
        <v>0</v>
      </c>
      <c r="L2044" s="7">
        <v>250.6</v>
      </c>
      <c r="M2044" s="8">
        <v>49.019166666666678</v>
      </c>
      <c r="N2044" s="8">
        <v>27.333333333333336</v>
      </c>
      <c r="O2044" s="8">
        <v>0</v>
      </c>
      <c r="P2044" s="8">
        <v>0</v>
      </c>
      <c r="Q2044" s="8">
        <v>190.57999999999998</v>
      </c>
      <c r="R2044" s="8">
        <v>0</v>
      </c>
      <c r="S2044" s="8">
        <v>0</v>
      </c>
      <c r="T2044" s="5">
        <v>191</v>
      </c>
      <c r="U2044" s="5">
        <v>0</v>
      </c>
      <c r="V2044" s="5">
        <f>VLOOKUP(A2044,Planilha1!B:E,4,0)</f>
        <v>1.4766792698630664</v>
      </c>
    </row>
    <row r="2045" spans="1:22" x14ac:dyDescent="0.3">
      <c r="A2045" t="str">
        <f t="shared" si="62"/>
        <v>LEITE EM PÓITAMBÉ</v>
      </c>
      <c r="B2045" t="str">
        <f t="shared" si="63"/>
        <v>5109334LEITE EM PÓITAMBÉ</v>
      </c>
      <c r="C2045" s="5" t="s">
        <v>226</v>
      </c>
      <c r="D2045" s="5" t="s">
        <v>227</v>
      </c>
      <c r="E2045" s="5" t="s">
        <v>703</v>
      </c>
      <c r="F2045" s="5">
        <v>5109334</v>
      </c>
      <c r="G2045" s="5" t="s">
        <v>1195</v>
      </c>
      <c r="H2045" s="5" t="s">
        <v>30</v>
      </c>
      <c r="I2045" s="5" t="s">
        <v>27</v>
      </c>
      <c r="J2045" s="5" t="s">
        <v>84</v>
      </c>
      <c r="K2045" s="6">
        <v>0</v>
      </c>
      <c r="L2045" s="7">
        <v>20</v>
      </c>
      <c r="M2045" s="8">
        <v>54.166666666666657</v>
      </c>
      <c r="N2045" s="8">
        <v>51.666666666666664</v>
      </c>
      <c r="O2045" s="8">
        <v>0</v>
      </c>
      <c r="P2045" s="8">
        <v>0</v>
      </c>
      <c r="Q2045" s="8">
        <v>90</v>
      </c>
      <c r="R2045" s="8">
        <v>0</v>
      </c>
      <c r="S2045" s="8">
        <v>0</v>
      </c>
      <c r="T2045" s="5">
        <v>0</v>
      </c>
      <c r="U2045" s="5">
        <v>0</v>
      </c>
      <c r="V2045" s="5">
        <f>VLOOKUP(A2045,Planilha1!B:E,4,0)</f>
        <v>4.5971522734997743</v>
      </c>
    </row>
    <row r="2046" spans="1:22" x14ac:dyDescent="0.3">
      <c r="A2046" t="str">
        <f t="shared" si="62"/>
        <v>LEITE UHTITAMBÉ</v>
      </c>
      <c r="B2046" t="str">
        <f t="shared" si="63"/>
        <v>5109334LEITE UHTITAMBÉ</v>
      </c>
      <c r="C2046" s="5" t="s">
        <v>226</v>
      </c>
      <c r="D2046" s="5" t="s">
        <v>227</v>
      </c>
      <c r="E2046" s="5" t="s">
        <v>703</v>
      </c>
      <c r="F2046" s="5">
        <v>5109334</v>
      </c>
      <c r="G2046" s="5" t="s">
        <v>1195</v>
      </c>
      <c r="H2046" s="5" t="s">
        <v>30</v>
      </c>
      <c r="I2046" s="5" t="s">
        <v>27</v>
      </c>
      <c r="J2046" s="5" t="s">
        <v>156</v>
      </c>
      <c r="K2046" s="6">
        <v>0</v>
      </c>
      <c r="L2046" s="7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0</v>
      </c>
      <c r="S2046" s="8">
        <v>0</v>
      </c>
      <c r="T2046" s="5">
        <v>0</v>
      </c>
      <c r="U2046" s="5">
        <v>0</v>
      </c>
      <c r="V2046" s="5">
        <f>VLOOKUP(A2046,Planilha1!B:E,4,0)</f>
        <v>-0.14425288609148015</v>
      </c>
    </row>
    <row r="2047" spans="1:22" x14ac:dyDescent="0.3">
      <c r="A2047" t="str">
        <f t="shared" si="62"/>
        <v>SPREADSITAMBÉ</v>
      </c>
      <c r="B2047" t="str">
        <f t="shared" si="63"/>
        <v>5109334SPREADSITAMBÉ</v>
      </c>
      <c r="C2047" s="5" t="s">
        <v>226</v>
      </c>
      <c r="D2047" s="5" t="s">
        <v>227</v>
      </c>
      <c r="E2047" s="5" t="s">
        <v>703</v>
      </c>
      <c r="F2047" s="5">
        <v>5109334</v>
      </c>
      <c r="G2047" s="5" t="s">
        <v>1195</v>
      </c>
      <c r="H2047" s="5" t="s">
        <v>30</v>
      </c>
      <c r="I2047" s="5" t="s">
        <v>27</v>
      </c>
      <c r="J2047" s="5" t="s">
        <v>945</v>
      </c>
      <c r="K2047" s="6">
        <v>0</v>
      </c>
      <c r="L2047" s="7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0</v>
      </c>
      <c r="S2047" s="8">
        <v>0</v>
      </c>
      <c r="T2047" s="5">
        <v>0</v>
      </c>
      <c r="U2047" s="5">
        <v>0</v>
      </c>
      <c r="V2047" s="5">
        <f>VLOOKUP(A2047,Planilha1!B:E,4,0)</f>
        <v>9.2962610783648607</v>
      </c>
    </row>
    <row r="2048" spans="1:22" x14ac:dyDescent="0.3">
      <c r="A2048" t="str">
        <f t="shared" si="62"/>
        <v>LPI 25KGITAMBÉ</v>
      </c>
      <c r="B2048" t="str">
        <f t="shared" si="63"/>
        <v>5118346LPI 25KGITAMBÉ</v>
      </c>
      <c r="C2048" s="5" t="s">
        <v>226</v>
      </c>
      <c r="D2048" s="5" t="s">
        <v>227</v>
      </c>
      <c r="E2048" s="5" t="s">
        <v>703</v>
      </c>
      <c r="F2048" s="5">
        <v>5118346</v>
      </c>
      <c r="G2048" s="5" t="s">
        <v>711</v>
      </c>
      <c r="H2048" s="5" t="s">
        <v>30</v>
      </c>
      <c r="I2048" s="5" t="s">
        <v>27</v>
      </c>
      <c r="J2048" s="5" t="s">
        <v>21</v>
      </c>
      <c r="K2048" s="6">
        <v>0</v>
      </c>
      <c r="L2048" s="7">
        <v>0</v>
      </c>
      <c r="M2048" s="8">
        <v>83.333333333333329</v>
      </c>
      <c r="N2048" s="8">
        <v>166.66666666666666</v>
      </c>
      <c r="O2048" s="8">
        <v>0</v>
      </c>
      <c r="P2048" s="8">
        <v>0</v>
      </c>
      <c r="Q2048" s="8">
        <v>0</v>
      </c>
      <c r="R2048" s="8">
        <v>0</v>
      </c>
      <c r="S2048" s="8">
        <v>0</v>
      </c>
      <c r="T2048" s="5">
        <v>0</v>
      </c>
      <c r="U2048" s="5">
        <v>0</v>
      </c>
      <c r="V2048" s="5">
        <f>VLOOKUP(A2048,Planilha1!B:E,4,0)</f>
        <v>-1.218192805504376</v>
      </c>
    </row>
    <row r="2049" spans="1:22" x14ac:dyDescent="0.3">
      <c r="A2049" t="str">
        <f t="shared" si="62"/>
        <v>COMPOSTOITAMBÉ</v>
      </c>
      <c r="B2049" t="str">
        <f t="shared" si="63"/>
        <v>5164717COMPOSTOITAMBÉ</v>
      </c>
      <c r="C2049" s="5" t="s">
        <v>226</v>
      </c>
      <c r="D2049" s="5" t="s">
        <v>227</v>
      </c>
      <c r="E2049" s="5" t="s">
        <v>703</v>
      </c>
      <c r="F2049" s="5">
        <v>5164717</v>
      </c>
      <c r="G2049" s="5" t="s">
        <v>716</v>
      </c>
      <c r="H2049" s="5" t="s">
        <v>30</v>
      </c>
      <c r="I2049" s="5" t="s">
        <v>27</v>
      </c>
      <c r="J2049" s="5" t="s">
        <v>26</v>
      </c>
      <c r="K2049" s="6">
        <v>0</v>
      </c>
      <c r="L2049" s="7">
        <v>0</v>
      </c>
      <c r="M2049" s="8">
        <v>21.666666666666668</v>
      </c>
      <c r="N2049" s="8">
        <v>26.666666666666668</v>
      </c>
      <c r="O2049" s="8">
        <v>0</v>
      </c>
      <c r="P2049" s="8">
        <v>0</v>
      </c>
      <c r="Q2049" s="8">
        <v>0</v>
      </c>
      <c r="R2049" s="8">
        <v>0</v>
      </c>
      <c r="S2049" s="8">
        <v>0</v>
      </c>
      <c r="T2049" s="5">
        <v>0</v>
      </c>
      <c r="U2049" s="5">
        <v>0</v>
      </c>
      <c r="V2049" s="5">
        <f>VLOOKUP(A2049,Planilha1!B:E,4,0)</f>
        <v>0.15618217875936719</v>
      </c>
    </row>
    <row r="2050" spans="1:22" x14ac:dyDescent="0.3">
      <c r="A2050" t="str">
        <f t="shared" ref="A2050:A2113" si="64">J2050&amp;I2050</f>
        <v>DOCE DE LEITEITAMBÉ</v>
      </c>
      <c r="B2050" t="str">
        <f t="shared" si="63"/>
        <v>5172699DOCE DE LEITEITAMBÉ</v>
      </c>
      <c r="C2050" s="5" t="s">
        <v>226</v>
      </c>
      <c r="D2050" s="5" t="s">
        <v>227</v>
      </c>
      <c r="E2050" s="5" t="s">
        <v>703</v>
      </c>
      <c r="F2050" s="5">
        <v>5172699</v>
      </c>
      <c r="G2050" s="5" t="s">
        <v>717</v>
      </c>
      <c r="H2050" s="5" t="s">
        <v>30</v>
      </c>
      <c r="I2050" s="5" t="s">
        <v>27</v>
      </c>
      <c r="J2050" s="5" t="s">
        <v>46</v>
      </c>
      <c r="K2050" s="6">
        <v>0</v>
      </c>
      <c r="L2050" s="7">
        <v>60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0</v>
      </c>
      <c r="S2050" s="8">
        <v>0</v>
      </c>
      <c r="T2050" s="5">
        <v>0</v>
      </c>
      <c r="U2050" s="5">
        <v>0</v>
      </c>
      <c r="V2050" s="5">
        <f>VLOOKUP(A2050,Planilha1!B:E,4,0)</f>
        <v>5.8210743907543439</v>
      </c>
    </row>
    <row r="2051" spans="1:22" x14ac:dyDescent="0.3">
      <c r="A2051" t="str">
        <f t="shared" si="64"/>
        <v>COMPOSTOITAMBÉ</v>
      </c>
      <c r="B2051" t="str">
        <f t="shared" ref="B2051:B2114" si="65">F2051&amp;J2051&amp;I2051</f>
        <v>5196867COMPOSTOITAMBÉ</v>
      </c>
      <c r="C2051" s="5" t="s">
        <v>226</v>
      </c>
      <c r="D2051" s="5" t="s">
        <v>227</v>
      </c>
      <c r="E2051" s="5" t="s">
        <v>703</v>
      </c>
      <c r="F2051" s="5">
        <v>5196867</v>
      </c>
      <c r="G2051" s="5" t="s">
        <v>718</v>
      </c>
      <c r="H2051" s="5" t="s">
        <v>30</v>
      </c>
      <c r="I2051" s="5" t="s">
        <v>27</v>
      </c>
      <c r="J2051" s="5" t="s">
        <v>26</v>
      </c>
      <c r="K2051" s="6">
        <v>0</v>
      </c>
      <c r="L2051" s="7">
        <v>50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0</v>
      </c>
      <c r="S2051" s="8">
        <v>0</v>
      </c>
      <c r="T2051" s="5">
        <v>0</v>
      </c>
      <c r="U2051" s="5">
        <v>0</v>
      </c>
      <c r="V2051" s="5">
        <f>VLOOKUP(A2051,Planilha1!B:E,4,0)</f>
        <v>0.15618217875936719</v>
      </c>
    </row>
    <row r="2052" spans="1:22" x14ac:dyDescent="0.3">
      <c r="A2052" t="str">
        <f t="shared" si="64"/>
        <v>CREME UHTITAMBÉ</v>
      </c>
      <c r="B2052" t="str">
        <f t="shared" si="65"/>
        <v>5204977CREME UHTITAMBÉ</v>
      </c>
      <c r="C2052" s="5" t="s">
        <v>226</v>
      </c>
      <c r="D2052" s="5" t="s">
        <v>227</v>
      </c>
      <c r="E2052" s="5" t="s">
        <v>703</v>
      </c>
      <c r="F2052" s="5">
        <v>5204977</v>
      </c>
      <c r="G2052" s="5" t="s">
        <v>1196</v>
      </c>
      <c r="H2052" s="5" t="s">
        <v>30</v>
      </c>
      <c r="I2052" s="5" t="s">
        <v>27</v>
      </c>
      <c r="J2052" s="5" t="s">
        <v>34</v>
      </c>
      <c r="K2052" s="6">
        <v>0</v>
      </c>
      <c r="L2052" s="7">
        <v>37.32</v>
      </c>
      <c r="M2052" s="8">
        <v>0</v>
      </c>
      <c r="N2052" s="8">
        <v>0</v>
      </c>
      <c r="O2052" s="8">
        <v>0</v>
      </c>
      <c r="P2052" s="8">
        <v>0</v>
      </c>
      <c r="Q2052" s="8">
        <v>0</v>
      </c>
      <c r="R2052" s="8">
        <v>0</v>
      </c>
      <c r="S2052" s="8">
        <v>0</v>
      </c>
      <c r="T2052" s="5">
        <v>0</v>
      </c>
      <c r="U2052" s="5">
        <v>0</v>
      </c>
      <c r="V2052" s="5">
        <f>VLOOKUP(A2052,Planilha1!B:E,4,0)</f>
        <v>1.2362540170747773</v>
      </c>
    </row>
    <row r="2053" spans="1:22" x14ac:dyDescent="0.3">
      <c r="A2053" t="str">
        <f t="shared" si="64"/>
        <v>DOCE DE LEITEITAMBÉ</v>
      </c>
      <c r="B2053" t="str">
        <f t="shared" si="65"/>
        <v>5204977DOCE DE LEITEITAMBÉ</v>
      </c>
      <c r="C2053" s="5" t="s">
        <v>226</v>
      </c>
      <c r="D2053" s="5" t="s">
        <v>227</v>
      </c>
      <c r="E2053" s="5" t="s">
        <v>703</v>
      </c>
      <c r="F2053" s="5">
        <v>5204977</v>
      </c>
      <c r="G2053" s="5" t="s">
        <v>1196</v>
      </c>
      <c r="H2053" s="5" t="s">
        <v>30</v>
      </c>
      <c r="I2053" s="5" t="s">
        <v>27</v>
      </c>
      <c r="J2053" s="5" t="s">
        <v>46</v>
      </c>
      <c r="K2053" s="6">
        <v>0</v>
      </c>
      <c r="L2053" s="7">
        <v>73.36</v>
      </c>
      <c r="M2053" s="8">
        <v>0</v>
      </c>
      <c r="N2053" s="8">
        <v>0</v>
      </c>
      <c r="O2053" s="8">
        <v>0</v>
      </c>
      <c r="P2053" s="8">
        <v>0</v>
      </c>
      <c r="Q2053" s="8">
        <v>0</v>
      </c>
      <c r="R2053" s="8">
        <v>0</v>
      </c>
      <c r="S2053" s="8">
        <v>0</v>
      </c>
      <c r="T2053" s="5">
        <v>0</v>
      </c>
      <c r="U2053" s="5">
        <v>0</v>
      </c>
      <c r="V2053" s="5">
        <f>VLOOKUP(A2053,Planilha1!B:E,4,0)</f>
        <v>5.8210743907543439</v>
      </c>
    </row>
    <row r="2054" spans="1:22" x14ac:dyDescent="0.3">
      <c r="A2054" t="str">
        <f t="shared" si="64"/>
        <v>LEITE CONDENSADOITAMBÉ</v>
      </c>
      <c r="B2054" t="str">
        <f t="shared" si="65"/>
        <v>5204977LEITE CONDENSADOITAMBÉ</v>
      </c>
      <c r="C2054" s="5" t="s">
        <v>226</v>
      </c>
      <c r="D2054" s="5" t="s">
        <v>227</v>
      </c>
      <c r="E2054" s="5" t="s">
        <v>703</v>
      </c>
      <c r="F2054" s="5">
        <v>5204977</v>
      </c>
      <c r="G2054" s="5" t="s">
        <v>1196</v>
      </c>
      <c r="H2054" s="5" t="s">
        <v>30</v>
      </c>
      <c r="I2054" s="5" t="s">
        <v>27</v>
      </c>
      <c r="J2054" s="5" t="s">
        <v>33</v>
      </c>
      <c r="K2054" s="6">
        <v>0</v>
      </c>
      <c r="L2054" s="7">
        <v>660.55499999999995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0</v>
      </c>
      <c r="S2054" s="8">
        <v>0</v>
      </c>
      <c r="T2054" s="5">
        <v>0</v>
      </c>
      <c r="U2054" s="5">
        <v>0</v>
      </c>
      <c r="V2054" s="5">
        <f>VLOOKUP(A2054,Planilha1!B:E,4,0)</f>
        <v>1.4766792698630664</v>
      </c>
    </row>
    <row r="2055" spans="1:22" x14ac:dyDescent="0.3">
      <c r="A2055" t="str">
        <f t="shared" si="64"/>
        <v>LEITE CONDENSADOITAMBÉ</v>
      </c>
      <c r="B2055" t="str">
        <f t="shared" si="65"/>
        <v>5216557LEITE CONDENSADOITAMBÉ</v>
      </c>
      <c r="C2055" s="5" t="s">
        <v>226</v>
      </c>
      <c r="D2055" s="5" t="s">
        <v>227</v>
      </c>
      <c r="E2055" s="5" t="s">
        <v>703</v>
      </c>
      <c r="F2055" s="5">
        <v>5216557</v>
      </c>
      <c r="G2055" s="5" t="s">
        <v>719</v>
      </c>
      <c r="H2055" s="5" t="s">
        <v>30</v>
      </c>
      <c r="I2055" s="5" t="s">
        <v>27</v>
      </c>
      <c r="J2055" s="5" t="s">
        <v>33</v>
      </c>
      <c r="K2055" s="6">
        <v>0</v>
      </c>
      <c r="L2055" s="7">
        <v>0</v>
      </c>
      <c r="M2055" s="8">
        <v>0</v>
      </c>
      <c r="N2055" s="8">
        <v>0</v>
      </c>
      <c r="O2055" s="8">
        <v>0</v>
      </c>
      <c r="P2055" s="8">
        <v>0</v>
      </c>
      <c r="Q2055" s="8">
        <v>0</v>
      </c>
      <c r="R2055" s="8">
        <v>0</v>
      </c>
      <c r="S2055" s="8">
        <v>0</v>
      </c>
      <c r="T2055" s="5">
        <v>0</v>
      </c>
      <c r="U2055" s="5">
        <v>0</v>
      </c>
      <c r="V2055" s="5">
        <f>VLOOKUP(A2055,Planilha1!B:E,4,0)</f>
        <v>1.4766792698630664</v>
      </c>
    </row>
    <row r="2056" spans="1:22" x14ac:dyDescent="0.3">
      <c r="A2056" t="str">
        <f t="shared" si="64"/>
        <v>QUEIJOSLACTALIS</v>
      </c>
      <c r="B2056" t="str">
        <f t="shared" si="65"/>
        <v>5278529QUEIJOSLACTALIS</v>
      </c>
      <c r="C2056" s="5" t="s">
        <v>226</v>
      </c>
      <c r="D2056" s="5" t="s">
        <v>227</v>
      </c>
      <c r="E2056" s="5" t="s">
        <v>703</v>
      </c>
      <c r="F2056" s="5">
        <v>5278529</v>
      </c>
      <c r="G2056" s="5" t="s">
        <v>1197</v>
      </c>
      <c r="H2056" s="5" t="s">
        <v>30</v>
      </c>
      <c r="I2056" s="5" t="s">
        <v>22</v>
      </c>
      <c r="J2056" s="5" t="s">
        <v>63</v>
      </c>
      <c r="K2056" s="6">
        <v>0</v>
      </c>
      <c r="L2056" s="7">
        <v>0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0</v>
      </c>
      <c r="S2056" s="8">
        <v>0</v>
      </c>
      <c r="T2056" s="5">
        <v>0</v>
      </c>
      <c r="U2056" s="5">
        <v>0</v>
      </c>
      <c r="V2056" s="5">
        <f>VLOOKUP(A2056,Planilha1!B:E,4,0)</f>
        <v>-1.9171310037550682</v>
      </c>
    </row>
    <row r="2057" spans="1:22" x14ac:dyDescent="0.3">
      <c r="A2057" t="str">
        <f t="shared" si="64"/>
        <v>COMPOSTOITAMBÉ</v>
      </c>
      <c r="B2057" t="str">
        <f t="shared" si="65"/>
        <v>5314689COMPOSTOITAMBÉ</v>
      </c>
      <c r="C2057" s="5" t="s">
        <v>226</v>
      </c>
      <c r="D2057" s="5" t="s">
        <v>227</v>
      </c>
      <c r="E2057" s="5" t="s">
        <v>703</v>
      </c>
      <c r="F2057" s="5">
        <v>5314689</v>
      </c>
      <c r="G2057" s="5" t="s">
        <v>1198</v>
      </c>
      <c r="H2057" s="5" t="s">
        <v>30</v>
      </c>
      <c r="I2057" s="5" t="s">
        <v>27</v>
      </c>
      <c r="J2057" s="5" t="s">
        <v>26</v>
      </c>
      <c r="K2057" s="6">
        <v>0</v>
      </c>
      <c r="L2057" s="7">
        <v>0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  <c r="S2057" s="8">
        <v>0</v>
      </c>
      <c r="T2057" s="5">
        <v>0</v>
      </c>
      <c r="U2057" s="5">
        <v>0</v>
      </c>
      <c r="V2057" s="5">
        <f>VLOOKUP(A2057,Planilha1!B:E,4,0)</f>
        <v>0.15618217875936719</v>
      </c>
    </row>
    <row r="2058" spans="1:22" x14ac:dyDescent="0.3">
      <c r="A2058" t="str">
        <f t="shared" si="64"/>
        <v>COMPOSTOITAMBÉ</v>
      </c>
      <c r="B2058" t="str">
        <f t="shared" si="65"/>
        <v>5316223COMPOSTOITAMBÉ</v>
      </c>
      <c r="C2058" s="5" t="s">
        <v>226</v>
      </c>
      <c r="D2058" s="5" t="s">
        <v>227</v>
      </c>
      <c r="E2058" s="5" t="s">
        <v>703</v>
      </c>
      <c r="F2058" s="5">
        <v>5316223</v>
      </c>
      <c r="G2058" s="5" t="s">
        <v>237</v>
      </c>
      <c r="H2058" s="5" t="s">
        <v>30</v>
      </c>
      <c r="I2058" s="5" t="s">
        <v>27</v>
      </c>
      <c r="J2058" s="5" t="s">
        <v>26</v>
      </c>
      <c r="K2058" s="6">
        <v>0</v>
      </c>
      <c r="L2058" s="7">
        <v>10</v>
      </c>
      <c r="M2058" s="8">
        <v>16.666666666666668</v>
      </c>
      <c r="N2058" s="8">
        <v>33.333333333333336</v>
      </c>
      <c r="O2058" s="8">
        <v>0</v>
      </c>
      <c r="P2058" s="8">
        <v>0</v>
      </c>
      <c r="Q2058" s="8">
        <v>0</v>
      </c>
      <c r="R2058" s="8">
        <v>0</v>
      </c>
      <c r="S2058" s="8">
        <v>0</v>
      </c>
      <c r="T2058" s="5">
        <v>0</v>
      </c>
      <c r="U2058" s="5">
        <v>0</v>
      </c>
      <c r="V2058" s="5">
        <f>VLOOKUP(A2058,Planilha1!B:E,4,0)</f>
        <v>0.15618217875936719</v>
      </c>
    </row>
    <row r="2059" spans="1:22" x14ac:dyDescent="0.3">
      <c r="A2059" t="str">
        <f t="shared" si="64"/>
        <v>COMPOSTOITAMBÉ</v>
      </c>
      <c r="B2059" t="str">
        <f t="shared" si="65"/>
        <v>5330378COMPOSTOITAMBÉ</v>
      </c>
      <c r="C2059" s="5" t="s">
        <v>226</v>
      </c>
      <c r="D2059" s="5" t="s">
        <v>227</v>
      </c>
      <c r="E2059" s="5" t="s">
        <v>703</v>
      </c>
      <c r="F2059" s="5">
        <v>5330378</v>
      </c>
      <c r="G2059" s="5" t="s">
        <v>1199</v>
      </c>
      <c r="H2059" s="5" t="s">
        <v>30</v>
      </c>
      <c r="I2059" s="5" t="s">
        <v>27</v>
      </c>
      <c r="J2059" s="5" t="s">
        <v>26</v>
      </c>
      <c r="K2059" s="6">
        <v>0</v>
      </c>
      <c r="L2059" s="7">
        <v>0</v>
      </c>
      <c r="M2059" s="8">
        <v>0</v>
      </c>
      <c r="N2059" s="8">
        <v>0</v>
      </c>
      <c r="O2059" s="8">
        <v>0</v>
      </c>
      <c r="P2059" s="8">
        <v>0</v>
      </c>
      <c r="Q2059" s="8">
        <v>0</v>
      </c>
      <c r="R2059" s="8">
        <v>0</v>
      </c>
      <c r="S2059" s="8">
        <v>0</v>
      </c>
      <c r="T2059" s="5">
        <v>0</v>
      </c>
      <c r="U2059" s="5">
        <v>0</v>
      </c>
      <c r="V2059" s="5">
        <f>VLOOKUP(A2059,Planilha1!B:E,4,0)</f>
        <v>0.15618217875936719</v>
      </c>
    </row>
    <row r="2060" spans="1:22" x14ac:dyDescent="0.3">
      <c r="A2060" t="str">
        <f t="shared" si="64"/>
        <v>CREME UHTITAMBÉ</v>
      </c>
      <c r="B2060" t="str">
        <f t="shared" si="65"/>
        <v>5330378CREME UHTITAMBÉ</v>
      </c>
      <c r="C2060" s="5" t="s">
        <v>226</v>
      </c>
      <c r="D2060" s="5" t="s">
        <v>227</v>
      </c>
      <c r="E2060" s="5" t="s">
        <v>703</v>
      </c>
      <c r="F2060" s="5">
        <v>5330378</v>
      </c>
      <c r="G2060" s="5" t="s">
        <v>1199</v>
      </c>
      <c r="H2060" s="5" t="s">
        <v>30</v>
      </c>
      <c r="I2060" s="5" t="s">
        <v>27</v>
      </c>
      <c r="J2060" s="5" t="s">
        <v>34</v>
      </c>
      <c r="K2060" s="6">
        <v>0</v>
      </c>
      <c r="L2060" s="7">
        <v>0</v>
      </c>
      <c r="M2060" s="8">
        <v>0</v>
      </c>
      <c r="N2060" s="8">
        <v>0</v>
      </c>
      <c r="O2060" s="8">
        <v>0</v>
      </c>
      <c r="P2060" s="8">
        <v>0</v>
      </c>
      <c r="Q2060" s="8">
        <v>0</v>
      </c>
      <c r="R2060" s="8">
        <v>0</v>
      </c>
      <c r="S2060" s="8">
        <v>0</v>
      </c>
      <c r="T2060" s="5">
        <v>0</v>
      </c>
      <c r="U2060" s="5">
        <v>0</v>
      </c>
      <c r="V2060" s="5">
        <f>VLOOKUP(A2060,Planilha1!B:E,4,0)</f>
        <v>1.2362540170747773</v>
      </c>
    </row>
    <row r="2061" spans="1:22" x14ac:dyDescent="0.3">
      <c r="A2061" t="str">
        <f t="shared" si="64"/>
        <v>DOCE DE LEITEITAMBÉ</v>
      </c>
      <c r="B2061" t="str">
        <f t="shared" si="65"/>
        <v>5330378DOCE DE LEITEITAMBÉ</v>
      </c>
      <c r="C2061" s="5" t="s">
        <v>226</v>
      </c>
      <c r="D2061" s="5" t="s">
        <v>227</v>
      </c>
      <c r="E2061" s="5" t="s">
        <v>703</v>
      </c>
      <c r="F2061" s="5">
        <v>5330378</v>
      </c>
      <c r="G2061" s="5" t="s">
        <v>1199</v>
      </c>
      <c r="H2061" s="5" t="s">
        <v>30</v>
      </c>
      <c r="I2061" s="5" t="s">
        <v>27</v>
      </c>
      <c r="J2061" s="5" t="s">
        <v>46</v>
      </c>
      <c r="K2061" s="6">
        <v>0</v>
      </c>
      <c r="L2061" s="7">
        <v>0</v>
      </c>
      <c r="M2061" s="8">
        <v>0</v>
      </c>
      <c r="N2061" s="8">
        <v>0</v>
      </c>
      <c r="O2061" s="8">
        <v>0</v>
      </c>
      <c r="P2061" s="8">
        <v>0</v>
      </c>
      <c r="Q2061" s="8">
        <v>0</v>
      </c>
      <c r="R2061" s="8">
        <v>0</v>
      </c>
      <c r="S2061" s="8">
        <v>0</v>
      </c>
      <c r="T2061" s="5">
        <v>0</v>
      </c>
      <c r="U2061" s="5">
        <v>0</v>
      </c>
      <c r="V2061" s="5">
        <f>VLOOKUP(A2061,Planilha1!B:E,4,0)</f>
        <v>5.8210743907543439</v>
      </c>
    </row>
    <row r="2062" spans="1:22" x14ac:dyDescent="0.3">
      <c r="A2062" t="str">
        <f t="shared" si="64"/>
        <v>LEITE CONDENSADOITAMBÉ</v>
      </c>
      <c r="B2062" t="str">
        <f t="shared" si="65"/>
        <v>5330378LEITE CONDENSADOITAMBÉ</v>
      </c>
      <c r="C2062" s="5" t="s">
        <v>226</v>
      </c>
      <c r="D2062" s="5" t="s">
        <v>227</v>
      </c>
      <c r="E2062" s="5" t="s">
        <v>703</v>
      </c>
      <c r="F2062" s="5">
        <v>5330378</v>
      </c>
      <c r="G2062" s="5" t="s">
        <v>1199</v>
      </c>
      <c r="H2062" s="5" t="s">
        <v>30</v>
      </c>
      <c r="I2062" s="5" t="s">
        <v>27</v>
      </c>
      <c r="J2062" s="5" t="s">
        <v>33</v>
      </c>
      <c r="K2062" s="6">
        <v>0</v>
      </c>
      <c r="L2062" s="7">
        <v>0</v>
      </c>
      <c r="M2062" s="8">
        <v>0</v>
      </c>
      <c r="N2062" s="8">
        <v>0</v>
      </c>
      <c r="O2062" s="8">
        <v>0</v>
      </c>
      <c r="P2062" s="8">
        <v>0</v>
      </c>
      <c r="Q2062" s="8">
        <v>0</v>
      </c>
      <c r="R2062" s="8">
        <v>0</v>
      </c>
      <c r="S2062" s="8">
        <v>0</v>
      </c>
      <c r="T2062" s="5">
        <v>0</v>
      </c>
      <c r="U2062" s="5">
        <v>0</v>
      </c>
      <c r="V2062" s="5">
        <f>VLOOKUP(A2062,Planilha1!B:E,4,0)</f>
        <v>1.4766792698630664</v>
      </c>
    </row>
    <row r="2063" spans="1:22" x14ac:dyDescent="0.3">
      <c r="A2063" t="str">
        <f t="shared" si="64"/>
        <v>QUEIJOSLACTALIS</v>
      </c>
      <c r="B2063" t="str">
        <f t="shared" si="65"/>
        <v>5336236QUEIJOSLACTALIS</v>
      </c>
      <c r="C2063" s="5" t="s">
        <v>226</v>
      </c>
      <c r="D2063" s="5" t="s">
        <v>227</v>
      </c>
      <c r="E2063" s="5" t="s">
        <v>703</v>
      </c>
      <c r="F2063" s="5">
        <v>5336236</v>
      </c>
      <c r="G2063" s="5" t="s">
        <v>1200</v>
      </c>
      <c r="H2063" s="5" t="s">
        <v>30</v>
      </c>
      <c r="I2063" s="5" t="s">
        <v>22</v>
      </c>
      <c r="J2063" s="5" t="s">
        <v>63</v>
      </c>
      <c r="K2063" s="6">
        <v>0</v>
      </c>
      <c r="L2063" s="7">
        <v>0</v>
      </c>
      <c r="M2063" s="8">
        <v>0</v>
      </c>
      <c r="N2063" s="8">
        <v>0</v>
      </c>
      <c r="O2063" s="8">
        <v>0</v>
      </c>
      <c r="P2063" s="8">
        <v>0</v>
      </c>
      <c r="Q2063" s="8">
        <v>0</v>
      </c>
      <c r="R2063" s="8">
        <v>0</v>
      </c>
      <c r="S2063" s="8">
        <v>0</v>
      </c>
      <c r="T2063" s="5">
        <v>0</v>
      </c>
      <c r="U2063" s="5">
        <v>0</v>
      </c>
      <c r="V2063" s="5">
        <f>VLOOKUP(A2063,Planilha1!B:E,4,0)</f>
        <v>-1.9171310037550682</v>
      </c>
    </row>
    <row r="2064" spans="1:22" x14ac:dyDescent="0.3">
      <c r="A2064" t="str">
        <f t="shared" si="64"/>
        <v>LPD 25KGITAMBÉ</v>
      </c>
      <c r="B2064" t="str">
        <f t="shared" si="65"/>
        <v>5340656LPD 25KGITAMBÉ</v>
      </c>
      <c r="C2064" s="5" t="s">
        <v>226</v>
      </c>
      <c r="D2064" s="5" t="s">
        <v>227</v>
      </c>
      <c r="E2064" s="5" t="s">
        <v>703</v>
      </c>
      <c r="F2064" s="5">
        <v>5340656</v>
      </c>
      <c r="G2064" s="5" t="s">
        <v>726</v>
      </c>
      <c r="H2064" s="5" t="s">
        <v>30</v>
      </c>
      <c r="I2064" s="5" t="s">
        <v>27</v>
      </c>
      <c r="J2064" s="5" t="s">
        <v>43</v>
      </c>
      <c r="K2064" s="6">
        <v>0</v>
      </c>
      <c r="L2064" s="7">
        <v>50</v>
      </c>
      <c r="M2064" s="8">
        <v>0</v>
      </c>
      <c r="N2064" s="8">
        <v>0</v>
      </c>
      <c r="O2064" s="8">
        <v>0</v>
      </c>
      <c r="P2064" s="8">
        <v>0</v>
      </c>
      <c r="Q2064" s="8">
        <v>0</v>
      </c>
      <c r="R2064" s="8">
        <v>0</v>
      </c>
      <c r="S2064" s="8">
        <v>0</v>
      </c>
      <c r="T2064" s="5">
        <v>0</v>
      </c>
      <c r="U2064" s="5">
        <v>0</v>
      </c>
      <c r="V2064" s="5">
        <f>VLOOKUP(A2064,Planilha1!B:E,4,0)</f>
        <v>3.3372177319587628</v>
      </c>
    </row>
    <row r="2065" spans="1:22" x14ac:dyDescent="0.3">
      <c r="A2065" t="str">
        <f t="shared" si="64"/>
        <v>BLISTERLACTALIS</v>
      </c>
      <c r="B2065" t="str">
        <f t="shared" si="65"/>
        <v>5346672BLISTERLACTALIS</v>
      </c>
      <c r="C2065" s="5" t="s">
        <v>226</v>
      </c>
      <c r="D2065" s="5" t="s">
        <v>227</v>
      </c>
      <c r="E2065" s="5" t="s">
        <v>703</v>
      </c>
      <c r="F2065" s="5">
        <v>5346672</v>
      </c>
      <c r="G2065" s="5" t="s">
        <v>1201</v>
      </c>
      <c r="H2065" s="5" t="s">
        <v>30</v>
      </c>
      <c r="I2065" s="5" t="s">
        <v>22</v>
      </c>
      <c r="J2065" s="5" t="s">
        <v>199</v>
      </c>
      <c r="K2065" s="6">
        <v>0</v>
      </c>
      <c r="L2065" s="7">
        <v>1217.28</v>
      </c>
      <c r="M2065" s="8">
        <v>44.48</v>
      </c>
      <c r="N2065" s="8">
        <v>0</v>
      </c>
      <c r="O2065" s="8">
        <v>0</v>
      </c>
      <c r="P2065" s="8">
        <v>0</v>
      </c>
      <c r="Q2065" s="8">
        <v>0</v>
      </c>
      <c r="R2065" s="8">
        <v>0</v>
      </c>
      <c r="S2065" s="8">
        <v>288</v>
      </c>
      <c r="T2065" s="5">
        <v>290</v>
      </c>
      <c r="U2065" s="5">
        <v>588</v>
      </c>
      <c r="V2065" s="5">
        <f>VLOOKUP(A2065,Planilha1!B:E,4,0)</f>
        <v>13.783871706210666</v>
      </c>
    </row>
    <row r="2066" spans="1:22" x14ac:dyDescent="0.3">
      <c r="A2066" t="str">
        <f t="shared" si="64"/>
        <v>LPI 25KGITAMBÉ</v>
      </c>
      <c r="B2066" t="str">
        <f t="shared" si="65"/>
        <v>5067885LPI 25KGITAMBÉ</v>
      </c>
      <c r="C2066" s="5" t="s">
        <v>226</v>
      </c>
      <c r="D2066" s="5" t="s">
        <v>227</v>
      </c>
      <c r="E2066" s="5" t="s">
        <v>893</v>
      </c>
      <c r="F2066" s="5">
        <v>5067885</v>
      </c>
      <c r="G2066" s="5" t="s">
        <v>1202</v>
      </c>
      <c r="H2066" s="5" t="s">
        <v>30</v>
      </c>
      <c r="I2066" s="5" t="s">
        <v>27</v>
      </c>
      <c r="J2066" s="5" t="s">
        <v>21</v>
      </c>
      <c r="K2066" s="6">
        <v>0</v>
      </c>
      <c r="L2066" s="7">
        <v>2000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0</v>
      </c>
      <c r="S2066" s="8">
        <v>0</v>
      </c>
      <c r="T2066" s="5">
        <v>0</v>
      </c>
      <c r="U2066" s="5">
        <v>0</v>
      </c>
      <c r="V2066" s="5">
        <f>VLOOKUP(A2066,Planilha1!B:E,4,0)</f>
        <v>-1.218192805504376</v>
      </c>
    </row>
    <row r="2067" spans="1:22" x14ac:dyDescent="0.3">
      <c r="A2067" t="str">
        <f t="shared" si="64"/>
        <v>BLISTERITAMBÉ</v>
      </c>
      <c r="B2067" t="str">
        <f t="shared" si="65"/>
        <v>5069172BLISTERITAMBÉ</v>
      </c>
      <c r="C2067" s="5" t="s">
        <v>226</v>
      </c>
      <c r="D2067" s="5" t="s">
        <v>227</v>
      </c>
      <c r="E2067" s="5" t="s">
        <v>893</v>
      </c>
      <c r="F2067" s="5">
        <v>5069172</v>
      </c>
      <c r="G2067" s="5" t="s">
        <v>896</v>
      </c>
      <c r="H2067" s="5" t="s">
        <v>30</v>
      </c>
      <c r="I2067" s="5" t="s">
        <v>27</v>
      </c>
      <c r="J2067" s="5" t="s">
        <v>199</v>
      </c>
      <c r="K2067" s="6">
        <v>0</v>
      </c>
      <c r="L2067" s="7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0</v>
      </c>
      <c r="S2067" s="8">
        <v>0</v>
      </c>
      <c r="T2067" s="5">
        <v>0</v>
      </c>
      <c r="U2067" s="5">
        <v>0</v>
      </c>
      <c r="V2067" s="5">
        <f>VLOOKUP(A2067,Planilha1!B:E,4,0)</f>
        <v>10.339882680976428</v>
      </c>
    </row>
    <row r="2068" spans="1:22" x14ac:dyDescent="0.3">
      <c r="A2068" t="str">
        <f t="shared" si="64"/>
        <v>COMPOSTOITAMBÉ</v>
      </c>
      <c r="B2068" t="str">
        <f t="shared" si="65"/>
        <v>5077852COMPOSTOITAMBÉ</v>
      </c>
      <c r="C2068" s="5" t="s">
        <v>226</v>
      </c>
      <c r="D2068" s="5" t="s">
        <v>227</v>
      </c>
      <c r="E2068" s="5" t="s">
        <v>893</v>
      </c>
      <c r="F2068" s="5">
        <v>5077852</v>
      </c>
      <c r="G2068" s="5" t="s">
        <v>897</v>
      </c>
      <c r="H2068" s="5" t="s">
        <v>30</v>
      </c>
      <c r="I2068" s="5" t="s">
        <v>27</v>
      </c>
      <c r="J2068" s="5" t="s">
        <v>26</v>
      </c>
      <c r="K2068" s="6">
        <v>0</v>
      </c>
      <c r="L2068" s="7">
        <v>1000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0</v>
      </c>
      <c r="S2068" s="8">
        <v>0</v>
      </c>
      <c r="T2068" s="5">
        <v>0</v>
      </c>
      <c r="U2068" s="5">
        <v>0</v>
      </c>
      <c r="V2068" s="5">
        <f>VLOOKUP(A2068,Planilha1!B:E,4,0)</f>
        <v>0.15618217875936719</v>
      </c>
    </row>
    <row r="2069" spans="1:22" x14ac:dyDescent="0.3">
      <c r="A2069" t="str">
        <f t="shared" si="64"/>
        <v>LPI 25KGITAMBÉ</v>
      </c>
      <c r="B2069" t="str">
        <f t="shared" si="65"/>
        <v>5077852LPI 25KGITAMBÉ</v>
      </c>
      <c r="C2069" s="5" t="s">
        <v>226</v>
      </c>
      <c r="D2069" s="5" t="s">
        <v>227</v>
      </c>
      <c r="E2069" s="5" t="s">
        <v>893</v>
      </c>
      <c r="F2069" s="5">
        <v>5077852</v>
      </c>
      <c r="G2069" s="5" t="s">
        <v>897</v>
      </c>
      <c r="H2069" s="5" t="s">
        <v>30</v>
      </c>
      <c r="I2069" s="5" t="s">
        <v>27</v>
      </c>
      <c r="J2069" s="5" t="s">
        <v>21</v>
      </c>
      <c r="K2069" s="6">
        <v>0</v>
      </c>
      <c r="L2069" s="7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  <c r="S2069" s="8">
        <v>0</v>
      </c>
      <c r="T2069" s="5">
        <v>0</v>
      </c>
      <c r="U2069" s="5">
        <v>0</v>
      </c>
      <c r="V2069" s="5">
        <f>VLOOKUP(A2069,Planilha1!B:E,4,0)</f>
        <v>-1.218192805504376</v>
      </c>
    </row>
    <row r="2070" spans="1:22" x14ac:dyDescent="0.3">
      <c r="A2070" t="str">
        <f t="shared" si="64"/>
        <v>QUEIJOSLACTALIS</v>
      </c>
      <c r="B2070" t="str">
        <f t="shared" si="65"/>
        <v>5077852QUEIJOSLACTALIS</v>
      </c>
      <c r="C2070" s="5" t="s">
        <v>226</v>
      </c>
      <c r="D2070" s="5" t="s">
        <v>227</v>
      </c>
      <c r="E2070" s="5" t="s">
        <v>893</v>
      </c>
      <c r="F2070" s="5">
        <v>5077852</v>
      </c>
      <c r="G2070" s="5" t="s">
        <v>897</v>
      </c>
      <c r="H2070" s="5" t="s">
        <v>30</v>
      </c>
      <c r="I2070" s="5" t="s">
        <v>22</v>
      </c>
      <c r="J2070" s="5" t="s">
        <v>63</v>
      </c>
      <c r="K2070" s="6">
        <v>0</v>
      </c>
      <c r="L2070" s="7">
        <v>0</v>
      </c>
      <c r="M2070" s="8">
        <v>0</v>
      </c>
      <c r="N2070" s="8">
        <v>0</v>
      </c>
      <c r="O2070" s="8">
        <v>0</v>
      </c>
      <c r="P2070" s="8">
        <v>0</v>
      </c>
      <c r="Q2070" s="8">
        <v>0</v>
      </c>
      <c r="R2070" s="8">
        <v>0</v>
      </c>
      <c r="S2070" s="8">
        <v>0</v>
      </c>
      <c r="T2070" s="5">
        <v>0</v>
      </c>
      <c r="U2070" s="5">
        <v>0</v>
      </c>
      <c r="V2070" s="5">
        <f>VLOOKUP(A2070,Planilha1!B:E,4,0)</f>
        <v>-1.9171310037550682</v>
      </c>
    </row>
    <row r="2071" spans="1:22" x14ac:dyDescent="0.3">
      <c r="A2071" t="str">
        <f t="shared" si="64"/>
        <v>SPREADSLACTALIS</v>
      </c>
      <c r="B2071" t="str">
        <f t="shared" si="65"/>
        <v>5077852SPREADSLACTALIS</v>
      </c>
      <c r="C2071" s="5" t="s">
        <v>226</v>
      </c>
      <c r="D2071" s="5" t="s">
        <v>227</v>
      </c>
      <c r="E2071" s="5" t="s">
        <v>893</v>
      </c>
      <c r="F2071" s="5">
        <v>5077852</v>
      </c>
      <c r="G2071" s="5" t="s">
        <v>897</v>
      </c>
      <c r="H2071" s="5" t="s">
        <v>30</v>
      </c>
      <c r="I2071" s="5" t="s">
        <v>22</v>
      </c>
      <c r="J2071" s="5" t="s">
        <v>945</v>
      </c>
      <c r="K2071" s="6">
        <v>0</v>
      </c>
      <c r="L2071" s="7">
        <v>44</v>
      </c>
      <c r="M2071" s="8">
        <v>0</v>
      </c>
      <c r="N2071" s="8">
        <v>0</v>
      </c>
      <c r="O2071" s="8">
        <v>0</v>
      </c>
      <c r="P2071" s="8">
        <v>0</v>
      </c>
      <c r="Q2071" s="8">
        <v>0</v>
      </c>
      <c r="R2071" s="8">
        <v>0</v>
      </c>
      <c r="S2071" s="8">
        <v>0</v>
      </c>
      <c r="T2071" s="5">
        <v>0</v>
      </c>
      <c r="U2071" s="5">
        <v>0</v>
      </c>
      <c r="V2071" s="5">
        <f>VLOOKUP(A2071,Planilha1!B:E,4,0)</f>
        <v>13.599044988219518</v>
      </c>
    </row>
    <row r="2072" spans="1:22" x14ac:dyDescent="0.3">
      <c r="A2072" t="str">
        <f t="shared" si="64"/>
        <v>LPI 25KGITAMBÉ</v>
      </c>
      <c r="B2072" t="str">
        <f t="shared" si="65"/>
        <v>5083008LPI 25KGITAMBÉ</v>
      </c>
      <c r="C2072" s="5" t="s">
        <v>226</v>
      </c>
      <c r="D2072" s="5" t="s">
        <v>227</v>
      </c>
      <c r="E2072" s="5" t="s">
        <v>893</v>
      </c>
      <c r="F2072" s="5">
        <v>5083008</v>
      </c>
      <c r="G2072" s="5" t="s">
        <v>898</v>
      </c>
      <c r="H2072" s="5" t="s">
        <v>30</v>
      </c>
      <c r="I2072" s="5" t="s">
        <v>27</v>
      </c>
      <c r="J2072" s="5" t="s">
        <v>21</v>
      </c>
      <c r="K2072" s="6">
        <v>0</v>
      </c>
      <c r="L2072" s="7">
        <v>0</v>
      </c>
      <c r="M2072" s="8">
        <v>12.5</v>
      </c>
      <c r="N2072" s="8">
        <v>25</v>
      </c>
      <c r="O2072" s="8">
        <v>0</v>
      </c>
      <c r="P2072" s="8">
        <v>0</v>
      </c>
      <c r="Q2072" s="8">
        <v>0</v>
      </c>
      <c r="R2072" s="8">
        <v>0</v>
      </c>
      <c r="S2072" s="8">
        <v>0</v>
      </c>
      <c r="T2072" s="5">
        <v>0</v>
      </c>
      <c r="U2072" s="5">
        <v>0</v>
      </c>
      <c r="V2072" s="5">
        <f>VLOOKUP(A2072,Planilha1!B:E,4,0)</f>
        <v>-1.218192805504376</v>
      </c>
    </row>
    <row r="2073" spans="1:22" x14ac:dyDescent="0.3">
      <c r="A2073" t="str">
        <f t="shared" si="64"/>
        <v>BLISTERITAMBÉ</v>
      </c>
      <c r="B2073" t="str">
        <f t="shared" si="65"/>
        <v>5191729BLISTERITAMBÉ</v>
      </c>
      <c r="C2073" s="5" t="s">
        <v>226</v>
      </c>
      <c r="D2073" s="5" t="s">
        <v>227</v>
      </c>
      <c r="E2073" s="5" t="s">
        <v>893</v>
      </c>
      <c r="F2073" s="5">
        <v>5191729</v>
      </c>
      <c r="G2073" s="5" t="s">
        <v>696</v>
      </c>
      <c r="H2073" s="5" t="s">
        <v>30</v>
      </c>
      <c r="I2073" s="5" t="s">
        <v>27</v>
      </c>
      <c r="J2073" s="5" t="s">
        <v>199</v>
      </c>
      <c r="K2073" s="6">
        <v>0</v>
      </c>
      <c r="L2073" s="7">
        <v>0</v>
      </c>
      <c r="M2073" s="8">
        <v>0</v>
      </c>
      <c r="N2073" s="8">
        <v>0</v>
      </c>
      <c r="O2073" s="8">
        <v>0</v>
      </c>
      <c r="P2073" s="8">
        <v>0</v>
      </c>
      <c r="Q2073" s="8">
        <v>0</v>
      </c>
      <c r="R2073" s="8">
        <v>0</v>
      </c>
      <c r="S2073" s="8">
        <v>0</v>
      </c>
      <c r="T2073" s="5">
        <v>0</v>
      </c>
      <c r="U2073" s="5">
        <v>0</v>
      </c>
      <c r="V2073" s="5">
        <f>VLOOKUP(A2073,Planilha1!B:E,4,0)</f>
        <v>10.339882680976428</v>
      </c>
    </row>
    <row r="2074" spans="1:22" x14ac:dyDescent="0.3">
      <c r="A2074" t="str">
        <f t="shared" si="64"/>
        <v>BLISTERITAMBÉ</v>
      </c>
      <c r="B2074" t="str">
        <f t="shared" si="65"/>
        <v>5200105BLISTERITAMBÉ</v>
      </c>
      <c r="C2074" s="5" t="s">
        <v>226</v>
      </c>
      <c r="D2074" s="5" t="s">
        <v>227</v>
      </c>
      <c r="E2074" s="5" t="s">
        <v>893</v>
      </c>
      <c r="F2074" s="5">
        <v>5200105</v>
      </c>
      <c r="G2074" s="5" t="s">
        <v>697</v>
      </c>
      <c r="H2074" s="5" t="s">
        <v>30</v>
      </c>
      <c r="I2074" s="5" t="s">
        <v>27</v>
      </c>
      <c r="J2074" s="5" t="s">
        <v>199</v>
      </c>
      <c r="K2074" s="6">
        <v>0</v>
      </c>
      <c r="L2074" s="7">
        <v>76.8</v>
      </c>
      <c r="M2074" s="8">
        <v>0</v>
      </c>
      <c r="N2074" s="8">
        <v>0</v>
      </c>
      <c r="O2074" s="8">
        <v>0</v>
      </c>
      <c r="P2074" s="8">
        <v>0</v>
      </c>
      <c r="Q2074" s="8">
        <v>0</v>
      </c>
      <c r="R2074" s="8">
        <v>0</v>
      </c>
      <c r="S2074" s="8">
        <v>0</v>
      </c>
      <c r="T2074" s="5">
        <v>0</v>
      </c>
      <c r="U2074" s="5">
        <v>0</v>
      </c>
      <c r="V2074" s="5">
        <f>VLOOKUP(A2074,Planilha1!B:E,4,0)</f>
        <v>10.339882680976428</v>
      </c>
    </row>
    <row r="2075" spans="1:22" x14ac:dyDescent="0.3">
      <c r="A2075" t="str">
        <f t="shared" si="64"/>
        <v>BLISTERITAMBÉ</v>
      </c>
      <c r="B2075" t="str">
        <f t="shared" si="65"/>
        <v>5340377BLISTERITAMBÉ</v>
      </c>
      <c r="C2075" s="5" t="s">
        <v>226</v>
      </c>
      <c r="D2075" s="5" t="s">
        <v>227</v>
      </c>
      <c r="E2075" s="5" t="s">
        <v>893</v>
      </c>
      <c r="F2075" s="5">
        <v>5340377</v>
      </c>
      <c r="G2075" s="5" t="s">
        <v>701</v>
      </c>
      <c r="H2075" s="5" t="s">
        <v>30</v>
      </c>
      <c r="I2075" s="5" t="s">
        <v>27</v>
      </c>
      <c r="J2075" s="5" t="s">
        <v>199</v>
      </c>
      <c r="K2075" s="6">
        <v>0</v>
      </c>
      <c r="L2075" s="7">
        <v>96</v>
      </c>
      <c r="M2075" s="8">
        <v>0</v>
      </c>
      <c r="N2075" s="8">
        <v>0</v>
      </c>
      <c r="O2075" s="8">
        <v>0</v>
      </c>
      <c r="P2075" s="8">
        <v>0</v>
      </c>
      <c r="Q2075" s="8">
        <v>0</v>
      </c>
      <c r="R2075" s="8">
        <v>0</v>
      </c>
      <c r="S2075" s="8">
        <v>0</v>
      </c>
      <c r="T2075" s="5">
        <v>0</v>
      </c>
      <c r="U2075" s="5">
        <v>0</v>
      </c>
      <c r="V2075" s="5">
        <f>VLOOKUP(A2075,Planilha1!B:E,4,0)</f>
        <v>10.339882680976428</v>
      </c>
    </row>
    <row r="2076" spans="1:22" x14ac:dyDescent="0.3">
      <c r="A2076" t="str">
        <f t="shared" si="64"/>
        <v>CREME UHTITAMBÉ</v>
      </c>
      <c r="B2076" t="str">
        <f t="shared" si="65"/>
        <v>5340377CREME UHTITAMBÉ</v>
      </c>
      <c r="C2076" s="5" t="s">
        <v>226</v>
      </c>
      <c r="D2076" s="5" t="s">
        <v>227</v>
      </c>
      <c r="E2076" s="5" t="s">
        <v>893</v>
      </c>
      <c r="F2076" s="5">
        <v>5340377</v>
      </c>
      <c r="G2076" s="5" t="s">
        <v>701</v>
      </c>
      <c r="H2076" s="5" t="s">
        <v>30</v>
      </c>
      <c r="I2076" s="5" t="s">
        <v>27</v>
      </c>
      <c r="J2076" s="5" t="s">
        <v>34</v>
      </c>
      <c r="K2076" s="6">
        <v>0</v>
      </c>
      <c r="L2076" s="7">
        <v>-921.12</v>
      </c>
      <c r="M2076" s="8">
        <v>0</v>
      </c>
      <c r="N2076" s="8">
        <v>0</v>
      </c>
      <c r="O2076" s="8">
        <v>0</v>
      </c>
      <c r="P2076" s="8">
        <v>0</v>
      </c>
      <c r="Q2076" s="8">
        <v>0</v>
      </c>
      <c r="R2076" s="8">
        <v>0</v>
      </c>
      <c r="S2076" s="8">
        <v>0</v>
      </c>
      <c r="T2076" s="5">
        <v>0</v>
      </c>
      <c r="U2076" s="5">
        <v>0</v>
      </c>
      <c r="V2076" s="5">
        <f>VLOOKUP(A2076,Planilha1!B:E,4,0)</f>
        <v>1.2362540170747773</v>
      </c>
    </row>
    <row r="2077" spans="1:22" x14ac:dyDescent="0.3">
      <c r="A2077" t="str">
        <f t="shared" si="64"/>
        <v>DOCE DE LEITEITAMBÉ</v>
      </c>
      <c r="B2077" t="str">
        <f t="shared" si="65"/>
        <v>5340377DOCE DE LEITEITAMBÉ</v>
      </c>
      <c r="C2077" s="5" t="s">
        <v>226</v>
      </c>
      <c r="D2077" s="5" t="s">
        <v>227</v>
      </c>
      <c r="E2077" s="5" t="s">
        <v>893</v>
      </c>
      <c r="F2077" s="5">
        <v>5340377</v>
      </c>
      <c r="G2077" s="5" t="s">
        <v>701</v>
      </c>
      <c r="H2077" s="5" t="s">
        <v>30</v>
      </c>
      <c r="I2077" s="5" t="s">
        <v>27</v>
      </c>
      <c r="J2077" s="5" t="s">
        <v>46</v>
      </c>
      <c r="K2077" s="6">
        <v>0</v>
      </c>
      <c r="L2077" s="7">
        <v>840</v>
      </c>
      <c r="M2077" s="8">
        <v>0</v>
      </c>
      <c r="N2077" s="8">
        <v>0</v>
      </c>
      <c r="O2077" s="8">
        <v>0</v>
      </c>
      <c r="P2077" s="8">
        <v>0</v>
      </c>
      <c r="Q2077" s="8">
        <v>0</v>
      </c>
      <c r="R2077" s="8">
        <v>0</v>
      </c>
      <c r="S2077" s="8">
        <v>0</v>
      </c>
      <c r="T2077" s="5">
        <v>0</v>
      </c>
      <c r="U2077" s="5">
        <v>0</v>
      </c>
      <c r="V2077" s="5">
        <f>VLOOKUP(A2077,Planilha1!B:E,4,0)</f>
        <v>5.8210743907543439</v>
      </c>
    </row>
    <row r="2078" spans="1:22" x14ac:dyDescent="0.3">
      <c r="A2078" t="str">
        <f t="shared" si="64"/>
        <v>IOGURTESITAMBÉ</v>
      </c>
      <c r="B2078" t="str">
        <f t="shared" si="65"/>
        <v>5340377IOGURTESITAMBÉ</v>
      </c>
      <c r="C2078" s="5" t="s">
        <v>226</v>
      </c>
      <c r="D2078" s="5" t="s">
        <v>227</v>
      </c>
      <c r="E2078" s="5" t="s">
        <v>893</v>
      </c>
      <c r="F2078" s="5">
        <v>5340377</v>
      </c>
      <c r="G2078" s="5" t="s">
        <v>701</v>
      </c>
      <c r="H2078" s="5" t="s">
        <v>30</v>
      </c>
      <c r="I2078" s="5" t="s">
        <v>27</v>
      </c>
      <c r="J2078" s="5" t="s">
        <v>153</v>
      </c>
      <c r="K2078" s="6">
        <v>0</v>
      </c>
      <c r="L2078" s="7">
        <v>5.4</v>
      </c>
      <c r="M2078" s="8">
        <v>0</v>
      </c>
      <c r="N2078" s="8">
        <v>0</v>
      </c>
      <c r="O2078" s="8">
        <v>0</v>
      </c>
      <c r="P2078" s="8">
        <v>0</v>
      </c>
      <c r="Q2078" s="8">
        <v>0</v>
      </c>
      <c r="R2078" s="8">
        <v>0</v>
      </c>
      <c r="S2078" s="8">
        <v>0</v>
      </c>
      <c r="T2078" s="5">
        <v>0</v>
      </c>
      <c r="U2078" s="5">
        <v>0</v>
      </c>
      <c r="V2078" s="5">
        <f>VLOOKUP(A2078,Planilha1!B:E,4,0)</f>
        <v>3.2554443184120534</v>
      </c>
    </row>
    <row r="2079" spans="1:22" x14ac:dyDescent="0.3">
      <c r="A2079" t="str">
        <f t="shared" si="64"/>
        <v>LEITE CONDENSADOITAMBÉ</v>
      </c>
      <c r="B2079" t="str">
        <f t="shared" si="65"/>
        <v>5340377LEITE CONDENSADOITAMBÉ</v>
      </c>
      <c r="C2079" s="5" t="s">
        <v>226</v>
      </c>
      <c r="D2079" s="5" t="s">
        <v>227</v>
      </c>
      <c r="E2079" s="5" t="s">
        <v>893</v>
      </c>
      <c r="F2079" s="5">
        <v>5340377</v>
      </c>
      <c r="G2079" s="5" t="s">
        <v>701</v>
      </c>
      <c r="H2079" s="5" t="s">
        <v>30</v>
      </c>
      <c r="I2079" s="5" t="s">
        <v>27</v>
      </c>
      <c r="J2079" s="5" t="s">
        <v>33</v>
      </c>
      <c r="K2079" s="6">
        <v>0</v>
      </c>
      <c r="L2079" s="7">
        <v>0</v>
      </c>
      <c r="M2079" s="8">
        <v>0</v>
      </c>
      <c r="N2079" s="8">
        <v>0</v>
      </c>
      <c r="O2079" s="8">
        <v>0</v>
      </c>
      <c r="P2079" s="8">
        <v>0</v>
      </c>
      <c r="Q2079" s="8">
        <v>0</v>
      </c>
      <c r="R2079" s="8">
        <v>0</v>
      </c>
      <c r="S2079" s="8">
        <v>0</v>
      </c>
      <c r="T2079" s="5">
        <v>0</v>
      </c>
      <c r="U2079" s="5">
        <v>0</v>
      </c>
      <c r="V2079" s="5">
        <f>VLOOKUP(A2079,Planilha1!B:E,4,0)</f>
        <v>1.4766792698630664</v>
      </c>
    </row>
    <row r="2080" spans="1:22" x14ac:dyDescent="0.3">
      <c r="A2080" t="str">
        <f t="shared" si="64"/>
        <v>MANTEIGA 5KGITAMBÉ</v>
      </c>
      <c r="B2080" t="str">
        <f t="shared" si="65"/>
        <v>5340377MANTEIGA 5KGITAMBÉ</v>
      </c>
      <c r="C2080" s="5" t="s">
        <v>226</v>
      </c>
      <c r="D2080" s="5" t="s">
        <v>227</v>
      </c>
      <c r="E2080" s="5" t="s">
        <v>893</v>
      </c>
      <c r="F2080" s="5">
        <v>5340377</v>
      </c>
      <c r="G2080" s="5" t="s">
        <v>701</v>
      </c>
      <c r="H2080" s="5" t="s">
        <v>30</v>
      </c>
      <c r="I2080" s="5" t="s">
        <v>27</v>
      </c>
      <c r="J2080" s="5" t="s">
        <v>60</v>
      </c>
      <c r="K2080" s="6">
        <v>0</v>
      </c>
      <c r="L2080" s="7">
        <v>150</v>
      </c>
      <c r="M2080" s="8">
        <v>0</v>
      </c>
      <c r="N2080" s="8">
        <v>0</v>
      </c>
      <c r="O2080" s="8">
        <v>0</v>
      </c>
      <c r="P2080" s="8">
        <v>0</v>
      </c>
      <c r="Q2080" s="8">
        <v>0</v>
      </c>
      <c r="R2080" s="8">
        <v>0</v>
      </c>
      <c r="S2080" s="8">
        <v>0</v>
      </c>
      <c r="T2080" s="5">
        <v>0</v>
      </c>
      <c r="U2080" s="5">
        <v>0</v>
      </c>
      <c r="V2080" s="5">
        <f>VLOOKUP(A2080,Planilha1!B:E,4,0)</f>
        <v>5.819800475298738</v>
      </c>
    </row>
    <row r="2081" spans="1:22" x14ac:dyDescent="0.3">
      <c r="A2081" t="str">
        <f t="shared" si="64"/>
        <v>MANTEIGA 5KGLACTALIS</v>
      </c>
      <c r="B2081" t="str">
        <f t="shared" si="65"/>
        <v>5340377MANTEIGA 5KGLACTALIS</v>
      </c>
      <c r="C2081" s="5" t="s">
        <v>226</v>
      </c>
      <c r="D2081" s="5" t="s">
        <v>227</v>
      </c>
      <c r="E2081" s="5" t="s">
        <v>893</v>
      </c>
      <c r="F2081" s="5">
        <v>5340377</v>
      </c>
      <c r="G2081" s="5" t="s">
        <v>701</v>
      </c>
      <c r="H2081" s="5" t="s">
        <v>30</v>
      </c>
      <c r="I2081" s="5" t="s">
        <v>22</v>
      </c>
      <c r="J2081" s="5" t="s">
        <v>60</v>
      </c>
      <c r="K2081" s="6">
        <v>0</v>
      </c>
      <c r="L2081" s="7">
        <v>0</v>
      </c>
      <c r="M2081" s="8">
        <v>297.5</v>
      </c>
      <c r="N2081" s="8">
        <v>595</v>
      </c>
      <c r="O2081" s="8">
        <v>0</v>
      </c>
      <c r="P2081" s="8">
        <v>0</v>
      </c>
      <c r="Q2081" s="8">
        <v>0</v>
      </c>
      <c r="R2081" s="8">
        <v>0</v>
      </c>
      <c r="S2081" s="8">
        <v>0</v>
      </c>
      <c r="T2081" s="5">
        <v>0</v>
      </c>
      <c r="U2081" s="5">
        <v>0</v>
      </c>
      <c r="V2081" s="5">
        <f>VLOOKUP(A2081,Planilha1!B:E,4,0)</f>
        <v>11.476197020267191</v>
      </c>
    </row>
    <row r="2082" spans="1:22" x14ac:dyDescent="0.3">
      <c r="A2082" t="str">
        <f t="shared" si="64"/>
        <v>MERC + AROMITAMBÉ</v>
      </c>
      <c r="B2082" t="str">
        <f t="shared" si="65"/>
        <v>5340377MERC + AROMITAMBÉ</v>
      </c>
      <c r="C2082" s="5" t="s">
        <v>226</v>
      </c>
      <c r="D2082" s="5" t="s">
        <v>227</v>
      </c>
      <c r="E2082" s="5" t="s">
        <v>893</v>
      </c>
      <c r="F2082" s="5">
        <v>5340377</v>
      </c>
      <c r="G2082" s="5" t="s">
        <v>701</v>
      </c>
      <c r="H2082" s="5" t="s">
        <v>30</v>
      </c>
      <c r="I2082" s="5" t="s">
        <v>27</v>
      </c>
      <c r="J2082" s="5" t="s">
        <v>230</v>
      </c>
      <c r="K2082" s="6">
        <v>0</v>
      </c>
      <c r="L2082" s="7">
        <v>18</v>
      </c>
      <c r="M2082" s="8">
        <v>0</v>
      </c>
      <c r="N2082" s="8">
        <v>0</v>
      </c>
      <c r="O2082" s="8">
        <v>0</v>
      </c>
      <c r="P2082" s="8">
        <v>0</v>
      </c>
      <c r="Q2082" s="8">
        <v>0</v>
      </c>
      <c r="R2082" s="8">
        <v>0</v>
      </c>
      <c r="S2082" s="8">
        <v>0</v>
      </c>
      <c r="T2082" s="5">
        <v>0</v>
      </c>
      <c r="U2082" s="5">
        <v>0</v>
      </c>
      <c r="V2082" s="5">
        <f>VLOOKUP(A2082,Planilha1!B:E,4,0)</f>
        <v>1.0384020099151063</v>
      </c>
    </row>
    <row r="2083" spans="1:22" x14ac:dyDescent="0.3">
      <c r="A2083" t="str">
        <f t="shared" si="64"/>
        <v>DOCE DE LEITELACTALIS</v>
      </c>
      <c r="B2083" t="str">
        <f t="shared" si="65"/>
        <v>5109656DOCE DE LEITELACTALIS</v>
      </c>
      <c r="C2083" s="5" t="s">
        <v>226</v>
      </c>
      <c r="D2083" s="5" t="s">
        <v>893</v>
      </c>
      <c r="E2083" s="5" t="s">
        <v>893</v>
      </c>
      <c r="F2083" s="5">
        <v>5109656</v>
      </c>
      <c r="G2083" s="5" t="s">
        <v>901</v>
      </c>
      <c r="H2083" s="5" t="s">
        <v>30</v>
      </c>
      <c r="I2083" s="5" t="s">
        <v>22</v>
      </c>
      <c r="J2083" s="5" t="s">
        <v>46</v>
      </c>
      <c r="K2083" s="6">
        <v>0</v>
      </c>
      <c r="L2083" s="7">
        <v>1861.5</v>
      </c>
      <c r="M2083" s="8">
        <v>1791</v>
      </c>
      <c r="N2083" s="8">
        <v>521.5</v>
      </c>
      <c r="O2083" s="8">
        <v>0</v>
      </c>
      <c r="P2083" s="8">
        <v>0</v>
      </c>
      <c r="Q2083" s="8">
        <v>0</v>
      </c>
      <c r="R2083" s="8">
        <v>0</v>
      </c>
      <c r="S2083" s="8">
        <v>8000</v>
      </c>
      <c r="T2083" s="5">
        <v>8000</v>
      </c>
      <c r="U2083" s="5">
        <v>8000</v>
      </c>
      <c r="V2083" s="5">
        <f>VLOOKUP(A2083,Planilha1!B:E,4,0)</f>
        <v>5.6473514327668077</v>
      </c>
    </row>
    <row r="2084" spans="1:22" x14ac:dyDescent="0.3">
      <c r="A2084" t="str">
        <f t="shared" si="64"/>
        <v>LPD 25KGITAMBÉ</v>
      </c>
      <c r="B2084" t="str">
        <f t="shared" si="65"/>
        <v>5109656LPD 25KGITAMBÉ</v>
      </c>
      <c r="C2084" s="5" t="s">
        <v>226</v>
      </c>
      <c r="D2084" s="5" t="s">
        <v>1203</v>
      </c>
      <c r="E2084" s="5" t="s">
        <v>1203</v>
      </c>
      <c r="F2084" s="5">
        <v>5109656</v>
      </c>
      <c r="G2084" s="5" t="s">
        <v>901</v>
      </c>
      <c r="H2084" s="5" t="s">
        <v>30</v>
      </c>
      <c r="I2084" s="5" t="s">
        <v>27</v>
      </c>
      <c r="J2084" s="5" t="s">
        <v>43</v>
      </c>
      <c r="K2084" s="6">
        <v>0</v>
      </c>
      <c r="L2084" s="7">
        <v>0</v>
      </c>
      <c r="M2084" s="8">
        <v>633.33333333333326</v>
      </c>
      <c r="N2084" s="8">
        <v>666.66666666666663</v>
      </c>
      <c r="O2084" s="8">
        <v>0</v>
      </c>
      <c r="P2084" s="8">
        <v>0</v>
      </c>
      <c r="Q2084" s="8">
        <v>0</v>
      </c>
      <c r="R2084" s="8">
        <v>0</v>
      </c>
      <c r="S2084" s="8">
        <v>0</v>
      </c>
      <c r="T2084" s="5">
        <v>0</v>
      </c>
      <c r="U2084" s="5">
        <v>0</v>
      </c>
      <c r="V2084" s="5">
        <f>VLOOKUP(A2084,Planilha1!B:E,4,0)</f>
        <v>3.3372177319587628</v>
      </c>
    </row>
    <row r="2085" spans="1:22" x14ac:dyDescent="0.3">
      <c r="A2085" t="str">
        <f t="shared" si="64"/>
        <v>LPI 25KGITAMBÉ</v>
      </c>
      <c r="B2085" t="str">
        <f t="shared" si="65"/>
        <v>5109656LPI 25KGITAMBÉ</v>
      </c>
      <c r="C2085" s="5" t="s">
        <v>226</v>
      </c>
      <c r="D2085" s="5" t="s">
        <v>1203</v>
      </c>
      <c r="E2085" s="5" t="s">
        <v>1203</v>
      </c>
      <c r="F2085" s="5">
        <v>5109656</v>
      </c>
      <c r="G2085" s="5" t="s">
        <v>901</v>
      </c>
      <c r="H2085" s="5" t="s">
        <v>30</v>
      </c>
      <c r="I2085" s="5" t="s">
        <v>27</v>
      </c>
      <c r="J2085" s="5" t="s">
        <v>21</v>
      </c>
      <c r="K2085" s="6">
        <v>0</v>
      </c>
      <c r="L2085" s="7">
        <v>0</v>
      </c>
      <c r="M2085" s="8">
        <v>21070.833333333336</v>
      </c>
      <c r="N2085" s="8">
        <v>24633.333333333332</v>
      </c>
      <c r="O2085" s="8">
        <v>0</v>
      </c>
      <c r="P2085" s="8">
        <v>625</v>
      </c>
      <c r="Q2085" s="8">
        <v>0</v>
      </c>
      <c r="R2085" s="8">
        <v>0</v>
      </c>
      <c r="S2085" s="8">
        <v>0</v>
      </c>
      <c r="T2085" s="5">
        <v>0</v>
      </c>
      <c r="U2085" s="5">
        <v>0</v>
      </c>
      <c r="V2085" s="5">
        <f>VLOOKUP(A2085,Planilha1!B:E,4,0)</f>
        <v>-1.218192805504376</v>
      </c>
    </row>
    <row r="2086" spans="1:22" x14ac:dyDescent="0.3">
      <c r="A2086" t="str">
        <f t="shared" si="64"/>
        <v>LEITE EM PÓITAMBÉ</v>
      </c>
      <c r="B2086" t="str">
        <f t="shared" si="65"/>
        <v>5003628LEITE EM PÓITAMBÉ</v>
      </c>
      <c r="C2086" s="5" t="s">
        <v>226</v>
      </c>
      <c r="D2086" s="5" t="s">
        <v>815</v>
      </c>
      <c r="E2086" s="5" t="s">
        <v>816</v>
      </c>
      <c r="F2086" s="5">
        <v>5003628</v>
      </c>
      <c r="G2086" s="5" t="s">
        <v>1204</v>
      </c>
      <c r="H2086" s="5" t="s">
        <v>30</v>
      </c>
      <c r="I2086" s="5" t="s">
        <v>27</v>
      </c>
      <c r="J2086" s="5" t="s">
        <v>84</v>
      </c>
      <c r="K2086" s="6">
        <v>0</v>
      </c>
      <c r="L2086" s="7">
        <v>603.75</v>
      </c>
      <c r="M2086" s="8">
        <v>0</v>
      </c>
      <c r="N2086" s="8">
        <v>0</v>
      </c>
      <c r="O2086" s="8">
        <v>0</v>
      </c>
      <c r="P2086" s="8">
        <v>0</v>
      </c>
      <c r="Q2086" s="8">
        <v>0</v>
      </c>
      <c r="R2086" s="8">
        <v>0</v>
      </c>
      <c r="S2086" s="8">
        <v>0</v>
      </c>
      <c r="T2086" s="5">
        <v>0</v>
      </c>
      <c r="U2086" s="5">
        <v>0</v>
      </c>
      <c r="V2086" s="5">
        <f>VLOOKUP(A2086,Planilha1!B:E,4,0)</f>
        <v>4.5971522734997743</v>
      </c>
    </row>
    <row r="2087" spans="1:22" x14ac:dyDescent="0.3">
      <c r="A2087" t="str">
        <f t="shared" si="64"/>
        <v>DOCE DE LEITELACTALIS</v>
      </c>
      <c r="B2087" t="str">
        <f t="shared" si="65"/>
        <v>5008478DOCE DE LEITELACTALIS</v>
      </c>
      <c r="C2087" s="5" t="s">
        <v>226</v>
      </c>
      <c r="D2087" s="5" t="s">
        <v>815</v>
      </c>
      <c r="E2087" s="5" t="s">
        <v>816</v>
      </c>
      <c r="F2087" s="5">
        <v>5008478</v>
      </c>
      <c r="G2087" s="5" t="s">
        <v>817</v>
      </c>
      <c r="H2087" s="5" t="s">
        <v>30</v>
      </c>
      <c r="I2087" s="5" t="s">
        <v>22</v>
      </c>
      <c r="J2087" s="5" t="s">
        <v>46</v>
      </c>
      <c r="K2087" s="6">
        <v>0</v>
      </c>
      <c r="L2087" s="7">
        <v>510</v>
      </c>
      <c r="M2087" s="8">
        <v>0</v>
      </c>
      <c r="N2087" s="8">
        <v>0</v>
      </c>
      <c r="O2087" s="8">
        <v>0</v>
      </c>
      <c r="P2087" s="8">
        <v>0</v>
      </c>
      <c r="Q2087" s="8">
        <v>0</v>
      </c>
      <c r="R2087" s="8">
        <v>0</v>
      </c>
      <c r="S2087" s="8">
        <v>0</v>
      </c>
      <c r="T2087" s="5">
        <v>0</v>
      </c>
      <c r="U2087" s="5">
        <v>0</v>
      </c>
      <c r="V2087" s="5">
        <f>VLOOKUP(A2087,Planilha1!B:E,4,0)</f>
        <v>5.6473514327668077</v>
      </c>
    </row>
    <row r="2088" spans="1:22" x14ac:dyDescent="0.3">
      <c r="A2088" t="str">
        <f t="shared" si="64"/>
        <v>DOCE DE LEITELACTALIS</v>
      </c>
      <c r="B2088" t="str">
        <f t="shared" si="65"/>
        <v>5019126DOCE DE LEITELACTALIS</v>
      </c>
      <c r="C2088" s="5" t="s">
        <v>226</v>
      </c>
      <c r="D2088" s="5" t="s">
        <v>815</v>
      </c>
      <c r="E2088" s="5" t="s">
        <v>816</v>
      </c>
      <c r="F2088" s="5">
        <v>5019126</v>
      </c>
      <c r="G2088" s="5" t="s">
        <v>818</v>
      </c>
      <c r="H2088" s="5" t="s">
        <v>30</v>
      </c>
      <c r="I2088" s="5" t="s">
        <v>22</v>
      </c>
      <c r="J2088" s="5" t="s">
        <v>46</v>
      </c>
      <c r="K2088" s="6">
        <v>0</v>
      </c>
      <c r="L2088" s="7">
        <v>964.5</v>
      </c>
      <c r="M2088" s="8">
        <v>0</v>
      </c>
      <c r="N2088" s="8">
        <v>0</v>
      </c>
      <c r="O2088" s="8">
        <v>0</v>
      </c>
      <c r="P2088" s="8">
        <v>0</v>
      </c>
      <c r="Q2088" s="8">
        <v>0</v>
      </c>
      <c r="R2088" s="8">
        <v>0</v>
      </c>
      <c r="S2088" s="8">
        <v>0</v>
      </c>
      <c r="T2088" s="5">
        <v>0</v>
      </c>
      <c r="U2088" s="5">
        <v>0</v>
      </c>
      <c r="V2088" s="5">
        <f>VLOOKUP(A2088,Planilha1!B:E,4,0)</f>
        <v>5.6473514327668077</v>
      </c>
    </row>
    <row r="2089" spans="1:22" x14ac:dyDescent="0.3">
      <c r="A2089" t="str">
        <f t="shared" si="64"/>
        <v>COMPOSTOITAMBÉ</v>
      </c>
      <c r="B2089" t="str">
        <f t="shared" si="65"/>
        <v>5023831COMPOSTOITAMBÉ</v>
      </c>
      <c r="C2089" s="5" t="s">
        <v>226</v>
      </c>
      <c r="D2089" s="5" t="s">
        <v>815</v>
      </c>
      <c r="E2089" s="5" t="s">
        <v>816</v>
      </c>
      <c r="F2089" s="5">
        <v>5023831</v>
      </c>
      <c r="G2089" s="5" t="s">
        <v>819</v>
      </c>
      <c r="H2089" s="5" t="s">
        <v>30</v>
      </c>
      <c r="I2089" s="5" t="s">
        <v>27</v>
      </c>
      <c r="J2089" s="5" t="s">
        <v>26</v>
      </c>
      <c r="K2089" s="6">
        <v>0</v>
      </c>
      <c r="L2089" s="7">
        <v>0</v>
      </c>
      <c r="M2089" s="8">
        <v>0</v>
      </c>
      <c r="N2089" s="8">
        <v>0</v>
      </c>
      <c r="O2089" s="8">
        <v>0</v>
      </c>
      <c r="P2089" s="8">
        <v>0</v>
      </c>
      <c r="Q2089" s="8">
        <v>0</v>
      </c>
      <c r="R2089" s="8">
        <v>0</v>
      </c>
      <c r="S2089" s="8">
        <v>0</v>
      </c>
      <c r="T2089" s="5">
        <v>0</v>
      </c>
      <c r="U2089" s="5">
        <v>0</v>
      </c>
      <c r="V2089" s="5">
        <f>VLOOKUP(A2089,Planilha1!B:E,4,0)</f>
        <v>0.15618217875936719</v>
      </c>
    </row>
    <row r="2090" spans="1:22" x14ac:dyDescent="0.3">
      <c r="A2090" t="str">
        <f t="shared" si="64"/>
        <v>LEITE CONDENSADOITAMBÉ</v>
      </c>
      <c r="B2090" t="str">
        <f t="shared" si="65"/>
        <v>5105940LEITE CONDENSADOITAMBÉ</v>
      </c>
      <c r="C2090" s="5" t="s">
        <v>226</v>
      </c>
      <c r="D2090" s="5" t="s">
        <v>815</v>
      </c>
      <c r="E2090" s="5" t="s">
        <v>816</v>
      </c>
      <c r="F2090" s="5">
        <v>5105940</v>
      </c>
      <c r="G2090" s="5" t="s">
        <v>822</v>
      </c>
      <c r="H2090" s="5" t="s">
        <v>30</v>
      </c>
      <c r="I2090" s="5" t="s">
        <v>27</v>
      </c>
      <c r="J2090" s="5" t="s">
        <v>33</v>
      </c>
      <c r="K2090" s="6">
        <v>0</v>
      </c>
      <c r="L2090" s="7">
        <v>1940</v>
      </c>
      <c r="M2090" s="8">
        <v>400</v>
      </c>
      <c r="N2090" s="8">
        <v>0</v>
      </c>
      <c r="O2090" s="8">
        <v>0</v>
      </c>
      <c r="P2090" s="8">
        <v>0</v>
      </c>
      <c r="Q2090" s="8">
        <v>0</v>
      </c>
      <c r="R2090" s="8">
        <v>0</v>
      </c>
      <c r="S2090" s="8">
        <v>1200</v>
      </c>
      <c r="T2090" s="5">
        <v>1200</v>
      </c>
      <c r="U2090" s="5">
        <v>1200</v>
      </c>
      <c r="V2090" s="5">
        <f>VLOOKUP(A2090,Planilha1!B:E,4,0)</f>
        <v>1.4766792698630664</v>
      </c>
    </row>
    <row r="2091" spans="1:22" x14ac:dyDescent="0.3">
      <c r="A2091" t="str">
        <f t="shared" si="64"/>
        <v>COMPOSTOITAMBÉ</v>
      </c>
      <c r="B2091" t="str">
        <f t="shared" si="65"/>
        <v>5109682COMPOSTOITAMBÉ</v>
      </c>
      <c r="C2091" s="5" t="s">
        <v>226</v>
      </c>
      <c r="D2091" s="5" t="s">
        <v>815</v>
      </c>
      <c r="E2091" s="5" t="s">
        <v>816</v>
      </c>
      <c r="F2091" s="5">
        <v>5109682</v>
      </c>
      <c r="G2091" s="5" t="s">
        <v>823</v>
      </c>
      <c r="H2091" s="5" t="s">
        <v>30</v>
      </c>
      <c r="I2091" s="5" t="s">
        <v>27</v>
      </c>
      <c r="J2091" s="5" t="s">
        <v>26</v>
      </c>
      <c r="K2091" s="6">
        <v>0</v>
      </c>
      <c r="L2091" s="7">
        <v>0</v>
      </c>
      <c r="M2091" s="8">
        <v>-5.166666666666667</v>
      </c>
      <c r="N2091" s="8">
        <v>-10.333333333333334</v>
      </c>
      <c r="O2091" s="8">
        <v>0</v>
      </c>
      <c r="P2091" s="8">
        <v>0</v>
      </c>
      <c r="Q2091" s="8">
        <v>0</v>
      </c>
      <c r="R2091" s="8">
        <v>0</v>
      </c>
      <c r="S2091" s="8">
        <v>0</v>
      </c>
      <c r="T2091" s="5">
        <v>0</v>
      </c>
      <c r="U2091" s="5">
        <v>0</v>
      </c>
      <c r="V2091" s="5">
        <f>VLOOKUP(A2091,Planilha1!B:E,4,0)</f>
        <v>0.15618217875936719</v>
      </c>
    </row>
    <row r="2092" spans="1:22" x14ac:dyDescent="0.3">
      <c r="A2092" t="str">
        <f t="shared" si="64"/>
        <v>QUEIJOSLACTALIS</v>
      </c>
      <c r="B2092" t="str">
        <f t="shared" si="65"/>
        <v>5109682QUEIJOSLACTALIS</v>
      </c>
      <c r="C2092" s="5" t="s">
        <v>226</v>
      </c>
      <c r="D2092" s="5" t="s">
        <v>815</v>
      </c>
      <c r="E2092" s="5" t="s">
        <v>816</v>
      </c>
      <c r="F2092" s="5">
        <v>5109682</v>
      </c>
      <c r="G2092" s="5" t="s">
        <v>823</v>
      </c>
      <c r="H2092" s="5" t="s">
        <v>30</v>
      </c>
      <c r="I2092" s="5" t="s">
        <v>22</v>
      </c>
      <c r="J2092" s="5" t="s">
        <v>63</v>
      </c>
      <c r="K2092" s="6">
        <v>0</v>
      </c>
      <c r="L2092" s="7">
        <v>1021.364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0</v>
      </c>
      <c r="S2092" s="8">
        <v>0</v>
      </c>
      <c r="T2092" s="5">
        <v>0</v>
      </c>
      <c r="U2092" s="5">
        <v>0</v>
      </c>
      <c r="V2092" s="5">
        <f>VLOOKUP(A2092,Planilha1!B:E,4,0)</f>
        <v>-1.9171310037550682</v>
      </c>
    </row>
    <row r="2093" spans="1:22" x14ac:dyDescent="0.3">
      <c r="A2093" t="str">
        <f t="shared" si="64"/>
        <v>QUEIJOSLACTALIS</v>
      </c>
      <c r="B2093" t="str">
        <f t="shared" si="65"/>
        <v>5185743QUEIJOSLACTALIS</v>
      </c>
      <c r="C2093" s="5" t="s">
        <v>226</v>
      </c>
      <c r="D2093" s="5" t="s">
        <v>815</v>
      </c>
      <c r="E2093" s="5" t="s">
        <v>816</v>
      </c>
      <c r="F2093" s="5">
        <v>5185743</v>
      </c>
      <c r="G2093" s="5" t="s">
        <v>1205</v>
      </c>
      <c r="H2093" s="5" t="s">
        <v>30</v>
      </c>
      <c r="I2093" s="5" t="s">
        <v>22</v>
      </c>
      <c r="J2093" s="5" t="s">
        <v>63</v>
      </c>
      <c r="K2093" s="6">
        <v>0</v>
      </c>
      <c r="L2093" s="7">
        <v>1.9999999999527102E-3</v>
      </c>
      <c r="M2093" s="8">
        <v>0</v>
      </c>
      <c r="N2093" s="8">
        <v>0</v>
      </c>
      <c r="O2093" s="8">
        <v>0</v>
      </c>
      <c r="P2093" s="8">
        <v>0</v>
      </c>
      <c r="Q2093" s="8">
        <v>0</v>
      </c>
      <c r="R2093" s="8">
        <v>0</v>
      </c>
      <c r="S2093" s="8">
        <v>0</v>
      </c>
      <c r="T2093" s="5">
        <v>0</v>
      </c>
      <c r="U2093" s="5">
        <v>0</v>
      </c>
      <c r="V2093" s="5">
        <f>VLOOKUP(A2093,Planilha1!B:E,4,0)</f>
        <v>-1.9171310037550682</v>
      </c>
    </row>
    <row r="2094" spans="1:22" x14ac:dyDescent="0.3">
      <c r="A2094" t="str">
        <f t="shared" si="64"/>
        <v>LPD 25KGITAMBÉ</v>
      </c>
      <c r="B2094" t="str">
        <f t="shared" si="65"/>
        <v>5212843LPD 25KGITAMBÉ</v>
      </c>
      <c r="C2094" s="5" t="s">
        <v>226</v>
      </c>
      <c r="D2094" s="5" t="s">
        <v>815</v>
      </c>
      <c r="E2094" s="5" t="s">
        <v>816</v>
      </c>
      <c r="F2094" s="5">
        <v>5212843</v>
      </c>
      <c r="G2094" s="5" t="s">
        <v>1206</v>
      </c>
      <c r="H2094" s="5" t="s">
        <v>30</v>
      </c>
      <c r="I2094" s="5" t="s">
        <v>27</v>
      </c>
      <c r="J2094" s="5" t="s">
        <v>43</v>
      </c>
      <c r="K2094" s="6">
        <v>0</v>
      </c>
      <c r="L2094" s="7">
        <v>0</v>
      </c>
      <c r="M2094" s="8">
        <v>0</v>
      </c>
      <c r="N2094" s="8">
        <v>0</v>
      </c>
      <c r="O2094" s="8">
        <v>0</v>
      </c>
      <c r="P2094" s="8">
        <v>0</v>
      </c>
      <c r="Q2094" s="8">
        <v>0</v>
      </c>
      <c r="R2094" s="8">
        <v>0</v>
      </c>
      <c r="S2094" s="8">
        <v>0</v>
      </c>
      <c r="T2094" s="5">
        <v>0</v>
      </c>
      <c r="U2094" s="5">
        <v>0</v>
      </c>
      <c r="V2094" s="5">
        <f>VLOOKUP(A2094,Planilha1!B:E,4,0)</f>
        <v>3.3372177319587628</v>
      </c>
    </row>
    <row r="2095" spans="1:22" x14ac:dyDescent="0.3">
      <c r="A2095" t="str">
        <f t="shared" si="64"/>
        <v>LPI 25KGITAMBÉ</v>
      </c>
      <c r="B2095" t="str">
        <f t="shared" si="65"/>
        <v>5212843LPI 25KGITAMBÉ</v>
      </c>
      <c r="C2095" s="5" t="s">
        <v>226</v>
      </c>
      <c r="D2095" s="5" t="s">
        <v>815</v>
      </c>
      <c r="E2095" s="5" t="s">
        <v>816</v>
      </c>
      <c r="F2095" s="5">
        <v>5212843</v>
      </c>
      <c r="G2095" s="5" t="s">
        <v>1206</v>
      </c>
      <c r="H2095" s="5" t="s">
        <v>30</v>
      </c>
      <c r="I2095" s="5" t="s">
        <v>27</v>
      </c>
      <c r="J2095" s="5" t="s">
        <v>21</v>
      </c>
      <c r="K2095" s="6">
        <v>0</v>
      </c>
      <c r="L2095" s="7">
        <v>0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0</v>
      </c>
      <c r="S2095" s="8">
        <v>0</v>
      </c>
      <c r="T2095" s="5">
        <v>0</v>
      </c>
      <c r="U2095" s="5">
        <v>0</v>
      </c>
      <c r="V2095" s="5">
        <f>VLOOKUP(A2095,Planilha1!B:E,4,0)</f>
        <v>-1.218192805504376</v>
      </c>
    </row>
    <row r="2096" spans="1:22" x14ac:dyDescent="0.3">
      <c r="A2096" t="str">
        <f t="shared" si="64"/>
        <v>CREME UHTITAMBÉ</v>
      </c>
      <c r="B2096" t="str">
        <f t="shared" si="65"/>
        <v>5338214CREME UHTITAMBÉ</v>
      </c>
      <c r="C2096" s="5" t="s">
        <v>226</v>
      </c>
      <c r="D2096" s="5" t="s">
        <v>815</v>
      </c>
      <c r="E2096" s="5" t="s">
        <v>816</v>
      </c>
      <c r="F2096" s="5">
        <v>5338214</v>
      </c>
      <c r="G2096" s="5" t="s">
        <v>827</v>
      </c>
      <c r="H2096" s="5" t="s">
        <v>30</v>
      </c>
      <c r="I2096" s="5" t="s">
        <v>27</v>
      </c>
      <c r="J2096" s="5" t="s">
        <v>34</v>
      </c>
      <c r="K2096" s="6">
        <v>0</v>
      </c>
      <c r="L2096" s="7">
        <v>0</v>
      </c>
      <c r="M2096" s="8">
        <v>92.92</v>
      </c>
      <c r="N2096" s="8">
        <v>105</v>
      </c>
      <c r="O2096" s="8">
        <v>0</v>
      </c>
      <c r="P2096" s="8">
        <v>0</v>
      </c>
      <c r="Q2096" s="8">
        <v>0</v>
      </c>
      <c r="R2096" s="8">
        <v>0</v>
      </c>
      <c r="S2096" s="8">
        <v>60.6</v>
      </c>
      <c r="T2096" s="5">
        <v>60.6</v>
      </c>
      <c r="U2096" s="5">
        <v>61</v>
      </c>
      <c r="V2096" s="5">
        <f>VLOOKUP(A2096,Planilha1!B:E,4,0)</f>
        <v>1.2362540170747773</v>
      </c>
    </row>
    <row r="2097" spans="1:22" x14ac:dyDescent="0.3">
      <c r="A2097" t="str">
        <f t="shared" si="64"/>
        <v>DOCE DE LEITELACTALIS</v>
      </c>
      <c r="B2097" t="str">
        <f t="shared" si="65"/>
        <v>5006978DOCE DE LEITELACTALIS</v>
      </c>
      <c r="C2097" s="5" t="s">
        <v>226</v>
      </c>
      <c r="D2097" s="5" t="s">
        <v>815</v>
      </c>
      <c r="E2097" s="5" t="s">
        <v>815</v>
      </c>
      <c r="F2097" s="5">
        <v>5006978</v>
      </c>
      <c r="G2097" s="5" t="s">
        <v>830</v>
      </c>
      <c r="H2097" s="5" t="s">
        <v>30</v>
      </c>
      <c r="I2097" s="5" t="s">
        <v>22</v>
      </c>
      <c r="J2097" s="5" t="s">
        <v>46</v>
      </c>
      <c r="K2097" s="6">
        <v>0</v>
      </c>
      <c r="L2097" s="7">
        <v>618</v>
      </c>
      <c r="M2097" s="8">
        <v>131.75</v>
      </c>
      <c r="N2097" s="8">
        <v>135</v>
      </c>
      <c r="O2097" s="8">
        <v>0</v>
      </c>
      <c r="P2097" s="8">
        <v>1</v>
      </c>
      <c r="Q2097" s="8">
        <v>0</v>
      </c>
      <c r="R2097" s="8">
        <v>0</v>
      </c>
      <c r="S2097" s="8">
        <v>450</v>
      </c>
      <c r="T2097" s="5">
        <v>450</v>
      </c>
      <c r="U2097" s="5">
        <v>225</v>
      </c>
      <c r="V2097" s="5">
        <f>VLOOKUP(A2097,Planilha1!B:E,4,0)</f>
        <v>5.6473514327668077</v>
      </c>
    </row>
    <row r="2098" spans="1:22" x14ac:dyDescent="0.3">
      <c r="A2098" t="str">
        <f t="shared" si="64"/>
        <v>LEITE EM PÓITAMBÉ</v>
      </c>
      <c r="B2098" t="str">
        <f t="shared" si="65"/>
        <v>5157891LEITE EM PÓITAMBÉ</v>
      </c>
      <c r="C2098" s="5" t="s">
        <v>226</v>
      </c>
      <c r="D2098" s="5" t="s">
        <v>815</v>
      </c>
      <c r="E2098" s="5" t="s">
        <v>815</v>
      </c>
      <c r="F2098" s="5">
        <v>5157891</v>
      </c>
      <c r="G2098" s="5" t="s">
        <v>831</v>
      </c>
      <c r="H2098" s="5" t="s">
        <v>30</v>
      </c>
      <c r="I2098" s="5" t="s">
        <v>27</v>
      </c>
      <c r="J2098" s="5" t="s">
        <v>84</v>
      </c>
      <c r="K2098" s="6">
        <v>0</v>
      </c>
      <c r="L2098" s="7">
        <v>200</v>
      </c>
      <c r="M2098" s="8">
        <v>100</v>
      </c>
      <c r="N2098" s="8">
        <v>200</v>
      </c>
      <c r="O2098" s="8">
        <v>0</v>
      </c>
      <c r="P2098" s="8">
        <v>0</v>
      </c>
      <c r="Q2098" s="8">
        <v>0</v>
      </c>
      <c r="R2098" s="8">
        <v>0</v>
      </c>
      <c r="S2098" s="8">
        <v>0</v>
      </c>
      <c r="T2098" s="5">
        <v>0</v>
      </c>
      <c r="U2098" s="5">
        <v>0</v>
      </c>
      <c r="V2098" s="5">
        <f>VLOOKUP(A2098,Planilha1!B:E,4,0)</f>
        <v>4.5971522734997743</v>
      </c>
    </row>
    <row r="2099" spans="1:22" x14ac:dyDescent="0.3">
      <c r="A2099" t="str">
        <f t="shared" si="64"/>
        <v>DOCE DE LEITELACTALIS</v>
      </c>
      <c r="B2099" t="str">
        <f t="shared" si="65"/>
        <v>5226985DOCE DE LEITELACTALIS</v>
      </c>
      <c r="C2099" s="5" t="s">
        <v>226</v>
      </c>
      <c r="D2099" s="5" t="s">
        <v>815</v>
      </c>
      <c r="E2099" s="5" t="s">
        <v>815</v>
      </c>
      <c r="F2099" s="5">
        <v>5226985</v>
      </c>
      <c r="G2099" s="5" t="s">
        <v>830</v>
      </c>
      <c r="H2099" s="5" t="s">
        <v>30</v>
      </c>
      <c r="I2099" s="5" t="s">
        <v>22</v>
      </c>
      <c r="J2099" s="5" t="s">
        <v>46</v>
      </c>
      <c r="K2099" s="6">
        <v>0</v>
      </c>
      <c r="L2099" s="7">
        <v>210</v>
      </c>
      <c r="M2099" s="8">
        <v>39</v>
      </c>
      <c r="N2099" s="8">
        <v>45</v>
      </c>
      <c r="O2099" s="8">
        <v>0</v>
      </c>
      <c r="P2099" s="8">
        <v>1</v>
      </c>
      <c r="Q2099" s="8">
        <v>0</v>
      </c>
      <c r="R2099" s="8">
        <v>0</v>
      </c>
      <c r="S2099" s="8">
        <v>45</v>
      </c>
      <c r="T2099" s="5">
        <v>45</v>
      </c>
      <c r="U2099" s="5">
        <v>0</v>
      </c>
      <c r="V2099" s="5">
        <f>VLOOKUP(A2099,Planilha1!B:E,4,0)</f>
        <v>5.6473514327668077</v>
      </c>
    </row>
    <row r="2100" spans="1:22" x14ac:dyDescent="0.3">
      <c r="A2100" t="str">
        <f t="shared" si="64"/>
        <v>MANTEIGA 5KGITAMBÉ</v>
      </c>
      <c r="B2100" t="str">
        <f t="shared" si="65"/>
        <v>5015262MANTEIGA 5KGITAMBÉ</v>
      </c>
      <c r="C2100" s="5" t="s">
        <v>226</v>
      </c>
      <c r="D2100" s="5" t="s">
        <v>903</v>
      </c>
      <c r="E2100" s="5" t="s">
        <v>904</v>
      </c>
      <c r="F2100" s="5">
        <v>5015262</v>
      </c>
      <c r="G2100" s="5" t="s">
        <v>907</v>
      </c>
      <c r="H2100" s="5" t="s">
        <v>88</v>
      </c>
      <c r="I2100" s="5" t="s">
        <v>27</v>
      </c>
      <c r="J2100" s="5" t="s">
        <v>60</v>
      </c>
      <c r="K2100" s="6">
        <v>0</v>
      </c>
      <c r="L2100" s="7">
        <v>50</v>
      </c>
      <c r="M2100" s="8">
        <v>0</v>
      </c>
      <c r="N2100" s="8">
        <v>0</v>
      </c>
      <c r="O2100" s="8">
        <v>0</v>
      </c>
      <c r="P2100" s="8">
        <v>0</v>
      </c>
      <c r="Q2100" s="8">
        <v>0</v>
      </c>
      <c r="R2100" s="8">
        <v>0</v>
      </c>
      <c r="S2100" s="8">
        <v>0</v>
      </c>
      <c r="T2100" s="5">
        <v>0</v>
      </c>
      <c r="U2100" s="5">
        <v>0</v>
      </c>
      <c r="V2100" s="5">
        <f>VLOOKUP(A2100,Planilha1!B:E,4,0)</f>
        <v>5.819800475298738</v>
      </c>
    </row>
    <row r="2101" spans="1:22" x14ac:dyDescent="0.3">
      <c r="A2101" t="str">
        <f t="shared" si="64"/>
        <v>COMPOSTOITAMBÉ</v>
      </c>
      <c r="B2101" t="str">
        <f t="shared" si="65"/>
        <v>5015279COMPOSTOITAMBÉ</v>
      </c>
      <c r="C2101" s="5" t="s">
        <v>226</v>
      </c>
      <c r="D2101" s="5" t="s">
        <v>903</v>
      </c>
      <c r="E2101" s="5" t="s">
        <v>904</v>
      </c>
      <c r="F2101" s="5">
        <v>5015279</v>
      </c>
      <c r="G2101" s="5" t="s">
        <v>908</v>
      </c>
      <c r="H2101" s="5" t="s">
        <v>88</v>
      </c>
      <c r="I2101" s="5" t="s">
        <v>27</v>
      </c>
      <c r="J2101" s="5" t="s">
        <v>26</v>
      </c>
      <c r="K2101" s="6">
        <v>0</v>
      </c>
      <c r="L2101" s="7">
        <v>0</v>
      </c>
      <c r="M2101" s="8">
        <v>0</v>
      </c>
      <c r="N2101" s="8">
        <v>0</v>
      </c>
      <c r="O2101" s="8">
        <v>0</v>
      </c>
      <c r="P2101" s="8">
        <v>0</v>
      </c>
      <c r="Q2101" s="8">
        <v>0</v>
      </c>
      <c r="R2101" s="8">
        <v>0</v>
      </c>
      <c r="S2101" s="8">
        <v>0</v>
      </c>
      <c r="T2101" s="5">
        <v>0</v>
      </c>
      <c r="U2101" s="5">
        <v>0</v>
      </c>
      <c r="V2101" s="5">
        <f>VLOOKUP(A2101,Planilha1!B:E,4,0)</f>
        <v>0.15618217875936719</v>
      </c>
    </row>
    <row r="2102" spans="1:22" x14ac:dyDescent="0.3">
      <c r="A2102" t="str">
        <f t="shared" si="64"/>
        <v>BLISTERITAMBÉ</v>
      </c>
      <c r="B2102" t="str">
        <f t="shared" si="65"/>
        <v>5015298BLISTERITAMBÉ</v>
      </c>
      <c r="C2102" s="5" t="s">
        <v>226</v>
      </c>
      <c r="D2102" s="5" t="s">
        <v>903</v>
      </c>
      <c r="E2102" s="5" t="s">
        <v>904</v>
      </c>
      <c r="F2102" s="5">
        <v>5015298</v>
      </c>
      <c r="G2102" s="5" t="s">
        <v>909</v>
      </c>
      <c r="H2102" s="5" t="s">
        <v>88</v>
      </c>
      <c r="I2102" s="5" t="s">
        <v>27</v>
      </c>
      <c r="J2102" s="5" t="s">
        <v>199</v>
      </c>
      <c r="K2102" s="6">
        <v>0</v>
      </c>
      <c r="L2102" s="7">
        <v>0</v>
      </c>
      <c r="M2102" s="8">
        <v>0</v>
      </c>
      <c r="N2102" s="8">
        <v>0</v>
      </c>
      <c r="O2102" s="8">
        <v>0</v>
      </c>
      <c r="P2102" s="8">
        <v>0</v>
      </c>
      <c r="Q2102" s="8">
        <v>0</v>
      </c>
      <c r="R2102" s="8">
        <v>0</v>
      </c>
      <c r="S2102" s="8">
        <v>38.4</v>
      </c>
      <c r="T2102" s="5">
        <v>38.4</v>
      </c>
      <c r="U2102" s="5">
        <v>0</v>
      </c>
      <c r="V2102" s="5">
        <f>VLOOKUP(A2102,Planilha1!B:E,4,0)</f>
        <v>10.339882680976428</v>
      </c>
    </row>
    <row r="2103" spans="1:22" x14ac:dyDescent="0.3">
      <c r="A2103" t="str">
        <f t="shared" si="64"/>
        <v>CREME UHTITAMBÉ</v>
      </c>
      <c r="B2103" t="str">
        <f t="shared" si="65"/>
        <v>5015597CREME UHTITAMBÉ</v>
      </c>
      <c r="C2103" s="5" t="s">
        <v>226</v>
      </c>
      <c r="D2103" s="5" t="s">
        <v>903</v>
      </c>
      <c r="E2103" s="5" t="s">
        <v>904</v>
      </c>
      <c r="F2103" s="5">
        <v>5015597</v>
      </c>
      <c r="G2103" s="5" t="s">
        <v>910</v>
      </c>
      <c r="H2103" s="5" t="s">
        <v>88</v>
      </c>
      <c r="I2103" s="5" t="s">
        <v>27</v>
      </c>
      <c r="J2103" s="5" t="s">
        <v>34</v>
      </c>
      <c r="K2103" s="6">
        <v>0</v>
      </c>
      <c r="L2103" s="7">
        <v>496.92</v>
      </c>
      <c r="M2103" s="8">
        <v>50.5</v>
      </c>
      <c r="N2103" s="8">
        <v>60.666666666666664</v>
      </c>
      <c r="O2103" s="8">
        <v>0</v>
      </c>
      <c r="P2103" s="8">
        <v>0</v>
      </c>
      <c r="Q2103" s="8">
        <v>0</v>
      </c>
      <c r="R2103" s="8">
        <v>0</v>
      </c>
      <c r="S2103" s="8">
        <v>0</v>
      </c>
      <c r="T2103" s="5">
        <v>0</v>
      </c>
      <c r="U2103" s="5">
        <v>60.666666666666664</v>
      </c>
      <c r="V2103" s="5">
        <f>VLOOKUP(A2103,Planilha1!B:E,4,0)</f>
        <v>1.2362540170747773</v>
      </c>
    </row>
    <row r="2104" spans="1:22" x14ac:dyDescent="0.3">
      <c r="A2104" t="str">
        <f t="shared" si="64"/>
        <v>MERC + AROMLACTALIS</v>
      </c>
      <c r="B2104" t="str">
        <f t="shared" si="65"/>
        <v>5016719MERC + AROMLACTALIS</v>
      </c>
      <c r="C2104" s="5" t="s">
        <v>226</v>
      </c>
      <c r="D2104" s="5" t="s">
        <v>903</v>
      </c>
      <c r="E2104" s="5" t="s">
        <v>904</v>
      </c>
      <c r="F2104" s="5">
        <v>5016719</v>
      </c>
      <c r="G2104" s="5" t="s">
        <v>911</v>
      </c>
      <c r="H2104" s="5" t="s">
        <v>113</v>
      </c>
      <c r="I2104" s="5" t="s">
        <v>22</v>
      </c>
      <c r="J2104" s="5" t="s">
        <v>230</v>
      </c>
      <c r="K2104" s="6">
        <v>0</v>
      </c>
      <c r="L2104" s="7">
        <v>1006.2</v>
      </c>
      <c r="M2104" s="8">
        <v>0</v>
      </c>
      <c r="N2104" s="8">
        <v>0</v>
      </c>
      <c r="O2104" s="8">
        <v>0</v>
      </c>
      <c r="P2104" s="8">
        <v>0</v>
      </c>
      <c r="Q2104" s="8">
        <v>0</v>
      </c>
      <c r="R2104" s="8">
        <v>0</v>
      </c>
      <c r="S2104" s="8">
        <v>0</v>
      </c>
      <c r="T2104" s="5">
        <v>0</v>
      </c>
      <c r="U2104" s="5">
        <v>0</v>
      </c>
      <c r="V2104" s="5">
        <f>VLOOKUP(A2104,Planilha1!B:E,4,0)</f>
        <v>0.86907188046232187</v>
      </c>
    </row>
    <row r="2105" spans="1:22" x14ac:dyDescent="0.3">
      <c r="A2105" t="str">
        <f t="shared" si="64"/>
        <v>BLISTERITAMBÉ</v>
      </c>
      <c r="B2105" t="str">
        <f t="shared" si="65"/>
        <v>5027658BLISTERITAMBÉ</v>
      </c>
      <c r="C2105" s="5" t="s">
        <v>226</v>
      </c>
      <c r="D2105" s="5" t="s">
        <v>903</v>
      </c>
      <c r="E2105" s="5" t="s">
        <v>904</v>
      </c>
      <c r="F2105" s="5">
        <v>5027658</v>
      </c>
      <c r="G2105" s="5" t="s">
        <v>732</v>
      </c>
      <c r="H2105" s="5" t="s">
        <v>88</v>
      </c>
      <c r="I2105" s="5" t="s">
        <v>27</v>
      </c>
      <c r="J2105" s="5" t="s">
        <v>199</v>
      </c>
      <c r="K2105" s="6">
        <v>0</v>
      </c>
      <c r="L2105" s="7">
        <v>769.92000000000007</v>
      </c>
      <c r="M2105" s="8">
        <v>0</v>
      </c>
      <c r="N2105" s="8">
        <v>0</v>
      </c>
      <c r="O2105" s="8">
        <v>0</v>
      </c>
      <c r="P2105" s="8">
        <v>0</v>
      </c>
      <c r="Q2105" s="8">
        <v>0</v>
      </c>
      <c r="R2105" s="8">
        <v>0</v>
      </c>
      <c r="S2105" s="8">
        <v>0</v>
      </c>
      <c r="T2105" s="5">
        <v>0</v>
      </c>
      <c r="U2105" s="5">
        <v>0</v>
      </c>
      <c r="V2105" s="5">
        <f>VLOOKUP(A2105,Planilha1!B:E,4,0)</f>
        <v>10.339882680976428</v>
      </c>
    </row>
    <row r="2106" spans="1:22" x14ac:dyDescent="0.3">
      <c r="A2106" t="str">
        <f t="shared" si="64"/>
        <v>BLISTERLACTALIS</v>
      </c>
      <c r="B2106" t="str">
        <f t="shared" si="65"/>
        <v>5192385BLISTERLACTALIS</v>
      </c>
      <c r="C2106" s="5" t="s">
        <v>226</v>
      </c>
      <c r="D2106" s="5" t="s">
        <v>903</v>
      </c>
      <c r="E2106" s="5" t="s">
        <v>904</v>
      </c>
      <c r="F2106" s="5">
        <v>5192385</v>
      </c>
      <c r="G2106" s="5" t="s">
        <v>1207</v>
      </c>
      <c r="H2106" s="5" t="s">
        <v>103</v>
      </c>
      <c r="I2106" s="5" t="s">
        <v>22</v>
      </c>
      <c r="J2106" s="5" t="s">
        <v>199</v>
      </c>
      <c r="K2106" s="6">
        <v>0</v>
      </c>
      <c r="L2106" s="7">
        <v>134.4</v>
      </c>
      <c r="M2106" s="8">
        <v>0</v>
      </c>
      <c r="N2106" s="8">
        <v>0</v>
      </c>
      <c r="O2106" s="8">
        <v>0</v>
      </c>
      <c r="P2106" s="8">
        <v>0</v>
      </c>
      <c r="Q2106" s="8">
        <v>0</v>
      </c>
      <c r="R2106" s="8">
        <v>0</v>
      </c>
      <c r="S2106" s="8">
        <v>0</v>
      </c>
      <c r="T2106" s="5">
        <v>0</v>
      </c>
      <c r="U2106" s="5">
        <v>0</v>
      </c>
      <c r="V2106" s="5">
        <f>VLOOKUP(A2106,Planilha1!B:E,4,0)</f>
        <v>13.783871706210666</v>
      </c>
    </row>
    <row r="2107" spans="1:22" x14ac:dyDescent="0.3">
      <c r="A2107" t="str">
        <f t="shared" si="64"/>
        <v>COMPOSTOITAMBÉ</v>
      </c>
      <c r="B2107" t="str">
        <f t="shared" si="65"/>
        <v>5195927COMPOSTOITAMBÉ</v>
      </c>
      <c r="C2107" s="5" t="s">
        <v>226</v>
      </c>
      <c r="D2107" s="5" t="s">
        <v>903</v>
      </c>
      <c r="E2107" s="5" t="s">
        <v>904</v>
      </c>
      <c r="F2107" s="5">
        <v>5195927</v>
      </c>
      <c r="G2107" s="5" t="s">
        <v>731</v>
      </c>
      <c r="H2107" s="5" t="s">
        <v>88</v>
      </c>
      <c r="I2107" s="5" t="s">
        <v>27</v>
      </c>
      <c r="J2107" s="5" t="s">
        <v>26</v>
      </c>
      <c r="K2107" s="6">
        <v>0</v>
      </c>
      <c r="L2107" s="7">
        <v>0</v>
      </c>
      <c r="M2107" s="8">
        <v>0</v>
      </c>
      <c r="N2107" s="8">
        <v>0</v>
      </c>
      <c r="O2107" s="8">
        <v>0</v>
      </c>
      <c r="P2107" s="8">
        <v>0</v>
      </c>
      <c r="Q2107" s="8">
        <v>0</v>
      </c>
      <c r="R2107" s="8">
        <v>0</v>
      </c>
      <c r="S2107" s="8">
        <v>0</v>
      </c>
      <c r="T2107" s="5">
        <v>0</v>
      </c>
      <c r="U2107" s="5">
        <v>0</v>
      </c>
      <c r="V2107" s="5">
        <f>VLOOKUP(A2107,Planilha1!B:E,4,0)</f>
        <v>0.15618217875936719</v>
      </c>
    </row>
    <row r="2108" spans="1:22" x14ac:dyDescent="0.3">
      <c r="A2108" t="str">
        <f t="shared" si="64"/>
        <v>CREME UHTITAMBÉ</v>
      </c>
      <c r="B2108" t="str">
        <f t="shared" si="65"/>
        <v>5195927CREME UHTITAMBÉ</v>
      </c>
      <c r="C2108" s="5" t="s">
        <v>226</v>
      </c>
      <c r="D2108" s="5" t="s">
        <v>903</v>
      </c>
      <c r="E2108" s="5" t="s">
        <v>904</v>
      </c>
      <c r="F2108" s="5">
        <v>5195927</v>
      </c>
      <c r="G2108" s="5" t="s">
        <v>731</v>
      </c>
      <c r="H2108" s="5" t="s">
        <v>88</v>
      </c>
      <c r="I2108" s="5" t="s">
        <v>27</v>
      </c>
      <c r="J2108" s="5" t="s">
        <v>34</v>
      </c>
      <c r="K2108" s="6">
        <v>0</v>
      </c>
      <c r="L2108" s="7">
        <v>288</v>
      </c>
      <c r="M2108" s="8">
        <v>0</v>
      </c>
      <c r="N2108" s="8">
        <v>0</v>
      </c>
      <c r="O2108" s="8">
        <v>0</v>
      </c>
      <c r="P2108" s="8">
        <v>0</v>
      </c>
      <c r="Q2108" s="8">
        <v>0</v>
      </c>
      <c r="R2108" s="8">
        <v>0</v>
      </c>
      <c r="S2108" s="8">
        <v>0</v>
      </c>
      <c r="T2108" s="5">
        <v>0</v>
      </c>
      <c r="U2108" s="5">
        <v>0</v>
      </c>
      <c r="V2108" s="5">
        <f>VLOOKUP(A2108,Planilha1!B:E,4,0)</f>
        <v>1.2362540170747773</v>
      </c>
    </row>
    <row r="2109" spans="1:22" x14ac:dyDescent="0.3">
      <c r="A2109" t="str">
        <f t="shared" si="64"/>
        <v>LEITE CONDENSADOITAMBÉ</v>
      </c>
      <c r="B2109" t="str">
        <f t="shared" si="65"/>
        <v>5195927LEITE CONDENSADOITAMBÉ</v>
      </c>
      <c r="C2109" s="5" t="s">
        <v>226</v>
      </c>
      <c r="D2109" s="5" t="s">
        <v>903</v>
      </c>
      <c r="E2109" s="5" t="s">
        <v>904</v>
      </c>
      <c r="F2109" s="5">
        <v>5195927</v>
      </c>
      <c r="G2109" s="5" t="s">
        <v>731</v>
      </c>
      <c r="H2109" s="5" t="s">
        <v>88</v>
      </c>
      <c r="I2109" s="5" t="s">
        <v>27</v>
      </c>
      <c r="J2109" s="5" t="s">
        <v>33</v>
      </c>
      <c r="K2109" s="6">
        <v>0</v>
      </c>
      <c r="L2109" s="7">
        <v>662.88</v>
      </c>
      <c r="M2109" s="8">
        <v>0</v>
      </c>
      <c r="N2109" s="8">
        <v>0</v>
      </c>
      <c r="O2109" s="8">
        <v>0</v>
      </c>
      <c r="P2109" s="8">
        <v>0</v>
      </c>
      <c r="Q2109" s="8">
        <v>0</v>
      </c>
      <c r="R2109" s="8">
        <v>0</v>
      </c>
      <c r="S2109" s="8">
        <v>0</v>
      </c>
      <c r="T2109" s="5">
        <v>0</v>
      </c>
      <c r="U2109" s="5">
        <v>0</v>
      </c>
      <c r="V2109" s="5">
        <f>VLOOKUP(A2109,Planilha1!B:E,4,0)</f>
        <v>1.4766792698630664</v>
      </c>
    </row>
    <row r="2110" spans="1:22" x14ac:dyDescent="0.3">
      <c r="A2110" t="str">
        <f t="shared" si="64"/>
        <v>LEITE EM PÓITAMBÉ</v>
      </c>
      <c r="B2110" t="str">
        <f t="shared" si="65"/>
        <v>5195927LEITE EM PÓITAMBÉ</v>
      </c>
      <c r="C2110" s="5" t="s">
        <v>226</v>
      </c>
      <c r="D2110" s="5" t="s">
        <v>903</v>
      </c>
      <c r="E2110" s="5" t="s">
        <v>904</v>
      </c>
      <c r="F2110" s="5">
        <v>5195927</v>
      </c>
      <c r="G2110" s="5" t="s">
        <v>731</v>
      </c>
      <c r="H2110" s="5" t="s">
        <v>88</v>
      </c>
      <c r="I2110" s="5" t="s">
        <v>27</v>
      </c>
      <c r="J2110" s="5" t="s">
        <v>84</v>
      </c>
      <c r="K2110" s="6">
        <v>0</v>
      </c>
      <c r="L2110" s="7">
        <v>200</v>
      </c>
      <c r="M2110" s="8">
        <v>0</v>
      </c>
      <c r="N2110" s="8">
        <v>0</v>
      </c>
      <c r="O2110" s="8">
        <v>0</v>
      </c>
      <c r="P2110" s="8">
        <v>0</v>
      </c>
      <c r="Q2110" s="8">
        <v>0</v>
      </c>
      <c r="R2110" s="8">
        <v>0</v>
      </c>
      <c r="S2110" s="8">
        <v>0</v>
      </c>
      <c r="T2110" s="5">
        <v>0</v>
      </c>
      <c r="U2110" s="5">
        <v>0</v>
      </c>
      <c r="V2110" s="5">
        <f>VLOOKUP(A2110,Planilha1!B:E,4,0)</f>
        <v>4.5971522734997743</v>
      </c>
    </row>
    <row r="2111" spans="1:22" x14ac:dyDescent="0.3">
      <c r="A2111" t="str">
        <f t="shared" si="64"/>
        <v>BLISTERITAMBÉ</v>
      </c>
      <c r="B2111" t="str">
        <f t="shared" si="65"/>
        <v>5214053BLISTERITAMBÉ</v>
      </c>
      <c r="C2111" s="5" t="s">
        <v>226</v>
      </c>
      <c r="D2111" s="5" t="s">
        <v>903</v>
      </c>
      <c r="E2111" s="5" t="s">
        <v>904</v>
      </c>
      <c r="F2111" s="5">
        <v>5214053</v>
      </c>
      <c r="G2111" s="5" t="s">
        <v>925</v>
      </c>
      <c r="H2111" s="5" t="s">
        <v>88</v>
      </c>
      <c r="I2111" s="5" t="s">
        <v>27</v>
      </c>
      <c r="J2111" s="5" t="s">
        <v>199</v>
      </c>
      <c r="K2111" s="6">
        <v>0</v>
      </c>
      <c r="L2111" s="7">
        <v>69.12</v>
      </c>
      <c r="M2111" s="8">
        <v>0</v>
      </c>
      <c r="N2111" s="8">
        <v>0</v>
      </c>
      <c r="O2111" s="8">
        <v>0</v>
      </c>
      <c r="P2111" s="8">
        <v>0</v>
      </c>
      <c r="Q2111" s="8">
        <v>0</v>
      </c>
      <c r="R2111" s="8">
        <v>0</v>
      </c>
      <c r="S2111" s="8">
        <v>0</v>
      </c>
      <c r="T2111" s="5">
        <v>0</v>
      </c>
      <c r="U2111" s="5">
        <v>0</v>
      </c>
      <c r="V2111" s="5">
        <f>VLOOKUP(A2111,Planilha1!B:E,4,0)</f>
        <v>10.339882680976428</v>
      </c>
    </row>
    <row r="2112" spans="1:22" x14ac:dyDescent="0.3">
      <c r="A2112" t="str">
        <f t="shared" si="64"/>
        <v>MANTEIGA 5KGITAMBÉ</v>
      </c>
      <c r="B2112" t="str">
        <f t="shared" si="65"/>
        <v>5219839MANTEIGA 5KGITAMBÉ</v>
      </c>
      <c r="C2112" s="5" t="s">
        <v>226</v>
      </c>
      <c r="D2112" s="5" t="s">
        <v>903</v>
      </c>
      <c r="E2112" s="5" t="s">
        <v>904</v>
      </c>
      <c r="F2112" s="5">
        <v>5219839</v>
      </c>
      <c r="G2112" s="5" t="s">
        <v>927</v>
      </c>
      <c r="H2112" s="5" t="s">
        <v>103</v>
      </c>
      <c r="I2112" s="5" t="s">
        <v>27</v>
      </c>
      <c r="J2112" s="5" t="s">
        <v>60</v>
      </c>
      <c r="K2112" s="6">
        <v>0</v>
      </c>
      <c r="L2112" s="7">
        <v>20</v>
      </c>
      <c r="M2112" s="8">
        <v>19.166666666666668</v>
      </c>
      <c r="N2112" s="8">
        <v>30</v>
      </c>
      <c r="O2112" s="8">
        <v>0</v>
      </c>
      <c r="P2112" s="8">
        <v>0</v>
      </c>
      <c r="Q2112" s="8">
        <v>0</v>
      </c>
      <c r="R2112" s="8">
        <v>0</v>
      </c>
      <c r="S2112" s="8">
        <v>30</v>
      </c>
      <c r="T2112" s="5">
        <v>30</v>
      </c>
      <c r="U2112" s="5">
        <v>30</v>
      </c>
      <c r="V2112" s="5">
        <f>VLOOKUP(A2112,Planilha1!B:E,4,0)</f>
        <v>5.819800475298738</v>
      </c>
    </row>
    <row r="2113" spans="1:22" x14ac:dyDescent="0.3">
      <c r="A2113" t="str">
        <f t="shared" si="64"/>
        <v>BLISTERITAMBÉ</v>
      </c>
      <c r="B2113" t="str">
        <f t="shared" si="65"/>
        <v>5228457BLISTERITAMBÉ</v>
      </c>
      <c r="C2113" s="5" t="s">
        <v>226</v>
      </c>
      <c r="D2113" s="5" t="s">
        <v>903</v>
      </c>
      <c r="E2113" s="5" t="s">
        <v>904</v>
      </c>
      <c r="F2113" s="5">
        <v>5228457</v>
      </c>
      <c r="G2113" s="5" t="s">
        <v>1208</v>
      </c>
      <c r="H2113" s="5" t="s">
        <v>113</v>
      </c>
      <c r="I2113" s="5" t="s">
        <v>27</v>
      </c>
      <c r="J2113" s="5" t="s">
        <v>199</v>
      </c>
      <c r="K2113" s="6">
        <v>0</v>
      </c>
      <c r="L2113" s="7">
        <v>0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  <c r="S2113" s="8">
        <v>0</v>
      </c>
      <c r="T2113" s="5">
        <v>0</v>
      </c>
      <c r="U2113" s="5">
        <v>0</v>
      </c>
      <c r="V2113" s="5">
        <f>VLOOKUP(A2113,Planilha1!B:E,4,0)</f>
        <v>10.339882680976428</v>
      </c>
    </row>
    <row r="2114" spans="1:22" x14ac:dyDescent="0.3">
      <c r="A2114" t="str">
        <f t="shared" ref="A2114:A2177" si="66">J2114&amp;I2114</f>
        <v>CREME UHTITAMBÉ</v>
      </c>
      <c r="B2114" t="str">
        <f t="shared" si="65"/>
        <v>5229519CREME UHTITAMBÉ</v>
      </c>
      <c r="C2114" s="5" t="s">
        <v>226</v>
      </c>
      <c r="D2114" s="5" t="s">
        <v>903</v>
      </c>
      <c r="E2114" s="5" t="s">
        <v>904</v>
      </c>
      <c r="F2114" s="5">
        <v>5229519</v>
      </c>
      <c r="G2114" s="5" t="s">
        <v>1209</v>
      </c>
      <c r="H2114" s="5" t="s">
        <v>113</v>
      </c>
      <c r="I2114" s="5" t="s">
        <v>27</v>
      </c>
      <c r="J2114" s="5" t="s">
        <v>34</v>
      </c>
      <c r="K2114" s="6">
        <v>0</v>
      </c>
      <c r="L2114" s="7">
        <v>108</v>
      </c>
      <c r="M2114" s="8">
        <v>0</v>
      </c>
      <c r="N2114" s="8">
        <v>0</v>
      </c>
      <c r="O2114" s="8">
        <v>0</v>
      </c>
      <c r="P2114" s="8">
        <v>0</v>
      </c>
      <c r="Q2114" s="8">
        <v>0</v>
      </c>
      <c r="R2114" s="8">
        <v>0</v>
      </c>
      <c r="S2114" s="8">
        <v>0</v>
      </c>
      <c r="T2114" s="5">
        <v>0</v>
      </c>
      <c r="U2114" s="5">
        <v>0</v>
      </c>
      <c r="V2114" s="5">
        <f>VLOOKUP(A2114,Planilha1!B:E,4,0)</f>
        <v>1.2362540170747773</v>
      </c>
    </row>
    <row r="2115" spans="1:22" x14ac:dyDescent="0.3">
      <c r="A2115" t="str">
        <f t="shared" si="66"/>
        <v>MANTEIGA 5KGLACTALIS</v>
      </c>
      <c r="B2115" t="str">
        <f t="shared" ref="B2115:B2178" si="67">F2115&amp;J2115&amp;I2115</f>
        <v>5248149MANTEIGA 5KGLACTALIS</v>
      </c>
      <c r="C2115" s="5" t="s">
        <v>226</v>
      </c>
      <c r="D2115" s="5" t="s">
        <v>903</v>
      </c>
      <c r="E2115" s="5" t="s">
        <v>904</v>
      </c>
      <c r="F2115" s="5">
        <v>5248149</v>
      </c>
      <c r="G2115" s="5" t="s">
        <v>1210</v>
      </c>
      <c r="H2115" s="5" t="s">
        <v>113</v>
      </c>
      <c r="I2115" s="5" t="s">
        <v>22</v>
      </c>
      <c r="J2115" s="5" t="s">
        <v>60</v>
      </c>
      <c r="K2115" s="6">
        <v>0</v>
      </c>
      <c r="L2115" s="7">
        <v>100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0</v>
      </c>
      <c r="S2115" s="8">
        <v>0</v>
      </c>
      <c r="T2115" s="5">
        <v>0</v>
      </c>
      <c r="U2115" s="5">
        <v>0</v>
      </c>
      <c r="V2115" s="5">
        <f>VLOOKUP(A2115,Planilha1!B:E,4,0)</f>
        <v>11.476197020267191</v>
      </c>
    </row>
    <row r="2116" spans="1:22" x14ac:dyDescent="0.3">
      <c r="A2116" t="str">
        <f t="shared" si="66"/>
        <v>LEITE CONDENSADOITAMBÉ</v>
      </c>
      <c r="B2116" t="str">
        <f t="shared" si="67"/>
        <v>5323277LEITE CONDENSADOITAMBÉ</v>
      </c>
      <c r="C2116" s="5" t="s">
        <v>226</v>
      </c>
      <c r="D2116" s="5" t="s">
        <v>903</v>
      </c>
      <c r="E2116" s="5" t="s">
        <v>904</v>
      </c>
      <c r="F2116" s="5">
        <v>5323277</v>
      </c>
      <c r="G2116" s="5" t="s">
        <v>1211</v>
      </c>
      <c r="H2116" s="5" t="s">
        <v>113</v>
      </c>
      <c r="I2116" s="5" t="s">
        <v>27</v>
      </c>
      <c r="J2116" s="5" t="s">
        <v>33</v>
      </c>
      <c r="K2116" s="6">
        <v>0</v>
      </c>
      <c r="L2116" s="7">
        <v>50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0</v>
      </c>
      <c r="S2116" s="8">
        <v>0</v>
      </c>
      <c r="T2116" s="5">
        <v>0</v>
      </c>
      <c r="U2116" s="5">
        <v>0</v>
      </c>
      <c r="V2116" s="5">
        <f>VLOOKUP(A2116,Planilha1!B:E,4,0)</f>
        <v>1.4766792698630664</v>
      </c>
    </row>
    <row r="2117" spans="1:22" x14ac:dyDescent="0.3">
      <c r="A2117" t="str">
        <f t="shared" si="66"/>
        <v>CREME UHTITAMBÉ</v>
      </c>
      <c r="B2117" t="str">
        <f t="shared" si="67"/>
        <v>5346113CREME UHTITAMBÉ</v>
      </c>
      <c r="C2117" s="5" t="s">
        <v>226</v>
      </c>
      <c r="D2117" s="5" t="s">
        <v>903</v>
      </c>
      <c r="E2117" s="5" t="s">
        <v>904</v>
      </c>
      <c r="F2117" s="5">
        <v>5346113</v>
      </c>
      <c r="G2117" s="5" t="s">
        <v>937</v>
      </c>
      <c r="H2117" s="5" t="s">
        <v>113</v>
      </c>
      <c r="I2117" s="5" t="s">
        <v>27</v>
      </c>
      <c r="J2117" s="5" t="s">
        <v>34</v>
      </c>
      <c r="K2117" s="6">
        <v>0</v>
      </c>
      <c r="L2117" s="7">
        <v>362.15999999999997</v>
      </c>
      <c r="M2117" s="8">
        <v>0</v>
      </c>
      <c r="N2117" s="8">
        <v>0</v>
      </c>
      <c r="O2117" s="8">
        <v>0</v>
      </c>
      <c r="P2117" s="8">
        <v>0</v>
      </c>
      <c r="Q2117" s="8">
        <v>0</v>
      </c>
      <c r="R2117" s="8">
        <v>0</v>
      </c>
      <c r="S2117" s="8">
        <v>0</v>
      </c>
      <c r="T2117" s="5">
        <v>0</v>
      </c>
      <c r="U2117" s="5">
        <v>0</v>
      </c>
      <c r="V2117" s="5">
        <f>VLOOKUP(A2117,Planilha1!B:E,4,0)</f>
        <v>1.2362540170747773</v>
      </c>
    </row>
    <row r="2118" spans="1:22" x14ac:dyDescent="0.3">
      <c r="A2118" t="str">
        <f t="shared" si="66"/>
        <v>DOCE DE LEITEITAMBÉ</v>
      </c>
      <c r="B2118" t="str">
        <f t="shared" si="67"/>
        <v>5346113DOCE DE LEITEITAMBÉ</v>
      </c>
      <c r="C2118" s="5" t="s">
        <v>226</v>
      </c>
      <c r="D2118" s="5" t="s">
        <v>903</v>
      </c>
      <c r="E2118" s="5" t="s">
        <v>904</v>
      </c>
      <c r="F2118" s="5">
        <v>5346113</v>
      </c>
      <c r="G2118" s="5" t="s">
        <v>937</v>
      </c>
      <c r="H2118" s="5" t="s">
        <v>113</v>
      </c>
      <c r="I2118" s="5" t="s">
        <v>27</v>
      </c>
      <c r="J2118" s="5" t="s">
        <v>46</v>
      </c>
      <c r="K2118" s="6">
        <v>0</v>
      </c>
      <c r="L2118" s="7">
        <v>94.8</v>
      </c>
      <c r="M2118" s="8">
        <v>0</v>
      </c>
      <c r="N2118" s="8">
        <v>0</v>
      </c>
      <c r="O2118" s="8">
        <v>0</v>
      </c>
      <c r="P2118" s="8">
        <v>0</v>
      </c>
      <c r="Q2118" s="8">
        <v>0</v>
      </c>
      <c r="R2118" s="8">
        <v>0</v>
      </c>
      <c r="S2118" s="8">
        <v>0</v>
      </c>
      <c r="T2118" s="5">
        <v>0</v>
      </c>
      <c r="U2118" s="5">
        <v>0</v>
      </c>
      <c r="V2118" s="5">
        <f>VLOOKUP(A2118,Planilha1!B:E,4,0)</f>
        <v>5.8210743907543439</v>
      </c>
    </row>
    <row r="2119" spans="1:22" x14ac:dyDescent="0.3">
      <c r="A2119" t="str">
        <f t="shared" si="66"/>
        <v>LEITE CONDENSADOITAMBÉ</v>
      </c>
      <c r="B2119" t="str">
        <f t="shared" si="67"/>
        <v>5346113LEITE CONDENSADOITAMBÉ</v>
      </c>
      <c r="C2119" s="5" t="s">
        <v>226</v>
      </c>
      <c r="D2119" s="5" t="s">
        <v>903</v>
      </c>
      <c r="E2119" s="5" t="s">
        <v>904</v>
      </c>
      <c r="F2119" s="5">
        <v>5346113</v>
      </c>
      <c r="G2119" s="5" t="s">
        <v>937</v>
      </c>
      <c r="H2119" s="5" t="s">
        <v>113</v>
      </c>
      <c r="I2119" s="5" t="s">
        <v>27</v>
      </c>
      <c r="J2119" s="5" t="s">
        <v>33</v>
      </c>
      <c r="K2119" s="6">
        <v>0</v>
      </c>
      <c r="L2119" s="7">
        <v>422.52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0</v>
      </c>
      <c r="S2119" s="8">
        <v>0</v>
      </c>
      <c r="T2119" s="5">
        <v>0</v>
      </c>
      <c r="U2119" s="5">
        <v>0</v>
      </c>
      <c r="V2119" s="5">
        <f>VLOOKUP(A2119,Planilha1!B:E,4,0)</f>
        <v>1.4766792698630664</v>
      </c>
    </row>
    <row r="2120" spans="1:22" x14ac:dyDescent="0.3">
      <c r="A2120" t="str">
        <f t="shared" si="66"/>
        <v>MANTEIGA 5KGLACTALIS</v>
      </c>
      <c r="B2120" t="str">
        <f t="shared" si="67"/>
        <v>5346113MANTEIGA 5KGLACTALIS</v>
      </c>
      <c r="C2120" s="5" t="s">
        <v>226</v>
      </c>
      <c r="D2120" s="5" t="s">
        <v>903</v>
      </c>
      <c r="E2120" s="5" t="s">
        <v>904</v>
      </c>
      <c r="F2120" s="5">
        <v>5346113</v>
      </c>
      <c r="G2120" s="5" t="s">
        <v>937</v>
      </c>
      <c r="H2120" s="5" t="s">
        <v>113</v>
      </c>
      <c r="I2120" s="5" t="s">
        <v>22</v>
      </c>
      <c r="J2120" s="5" t="s">
        <v>60</v>
      </c>
      <c r="K2120" s="6">
        <v>0</v>
      </c>
      <c r="L2120" s="7">
        <v>25</v>
      </c>
      <c r="M2120" s="8">
        <v>0</v>
      </c>
      <c r="N2120" s="8">
        <v>0</v>
      </c>
      <c r="O2120" s="8">
        <v>0</v>
      </c>
      <c r="P2120" s="8">
        <v>0</v>
      </c>
      <c r="Q2120" s="8">
        <v>0</v>
      </c>
      <c r="R2120" s="8">
        <v>0</v>
      </c>
      <c r="S2120" s="8">
        <v>0</v>
      </c>
      <c r="T2120" s="5">
        <v>0</v>
      </c>
      <c r="U2120" s="5">
        <v>0</v>
      </c>
      <c r="V2120" s="5">
        <f>VLOOKUP(A2120,Planilha1!B:E,4,0)</f>
        <v>11.476197020267191</v>
      </c>
    </row>
    <row r="2121" spans="1:22" x14ac:dyDescent="0.3">
      <c r="A2121" t="str">
        <f t="shared" si="66"/>
        <v>QUEIJOSLACTALIS</v>
      </c>
      <c r="B2121" t="str">
        <f t="shared" si="67"/>
        <v>5346113QUEIJOSLACTALIS</v>
      </c>
      <c r="C2121" s="5" t="s">
        <v>226</v>
      </c>
      <c r="D2121" s="5" t="s">
        <v>903</v>
      </c>
      <c r="E2121" s="5" t="s">
        <v>904</v>
      </c>
      <c r="F2121" s="5">
        <v>5346113</v>
      </c>
      <c r="G2121" s="5" t="s">
        <v>937</v>
      </c>
      <c r="H2121" s="5" t="s">
        <v>113</v>
      </c>
      <c r="I2121" s="5" t="s">
        <v>22</v>
      </c>
      <c r="J2121" s="5" t="s">
        <v>63</v>
      </c>
      <c r="K2121" s="6">
        <v>0</v>
      </c>
      <c r="L2121" s="7">
        <v>10</v>
      </c>
      <c r="M2121" s="8">
        <v>0</v>
      </c>
      <c r="N2121" s="8">
        <v>0</v>
      </c>
      <c r="O2121" s="8">
        <v>0</v>
      </c>
      <c r="P2121" s="8">
        <v>0</v>
      </c>
      <c r="Q2121" s="8">
        <v>0</v>
      </c>
      <c r="R2121" s="8">
        <v>0</v>
      </c>
      <c r="S2121" s="8">
        <v>0</v>
      </c>
      <c r="T2121" s="5">
        <v>0</v>
      </c>
      <c r="U2121" s="5">
        <v>0</v>
      </c>
      <c r="V2121" s="5">
        <f>VLOOKUP(A2121,Planilha1!B:E,4,0)</f>
        <v>-1.9171310037550682</v>
      </c>
    </row>
    <row r="2122" spans="1:22" x14ac:dyDescent="0.3">
      <c r="A2122" t="str">
        <f t="shared" si="66"/>
        <v>SPREADSLACTALIS</v>
      </c>
      <c r="B2122" t="str">
        <f t="shared" si="67"/>
        <v>5346113SPREADSLACTALIS</v>
      </c>
      <c r="C2122" s="5" t="s">
        <v>226</v>
      </c>
      <c r="D2122" s="5" t="s">
        <v>903</v>
      </c>
      <c r="E2122" s="5" t="s">
        <v>904</v>
      </c>
      <c r="F2122" s="5">
        <v>5346113</v>
      </c>
      <c r="G2122" s="5" t="s">
        <v>937</v>
      </c>
      <c r="H2122" s="5" t="s">
        <v>113</v>
      </c>
      <c r="I2122" s="5" t="s">
        <v>22</v>
      </c>
      <c r="J2122" s="5" t="s">
        <v>945</v>
      </c>
      <c r="K2122" s="6">
        <v>0</v>
      </c>
      <c r="L2122" s="7">
        <v>18</v>
      </c>
      <c r="M2122" s="8">
        <v>0</v>
      </c>
      <c r="N2122" s="8">
        <v>0</v>
      </c>
      <c r="O2122" s="8">
        <v>0</v>
      </c>
      <c r="P2122" s="8">
        <v>0</v>
      </c>
      <c r="Q2122" s="8">
        <v>0</v>
      </c>
      <c r="R2122" s="8">
        <v>0</v>
      </c>
      <c r="S2122" s="8">
        <v>0</v>
      </c>
      <c r="T2122" s="5">
        <v>0</v>
      </c>
      <c r="U2122" s="5">
        <v>0</v>
      </c>
      <c r="V2122" s="5">
        <f>VLOOKUP(A2122,Planilha1!B:E,4,0)</f>
        <v>13.599044988219518</v>
      </c>
    </row>
    <row r="2123" spans="1:22" x14ac:dyDescent="0.3">
      <c r="A2123" t="str">
        <f t="shared" si="66"/>
        <v>LEITE CONDENSADOITAMBÉ</v>
      </c>
      <c r="B2123" t="str">
        <f t="shared" si="67"/>
        <v>5232460LEITE CONDENSADOITAMBÉ</v>
      </c>
      <c r="C2123" s="5" t="s">
        <v>226</v>
      </c>
      <c r="D2123" s="5" t="s">
        <v>833</v>
      </c>
      <c r="E2123" s="5" t="s">
        <v>850</v>
      </c>
      <c r="F2123" s="5">
        <v>5232460</v>
      </c>
      <c r="G2123" s="5" t="s">
        <v>871</v>
      </c>
      <c r="H2123" s="5" t="s">
        <v>40</v>
      </c>
      <c r="I2123" s="5" t="s">
        <v>27</v>
      </c>
      <c r="J2123" s="5" t="s">
        <v>33</v>
      </c>
      <c r="K2123" s="6">
        <v>0</v>
      </c>
      <c r="L2123" s="7">
        <v>0</v>
      </c>
      <c r="M2123" s="8">
        <v>63.199999999999996</v>
      </c>
      <c r="N2123" s="8">
        <v>126.33333333333333</v>
      </c>
      <c r="O2123" s="8">
        <v>0</v>
      </c>
      <c r="P2123" s="8">
        <v>0</v>
      </c>
      <c r="Q2123" s="8">
        <v>0</v>
      </c>
      <c r="R2123" s="8">
        <v>0</v>
      </c>
      <c r="S2123" s="8">
        <v>126</v>
      </c>
      <c r="T2123" s="5">
        <v>126</v>
      </c>
      <c r="U2123" s="5">
        <v>126</v>
      </c>
      <c r="V2123" s="5">
        <f>VLOOKUP(A2123,Planilha1!B:E,4,0)</f>
        <v>1.4766792698630664</v>
      </c>
    </row>
    <row r="2124" spans="1:22" x14ac:dyDescent="0.3">
      <c r="A2124" t="str">
        <f t="shared" si="66"/>
        <v>IOGURTESLACTALIS</v>
      </c>
      <c r="B2124" t="str">
        <f t="shared" si="67"/>
        <v>5006978IOGURTESLACTALIS</v>
      </c>
      <c r="C2124" s="5" t="s">
        <v>226</v>
      </c>
      <c r="D2124" s="5" t="s">
        <v>815</v>
      </c>
      <c r="E2124" s="5" t="s">
        <v>815</v>
      </c>
      <c r="F2124" s="5">
        <v>5006978</v>
      </c>
      <c r="G2124" s="5" t="s">
        <v>830</v>
      </c>
      <c r="H2124" s="5" t="s">
        <v>30</v>
      </c>
      <c r="I2124" s="5" t="s">
        <v>22</v>
      </c>
      <c r="J2124" s="5" t="s">
        <v>153</v>
      </c>
      <c r="K2124" s="6">
        <v>0</v>
      </c>
      <c r="L2124" s="7">
        <v>0</v>
      </c>
      <c r="M2124" s="8">
        <v>1118.8</v>
      </c>
      <c r="N2124" s="8">
        <v>2210.6</v>
      </c>
      <c r="O2124" s="8">
        <v>5.5104284719267858</v>
      </c>
      <c r="P2124" s="8">
        <v>0</v>
      </c>
      <c r="Q2124" s="8">
        <v>6480</v>
      </c>
      <c r="R2124" s="8">
        <v>0</v>
      </c>
      <c r="S2124" s="8">
        <v>0</v>
      </c>
      <c r="T2124" s="5">
        <v>0</v>
      </c>
      <c r="U2124" s="5">
        <v>0</v>
      </c>
      <c r="V2124" s="5">
        <f>VLOOKUP(A2124,Planilha1!B:E,4,0)</f>
        <v>3.0503167986984403</v>
      </c>
    </row>
    <row r="2125" spans="1:22" x14ac:dyDescent="0.3">
      <c r="A2125" t="str">
        <f t="shared" si="66"/>
        <v>SPREADSITAMBÉ</v>
      </c>
      <c r="B2125" t="str">
        <f t="shared" si="67"/>
        <v>5349287SPREADSITAMBÉ</v>
      </c>
      <c r="C2125" s="5" t="s">
        <v>226</v>
      </c>
      <c r="D2125" s="5" t="s">
        <v>727</v>
      </c>
      <c r="E2125" s="5" t="s">
        <v>733</v>
      </c>
      <c r="F2125" s="5">
        <v>5349287</v>
      </c>
      <c r="G2125" s="5" t="s">
        <v>750</v>
      </c>
      <c r="H2125" s="5" t="s">
        <v>25</v>
      </c>
      <c r="I2125" s="5" t="s">
        <v>27</v>
      </c>
      <c r="J2125" s="5" t="s">
        <v>945</v>
      </c>
      <c r="K2125" s="6">
        <v>0</v>
      </c>
      <c r="L2125" s="7">
        <v>0</v>
      </c>
      <c r="M2125" s="8">
        <v>41.666666666666664</v>
      </c>
      <c r="N2125" s="8">
        <v>31.666666666666668</v>
      </c>
      <c r="O2125" s="8">
        <v>34.992959540827975</v>
      </c>
      <c r="P2125" s="8">
        <v>0</v>
      </c>
      <c r="Q2125" s="8">
        <v>40</v>
      </c>
      <c r="R2125" s="8">
        <v>0</v>
      </c>
      <c r="S2125" s="8">
        <v>0</v>
      </c>
      <c r="T2125" s="5">
        <v>0</v>
      </c>
      <c r="U2125" s="5">
        <v>0</v>
      </c>
      <c r="V2125" s="5">
        <f>VLOOKUP(A2125,Planilha1!B:E,4,0)</f>
        <v>9.2962610783648607</v>
      </c>
    </row>
    <row r="2126" spans="1:22" x14ac:dyDescent="0.3">
      <c r="A2126" t="str">
        <f t="shared" si="66"/>
        <v>LPI 25KGITAMBÉ</v>
      </c>
      <c r="B2126" t="str">
        <f t="shared" si="67"/>
        <v>5318526LPI 25KGITAMBÉ</v>
      </c>
      <c r="C2126" s="5" t="s">
        <v>16</v>
      </c>
      <c r="D2126" s="5" t="s">
        <v>28</v>
      </c>
      <c r="E2126" s="5" t="s">
        <v>28</v>
      </c>
      <c r="F2126" s="5">
        <v>5318526</v>
      </c>
      <c r="G2126" s="5" t="s">
        <v>1212</v>
      </c>
      <c r="H2126" s="5" t="s">
        <v>88</v>
      </c>
      <c r="I2126" s="5" t="s">
        <v>27</v>
      </c>
      <c r="J2126" s="5" t="s">
        <v>21</v>
      </c>
      <c r="K2126" s="6">
        <v>0</v>
      </c>
      <c r="L2126" s="7">
        <v>0</v>
      </c>
      <c r="M2126" s="8">
        <v>50000</v>
      </c>
      <c r="N2126" s="8">
        <v>100000</v>
      </c>
      <c r="O2126" s="8">
        <v>0</v>
      </c>
      <c r="P2126" s="8">
        <v>0</v>
      </c>
      <c r="Q2126" s="8">
        <v>0</v>
      </c>
      <c r="R2126" s="8">
        <v>0</v>
      </c>
      <c r="S2126" s="8">
        <v>0</v>
      </c>
      <c r="T2126" s="5">
        <v>0</v>
      </c>
      <c r="U2126" s="5">
        <v>0</v>
      </c>
      <c r="V2126" s="5">
        <f>VLOOKUP(A2126,Planilha1!B:E,4,0)</f>
        <v>-1.218192805504376</v>
      </c>
    </row>
    <row r="2127" spans="1:22" x14ac:dyDescent="0.3">
      <c r="A2127" t="str">
        <f t="shared" si="66"/>
        <v>LEITE EM PÓITAMBÉ</v>
      </c>
      <c r="B2127" t="str">
        <f t="shared" si="67"/>
        <v>5006978LEITE EM PÓITAMBÉ</v>
      </c>
      <c r="C2127" s="5" t="s">
        <v>226</v>
      </c>
      <c r="D2127" s="5" t="s">
        <v>815</v>
      </c>
      <c r="E2127" s="5" t="s">
        <v>815</v>
      </c>
      <c r="F2127" s="5">
        <v>5006978</v>
      </c>
      <c r="G2127" s="5" t="s">
        <v>830</v>
      </c>
      <c r="H2127" s="5" t="s">
        <v>30</v>
      </c>
      <c r="I2127" s="5" t="s">
        <v>27</v>
      </c>
      <c r="J2127" s="5" t="s">
        <v>84</v>
      </c>
      <c r="K2127" s="6">
        <v>0</v>
      </c>
      <c r="L2127" s="7">
        <v>1717</v>
      </c>
      <c r="M2127" s="8">
        <v>2626.8</v>
      </c>
      <c r="N2127" s="8">
        <v>2040.3333333333335</v>
      </c>
      <c r="O2127" s="8">
        <v>590.88111681798091</v>
      </c>
      <c r="P2127" s="8">
        <v>640</v>
      </c>
      <c r="Q2127" s="8">
        <v>0</v>
      </c>
      <c r="R2127" s="8">
        <v>0</v>
      </c>
      <c r="S2127" s="8">
        <v>0</v>
      </c>
      <c r="T2127" s="5">
        <v>0</v>
      </c>
      <c r="U2127" s="5">
        <v>0</v>
      </c>
      <c r="V2127" s="5">
        <f>VLOOKUP(A2127,Planilha1!B:E,4,0)</f>
        <v>4.5971522734997743</v>
      </c>
    </row>
    <row r="2128" spans="1:22" x14ac:dyDescent="0.3">
      <c r="A2128" t="str">
        <f t="shared" si="66"/>
        <v>LEITE EM PÓITAMBÉ</v>
      </c>
      <c r="B2128" t="str">
        <f t="shared" si="67"/>
        <v>5318875LEITE EM PÓITAMBÉ</v>
      </c>
      <c r="C2128" s="5" t="s">
        <v>226</v>
      </c>
      <c r="D2128" s="5" t="s">
        <v>727</v>
      </c>
      <c r="E2128" s="5" t="s">
        <v>730</v>
      </c>
      <c r="F2128" s="5">
        <v>5318875</v>
      </c>
      <c r="G2128" s="5" t="s">
        <v>731</v>
      </c>
      <c r="H2128" s="5" t="s">
        <v>25</v>
      </c>
      <c r="I2128" s="5" t="s">
        <v>27</v>
      </c>
      <c r="J2128" s="5" t="s">
        <v>84</v>
      </c>
      <c r="K2128" s="6">
        <v>0</v>
      </c>
      <c r="L2128" s="7">
        <v>0</v>
      </c>
      <c r="M2128" s="8">
        <v>133.33333333333334</v>
      </c>
      <c r="N2128" s="8">
        <v>266.66666666666669</v>
      </c>
      <c r="O2128" s="8">
        <v>0</v>
      </c>
      <c r="P2128" s="8">
        <v>68</v>
      </c>
      <c r="Q2128" s="8">
        <v>1000</v>
      </c>
      <c r="R2128" s="8">
        <v>0</v>
      </c>
      <c r="S2128" s="8">
        <v>0</v>
      </c>
      <c r="T2128" s="5">
        <v>0</v>
      </c>
      <c r="U2128" s="5">
        <v>0</v>
      </c>
      <c r="V2128" s="5">
        <f>VLOOKUP(A2128,Planilha1!B:E,4,0)</f>
        <v>4.5971522734997743</v>
      </c>
    </row>
    <row r="2129" spans="1:22" x14ac:dyDescent="0.3">
      <c r="A2129" t="str">
        <f t="shared" si="66"/>
        <v>COMPOSTOITAMBÉ</v>
      </c>
      <c r="B2129" t="str">
        <f t="shared" si="67"/>
        <v>5318875COMPOSTOITAMBÉ</v>
      </c>
      <c r="C2129" s="5" t="s">
        <v>226</v>
      </c>
      <c r="D2129" s="5" t="s">
        <v>727</v>
      </c>
      <c r="E2129" s="5" t="s">
        <v>730</v>
      </c>
      <c r="F2129" s="5">
        <v>5318875</v>
      </c>
      <c r="G2129" s="5" t="s">
        <v>731</v>
      </c>
      <c r="H2129" s="5" t="s">
        <v>25</v>
      </c>
      <c r="I2129" s="5" t="s">
        <v>27</v>
      </c>
      <c r="J2129" s="5" t="s">
        <v>26</v>
      </c>
      <c r="K2129" s="6">
        <v>0</v>
      </c>
      <c r="L2129" s="7">
        <v>0</v>
      </c>
      <c r="M2129" s="8">
        <v>38.5</v>
      </c>
      <c r="N2129" s="8">
        <v>76.666666666666671</v>
      </c>
      <c r="O2129" s="8">
        <v>0</v>
      </c>
      <c r="P2129" s="8">
        <v>29</v>
      </c>
      <c r="Q2129" s="8">
        <v>100</v>
      </c>
      <c r="R2129" s="8">
        <v>41</v>
      </c>
      <c r="S2129" s="8">
        <v>200</v>
      </c>
      <c r="T2129" s="5">
        <v>100</v>
      </c>
      <c r="U2129" s="5">
        <v>100</v>
      </c>
      <c r="V2129" s="5">
        <f>VLOOKUP(A2129,Planilha1!B:E,4,0)</f>
        <v>0.15618217875936719</v>
      </c>
    </row>
    <row r="2130" spans="1:22" x14ac:dyDescent="0.3">
      <c r="A2130" t="str">
        <f t="shared" si="66"/>
        <v>LEITE EM PÓITAMBÉ</v>
      </c>
      <c r="B2130" t="str">
        <f t="shared" si="67"/>
        <v>5174274LEITE EM PÓITAMBÉ</v>
      </c>
      <c r="C2130" s="5" t="s">
        <v>149</v>
      </c>
      <c r="D2130" s="5" t="s">
        <v>150</v>
      </c>
      <c r="E2130" s="5" t="s">
        <v>186</v>
      </c>
      <c r="F2130" s="5">
        <v>5174274</v>
      </c>
      <c r="G2130" s="5" t="s">
        <v>191</v>
      </c>
      <c r="H2130" s="5" t="s">
        <v>30</v>
      </c>
      <c r="I2130" s="5" t="s">
        <v>27</v>
      </c>
      <c r="J2130" s="5" t="s">
        <v>84</v>
      </c>
      <c r="K2130" s="6">
        <v>0</v>
      </c>
      <c r="L2130" s="7">
        <v>450</v>
      </c>
      <c r="M2130" s="8">
        <v>136.66666666666669</v>
      </c>
      <c r="N2130" s="8">
        <v>140</v>
      </c>
      <c r="O2130" s="8">
        <v>367.92597460070556</v>
      </c>
      <c r="P2130" s="8">
        <v>0</v>
      </c>
      <c r="Q2130" s="8">
        <v>0</v>
      </c>
      <c r="R2130" s="8">
        <v>0</v>
      </c>
      <c r="S2130" s="8">
        <v>0</v>
      </c>
      <c r="T2130" s="5">
        <v>0</v>
      </c>
      <c r="U2130" s="5">
        <v>0</v>
      </c>
      <c r="V2130" s="5">
        <f>VLOOKUP(A2130,Planilha1!B:E,4,0)</f>
        <v>4.5971522734997743</v>
      </c>
    </row>
    <row r="2131" spans="1:22" x14ac:dyDescent="0.3">
      <c r="A2131" t="str">
        <f t="shared" si="66"/>
        <v>LEITE CONDENSADOITAMBÉ</v>
      </c>
      <c r="B2131" t="str">
        <f t="shared" si="67"/>
        <v>5206787LEITE CONDENSADOITAMBÉ</v>
      </c>
      <c r="C2131" s="5" t="s">
        <v>149</v>
      </c>
      <c r="D2131" s="5" t="s">
        <v>210</v>
      </c>
      <c r="E2131" s="5" t="s">
        <v>210</v>
      </c>
      <c r="F2131" s="5">
        <v>5206787</v>
      </c>
      <c r="G2131" s="5" t="s">
        <v>1213</v>
      </c>
      <c r="H2131" s="5" t="s">
        <v>30</v>
      </c>
      <c r="I2131" s="5" t="s">
        <v>27</v>
      </c>
      <c r="J2131" s="5" t="s">
        <v>33</v>
      </c>
      <c r="K2131" s="6">
        <v>0</v>
      </c>
      <c r="L2131" s="7">
        <v>0</v>
      </c>
      <c r="M2131" s="8">
        <v>83.333333333333343</v>
      </c>
      <c r="N2131" s="8">
        <v>166.66666666666666</v>
      </c>
      <c r="O2131" s="8">
        <v>0</v>
      </c>
      <c r="P2131" s="8">
        <v>0</v>
      </c>
      <c r="Q2131" s="8">
        <v>300</v>
      </c>
      <c r="R2131" s="8">
        <v>0</v>
      </c>
      <c r="S2131" s="8">
        <v>0</v>
      </c>
      <c r="T2131" s="5">
        <v>0</v>
      </c>
      <c r="U2131" s="5">
        <v>0</v>
      </c>
      <c r="V2131" s="5">
        <f>VLOOKUP(A2131,Planilha1!B:E,4,0)</f>
        <v>1.4766792698630664</v>
      </c>
    </row>
    <row r="2132" spans="1:22" x14ac:dyDescent="0.3">
      <c r="A2132" t="str">
        <f t="shared" si="66"/>
        <v>QUEIJOSLACTALIS</v>
      </c>
      <c r="B2132" t="str">
        <f t="shared" si="67"/>
        <v>5014011QUEIJOSLACTALIS</v>
      </c>
      <c r="C2132" s="5" t="s">
        <v>226</v>
      </c>
      <c r="D2132" s="5" t="s">
        <v>227</v>
      </c>
      <c r="E2132" s="5" t="s">
        <v>1722</v>
      </c>
      <c r="F2132" s="5">
        <v>5014011</v>
      </c>
      <c r="G2132" s="5" t="s">
        <v>1214</v>
      </c>
      <c r="H2132" s="5" t="s">
        <v>30</v>
      </c>
      <c r="I2132" s="5" t="s">
        <v>22</v>
      </c>
      <c r="J2132" s="5" t="s">
        <v>63</v>
      </c>
      <c r="K2132" s="6">
        <v>0</v>
      </c>
      <c r="L2132" s="7">
        <v>0</v>
      </c>
      <c r="M2132" s="8">
        <v>20</v>
      </c>
      <c r="N2132" s="8">
        <v>40</v>
      </c>
      <c r="O2132" s="8">
        <v>0</v>
      </c>
      <c r="P2132" s="8">
        <v>0</v>
      </c>
      <c r="Q2132" s="8">
        <v>0</v>
      </c>
      <c r="R2132" s="8">
        <v>0</v>
      </c>
      <c r="S2132" s="8">
        <v>0</v>
      </c>
      <c r="T2132" s="5">
        <v>0</v>
      </c>
      <c r="U2132" s="5">
        <v>0</v>
      </c>
      <c r="V2132" s="5">
        <f>VLOOKUP(A2132,Planilha1!B:E,4,0)</f>
        <v>-1.9171310037550682</v>
      </c>
    </row>
    <row r="2133" spans="1:22" x14ac:dyDescent="0.3">
      <c r="A2133" t="str">
        <f t="shared" si="66"/>
        <v>QUEIJOSLACTALIS</v>
      </c>
      <c r="B2133" t="str">
        <f t="shared" si="67"/>
        <v>5060465QUEIJOSLACTALIS</v>
      </c>
      <c r="C2133" s="5" t="s">
        <v>226</v>
      </c>
      <c r="D2133" s="5" t="s">
        <v>227</v>
      </c>
      <c r="E2133" s="5" t="s">
        <v>1722</v>
      </c>
      <c r="F2133" s="5">
        <v>5060465</v>
      </c>
      <c r="G2133" s="5" t="s">
        <v>241</v>
      </c>
      <c r="H2133" s="5" t="s">
        <v>30</v>
      </c>
      <c r="I2133" s="5" t="s">
        <v>22</v>
      </c>
      <c r="J2133" s="5" t="s">
        <v>63</v>
      </c>
      <c r="K2133" s="6">
        <v>0</v>
      </c>
      <c r="L2133" s="7">
        <v>0</v>
      </c>
      <c r="M2133" s="8">
        <v>1.9233333333333331</v>
      </c>
      <c r="N2133" s="8">
        <v>3.8466666666666662</v>
      </c>
      <c r="O2133" s="8">
        <v>0</v>
      </c>
      <c r="P2133" s="8">
        <v>0</v>
      </c>
      <c r="Q2133" s="8">
        <v>0</v>
      </c>
      <c r="R2133" s="8">
        <v>0</v>
      </c>
      <c r="S2133" s="8">
        <v>0</v>
      </c>
      <c r="T2133" s="5">
        <v>0</v>
      </c>
      <c r="U2133" s="5">
        <v>0</v>
      </c>
      <c r="V2133" s="5">
        <f>VLOOKUP(A2133,Planilha1!B:E,4,0)</f>
        <v>-1.9171310037550682</v>
      </c>
    </row>
    <row r="2134" spans="1:22" x14ac:dyDescent="0.3">
      <c r="A2134" t="str">
        <f t="shared" si="66"/>
        <v>SPREADSLACTALIS</v>
      </c>
      <c r="B2134" t="str">
        <f t="shared" si="67"/>
        <v>5006978SPREADSLACTALIS</v>
      </c>
      <c r="C2134" s="5" t="s">
        <v>226</v>
      </c>
      <c r="D2134" s="5" t="s">
        <v>815</v>
      </c>
      <c r="E2134" s="5" t="s">
        <v>815</v>
      </c>
      <c r="F2134" s="5">
        <v>5006978</v>
      </c>
      <c r="G2134" s="5" t="s">
        <v>830</v>
      </c>
      <c r="H2134" s="5" t="s">
        <v>30</v>
      </c>
      <c r="I2134" s="5" t="s">
        <v>22</v>
      </c>
      <c r="J2134" s="5" t="s">
        <v>945</v>
      </c>
      <c r="K2134" s="6">
        <v>0</v>
      </c>
      <c r="L2134" s="7">
        <v>224</v>
      </c>
      <c r="M2134" s="8">
        <v>378</v>
      </c>
      <c r="N2134" s="8">
        <v>384</v>
      </c>
      <c r="O2134" s="8">
        <v>53.064229504221544</v>
      </c>
      <c r="P2134" s="8">
        <v>15</v>
      </c>
      <c r="Q2134" s="8">
        <v>0</v>
      </c>
      <c r="R2134" s="8">
        <v>0</v>
      </c>
      <c r="S2134" s="8">
        <v>0</v>
      </c>
      <c r="T2134" s="5">
        <v>0</v>
      </c>
      <c r="U2134" s="5">
        <v>0</v>
      </c>
      <c r="V2134" s="5">
        <f>VLOOKUP(A2134,Planilha1!B:E,4,0)</f>
        <v>13.599044988219518</v>
      </c>
    </row>
    <row r="2135" spans="1:22" x14ac:dyDescent="0.3">
      <c r="A2135" t="str">
        <f t="shared" si="66"/>
        <v>COMPOSTOITAMBÉ</v>
      </c>
      <c r="B2135" t="str">
        <f t="shared" si="67"/>
        <v>5183963COMPOSTOITAMBÉ</v>
      </c>
      <c r="C2135" s="5" t="s">
        <v>16</v>
      </c>
      <c r="D2135" s="5" t="s">
        <v>28</v>
      </c>
      <c r="E2135" s="5" t="s">
        <v>23</v>
      </c>
      <c r="F2135" s="5">
        <v>5183963</v>
      </c>
      <c r="G2135" s="5" t="s">
        <v>1215</v>
      </c>
      <c r="H2135" s="5" t="s">
        <v>113</v>
      </c>
      <c r="I2135" s="5" t="s">
        <v>27</v>
      </c>
      <c r="J2135" s="5" t="s">
        <v>26</v>
      </c>
      <c r="K2135" s="6">
        <v>0</v>
      </c>
      <c r="L2135" s="7">
        <v>0</v>
      </c>
      <c r="M2135" s="8">
        <v>258.33333333333331</v>
      </c>
      <c r="N2135" s="8">
        <v>416.66666666666669</v>
      </c>
      <c r="O2135" s="8">
        <v>0</v>
      </c>
      <c r="P2135" s="8">
        <v>0</v>
      </c>
      <c r="Q2135" s="8">
        <v>0</v>
      </c>
      <c r="R2135" s="8">
        <v>0</v>
      </c>
      <c r="S2135" s="8">
        <v>0</v>
      </c>
      <c r="T2135" s="5">
        <v>0</v>
      </c>
      <c r="U2135" s="5">
        <v>0</v>
      </c>
      <c r="V2135" s="5">
        <f>VLOOKUP(A2135,Planilha1!B:E,4,0)</f>
        <v>0.15618217875936719</v>
      </c>
    </row>
    <row r="2136" spans="1:22" x14ac:dyDescent="0.3">
      <c r="A2136" t="str">
        <f t="shared" si="66"/>
        <v>LEITE EM PÓITAMBÉ</v>
      </c>
      <c r="B2136" t="str">
        <f t="shared" si="67"/>
        <v>5184851LEITE EM PÓITAMBÉ</v>
      </c>
      <c r="C2136" s="5" t="s">
        <v>226</v>
      </c>
      <c r="D2136" s="5" t="s">
        <v>893</v>
      </c>
      <c r="E2136" s="5" t="s">
        <v>231</v>
      </c>
      <c r="F2136" s="5">
        <v>5184851</v>
      </c>
      <c r="G2136" s="5" t="s">
        <v>899</v>
      </c>
      <c r="H2136" s="5" t="s">
        <v>30</v>
      </c>
      <c r="I2136" s="5" t="s">
        <v>27</v>
      </c>
      <c r="J2136" s="5" t="s">
        <v>84</v>
      </c>
      <c r="K2136" s="6">
        <v>0</v>
      </c>
      <c r="L2136" s="7">
        <v>20</v>
      </c>
      <c r="M2136" s="8">
        <v>155</v>
      </c>
      <c r="N2136" s="8">
        <v>126.66666666666667</v>
      </c>
      <c r="O2136" s="8">
        <v>184.96278614437645</v>
      </c>
      <c r="P2136" s="8">
        <v>0</v>
      </c>
      <c r="Q2136" s="8">
        <v>0</v>
      </c>
      <c r="R2136" s="8">
        <v>0</v>
      </c>
      <c r="S2136" s="8">
        <v>0</v>
      </c>
      <c r="T2136" s="5">
        <v>0</v>
      </c>
      <c r="U2136" s="5">
        <v>0</v>
      </c>
      <c r="V2136" s="5">
        <f>VLOOKUP(A2136,Planilha1!B:E,4,0)</f>
        <v>4.5971522734997743</v>
      </c>
    </row>
    <row r="2137" spans="1:22" x14ac:dyDescent="0.3">
      <c r="A2137" t="str">
        <f t="shared" si="66"/>
        <v>BLISTERLACTALIS</v>
      </c>
      <c r="B2137" t="str">
        <f t="shared" si="67"/>
        <v>5007304BLISTERLACTALIS</v>
      </c>
      <c r="C2137" s="5" t="s">
        <v>226</v>
      </c>
      <c r="D2137" s="5" t="s">
        <v>752</v>
      </c>
      <c r="E2137" s="5" t="s">
        <v>1216</v>
      </c>
      <c r="F2137" s="5">
        <v>5007304</v>
      </c>
      <c r="G2137" s="5" t="s">
        <v>1217</v>
      </c>
      <c r="H2137" s="5" t="s">
        <v>154</v>
      </c>
      <c r="I2137" s="5" t="s">
        <v>22</v>
      </c>
      <c r="J2137" s="5" t="s">
        <v>199</v>
      </c>
      <c r="K2137" s="6">
        <v>0</v>
      </c>
      <c r="L2137" s="7">
        <v>0</v>
      </c>
      <c r="M2137" s="8">
        <v>348.8</v>
      </c>
      <c r="N2137" s="8">
        <v>403.20000000000005</v>
      </c>
      <c r="O2137" s="8">
        <v>0</v>
      </c>
      <c r="P2137" s="8">
        <v>0</v>
      </c>
      <c r="Q2137" s="8">
        <v>0</v>
      </c>
      <c r="R2137" s="8">
        <v>0</v>
      </c>
      <c r="S2137" s="8">
        <v>0</v>
      </c>
      <c r="T2137" s="5">
        <v>0</v>
      </c>
      <c r="U2137" s="5">
        <v>0</v>
      </c>
      <c r="V2137" s="5">
        <f>VLOOKUP(A2137,Planilha1!B:E,4,0)</f>
        <v>13.783871706210666</v>
      </c>
    </row>
    <row r="2138" spans="1:22" x14ac:dyDescent="0.3">
      <c r="A2138" t="str">
        <f t="shared" si="66"/>
        <v>IOGURTESLACTALIS</v>
      </c>
      <c r="B2138" t="str">
        <f t="shared" si="67"/>
        <v>5008636IOGURTESLACTALIS</v>
      </c>
      <c r="C2138" s="5" t="s">
        <v>149</v>
      </c>
      <c r="D2138" s="5" t="s">
        <v>150</v>
      </c>
      <c r="E2138" s="5" t="s">
        <v>151</v>
      </c>
      <c r="F2138" s="5">
        <v>5008636</v>
      </c>
      <c r="G2138" s="5" t="s">
        <v>200</v>
      </c>
      <c r="H2138" s="5" t="s">
        <v>154</v>
      </c>
      <c r="I2138" s="5" t="s">
        <v>22</v>
      </c>
      <c r="J2138" s="5" t="s">
        <v>153</v>
      </c>
      <c r="K2138" s="6">
        <v>0</v>
      </c>
      <c r="L2138" s="7">
        <v>0</v>
      </c>
      <c r="M2138" s="8">
        <v>304.8266666666666</v>
      </c>
      <c r="N2138" s="8">
        <v>293.08000000000004</v>
      </c>
      <c r="O2138" s="8">
        <v>117.43423986501263</v>
      </c>
      <c r="P2138" s="8">
        <v>0</v>
      </c>
      <c r="Q2138" s="8">
        <v>0</v>
      </c>
      <c r="R2138" s="8">
        <v>0</v>
      </c>
      <c r="S2138" s="8">
        <v>0</v>
      </c>
      <c r="T2138" s="5">
        <v>0</v>
      </c>
      <c r="U2138" s="5">
        <v>0</v>
      </c>
      <c r="V2138" s="5">
        <f>VLOOKUP(A2138,Planilha1!B:E,4,0)</f>
        <v>3.0503167986984403</v>
      </c>
    </row>
    <row r="2139" spans="1:22" x14ac:dyDescent="0.3">
      <c r="A2139" t="str">
        <f t="shared" si="66"/>
        <v>SPREADSITAMBÉ</v>
      </c>
      <c r="B2139" t="str">
        <f t="shared" si="67"/>
        <v>5340614SPREADSITAMBÉ</v>
      </c>
      <c r="C2139" s="5" t="s">
        <v>16</v>
      </c>
      <c r="D2139" s="5" t="s">
        <v>17</v>
      </c>
      <c r="E2139" s="5" t="s">
        <v>44</v>
      </c>
      <c r="F2139" s="5">
        <v>5340614</v>
      </c>
      <c r="G2139" s="5" t="s">
        <v>1218</v>
      </c>
      <c r="H2139" s="5" t="s">
        <v>25</v>
      </c>
      <c r="I2139" s="5" t="s">
        <v>27</v>
      </c>
      <c r="J2139" s="5" t="s">
        <v>945</v>
      </c>
      <c r="K2139" s="6">
        <v>0</v>
      </c>
      <c r="L2139" s="7">
        <v>0</v>
      </c>
      <c r="M2139" s="8">
        <v>77</v>
      </c>
      <c r="N2139" s="8">
        <v>154</v>
      </c>
      <c r="O2139" s="8">
        <v>0</v>
      </c>
      <c r="P2139" s="8">
        <v>0</v>
      </c>
      <c r="Q2139" s="8">
        <v>0</v>
      </c>
      <c r="R2139" s="8">
        <v>0</v>
      </c>
      <c r="S2139" s="8">
        <v>0</v>
      </c>
      <c r="T2139" s="5">
        <v>0</v>
      </c>
      <c r="U2139" s="5">
        <v>0</v>
      </c>
      <c r="V2139" s="5">
        <f>VLOOKUP(A2139,Planilha1!B:E,4,0)</f>
        <v>9.2962610783648607</v>
      </c>
    </row>
    <row r="2140" spans="1:22" x14ac:dyDescent="0.3">
      <c r="A2140" t="str">
        <f t="shared" si="66"/>
        <v>COMPOSTOITAMBÉ</v>
      </c>
      <c r="B2140" t="str">
        <f t="shared" si="67"/>
        <v>5016060COMPOSTOITAMBÉ</v>
      </c>
      <c r="C2140" s="5" t="s">
        <v>226</v>
      </c>
      <c r="D2140" s="5" t="s">
        <v>727</v>
      </c>
      <c r="E2140" s="5" t="s">
        <v>733</v>
      </c>
      <c r="F2140" s="5">
        <v>5016060</v>
      </c>
      <c r="G2140" s="5" t="s">
        <v>737</v>
      </c>
      <c r="H2140" s="5" t="s">
        <v>25</v>
      </c>
      <c r="I2140" s="5" t="s">
        <v>27</v>
      </c>
      <c r="J2140" s="5" t="s">
        <v>26</v>
      </c>
      <c r="K2140" s="6">
        <v>0</v>
      </c>
      <c r="L2140" s="7">
        <v>250</v>
      </c>
      <c r="M2140" s="8">
        <v>275</v>
      </c>
      <c r="N2140" s="8">
        <v>316.66666666666669</v>
      </c>
      <c r="O2140" s="8">
        <v>0</v>
      </c>
      <c r="P2140" s="8">
        <v>0</v>
      </c>
      <c r="Q2140" s="8">
        <v>0</v>
      </c>
      <c r="R2140" s="8">
        <v>0</v>
      </c>
      <c r="S2140" s="8">
        <v>250</v>
      </c>
      <c r="T2140" s="5">
        <v>250</v>
      </c>
      <c r="U2140" s="5">
        <v>350</v>
      </c>
      <c r="V2140" s="5">
        <f>VLOOKUP(A2140,Planilha1!B:E,4,0)</f>
        <v>0.15618217875936719</v>
      </c>
    </row>
    <row r="2141" spans="1:22" x14ac:dyDescent="0.3">
      <c r="A2141" t="str">
        <f t="shared" si="66"/>
        <v>SPREADSLACTALIS</v>
      </c>
      <c r="B2141" t="str">
        <f t="shared" si="67"/>
        <v>5017576SPREADSLACTALIS</v>
      </c>
      <c r="C2141" s="5" t="s">
        <v>226</v>
      </c>
      <c r="D2141" s="5" t="s">
        <v>752</v>
      </c>
      <c r="E2141" s="5" t="s">
        <v>774</v>
      </c>
      <c r="F2141" s="5">
        <v>5017576</v>
      </c>
      <c r="G2141" s="5" t="s">
        <v>775</v>
      </c>
      <c r="H2141" s="5" t="s">
        <v>32</v>
      </c>
      <c r="I2141" s="5" t="s">
        <v>22</v>
      </c>
      <c r="J2141" s="5" t="s">
        <v>945</v>
      </c>
      <c r="K2141" s="6">
        <v>0</v>
      </c>
      <c r="L2141" s="7">
        <v>0</v>
      </c>
      <c r="M2141" s="8">
        <v>86.000000000000014</v>
      </c>
      <c r="N2141" s="8">
        <v>38.666666666666664</v>
      </c>
      <c r="O2141" s="8">
        <v>44.983787339596738</v>
      </c>
      <c r="P2141" s="8">
        <v>0</v>
      </c>
      <c r="Q2141" s="8">
        <v>40</v>
      </c>
      <c r="R2141" s="8">
        <v>0</v>
      </c>
      <c r="S2141" s="8">
        <v>124</v>
      </c>
      <c r="T2141" s="5">
        <v>124</v>
      </c>
      <c r="U2141" s="5">
        <v>0</v>
      </c>
      <c r="V2141" s="5">
        <f>VLOOKUP(A2141,Planilha1!B:E,4,0)</f>
        <v>13.599044988219518</v>
      </c>
    </row>
    <row r="2142" spans="1:22" x14ac:dyDescent="0.3">
      <c r="A2142" t="str">
        <f t="shared" si="66"/>
        <v>MERC + AROMLACTALIS</v>
      </c>
      <c r="B2142" t="str">
        <f t="shared" si="67"/>
        <v>5023870MERC + AROMLACTALIS</v>
      </c>
      <c r="C2142" s="5" t="s">
        <v>226</v>
      </c>
      <c r="D2142" s="5" t="s">
        <v>903</v>
      </c>
      <c r="E2142" s="5" t="s">
        <v>904</v>
      </c>
      <c r="F2142" s="5">
        <v>5023870</v>
      </c>
      <c r="G2142" s="5" t="s">
        <v>912</v>
      </c>
      <c r="H2142" s="5" t="s">
        <v>113</v>
      </c>
      <c r="I2142" s="5" t="s">
        <v>22</v>
      </c>
      <c r="J2142" s="5" t="s">
        <v>230</v>
      </c>
      <c r="K2142" s="6">
        <v>0</v>
      </c>
      <c r="L2142" s="7">
        <v>108</v>
      </c>
      <c r="M2142" s="8">
        <v>515.70000000000005</v>
      </c>
      <c r="N2142" s="8">
        <v>558.4</v>
      </c>
      <c r="O2142" s="8">
        <v>527.78165895854715</v>
      </c>
      <c r="P2142" s="8">
        <v>0</v>
      </c>
      <c r="Q2142" s="8">
        <v>43.2</v>
      </c>
      <c r="R2142" s="8">
        <v>0</v>
      </c>
      <c r="S2142" s="8">
        <v>0</v>
      </c>
      <c r="T2142" s="5">
        <v>0</v>
      </c>
      <c r="U2142" s="5">
        <v>0</v>
      </c>
      <c r="V2142" s="5">
        <f>VLOOKUP(A2142,Planilha1!B:E,4,0)</f>
        <v>0.86907188046232187</v>
      </c>
    </row>
    <row r="2143" spans="1:22" x14ac:dyDescent="0.3">
      <c r="A2143" t="str">
        <f t="shared" si="66"/>
        <v>IOGURTESITAMBÉ</v>
      </c>
      <c r="B2143" t="str">
        <f t="shared" si="67"/>
        <v>5175205IOGURTESITAMBÉ</v>
      </c>
      <c r="C2143" s="5" t="s">
        <v>226</v>
      </c>
      <c r="D2143" s="5" t="s">
        <v>752</v>
      </c>
      <c r="E2143" s="5" t="s">
        <v>774</v>
      </c>
      <c r="F2143" s="5">
        <v>5175205</v>
      </c>
      <c r="G2143" s="5" t="s">
        <v>786</v>
      </c>
      <c r="H2143" s="5" t="s">
        <v>32</v>
      </c>
      <c r="I2143" s="5" t="s">
        <v>27</v>
      </c>
      <c r="J2143" s="5" t="s">
        <v>153</v>
      </c>
      <c r="K2143" s="6">
        <v>0</v>
      </c>
      <c r="L2143" s="7">
        <v>0</v>
      </c>
      <c r="M2143" s="8">
        <v>27</v>
      </c>
      <c r="N2143" s="8">
        <v>27</v>
      </c>
      <c r="O2143" s="8">
        <v>50.989741045206479</v>
      </c>
      <c r="P2143" s="8">
        <v>0</v>
      </c>
      <c r="Q2143" s="8">
        <v>0</v>
      </c>
      <c r="R2143" s="8">
        <v>0</v>
      </c>
      <c r="S2143" s="8">
        <v>0</v>
      </c>
      <c r="T2143" s="5">
        <v>0</v>
      </c>
      <c r="U2143" s="5">
        <v>0</v>
      </c>
      <c r="V2143" s="5">
        <f>VLOOKUP(A2143,Planilha1!B:E,4,0)</f>
        <v>3.2554443184120534</v>
      </c>
    </row>
    <row r="2144" spans="1:22" x14ac:dyDescent="0.3">
      <c r="A2144" t="str">
        <f t="shared" si="66"/>
        <v>DOCE DE LEITEITAMBÉ</v>
      </c>
      <c r="B2144" t="str">
        <f t="shared" si="67"/>
        <v>5226651DOCE DE LEITEITAMBÉ</v>
      </c>
      <c r="C2144" s="5" t="s">
        <v>16</v>
      </c>
      <c r="D2144" s="5" t="s">
        <v>53</v>
      </c>
      <c r="E2144" s="5" t="s">
        <v>54</v>
      </c>
      <c r="F2144" s="5">
        <v>5226651</v>
      </c>
      <c r="G2144" s="5" t="s">
        <v>999</v>
      </c>
      <c r="H2144" s="5" t="s">
        <v>30</v>
      </c>
      <c r="I2144" s="5" t="s">
        <v>27</v>
      </c>
      <c r="J2144" s="5" t="s">
        <v>46</v>
      </c>
      <c r="K2144" s="6">
        <v>0</v>
      </c>
      <c r="L2144" s="7">
        <v>0</v>
      </c>
      <c r="M2144" s="8">
        <v>83.333333333333343</v>
      </c>
      <c r="N2144" s="8">
        <v>33.333333333333336</v>
      </c>
      <c r="O2144" s="8">
        <v>0</v>
      </c>
      <c r="P2144" s="8">
        <v>0</v>
      </c>
      <c r="Q2144" s="8">
        <v>0</v>
      </c>
      <c r="R2144" s="8">
        <v>0</v>
      </c>
      <c r="S2144" s="8">
        <v>0</v>
      </c>
      <c r="T2144" s="5">
        <v>0</v>
      </c>
      <c r="U2144" s="5">
        <v>0</v>
      </c>
      <c r="V2144" s="5">
        <f>VLOOKUP(A2144,Planilha1!B:E,4,0)</f>
        <v>5.8210743907543439</v>
      </c>
    </row>
    <row r="2145" spans="1:22" x14ac:dyDescent="0.3">
      <c r="A2145" t="str">
        <f t="shared" si="66"/>
        <v>COMPOSTOITAMBÉ</v>
      </c>
      <c r="B2145" t="str">
        <f t="shared" si="67"/>
        <v>5220504COMPOSTOITAMBÉ</v>
      </c>
      <c r="C2145" s="5" t="s">
        <v>149</v>
      </c>
      <c r="D2145" s="5" t="s">
        <v>150</v>
      </c>
      <c r="E2145" s="5" t="s">
        <v>151</v>
      </c>
      <c r="F2145" s="5">
        <v>5220504</v>
      </c>
      <c r="G2145" s="5" t="s">
        <v>1219</v>
      </c>
      <c r="H2145" s="5" t="s">
        <v>88</v>
      </c>
      <c r="I2145" s="5" t="s">
        <v>27</v>
      </c>
      <c r="J2145" s="5" t="s">
        <v>26</v>
      </c>
      <c r="K2145" s="6">
        <v>0</v>
      </c>
      <c r="L2145" s="7">
        <v>0</v>
      </c>
      <c r="M2145" s="8">
        <v>16.666666666666668</v>
      </c>
      <c r="N2145" s="8">
        <v>33.333333333333336</v>
      </c>
      <c r="O2145" s="8">
        <v>0</v>
      </c>
      <c r="P2145" s="8">
        <v>0</v>
      </c>
      <c r="Q2145" s="8">
        <v>0</v>
      </c>
      <c r="R2145" s="8">
        <v>0</v>
      </c>
      <c r="S2145" s="8">
        <v>0</v>
      </c>
      <c r="T2145" s="5">
        <v>0</v>
      </c>
      <c r="U2145" s="5">
        <v>0</v>
      </c>
      <c r="V2145" s="5">
        <f>VLOOKUP(A2145,Planilha1!B:E,4,0)</f>
        <v>0.15618217875936719</v>
      </c>
    </row>
    <row r="2146" spans="1:22" x14ac:dyDescent="0.3">
      <c r="A2146" t="str">
        <f t="shared" si="66"/>
        <v>SPREADSLACTALIS</v>
      </c>
      <c r="B2146" t="str">
        <f t="shared" si="67"/>
        <v>5023870SPREADSLACTALIS</v>
      </c>
      <c r="C2146" s="5" t="s">
        <v>226</v>
      </c>
      <c r="D2146" s="5" t="s">
        <v>903</v>
      </c>
      <c r="E2146" s="5" t="s">
        <v>904</v>
      </c>
      <c r="F2146" s="5">
        <v>5023870</v>
      </c>
      <c r="G2146" s="5" t="s">
        <v>912</v>
      </c>
      <c r="H2146" s="5" t="s">
        <v>113</v>
      </c>
      <c r="I2146" s="5" t="s">
        <v>22</v>
      </c>
      <c r="J2146" s="5" t="s">
        <v>945</v>
      </c>
      <c r="K2146" s="6">
        <v>0</v>
      </c>
      <c r="L2146" s="7">
        <v>168</v>
      </c>
      <c r="M2146" s="8">
        <v>154.00000000000003</v>
      </c>
      <c r="N2146" s="8">
        <v>133.33333333333334</v>
      </c>
      <c r="O2146" s="8">
        <v>183.06361392000829</v>
      </c>
      <c r="P2146" s="8">
        <v>0</v>
      </c>
      <c r="Q2146" s="8">
        <v>60</v>
      </c>
      <c r="R2146" s="8">
        <v>0</v>
      </c>
      <c r="S2146" s="8">
        <v>0</v>
      </c>
      <c r="T2146" s="5">
        <v>0</v>
      </c>
      <c r="U2146" s="5">
        <v>0</v>
      </c>
      <c r="V2146" s="5">
        <f>VLOOKUP(A2146,Planilha1!B:E,4,0)</f>
        <v>13.599044988219518</v>
      </c>
    </row>
    <row r="2147" spans="1:22" x14ac:dyDescent="0.3">
      <c r="A2147" t="str">
        <f t="shared" si="66"/>
        <v>LEITE CONDENSADOLACTALIS</v>
      </c>
      <c r="B2147" t="str">
        <f t="shared" si="67"/>
        <v>5060465LEITE CONDENSADOLACTALIS</v>
      </c>
      <c r="C2147" s="5" t="s">
        <v>226</v>
      </c>
      <c r="D2147" s="5" t="s">
        <v>227</v>
      </c>
      <c r="E2147" s="5" t="s">
        <v>1722</v>
      </c>
      <c r="F2147" s="5">
        <v>5060465</v>
      </c>
      <c r="G2147" s="5" t="s">
        <v>241</v>
      </c>
      <c r="H2147" s="5" t="s">
        <v>30</v>
      </c>
      <c r="I2147" s="5" t="s">
        <v>22</v>
      </c>
      <c r="J2147" s="5" t="s">
        <v>33</v>
      </c>
      <c r="K2147" s="6">
        <v>0</v>
      </c>
      <c r="L2147" s="7">
        <v>0</v>
      </c>
      <c r="M2147" s="8">
        <v>36.340000000000003</v>
      </c>
      <c r="N2147" s="8">
        <v>37.92</v>
      </c>
      <c r="O2147" s="8">
        <v>56.88</v>
      </c>
      <c r="P2147" s="8">
        <v>0</v>
      </c>
      <c r="Q2147" s="8">
        <v>94.8</v>
      </c>
      <c r="R2147" s="8">
        <v>0</v>
      </c>
      <c r="S2147" s="8">
        <v>38</v>
      </c>
      <c r="T2147" s="5">
        <v>57</v>
      </c>
      <c r="U2147" s="5">
        <v>57</v>
      </c>
      <c r="V2147" s="5">
        <f>VLOOKUP(A2147,Planilha1!B:E,4,0)</f>
        <v>1.8665071822970765</v>
      </c>
    </row>
    <row r="2148" spans="1:22" x14ac:dyDescent="0.3">
      <c r="A2148" t="str">
        <f t="shared" si="66"/>
        <v>IOGURTESITAMBÉ</v>
      </c>
      <c r="B2148" t="str">
        <f t="shared" si="67"/>
        <v>5226805IOGURTESITAMBÉ</v>
      </c>
      <c r="C2148" s="5" t="s">
        <v>226</v>
      </c>
      <c r="D2148" s="5" t="s">
        <v>727</v>
      </c>
      <c r="E2148" s="5" t="s">
        <v>730</v>
      </c>
      <c r="F2148" s="5">
        <v>5226805</v>
      </c>
      <c r="G2148" s="5" t="s">
        <v>732</v>
      </c>
      <c r="H2148" s="5" t="s">
        <v>25</v>
      </c>
      <c r="I2148" s="5" t="s">
        <v>27</v>
      </c>
      <c r="J2148" s="5" t="s">
        <v>153</v>
      </c>
      <c r="K2148" s="6">
        <v>0</v>
      </c>
      <c r="L2148" s="7">
        <v>172.8</v>
      </c>
      <c r="M2148" s="8">
        <v>80.100000000000009</v>
      </c>
      <c r="N2148" s="8">
        <v>77.333333333333329</v>
      </c>
      <c r="O2148" s="8">
        <v>147.97022891550117</v>
      </c>
      <c r="P2148" s="8">
        <v>66.600000000000009</v>
      </c>
      <c r="Q2148" s="8">
        <v>108</v>
      </c>
      <c r="R2148" s="8">
        <v>0.45</v>
      </c>
      <c r="S2148" s="8">
        <v>0</v>
      </c>
      <c r="T2148" s="5">
        <v>0</v>
      </c>
      <c r="U2148" s="5">
        <v>0</v>
      </c>
      <c r="V2148" s="5">
        <f>VLOOKUP(A2148,Planilha1!B:E,4,0)</f>
        <v>3.2554443184120534</v>
      </c>
    </row>
    <row r="2149" spans="1:22" x14ac:dyDescent="0.3">
      <c r="A2149" t="str">
        <f t="shared" si="66"/>
        <v>LEITE EM PÓITAMBÉ</v>
      </c>
      <c r="B2149" t="str">
        <f t="shared" si="67"/>
        <v>5335628LEITE EM PÓITAMBÉ</v>
      </c>
      <c r="C2149" s="5" t="s">
        <v>226</v>
      </c>
      <c r="D2149" s="5" t="s">
        <v>727</v>
      </c>
      <c r="E2149" s="5" t="s">
        <v>727</v>
      </c>
      <c r="F2149" s="5">
        <v>5335628</v>
      </c>
      <c r="G2149" s="5" t="s">
        <v>729</v>
      </c>
      <c r="H2149" s="5" t="s">
        <v>25</v>
      </c>
      <c r="I2149" s="5" t="s">
        <v>27</v>
      </c>
      <c r="J2149" s="5" t="s">
        <v>84</v>
      </c>
      <c r="K2149" s="6">
        <v>0</v>
      </c>
      <c r="L2149" s="7">
        <v>0</v>
      </c>
      <c r="M2149" s="8">
        <v>253.33333333333331</v>
      </c>
      <c r="N2149" s="8">
        <v>386.66666666666669</v>
      </c>
      <c r="O2149" s="8">
        <v>96.980487870294681</v>
      </c>
      <c r="P2149" s="8">
        <v>0</v>
      </c>
      <c r="Q2149" s="8">
        <v>0</v>
      </c>
      <c r="R2149" s="8">
        <v>0</v>
      </c>
      <c r="S2149" s="8">
        <v>0</v>
      </c>
      <c r="T2149" s="5">
        <v>0</v>
      </c>
      <c r="U2149" s="5">
        <v>0</v>
      </c>
      <c r="V2149" s="5">
        <f>VLOOKUP(A2149,Planilha1!B:E,4,0)</f>
        <v>4.5971522734997743</v>
      </c>
    </row>
    <row r="2150" spans="1:22" x14ac:dyDescent="0.3">
      <c r="A2150" t="str">
        <f t="shared" si="66"/>
        <v>QUEIJOSITAMBÉ</v>
      </c>
      <c r="B2150" t="str">
        <f t="shared" si="67"/>
        <v>5026768QUEIJOSITAMBÉ</v>
      </c>
      <c r="C2150" s="5" t="s">
        <v>226</v>
      </c>
      <c r="D2150" s="5" t="s">
        <v>833</v>
      </c>
      <c r="E2150" s="5" t="s">
        <v>875</v>
      </c>
      <c r="F2150" s="5">
        <v>5026768</v>
      </c>
      <c r="G2150" s="5" t="s">
        <v>877</v>
      </c>
      <c r="H2150" s="5" t="s">
        <v>91</v>
      </c>
      <c r="I2150" s="5" t="s">
        <v>27</v>
      </c>
      <c r="J2150" s="5" t="s">
        <v>63</v>
      </c>
      <c r="K2150" s="6">
        <v>0</v>
      </c>
      <c r="L2150" s="7">
        <v>59.2</v>
      </c>
      <c r="M2150" s="8">
        <v>28</v>
      </c>
      <c r="N2150" s="8">
        <v>28</v>
      </c>
      <c r="O2150" s="8">
        <v>0</v>
      </c>
      <c r="P2150" s="8">
        <v>0</v>
      </c>
      <c r="Q2150" s="8">
        <v>0</v>
      </c>
      <c r="R2150" s="8">
        <v>0</v>
      </c>
      <c r="S2150" s="8">
        <v>0</v>
      </c>
      <c r="T2150" s="5">
        <v>0</v>
      </c>
      <c r="U2150" s="5">
        <v>0</v>
      </c>
      <c r="V2150" s="5">
        <f>VLOOKUP(A2150,Planilha1!B:E,4,0)</f>
        <v>12.008237327188938</v>
      </c>
    </row>
    <row r="2151" spans="1:22" x14ac:dyDescent="0.3">
      <c r="A2151" t="str">
        <f t="shared" si="66"/>
        <v>LPD 25KGLACTALIS</v>
      </c>
      <c r="B2151" t="str">
        <f t="shared" si="67"/>
        <v>5089548LPD 25KGLACTALIS</v>
      </c>
      <c r="C2151" s="5" t="s">
        <v>16</v>
      </c>
      <c r="D2151" s="5" t="s">
        <v>28</v>
      </c>
      <c r="E2151" s="5" t="s">
        <v>28</v>
      </c>
      <c r="F2151" s="5">
        <v>5089548</v>
      </c>
      <c r="G2151" s="5" t="s">
        <v>1014</v>
      </c>
      <c r="H2151" s="5" t="s">
        <v>30</v>
      </c>
      <c r="I2151" s="5" t="s">
        <v>22</v>
      </c>
      <c r="J2151" s="5" t="s">
        <v>43</v>
      </c>
      <c r="K2151" s="6">
        <v>0</v>
      </c>
      <c r="L2151" s="7">
        <v>25000</v>
      </c>
      <c r="M2151" s="8">
        <v>4000</v>
      </c>
      <c r="N2151" s="8">
        <v>0</v>
      </c>
      <c r="O2151" s="8">
        <v>12037.753000831994</v>
      </c>
      <c r="P2151" s="8">
        <v>0</v>
      </c>
      <c r="Q2151" s="8">
        <v>24000</v>
      </c>
      <c r="R2151" s="8">
        <v>0</v>
      </c>
      <c r="S2151" s="8">
        <v>0</v>
      </c>
      <c r="T2151" s="5">
        <v>25000</v>
      </c>
      <c r="U2151" s="5">
        <v>0</v>
      </c>
      <c r="V2151" s="5">
        <f>VLOOKUP(A2151,Planilha1!B:E,4,0)</f>
        <v>5.893629113453061</v>
      </c>
    </row>
    <row r="2152" spans="1:22" x14ac:dyDescent="0.3">
      <c r="A2152" t="str">
        <f t="shared" si="66"/>
        <v>DOCE DE LEITEITAMBÉ</v>
      </c>
      <c r="B2152" t="str">
        <f t="shared" si="67"/>
        <v>5063519DOCE DE LEITEITAMBÉ</v>
      </c>
      <c r="C2152" s="5" t="s">
        <v>149</v>
      </c>
      <c r="D2152" s="5" t="s">
        <v>150</v>
      </c>
      <c r="E2152" s="5" t="s">
        <v>151</v>
      </c>
      <c r="F2152" s="5">
        <v>5063519</v>
      </c>
      <c r="G2152" s="5" t="s">
        <v>198</v>
      </c>
      <c r="H2152" s="5" t="s">
        <v>30</v>
      </c>
      <c r="I2152" s="5" t="s">
        <v>27</v>
      </c>
      <c r="J2152" s="5" t="s">
        <v>46</v>
      </c>
      <c r="K2152" s="6">
        <v>0</v>
      </c>
      <c r="L2152" s="7">
        <v>0</v>
      </c>
      <c r="M2152" s="8">
        <v>3.3333333333333335</v>
      </c>
      <c r="N2152" s="8">
        <v>6.666666666666667</v>
      </c>
      <c r="O2152" s="8">
        <v>0</v>
      </c>
      <c r="P2152" s="8">
        <v>0</v>
      </c>
      <c r="Q2152" s="8">
        <v>0</v>
      </c>
      <c r="R2152" s="8">
        <v>0</v>
      </c>
      <c r="S2152" s="8">
        <v>0</v>
      </c>
      <c r="T2152" s="5">
        <v>0</v>
      </c>
      <c r="U2152" s="5">
        <v>0</v>
      </c>
      <c r="V2152" s="5">
        <f>VLOOKUP(A2152,Planilha1!B:E,4,0)</f>
        <v>5.8210743907543439</v>
      </c>
    </row>
    <row r="2153" spans="1:22" x14ac:dyDescent="0.3">
      <c r="A2153" t="str">
        <f t="shared" si="66"/>
        <v>LEITE EM PÓITAMBÉ</v>
      </c>
      <c r="B2153" t="str">
        <f t="shared" si="67"/>
        <v>5220998LEITE EM PÓITAMBÉ</v>
      </c>
      <c r="C2153" s="5" t="s">
        <v>226</v>
      </c>
      <c r="D2153" s="5" t="s">
        <v>833</v>
      </c>
      <c r="E2153" s="5" t="s">
        <v>850</v>
      </c>
      <c r="F2153" s="5">
        <v>5220998</v>
      </c>
      <c r="G2153" s="5" t="s">
        <v>1062</v>
      </c>
      <c r="H2153" s="5" t="s">
        <v>40</v>
      </c>
      <c r="I2153" s="5" t="s">
        <v>27</v>
      </c>
      <c r="J2153" s="5" t="s">
        <v>84</v>
      </c>
      <c r="K2153" s="6">
        <v>0</v>
      </c>
      <c r="L2153" s="7">
        <v>0</v>
      </c>
      <c r="M2153" s="8">
        <v>131.66666666666666</v>
      </c>
      <c r="N2153" s="8">
        <v>190</v>
      </c>
      <c r="O2153" s="8">
        <v>73.985114457750583</v>
      </c>
      <c r="P2153" s="8">
        <v>0</v>
      </c>
      <c r="Q2153" s="8">
        <v>0</v>
      </c>
      <c r="R2153" s="8">
        <v>0</v>
      </c>
      <c r="S2153" s="8">
        <v>0</v>
      </c>
      <c r="T2153" s="5">
        <v>0</v>
      </c>
      <c r="U2153" s="5">
        <v>0</v>
      </c>
      <c r="V2153" s="5">
        <f>VLOOKUP(A2153,Planilha1!B:E,4,0)</f>
        <v>4.5971522734997743</v>
      </c>
    </row>
    <row r="2154" spans="1:22" x14ac:dyDescent="0.3">
      <c r="A2154" t="str">
        <f t="shared" si="66"/>
        <v>QUEIJOSLACTALIS</v>
      </c>
      <c r="B2154" t="str">
        <f t="shared" si="67"/>
        <v>5034560QUEIJOSLACTALIS</v>
      </c>
      <c r="C2154" s="5" t="s">
        <v>226</v>
      </c>
      <c r="D2154" s="5" t="s">
        <v>227</v>
      </c>
      <c r="E2154" s="5" t="s">
        <v>1722</v>
      </c>
      <c r="F2154" s="5">
        <v>5034560</v>
      </c>
      <c r="G2154" s="5" t="s">
        <v>380</v>
      </c>
      <c r="H2154" s="5" t="s">
        <v>30</v>
      </c>
      <c r="I2154" s="5" t="s">
        <v>22</v>
      </c>
      <c r="J2154" s="5" t="s">
        <v>63</v>
      </c>
      <c r="K2154" s="6">
        <v>0</v>
      </c>
      <c r="L2154" s="7">
        <v>0</v>
      </c>
      <c r="M2154" s="8">
        <v>42.395000000000003</v>
      </c>
      <c r="N2154" s="8">
        <v>84.79</v>
      </c>
      <c r="O2154" s="8">
        <v>0</v>
      </c>
      <c r="P2154" s="8">
        <v>0</v>
      </c>
      <c r="Q2154" s="8">
        <v>0</v>
      </c>
      <c r="R2154" s="8">
        <v>0</v>
      </c>
      <c r="S2154" s="8">
        <v>0</v>
      </c>
      <c r="T2154" s="5">
        <v>0</v>
      </c>
      <c r="U2154" s="5">
        <v>47</v>
      </c>
      <c r="V2154" s="5">
        <f>VLOOKUP(A2154,Planilha1!B:E,4,0)</f>
        <v>-1.9171310037550682</v>
      </c>
    </row>
    <row r="2155" spans="1:22" x14ac:dyDescent="0.3">
      <c r="A2155" t="str">
        <f t="shared" si="66"/>
        <v>LEITE CONDENSADOLACTALIS</v>
      </c>
      <c r="B2155" t="str">
        <f t="shared" si="67"/>
        <v>5034560LEITE CONDENSADOLACTALIS</v>
      </c>
      <c r="C2155" s="5" t="s">
        <v>226</v>
      </c>
      <c r="D2155" s="5" t="s">
        <v>227</v>
      </c>
      <c r="E2155" s="5" t="s">
        <v>1722</v>
      </c>
      <c r="F2155" s="5">
        <v>5034560</v>
      </c>
      <c r="G2155" s="5" t="s">
        <v>380</v>
      </c>
      <c r="H2155" s="5" t="s">
        <v>30</v>
      </c>
      <c r="I2155" s="5" t="s">
        <v>22</v>
      </c>
      <c r="J2155" s="5" t="s">
        <v>33</v>
      </c>
      <c r="K2155" s="6">
        <v>0</v>
      </c>
      <c r="L2155" s="7">
        <v>0</v>
      </c>
      <c r="M2155" s="8">
        <v>9.3333333333333339</v>
      </c>
      <c r="N2155" s="8">
        <v>18.666666666666668</v>
      </c>
      <c r="O2155" s="8">
        <v>42</v>
      </c>
      <c r="P2155" s="8">
        <v>0</v>
      </c>
      <c r="Q2155" s="8">
        <v>14</v>
      </c>
      <c r="R2155" s="8">
        <v>0</v>
      </c>
      <c r="S2155" s="8">
        <v>0</v>
      </c>
      <c r="T2155" s="5">
        <v>50</v>
      </c>
      <c r="U2155" s="5">
        <v>42</v>
      </c>
      <c r="V2155" s="5">
        <f>VLOOKUP(A2155,Planilha1!B:E,4,0)</f>
        <v>1.8665071822970765</v>
      </c>
    </row>
    <row r="2156" spans="1:22" x14ac:dyDescent="0.3">
      <c r="A2156" t="str">
        <f t="shared" si="66"/>
        <v>SPREADSLACTALIS</v>
      </c>
      <c r="B2156" t="str">
        <f t="shared" si="67"/>
        <v>5027929SPREADSLACTALIS</v>
      </c>
      <c r="C2156" s="5" t="s">
        <v>226</v>
      </c>
      <c r="D2156" s="5" t="s">
        <v>227</v>
      </c>
      <c r="E2156" s="5" t="s">
        <v>1722</v>
      </c>
      <c r="F2156" s="5">
        <v>5027929</v>
      </c>
      <c r="G2156" s="5" t="s">
        <v>239</v>
      </c>
      <c r="H2156" s="5" t="s">
        <v>30</v>
      </c>
      <c r="I2156" s="5" t="s">
        <v>22</v>
      </c>
      <c r="J2156" s="5" t="s">
        <v>945</v>
      </c>
      <c r="K2156" s="6">
        <v>0</v>
      </c>
      <c r="L2156" s="7">
        <v>11.2</v>
      </c>
      <c r="M2156" s="8">
        <v>12.166666666666664</v>
      </c>
      <c r="N2156" s="8">
        <v>15.733333333333334</v>
      </c>
      <c r="O2156" s="8">
        <v>4.8892943422059796</v>
      </c>
      <c r="P2156" s="8">
        <v>0</v>
      </c>
      <c r="Q2156" s="8">
        <v>10.6</v>
      </c>
      <c r="R2156" s="8">
        <v>0</v>
      </c>
      <c r="S2156" s="8">
        <v>0</v>
      </c>
      <c r="T2156" s="5">
        <v>0</v>
      </c>
      <c r="U2156" s="5">
        <v>0</v>
      </c>
      <c r="V2156" s="5">
        <f>VLOOKUP(A2156,Planilha1!B:E,4,0)</f>
        <v>13.599044988219518</v>
      </c>
    </row>
    <row r="2157" spans="1:22" x14ac:dyDescent="0.3">
      <c r="A2157" t="str">
        <f t="shared" si="66"/>
        <v>SPREADSITAMBÉ</v>
      </c>
      <c r="B2157" t="str">
        <f t="shared" si="67"/>
        <v>5318875SPREADSITAMBÉ</v>
      </c>
      <c r="C2157" s="5" t="s">
        <v>226</v>
      </c>
      <c r="D2157" s="5" t="s">
        <v>727</v>
      </c>
      <c r="E2157" s="5" t="s">
        <v>730</v>
      </c>
      <c r="F2157" s="5">
        <v>5318875</v>
      </c>
      <c r="G2157" s="5" t="s">
        <v>731</v>
      </c>
      <c r="H2157" s="5" t="s">
        <v>25</v>
      </c>
      <c r="I2157" s="5" t="s">
        <v>27</v>
      </c>
      <c r="J2157" s="5" t="s">
        <v>945</v>
      </c>
      <c r="K2157" s="6">
        <v>0</v>
      </c>
      <c r="L2157" s="7">
        <v>0</v>
      </c>
      <c r="M2157" s="8">
        <v>18</v>
      </c>
      <c r="N2157" s="8">
        <v>28</v>
      </c>
      <c r="O2157" s="8">
        <v>0</v>
      </c>
      <c r="P2157" s="8">
        <v>4.5</v>
      </c>
      <c r="Q2157" s="8">
        <v>0</v>
      </c>
      <c r="R2157" s="8">
        <v>24</v>
      </c>
      <c r="S2157" s="8">
        <v>0</v>
      </c>
      <c r="T2157" s="5">
        <v>0</v>
      </c>
      <c r="U2157" s="5">
        <v>0</v>
      </c>
      <c r="V2157" s="5">
        <f>VLOOKUP(A2157,Planilha1!B:E,4,0)</f>
        <v>9.2962610783648607</v>
      </c>
    </row>
    <row r="2158" spans="1:22" x14ac:dyDescent="0.3">
      <c r="A2158" t="str">
        <f t="shared" si="66"/>
        <v>LEITE EM PÓITAMBÉ</v>
      </c>
      <c r="B2158" t="str">
        <f t="shared" si="67"/>
        <v>5017576LEITE EM PÓITAMBÉ</v>
      </c>
      <c r="C2158" s="5" t="s">
        <v>226</v>
      </c>
      <c r="D2158" s="5" t="s">
        <v>752</v>
      </c>
      <c r="E2158" s="5" t="s">
        <v>774</v>
      </c>
      <c r="F2158" s="5">
        <v>5017576</v>
      </c>
      <c r="G2158" s="5" t="s">
        <v>775</v>
      </c>
      <c r="H2158" s="5" t="s">
        <v>32</v>
      </c>
      <c r="I2158" s="5" t="s">
        <v>27</v>
      </c>
      <c r="J2158" s="5" t="s">
        <v>84</v>
      </c>
      <c r="K2158" s="6">
        <v>0</v>
      </c>
      <c r="L2158" s="7">
        <v>0</v>
      </c>
      <c r="M2158" s="8">
        <v>1160</v>
      </c>
      <c r="N2158" s="8">
        <v>1400</v>
      </c>
      <c r="O2158" s="8">
        <v>270.94548673041089</v>
      </c>
      <c r="P2158" s="8">
        <v>0</v>
      </c>
      <c r="Q2158" s="8">
        <v>700</v>
      </c>
      <c r="R2158" s="8">
        <v>0</v>
      </c>
      <c r="S2158" s="8">
        <v>500</v>
      </c>
      <c r="T2158" s="5">
        <v>500</v>
      </c>
      <c r="U2158" s="5">
        <v>0</v>
      </c>
      <c r="V2158" s="5">
        <f>VLOOKUP(A2158,Planilha1!B:E,4,0)</f>
        <v>4.5971522734997743</v>
      </c>
    </row>
    <row r="2159" spans="1:22" x14ac:dyDescent="0.3">
      <c r="A2159" t="str">
        <f t="shared" si="66"/>
        <v>IOGURTESITAMBÉ</v>
      </c>
      <c r="B2159" t="str">
        <f t="shared" si="67"/>
        <v>5224070IOGURTESITAMBÉ</v>
      </c>
      <c r="C2159" s="5" t="s">
        <v>226</v>
      </c>
      <c r="D2159" s="5" t="s">
        <v>833</v>
      </c>
      <c r="E2159" s="5" t="s">
        <v>875</v>
      </c>
      <c r="F2159" s="5">
        <v>5224070</v>
      </c>
      <c r="G2159" s="5" t="s">
        <v>889</v>
      </c>
      <c r="H2159" s="5" t="s">
        <v>91</v>
      </c>
      <c r="I2159" s="5" t="s">
        <v>27</v>
      </c>
      <c r="J2159" s="5" t="s">
        <v>153</v>
      </c>
      <c r="K2159" s="6">
        <v>0</v>
      </c>
      <c r="L2159" s="7">
        <v>0</v>
      </c>
      <c r="M2159" s="8">
        <v>65.28</v>
      </c>
      <c r="N2159" s="8">
        <v>89.666666666666671</v>
      </c>
      <c r="O2159" s="8">
        <v>36.992557228875292</v>
      </c>
      <c r="P2159" s="8">
        <v>0</v>
      </c>
      <c r="Q2159" s="8">
        <v>0</v>
      </c>
      <c r="R2159" s="8">
        <v>0</v>
      </c>
      <c r="S2159" s="8">
        <v>0</v>
      </c>
      <c r="T2159" s="5">
        <v>0</v>
      </c>
      <c r="U2159" s="5">
        <v>0</v>
      </c>
      <c r="V2159" s="5">
        <f>VLOOKUP(A2159,Planilha1!B:E,4,0)</f>
        <v>3.2554443184120534</v>
      </c>
    </row>
    <row r="2160" spans="1:22" x14ac:dyDescent="0.3">
      <c r="A2160" t="str">
        <f t="shared" si="66"/>
        <v>IOGURTESLACTALIS</v>
      </c>
      <c r="B2160" t="str">
        <f t="shared" si="67"/>
        <v>5058881IOGURTESLACTALIS</v>
      </c>
      <c r="C2160" s="5" t="s">
        <v>149</v>
      </c>
      <c r="D2160" s="5" t="s">
        <v>150</v>
      </c>
      <c r="E2160" s="5" t="s">
        <v>151</v>
      </c>
      <c r="F2160" s="5">
        <v>5058881</v>
      </c>
      <c r="G2160" s="5" t="s">
        <v>200</v>
      </c>
      <c r="H2160" s="5" t="s">
        <v>30</v>
      </c>
      <c r="I2160" s="5" t="s">
        <v>22</v>
      </c>
      <c r="J2160" s="5" t="s">
        <v>153</v>
      </c>
      <c r="K2160" s="6">
        <v>0</v>
      </c>
      <c r="L2160" s="7">
        <v>0</v>
      </c>
      <c r="M2160" s="8">
        <v>35.36</v>
      </c>
      <c r="N2160" s="8">
        <v>70.72</v>
      </c>
      <c r="O2160" s="8">
        <v>0</v>
      </c>
      <c r="P2160" s="8">
        <v>0</v>
      </c>
      <c r="Q2160" s="8">
        <v>0</v>
      </c>
      <c r="R2160" s="8">
        <v>0</v>
      </c>
      <c r="S2160" s="8">
        <v>0</v>
      </c>
      <c r="T2160" s="5">
        <v>0</v>
      </c>
      <c r="U2160" s="5">
        <v>0</v>
      </c>
      <c r="V2160" s="5">
        <f>VLOOKUP(A2160,Planilha1!B:E,4,0)</f>
        <v>3.0503167986984403</v>
      </c>
    </row>
    <row r="2161" spans="1:22" x14ac:dyDescent="0.3">
      <c r="A2161" t="str">
        <f t="shared" si="66"/>
        <v>MANTEIGA 5KGLACTALIS</v>
      </c>
      <c r="B2161" t="str">
        <f t="shared" si="67"/>
        <v>5058881MANTEIGA 5KGLACTALIS</v>
      </c>
      <c r="C2161" s="5" t="s">
        <v>149</v>
      </c>
      <c r="D2161" s="5" t="s">
        <v>150</v>
      </c>
      <c r="E2161" s="5" t="s">
        <v>151</v>
      </c>
      <c r="F2161" s="5">
        <v>5058881</v>
      </c>
      <c r="G2161" s="5" t="s">
        <v>200</v>
      </c>
      <c r="H2161" s="5" t="s">
        <v>30</v>
      </c>
      <c r="I2161" s="5" t="s">
        <v>22</v>
      </c>
      <c r="J2161" s="5" t="s">
        <v>60</v>
      </c>
      <c r="K2161" s="6">
        <v>0</v>
      </c>
      <c r="L2161" s="7">
        <v>0</v>
      </c>
      <c r="M2161" s="8">
        <v>146.66666666666666</v>
      </c>
      <c r="N2161" s="8">
        <v>160</v>
      </c>
      <c r="O2161" s="8">
        <v>0</v>
      </c>
      <c r="P2161" s="8">
        <v>0</v>
      </c>
      <c r="Q2161" s="8">
        <v>150</v>
      </c>
      <c r="R2161" s="8">
        <v>0</v>
      </c>
      <c r="S2161" s="8">
        <v>100</v>
      </c>
      <c r="T2161" s="5">
        <v>100</v>
      </c>
      <c r="U2161" s="5">
        <v>100</v>
      </c>
      <c r="V2161" s="5">
        <f>VLOOKUP(A2161,Planilha1!B:E,4,0)</f>
        <v>11.476197020267191</v>
      </c>
    </row>
    <row r="2162" spans="1:22" x14ac:dyDescent="0.3">
      <c r="A2162" t="str">
        <f t="shared" si="66"/>
        <v>LEITE CONDENSADOITAMBÉ</v>
      </c>
      <c r="B2162" t="str">
        <f t="shared" si="67"/>
        <v>5224404LEITE CONDENSADOITAMBÉ</v>
      </c>
      <c r="C2162" s="5" t="s">
        <v>226</v>
      </c>
      <c r="D2162" s="5" t="s">
        <v>727</v>
      </c>
      <c r="E2162" s="5" t="s">
        <v>733</v>
      </c>
      <c r="F2162" s="5">
        <v>5224404</v>
      </c>
      <c r="G2162" s="5" t="s">
        <v>747</v>
      </c>
      <c r="H2162" s="5" t="s">
        <v>25</v>
      </c>
      <c r="I2162" s="5" t="s">
        <v>27</v>
      </c>
      <c r="J2162" s="5" t="s">
        <v>33</v>
      </c>
      <c r="K2162" s="6">
        <v>0</v>
      </c>
      <c r="L2162" s="7">
        <v>0</v>
      </c>
      <c r="M2162" s="8">
        <v>355.5</v>
      </c>
      <c r="N2162" s="8">
        <v>711</v>
      </c>
      <c r="O2162" s="8">
        <v>0</v>
      </c>
      <c r="P2162" s="8">
        <v>0</v>
      </c>
      <c r="Q2162" s="8">
        <v>0</v>
      </c>
      <c r="R2162" s="8">
        <v>0</v>
      </c>
      <c r="S2162" s="8">
        <v>0</v>
      </c>
      <c r="T2162" s="5">
        <v>0</v>
      </c>
      <c r="U2162" s="5">
        <v>0</v>
      </c>
      <c r="V2162" s="5">
        <f>VLOOKUP(A2162,Planilha1!B:E,4,0)</f>
        <v>1.4766792698630664</v>
      </c>
    </row>
    <row r="2163" spans="1:22" x14ac:dyDescent="0.3">
      <c r="A2163" t="str">
        <f t="shared" si="66"/>
        <v>LPI 25KGITAMBÉ</v>
      </c>
      <c r="B2163" t="str">
        <f t="shared" si="67"/>
        <v>5256539LPI 25KGITAMBÉ</v>
      </c>
      <c r="C2163" s="5" t="s">
        <v>149</v>
      </c>
      <c r="D2163" s="5" t="s">
        <v>150</v>
      </c>
      <c r="E2163" s="5" t="s">
        <v>186</v>
      </c>
      <c r="F2163" s="5">
        <v>5256539</v>
      </c>
      <c r="G2163" s="5" t="s">
        <v>193</v>
      </c>
      <c r="H2163" s="5" t="s">
        <v>154</v>
      </c>
      <c r="I2163" s="5" t="s">
        <v>27</v>
      </c>
      <c r="J2163" s="5" t="s">
        <v>21</v>
      </c>
      <c r="K2163" s="6">
        <v>0</v>
      </c>
      <c r="L2163" s="7">
        <v>0</v>
      </c>
      <c r="M2163" s="8">
        <v>1666.6666666666665</v>
      </c>
      <c r="N2163" s="8">
        <v>3333.3333333333335</v>
      </c>
      <c r="O2163" s="8">
        <v>0</v>
      </c>
      <c r="P2163" s="8">
        <v>0</v>
      </c>
      <c r="Q2163" s="8">
        <v>6850</v>
      </c>
      <c r="R2163" s="8">
        <v>0</v>
      </c>
      <c r="S2163" s="8">
        <v>0</v>
      </c>
      <c r="T2163" s="5">
        <v>0</v>
      </c>
      <c r="U2163" s="5">
        <v>0</v>
      </c>
      <c r="V2163" s="5">
        <f>VLOOKUP(A2163,Planilha1!B:E,4,0)</f>
        <v>-1.218192805504376</v>
      </c>
    </row>
    <row r="2164" spans="1:22" x14ac:dyDescent="0.3">
      <c r="A2164" t="str">
        <f t="shared" si="66"/>
        <v>CREME UHTLACTALIS</v>
      </c>
      <c r="B2164" t="str">
        <f t="shared" si="67"/>
        <v>5030629CREME UHTLACTALIS</v>
      </c>
      <c r="C2164" s="5" t="s">
        <v>226</v>
      </c>
      <c r="D2164" s="5" t="s">
        <v>227</v>
      </c>
      <c r="E2164" s="5" t="s">
        <v>231</v>
      </c>
      <c r="F2164" s="5">
        <v>5030629</v>
      </c>
      <c r="G2164" s="5" t="s">
        <v>1220</v>
      </c>
      <c r="H2164" s="5" t="s">
        <v>30</v>
      </c>
      <c r="I2164" s="5" t="s">
        <v>22</v>
      </c>
      <c r="J2164" s="5" t="s">
        <v>34</v>
      </c>
      <c r="K2164" s="6">
        <v>0</v>
      </c>
      <c r="L2164" s="7">
        <v>0</v>
      </c>
      <c r="M2164" s="8">
        <v>27.119999999999997</v>
      </c>
      <c r="N2164" s="8">
        <v>54</v>
      </c>
      <c r="O2164" s="8">
        <v>0</v>
      </c>
      <c r="P2164" s="8">
        <v>0</v>
      </c>
      <c r="Q2164" s="8">
        <v>0</v>
      </c>
      <c r="R2164" s="8">
        <v>0</v>
      </c>
      <c r="S2164" s="8">
        <v>0</v>
      </c>
      <c r="T2164" s="5">
        <v>0</v>
      </c>
      <c r="U2164" s="5">
        <v>0</v>
      </c>
      <c r="V2164" s="5">
        <f>VLOOKUP(A2164,Planilha1!B:E,4,0)</f>
        <v>-1.4094522863012933</v>
      </c>
    </row>
    <row r="2165" spans="1:22" x14ac:dyDescent="0.3">
      <c r="A2165" t="str">
        <f t="shared" si="66"/>
        <v>QUEIJOSLACTALIS</v>
      </c>
      <c r="B2165" t="str">
        <f t="shared" si="67"/>
        <v>5034562QUEIJOSLACTALIS</v>
      </c>
      <c r="C2165" s="5" t="s">
        <v>226</v>
      </c>
      <c r="D2165" s="5" t="s">
        <v>227</v>
      </c>
      <c r="E2165" s="5" t="s">
        <v>1722</v>
      </c>
      <c r="F2165" s="5">
        <v>5034562</v>
      </c>
      <c r="G2165" s="5" t="s">
        <v>379</v>
      </c>
      <c r="H2165" s="5" t="s">
        <v>30</v>
      </c>
      <c r="I2165" s="5" t="s">
        <v>22</v>
      </c>
      <c r="J2165" s="5" t="s">
        <v>63</v>
      </c>
      <c r="K2165" s="6">
        <v>0</v>
      </c>
      <c r="L2165" s="7">
        <v>0</v>
      </c>
      <c r="M2165" s="8">
        <v>11.666666666666668</v>
      </c>
      <c r="N2165" s="8">
        <v>23.333333333333332</v>
      </c>
      <c r="O2165" s="8">
        <v>0</v>
      </c>
      <c r="P2165" s="8">
        <v>0</v>
      </c>
      <c r="Q2165" s="8">
        <v>0</v>
      </c>
      <c r="R2165" s="8">
        <v>0</v>
      </c>
      <c r="S2165" s="8">
        <v>0</v>
      </c>
      <c r="T2165" s="5">
        <v>0</v>
      </c>
      <c r="U2165" s="5">
        <v>0</v>
      </c>
      <c r="V2165" s="5">
        <f>VLOOKUP(A2165,Planilha1!B:E,4,0)</f>
        <v>-1.9171310037550682</v>
      </c>
    </row>
    <row r="2166" spans="1:22" x14ac:dyDescent="0.3">
      <c r="A2166" t="str">
        <f t="shared" si="66"/>
        <v>DOCE DE LEITELACTALIS</v>
      </c>
      <c r="B2166" t="str">
        <f t="shared" si="67"/>
        <v>5030629DOCE DE LEITELACTALIS</v>
      </c>
      <c r="C2166" s="5" t="s">
        <v>226</v>
      </c>
      <c r="D2166" s="5" t="s">
        <v>227</v>
      </c>
      <c r="E2166" s="5" t="s">
        <v>231</v>
      </c>
      <c r="F2166" s="5">
        <v>5030629</v>
      </c>
      <c r="G2166" s="5" t="s">
        <v>1220</v>
      </c>
      <c r="H2166" s="5" t="s">
        <v>30</v>
      </c>
      <c r="I2166" s="5" t="s">
        <v>22</v>
      </c>
      <c r="J2166" s="5" t="s">
        <v>46</v>
      </c>
      <c r="K2166" s="6">
        <v>0</v>
      </c>
      <c r="L2166" s="7">
        <v>0</v>
      </c>
      <c r="M2166" s="8">
        <v>33.493333333333332</v>
      </c>
      <c r="N2166" s="8">
        <v>66.666666666666671</v>
      </c>
      <c r="O2166" s="8">
        <v>0</v>
      </c>
      <c r="P2166" s="8">
        <v>0</v>
      </c>
      <c r="Q2166" s="8">
        <v>0</v>
      </c>
      <c r="R2166" s="8">
        <v>0</v>
      </c>
      <c r="S2166" s="8">
        <v>0</v>
      </c>
      <c r="T2166" s="5">
        <v>0</v>
      </c>
      <c r="U2166" s="5">
        <v>0</v>
      </c>
      <c r="V2166" s="5">
        <f>VLOOKUP(A2166,Planilha1!B:E,4,0)</f>
        <v>5.6473514327668077</v>
      </c>
    </row>
    <row r="2167" spans="1:22" x14ac:dyDescent="0.3">
      <c r="A2167" t="str">
        <f t="shared" si="66"/>
        <v>BLISTERITAMBÉ</v>
      </c>
      <c r="B2167" t="str">
        <f t="shared" si="67"/>
        <v>5181223BLISTERITAMBÉ</v>
      </c>
      <c r="C2167" s="5" t="s">
        <v>149</v>
      </c>
      <c r="D2167" s="5" t="s">
        <v>210</v>
      </c>
      <c r="E2167" s="5" t="s">
        <v>210</v>
      </c>
      <c r="F2167" s="5">
        <v>5181223</v>
      </c>
      <c r="G2167" s="5" t="s">
        <v>1221</v>
      </c>
      <c r="H2167" s="5" t="s">
        <v>30</v>
      </c>
      <c r="I2167" s="5" t="s">
        <v>27</v>
      </c>
      <c r="J2167" s="5" t="s">
        <v>199</v>
      </c>
      <c r="K2167" s="6">
        <v>0</v>
      </c>
      <c r="L2167" s="7">
        <v>0</v>
      </c>
      <c r="M2167" s="8">
        <v>10.799999999999999</v>
      </c>
      <c r="N2167" s="8">
        <v>21.599999999999998</v>
      </c>
      <c r="O2167" s="8">
        <v>0</v>
      </c>
      <c r="P2167" s="8">
        <v>0</v>
      </c>
      <c r="Q2167" s="8">
        <v>0</v>
      </c>
      <c r="R2167" s="8">
        <v>0</v>
      </c>
      <c r="S2167" s="8">
        <v>0</v>
      </c>
      <c r="T2167" s="5">
        <v>0</v>
      </c>
      <c r="U2167" s="5">
        <v>0</v>
      </c>
      <c r="V2167" s="5">
        <f>VLOOKUP(A2167,Planilha1!B:E,4,0)</f>
        <v>10.339882680976428</v>
      </c>
    </row>
    <row r="2168" spans="1:22" x14ac:dyDescent="0.3">
      <c r="A2168" t="str">
        <f t="shared" si="66"/>
        <v>MANTEIGA 5KGITAMBÉ</v>
      </c>
      <c r="B2168" t="str">
        <f t="shared" si="67"/>
        <v>5181547MANTEIGA 5KGITAMBÉ</v>
      </c>
      <c r="C2168" s="5" t="s">
        <v>149</v>
      </c>
      <c r="D2168" s="5" t="s">
        <v>150</v>
      </c>
      <c r="E2168" s="5" t="s">
        <v>186</v>
      </c>
      <c r="F2168" s="5">
        <v>5181547</v>
      </c>
      <c r="G2168" s="5" t="s">
        <v>1222</v>
      </c>
      <c r="H2168" s="5" t="s">
        <v>25</v>
      </c>
      <c r="I2168" s="5" t="s">
        <v>27</v>
      </c>
      <c r="J2168" s="5" t="s">
        <v>60</v>
      </c>
      <c r="K2168" s="6">
        <v>0</v>
      </c>
      <c r="L2168" s="7">
        <v>0</v>
      </c>
      <c r="M2168" s="8">
        <v>8.3333333333333339</v>
      </c>
      <c r="N2168" s="8">
        <v>16.666666666666668</v>
      </c>
      <c r="O2168" s="8">
        <v>0</v>
      </c>
      <c r="P2168" s="8">
        <v>0</v>
      </c>
      <c r="Q2168" s="8">
        <v>40</v>
      </c>
      <c r="R2168" s="8">
        <v>0</v>
      </c>
      <c r="S2168" s="8">
        <v>0</v>
      </c>
      <c r="T2168" s="5">
        <v>0</v>
      </c>
      <c r="U2168" s="5">
        <v>50</v>
      </c>
      <c r="V2168" s="5">
        <f>VLOOKUP(A2168,Planilha1!B:E,4,0)</f>
        <v>5.819800475298738</v>
      </c>
    </row>
    <row r="2169" spans="1:22" x14ac:dyDescent="0.3">
      <c r="A2169" t="str">
        <f t="shared" si="66"/>
        <v>LEITE CONDENSADOLACTALIS</v>
      </c>
      <c r="B2169" t="str">
        <f t="shared" si="67"/>
        <v>5030629LEITE CONDENSADOLACTALIS</v>
      </c>
      <c r="C2169" s="5" t="s">
        <v>226</v>
      </c>
      <c r="D2169" s="5" t="s">
        <v>227</v>
      </c>
      <c r="E2169" s="5" t="s">
        <v>231</v>
      </c>
      <c r="F2169" s="5">
        <v>5030629</v>
      </c>
      <c r="G2169" s="5" t="s">
        <v>1220</v>
      </c>
      <c r="H2169" s="5" t="s">
        <v>30</v>
      </c>
      <c r="I2169" s="5" t="s">
        <v>22</v>
      </c>
      <c r="J2169" s="5" t="s">
        <v>33</v>
      </c>
      <c r="K2169" s="6">
        <v>0</v>
      </c>
      <c r="L2169" s="7">
        <v>0</v>
      </c>
      <c r="M2169" s="8">
        <v>24.566666666666666</v>
      </c>
      <c r="N2169" s="8">
        <v>49</v>
      </c>
      <c r="O2169" s="8">
        <v>0</v>
      </c>
      <c r="P2169" s="8">
        <v>0</v>
      </c>
      <c r="Q2169" s="8">
        <v>0</v>
      </c>
      <c r="R2169" s="8">
        <v>0</v>
      </c>
      <c r="S2169" s="8">
        <v>0</v>
      </c>
      <c r="T2169" s="5">
        <v>0</v>
      </c>
      <c r="U2169" s="5">
        <v>0</v>
      </c>
      <c r="V2169" s="5">
        <f>VLOOKUP(A2169,Planilha1!B:E,4,0)</f>
        <v>1.8665071822970765</v>
      </c>
    </row>
    <row r="2170" spans="1:22" x14ac:dyDescent="0.3">
      <c r="A2170" t="str">
        <f t="shared" si="66"/>
        <v>LEITE EM PÓITAMBÉ</v>
      </c>
      <c r="B2170" t="str">
        <f t="shared" si="67"/>
        <v>5226805LEITE EM PÓITAMBÉ</v>
      </c>
      <c r="C2170" s="5" t="s">
        <v>226</v>
      </c>
      <c r="D2170" s="5" t="s">
        <v>727</v>
      </c>
      <c r="E2170" s="5" t="s">
        <v>730</v>
      </c>
      <c r="F2170" s="5">
        <v>5226805</v>
      </c>
      <c r="G2170" s="5" t="s">
        <v>732</v>
      </c>
      <c r="H2170" s="5" t="s">
        <v>25</v>
      </c>
      <c r="I2170" s="5" t="s">
        <v>27</v>
      </c>
      <c r="J2170" s="5" t="s">
        <v>84</v>
      </c>
      <c r="K2170" s="6">
        <v>0</v>
      </c>
      <c r="L2170" s="7">
        <v>1560</v>
      </c>
      <c r="M2170" s="8">
        <v>2246.666666666667</v>
      </c>
      <c r="N2170" s="8">
        <v>2566.6666666666665</v>
      </c>
      <c r="O2170" s="8">
        <v>4938.0064906328398</v>
      </c>
      <c r="P2170" s="8">
        <v>621</v>
      </c>
      <c r="Q2170" s="8">
        <v>4900</v>
      </c>
      <c r="R2170" s="8">
        <v>2422</v>
      </c>
      <c r="S2170" s="8">
        <v>0</v>
      </c>
      <c r="T2170" s="5">
        <v>0</v>
      </c>
      <c r="U2170" s="5">
        <v>0</v>
      </c>
      <c r="V2170" s="5">
        <f>VLOOKUP(A2170,Planilha1!B:E,4,0)</f>
        <v>4.5971522734997743</v>
      </c>
    </row>
    <row r="2171" spans="1:22" x14ac:dyDescent="0.3">
      <c r="A2171" t="str">
        <f t="shared" si="66"/>
        <v>BLISTERITAMBÉ</v>
      </c>
      <c r="B2171" t="str">
        <f t="shared" si="67"/>
        <v>5318875BLISTERITAMBÉ</v>
      </c>
      <c r="C2171" s="5" t="s">
        <v>226</v>
      </c>
      <c r="D2171" s="5" t="s">
        <v>727</v>
      </c>
      <c r="E2171" s="5" t="s">
        <v>730</v>
      </c>
      <c r="F2171" s="5">
        <v>5318875</v>
      </c>
      <c r="G2171" s="5" t="s">
        <v>731</v>
      </c>
      <c r="H2171" s="5" t="s">
        <v>25</v>
      </c>
      <c r="I2171" s="5" t="s">
        <v>27</v>
      </c>
      <c r="J2171" s="5" t="s">
        <v>199</v>
      </c>
      <c r="K2171" s="6">
        <v>0</v>
      </c>
      <c r="L2171" s="7">
        <v>0</v>
      </c>
      <c r="M2171" s="8">
        <v>92.8</v>
      </c>
      <c r="N2171" s="8">
        <v>153.33333333333334</v>
      </c>
      <c r="O2171" s="8">
        <v>0</v>
      </c>
      <c r="P2171" s="8">
        <v>26.88</v>
      </c>
      <c r="Q2171" s="8">
        <v>0</v>
      </c>
      <c r="R2171" s="8">
        <v>90.24</v>
      </c>
      <c r="S2171" s="8">
        <v>100</v>
      </c>
      <c r="T2171" s="5">
        <v>100</v>
      </c>
      <c r="U2171" s="5">
        <v>210</v>
      </c>
      <c r="V2171" s="5">
        <f>VLOOKUP(A2171,Planilha1!B:E,4,0)</f>
        <v>10.339882680976428</v>
      </c>
    </row>
    <row r="2172" spans="1:22" x14ac:dyDescent="0.3">
      <c r="A2172" t="str">
        <f t="shared" si="66"/>
        <v>LEITE EM PÓITAMBÉ</v>
      </c>
      <c r="B2172" t="str">
        <f t="shared" si="67"/>
        <v>5310560LEITE EM PÓITAMBÉ</v>
      </c>
      <c r="C2172" s="5" t="s">
        <v>226</v>
      </c>
      <c r="D2172" s="5" t="s">
        <v>797</v>
      </c>
      <c r="E2172" s="5" t="s">
        <v>753</v>
      </c>
      <c r="F2172" s="5">
        <v>5310560</v>
      </c>
      <c r="G2172" s="5" t="s">
        <v>809</v>
      </c>
      <c r="H2172" s="5" t="s">
        <v>110</v>
      </c>
      <c r="I2172" s="5" t="s">
        <v>27</v>
      </c>
      <c r="J2172" s="5" t="s">
        <v>84</v>
      </c>
      <c r="K2172" s="6">
        <v>0</v>
      </c>
      <c r="L2172" s="7">
        <v>0</v>
      </c>
      <c r="M2172" s="8">
        <v>288.33333333333337</v>
      </c>
      <c r="N2172" s="8">
        <v>253.33333333333334</v>
      </c>
      <c r="O2172" s="8">
        <v>399.91953760946262</v>
      </c>
      <c r="P2172" s="8">
        <v>0</v>
      </c>
      <c r="Q2172" s="8">
        <v>360</v>
      </c>
      <c r="R2172" s="8">
        <v>0</v>
      </c>
      <c r="S2172" s="8">
        <v>0</v>
      </c>
      <c r="T2172" s="5">
        <v>0</v>
      </c>
      <c r="U2172" s="5">
        <v>0</v>
      </c>
      <c r="V2172" s="5">
        <f>VLOOKUP(A2172,Planilha1!B:E,4,0)</f>
        <v>4.5971522734997743</v>
      </c>
    </row>
    <row r="2173" spans="1:22" x14ac:dyDescent="0.3">
      <c r="A2173" t="str">
        <f t="shared" si="66"/>
        <v>COMPOSTOITAMBÉ</v>
      </c>
      <c r="B2173" t="str">
        <f t="shared" si="67"/>
        <v>5162348COMPOSTOITAMBÉ</v>
      </c>
      <c r="C2173" s="5" t="s">
        <v>16</v>
      </c>
      <c r="D2173" s="5" t="s">
        <v>28</v>
      </c>
      <c r="E2173" s="5" t="s">
        <v>23</v>
      </c>
      <c r="F2173" s="5">
        <v>5162348</v>
      </c>
      <c r="G2173" s="5" t="s">
        <v>1223</v>
      </c>
      <c r="H2173" s="5" t="s">
        <v>25</v>
      </c>
      <c r="I2173" s="5" t="s">
        <v>27</v>
      </c>
      <c r="J2173" s="5" t="s">
        <v>26</v>
      </c>
      <c r="K2173" s="6">
        <v>0</v>
      </c>
      <c r="L2173" s="7">
        <v>0</v>
      </c>
      <c r="M2173" s="8">
        <v>316.66666666666669</v>
      </c>
      <c r="N2173" s="8">
        <v>316.66666666666669</v>
      </c>
      <c r="O2173" s="8">
        <v>0</v>
      </c>
      <c r="P2173" s="8">
        <v>0</v>
      </c>
      <c r="Q2173" s="8">
        <v>0</v>
      </c>
      <c r="R2173" s="8">
        <v>0</v>
      </c>
      <c r="S2173" s="8">
        <v>0</v>
      </c>
      <c r="T2173" s="5">
        <v>0</v>
      </c>
      <c r="U2173" s="5">
        <v>0</v>
      </c>
      <c r="V2173" s="5">
        <f>VLOOKUP(A2173,Planilha1!B:E,4,0)</f>
        <v>0.15618217875936719</v>
      </c>
    </row>
    <row r="2174" spans="1:22" x14ac:dyDescent="0.3">
      <c r="A2174" t="str">
        <f t="shared" si="66"/>
        <v>LEITE CONDENSADOLACTALIS</v>
      </c>
      <c r="B2174" t="str">
        <f t="shared" si="67"/>
        <v>5034562LEITE CONDENSADOLACTALIS</v>
      </c>
      <c r="C2174" s="5" t="s">
        <v>226</v>
      </c>
      <c r="D2174" s="5" t="s">
        <v>227</v>
      </c>
      <c r="E2174" s="5" t="s">
        <v>1722</v>
      </c>
      <c r="F2174" s="5">
        <v>5034562</v>
      </c>
      <c r="G2174" s="5" t="s">
        <v>379</v>
      </c>
      <c r="H2174" s="5" t="s">
        <v>30</v>
      </c>
      <c r="I2174" s="5" t="s">
        <v>22</v>
      </c>
      <c r="J2174" s="5" t="s">
        <v>33</v>
      </c>
      <c r="K2174" s="6">
        <v>0</v>
      </c>
      <c r="L2174" s="7">
        <v>0</v>
      </c>
      <c r="M2174" s="8">
        <v>25.666666666666664</v>
      </c>
      <c r="N2174" s="8">
        <v>51.333333333333336</v>
      </c>
      <c r="O2174" s="8">
        <v>70</v>
      </c>
      <c r="P2174" s="8">
        <v>0</v>
      </c>
      <c r="Q2174" s="8">
        <v>0</v>
      </c>
      <c r="R2174" s="8">
        <v>0</v>
      </c>
      <c r="S2174" s="8">
        <v>238</v>
      </c>
      <c r="T2174" s="5">
        <v>238</v>
      </c>
      <c r="U2174" s="5">
        <v>266</v>
      </c>
      <c r="V2174" s="5">
        <f>VLOOKUP(A2174,Planilha1!B:E,4,0)</f>
        <v>1.8665071822970765</v>
      </c>
    </row>
    <row r="2175" spans="1:22" x14ac:dyDescent="0.3">
      <c r="A2175" t="str">
        <f t="shared" si="66"/>
        <v>COMPOSTOITAMBÉ</v>
      </c>
      <c r="B2175" t="str">
        <f t="shared" si="67"/>
        <v>5033323COMPOSTOITAMBÉ</v>
      </c>
      <c r="C2175" s="5" t="s">
        <v>226</v>
      </c>
      <c r="D2175" s="5" t="s">
        <v>752</v>
      </c>
      <c r="E2175" s="5" t="s">
        <v>774</v>
      </c>
      <c r="F2175" s="5">
        <v>5033323</v>
      </c>
      <c r="G2175" s="5" t="s">
        <v>1224</v>
      </c>
      <c r="H2175" s="5" t="s">
        <v>32</v>
      </c>
      <c r="I2175" s="5" t="s">
        <v>27</v>
      </c>
      <c r="J2175" s="5" t="s">
        <v>26</v>
      </c>
      <c r="K2175" s="6">
        <v>0</v>
      </c>
      <c r="L2175" s="7">
        <v>0</v>
      </c>
      <c r="M2175" s="8">
        <v>1161.0000000000002</v>
      </c>
      <c r="N2175" s="8">
        <v>1398.6666666666665</v>
      </c>
      <c r="O2175" s="8">
        <v>0</v>
      </c>
      <c r="P2175" s="8">
        <v>0</v>
      </c>
      <c r="Q2175" s="8">
        <v>110</v>
      </c>
      <c r="R2175" s="8">
        <v>0</v>
      </c>
      <c r="S2175" s="8">
        <v>400</v>
      </c>
      <c r="T2175" s="5">
        <v>400</v>
      </c>
      <c r="U2175" s="5">
        <v>750</v>
      </c>
      <c r="V2175" s="5">
        <f>VLOOKUP(A2175,Planilha1!B:E,4,0)</f>
        <v>0.15618217875936719</v>
      </c>
    </row>
    <row r="2176" spans="1:22" x14ac:dyDescent="0.3">
      <c r="A2176" t="str">
        <f t="shared" si="66"/>
        <v>COMPOSTOITAMBÉ</v>
      </c>
      <c r="B2176" t="str">
        <f t="shared" si="67"/>
        <v>5349287COMPOSTOITAMBÉ</v>
      </c>
      <c r="C2176" s="5" t="s">
        <v>226</v>
      </c>
      <c r="D2176" s="5" t="s">
        <v>727</v>
      </c>
      <c r="E2176" s="5" t="s">
        <v>733</v>
      </c>
      <c r="F2176" s="5">
        <v>5349287</v>
      </c>
      <c r="G2176" s="5" t="s">
        <v>750</v>
      </c>
      <c r="H2176" s="5" t="s">
        <v>25</v>
      </c>
      <c r="I2176" s="5" t="s">
        <v>27</v>
      </c>
      <c r="J2176" s="5" t="s">
        <v>26</v>
      </c>
      <c r="K2176" s="6">
        <v>0</v>
      </c>
      <c r="L2176" s="7">
        <v>0</v>
      </c>
      <c r="M2176" s="8">
        <v>1283.3333333333333</v>
      </c>
      <c r="N2176" s="8">
        <v>900</v>
      </c>
      <c r="O2176" s="8">
        <v>0</v>
      </c>
      <c r="P2176" s="8">
        <v>0</v>
      </c>
      <c r="Q2176" s="8">
        <v>1000</v>
      </c>
      <c r="R2176" s="8">
        <v>0</v>
      </c>
      <c r="S2176" s="8">
        <v>500</v>
      </c>
      <c r="T2176" s="5">
        <v>300</v>
      </c>
      <c r="U2176" s="5">
        <v>1750</v>
      </c>
      <c r="V2176" s="5">
        <f>VLOOKUP(A2176,Planilha1!B:E,4,0)</f>
        <v>0.15618217875936719</v>
      </c>
    </row>
    <row r="2177" spans="1:22" x14ac:dyDescent="0.3">
      <c r="A2177" t="str">
        <f t="shared" si="66"/>
        <v>LEITE EM PÓITAMBÉ</v>
      </c>
      <c r="B2177" t="str">
        <f t="shared" si="67"/>
        <v>5198276LEITE EM PÓITAMBÉ</v>
      </c>
      <c r="C2177" s="5" t="s">
        <v>226</v>
      </c>
      <c r="D2177" s="5" t="s">
        <v>752</v>
      </c>
      <c r="E2177" s="5" t="s">
        <v>774</v>
      </c>
      <c r="F2177" s="5">
        <v>5198276</v>
      </c>
      <c r="G2177" s="5" t="s">
        <v>1225</v>
      </c>
      <c r="H2177" s="5" t="s">
        <v>32</v>
      </c>
      <c r="I2177" s="5" t="s">
        <v>27</v>
      </c>
      <c r="J2177" s="5" t="s">
        <v>84</v>
      </c>
      <c r="K2177" s="6">
        <v>0</v>
      </c>
      <c r="L2177" s="7">
        <v>0</v>
      </c>
      <c r="M2177" s="8">
        <v>41.666666666666671</v>
      </c>
      <c r="N2177" s="8">
        <v>83.333333333333329</v>
      </c>
      <c r="O2177" s="8">
        <v>0</v>
      </c>
      <c r="P2177" s="8">
        <v>0</v>
      </c>
      <c r="Q2177" s="8">
        <v>0</v>
      </c>
      <c r="R2177" s="8">
        <v>0</v>
      </c>
      <c r="S2177" s="8">
        <v>0</v>
      </c>
      <c r="T2177" s="5">
        <v>0</v>
      </c>
      <c r="U2177" s="5">
        <v>0</v>
      </c>
      <c r="V2177" s="5">
        <f>VLOOKUP(A2177,Planilha1!B:E,4,0)</f>
        <v>4.5971522734997743</v>
      </c>
    </row>
    <row r="2178" spans="1:22" x14ac:dyDescent="0.3">
      <c r="A2178" t="str">
        <f t="shared" ref="A2178:A2241" si="68">J2178&amp;I2178</f>
        <v>LEITE CONDENSADOITAMBÉ</v>
      </c>
      <c r="B2178" t="str">
        <f t="shared" si="67"/>
        <v>5198276LEITE CONDENSADOITAMBÉ</v>
      </c>
      <c r="C2178" s="5" t="s">
        <v>226</v>
      </c>
      <c r="D2178" s="5" t="s">
        <v>752</v>
      </c>
      <c r="E2178" s="5" t="s">
        <v>774</v>
      </c>
      <c r="F2178" s="5">
        <v>5198276</v>
      </c>
      <c r="G2178" s="5" t="s">
        <v>1225</v>
      </c>
      <c r="H2178" s="5" t="s">
        <v>32</v>
      </c>
      <c r="I2178" s="5" t="s">
        <v>27</v>
      </c>
      <c r="J2178" s="5" t="s">
        <v>33</v>
      </c>
      <c r="K2178" s="6">
        <v>0</v>
      </c>
      <c r="L2178" s="7">
        <v>0</v>
      </c>
      <c r="M2178" s="8">
        <v>7.1099999999999994</v>
      </c>
      <c r="N2178" s="8">
        <v>14.333333333333334</v>
      </c>
      <c r="O2178" s="8">
        <v>0</v>
      </c>
      <c r="P2178" s="8">
        <v>0</v>
      </c>
      <c r="Q2178" s="8">
        <v>0</v>
      </c>
      <c r="R2178" s="8">
        <v>0</v>
      </c>
      <c r="S2178" s="8">
        <v>0</v>
      </c>
      <c r="T2178" s="5">
        <v>0</v>
      </c>
      <c r="U2178" s="5">
        <v>0</v>
      </c>
      <c r="V2178" s="5">
        <f>VLOOKUP(A2178,Planilha1!B:E,4,0)</f>
        <v>1.4766792698630664</v>
      </c>
    </row>
    <row r="2179" spans="1:22" x14ac:dyDescent="0.3">
      <c r="A2179" t="str">
        <f t="shared" si="68"/>
        <v>LEITE EM PÓITAMBÉ</v>
      </c>
      <c r="B2179" t="str">
        <f t="shared" ref="B2179:B2242" si="69">F2179&amp;J2179&amp;I2179</f>
        <v>5198408LEITE EM PÓITAMBÉ</v>
      </c>
      <c r="C2179" s="5" t="s">
        <v>16</v>
      </c>
      <c r="D2179" s="5" t="s">
        <v>17</v>
      </c>
      <c r="E2179" s="5" t="s">
        <v>44</v>
      </c>
      <c r="F2179" s="5">
        <v>5198408</v>
      </c>
      <c r="G2179" s="5" t="s">
        <v>1226</v>
      </c>
      <c r="H2179" s="5" t="s">
        <v>25</v>
      </c>
      <c r="I2179" s="5" t="s">
        <v>27</v>
      </c>
      <c r="J2179" s="5" t="s">
        <v>84</v>
      </c>
      <c r="K2179" s="6">
        <v>0</v>
      </c>
      <c r="L2179" s="7">
        <v>0</v>
      </c>
      <c r="M2179" s="8">
        <v>50</v>
      </c>
      <c r="N2179" s="8">
        <v>33.333333333333336</v>
      </c>
      <c r="O2179" s="8">
        <v>73.985114457750583</v>
      </c>
      <c r="P2179" s="8">
        <v>0</v>
      </c>
      <c r="Q2179" s="8">
        <v>0</v>
      </c>
      <c r="R2179" s="8">
        <v>0</v>
      </c>
      <c r="S2179" s="8">
        <v>0</v>
      </c>
      <c r="T2179" s="5">
        <v>0</v>
      </c>
      <c r="U2179" s="5">
        <v>0</v>
      </c>
      <c r="V2179" s="5">
        <f>VLOOKUP(A2179,Planilha1!B:E,4,0)</f>
        <v>4.5971522734997743</v>
      </c>
    </row>
    <row r="2180" spans="1:22" x14ac:dyDescent="0.3">
      <c r="A2180" t="str">
        <f t="shared" si="68"/>
        <v>SPREADSITAMBÉ</v>
      </c>
      <c r="B2180" t="str">
        <f t="shared" si="69"/>
        <v>5017576SPREADSITAMBÉ</v>
      </c>
      <c r="C2180" s="5" t="s">
        <v>226</v>
      </c>
      <c r="D2180" s="5" t="s">
        <v>752</v>
      </c>
      <c r="E2180" s="5" t="s">
        <v>774</v>
      </c>
      <c r="F2180" s="5">
        <v>5017576</v>
      </c>
      <c r="G2180" s="5" t="s">
        <v>775</v>
      </c>
      <c r="H2180" s="5" t="s">
        <v>32</v>
      </c>
      <c r="I2180" s="5" t="s">
        <v>27</v>
      </c>
      <c r="J2180" s="5" t="s">
        <v>945</v>
      </c>
      <c r="K2180" s="6">
        <v>0</v>
      </c>
      <c r="L2180" s="7">
        <v>210</v>
      </c>
      <c r="M2180" s="8">
        <v>186.66666666666666</v>
      </c>
      <c r="N2180" s="8">
        <v>193.33333333333334</v>
      </c>
      <c r="O2180" s="8">
        <v>339.93160696804318</v>
      </c>
      <c r="P2180" s="8">
        <v>0</v>
      </c>
      <c r="Q2180" s="8">
        <v>255</v>
      </c>
      <c r="R2180" s="8">
        <v>0</v>
      </c>
      <c r="S2180" s="8">
        <v>200</v>
      </c>
      <c r="T2180" s="5">
        <v>200</v>
      </c>
      <c r="U2180" s="5">
        <v>0</v>
      </c>
      <c r="V2180" s="5">
        <f>VLOOKUP(A2180,Planilha1!B:E,4,0)</f>
        <v>9.2962610783648607</v>
      </c>
    </row>
    <row r="2181" spans="1:22" x14ac:dyDescent="0.3">
      <c r="A2181" t="str">
        <f t="shared" si="68"/>
        <v>BLISTERITAMBÉ</v>
      </c>
      <c r="B2181" t="str">
        <f t="shared" si="69"/>
        <v>5357324BLISTERITAMBÉ</v>
      </c>
      <c r="C2181" s="5" t="s">
        <v>226</v>
      </c>
      <c r="D2181" s="5" t="s">
        <v>797</v>
      </c>
      <c r="E2181" s="5" t="s">
        <v>753</v>
      </c>
      <c r="F2181" s="5">
        <v>5357324</v>
      </c>
      <c r="G2181" s="5" t="s">
        <v>1227</v>
      </c>
      <c r="H2181" s="5" t="s">
        <v>1228</v>
      </c>
      <c r="I2181" s="5" t="s">
        <v>27</v>
      </c>
      <c r="J2181" s="5" t="s">
        <v>199</v>
      </c>
      <c r="K2181" s="6">
        <v>0</v>
      </c>
      <c r="L2181" s="7">
        <v>0</v>
      </c>
      <c r="M2181" s="8">
        <v>6.3999999999999995</v>
      </c>
      <c r="N2181" s="8">
        <v>12.666666666666666</v>
      </c>
      <c r="O2181" s="8">
        <v>0</v>
      </c>
      <c r="P2181" s="8">
        <v>0</v>
      </c>
      <c r="Q2181" s="8">
        <v>0</v>
      </c>
      <c r="R2181" s="8">
        <v>0</v>
      </c>
      <c r="S2181" s="8">
        <v>30</v>
      </c>
      <c r="T2181" s="5">
        <v>30</v>
      </c>
      <c r="U2181" s="5">
        <v>0</v>
      </c>
      <c r="V2181" s="5">
        <f>VLOOKUP(A2181,Planilha1!B:E,4,0)</f>
        <v>10.339882680976428</v>
      </c>
    </row>
    <row r="2182" spans="1:22" x14ac:dyDescent="0.3">
      <c r="A2182" t="str">
        <f t="shared" si="68"/>
        <v>COMPOSTOITAMBÉ</v>
      </c>
      <c r="B2182" t="str">
        <f t="shared" si="69"/>
        <v>5259915COMPOSTOITAMBÉ</v>
      </c>
      <c r="C2182" s="5" t="s">
        <v>226</v>
      </c>
      <c r="D2182" s="5" t="s">
        <v>227</v>
      </c>
      <c r="E2182" s="5" t="s">
        <v>703</v>
      </c>
      <c r="F2182" s="5">
        <v>5259915</v>
      </c>
      <c r="G2182" s="5" t="s">
        <v>720</v>
      </c>
      <c r="H2182" s="5" t="s">
        <v>30</v>
      </c>
      <c r="I2182" s="5" t="s">
        <v>27</v>
      </c>
      <c r="J2182" s="5" t="s">
        <v>26</v>
      </c>
      <c r="K2182" s="6">
        <v>0</v>
      </c>
      <c r="L2182" s="7">
        <v>0</v>
      </c>
      <c r="M2182" s="8">
        <v>41.666666666666671</v>
      </c>
      <c r="N2182" s="8">
        <v>66.666666666666671</v>
      </c>
      <c r="O2182" s="8">
        <v>0</v>
      </c>
      <c r="P2182" s="8">
        <v>0</v>
      </c>
      <c r="Q2182" s="8">
        <v>0</v>
      </c>
      <c r="R2182" s="8">
        <v>0</v>
      </c>
      <c r="S2182" s="8">
        <v>0</v>
      </c>
      <c r="T2182" s="5">
        <v>0</v>
      </c>
      <c r="U2182" s="5">
        <v>0</v>
      </c>
      <c r="V2182" s="5">
        <f>VLOOKUP(A2182,Planilha1!B:E,4,0)</f>
        <v>0.15618217875936719</v>
      </c>
    </row>
    <row r="2183" spans="1:22" x14ac:dyDescent="0.3">
      <c r="A2183" t="str">
        <f t="shared" si="68"/>
        <v>LEITE EM PÓITAMBÉ</v>
      </c>
      <c r="B2183" t="str">
        <f t="shared" si="69"/>
        <v>5229130LEITE EM PÓITAMBÉ</v>
      </c>
      <c r="C2183" s="5" t="s">
        <v>149</v>
      </c>
      <c r="D2183" s="5" t="s">
        <v>210</v>
      </c>
      <c r="E2183" s="5" t="s">
        <v>210</v>
      </c>
      <c r="F2183" s="5">
        <v>5229130</v>
      </c>
      <c r="G2183" s="5" t="s">
        <v>219</v>
      </c>
      <c r="H2183" s="5" t="s">
        <v>30</v>
      </c>
      <c r="I2183" s="5" t="s">
        <v>27</v>
      </c>
      <c r="J2183" s="5" t="s">
        <v>84</v>
      </c>
      <c r="K2183" s="6">
        <v>0</v>
      </c>
      <c r="L2183" s="7">
        <v>620</v>
      </c>
      <c r="M2183" s="8">
        <v>1046.6666666666665</v>
      </c>
      <c r="N2183" s="8">
        <v>816.66666666666663</v>
      </c>
      <c r="O2183" s="8">
        <v>999.79884402365644</v>
      </c>
      <c r="P2183" s="8">
        <v>0</v>
      </c>
      <c r="Q2183" s="8">
        <v>440</v>
      </c>
      <c r="R2183" s="8">
        <v>0</v>
      </c>
      <c r="S2183" s="8">
        <v>0</v>
      </c>
      <c r="T2183" s="5">
        <v>0</v>
      </c>
      <c r="U2183" s="5">
        <v>0</v>
      </c>
      <c r="V2183" s="5">
        <f>VLOOKUP(A2183,Planilha1!B:E,4,0)</f>
        <v>4.5971522734997743</v>
      </c>
    </row>
    <row r="2184" spans="1:22" x14ac:dyDescent="0.3">
      <c r="A2184" t="str">
        <f t="shared" si="68"/>
        <v>LPI 25KGLACTALIS</v>
      </c>
      <c r="B2184" t="str">
        <f t="shared" si="69"/>
        <v>5099077LPI 25KGLACTALIS</v>
      </c>
      <c r="C2184" s="5" t="s">
        <v>16</v>
      </c>
      <c r="D2184" s="5" t="s">
        <v>53</v>
      </c>
      <c r="E2184" s="5" t="s">
        <v>54</v>
      </c>
      <c r="F2184" s="5">
        <v>5099077</v>
      </c>
      <c r="G2184" s="5" t="s">
        <v>1229</v>
      </c>
      <c r="H2184" s="5" t="s">
        <v>113</v>
      </c>
      <c r="I2184" s="5" t="s">
        <v>22</v>
      </c>
      <c r="J2184" s="5" t="s">
        <v>21</v>
      </c>
      <c r="K2184" s="6">
        <v>0</v>
      </c>
      <c r="L2184" s="7">
        <v>0</v>
      </c>
      <c r="M2184" s="8">
        <v>200</v>
      </c>
      <c r="N2184" s="8">
        <v>0</v>
      </c>
      <c r="O2184" s="8">
        <v>280.91783252495736</v>
      </c>
      <c r="P2184" s="8">
        <v>0</v>
      </c>
      <c r="Q2184" s="8">
        <v>0</v>
      </c>
      <c r="R2184" s="8">
        <v>0</v>
      </c>
      <c r="S2184" s="8">
        <v>0</v>
      </c>
      <c r="T2184" s="5">
        <v>0</v>
      </c>
      <c r="U2184" s="5">
        <v>0</v>
      </c>
      <c r="V2184" s="5">
        <f>VLOOKUP(A2184,Planilha1!B:E,4,0)</f>
        <v>-4.3046759024811481</v>
      </c>
    </row>
    <row r="2185" spans="1:22" x14ac:dyDescent="0.3">
      <c r="A2185" t="str">
        <f t="shared" si="68"/>
        <v>IOGURTESLACTALIS</v>
      </c>
      <c r="B2185" t="str">
        <f t="shared" si="69"/>
        <v>5034560IOGURTESLACTALIS</v>
      </c>
      <c r="C2185" s="5" t="s">
        <v>226</v>
      </c>
      <c r="D2185" s="5" t="s">
        <v>227</v>
      </c>
      <c r="E2185" s="5" t="s">
        <v>1722</v>
      </c>
      <c r="F2185" s="5">
        <v>5034560</v>
      </c>
      <c r="G2185" s="5" t="s">
        <v>380</v>
      </c>
      <c r="H2185" s="5" t="s">
        <v>30</v>
      </c>
      <c r="I2185" s="5" t="s">
        <v>22</v>
      </c>
      <c r="J2185" s="5" t="s">
        <v>153</v>
      </c>
      <c r="K2185" s="6">
        <v>0</v>
      </c>
      <c r="L2185" s="7">
        <v>0</v>
      </c>
      <c r="M2185" s="8">
        <v>85</v>
      </c>
      <c r="N2185" s="8">
        <v>29.92</v>
      </c>
      <c r="O2185" s="8">
        <v>41.564700387005146</v>
      </c>
      <c r="P2185" s="8">
        <v>0</v>
      </c>
      <c r="Q2185" s="8">
        <v>0</v>
      </c>
      <c r="R2185" s="8">
        <v>0</v>
      </c>
      <c r="S2185" s="8">
        <v>0</v>
      </c>
      <c r="T2185" s="5">
        <v>0</v>
      </c>
      <c r="U2185" s="5">
        <v>0</v>
      </c>
      <c r="V2185" s="5">
        <f>VLOOKUP(A2185,Planilha1!B:E,4,0)</f>
        <v>3.0503167986984403</v>
      </c>
    </row>
    <row r="2186" spans="1:22" x14ac:dyDescent="0.3">
      <c r="A2186" t="str">
        <f t="shared" si="68"/>
        <v>IOGURTESLACTALIS</v>
      </c>
      <c r="B2186" t="str">
        <f t="shared" si="69"/>
        <v>5034562IOGURTESLACTALIS</v>
      </c>
      <c r="C2186" s="5" t="s">
        <v>226</v>
      </c>
      <c r="D2186" s="5" t="s">
        <v>227</v>
      </c>
      <c r="E2186" s="5" t="s">
        <v>1722</v>
      </c>
      <c r="F2186" s="5">
        <v>5034562</v>
      </c>
      <c r="G2186" s="5" t="s">
        <v>379</v>
      </c>
      <c r="H2186" s="5" t="s">
        <v>30</v>
      </c>
      <c r="I2186" s="5" t="s">
        <v>22</v>
      </c>
      <c r="J2186" s="5" t="s">
        <v>153</v>
      </c>
      <c r="K2186" s="6">
        <v>0</v>
      </c>
      <c r="L2186" s="7">
        <v>0</v>
      </c>
      <c r="M2186" s="8">
        <v>3.0666666666666664</v>
      </c>
      <c r="N2186" s="8">
        <v>6.1333333333333329</v>
      </c>
      <c r="O2186" s="8">
        <v>4.0402210823124003</v>
      </c>
      <c r="P2186" s="8">
        <v>0</v>
      </c>
      <c r="Q2186" s="8">
        <v>0</v>
      </c>
      <c r="R2186" s="8">
        <v>0</v>
      </c>
      <c r="S2186" s="8">
        <v>0</v>
      </c>
      <c r="T2186" s="5">
        <v>0</v>
      </c>
      <c r="U2186" s="5">
        <v>0</v>
      </c>
      <c r="V2186" s="5">
        <f>VLOOKUP(A2186,Planilha1!B:E,4,0)</f>
        <v>3.0503167986984403</v>
      </c>
    </row>
    <row r="2187" spans="1:22" x14ac:dyDescent="0.3">
      <c r="A2187" t="str">
        <f t="shared" si="68"/>
        <v>CREME UHTITAMBÉ</v>
      </c>
      <c r="B2187" t="str">
        <f t="shared" si="69"/>
        <v>5229467CREME UHTITAMBÉ</v>
      </c>
      <c r="C2187" s="5" t="s">
        <v>16</v>
      </c>
      <c r="D2187" s="5" t="s">
        <v>53</v>
      </c>
      <c r="E2187" s="5" t="s">
        <v>54</v>
      </c>
      <c r="F2187" s="5">
        <v>5229467</v>
      </c>
      <c r="G2187" s="5" t="s">
        <v>139</v>
      </c>
      <c r="H2187" s="5" t="s">
        <v>113</v>
      </c>
      <c r="I2187" s="5" t="s">
        <v>27</v>
      </c>
      <c r="J2187" s="5" t="s">
        <v>34</v>
      </c>
      <c r="K2187" s="6">
        <v>0</v>
      </c>
      <c r="L2187" s="7">
        <v>0</v>
      </c>
      <c r="M2187" s="8">
        <v>0</v>
      </c>
      <c r="N2187" s="8">
        <v>0</v>
      </c>
      <c r="O2187" s="8">
        <v>0</v>
      </c>
      <c r="P2187" s="8">
        <v>0</v>
      </c>
      <c r="Q2187" s="8">
        <v>0</v>
      </c>
      <c r="R2187" s="8">
        <v>0</v>
      </c>
      <c r="S2187" s="8">
        <v>0</v>
      </c>
      <c r="T2187" s="5">
        <v>0</v>
      </c>
      <c r="U2187" s="5">
        <v>0</v>
      </c>
      <c r="V2187" s="5">
        <f>VLOOKUP(A2187,Planilha1!B:E,4,0)</f>
        <v>1.2362540170747773</v>
      </c>
    </row>
    <row r="2188" spans="1:22" x14ac:dyDescent="0.3">
      <c r="A2188" t="str">
        <f t="shared" si="68"/>
        <v>IOGURTESLACTALIS</v>
      </c>
      <c r="B2188" t="str">
        <f t="shared" si="69"/>
        <v>5060465IOGURTESLACTALIS</v>
      </c>
      <c r="C2188" s="5" t="s">
        <v>226</v>
      </c>
      <c r="D2188" s="5" t="s">
        <v>227</v>
      </c>
      <c r="E2188" s="5" t="s">
        <v>1722</v>
      </c>
      <c r="F2188" s="5">
        <v>5060465</v>
      </c>
      <c r="G2188" s="5" t="s">
        <v>241</v>
      </c>
      <c r="H2188" s="5" t="s">
        <v>30</v>
      </c>
      <c r="I2188" s="5" t="s">
        <v>22</v>
      </c>
      <c r="J2188" s="5" t="s">
        <v>153</v>
      </c>
      <c r="K2188" s="6">
        <v>0</v>
      </c>
      <c r="L2188" s="7">
        <v>0</v>
      </c>
      <c r="M2188" s="8">
        <v>78.88</v>
      </c>
      <c r="N2188" s="8">
        <v>68</v>
      </c>
      <c r="O2188" s="8">
        <v>60.808461451841495</v>
      </c>
      <c r="P2188" s="8">
        <v>0</v>
      </c>
      <c r="Q2188" s="8">
        <v>80.64</v>
      </c>
      <c r="R2188" s="8">
        <v>0</v>
      </c>
      <c r="S2188" s="8">
        <v>0</v>
      </c>
      <c r="T2188" s="5">
        <v>0</v>
      </c>
      <c r="U2188" s="5">
        <v>31</v>
      </c>
      <c r="V2188" s="5">
        <f>VLOOKUP(A2188,Planilha1!B:E,4,0)</f>
        <v>3.0503167986984403</v>
      </c>
    </row>
    <row r="2189" spans="1:22" x14ac:dyDescent="0.3">
      <c r="A2189" t="str">
        <f t="shared" si="68"/>
        <v>QUEIJOSITAMBÉ</v>
      </c>
      <c r="B2189" t="str">
        <f t="shared" si="69"/>
        <v>5318875QUEIJOSITAMBÉ</v>
      </c>
      <c r="C2189" s="5" t="s">
        <v>226</v>
      </c>
      <c r="D2189" s="5" t="s">
        <v>727</v>
      </c>
      <c r="E2189" s="5" t="s">
        <v>730</v>
      </c>
      <c r="F2189" s="5">
        <v>5318875</v>
      </c>
      <c r="G2189" s="5" t="s">
        <v>731</v>
      </c>
      <c r="H2189" s="5" t="s">
        <v>25</v>
      </c>
      <c r="I2189" s="5" t="s">
        <v>27</v>
      </c>
      <c r="J2189" s="5" t="s">
        <v>63</v>
      </c>
      <c r="K2189" s="6">
        <v>0</v>
      </c>
      <c r="L2189" s="7">
        <v>0</v>
      </c>
      <c r="M2189" s="8">
        <v>6</v>
      </c>
      <c r="N2189" s="8">
        <v>12</v>
      </c>
      <c r="O2189" s="8">
        <v>0</v>
      </c>
      <c r="P2189" s="8">
        <v>7</v>
      </c>
      <c r="Q2189" s="8">
        <v>0</v>
      </c>
      <c r="R2189" s="8">
        <v>7</v>
      </c>
      <c r="S2189" s="8">
        <v>0</v>
      </c>
      <c r="T2189" s="5">
        <v>0</v>
      </c>
      <c r="U2189" s="5">
        <v>0</v>
      </c>
      <c r="V2189" s="5">
        <f>VLOOKUP(A2189,Planilha1!B:E,4,0)</f>
        <v>12.008237327188938</v>
      </c>
    </row>
    <row r="2190" spans="1:22" x14ac:dyDescent="0.3">
      <c r="A2190" t="str">
        <f t="shared" si="68"/>
        <v>LEITE EM PÓITAMBÉ</v>
      </c>
      <c r="B2190" t="str">
        <f t="shared" si="69"/>
        <v>5014667LEITE EM PÓITAMBÉ</v>
      </c>
      <c r="C2190" s="5" t="s">
        <v>226</v>
      </c>
      <c r="D2190" s="5" t="s">
        <v>903</v>
      </c>
      <c r="E2190" s="5" t="s">
        <v>904</v>
      </c>
      <c r="F2190" s="5">
        <v>5014667</v>
      </c>
      <c r="G2190" s="5" t="s">
        <v>1230</v>
      </c>
      <c r="H2190" s="5" t="s">
        <v>113</v>
      </c>
      <c r="I2190" s="5" t="s">
        <v>27</v>
      </c>
      <c r="J2190" s="5" t="s">
        <v>84</v>
      </c>
      <c r="K2190" s="6">
        <v>0</v>
      </c>
      <c r="L2190" s="7">
        <v>0</v>
      </c>
      <c r="M2190" s="8">
        <v>370</v>
      </c>
      <c r="N2190" s="8">
        <v>323.66666666666663</v>
      </c>
      <c r="O2190" s="8">
        <v>0</v>
      </c>
      <c r="P2190" s="8">
        <v>0</v>
      </c>
      <c r="Q2190" s="8">
        <v>0</v>
      </c>
      <c r="R2190" s="8">
        <v>0</v>
      </c>
      <c r="S2190" s="8">
        <v>0</v>
      </c>
      <c r="T2190" s="5">
        <v>0</v>
      </c>
      <c r="U2190" s="5">
        <v>0</v>
      </c>
      <c r="V2190" s="5">
        <f>VLOOKUP(A2190,Planilha1!B:E,4,0)</f>
        <v>4.5971522734997743</v>
      </c>
    </row>
    <row r="2191" spans="1:22" x14ac:dyDescent="0.3">
      <c r="A2191" t="str">
        <f t="shared" si="68"/>
        <v>LEITE EM PÓITAMBÉ</v>
      </c>
      <c r="B2191" t="str">
        <f t="shared" si="69"/>
        <v>5179610LEITE EM PÓITAMBÉ</v>
      </c>
      <c r="C2191" s="5" t="s">
        <v>226</v>
      </c>
      <c r="D2191" s="5" t="s">
        <v>797</v>
      </c>
      <c r="E2191" s="5" t="s">
        <v>753</v>
      </c>
      <c r="F2191" s="5">
        <v>5179610</v>
      </c>
      <c r="G2191" s="5" t="s">
        <v>803</v>
      </c>
      <c r="H2191" s="5" t="s">
        <v>110</v>
      </c>
      <c r="I2191" s="5" t="s">
        <v>27</v>
      </c>
      <c r="J2191" s="5" t="s">
        <v>84</v>
      </c>
      <c r="K2191" s="6">
        <v>0</v>
      </c>
      <c r="L2191" s="7">
        <v>150</v>
      </c>
      <c r="M2191" s="8">
        <v>51.666666666666671</v>
      </c>
      <c r="N2191" s="8">
        <v>36.666666666666664</v>
      </c>
      <c r="O2191" s="8">
        <v>36.992557228875292</v>
      </c>
      <c r="P2191" s="8">
        <v>0</v>
      </c>
      <c r="Q2191" s="8">
        <v>50</v>
      </c>
      <c r="R2191" s="8">
        <v>0</v>
      </c>
      <c r="S2191" s="8">
        <v>0</v>
      </c>
      <c r="T2191" s="5">
        <v>0</v>
      </c>
      <c r="U2191" s="5">
        <v>0</v>
      </c>
      <c r="V2191" s="5">
        <f>VLOOKUP(A2191,Planilha1!B:E,4,0)</f>
        <v>4.5971522734997743</v>
      </c>
    </row>
    <row r="2192" spans="1:22" x14ac:dyDescent="0.3">
      <c r="A2192" t="str">
        <f t="shared" si="68"/>
        <v>IOGURTESITAMBÉ</v>
      </c>
      <c r="B2192" t="str">
        <f t="shared" si="69"/>
        <v>5002549IOGURTESITAMBÉ</v>
      </c>
      <c r="C2192" s="5" t="s">
        <v>149</v>
      </c>
      <c r="D2192" s="5" t="s">
        <v>210</v>
      </c>
      <c r="E2192" s="5" t="s">
        <v>210</v>
      </c>
      <c r="F2192" s="5">
        <v>5002549</v>
      </c>
      <c r="G2192" s="5" t="s">
        <v>212</v>
      </c>
      <c r="H2192" s="5" t="s">
        <v>30</v>
      </c>
      <c r="I2192" s="5" t="s">
        <v>27</v>
      </c>
      <c r="J2192" s="5" t="s">
        <v>153</v>
      </c>
      <c r="K2192" s="6">
        <v>0</v>
      </c>
      <c r="L2192" s="7">
        <v>0</v>
      </c>
      <c r="M2192" s="8">
        <v>616.68000000000006</v>
      </c>
      <c r="N2192" s="8">
        <v>373.66666666666669</v>
      </c>
      <c r="O2192" s="8">
        <v>0</v>
      </c>
      <c r="P2192" s="8">
        <v>0</v>
      </c>
      <c r="Q2192" s="8">
        <v>1017.36</v>
      </c>
      <c r="R2192" s="8">
        <v>0</v>
      </c>
      <c r="S2192" s="8">
        <v>0</v>
      </c>
      <c r="T2192" s="5">
        <v>0</v>
      </c>
      <c r="U2192" s="5">
        <v>0</v>
      </c>
      <c r="V2192" s="5">
        <f>VLOOKUP(A2192,Planilha1!B:E,4,0)</f>
        <v>3.2554443184120534</v>
      </c>
    </row>
    <row r="2193" spans="1:22" x14ac:dyDescent="0.3">
      <c r="A2193" t="str">
        <f t="shared" si="68"/>
        <v>LEITE EM PÓITAMBÉ</v>
      </c>
      <c r="B2193" t="str">
        <f t="shared" si="69"/>
        <v>5004685LEITE EM PÓITAMBÉ</v>
      </c>
      <c r="C2193" s="5" t="s">
        <v>226</v>
      </c>
      <c r="D2193" s="5" t="s">
        <v>227</v>
      </c>
      <c r="E2193" s="5" t="s">
        <v>228</v>
      </c>
      <c r="F2193" s="5">
        <v>5004685</v>
      </c>
      <c r="G2193" s="5" t="s">
        <v>229</v>
      </c>
      <c r="H2193" s="5" t="s">
        <v>30</v>
      </c>
      <c r="I2193" s="5" t="s">
        <v>27</v>
      </c>
      <c r="J2193" s="5" t="s">
        <v>84</v>
      </c>
      <c r="K2193" s="6">
        <v>0</v>
      </c>
      <c r="L2193" s="7">
        <v>0</v>
      </c>
      <c r="M2193" s="8">
        <v>1400</v>
      </c>
      <c r="N2193" s="8">
        <v>1633.3333333333333</v>
      </c>
      <c r="O2193" s="8">
        <v>1549.6882082366676</v>
      </c>
      <c r="P2193" s="8">
        <v>306</v>
      </c>
      <c r="Q2193" s="8">
        <v>0</v>
      </c>
      <c r="R2193" s="8">
        <v>429</v>
      </c>
      <c r="S2193" s="8">
        <v>0</v>
      </c>
      <c r="T2193" s="5">
        <v>0</v>
      </c>
      <c r="U2193" s="5">
        <v>0</v>
      </c>
      <c r="V2193" s="5">
        <f>VLOOKUP(A2193,Planilha1!B:E,4,0)</f>
        <v>4.5971522734997743</v>
      </c>
    </row>
    <row r="2194" spans="1:22" x14ac:dyDescent="0.3">
      <c r="A2194" t="str">
        <f t="shared" si="68"/>
        <v>BLISTERITAMBÉ</v>
      </c>
      <c r="B2194" t="str">
        <f t="shared" si="69"/>
        <v>5320070BLISTERITAMBÉ</v>
      </c>
      <c r="C2194" s="5" t="s">
        <v>226</v>
      </c>
      <c r="D2194" s="5" t="s">
        <v>752</v>
      </c>
      <c r="E2194" s="5" t="s">
        <v>767</v>
      </c>
      <c r="F2194" s="5">
        <v>5320070</v>
      </c>
      <c r="G2194" s="5" t="s">
        <v>1041</v>
      </c>
      <c r="H2194" s="5" t="s">
        <v>154</v>
      </c>
      <c r="I2194" s="5" t="s">
        <v>27</v>
      </c>
      <c r="J2194" s="5" t="s">
        <v>199</v>
      </c>
      <c r="K2194" s="6">
        <v>0</v>
      </c>
      <c r="L2194" s="7">
        <v>0</v>
      </c>
      <c r="M2194" s="8">
        <v>7.3599999999999994</v>
      </c>
      <c r="N2194" s="8">
        <v>14.666666666666666</v>
      </c>
      <c r="O2194" s="8">
        <v>0</v>
      </c>
      <c r="P2194" s="8">
        <v>0</v>
      </c>
      <c r="Q2194" s="8">
        <v>0</v>
      </c>
      <c r="R2194" s="8">
        <v>0</v>
      </c>
      <c r="S2194" s="8">
        <v>0</v>
      </c>
      <c r="T2194" s="5">
        <v>0</v>
      </c>
      <c r="U2194" s="5">
        <v>0</v>
      </c>
      <c r="V2194" s="5">
        <f>VLOOKUP(A2194,Planilha1!B:E,4,0)</f>
        <v>10.339882680976428</v>
      </c>
    </row>
    <row r="2195" spans="1:22" x14ac:dyDescent="0.3">
      <c r="A2195" t="str">
        <f t="shared" si="68"/>
        <v>LPI 25KGITAMBÉ</v>
      </c>
      <c r="B2195" t="str">
        <f t="shared" si="69"/>
        <v>5227283LPI 25KGITAMBÉ</v>
      </c>
      <c r="C2195" s="5" t="s">
        <v>16</v>
      </c>
      <c r="D2195" s="5" t="s">
        <v>17</v>
      </c>
      <c r="E2195" s="5" t="s">
        <v>44</v>
      </c>
      <c r="F2195" s="5">
        <v>5227283</v>
      </c>
      <c r="G2195" s="5" t="s">
        <v>75</v>
      </c>
      <c r="H2195" s="5" t="s">
        <v>25</v>
      </c>
      <c r="I2195" s="5" t="s">
        <v>27</v>
      </c>
      <c r="J2195" s="5" t="s">
        <v>21</v>
      </c>
      <c r="K2195" s="6">
        <v>0</v>
      </c>
      <c r="L2195" s="7">
        <v>0</v>
      </c>
      <c r="M2195" s="8">
        <v>16.666666666666668</v>
      </c>
      <c r="N2195" s="8">
        <v>16.666666666666668</v>
      </c>
      <c r="O2195" s="8">
        <v>0</v>
      </c>
      <c r="P2195" s="8">
        <v>0</v>
      </c>
      <c r="Q2195" s="8">
        <v>0</v>
      </c>
      <c r="R2195" s="8">
        <v>0</v>
      </c>
      <c r="S2195" s="8">
        <v>0</v>
      </c>
      <c r="T2195" s="5">
        <v>0</v>
      </c>
      <c r="U2195" s="5">
        <v>0</v>
      </c>
      <c r="V2195" s="5">
        <f>VLOOKUP(A2195,Planilha1!B:E,4,0)</f>
        <v>-1.218192805504376</v>
      </c>
    </row>
    <row r="2196" spans="1:22" x14ac:dyDescent="0.3">
      <c r="A2196" t="str">
        <f t="shared" si="68"/>
        <v>DOCE DE LEITEITAMBÉ</v>
      </c>
      <c r="B2196" t="str">
        <f t="shared" si="69"/>
        <v>5167678DOCE DE LEITEITAMBÉ</v>
      </c>
      <c r="C2196" s="5" t="s">
        <v>226</v>
      </c>
      <c r="D2196" s="5" t="s">
        <v>797</v>
      </c>
      <c r="E2196" s="5" t="s">
        <v>753</v>
      </c>
      <c r="F2196" s="5">
        <v>5167678</v>
      </c>
      <c r="G2196" s="5" t="s">
        <v>1049</v>
      </c>
      <c r="H2196" s="5" t="s">
        <v>20</v>
      </c>
      <c r="I2196" s="5" t="s">
        <v>27</v>
      </c>
      <c r="J2196" s="5" t="s">
        <v>46</v>
      </c>
      <c r="K2196" s="6">
        <v>0</v>
      </c>
      <c r="L2196" s="7">
        <v>0</v>
      </c>
      <c r="M2196" s="8">
        <v>250.00000000000003</v>
      </c>
      <c r="N2196" s="8">
        <v>183.33333333333334</v>
      </c>
      <c r="O2196" s="8">
        <v>0</v>
      </c>
      <c r="P2196" s="8">
        <v>0</v>
      </c>
      <c r="Q2196" s="8">
        <v>0</v>
      </c>
      <c r="R2196" s="8">
        <v>0</v>
      </c>
      <c r="S2196" s="8">
        <v>300</v>
      </c>
      <c r="T2196" s="5">
        <v>300</v>
      </c>
      <c r="U2196" s="5">
        <v>500</v>
      </c>
      <c r="V2196" s="5">
        <f>VLOOKUP(A2196,Planilha1!B:E,4,0)</f>
        <v>5.8210743907543439</v>
      </c>
    </row>
    <row r="2197" spans="1:22" x14ac:dyDescent="0.3">
      <c r="A2197" t="str">
        <f t="shared" si="68"/>
        <v>MANTEIGA 5KGITAMBÉ</v>
      </c>
      <c r="B2197" t="str">
        <f t="shared" si="69"/>
        <v>5350695MANTEIGA 5KGITAMBÉ</v>
      </c>
      <c r="C2197" s="5" t="s">
        <v>149</v>
      </c>
      <c r="D2197" s="5" t="s">
        <v>150</v>
      </c>
      <c r="E2197" s="5" t="s">
        <v>186</v>
      </c>
      <c r="F2197" s="5">
        <v>5350695</v>
      </c>
      <c r="G2197" s="5" t="s">
        <v>1231</v>
      </c>
      <c r="H2197" s="5" t="s">
        <v>30</v>
      </c>
      <c r="I2197" s="5" t="s">
        <v>27</v>
      </c>
      <c r="J2197" s="5" t="s">
        <v>60</v>
      </c>
      <c r="K2197" s="6">
        <v>0</v>
      </c>
      <c r="L2197" s="7">
        <v>0</v>
      </c>
      <c r="M2197" s="8">
        <v>0.83333333333333337</v>
      </c>
      <c r="N2197" s="8">
        <v>1.6666666666666667</v>
      </c>
      <c r="O2197" s="8">
        <v>0</v>
      </c>
      <c r="P2197" s="8">
        <v>0</v>
      </c>
      <c r="Q2197" s="8">
        <v>0</v>
      </c>
      <c r="R2197" s="8">
        <v>0</v>
      </c>
      <c r="S2197" s="8">
        <v>0</v>
      </c>
      <c r="T2197" s="5">
        <v>0</v>
      </c>
      <c r="U2197" s="5">
        <v>0</v>
      </c>
      <c r="V2197" s="5">
        <f>VLOOKUP(A2197,Planilha1!B:E,4,0)</f>
        <v>5.819800475298738</v>
      </c>
    </row>
    <row r="2198" spans="1:22" x14ac:dyDescent="0.3">
      <c r="A2198" t="str">
        <f t="shared" si="68"/>
        <v>COMPOSTOITAMBÉ</v>
      </c>
      <c r="B2198" t="str">
        <f t="shared" si="69"/>
        <v>5115189COMPOSTOITAMBÉ</v>
      </c>
      <c r="C2198" s="5" t="s">
        <v>226</v>
      </c>
      <c r="D2198" s="5" t="s">
        <v>797</v>
      </c>
      <c r="E2198" s="5" t="s">
        <v>810</v>
      </c>
      <c r="F2198" s="5">
        <v>5115189</v>
      </c>
      <c r="G2198" s="5" t="s">
        <v>811</v>
      </c>
      <c r="H2198" s="5" t="s">
        <v>20</v>
      </c>
      <c r="I2198" s="5" t="s">
        <v>27</v>
      </c>
      <c r="J2198" s="5" t="s">
        <v>26</v>
      </c>
      <c r="K2198" s="6">
        <v>0</v>
      </c>
      <c r="L2198" s="7">
        <v>0</v>
      </c>
      <c r="M2198" s="8">
        <v>283.33333333333331</v>
      </c>
      <c r="N2198" s="8">
        <v>566.66666666666663</v>
      </c>
      <c r="O2198" s="8">
        <v>0</v>
      </c>
      <c r="P2198" s="8">
        <v>55</v>
      </c>
      <c r="Q2198" s="8">
        <v>0</v>
      </c>
      <c r="R2198" s="8">
        <v>37</v>
      </c>
      <c r="S2198" s="8">
        <v>0</v>
      </c>
      <c r="T2198" s="5">
        <v>0</v>
      </c>
      <c r="U2198" s="5">
        <v>400</v>
      </c>
      <c r="V2198" s="5">
        <f>VLOOKUP(A2198,Planilha1!B:E,4,0)</f>
        <v>0.15618217875936719</v>
      </c>
    </row>
    <row r="2199" spans="1:22" x14ac:dyDescent="0.3">
      <c r="A2199" t="str">
        <f t="shared" si="68"/>
        <v>IOGURTESITAMBÉ</v>
      </c>
      <c r="B2199" t="str">
        <f t="shared" si="69"/>
        <v>5051163IOGURTESITAMBÉ</v>
      </c>
      <c r="C2199" s="5" t="s">
        <v>226</v>
      </c>
      <c r="D2199" s="5" t="s">
        <v>727</v>
      </c>
      <c r="E2199" s="5" t="s">
        <v>733</v>
      </c>
      <c r="F2199" s="5">
        <v>5051163</v>
      </c>
      <c r="G2199" s="5" t="s">
        <v>739</v>
      </c>
      <c r="H2199" s="5" t="s">
        <v>25</v>
      </c>
      <c r="I2199" s="5" t="s">
        <v>27</v>
      </c>
      <c r="J2199" s="5" t="s">
        <v>153</v>
      </c>
      <c r="K2199" s="6">
        <v>0</v>
      </c>
      <c r="L2199" s="7">
        <v>290.76</v>
      </c>
      <c r="M2199" s="8">
        <v>129</v>
      </c>
      <c r="N2199" s="8">
        <v>197.33333333333334</v>
      </c>
      <c r="O2199" s="8">
        <v>11.997586128283878</v>
      </c>
      <c r="P2199" s="8">
        <v>0</v>
      </c>
      <c r="Q2199" s="8">
        <v>45.839999999999996</v>
      </c>
      <c r="R2199" s="8">
        <v>0</v>
      </c>
      <c r="S2199" s="8">
        <v>0</v>
      </c>
      <c r="T2199" s="5">
        <v>0</v>
      </c>
      <c r="U2199" s="5">
        <v>0</v>
      </c>
      <c r="V2199" s="5">
        <f>VLOOKUP(A2199,Planilha1!B:E,4,0)</f>
        <v>3.2554443184120534</v>
      </c>
    </row>
    <row r="2200" spans="1:22" x14ac:dyDescent="0.3">
      <c r="A2200" t="str">
        <f t="shared" si="68"/>
        <v>LEITE EM PÓITAMBÉ</v>
      </c>
      <c r="B2200" t="str">
        <f t="shared" si="69"/>
        <v>5023770LEITE EM PÓITAMBÉ</v>
      </c>
      <c r="C2200" s="5" t="s">
        <v>226</v>
      </c>
      <c r="D2200" s="5" t="s">
        <v>833</v>
      </c>
      <c r="E2200" s="5" t="s">
        <v>875</v>
      </c>
      <c r="F2200" s="5">
        <v>5023770</v>
      </c>
      <c r="G2200" s="5" t="s">
        <v>876</v>
      </c>
      <c r="H2200" s="5" t="s">
        <v>91</v>
      </c>
      <c r="I2200" s="5" t="s">
        <v>27</v>
      </c>
      <c r="J2200" s="5" t="s">
        <v>84</v>
      </c>
      <c r="K2200" s="6">
        <v>0</v>
      </c>
      <c r="L2200" s="7">
        <v>2203</v>
      </c>
      <c r="M2200" s="8">
        <v>1018.1666666666667</v>
      </c>
      <c r="N2200" s="8">
        <v>1503</v>
      </c>
      <c r="O2200" s="8">
        <v>110.97767168662587</v>
      </c>
      <c r="P2200" s="8">
        <v>0</v>
      </c>
      <c r="Q2200" s="8">
        <v>0</v>
      </c>
      <c r="R2200" s="8">
        <v>0</v>
      </c>
      <c r="S2200" s="8">
        <v>0</v>
      </c>
      <c r="T2200" s="5">
        <v>0</v>
      </c>
      <c r="U2200" s="5">
        <v>0</v>
      </c>
      <c r="V2200" s="5">
        <f>VLOOKUP(A2200,Planilha1!B:E,4,0)</f>
        <v>4.5971522734997743</v>
      </c>
    </row>
    <row r="2201" spans="1:22" x14ac:dyDescent="0.3">
      <c r="A2201" t="str">
        <f t="shared" si="68"/>
        <v>CREME UHTITAMBÉ</v>
      </c>
      <c r="B2201" t="str">
        <f t="shared" si="69"/>
        <v>5167678CREME UHTITAMBÉ</v>
      </c>
      <c r="C2201" s="5" t="s">
        <v>226</v>
      </c>
      <c r="D2201" s="5" t="s">
        <v>797</v>
      </c>
      <c r="E2201" s="5" t="s">
        <v>753</v>
      </c>
      <c r="F2201" s="5">
        <v>5167678</v>
      </c>
      <c r="G2201" s="5" t="s">
        <v>1049</v>
      </c>
      <c r="H2201" s="5" t="s">
        <v>20</v>
      </c>
      <c r="I2201" s="5" t="s">
        <v>27</v>
      </c>
      <c r="J2201" s="5" t="s">
        <v>34</v>
      </c>
      <c r="K2201" s="6">
        <v>0</v>
      </c>
      <c r="L2201" s="7">
        <v>0</v>
      </c>
      <c r="M2201" s="8">
        <v>90.9</v>
      </c>
      <c r="N2201" s="8">
        <v>121</v>
      </c>
      <c r="O2201" s="8">
        <v>0</v>
      </c>
      <c r="P2201" s="8">
        <v>0</v>
      </c>
      <c r="Q2201" s="8">
        <v>0</v>
      </c>
      <c r="R2201" s="8">
        <v>0</v>
      </c>
      <c r="S2201" s="8">
        <v>200</v>
      </c>
      <c r="T2201" s="5">
        <v>200</v>
      </c>
      <c r="U2201" s="5">
        <v>242</v>
      </c>
      <c r="V2201" s="5">
        <f>VLOOKUP(A2201,Planilha1!B:E,4,0)</f>
        <v>1.2362540170747773</v>
      </c>
    </row>
    <row r="2202" spans="1:22" x14ac:dyDescent="0.3">
      <c r="A2202" t="str">
        <f t="shared" si="68"/>
        <v>LEITE EM PÓITAMBÉ</v>
      </c>
      <c r="B2202" t="str">
        <f t="shared" si="69"/>
        <v>5168007LEITE EM PÓITAMBÉ</v>
      </c>
      <c r="C2202" s="5" t="s">
        <v>16</v>
      </c>
      <c r="D2202" s="5" t="s">
        <v>53</v>
      </c>
      <c r="E2202" s="5" t="s">
        <v>54</v>
      </c>
      <c r="F2202" s="5">
        <v>5168007</v>
      </c>
      <c r="G2202" s="5" t="s">
        <v>131</v>
      </c>
      <c r="H2202" s="5" t="s">
        <v>25</v>
      </c>
      <c r="I2202" s="5" t="s">
        <v>27</v>
      </c>
      <c r="J2202" s="5" t="s">
        <v>84</v>
      </c>
      <c r="K2202" s="6">
        <v>0</v>
      </c>
      <c r="L2202" s="7">
        <v>0</v>
      </c>
      <c r="M2202" s="8">
        <v>12.600000000000001</v>
      </c>
      <c r="N2202" s="8">
        <v>8.3333333333333339</v>
      </c>
      <c r="O2202" s="8">
        <v>27.994367632662382</v>
      </c>
      <c r="P2202" s="8">
        <v>0</v>
      </c>
      <c r="Q2202" s="8">
        <v>0</v>
      </c>
      <c r="R2202" s="8">
        <v>0</v>
      </c>
      <c r="S2202" s="8">
        <v>0</v>
      </c>
      <c r="T2202" s="5">
        <v>0</v>
      </c>
      <c r="U2202" s="5">
        <v>0</v>
      </c>
      <c r="V2202" s="5">
        <f>VLOOKUP(A2202,Planilha1!B:E,4,0)</f>
        <v>4.5971522734997743</v>
      </c>
    </row>
    <row r="2203" spans="1:22" x14ac:dyDescent="0.3">
      <c r="A2203" t="str">
        <f t="shared" si="68"/>
        <v>LEITE EM PÓITAMBÉ</v>
      </c>
      <c r="B2203" t="str">
        <f t="shared" si="69"/>
        <v>5229525LEITE EM PÓITAMBÉ</v>
      </c>
      <c r="C2203" s="5" t="s">
        <v>226</v>
      </c>
      <c r="D2203" s="5" t="s">
        <v>903</v>
      </c>
      <c r="E2203" s="5" t="s">
        <v>904</v>
      </c>
      <c r="F2203" s="5">
        <v>5229525</v>
      </c>
      <c r="G2203" s="5" t="s">
        <v>930</v>
      </c>
      <c r="H2203" s="5" t="s">
        <v>113</v>
      </c>
      <c r="I2203" s="5" t="s">
        <v>27</v>
      </c>
      <c r="J2203" s="5" t="s">
        <v>84</v>
      </c>
      <c r="K2203" s="6">
        <v>0</v>
      </c>
      <c r="L2203" s="7">
        <v>0</v>
      </c>
      <c r="M2203" s="8">
        <v>25</v>
      </c>
      <c r="N2203" s="8">
        <v>20</v>
      </c>
      <c r="O2203" s="8">
        <v>18.996178036449471</v>
      </c>
      <c r="P2203" s="8">
        <v>0</v>
      </c>
      <c r="Q2203" s="8">
        <v>0</v>
      </c>
      <c r="R2203" s="8">
        <v>0</v>
      </c>
      <c r="S2203" s="8">
        <v>0</v>
      </c>
      <c r="T2203" s="5">
        <v>0</v>
      </c>
      <c r="U2203" s="5">
        <v>0</v>
      </c>
      <c r="V2203" s="5">
        <f>VLOOKUP(A2203,Planilha1!B:E,4,0)</f>
        <v>4.5971522734997743</v>
      </c>
    </row>
    <row r="2204" spans="1:22" x14ac:dyDescent="0.3">
      <c r="A2204" t="str">
        <f t="shared" si="68"/>
        <v>LPI 25KGITAMBÉ</v>
      </c>
      <c r="B2204" t="str">
        <f t="shared" si="69"/>
        <v>5188800LPI 25KGITAMBÉ</v>
      </c>
      <c r="C2204" s="5" t="s">
        <v>16</v>
      </c>
      <c r="D2204" s="5" t="s">
        <v>17</v>
      </c>
      <c r="E2204" s="5" t="s">
        <v>44</v>
      </c>
      <c r="F2204" s="5">
        <v>5188800</v>
      </c>
      <c r="G2204" s="5" t="s">
        <v>1232</v>
      </c>
      <c r="H2204" s="5" t="s">
        <v>30</v>
      </c>
      <c r="I2204" s="5" t="s">
        <v>27</v>
      </c>
      <c r="J2204" s="5" t="s">
        <v>21</v>
      </c>
      <c r="K2204" s="6">
        <v>0</v>
      </c>
      <c r="L2204" s="7">
        <v>0</v>
      </c>
      <c r="M2204" s="8">
        <v>125</v>
      </c>
      <c r="N2204" s="8">
        <v>250</v>
      </c>
      <c r="O2204" s="8">
        <v>0</v>
      </c>
      <c r="P2204" s="8">
        <v>0</v>
      </c>
      <c r="Q2204" s="8">
        <v>0</v>
      </c>
      <c r="R2204" s="8">
        <v>0</v>
      </c>
      <c r="S2204" s="8">
        <v>0</v>
      </c>
      <c r="T2204" s="5">
        <v>0</v>
      </c>
      <c r="U2204" s="5">
        <v>0</v>
      </c>
      <c r="V2204" s="5">
        <f>VLOOKUP(A2204,Planilha1!B:E,4,0)</f>
        <v>-1.218192805504376</v>
      </c>
    </row>
    <row r="2205" spans="1:22" x14ac:dyDescent="0.3">
      <c r="A2205" t="str">
        <f t="shared" si="68"/>
        <v>DOCE DE LEITEITAMBÉ</v>
      </c>
      <c r="B2205" t="str">
        <f t="shared" si="69"/>
        <v>5188800DOCE DE LEITEITAMBÉ</v>
      </c>
      <c r="C2205" s="5" t="s">
        <v>16</v>
      </c>
      <c r="D2205" s="5" t="s">
        <v>17</v>
      </c>
      <c r="E2205" s="5" t="s">
        <v>44</v>
      </c>
      <c r="F2205" s="5">
        <v>5188800</v>
      </c>
      <c r="G2205" s="5" t="s">
        <v>1232</v>
      </c>
      <c r="H2205" s="5" t="s">
        <v>30</v>
      </c>
      <c r="I2205" s="5" t="s">
        <v>27</v>
      </c>
      <c r="J2205" s="5" t="s">
        <v>46</v>
      </c>
      <c r="K2205" s="6">
        <v>0</v>
      </c>
      <c r="L2205" s="7">
        <v>0</v>
      </c>
      <c r="M2205" s="8">
        <v>5</v>
      </c>
      <c r="N2205" s="8">
        <v>10</v>
      </c>
      <c r="O2205" s="8">
        <v>0</v>
      </c>
      <c r="P2205" s="8">
        <v>0</v>
      </c>
      <c r="Q2205" s="8">
        <v>0</v>
      </c>
      <c r="R2205" s="8">
        <v>0</v>
      </c>
      <c r="S2205" s="8">
        <v>0</v>
      </c>
      <c r="T2205" s="5">
        <v>0</v>
      </c>
      <c r="U2205" s="5">
        <v>0</v>
      </c>
      <c r="V2205" s="5">
        <f>VLOOKUP(A2205,Planilha1!B:E,4,0)</f>
        <v>5.8210743907543439</v>
      </c>
    </row>
    <row r="2206" spans="1:22" x14ac:dyDescent="0.3">
      <c r="A2206" t="str">
        <f t="shared" si="68"/>
        <v>COMPOSTOITAMBÉ</v>
      </c>
      <c r="B2206" t="str">
        <f t="shared" si="69"/>
        <v>5188800COMPOSTOITAMBÉ</v>
      </c>
      <c r="C2206" s="5" t="s">
        <v>16</v>
      </c>
      <c r="D2206" s="5" t="s">
        <v>17</v>
      </c>
      <c r="E2206" s="5" t="s">
        <v>44</v>
      </c>
      <c r="F2206" s="5">
        <v>5188800</v>
      </c>
      <c r="G2206" s="5" t="s">
        <v>1232</v>
      </c>
      <c r="H2206" s="5" t="s">
        <v>30</v>
      </c>
      <c r="I2206" s="5" t="s">
        <v>27</v>
      </c>
      <c r="J2206" s="5" t="s">
        <v>26</v>
      </c>
      <c r="K2206" s="6">
        <v>0</v>
      </c>
      <c r="L2206" s="7">
        <v>0</v>
      </c>
      <c r="M2206" s="8">
        <v>133.33333333333331</v>
      </c>
      <c r="N2206" s="8">
        <v>266.66666666666669</v>
      </c>
      <c r="O2206" s="8">
        <v>0</v>
      </c>
      <c r="P2206" s="8">
        <v>0</v>
      </c>
      <c r="Q2206" s="8">
        <v>0</v>
      </c>
      <c r="R2206" s="8">
        <v>0</v>
      </c>
      <c r="S2206" s="8">
        <v>0</v>
      </c>
      <c r="T2206" s="5">
        <v>0</v>
      </c>
      <c r="U2206" s="5">
        <v>0</v>
      </c>
      <c r="V2206" s="5">
        <f>VLOOKUP(A2206,Planilha1!B:E,4,0)</f>
        <v>0.15618217875936719</v>
      </c>
    </row>
    <row r="2207" spans="1:22" x14ac:dyDescent="0.3">
      <c r="A2207" t="str">
        <f t="shared" si="68"/>
        <v>LPI 25KGITAMBÉ</v>
      </c>
      <c r="B2207" t="str">
        <f t="shared" si="69"/>
        <v>5023831LPI 25KGITAMBÉ</v>
      </c>
      <c r="C2207" s="5" t="s">
        <v>226</v>
      </c>
      <c r="D2207" s="5" t="s">
        <v>815</v>
      </c>
      <c r="E2207" s="5" t="s">
        <v>816</v>
      </c>
      <c r="F2207" s="5">
        <v>5023831</v>
      </c>
      <c r="G2207" s="5" t="s">
        <v>819</v>
      </c>
      <c r="H2207" s="5" t="s">
        <v>30</v>
      </c>
      <c r="I2207" s="5" t="s">
        <v>27</v>
      </c>
      <c r="J2207" s="5" t="s">
        <v>21</v>
      </c>
      <c r="K2207" s="6">
        <v>0</v>
      </c>
      <c r="L2207" s="7">
        <v>0</v>
      </c>
      <c r="M2207" s="8">
        <v>162.5</v>
      </c>
      <c r="N2207" s="8">
        <v>325</v>
      </c>
      <c r="O2207" s="8">
        <v>0</v>
      </c>
      <c r="P2207" s="8">
        <v>0</v>
      </c>
      <c r="Q2207" s="8">
        <v>0</v>
      </c>
      <c r="R2207" s="8">
        <v>0</v>
      </c>
      <c r="S2207" s="8">
        <v>0</v>
      </c>
      <c r="T2207" s="5">
        <v>0</v>
      </c>
      <c r="U2207" s="5">
        <v>0</v>
      </c>
      <c r="V2207" s="5">
        <f>VLOOKUP(A2207,Planilha1!B:E,4,0)</f>
        <v>-1.218192805504376</v>
      </c>
    </row>
    <row r="2208" spans="1:22" x14ac:dyDescent="0.3">
      <c r="A2208" t="str">
        <f t="shared" si="68"/>
        <v>DOCE DE LEITEITAMBÉ</v>
      </c>
      <c r="B2208" t="str">
        <f t="shared" si="69"/>
        <v>5358195DOCE DE LEITEITAMBÉ</v>
      </c>
      <c r="C2208" s="5" t="s">
        <v>226</v>
      </c>
      <c r="D2208" s="5" t="s">
        <v>752</v>
      </c>
      <c r="E2208" s="5" t="s">
        <v>774</v>
      </c>
      <c r="F2208" s="5">
        <v>5358195</v>
      </c>
      <c r="G2208" s="5" t="s">
        <v>1233</v>
      </c>
      <c r="H2208" s="5" t="s">
        <v>32</v>
      </c>
      <c r="I2208" s="5" t="s">
        <v>27</v>
      </c>
      <c r="J2208" s="5" t="s">
        <v>46</v>
      </c>
      <c r="K2208" s="6">
        <v>0</v>
      </c>
      <c r="L2208" s="7">
        <v>0</v>
      </c>
      <c r="M2208" s="8">
        <v>36.666666666666664</v>
      </c>
      <c r="N2208" s="8">
        <v>73.333333333333329</v>
      </c>
      <c r="O2208" s="8">
        <v>0</v>
      </c>
      <c r="P2208" s="8">
        <v>0</v>
      </c>
      <c r="Q2208" s="8">
        <v>0</v>
      </c>
      <c r="R2208" s="8">
        <v>0</v>
      </c>
      <c r="S2208" s="8">
        <v>0</v>
      </c>
      <c r="T2208" s="5">
        <v>0</v>
      </c>
      <c r="U2208" s="5">
        <v>0</v>
      </c>
      <c r="V2208" s="5">
        <f>VLOOKUP(A2208,Planilha1!B:E,4,0)</f>
        <v>5.8210743907543439</v>
      </c>
    </row>
    <row r="2209" spans="1:22" x14ac:dyDescent="0.3">
      <c r="A2209" t="str">
        <f t="shared" si="68"/>
        <v>CREME UHTITAMBÉ</v>
      </c>
      <c r="B2209" t="str">
        <f t="shared" si="69"/>
        <v>5358195CREME UHTITAMBÉ</v>
      </c>
      <c r="C2209" s="5" t="s">
        <v>226</v>
      </c>
      <c r="D2209" s="5" t="s">
        <v>752</v>
      </c>
      <c r="E2209" s="5" t="s">
        <v>774</v>
      </c>
      <c r="F2209" s="5">
        <v>5358195</v>
      </c>
      <c r="G2209" s="5" t="s">
        <v>1233</v>
      </c>
      <c r="H2209" s="5" t="s">
        <v>32</v>
      </c>
      <c r="I2209" s="5" t="s">
        <v>27</v>
      </c>
      <c r="J2209" s="5" t="s">
        <v>34</v>
      </c>
      <c r="K2209" s="6">
        <v>0</v>
      </c>
      <c r="L2209" s="7">
        <v>0</v>
      </c>
      <c r="M2209" s="8">
        <v>11</v>
      </c>
      <c r="N2209" s="8">
        <v>22</v>
      </c>
      <c r="O2209" s="8">
        <v>0</v>
      </c>
      <c r="P2209" s="8">
        <v>0</v>
      </c>
      <c r="Q2209" s="8">
        <v>0</v>
      </c>
      <c r="R2209" s="8">
        <v>0</v>
      </c>
      <c r="S2209" s="8">
        <v>0</v>
      </c>
      <c r="T2209" s="5">
        <v>0</v>
      </c>
      <c r="U2209" s="5">
        <v>0</v>
      </c>
      <c r="V2209" s="5">
        <f>VLOOKUP(A2209,Planilha1!B:E,4,0)</f>
        <v>1.2362540170747773</v>
      </c>
    </row>
    <row r="2210" spans="1:22" x14ac:dyDescent="0.3">
      <c r="A2210" t="str">
        <f t="shared" si="68"/>
        <v>LEITE EM PÓITAMBÉ</v>
      </c>
      <c r="B2210" t="str">
        <f t="shared" si="69"/>
        <v>5026399LEITE EM PÓITAMBÉ</v>
      </c>
      <c r="C2210" s="5" t="s">
        <v>226</v>
      </c>
      <c r="D2210" s="5" t="s">
        <v>752</v>
      </c>
      <c r="E2210" s="5" t="s">
        <v>756</v>
      </c>
      <c r="F2210" s="5">
        <v>5026399</v>
      </c>
      <c r="G2210" s="5" t="s">
        <v>757</v>
      </c>
      <c r="H2210" s="5" t="s">
        <v>154</v>
      </c>
      <c r="I2210" s="5" t="s">
        <v>27</v>
      </c>
      <c r="J2210" s="5" t="s">
        <v>84</v>
      </c>
      <c r="K2210" s="6">
        <v>0</v>
      </c>
      <c r="L2210" s="7">
        <v>525</v>
      </c>
      <c r="M2210" s="8">
        <v>7550.8333333333339</v>
      </c>
      <c r="N2210" s="8">
        <v>8101.6666666666661</v>
      </c>
      <c r="O2210" s="8">
        <v>5357.9220051227758</v>
      </c>
      <c r="P2210" s="8">
        <v>3340.2000000000053</v>
      </c>
      <c r="Q2210" s="8">
        <v>0</v>
      </c>
      <c r="R2210" s="8">
        <v>1966.3999999999999</v>
      </c>
      <c r="S2210" s="8">
        <v>0</v>
      </c>
      <c r="T2210" s="5">
        <v>0</v>
      </c>
      <c r="U2210" s="5">
        <v>0</v>
      </c>
      <c r="V2210" s="5">
        <f>VLOOKUP(A2210,Planilha1!B:E,4,0)</f>
        <v>4.5971522734997743</v>
      </c>
    </row>
    <row r="2211" spans="1:22" x14ac:dyDescent="0.3">
      <c r="A2211" t="str">
        <f t="shared" si="68"/>
        <v>LEITE CONDENSADOITAMBÉ</v>
      </c>
      <c r="B2211" t="str">
        <f t="shared" si="69"/>
        <v>5350810LEITE CONDENSADOITAMBÉ</v>
      </c>
      <c r="C2211" s="5" t="s">
        <v>226</v>
      </c>
      <c r="D2211" s="5" t="s">
        <v>752</v>
      </c>
      <c r="E2211" s="5" t="s">
        <v>1216</v>
      </c>
      <c r="F2211" s="5">
        <v>5350810</v>
      </c>
      <c r="G2211" s="5" t="s">
        <v>1234</v>
      </c>
      <c r="H2211" s="5" t="s">
        <v>154</v>
      </c>
      <c r="I2211" s="5" t="s">
        <v>27</v>
      </c>
      <c r="J2211" s="5" t="s">
        <v>33</v>
      </c>
      <c r="K2211" s="6">
        <v>0</v>
      </c>
      <c r="L2211" s="7">
        <v>0</v>
      </c>
      <c r="M2211" s="8">
        <v>1.58</v>
      </c>
      <c r="N2211" s="8">
        <v>3</v>
      </c>
      <c r="O2211" s="8">
        <v>0</v>
      </c>
      <c r="P2211" s="8">
        <v>0</v>
      </c>
      <c r="Q2211" s="8">
        <v>0</v>
      </c>
      <c r="R2211" s="8">
        <v>0</v>
      </c>
      <c r="S2211" s="8">
        <v>0</v>
      </c>
      <c r="T2211" s="5">
        <v>0</v>
      </c>
      <c r="U2211" s="5">
        <v>9</v>
      </c>
      <c r="V2211" s="5">
        <f>VLOOKUP(A2211,Planilha1!B:E,4,0)</f>
        <v>1.4766792698630664</v>
      </c>
    </row>
    <row r="2212" spans="1:22" x14ac:dyDescent="0.3">
      <c r="A2212" t="str">
        <f t="shared" si="68"/>
        <v>LPD 25KGITAMBÉ</v>
      </c>
      <c r="B2212" t="str">
        <f t="shared" si="69"/>
        <v>5190845LPD 25KGITAMBÉ</v>
      </c>
      <c r="C2212" s="5" t="s">
        <v>16</v>
      </c>
      <c r="D2212" s="5" t="s">
        <v>17</v>
      </c>
      <c r="E2212" s="5" t="s">
        <v>44</v>
      </c>
      <c r="F2212" s="5">
        <v>5190845</v>
      </c>
      <c r="G2212" s="5" t="s">
        <v>1235</v>
      </c>
      <c r="H2212" s="5" t="s">
        <v>30</v>
      </c>
      <c r="I2212" s="5" t="s">
        <v>27</v>
      </c>
      <c r="J2212" s="5" t="s">
        <v>43</v>
      </c>
      <c r="K2212" s="6">
        <v>0</v>
      </c>
      <c r="L2212" s="7">
        <v>0</v>
      </c>
      <c r="M2212" s="8">
        <v>187.5</v>
      </c>
      <c r="N2212" s="8">
        <v>375</v>
      </c>
      <c r="O2212" s="8">
        <v>0</v>
      </c>
      <c r="P2212" s="8">
        <v>0</v>
      </c>
      <c r="Q2212" s="8">
        <v>725</v>
      </c>
      <c r="R2212" s="8">
        <v>0</v>
      </c>
      <c r="S2212" s="8">
        <v>0</v>
      </c>
      <c r="T2212" s="5">
        <v>1525</v>
      </c>
      <c r="U2212" s="5">
        <v>0</v>
      </c>
      <c r="V2212" s="5">
        <f>VLOOKUP(A2212,Planilha1!B:E,4,0)</f>
        <v>3.3372177319587628</v>
      </c>
    </row>
    <row r="2213" spans="1:22" x14ac:dyDescent="0.3">
      <c r="A2213" t="str">
        <f t="shared" si="68"/>
        <v>LEITE CONDENSADOITAMBÉ</v>
      </c>
      <c r="B2213" t="str">
        <f t="shared" si="69"/>
        <v>5358195LEITE CONDENSADOITAMBÉ</v>
      </c>
      <c r="C2213" s="5" t="s">
        <v>226</v>
      </c>
      <c r="D2213" s="5" t="s">
        <v>752</v>
      </c>
      <c r="E2213" s="5" t="s">
        <v>774</v>
      </c>
      <c r="F2213" s="5">
        <v>5358195</v>
      </c>
      <c r="G2213" s="5" t="s">
        <v>1233</v>
      </c>
      <c r="H2213" s="5" t="s">
        <v>32</v>
      </c>
      <c r="I2213" s="5" t="s">
        <v>27</v>
      </c>
      <c r="J2213" s="5" t="s">
        <v>33</v>
      </c>
      <c r="K2213" s="6">
        <v>0</v>
      </c>
      <c r="L2213" s="7">
        <v>0</v>
      </c>
      <c r="M2213" s="8">
        <v>71.977500000000006</v>
      </c>
      <c r="N2213" s="8">
        <v>44.333333333333329</v>
      </c>
      <c r="O2213" s="8">
        <v>0</v>
      </c>
      <c r="P2213" s="8">
        <v>0</v>
      </c>
      <c r="Q2213" s="8">
        <v>0</v>
      </c>
      <c r="R2213" s="8">
        <v>0</v>
      </c>
      <c r="S2213" s="8">
        <v>120</v>
      </c>
      <c r="T2213" s="5">
        <v>120</v>
      </c>
      <c r="U2213" s="5">
        <v>0</v>
      </c>
      <c r="V2213" s="5">
        <f>VLOOKUP(A2213,Planilha1!B:E,4,0)</f>
        <v>1.4766792698630664</v>
      </c>
    </row>
    <row r="2214" spans="1:22" x14ac:dyDescent="0.3">
      <c r="A2214" t="str">
        <f t="shared" si="68"/>
        <v>LPI 25KGITAMBÉ</v>
      </c>
      <c r="B2214" t="str">
        <f t="shared" si="69"/>
        <v>5191198LPI 25KGITAMBÉ</v>
      </c>
      <c r="C2214" s="5" t="s">
        <v>226</v>
      </c>
      <c r="D2214" s="5" t="s">
        <v>833</v>
      </c>
      <c r="E2214" s="5" t="s">
        <v>850</v>
      </c>
      <c r="F2214" s="5">
        <v>5191198</v>
      </c>
      <c r="G2214" s="5" t="s">
        <v>1236</v>
      </c>
      <c r="H2214" s="5" t="s">
        <v>40</v>
      </c>
      <c r="I2214" s="5" t="s">
        <v>27</v>
      </c>
      <c r="J2214" s="5" t="s">
        <v>21</v>
      </c>
      <c r="K2214" s="6">
        <v>0</v>
      </c>
      <c r="L2214" s="7">
        <v>0</v>
      </c>
      <c r="M2214" s="8">
        <v>6704.1666666666661</v>
      </c>
      <c r="N2214" s="8">
        <v>8000</v>
      </c>
      <c r="O2214" s="8">
        <v>0</v>
      </c>
      <c r="P2214" s="8">
        <v>0</v>
      </c>
      <c r="Q2214" s="8">
        <v>0</v>
      </c>
      <c r="R2214" s="8">
        <v>0</v>
      </c>
      <c r="S2214" s="8">
        <v>0</v>
      </c>
      <c r="T2214" s="5">
        <v>0</v>
      </c>
      <c r="U2214" s="5">
        <v>0</v>
      </c>
      <c r="V2214" s="5">
        <f>VLOOKUP(A2214,Planilha1!B:E,4,0)</f>
        <v>-1.218192805504376</v>
      </c>
    </row>
    <row r="2215" spans="1:22" x14ac:dyDescent="0.3">
      <c r="A2215" t="str">
        <f t="shared" si="68"/>
        <v>LEITE EM PÓITAMBÉ</v>
      </c>
      <c r="B2215" t="str">
        <f t="shared" si="69"/>
        <v>5350815LEITE EM PÓITAMBÉ</v>
      </c>
      <c r="C2215" s="5" t="s">
        <v>226</v>
      </c>
      <c r="D2215" s="5" t="s">
        <v>752</v>
      </c>
      <c r="E2215" s="5" t="s">
        <v>774</v>
      </c>
      <c r="F2215" s="5">
        <v>5350815</v>
      </c>
      <c r="G2215" s="5" t="s">
        <v>796</v>
      </c>
      <c r="H2215" s="5" t="s">
        <v>32</v>
      </c>
      <c r="I2215" s="5" t="s">
        <v>27</v>
      </c>
      <c r="J2215" s="5" t="s">
        <v>84</v>
      </c>
      <c r="K2215" s="6">
        <v>0</v>
      </c>
      <c r="L2215" s="7">
        <v>0</v>
      </c>
      <c r="M2215" s="8">
        <v>3.3333333333333335</v>
      </c>
      <c r="N2215" s="8">
        <v>6.666666666666667</v>
      </c>
      <c r="O2215" s="8">
        <v>0</v>
      </c>
      <c r="P2215" s="8">
        <v>0</v>
      </c>
      <c r="Q2215" s="8">
        <v>0</v>
      </c>
      <c r="R2215" s="8">
        <v>0</v>
      </c>
      <c r="S2215" s="8">
        <v>0</v>
      </c>
      <c r="T2215" s="5">
        <v>0</v>
      </c>
      <c r="U2215" s="5">
        <v>0</v>
      </c>
      <c r="V2215" s="5">
        <f>VLOOKUP(A2215,Planilha1!B:E,4,0)</f>
        <v>4.5971522734997743</v>
      </c>
    </row>
    <row r="2216" spans="1:22" x14ac:dyDescent="0.3">
      <c r="A2216" t="str">
        <f t="shared" si="68"/>
        <v>IOGURTESLACTALIS</v>
      </c>
      <c r="B2216" t="str">
        <f t="shared" si="69"/>
        <v>5059693IOGURTESLACTALIS</v>
      </c>
      <c r="C2216" s="5" t="s">
        <v>226</v>
      </c>
      <c r="D2216" s="5" t="s">
        <v>227</v>
      </c>
      <c r="E2216" s="5" t="s">
        <v>1722</v>
      </c>
      <c r="F2216" s="5">
        <v>5059693</v>
      </c>
      <c r="G2216" s="5" t="s">
        <v>1237</v>
      </c>
      <c r="H2216" s="5" t="s">
        <v>30</v>
      </c>
      <c r="I2216" s="5" t="s">
        <v>22</v>
      </c>
      <c r="J2216" s="5" t="s">
        <v>153</v>
      </c>
      <c r="K2216" s="6">
        <v>0</v>
      </c>
      <c r="L2216" s="7">
        <v>57.36</v>
      </c>
      <c r="M2216" s="8">
        <v>33.399999999999991</v>
      </c>
      <c r="N2216" s="8">
        <v>32.08</v>
      </c>
      <c r="O2216" s="8">
        <v>18.770787369727852</v>
      </c>
      <c r="P2216" s="8">
        <v>0</v>
      </c>
      <c r="Q2216" s="8">
        <v>28.32</v>
      </c>
      <c r="R2216" s="8">
        <v>0</v>
      </c>
      <c r="S2216" s="8">
        <v>0</v>
      </c>
      <c r="T2216" s="5">
        <v>0</v>
      </c>
      <c r="U2216" s="5">
        <v>0</v>
      </c>
      <c r="V2216" s="5">
        <f>VLOOKUP(A2216,Planilha1!B:E,4,0)</f>
        <v>3.0503167986984403</v>
      </c>
    </row>
    <row r="2217" spans="1:22" x14ac:dyDescent="0.3">
      <c r="A2217" t="str">
        <f t="shared" si="68"/>
        <v>COMPOSTOITAMBÉ</v>
      </c>
      <c r="B2217" t="str">
        <f t="shared" si="69"/>
        <v>5347235COMPOSTOITAMBÉ</v>
      </c>
      <c r="C2217" s="5" t="s">
        <v>16</v>
      </c>
      <c r="D2217" s="5" t="s">
        <v>28</v>
      </c>
      <c r="E2217" s="5" t="s">
        <v>23</v>
      </c>
      <c r="F2217" s="5">
        <v>5347235</v>
      </c>
      <c r="G2217" s="5" t="s">
        <v>1238</v>
      </c>
      <c r="H2217" s="5" t="s">
        <v>30</v>
      </c>
      <c r="I2217" s="5" t="s">
        <v>27</v>
      </c>
      <c r="J2217" s="5" t="s">
        <v>26</v>
      </c>
      <c r="K2217" s="6">
        <v>0</v>
      </c>
      <c r="L2217" s="7">
        <v>0</v>
      </c>
      <c r="M2217" s="8">
        <v>25</v>
      </c>
      <c r="N2217" s="8">
        <v>50</v>
      </c>
      <c r="O2217" s="8">
        <v>0</v>
      </c>
      <c r="P2217" s="8">
        <v>0</v>
      </c>
      <c r="Q2217" s="8">
        <v>0</v>
      </c>
      <c r="R2217" s="8">
        <v>0</v>
      </c>
      <c r="S2217" s="8">
        <v>0</v>
      </c>
      <c r="T2217" s="5">
        <v>0</v>
      </c>
      <c r="U2217" s="5">
        <v>0</v>
      </c>
      <c r="V2217" s="5">
        <f>VLOOKUP(A2217,Planilha1!B:E,4,0)</f>
        <v>0.15618217875936719</v>
      </c>
    </row>
    <row r="2218" spans="1:22" x14ac:dyDescent="0.3">
      <c r="A2218" t="str">
        <f t="shared" si="68"/>
        <v>COMPOSTOITAMBÉ</v>
      </c>
      <c r="B2218" t="str">
        <f t="shared" si="69"/>
        <v>5075754COMPOSTOITAMBÉ</v>
      </c>
      <c r="C2218" s="5" t="s">
        <v>226</v>
      </c>
      <c r="D2218" s="5" t="s">
        <v>833</v>
      </c>
      <c r="E2218" s="5" t="s">
        <v>875</v>
      </c>
      <c r="F2218" s="5">
        <v>5075754</v>
      </c>
      <c r="G2218" s="5" t="s">
        <v>878</v>
      </c>
      <c r="H2218" s="5" t="s">
        <v>91</v>
      </c>
      <c r="I2218" s="5" t="s">
        <v>27</v>
      </c>
      <c r="J2218" s="5" t="s">
        <v>26</v>
      </c>
      <c r="K2218" s="6">
        <v>0</v>
      </c>
      <c r="L2218" s="7">
        <v>0</v>
      </c>
      <c r="M2218" s="8">
        <v>100</v>
      </c>
      <c r="N2218" s="8">
        <v>200</v>
      </c>
      <c r="O2218" s="8">
        <v>0</v>
      </c>
      <c r="P2218" s="8">
        <v>0</v>
      </c>
      <c r="Q2218" s="8">
        <v>0</v>
      </c>
      <c r="R2218" s="8">
        <v>0</v>
      </c>
      <c r="S2218" s="8">
        <v>300</v>
      </c>
      <c r="T2218" s="5">
        <v>300</v>
      </c>
      <c r="U2218" s="5">
        <v>200</v>
      </c>
      <c r="V2218" s="5">
        <f>VLOOKUP(A2218,Planilha1!B:E,4,0)</f>
        <v>0.15618217875936719</v>
      </c>
    </row>
    <row r="2219" spans="1:22" x14ac:dyDescent="0.3">
      <c r="A2219" t="str">
        <f t="shared" si="68"/>
        <v>LEITE EM PÓITAMBÉ</v>
      </c>
      <c r="B2219" t="str">
        <f t="shared" si="69"/>
        <v>5194510LEITE EM PÓITAMBÉ</v>
      </c>
      <c r="C2219" s="5" t="s">
        <v>226</v>
      </c>
      <c r="D2219" s="5" t="s">
        <v>833</v>
      </c>
      <c r="E2219" s="5" t="s">
        <v>850</v>
      </c>
      <c r="F2219" s="5">
        <v>5194510</v>
      </c>
      <c r="G2219" s="5" t="s">
        <v>864</v>
      </c>
      <c r="H2219" s="5" t="s">
        <v>40</v>
      </c>
      <c r="I2219" s="5" t="s">
        <v>27</v>
      </c>
      <c r="J2219" s="5" t="s">
        <v>84</v>
      </c>
      <c r="K2219" s="6">
        <v>0</v>
      </c>
      <c r="L2219" s="7">
        <v>0</v>
      </c>
      <c r="M2219" s="8">
        <v>31.666666666666668</v>
      </c>
      <c r="N2219" s="8">
        <v>33.333333333333336</v>
      </c>
      <c r="O2219" s="8">
        <v>33.993160696804324</v>
      </c>
      <c r="P2219" s="8">
        <v>0</v>
      </c>
      <c r="Q2219" s="8">
        <v>20</v>
      </c>
      <c r="R2219" s="8">
        <v>0</v>
      </c>
      <c r="S2219" s="8">
        <v>0</v>
      </c>
      <c r="T2219" s="5">
        <v>0</v>
      </c>
      <c r="U2219" s="5">
        <v>0</v>
      </c>
      <c r="V2219" s="5">
        <f>VLOOKUP(A2219,Planilha1!B:E,4,0)</f>
        <v>4.5971522734997743</v>
      </c>
    </row>
    <row r="2220" spans="1:22" x14ac:dyDescent="0.3">
      <c r="A2220" t="str">
        <f t="shared" si="68"/>
        <v>LEITE EM PÓITAMBÉ</v>
      </c>
      <c r="B2220" t="str">
        <f t="shared" si="69"/>
        <v>5316368LEITE EM PÓITAMBÉ</v>
      </c>
      <c r="C2220" s="5" t="s">
        <v>226</v>
      </c>
      <c r="D2220" s="5" t="s">
        <v>833</v>
      </c>
      <c r="E2220" s="5" t="s">
        <v>850</v>
      </c>
      <c r="F2220" s="5">
        <v>5316368</v>
      </c>
      <c r="G2220" s="5" t="s">
        <v>873</v>
      </c>
      <c r="H2220" s="5" t="s">
        <v>40</v>
      </c>
      <c r="I2220" s="5" t="s">
        <v>27</v>
      </c>
      <c r="J2220" s="5" t="s">
        <v>84</v>
      </c>
      <c r="K2220" s="6">
        <v>0</v>
      </c>
      <c r="L2220" s="7">
        <v>0</v>
      </c>
      <c r="M2220" s="8">
        <v>10.666666666666668</v>
      </c>
      <c r="N2220" s="8">
        <v>9.3333333333333339</v>
      </c>
      <c r="O2220" s="8">
        <v>9.9979884402365649</v>
      </c>
      <c r="P2220" s="8">
        <v>0</v>
      </c>
      <c r="Q2220" s="8">
        <v>-10</v>
      </c>
      <c r="R2220" s="8">
        <v>0</v>
      </c>
      <c r="S2220" s="8">
        <v>0</v>
      </c>
      <c r="T2220" s="5">
        <v>0</v>
      </c>
      <c r="U2220" s="5">
        <v>0</v>
      </c>
      <c r="V2220" s="5">
        <f>VLOOKUP(A2220,Planilha1!B:E,4,0)</f>
        <v>4.5971522734997743</v>
      </c>
    </row>
    <row r="2221" spans="1:22" x14ac:dyDescent="0.3">
      <c r="A2221" t="str">
        <f t="shared" si="68"/>
        <v>PARMESÃOITAMBÉ</v>
      </c>
      <c r="B2221" t="str">
        <f t="shared" si="69"/>
        <v>5361277PARMESÃOITAMBÉ</v>
      </c>
      <c r="C2221" s="5" t="s">
        <v>226</v>
      </c>
      <c r="D2221" s="5" t="s">
        <v>727</v>
      </c>
      <c r="E2221" s="5" t="s">
        <v>733</v>
      </c>
      <c r="F2221" s="5">
        <v>5361277</v>
      </c>
      <c r="G2221" s="5" t="s">
        <v>1239</v>
      </c>
      <c r="H2221" s="5" t="s">
        <v>25</v>
      </c>
      <c r="I2221" s="5" t="s">
        <v>27</v>
      </c>
      <c r="J2221" s="5" t="s">
        <v>195</v>
      </c>
      <c r="K2221" s="6">
        <v>0</v>
      </c>
      <c r="L2221" s="7">
        <v>0</v>
      </c>
      <c r="M2221" s="8">
        <v>20.000499999999999</v>
      </c>
      <c r="N2221" s="8">
        <v>40</v>
      </c>
      <c r="O2221" s="8">
        <v>0</v>
      </c>
      <c r="P2221" s="8">
        <v>0</v>
      </c>
      <c r="Q2221" s="8">
        <v>0</v>
      </c>
      <c r="R2221" s="8">
        <v>0</v>
      </c>
      <c r="S2221" s="8">
        <v>100</v>
      </c>
      <c r="T2221" s="5">
        <v>100</v>
      </c>
      <c r="U2221" s="5">
        <v>30</v>
      </c>
      <c r="V2221" s="5">
        <f>VLOOKUP(A2221,Planilha1!B:E,4,0)</f>
        <v>-7.8489906935815057</v>
      </c>
    </row>
    <row r="2222" spans="1:22" x14ac:dyDescent="0.3">
      <c r="A2222" t="str">
        <f t="shared" si="68"/>
        <v>IOGURTESLACTALIS</v>
      </c>
      <c r="B2222" t="str">
        <f t="shared" si="69"/>
        <v>5059971IOGURTESLACTALIS</v>
      </c>
      <c r="C2222" s="5" t="s">
        <v>149</v>
      </c>
      <c r="D2222" s="5" t="s">
        <v>210</v>
      </c>
      <c r="E2222" s="5" t="s">
        <v>210</v>
      </c>
      <c r="F2222" s="5">
        <v>5059971</v>
      </c>
      <c r="G2222" s="5" t="s">
        <v>213</v>
      </c>
      <c r="H2222" s="5" t="s">
        <v>30</v>
      </c>
      <c r="I2222" s="5" t="s">
        <v>22</v>
      </c>
      <c r="J2222" s="5" t="s">
        <v>153</v>
      </c>
      <c r="K2222" s="6">
        <v>0</v>
      </c>
      <c r="L2222" s="7">
        <v>1502.4</v>
      </c>
      <c r="M2222" s="8">
        <v>2246.4</v>
      </c>
      <c r="N2222" s="8">
        <v>2483.1999999999998</v>
      </c>
      <c r="O2222" s="8">
        <v>1097.1337167823538</v>
      </c>
      <c r="P2222" s="8">
        <v>0</v>
      </c>
      <c r="Q2222" s="8">
        <v>633.6</v>
      </c>
      <c r="R2222" s="8">
        <v>0</v>
      </c>
      <c r="S2222" s="8">
        <v>0</v>
      </c>
      <c r="T2222" s="5">
        <v>0</v>
      </c>
      <c r="U2222" s="5">
        <v>0</v>
      </c>
      <c r="V2222" s="5">
        <f>VLOOKUP(A2222,Planilha1!B:E,4,0)</f>
        <v>3.0503167986984403</v>
      </c>
    </row>
    <row r="2223" spans="1:22" x14ac:dyDescent="0.3">
      <c r="A2223" t="str">
        <f t="shared" si="68"/>
        <v>LEITE EM PÓITAMBÉ</v>
      </c>
      <c r="B2223" t="str">
        <f t="shared" si="69"/>
        <v>5336832LEITE EM PÓITAMBÉ</v>
      </c>
      <c r="C2223" s="5" t="s">
        <v>149</v>
      </c>
      <c r="D2223" s="5" t="s">
        <v>150</v>
      </c>
      <c r="E2223" s="5" t="s">
        <v>151</v>
      </c>
      <c r="F2223" s="5">
        <v>5336832</v>
      </c>
      <c r="G2223" s="5" t="s">
        <v>1240</v>
      </c>
      <c r="H2223" s="5" t="s">
        <v>30</v>
      </c>
      <c r="I2223" s="5" t="s">
        <v>27</v>
      </c>
      <c r="J2223" s="5" t="s">
        <v>84</v>
      </c>
      <c r="K2223" s="6">
        <v>0</v>
      </c>
      <c r="L2223" s="7">
        <v>0</v>
      </c>
      <c r="M2223" s="8">
        <v>4.166666666666667</v>
      </c>
      <c r="N2223" s="8">
        <v>8.3333333333333339</v>
      </c>
      <c r="O2223" s="8">
        <v>0</v>
      </c>
      <c r="P2223" s="8">
        <v>0</v>
      </c>
      <c r="Q2223" s="8">
        <v>0</v>
      </c>
      <c r="R2223" s="8">
        <v>0</v>
      </c>
      <c r="S2223" s="8">
        <v>0</v>
      </c>
      <c r="T2223" s="5">
        <v>0</v>
      </c>
      <c r="U2223" s="5">
        <v>0</v>
      </c>
      <c r="V2223" s="5">
        <f>VLOOKUP(A2223,Planilha1!B:E,4,0)</f>
        <v>4.5971522734997743</v>
      </c>
    </row>
    <row r="2224" spans="1:22" x14ac:dyDescent="0.3">
      <c r="A2224" t="str">
        <f t="shared" si="68"/>
        <v>LPD 25KGLACTALIS</v>
      </c>
      <c r="B2224" t="str">
        <f t="shared" si="69"/>
        <v>5099125LPD 25KGLACTALIS</v>
      </c>
      <c r="C2224" s="5" t="s">
        <v>16</v>
      </c>
      <c r="D2224" s="5" t="s">
        <v>53</v>
      </c>
      <c r="E2224" s="5" t="s">
        <v>54</v>
      </c>
      <c r="F2224" s="5">
        <v>5099125</v>
      </c>
      <c r="G2224" s="5" t="s">
        <v>1241</v>
      </c>
      <c r="H2224" s="5" t="s">
        <v>103</v>
      </c>
      <c r="I2224" s="5" t="s">
        <v>22</v>
      </c>
      <c r="J2224" s="5" t="s">
        <v>43</v>
      </c>
      <c r="K2224" s="6">
        <v>0</v>
      </c>
      <c r="L2224" s="7">
        <v>-200</v>
      </c>
      <c r="M2224" s="8">
        <v>50</v>
      </c>
      <c r="N2224" s="8">
        <v>0</v>
      </c>
      <c r="O2224" s="8">
        <v>24.09841431085367</v>
      </c>
      <c r="P2224" s="8">
        <v>0</v>
      </c>
      <c r="Q2224" s="8">
        <v>0</v>
      </c>
      <c r="R2224" s="8">
        <v>0</v>
      </c>
      <c r="S2224" s="8">
        <v>0</v>
      </c>
      <c r="T2224" s="5">
        <v>0</v>
      </c>
      <c r="U2224" s="5">
        <v>0</v>
      </c>
      <c r="V2224" s="5">
        <f>VLOOKUP(A2224,Planilha1!B:E,4,0)</f>
        <v>5.893629113453061</v>
      </c>
    </row>
    <row r="2225" spans="1:22" x14ac:dyDescent="0.3">
      <c r="A2225" t="str">
        <f t="shared" si="68"/>
        <v>IOGURTESITAMBÉ</v>
      </c>
      <c r="B2225" t="str">
        <f t="shared" si="69"/>
        <v>5207394IOGURTESITAMBÉ</v>
      </c>
      <c r="C2225" s="5" t="s">
        <v>149</v>
      </c>
      <c r="D2225" s="5" t="s">
        <v>210</v>
      </c>
      <c r="E2225" s="5" t="s">
        <v>210</v>
      </c>
      <c r="F2225" s="5">
        <v>5207394</v>
      </c>
      <c r="G2225" s="5" t="s">
        <v>215</v>
      </c>
      <c r="H2225" s="5" t="s">
        <v>154</v>
      </c>
      <c r="I2225" s="5" t="s">
        <v>27</v>
      </c>
      <c r="J2225" s="5" t="s">
        <v>153</v>
      </c>
      <c r="K2225" s="6">
        <v>0</v>
      </c>
      <c r="L2225" s="7">
        <v>1620</v>
      </c>
      <c r="M2225" s="8">
        <v>1221.3</v>
      </c>
      <c r="N2225" s="8">
        <v>1285.3333333333333</v>
      </c>
      <c r="O2225" s="8">
        <v>1605.6769435019924</v>
      </c>
      <c r="P2225" s="8">
        <v>0</v>
      </c>
      <c r="Q2225" s="8">
        <v>1344.6</v>
      </c>
      <c r="R2225" s="8">
        <v>0</v>
      </c>
      <c r="S2225" s="8">
        <v>0</v>
      </c>
      <c r="T2225" s="5">
        <v>0</v>
      </c>
      <c r="U2225" s="5">
        <v>0</v>
      </c>
      <c r="V2225" s="5">
        <f>VLOOKUP(A2225,Planilha1!B:E,4,0)</f>
        <v>3.2554443184120534</v>
      </c>
    </row>
    <row r="2226" spans="1:22" x14ac:dyDescent="0.3">
      <c r="A2226" t="str">
        <f t="shared" si="68"/>
        <v>COMPOSTOITAMBÉ</v>
      </c>
      <c r="B2226" t="str">
        <f t="shared" si="69"/>
        <v>5128929COMPOSTOITAMBÉ</v>
      </c>
      <c r="C2226" s="5" t="s">
        <v>226</v>
      </c>
      <c r="D2226" s="5" t="s">
        <v>833</v>
      </c>
      <c r="E2226" s="5" t="s">
        <v>850</v>
      </c>
      <c r="F2226" s="5">
        <v>5128929</v>
      </c>
      <c r="G2226" s="5" t="s">
        <v>1242</v>
      </c>
      <c r="H2226" s="5" t="s">
        <v>40</v>
      </c>
      <c r="I2226" s="5" t="s">
        <v>27</v>
      </c>
      <c r="J2226" s="5" t="s">
        <v>26</v>
      </c>
      <c r="K2226" s="6">
        <v>0</v>
      </c>
      <c r="L2226" s="7">
        <v>0</v>
      </c>
      <c r="M2226" s="8">
        <v>383.33333333333337</v>
      </c>
      <c r="N2226" s="8">
        <v>500</v>
      </c>
      <c r="O2226" s="8">
        <v>0</v>
      </c>
      <c r="P2226" s="8">
        <v>0</v>
      </c>
      <c r="Q2226" s="8">
        <v>0</v>
      </c>
      <c r="R2226" s="8">
        <v>0</v>
      </c>
      <c r="S2226" s="8">
        <v>500</v>
      </c>
      <c r="T2226" s="5">
        <v>500</v>
      </c>
      <c r="U2226" s="5">
        <v>500</v>
      </c>
      <c r="V2226" s="5">
        <f>VLOOKUP(A2226,Planilha1!B:E,4,0)</f>
        <v>0.15618217875936719</v>
      </c>
    </row>
    <row r="2227" spans="1:22" x14ac:dyDescent="0.3">
      <c r="A2227" t="str">
        <f t="shared" si="68"/>
        <v>COMPOSTOITAMBÉ</v>
      </c>
      <c r="B2227" t="str">
        <f t="shared" si="69"/>
        <v>5212469COMPOSTOITAMBÉ</v>
      </c>
      <c r="C2227" s="5" t="s">
        <v>16</v>
      </c>
      <c r="D2227" s="5" t="s">
        <v>28</v>
      </c>
      <c r="E2227" s="5" t="s">
        <v>23</v>
      </c>
      <c r="F2227" s="5">
        <v>5212469</v>
      </c>
      <c r="G2227" s="5" t="s">
        <v>1243</v>
      </c>
      <c r="H2227" s="5" t="s">
        <v>30</v>
      </c>
      <c r="I2227" s="5" t="s">
        <v>27</v>
      </c>
      <c r="J2227" s="5" t="s">
        <v>26</v>
      </c>
      <c r="K2227" s="6">
        <v>0</v>
      </c>
      <c r="L2227" s="7">
        <v>0</v>
      </c>
      <c r="M2227" s="8">
        <v>4166.6666666666661</v>
      </c>
      <c r="N2227" s="8">
        <v>4000</v>
      </c>
      <c r="O2227" s="8">
        <v>0</v>
      </c>
      <c r="P2227" s="8">
        <v>0</v>
      </c>
      <c r="Q2227" s="8">
        <v>0</v>
      </c>
      <c r="R2227" s="8">
        <v>0</v>
      </c>
      <c r="S2227" s="8">
        <v>0</v>
      </c>
      <c r="T2227" s="5">
        <v>0</v>
      </c>
      <c r="U2227" s="5">
        <v>0</v>
      </c>
      <c r="V2227" s="5">
        <f>VLOOKUP(A2227,Planilha1!B:E,4,0)</f>
        <v>0.15618217875936719</v>
      </c>
    </row>
    <row r="2228" spans="1:22" x14ac:dyDescent="0.3">
      <c r="A2228" t="str">
        <f t="shared" si="68"/>
        <v>COMPOSTOITAMBÉ</v>
      </c>
      <c r="B2228" t="str">
        <f t="shared" si="69"/>
        <v>5230141COMPOSTOITAMBÉ</v>
      </c>
      <c r="C2228" s="5" t="s">
        <v>226</v>
      </c>
      <c r="D2228" s="5" t="s">
        <v>752</v>
      </c>
      <c r="E2228" s="5" t="s">
        <v>774</v>
      </c>
      <c r="F2228" s="5">
        <v>5230141</v>
      </c>
      <c r="G2228" s="5" t="s">
        <v>795</v>
      </c>
      <c r="H2228" s="5" t="s">
        <v>32</v>
      </c>
      <c r="I2228" s="5" t="s">
        <v>27</v>
      </c>
      <c r="J2228" s="5" t="s">
        <v>26</v>
      </c>
      <c r="K2228" s="6">
        <v>0</v>
      </c>
      <c r="L2228" s="7">
        <v>0</v>
      </c>
      <c r="M2228" s="8">
        <v>335.83333333333331</v>
      </c>
      <c r="N2228" s="8">
        <v>558.33333333333326</v>
      </c>
      <c r="O2228" s="8">
        <v>0</v>
      </c>
      <c r="P2228" s="8">
        <v>0</v>
      </c>
      <c r="Q2228" s="8">
        <v>0</v>
      </c>
      <c r="R2228" s="8">
        <v>0</v>
      </c>
      <c r="S2228" s="8">
        <v>100</v>
      </c>
      <c r="T2228" s="5">
        <v>100</v>
      </c>
      <c r="U2228" s="5">
        <v>336</v>
      </c>
      <c r="V2228" s="5">
        <f>VLOOKUP(A2228,Planilha1!B:E,4,0)</f>
        <v>0.15618217875936719</v>
      </c>
    </row>
    <row r="2229" spans="1:22" x14ac:dyDescent="0.3">
      <c r="A2229" t="str">
        <f t="shared" si="68"/>
        <v>SPREADSLACTALIS</v>
      </c>
      <c r="B2229" t="str">
        <f t="shared" si="69"/>
        <v>5060465SPREADSLACTALIS</v>
      </c>
      <c r="C2229" s="5" t="s">
        <v>226</v>
      </c>
      <c r="D2229" s="5" t="s">
        <v>227</v>
      </c>
      <c r="E2229" s="5" t="s">
        <v>1722</v>
      </c>
      <c r="F2229" s="5">
        <v>5060465</v>
      </c>
      <c r="G2229" s="5" t="s">
        <v>241</v>
      </c>
      <c r="H2229" s="5" t="s">
        <v>30</v>
      </c>
      <c r="I2229" s="5" t="s">
        <v>22</v>
      </c>
      <c r="J2229" s="5" t="s">
        <v>945</v>
      </c>
      <c r="K2229" s="6">
        <v>0</v>
      </c>
      <c r="L2229" s="7">
        <v>26</v>
      </c>
      <c r="M2229" s="8">
        <v>58.43333333333333</v>
      </c>
      <c r="N2229" s="8">
        <v>58.2</v>
      </c>
      <c r="O2229" s="8">
        <v>40.829596692197953</v>
      </c>
      <c r="P2229" s="8">
        <v>0</v>
      </c>
      <c r="Q2229" s="8">
        <v>51.6</v>
      </c>
      <c r="R2229" s="8">
        <v>0</v>
      </c>
      <c r="S2229" s="8">
        <v>0</v>
      </c>
      <c r="T2229" s="5">
        <v>0</v>
      </c>
      <c r="U2229" s="5">
        <v>24</v>
      </c>
      <c r="V2229" s="5">
        <f>VLOOKUP(A2229,Planilha1!B:E,4,0)</f>
        <v>13.599044988219518</v>
      </c>
    </row>
    <row r="2230" spans="1:22" x14ac:dyDescent="0.3">
      <c r="A2230" t="str">
        <f t="shared" si="68"/>
        <v>QUEIJOSITAMBÉ</v>
      </c>
      <c r="B2230" t="str">
        <f t="shared" si="69"/>
        <v>5226805QUEIJOSITAMBÉ</v>
      </c>
      <c r="C2230" s="5" t="s">
        <v>226</v>
      </c>
      <c r="D2230" s="5" t="s">
        <v>727</v>
      </c>
      <c r="E2230" s="5" t="s">
        <v>730</v>
      </c>
      <c r="F2230" s="5">
        <v>5226805</v>
      </c>
      <c r="G2230" s="5" t="s">
        <v>732</v>
      </c>
      <c r="H2230" s="5" t="s">
        <v>25</v>
      </c>
      <c r="I2230" s="5" t="s">
        <v>27</v>
      </c>
      <c r="J2230" s="5" t="s">
        <v>63</v>
      </c>
      <c r="K2230" s="6">
        <v>0</v>
      </c>
      <c r="L2230" s="7">
        <v>102</v>
      </c>
      <c r="M2230" s="8">
        <v>118</v>
      </c>
      <c r="N2230" s="8">
        <v>96</v>
      </c>
      <c r="O2230" s="8">
        <v>0</v>
      </c>
      <c r="P2230" s="8">
        <v>9</v>
      </c>
      <c r="Q2230" s="8">
        <v>282</v>
      </c>
      <c r="R2230" s="8">
        <v>182.69</v>
      </c>
      <c r="S2230" s="8">
        <v>0</v>
      </c>
      <c r="T2230" s="5">
        <v>0</v>
      </c>
      <c r="U2230" s="5">
        <v>0</v>
      </c>
      <c r="V2230" s="5">
        <f>VLOOKUP(A2230,Planilha1!B:E,4,0)</f>
        <v>12.008237327188938</v>
      </c>
    </row>
    <row r="2231" spans="1:22" x14ac:dyDescent="0.3">
      <c r="A2231" t="str">
        <f t="shared" si="68"/>
        <v>LEITE CONDENSADOITAMBÉ</v>
      </c>
      <c r="B2231" t="str">
        <f t="shared" si="69"/>
        <v>5348271LEITE CONDENSADOITAMBÉ</v>
      </c>
      <c r="C2231" s="5" t="s">
        <v>226</v>
      </c>
      <c r="D2231" s="5" t="s">
        <v>727</v>
      </c>
      <c r="E2231" s="5" t="s">
        <v>733</v>
      </c>
      <c r="F2231" s="5">
        <v>5348271</v>
      </c>
      <c r="G2231" s="5" t="s">
        <v>749</v>
      </c>
      <c r="H2231" s="5" t="s">
        <v>25</v>
      </c>
      <c r="I2231" s="5" t="s">
        <v>27</v>
      </c>
      <c r="J2231" s="5" t="s">
        <v>33</v>
      </c>
      <c r="K2231" s="6">
        <v>0</v>
      </c>
      <c r="L2231" s="7">
        <v>0</v>
      </c>
      <c r="M2231" s="8">
        <v>355.5</v>
      </c>
      <c r="N2231" s="8">
        <v>711</v>
      </c>
      <c r="O2231" s="8">
        <v>0</v>
      </c>
      <c r="P2231" s="8">
        <v>0</v>
      </c>
      <c r="Q2231" s="8">
        <v>0</v>
      </c>
      <c r="R2231" s="8">
        <v>0</v>
      </c>
      <c r="S2231" s="8">
        <v>0</v>
      </c>
      <c r="T2231" s="5">
        <v>0</v>
      </c>
      <c r="U2231" s="5">
        <v>0</v>
      </c>
      <c r="V2231" s="5">
        <f>VLOOKUP(A2231,Planilha1!B:E,4,0)</f>
        <v>1.4766792698630664</v>
      </c>
    </row>
    <row r="2232" spans="1:22" x14ac:dyDescent="0.3">
      <c r="A2232" t="str">
        <f t="shared" si="68"/>
        <v>COMPOSTOITAMBÉ</v>
      </c>
      <c r="B2232" t="str">
        <f t="shared" si="69"/>
        <v>5176952COMPOSTOITAMBÉ</v>
      </c>
      <c r="C2232" s="5" t="s">
        <v>16</v>
      </c>
      <c r="D2232" s="5" t="s">
        <v>28</v>
      </c>
      <c r="E2232" s="5" t="s">
        <v>23</v>
      </c>
      <c r="F2232" s="5">
        <v>5176952</v>
      </c>
      <c r="G2232" s="5" t="s">
        <v>233</v>
      </c>
      <c r="H2232" s="5" t="s">
        <v>30</v>
      </c>
      <c r="I2232" s="5" t="s">
        <v>27</v>
      </c>
      <c r="J2232" s="5" t="s">
        <v>26</v>
      </c>
      <c r="K2232" s="6">
        <v>0</v>
      </c>
      <c r="L2232" s="7">
        <v>0</v>
      </c>
      <c r="M2232" s="8">
        <v>820.83333333333337</v>
      </c>
      <c r="N2232" s="8">
        <v>833.33333333333337</v>
      </c>
      <c r="O2232" s="8">
        <v>0</v>
      </c>
      <c r="P2232" s="8">
        <v>0</v>
      </c>
      <c r="Q2232" s="8">
        <v>0</v>
      </c>
      <c r="R2232" s="8">
        <v>0</v>
      </c>
      <c r="S2232" s="8">
        <v>0</v>
      </c>
      <c r="T2232" s="5">
        <v>0</v>
      </c>
      <c r="U2232" s="5">
        <v>0</v>
      </c>
      <c r="V2232" s="5">
        <f>VLOOKUP(A2232,Planilha1!B:E,4,0)</f>
        <v>0.15618217875936719</v>
      </c>
    </row>
    <row r="2233" spans="1:22" x14ac:dyDescent="0.3">
      <c r="A2233" t="str">
        <f t="shared" si="68"/>
        <v>BLISTERITAMBÉ</v>
      </c>
      <c r="B2233" t="str">
        <f t="shared" si="69"/>
        <v>5340656BLISTERITAMBÉ</v>
      </c>
      <c r="C2233" s="5" t="s">
        <v>226</v>
      </c>
      <c r="D2233" s="5" t="s">
        <v>227</v>
      </c>
      <c r="E2233" s="5" t="s">
        <v>703</v>
      </c>
      <c r="F2233" s="5">
        <v>5340656</v>
      </c>
      <c r="G2233" s="5" t="s">
        <v>726</v>
      </c>
      <c r="H2233" s="5" t="s">
        <v>30</v>
      </c>
      <c r="I2233" s="5" t="s">
        <v>27</v>
      </c>
      <c r="J2233" s="5" t="s">
        <v>199</v>
      </c>
      <c r="K2233" s="6">
        <v>0</v>
      </c>
      <c r="L2233" s="7">
        <v>0</v>
      </c>
      <c r="M2233" s="8">
        <v>1.28</v>
      </c>
      <c r="N2233" s="8">
        <v>1.3333333333333333</v>
      </c>
      <c r="O2233" s="8">
        <v>0</v>
      </c>
      <c r="P2233" s="8">
        <v>0</v>
      </c>
      <c r="Q2233" s="8">
        <v>0</v>
      </c>
      <c r="R2233" s="8">
        <v>0</v>
      </c>
      <c r="S2233" s="8">
        <v>0</v>
      </c>
      <c r="T2233" s="5">
        <v>0</v>
      </c>
      <c r="U2233" s="5">
        <v>0</v>
      </c>
      <c r="V2233" s="5">
        <f>VLOOKUP(A2233,Planilha1!B:E,4,0)</f>
        <v>10.339882680976428</v>
      </c>
    </row>
    <row r="2234" spans="1:22" x14ac:dyDescent="0.3">
      <c r="A2234" t="str">
        <f t="shared" si="68"/>
        <v>LEITE EM PÓITAMBÉ</v>
      </c>
      <c r="B2234" t="str">
        <f t="shared" si="69"/>
        <v>5194644LEITE EM PÓITAMBÉ</v>
      </c>
      <c r="C2234" s="5" t="s">
        <v>149</v>
      </c>
      <c r="D2234" s="5" t="s">
        <v>150</v>
      </c>
      <c r="E2234" s="5" t="s">
        <v>151</v>
      </c>
      <c r="F2234" s="5">
        <v>5194644</v>
      </c>
      <c r="G2234" s="5" t="s">
        <v>1244</v>
      </c>
      <c r="H2234" s="5" t="s">
        <v>91</v>
      </c>
      <c r="I2234" s="5" t="s">
        <v>27</v>
      </c>
      <c r="J2234" s="5" t="s">
        <v>84</v>
      </c>
      <c r="K2234" s="6">
        <v>0</v>
      </c>
      <c r="L2234" s="7">
        <v>0</v>
      </c>
      <c r="M2234" s="8">
        <v>2</v>
      </c>
      <c r="N2234" s="8">
        <v>4</v>
      </c>
      <c r="O2234" s="8">
        <v>0</v>
      </c>
      <c r="P2234" s="8">
        <v>0</v>
      </c>
      <c r="Q2234" s="8">
        <v>0</v>
      </c>
      <c r="R2234" s="8">
        <v>0</v>
      </c>
      <c r="S2234" s="8">
        <v>0</v>
      </c>
      <c r="T2234" s="5">
        <v>0</v>
      </c>
      <c r="U2234" s="5">
        <v>0</v>
      </c>
      <c r="V2234" s="5">
        <f>VLOOKUP(A2234,Planilha1!B:E,4,0)</f>
        <v>4.5971522734997743</v>
      </c>
    </row>
    <row r="2235" spans="1:22" x14ac:dyDescent="0.3">
      <c r="A2235" t="str">
        <f t="shared" si="68"/>
        <v>COMPOSTOITAMBÉ</v>
      </c>
      <c r="B2235" t="str">
        <f t="shared" si="69"/>
        <v>5173983COMPOSTOITAMBÉ</v>
      </c>
      <c r="C2235" s="5" t="s">
        <v>226</v>
      </c>
      <c r="D2235" s="5" t="s">
        <v>752</v>
      </c>
      <c r="E2235" s="5" t="s">
        <v>774</v>
      </c>
      <c r="F2235" s="5">
        <v>5173983</v>
      </c>
      <c r="G2235" s="5" t="s">
        <v>1245</v>
      </c>
      <c r="H2235" s="5" t="s">
        <v>32</v>
      </c>
      <c r="I2235" s="5" t="s">
        <v>27</v>
      </c>
      <c r="J2235" s="5" t="s">
        <v>26</v>
      </c>
      <c r="K2235" s="6">
        <v>0</v>
      </c>
      <c r="L2235" s="7">
        <v>0</v>
      </c>
      <c r="M2235" s="8">
        <v>30</v>
      </c>
      <c r="N2235" s="8">
        <v>60</v>
      </c>
      <c r="O2235" s="8">
        <v>0</v>
      </c>
      <c r="P2235" s="8">
        <v>0</v>
      </c>
      <c r="Q2235" s="8">
        <v>0</v>
      </c>
      <c r="R2235" s="8">
        <v>0</v>
      </c>
      <c r="S2235" s="8">
        <v>0</v>
      </c>
      <c r="T2235" s="5">
        <v>0</v>
      </c>
      <c r="U2235" s="5">
        <v>0</v>
      </c>
      <c r="V2235" s="5">
        <f>VLOOKUP(A2235,Planilha1!B:E,4,0)</f>
        <v>0.15618217875936719</v>
      </c>
    </row>
    <row r="2236" spans="1:22" x14ac:dyDescent="0.3">
      <c r="A2236" t="str">
        <f t="shared" si="68"/>
        <v>LEITE CONDENSADOITAMBÉ</v>
      </c>
      <c r="B2236" t="str">
        <f t="shared" si="69"/>
        <v>5173983LEITE CONDENSADOITAMBÉ</v>
      </c>
      <c r="C2236" s="5" t="s">
        <v>226</v>
      </c>
      <c r="D2236" s="5" t="s">
        <v>752</v>
      </c>
      <c r="E2236" s="5" t="s">
        <v>774</v>
      </c>
      <c r="F2236" s="5">
        <v>5173983</v>
      </c>
      <c r="G2236" s="5" t="s">
        <v>1245</v>
      </c>
      <c r="H2236" s="5" t="s">
        <v>32</v>
      </c>
      <c r="I2236" s="5" t="s">
        <v>27</v>
      </c>
      <c r="J2236" s="5" t="s">
        <v>33</v>
      </c>
      <c r="K2236" s="6">
        <v>0</v>
      </c>
      <c r="L2236" s="7">
        <v>0</v>
      </c>
      <c r="M2236" s="8">
        <v>58.174999999999997</v>
      </c>
      <c r="N2236" s="8">
        <v>35.666666666666664</v>
      </c>
      <c r="O2236" s="8">
        <v>0</v>
      </c>
      <c r="P2236" s="8">
        <v>0</v>
      </c>
      <c r="Q2236" s="8">
        <v>0</v>
      </c>
      <c r="R2236" s="8">
        <v>0</v>
      </c>
      <c r="S2236" s="8">
        <v>121</v>
      </c>
      <c r="T2236" s="5">
        <v>121</v>
      </c>
      <c r="U2236" s="5">
        <v>0</v>
      </c>
      <c r="V2236" s="5">
        <f>VLOOKUP(A2236,Planilha1!B:E,4,0)</f>
        <v>1.4766792698630664</v>
      </c>
    </row>
    <row r="2237" spans="1:22" x14ac:dyDescent="0.3">
      <c r="A2237" t="str">
        <f t="shared" si="68"/>
        <v>LEITE CONDENSADOITAMBÉ</v>
      </c>
      <c r="B2237" t="str">
        <f t="shared" si="69"/>
        <v>5210640LEITE CONDENSADOITAMBÉ</v>
      </c>
      <c r="C2237" s="5" t="s">
        <v>16</v>
      </c>
      <c r="D2237" s="5" t="s">
        <v>17</v>
      </c>
      <c r="E2237" s="5" t="s">
        <v>44</v>
      </c>
      <c r="F2237" s="5">
        <v>5210640</v>
      </c>
      <c r="G2237" s="5" t="s">
        <v>72</v>
      </c>
      <c r="H2237" s="5" t="s">
        <v>30</v>
      </c>
      <c r="I2237" s="5" t="s">
        <v>27</v>
      </c>
      <c r="J2237" s="5" t="s">
        <v>33</v>
      </c>
      <c r="K2237" s="6">
        <v>0</v>
      </c>
      <c r="L2237" s="7">
        <v>0</v>
      </c>
      <c r="M2237" s="8">
        <v>383.33333333333331</v>
      </c>
      <c r="N2237" s="8">
        <v>766.66666666666663</v>
      </c>
      <c r="O2237" s="8">
        <v>0</v>
      </c>
      <c r="P2237" s="8">
        <v>0</v>
      </c>
      <c r="Q2237" s="8">
        <v>0</v>
      </c>
      <c r="R2237" s="8">
        <v>0</v>
      </c>
      <c r="S2237" s="8">
        <v>0</v>
      </c>
      <c r="T2237" s="5">
        <v>0</v>
      </c>
      <c r="U2237" s="5">
        <v>0</v>
      </c>
      <c r="V2237" s="5">
        <f>VLOOKUP(A2237,Planilha1!B:E,4,0)</f>
        <v>1.4766792698630664</v>
      </c>
    </row>
    <row r="2238" spans="1:22" x14ac:dyDescent="0.3">
      <c r="A2238" t="str">
        <f t="shared" si="68"/>
        <v>MANTEIGA 5KGITAMBÉ</v>
      </c>
      <c r="B2238" t="str">
        <f t="shared" si="69"/>
        <v>5210973MANTEIGA 5KGITAMBÉ</v>
      </c>
      <c r="C2238" s="5" t="s">
        <v>149</v>
      </c>
      <c r="D2238" s="5" t="s">
        <v>150</v>
      </c>
      <c r="E2238" s="5" t="s">
        <v>186</v>
      </c>
      <c r="F2238" s="5">
        <v>5210973</v>
      </c>
      <c r="G2238" s="5" t="s">
        <v>1246</v>
      </c>
      <c r="H2238" s="5" t="s">
        <v>103</v>
      </c>
      <c r="I2238" s="5" t="s">
        <v>27</v>
      </c>
      <c r="J2238" s="5" t="s">
        <v>60</v>
      </c>
      <c r="K2238" s="6">
        <v>0</v>
      </c>
      <c r="L2238" s="7">
        <v>0</v>
      </c>
      <c r="M2238" s="8">
        <v>10</v>
      </c>
      <c r="N2238" s="8">
        <v>20</v>
      </c>
      <c r="O2238" s="8">
        <v>0</v>
      </c>
      <c r="P2238" s="8">
        <v>0</v>
      </c>
      <c r="Q2238" s="8">
        <v>0</v>
      </c>
      <c r="R2238" s="8">
        <v>0</v>
      </c>
      <c r="S2238" s="8">
        <v>0</v>
      </c>
      <c r="T2238" s="5">
        <v>0</v>
      </c>
      <c r="U2238" s="5">
        <v>220</v>
      </c>
      <c r="V2238" s="5">
        <f>VLOOKUP(A2238,Planilha1!B:E,4,0)</f>
        <v>5.819800475298738</v>
      </c>
    </row>
    <row r="2239" spans="1:22" x14ac:dyDescent="0.3">
      <c r="A2239" t="str">
        <f t="shared" si="68"/>
        <v>IOGURTESITAMBÉ</v>
      </c>
      <c r="B2239" t="str">
        <f t="shared" si="69"/>
        <v>5063519IOGURTESITAMBÉ</v>
      </c>
      <c r="C2239" s="5" t="s">
        <v>149</v>
      </c>
      <c r="D2239" s="5" t="s">
        <v>150</v>
      </c>
      <c r="E2239" s="5" t="s">
        <v>151</v>
      </c>
      <c r="F2239" s="5">
        <v>5063519</v>
      </c>
      <c r="G2239" s="5" t="s">
        <v>198</v>
      </c>
      <c r="H2239" s="5" t="s">
        <v>30</v>
      </c>
      <c r="I2239" s="5" t="s">
        <v>27</v>
      </c>
      <c r="J2239" s="5" t="s">
        <v>153</v>
      </c>
      <c r="K2239" s="6">
        <v>0</v>
      </c>
      <c r="L2239" s="7">
        <v>0</v>
      </c>
      <c r="M2239" s="8">
        <v>4233.126666666667</v>
      </c>
      <c r="N2239" s="8">
        <v>3868.3333333333335</v>
      </c>
      <c r="O2239" s="8">
        <v>5300.9334710134262</v>
      </c>
      <c r="P2239" s="8">
        <v>0</v>
      </c>
      <c r="Q2239" s="8">
        <v>0</v>
      </c>
      <c r="R2239" s="8">
        <v>0</v>
      </c>
      <c r="S2239" s="8">
        <v>0</v>
      </c>
      <c r="T2239" s="5">
        <v>0</v>
      </c>
      <c r="U2239" s="5">
        <v>0</v>
      </c>
      <c r="V2239" s="5">
        <f>VLOOKUP(A2239,Planilha1!B:E,4,0)</f>
        <v>3.2554443184120534</v>
      </c>
    </row>
    <row r="2240" spans="1:22" x14ac:dyDescent="0.3">
      <c r="A2240" t="str">
        <f t="shared" si="68"/>
        <v>QUEIJOSITAMBÉ</v>
      </c>
      <c r="B2240" t="str">
        <f t="shared" si="69"/>
        <v>5006419QUEIJOSITAMBÉ</v>
      </c>
      <c r="C2240" s="5" t="s">
        <v>226</v>
      </c>
      <c r="D2240" s="5" t="s">
        <v>727</v>
      </c>
      <c r="E2240" s="5" t="s">
        <v>733</v>
      </c>
      <c r="F2240" s="5">
        <v>5006419</v>
      </c>
      <c r="G2240" s="5" t="s">
        <v>735</v>
      </c>
      <c r="H2240" s="5" t="s">
        <v>25</v>
      </c>
      <c r="I2240" s="5" t="s">
        <v>27</v>
      </c>
      <c r="J2240" s="5" t="s">
        <v>63</v>
      </c>
      <c r="K2240" s="6">
        <v>0</v>
      </c>
      <c r="L2240" s="7">
        <v>0</v>
      </c>
      <c r="M2240" s="8">
        <v>2.1666666666666665</v>
      </c>
      <c r="N2240" s="8">
        <v>1.6666666666666667</v>
      </c>
      <c r="O2240" s="8">
        <v>0</v>
      </c>
      <c r="P2240" s="8">
        <v>0</v>
      </c>
      <c r="Q2240" s="8">
        <v>0</v>
      </c>
      <c r="R2240" s="8">
        <v>0</v>
      </c>
      <c r="S2240" s="8">
        <v>0</v>
      </c>
      <c r="T2240" s="5">
        <v>0</v>
      </c>
      <c r="U2240" s="5">
        <v>0</v>
      </c>
      <c r="V2240" s="5">
        <f>VLOOKUP(A2240,Planilha1!B:E,4,0)</f>
        <v>12.008237327188938</v>
      </c>
    </row>
    <row r="2241" spans="1:22" x14ac:dyDescent="0.3">
      <c r="A2241" t="str">
        <f t="shared" si="68"/>
        <v>LEITE EM PÓITAMBÉ</v>
      </c>
      <c r="B2241" t="str">
        <f t="shared" si="69"/>
        <v>5006835LEITE EM PÓITAMBÉ</v>
      </c>
      <c r="C2241" s="5" t="s">
        <v>226</v>
      </c>
      <c r="D2241" s="5" t="s">
        <v>727</v>
      </c>
      <c r="E2241" s="5" t="s">
        <v>733</v>
      </c>
      <c r="F2241" s="5">
        <v>5006835</v>
      </c>
      <c r="G2241" s="5" t="s">
        <v>1247</v>
      </c>
      <c r="H2241" s="5" t="s">
        <v>25</v>
      </c>
      <c r="I2241" s="5" t="s">
        <v>27</v>
      </c>
      <c r="J2241" s="5" t="s">
        <v>84</v>
      </c>
      <c r="K2241" s="6">
        <v>0</v>
      </c>
      <c r="L2241" s="7">
        <v>0</v>
      </c>
      <c r="M2241" s="8">
        <v>66.666666666666671</v>
      </c>
      <c r="N2241" s="8">
        <v>33.333333333333336</v>
      </c>
      <c r="O2241" s="8">
        <v>73.985114457750583</v>
      </c>
      <c r="P2241" s="8">
        <v>0</v>
      </c>
      <c r="Q2241" s="8">
        <v>0</v>
      </c>
      <c r="R2241" s="8">
        <v>0</v>
      </c>
      <c r="S2241" s="8">
        <v>0</v>
      </c>
      <c r="T2241" s="5">
        <v>0</v>
      </c>
      <c r="U2241" s="5">
        <v>0</v>
      </c>
      <c r="V2241" s="5">
        <f>VLOOKUP(A2241,Planilha1!B:E,4,0)</f>
        <v>4.5971522734997743</v>
      </c>
    </row>
    <row r="2242" spans="1:22" x14ac:dyDescent="0.3">
      <c r="A2242" t="str">
        <f t="shared" ref="A2242:A2305" si="70">J2242&amp;I2242</f>
        <v>LEITE EM PÓITAMBÉ</v>
      </c>
      <c r="B2242" t="str">
        <f t="shared" si="69"/>
        <v>5023997LEITE EM PÓITAMBÉ</v>
      </c>
      <c r="C2242" s="5" t="s">
        <v>226</v>
      </c>
      <c r="D2242" s="5" t="s">
        <v>727</v>
      </c>
      <c r="E2242" s="5" t="s">
        <v>733</v>
      </c>
      <c r="F2242" s="5">
        <v>5023997</v>
      </c>
      <c r="G2242" s="5" t="s">
        <v>738</v>
      </c>
      <c r="H2242" s="5" t="s">
        <v>25</v>
      </c>
      <c r="I2242" s="5" t="s">
        <v>27</v>
      </c>
      <c r="J2242" s="5" t="s">
        <v>84</v>
      </c>
      <c r="K2242" s="6">
        <v>0</v>
      </c>
      <c r="L2242" s="7">
        <v>0</v>
      </c>
      <c r="M2242" s="8">
        <v>113.33333333333334</v>
      </c>
      <c r="N2242" s="8">
        <v>146.66666666666666</v>
      </c>
      <c r="O2242" s="8">
        <v>309.93764164733352</v>
      </c>
      <c r="P2242" s="8">
        <v>0</v>
      </c>
      <c r="Q2242" s="8">
        <v>240</v>
      </c>
      <c r="R2242" s="8">
        <v>0</v>
      </c>
      <c r="S2242" s="8">
        <v>0</v>
      </c>
      <c r="T2242" s="5">
        <v>0</v>
      </c>
      <c r="U2242" s="5">
        <v>0</v>
      </c>
      <c r="V2242" s="5">
        <f>VLOOKUP(A2242,Planilha1!B:E,4,0)</f>
        <v>4.5971522734997743</v>
      </c>
    </row>
    <row r="2243" spans="1:22" x14ac:dyDescent="0.3">
      <c r="A2243" t="str">
        <f t="shared" si="70"/>
        <v>MERC + AROMLACTALIS</v>
      </c>
      <c r="B2243" t="str">
        <f t="shared" ref="B2243:B2306" si="71">F2243&amp;J2243&amp;I2243</f>
        <v>5017576MERC + AROMLACTALIS</v>
      </c>
      <c r="C2243" s="5" t="s">
        <v>226</v>
      </c>
      <c r="D2243" s="5" t="s">
        <v>752</v>
      </c>
      <c r="E2243" s="5" t="s">
        <v>774</v>
      </c>
      <c r="F2243" s="5">
        <v>5017576</v>
      </c>
      <c r="G2243" s="5" t="s">
        <v>775</v>
      </c>
      <c r="H2243" s="5" t="s">
        <v>32</v>
      </c>
      <c r="I2243" s="5" t="s">
        <v>22</v>
      </c>
      <c r="J2243" s="5" t="s">
        <v>230</v>
      </c>
      <c r="K2243" s="6">
        <v>0</v>
      </c>
      <c r="L2243" s="7">
        <v>0</v>
      </c>
      <c r="M2243" s="8">
        <v>11.5</v>
      </c>
      <c r="N2243" s="8">
        <v>13</v>
      </c>
      <c r="O2243" s="8">
        <v>0</v>
      </c>
      <c r="P2243" s="8">
        <v>0</v>
      </c>
      <c r="Q2243" s="8">
        <v>0</v>
      </c>
      <c r="R2243" s="8">
        <v>0</v>
      </c>
      <c r="S2243" s="8">
        <v>30</v>
      </c>
      <c r="T2243" s="5">
        <v>30</v>
      </c>
      <c r="U2243" s="5">
        <v>0</v>
      </c>
      <c r="V2243" s="5">
        <f>VLOOKUP(A2243,Planilha1!B:E,4,0)</f>
        <v>0.86907188046232187</v>
      </c>
    </row>
    <row r="2244" spans="1:22" x14ac:dyDescent="0.3">
      <c r="A2244" t="str">
        <f t="shared" si="70"/>
        <v>CREME UHTITAMBÉ</v>
      </c>
      <c r="B2244" t="str">
        <f t="shared" si="71"/>
        <v>5128929CREME UHTITAMBÉ</v>
      </c>
      <c r="C2244" s="5" t="s">
        <v>226</v>
      </c>
      <c r="D2244" s="5" t="s">
        <v>833</v>
      </c>
      <c r="E2244" s="5" t="s">
        <v>850</v>
      </c>
      <c r="F2244" s="5">
        <v>5128929</v>
      </c>
      <c r="G2244" s="5" t="s">
        <v>1242</v>
      </c>
      <c r="H2244" s="5" t="s">
        <v>40</v>
      </c>
      <c r="I2244" s="5" t="s">
        <v>27</v>
      </c>
      <c r="J2244" s="5" t="s">
        <v>34</v>
      </c>
      <c r="K2244" s="6">
        <v>0</v>
      </c>
      <c r="L2244" s="7">
        <v>0</v>
      </c>
      <c r="M2244" s="8">
        <v>153</v>
      </c>
      <c r="N2244" s="8">
        <v>180</v>
      </c>
      <c r="O2244" s="8">
        <v>0</v>
      </c>
      <c r="P2244" s="8">
        <v>0</v>
      </c>
      <c r="Q2244" s="8">
        <v>0</v>
      </c>
      <c r="R2244" s="8">
        <v>0</v>
      </c>
      <c r="S2244" s="8">
        <v>180</v>
      </c>
      <c r="T2244" s="5">
        <v>180</v>
      </c>
      <c r="U2244" s="5">
        <v>180</v>
      </c>
      <c r="V2244" s="5">
        <f>VLOOKUP(A2244,Planilha1!B:E,4,0)</f>
        <v>1.2362540170747773</v>
      </c>
    </row>
    <row r="2245" spans="1:22" x14ac:dyDescent="0.3">
      <c r="A2245" t="str">
        <f t="shared" si="70"/>
        <v>LEITE EM PÓITAMBÉ</v>
      </c>
      <c r="B2245" t="str">
        <f t="shared" si="71"/>
        <v>5026768LEITE EM PÓITAMBÉ</v>
      </c>
      <c r="C2245" s="5" t="s">
        <v>226</v>
      </c>
      <c r="D2245" s="5" t="s">
        <v>833</v>
      </c>
      <c r="E2245" s="5" t="s">
        <v>875</v>
      </c>
      <c r="F2245" s="5">
        <v>5026768</v>
      </c>
      <c r="G2245" s="5" t="s">
        <v>877</v>
      </c>
      <c r="H2245" s="5" t="s">
        <v>91</v>
      </c>
      <c r="I2245" s="5" t="s">
        <v>27</v>
      </c>
      <c r="J2245" s="5" t="s">
        <v>84</v>
      </c>
      <c r="K2245" s="6">
        <v>0</v>
      </c>
      <c r="L2245" s="7">
        <v>0</v>
      </c>
      <c r="M2245" s="8">
        <v>153.6</v>
      </c>
      <c r="N2245" s="8">
        <v>307.33333333333331</v>
      </c>
      <c r="O2245" s="8">
        <v>0</v>
      </c>
      <c r="P2245" s="8">
        <v>0</v>
      </c>
      <c r="Q2245" s="8">
        <v>0</v>
      </c>
      <c r="R2245" s="8">
        <v>0</v>
      </c>
      <c r="S2245" s="8">
        <v>0</v>
      </c>
      <c r="T2245" s="5">
        <v>0</v>
      </c>
      <c r="U2245" s="5">
        <v>0</v>
      </c>
      <c r="V2245" s="5">
        <f>VLOOKUP(A2245,Planilha1!B:E,4,0)</f>
        <v>4.5971522734997743</v>
      </c>
    </row>
    <row r="2246" spans="1:22" x14ac:dyDescent="0.3">
      <c r="A2246" t="str">
        <f t="shared" si="70"/>
        <v>SPREADSITAMBÉ</v>
      </c>
      <c r="B2246" t="str">
        <f t="shared" si="71"/>
        <v>5026768SPREADSITAMBÉ</v>
      </c>
      <c r="C2246" s="5" t="s">
        <v>226</v>
      </c>
      <c r="D2246" s="5" t="s">
        <v>833</v>
      </c>
      <c r="E2246" s="5" t="s">
        <v>875</v>
      </c>
      <c r="F2246" s="5">
        <v>5026768</v>
      </c>
      <c r="G2246" s="5" t="s">
        <v>877</v>
      </c>
      <c r="H2246" s="5" t="s">
        <v>91</v>
      </c>
      <c r="I2246" s="5" t="s">
        <v>27</v>
      </c>
      <c r="J2246" s="5" t="s">
        <v>945</v>
      </c>
      <c r="K2246" s="6">
        <v>0</v>
      </c>
      <c r="L2246" s="7">
        <v>73.2</v>
      </c>
      <c r="M2246" s="8">
        <v>131.13333333333333</v>
      </c>
      <c r="N2246" s="8">
        <v>151</v>
      </c>
      <c r="O2246" s="8">
        <v>28.99416647668604</v>
      </c>
      <c r="P2246" s="8">
        <v>0</v>
      </c>
      <c r="Q2246" s="8">
        <v>48</v>
      </c>
      <c r="R2246" s="8">
        <v>0</v>
      </c>
      <c r="S2246" s="8">
        <v>0</v>
      </c>
      <c r="T2246" s="5">
        <v>0</v>
      </c>
      <c r="U2246" s="5">
        <v>0</v>
      </c>
      <c r="V2246" s="5">
        <f>VLOOKUP(A2246,Planilha1!B:E,4,0)</f>
        <v>9.2962610783648607</v>
      </c>
    </row>
    <row r="2247" spans="1:22" x14ac:dyDescent="0.3">
      <c r="A2247" t="str">
        <f t="shared" si="70"/>
        <v>LEITE EM PÓITAMBÉ</v>
      </c>
      <c r="B2247" t="str">
        <f t="shared" si="71"/>
        <v>5130343LEITE EM PÓITAMBÉ</v>
      </c>
      <c r="C2247" s="5" t="s">
        <v>226</v>
      </c>
      <c r="D2247" s="5" t="s">
        <v>227</v>
      </c>
      <c r="E2247" s="5" t="s">
        <v>703</v>
      </c>
      <c r="F2247" s="5">
        <v>5130343</v>
      </c>
      <c r="G2247" s="5" t="s">
        <v>712</v>
      </c>
      <c r="H2247" s="5" t="s">
        <v>30</v>
      </c>
      <c r="I2247" s="5" t="s">
        <v>27</v>
      </c>
      <c r="J2247" s="5" t="s">
        <v>84</v>
      </c>
      <c r="K2247" s="6">
        <v>0</v>
      </c>
      <c r="L2247" s="7">
        <v>0</v>
      </c>
      <c r="M2247" s="8">
        <v>533.33333333333326</v>
      </c>
      <c r="N2247" s="8">
        <v>1066.6666666666667</v>
      </c>
      <c r="O2247" s="8">
        <v>0</v>
      </c>
      <c r="P2247" s="8">
        <v>0</v>
      </c>
      <c r="Q2247" s="8">
        <v>0</v>
      </c>
      <c r="R2247" s="8">
        <v>0</v>
      </c>
      <c r="S2247" s="8">
        <v>0</v>
      </c>
      <c r="T2247" s="5">
        <v>0</v>
      </c>
      <c r="U2247" s="5">
        <v>0</v>
      </c>
      <c r="V2247" s="5">
        <f>VLOOKUP(A2247,Planilha1!B:E,4,0)</f>
        <v>4.5971522734997743</v>
      </c>
    </row>
    <row r="2248" spans="1:22" x14ac:dyDescent="0.3">
      <c r="A2248" t="str">
        <f t="shared" si="70"/>
        <v>COMPOSTOITAMBÉ</v>
      </c>
      <c r="B2248" t="str">
        <f t="shared" si="71"/>
        <v>5361277COMPOSTOITAMBÉ</v>
      </c>
      <c r="C2248" s="5" t="s">
        <v>226</v>
      </c>
      <c r="D2248" s="5" t="s">
        <v>727</v>
      </c>
      <c r="E2248" s="5" t="s">
        <v>733</v>
      </c>
      <c r="F2248" s="5">
        <v>5361277</v>
      </c>
      <c r="G2248" s="5" t="s">
        <v>1239</v>
      </c>
      <c r="H2248" s="5" t="s">
        <v>25</v>
      </c>
      <c r="I2248" s="5" t="s">
        <v>27</v>
      </c>
      <c r="J2248" s="5" t="s">
        <v>26</v>
      </c>
      <c r="K2248" s="6">
        <v>0</v>
      </c>
      <c r="L2248" s="7">
        <v>0</v>
      </c>
      <c r="M2248" s="8">
        <v>70.833333333333343</v>
      </c>
      <c r="N2248" s="8">
        <v>141.66666666666666</v>
      </c>
      <c r="O2248" s="8">
        <v>0</v>
      </c>
      <c r="P2248" s="8">
        <v>0</v>
      </c>
      <c r="Q2248" s="8">
        <v>250</v>
      </c>
      <c r="R2248" s="8">
        <v>0</v>
      </c>
      <c r="S2248" s="8">
        <v>0</v>
      </c>
      <c r="T2248" s="5">
        <v>0</v>
      </c>
      <c r="U2248" s="5">
        <v>300</v>
      </c>
      <c r="V2248" s="5">
        <f>VLOOKUP(A2248,Planilha1!B:E,4,0)</f>
        <v>0.15618217875936719</v>
      </c>
    </row>
    <row r="2249" spans="1:22" x14ac:dyDescent="0.3">
      <c r="A2249" t="str">
        <f t="shared" si="70"/>
        <v>LEITE EM PÓITAMBÉ</v>
      </c>
      <c r="B2249" t="str">
        <f t="shared" si="71"/>
        <v>5130738LEITE EM PÓITAMBÉ</v>
      </c>
      <c r="C2249" s="5" t="s">
        <v>226</v>
      </c>
      <c r="D2249" s="5" t="s">
        <v>833</v>
      </c>
      <c r="E2249" s="5" t="s">
        <v>850</v>
      </c>
      <c r="F2249" s="5">
        <v>5130738</v>
      </c>
      <c r="G2249" s="5" t="s">
        <v>1058</v>
      </c>
      <c r="H2249" s="5" t="s">
        <v>40</v>
      </c>
      <c r="I2249" s="5" t="s">
        <v>27</v>
      </c>
      <c r="J2249" s="5" t="s">
        <v>84</v>
      </c>
      <c r="K2249" s="6">
        <v>0</v>
      </c>
      <c r="L2249" s="7">
        <v>0</v>
      </c>
      <c r="M2249" s="8">
        <v>116.66666666666669</v>
      </c>
      <c r="N2249" s="8">
        <v>166.66666666666666</v>
      </c>
      <c r="O2249" s="8">
        <v>0</v>
      </c>
      <c r="P2249" s="8">
        <v>0</v>
      </c>
      <c r="Q2249" s="8">
        <v>0</v>
      </c>
      <c r="R2249" s="8">
        <v>0</v>
      </c>
      <c r="S2249" s="8">
        <v>0</v>
      </c>
      <c r="T2249" s="5">
        <v>0</v>
      </c>
      <c r="U2249" s="5">
        <v>0</v>
      </c>
      <c r="V2249" s="5">
        <f>VLOOKUP(A2249,Planilha1!B:E,4,0)</f>
        <v>4.5971522734997743</v>
      </c>
    </row>
    <row r="2250" spans="1:22" x14ac:dyDescent="0.3">
      <c r="A2250" t="str">
        <f t="shared" si="70"/>
        <v>IOGURTESLACTALIS</v>
      </c>
      <c r="B2250" t="str">
        <f t="shared" si="71"/>
        <v>5063519IOGURTESLACTALIS</v>
      </c>
      <c r="C2250" s="5" t="s">
        <v>149</v>
      </c>
      <c r="D2250" s="5" t="s">
        <v>150</v>
      </c>
      <c r="E2250" s="5" t="s">
        <v>151</v>
      </c>
      <c r="F2250" s="5">
        <v>5063519</v>
      </c>
      <c r="G2250" s="5" t="s">
        <v>198</v>
      </c>
      <c r="H2250" s="5" t="s">
        <v>30</v>
      </c>
      <c r="I2250" s="5" t="s">
        <v>22</v>
      </c>
      <c r="J2250" s="5" t="s">
        <v>153</v>
      </c>
      <c r="K2250" s="6">
        <v>0</v>
      </c>
      <c r="L2250" s="7">
        <v>132</v>
      </c>
      <c r="M2250" s="8">
        <v>2192.2866666666678</v>
      </c>
      <c r="N2250" s="8">
        <v>1194.5866666666666</v>
      </c>
      <c r="O2250" s="8">
        <v>1639.0988881159017</v>
      </c>
      <c r="P2250" s="8">
        <v>0</v>
      </c>
      <c r="Q2250" s="8">
        <v>0</v>
      </c>
      <c r="R2250" s="8">
        <v>0</v>
      </c>
      <c r="S2250" s="8">
        <v>0</v>
      </c>
      <c r="T2250" s="5">
        <v>0</v>
      </c>
      <c r="U2250" s="5">
        <v>0</v>
      </c>
      <c r="V2250" s="5">
        <f>VLOOKUP(A2250,Planilha1!B:E,4,0)</f>
        <v>3.0503167986984403</v>
      </c>
    </row>
    <row r="2251" spans="1:22" x14ac:dyDescent="0.3">
      <c r="A2251" t="str">
        <f t="shared" si="70"/>
        <v>COMPOSTOITAMBÉ</v>
      </c>
      <c r="B2251" t="str">
        <f t="shared" si="71"/>
        <v>5130738COMPOSTOITAMBÉ</v>
      </c>
      <c r="C2251" s="5" t="s">
        <v>226</v>
      </c>
      <c r="D2251" s="5" t="s">
        <v>833</v>
      </c>
      <c r="E2251" s="5" t="s">
        <v>850</v>
      </c>
      <c r="F2251" s="5">
        <v>5130738</v>
      </c>
      <c r="G2251" s="5" t="s">
        <v>1058</v>
      </c>
      <c r="H2251" s="5" t="s">
        <v>40</v>
      </c>
      <c r="I2251" s="5" t="s">
        <v>27</v>
      </c>
      <c r="J2251" s="5" t="s">
        <v>26</v>
      </c>
      <c r="K2251" s="6">
        <v>0</v>
      </c>
      <c r="L2251" s="7">
        <v>0</v>
      </c>
      <c r="M2251" s="8">
        <v>229.16666666666663</v>
      </c>
      <c r="N2251" s="8">
        <v>166.66666666666666</v>
      </c>
      <c r="O2251" s="8">
        <v>0</v>
      </c>
      <c r="P2251" s="8">
        <v>0</v>
      </c>
      <c r="Q2251" s="8">
        <v>0</v>
      </c>
      <c r="R2251" s="8">
        <v>0</v>
      </c>
      <c r="S2251" s="8">
        <v>167</v>
      </c>
      <c r="T2251" s="5">
        <v>167</v>
      </c>
      <c r="U2251" s="5">
        <v>167</v>
      </c>
      <c r="V2251" s="5">
        <f>VLOOKUP(A2251,Planilha1!B:E,4,0)</f>
        <v>0.15618217875936719</v>
      </c>
    </row>
    <row r="2252" spans="1:22" x14ac:dyDescent="0.3">
      <c r="A2252" t="str">
        <f t="shared" si="70"/>
        <v>LEITE EM PÓITAMBÉ</v>
      </c>
      <c r="B2252" t="str">
        <f t="shared" si="71"/>
        <v>5075754LEITE EM PÓITAMBÉ</v>
      </c>
      <c r="C2252" s="5" t="s">
        <v>226</v>
      </c>
      <c r="D2252" s="5" t="s">
        <v>833</v>
      </c>
      <c r="E2252" s="5" t="s">
        <v>875</v>
      </c>
      <c r="F2252" s="5">
        <v>5075754</v>
      </c>
      <c r="G2252" s="5" t="s">
        <v>878</v>
      </c>
      <c r="H2252" s="5" t="s">
        <v>91</v>
      </c>
      <c r="I2252" s="5" t="s">
        <v>27</v>
      </c>
      <c r="J2252" s="5" t="s">
        <v>84</v>
      </c>
      <c r="K2252" s="6">
        <v>0</v>
      </c>
      <c r="L2252" s="7">
        <v>0</v>
      </c>
      <c r="M2252" s="8">
        <v>128.20000000000002</v>
      </c>
      <c r="N2252" s="8">
        <v>249.66666666666669</v>
      </c>
      <c r="O2252" s="8">
        <v>6.9985919081655954</v>
      </c>
      <c r="P2252" s="8">
        <v>0</v>
      </c>
      <c r="Q2252" s="8">
        <v>0</v>
      </c>
      <c r="R2252" s="8">
        <v>0</v>
      </c>
      <c r="S2252" s="8">
        <v>0</v>
      </c>
      <c r="T2252" s="5">
        <v>0</v>
      </c>
      <c r="U2252" s="5">
        <v>0</v>
      </c>
      <c r="V2252" s="5">
        <f>VLOOKUP(A2252,Planilha1!B:E,4,0)</f>
        <v>4.5971522734997743</v>
      </c>
    </row>
    <row r="2253" spans="1:22" x14ac:dyDescent="0.3">
      <c r="A2253" t="str">
        <f t="shared" si="70"/>
        <v>LPI 25KGITAMBÉ</v>
      </c>
      <c r="B2253" t="str">
        <f t="shared" si="71"/>
        <v>5361885LPI 25KGITAMBÉ</v>
      </c>
      <c r="C2253" s="5" t="s">
        <v>16</v>
      </c>
      <c r="D2253" s="5" t="s">
        <v>17</v>
      </c>
      <c r="E2253" s="5" t="s">
        <v>66</v>
      </c>
      <c r="F2253" s="5">
        <v>5361885</v>
      </c>
      <c r="G2253" s="5" t="s">
        <v>1248</v>
      </c>
      <c r="H2253" s="5" t="s">
        <v>113</v>
      </c>
      <c r="I2253" s="5" t="s">
        <v>27</v>
      </c>
      <c r="J2253" s="5" t="s">
        <v>21</v>
      </c>
      <c r="K2253" s="6">
        <v>0</v>
      </c>
      <c r="L2253" s="7">
        <v>0</v>
      </c>
      <c r="M2253" s="8">
        <v>12500</v>
      </c>
      <c r="N2253" s="8">
        <v>25000</v>
      </c>
      <c r="O2253" s="8">
        <v>0</v>
      </c>
      <c r="P2253" s="8">
        <v>0</v>
      </c>
      <c r="Q2253" s="8">
        <v>0</v>
      </c>
      <c r="R2253" s="8">
        <v>0</v>
      </c>
      <c r="S2253" s="8">
        <v>0</v>
      </c>
      <c r="T2253" s="5">
        <v>0</v>
      </c>
      <c r="U2253" s="5">
        <v>0</v>
      </c>
      <c r="V2253" s="5">
        <f>VLOOKUP(A2253,Planilha1!B:E,4,0)</f>
        <v>-1.218192805504376</v>
      </c>
    </row>
    <row r="2254" spans="1:22" x14ac:dyDescent="0.3">
      <c r="A2254" t="str">
        <f t="shared" si="70"/>
        <v>COMPOSTOITAMBÉ</v>
      </c>
      <c r="B2254" t="str">
        <f t="shared" si="71"/>
        <v>5361575COMPOSTOITAMBÉ</v>
      </c>
      <c r="C2254" s="5" t="s">
        <v>226</v>
      </c>
      <c r="D2254" s="5" t="s">
        <v>727</v>
      </c>
      <c r="E2254" s="5" t="s">
        <v>733</v>
      </c>
      <c r="F2254" s="5">
        <v>5361575</v>
      </c>
      <c r="G2254" s="5" t="s">
        <v>1249</v>
      </c>
      <c r="H2254" s="5" t="s">
        <v>25</v>
      </c>
      <c r="I2254" s="5" t="s">
        <v>27</v>
      </c>
      <c r="J2254" s="5" t="s">
        <v>26</v>
      </c>
      <c r="K2254" s="6">
        <v>0</v>
      </c>
      <c r="L2254" s="7">
        <v>0</v>
      </c>
      <c r="M2254" s="8">
        <v>83.333333333333329</v>
      </c>
      <c r="N2254" s="8">
        <v>166.66666666666666</v>
      </c>
      <c r="O2254" s="8">
        <v>0</v>
      </c>
      <c r="P2254" s="8">
        <v>0</v>
      </c>
      <c r="Q2254" s="8">
        <v>0</v>
      </c>
      <c r="R2254" s="8">
        <v>0</v>
      </c>
      <c r="S2254" s="8">
        <v>0</v>
      </c>
      <c r="T2254" s="5">
        <v>0</v>
      </c>
      <c r="U2254" s="5">
        <v>20</v>
      </c>
      <c r="V2254" s="5">
        <f>VLOOKUP(A2254,Planilha1!B:E,4,0)</f>
        <v>0.15618217875936719</v>
      </c>
    </row>
    <row r="2255" spans="1:22" x14ac:dyDescent="0.3">
      <c r="A2255" t="str">
        <f t="shared" si="70"/>
        <v>COMPOSTOITAMBÉ</v>
      </c>
      <c r="B2255" t="str">
        <f t="shared" si="71"/>
        <v>5363157COMPOSTOITAMBÉ</v>
      </c>
      <c r="C2255" s="5" t="s">
        <v>16</v>
      </c>
      <c r="D2255" s="5" t="s">
        <v>28</v>
      </c>
      <c r="E2255" s="5" t="s">
        <v>23</v>
      </c>
      <c r="F2255" s="5">
        <v>5363157</v>
      </c>
      <c r="G2255" s="5" t="s">
        <v>1250</v>
      </c>
      <c r="H2255" s="5" t="s">
        <v>30</v>
      </c>
      <c r="I2255" s="5" t="s">
        <v>27</v>
      </c>
      <c r="J2255" s="5" t="s">
        <v>26</v>
      </c>
      <c r="K2255" s="6">
        <v>0</v>
      </c>
      <c r="L2255" s="7">
        <v>0</v>
      </c>
      <c r="M2255" s="8">
        <v>8.3333333333333339</v>
      </c>
      <c r="N2255" s="8">
        <v>16.666666666666668</v>
      </c>
      <c r="O2255" s="8">
        <v>0</v>
      </c>
      <c r="P2255" s="8">
        <v>0</v>
      </c>
      <c r="Q2255" s="8">
        <v>0</v>
      </c>
      <c r="R2255" s="8">
        <v>0</v>
      </c>
      <c r="S2255" s="8">
        <v>0</v>
      </c>
      <c r="T2255" s="5">
        <v>0</v>
      </c>
      <c r="U2255" s="5">
        <v>0</v>
      </c>
      <c r="V2255" s="5">
        <f>VLOOKUP(A2255,Planilha1!B:E,4,0)</f>
        <v>0.15618217875936719</v>
      </c>
    </row>
    <row r="2256" spans="1:22" x14ac:dyDescent="0.3">
      <c r="A2256" t="str">
        <f t="shared" si="70"/>
        <v>COMPOSTOITAMBÉ</v>
      </c>
      <c r="B2256" t="str">
        <f t="shared" si="71"/>
        <v>5363330COMPOSTOITAMBÉ</v>
      </c>
      <c r="C2256" s="5" t="s">
        <v>16</v>
      </c>
      <c r="D2256" s="5" t="s">
        <v>28</v>
      </c>
      <c r="E2256" s="5" t="s">
        <v>23</v>
      </c>
      <c r="F2256" s="5">
        <v>5363330</v>
      </c>
      <c r="G2256" s="5" t="s">
        <v>1251</v>
      </c>
      <c r="H2256" s="5" t="s">
        <v>25</v>
      </c>
      <c r="I2256" s="5" t="s">
        <v>27</v>
      </c>
      <c r="J2256" s="5" t="s">
        <v>26</v>
      </c>
      <c r="K2256" s="6">
        <v>0</v>
      </c>
      <c r="L2256" s="7">
        <v>0</v>
      </c>
      <c r="M2256" s="8">
        <v>20.833333333333332</v>
      </c>
      <c r="N2256" s="8">
        <v>41.666666666666664</v>
      </c>
      <c r="O2256" s="8">
        <v>0</v>
      </c>
      <c r="P2256" s="8">
        <v>0</v>
      </c>
      <c r="Q2256" s="8">
        <v>0</v>
      </c>
      <c r="R2256" s="8">
        <v>0</v>
      </c>
      <c r="S2256" s="8">
        <v>0</v>
      </c>
      <c r="T2256" s="5">
        <v>0</v>
      </c>
      <c r="U2256" s="5">
        <v>0</v>
      </c>
      <c r="V2256" s="5">
        <f>VLOOKUP(A2256,Planilha1!B:E,4,0)</f>
        <v>0.15618217875936719</v>
      </c>
    </row>
    <row r="2257" spans="1:22" x14ac:dyDescent="0.3">
      <c r="A2257" t="str">
        <f t="shared" si="70"/>
        <v>IOGURTESLACTALIS</v>
      </c>
      <c r="B2257" t="str">
        <f t="shared" si="71"/>
        <v>5001794IOGURTESLACTALIS</v>
      </c>
      <c r="C2257" s="5" t="s">
        <v>149</v>
      </c>
      <c r="D2257" s="5" t="s">
        <v>210</v>
      </c>
      <c r="E2257" s="5" t="s">
        <v>210</v>
      </c>
      <c r="F2257" s="5">
        <v>5001794</v>
      </c>
      <c r="G2257" s="5" t="s">
        <v>211</v>
      </c>
      <c r="H2257" s="5" t="s">
        <v>154</v>
      </c>
      <c r="I2257" s="5" t="s">
        <v>22</v>
      </c>
      <c r="J2257" s="5" t="s">
        <v>153</v>
      </c>
      <c r="K2257" s="6">
        <v>0</v>
      </c>
      <c r="L2257" s="7">
        <v>180</v>
      </c>
      <c r="M2257" s="8">
        <v>838.24</v>
      </c>
      <c r="N2257" s="8">
        <v>991.99999999999989</v>
      </c>
      <c r="O2257" s="8">
        <v>380.42470978010374</v>
      </c>
      <c r="P2257" s="8">
        <v>0</v>
      </c>
      <c r="Q2257" s="8">
        <v>0</v>
      </c>
      <c r="R2257" s="8">
        <v>0</v>
      </c>
      <c r="S2257" s="8">
        <v>0</v>
      </c>
      <c r="T2257" s="5">
        <v>0</v>
      </c>
      <c r="U2257" s="5">
        <v>0</v>
      </c>
      <c r="V2257" s="5">
        <f>VLOOKUP(A2257,Planilha1!B:E,4,0)</f>
        <v>3.0503167986984403</v>
      </c>
    </row>
    <row r="2258" spans="1:22" x14ac:dyDescent="0.3">
      <c r="A2258" t="str">
        <f t="shared" si="70"/>
        <v>CREME UHTITAMBÉ</v>
      </c>
      <c r="B2258" t="str">
        <f t="shared" si="71"/>
        <v>5083008CREME UHTITAMBÉ</v>
      </c>
      <c r="C2258" s="5" t="s">
        <v>226</v>
      </c>
      <c r="D2258" s="5" t="s">
        <v>893</v>
      </c>
      <c r="E2258" s="5" t="s">
        <v>231</v>
      </c>
      <c r="F2258" s="5">
        <v>5083008</v>
      </c>
      <c r="G2258" s="5" t="s">
        <v>898</v>
      </c>
      <c r="H2258" s="5" t="s">
        <v>30</v>
      </c>
      <c r="I2258" s="5" t="s">
        <v>27</v>
      </c>
      <c r="J2258" s="5" t="s">
        <v>34</v>
      </c>
      <c r="K2258" s="6">
        <v>0</v>
      </c>
      <c r="L2258" s="7">
        <v>0</v>
      </c>
      <c r="M2258" s="8">
        <v>12</v>
      </c>
      <c r="N2258" s="8">
        <v>24</v>
      </c>
      <c r="O2258" s="8">
        <v>0</v>
      </c>
      <c r="P2258" s="8">
        <v>0</v>
      </c>
      <c r="Q2258" s="8">
        <v>0</v>
      </c>
      <c r="R2258" s="8">
        <v>0</v>
      </c>
      <c r="S2258" s="8">
        <v>0</v>
      </c>
      <c r="T2258" s="5">
        <v>0</v>
      </c>
      <c r="U2258" s="5">
        <v>0</v>
      </c>
      <c r="V2258" s="5">
        <f>VLOOKUP(A2258,Planilha1!B:E,4,0)</f>
        <v>1.2362540170747773</v>
      </c>
    </row>
    <row r="2259" spans="1:22" x14ac:dyDescent="0.3">
      <c r="A2259" t="str">
        <f t="shared" si="70"/>
        <v>SPREADSITAMBÉ</v>
      </c>
      <c r="B2259" t="str">
        <f t="shared" si="71"/>
        <v>5272524SPREADSITAMBÉ</v>
      </c>
      <c r="C2259" s="5" t="s">
        <v>226</v>
      </c>
      <c r="D2259" s="5" t="s">
        <v>227</v>
      </c>
      <c r="E2259" s="5" t="s">
        <v>228</v>
      </c>
      <c r="F2259" s="5">
        <v>5272524</v>
      </c>
      <c r="G2259" s="5" t="s">
        <v>1252</v>
      </c>
      <c r="H2259" s="5" t="s">
        <v>30</v>
      </c>
      <c r="I2259" s="5" t="s">
        <v>27</v>
      </c>
      <c r="J2259" s="5" t="s">
        <v>945</v>
      </c>
      <c r="K2259" s="6">
        <v>0</v>
      </c>
      <c r="L2259" s="7">
        <v>0</v>
      </c>
      <c r="M2259" s="8">
        <v>1</v>
      </c>
      <c r="N2259" s="8">
        <v>2</v>
      </c>
      <c r="O2259" s="8">
        <v>0</v>
      </c>
      <c r="P2259" s="8">
        <v>0</v>
      </c>
      <c r="Q2259" s="8">
        <v>4.8</v>
      </c>
      <c r="R2259" s="8">
        <v>0</v>
      </c>
      <c r="S2259" s="8">
        <v>0</v>
      </c>
      <c r="T2259" s="5">
        <v>0</v>
      </c>
      <c r="U2259" s="5">
        <v>0</v>
      </c>
      <c r="V2259" s="5">
        <f>VLOOKUP(A2259,Planilha1!B:E,4,0)</f>
        <v>9.2962610783648607</v>
      </c>
    </row>
    <row r="2260" spans="1:22" x14ac:dyDescent="0.3">
      <c r="A2260" t="str">
        <f t="shared" si="70"/>
        <v>LEITE UHTITAMBÉ</v>
      </c>
      <c r="B2260" t="str">
        <f t="shared" si="71"/>
        <v>5008636LEITE UHTITAMBÉ</v>
      </c>
      <c r="C2260" s="5" t="s">
        <v>149</v>
      </c>
      <c r="D2260" s="5" t="s">
        <v>150</v>
      </c>
      <c r="E2260" s="5" t="s">
        <v>151</v>
      </c>
      <c r="F2260" s="5">
        <v>5008636</v>
      </c>
      <c r="G2260" s="5" t="s">
        <v>200</v>
      </c>
      <c r="H2260" s="5" t="s">
        <v>154</v>
      </c>
      <c r="I2260" s="5" t="s">
        <v>27</v>
      </c>
      <c r="J2260" s="5" t="s">
        <v>156</v>
      </c>
      <c r="K2260" s="6">
        <v>0</v>
      </c>
      <c r="L2260" s="7">
        <v>0</v>
      </c>
      <c r="M2260" s="8">
        <v>1734</v>
      </c>
      <c r="N2260" s="8">
        <v>-768</v>
      </c>
      <c r="O2260" s="8">
        <v>0</v>
      </c>
      <c r="P2260" s="8">
        <v>0</v>
      </c>
      <c r="Q2260" s="8">
        <v>0</v>
      </c>
      <c r="R2260" s="8">
        <v>0</v>
      </c>
      <c r="S2260" s="8">
        <v>0</v>
      </c>
      <c r="T2260" s="5">
        <v>0</v>
      </c>
      <c r="U2260" s="5">
        <v>0</v>
      </c>
      <c r="V2260" s="5">
        <f>VLOOKUP(A2260,Planilha1!B:E,4,0)</f>
        <v>-0.14425288609148015</v>
      </c>
    </row>
    <row r="2261" spans="1:22" x14ac:dyDescent="0.3">
      <c r="A2261" t="str">
        <f t="shared" si="70"/>
        <v>LEITE EM PÓITAMBÉ</v>
      </c>
      <c r="B2261" t="str">
        <f t="shared" si="71"/>
        <v>5077852LEITE EM PÓITAMBÉ</v>
      </c>
      <c r="C2261" s="5" t="s">
        <v>226</v>
      </c>
      <c r="D2261" s="5" t="s">
        <v>893</v>
      </c>
      <c r="E2261" s="5" t="s">
        <v>231</v>
      </c>
      <c r="F2261" s="5">
        <v>5077852</v>
      </c>
      <c r="G2261" s="5" t="s">
        <v>897</v>
      </c>
      <c r="H2261" s="5" t="s">
        <v>30</v>
      </c>
      <c r="I2261" s="5" t="s">
        <v>27</v>
      </c>
      <c r="J2261" s="5" t="s">
        <v>84</v>
      </c>
      <c r="K2261" s="6">
        <v>0</v>
      </c>
      <c r="L2261" s="7">
        <v>0</v>
      </c>
      <c r="M2261" s="8">
        <v>148.33333333333334</v>
      </c>
      <c r="N2261" s="8">
        <v>196.66666666666669</v>
      </c>
      <c r="O2261" s="8">
        <v>36.992557228875292</v>
      </c>
      <c r="P2261" s="8">
        <v>0</v>
      </c>
      <c r="Q2261" s="8">
        <v>0</v>
      </c>
      <c r="R2261" s="8">
        <v>0</v>
      </c>
      <c r="S2261" s="8">
        <v>0</v>
      </c>
      <c r="T2261" s="5">
        <v>0</v>
      </c>
      <c r="U2261" s="5">
        <v>0</v>
      </c>
      <c r="V2261" s="5">
        <f>VLOOKUP(A2261,Planilha1!B:E,4,0)</f>
        <v>4.5971522734997743</v>
      </c>
    </row>
    <row r="2262" spans="1:22" x14ac:dyDescent="0.3">
      <c r="A2262" t="str">
        <f t="shared" si="70"/>
        <v>SPREADSLACTALIS</v>
      </c>
      <c r="B2262" t="str">
        <f t="shared" si="71"/>
        <v>5079293SPREADSLACTALIS</v>
      </c>
      <c r="C2262" s="5" t="s">
        <v>226</v>
      </c>
      <c r="D2262" s="5" t="s">
        <v>227</v>
      </c>
      <c r="E2262" s="5" t="s">
        <v>703</v>
      </c>
      <c r="F2262" s="5">
        <v>5079293</v>
      </c>
      <c r="G2262" s="5" t="s">
        <v>709</v>
      </c>
      <c r="H2262" s="5" t="s">
        <v>30</v>
      </c>
      <c r="I2262" s="5" t="s">
        <v>22</v>
      </c>
      <c r="J2262" s="5" t="s">
        <v>945</v>
      </c>
      <c r="K2262" s="6">
        <v>0</v>
      </c>
      <c r="L2262" s="7">
        <v>0</v>
      </c>
      <c r="M2262" s="8">
        <v>6</v>
      </c>
      <c r="N2262" s="8">
        <v>8.6</v>
      </c>
      <c r="O2262" s="8">
        <v>4.5359886904381819</v>
      </c>
      <c r="P2262" s="8">
        <v>0</v>
      </c>
      <c r="Q2262" s="8">
        <v>0</v>
      </c>
      <c r="R2262" s="8">
        <v>0</v>
      </c>
      <c r="S2262" s="8">
        <v>0</v>
      </c>
      <c r="T2262" s="5">
        <v>0</v>
      </c>
      <c r="U2262" s="5">
        <v>0</v>
      </c>
      <c r="V2262" s="5">
        <f>VLOOKUP(A2262,Planilha1!B:E,4,0)</f>
        <v>13.599044988219518</v>
      </c>
    </row>
    <row r="2263" spans="1:22" x14ac:dyDescent="0.3">
      <c r="A2263" t="str">
        <f t="shared" si="70"/>
        <v>LEITE CONDENSADOITAMBÉ</v>
      </c>
      <c r="B2263" t="str">
        <f t="shared" si="71"/>
        <v>5006835LEITE CONDENSADOITAMBÉ</v>
      </c>
      <c r="C2263" s="5" t="s">
        <v>226</v>
      </c>
      <c r="D2263" s="5" t="s">
        <v>727</v>
      </c>
      <c r="E2263" s="5" t="s">
        <v>733</v>
      </c>
      <c r="F2263" s="5">
        <v>5006835</v>
      </c>
      <c r="G2263" s="5" t="s">
        <v>1247</v>
      </c>
      <c r="H2263" s="5" t="s">
        <v>25</v>
      </c>
      <c r="I2263" s="5" t="s">
        <v>27</v>
      </c>
      <c r="J2263" s="5" t="s">
        <v>33</v>
      </c>
      <c r="K2263" s="6">
        <v>0</v>
      </c>
      <c r="L2263" s="7">
        <v>0</v>
      </c>
      <c r="M2263" s="8">
        <v>17.775000000000002</v>
      </c>
      <c r="N2263" s="8">
        <v>35.666666666666664</v>
      </c>
      <c r="O2263" s="8">
        <v>0</v>
      </c>
      <c r="P2263" s="8">
        <v>0</v>
      </c>
      <c r="Q2263" s="8">
        <v>0</v>
      </c>
      <c r="R2263" s="8">
        <v>0</v>
      </c>
      <c r="S2263" s="8">
        <v>0</v>
      </c>
      <c r="T2263" s="5">
        <v>0</v>
      </c>
      <c r="U2263" s="5">
        <v>0</v>
      </c>
      <c r="V2263" s="5">
        <f>VLOOKUP(A2263,Planilha1!B:E,4,0)</f>
        <v>1.4766792698630664</v>
      </c>
    </row>
    <row r="2264" spans="1:22" x14ac:dyDescent="0.3">
      <c r="A2264" t="str">
        <f t="shared" si="70"/>
        <v>LEITE CONDENSADOITAMBÉ</v>
      </c>
      <c r="B2264" t="str">
        <f t="shared" si="71"/>
        <v>5168151LEITE CONDENSADOITAMBÉ</v>
      </c>
      <c r="C2264" s="5" t="s">
        <v>226</v>
      </c>
      <c r="D2264" s="5" t="s">
        <v>833</v>
      </c>
      <c r="E2264" s="5" t="s">
        <v>875</v>
      </c>
      <c r="F2264" s="5">
        <v>5168151</v>
      </c>
      <c r="G2264" s="5" t="s">
        <v>880</v>
      </c>
      <c r="H2264" s="5" t="s">
        <v>91</v>
      </c>
      <c r="I2264" s="5" t="s">
        <v>27</v>
      </c>
      <c r="J2264" s="5" t="s">
        <v>33</v>
      </c>
      <c r="K2264" s="6">
        <v>0</v>
      </c>
      <c r="L2264" s="7">
        <v>0</v>
      </c>
      <c r="M2264" s="8">
        <v>166.66666666666669</v>
      </c>
      <c r="N2264" s="8">
        <v>333.33333333333331</v>
      </c>
      <c r="O2264" s="8">
        <v>0</v>
      </c>
      <c r="P2264" s="8">
        <v>0</v>
      </c>
      <c r="Q2264" s="8">
        <v>150</v>
      </c>
      <c r="R2264" s="8">
        <v>0</v>
      </c>
      <c r="S2264" s="8">
        <v>200</v>
      </c>
      <c r="T2264" s="5">
        <v>200</v>
      </c>
      <c r="U2264" s="5">
        <v>333.33333333333331</v>
      </c>
      <c r="V2264" s="5">
        <f>VLOOKUP(A2264,Planilha1!B:E,4,0)</f>
        <v>1.4766792698630664</v>
      </c>
    </row>
    <row r="2265" spans="1:22" x14ac:dyDescent="0.3">
      <c r="A2265" t="str">
        <f t="shared" si="70"/>
        <v>LEITE EM PÓITAMBÉ</v>
      </c>
      <c r="B2265" t="str">
        <f t="shared" si="71"/>
        <v>5106559LEITE EM PÓITAMBÉ</v>
      </c>
      <c r="C2265" s="5" t="s">
        <v>226</v>
      </c>
      <c r="D2265" s="5" t="s">
        <v>727</v>
      </c>
      <c r="E2265" s="5" t="s">
        <v>733</v>
      </c>
      <c r="F2265" s="5">
        <v>5106559</v>
      </c>
      <c r="G2265" s="5" t="s">
        <v>1253</v>
      </c>
      <c r="H2265" s="5" t="s">
        <v>25</v>
      </c>
      <c r="I2265" s="5" t="s">
        <v>27</v>
      </c>
      <c r="J2265" s="5" t="s">
        <v>84</v>
      </c>
      <c r="K2265" s="6">
        <v>0</v>
      </c>
      <c r="L2265" s="7">
        <v>0</v>
      </c>
      <c r="M2265" s="8">
        <v>133.33333333333334</v>
      </c>
      <c r="N2265" s="8">
        <v>166.66666666666666</v>
      </c>
      <c r="O2265" s="8">
        <v>0</v>
      </c>
      <c r="P2265" s="8">
        <v>0</v>
      </c>
      <c r="Q2265" s="8">
        <v>0</v>
      </c>
      <c r="R2265" s="8">
        <v>0</v>
      </c>
      <c r="S2265" s="8">
        <v>0</v>
      </c>
      <c r="T2265" s="5">
        <v>0</v>
      </c>
      <c r="U2265" s="5">
        <v>0</v>
      </c>
      <c r="V2265" s="5">
        <f>VLOOKUP(A2265,Planilha1!B:E,4,0)</f>
        <v>4.5971522734997743</v>
      </c>
    </row>
    <row r="2266" spans="1:22" x14ac:dyDescent="0.3">
      <c r="A2266" t="str">
        <f t="shared" si="70"/>
        <v>LEITE UHTITAMBÉ</v>
      </c>
      <c r="B2266" t="str">
        <f t="shared" si="71"/>
        <v>5352083LEITE UHTITAMBÉ</v>
      </c>
      <c r="C2266" s="5" t="s">
        <v>226</v>
      </c>
      <c r="D2266" s="5" t="s">
        <v>727</v>
      </c>
      <c r="E2266" s="5" t="s">
        <v>733</v>
      </c>
      <c r="F2266" s="5">
        <v>5352083</v>
      </c>
      <c r="G2266" s="5" t="s">
        <v>1254</v>
      </c>
      <c r="H2266" s="5" t="s">
        <v>25</v>
      </c>
      <c r="I2266" s="5" t="s">
        <v>27</v>
      </c>
      <c r="J2266" s="5" t="s">
        <v>156</v>
      </c>
      <c r="K2266" s="6">
        <v>0</v>
      </c>
      <c r="L2266" s="7">
        <v>0</v>
      </c>
      <c r="M2266" s="8">
        <v>14</v>
      </c>
      <c r="N2266" s="8">
        <v>28</v>
      </c>
      <c r="O2266" s="8">
        <v>0</v>
      </c>
      <c r="P2266" s="8">
        <v>0</v>
      </c>
      <c r="Q2266" s="8">
        <v>0</v>
      </c>
      <c r="R2266" s="8">
        <v>0</v>
      </c>
      <c r="S2266" s="8">
        <v>0</v>
      </c>
      <c r="T2266" s="5">
        <v>0</v>
      </c>
      <c r="U2266" s="5">
        <v>0</v>
      </c>
      <c r="V2266" s="5">
        <f>VLOOKUP(A2266,Planilha1!B:E,4,0)</f>
        <v>-0.14425288609148015</v>
      </c>
    </row>
    <row r="2267" spans="1:22" x14ac:dyDescent="0.3">
      <c r="A2267" t="str">
        <f t="shared" si="70"/>
        <v>LEITE CONDENSADOLACTALIS</v>
      </c>
      <c r="B2267" t="str">
        <f t="shared" si="71"/>
        <v>5034559LEITE CONDENSADOLACTALIS</v>
      </c>
      <c r="C2267" s="5" t="s">
        <v>226</v>
      </c>
      <c r="D2267" s="5" t="s">
        <v>227</v>
      </c>
      <c r="E2267" s="5" t="s">
        <v>1722</v>
      </c>
      <c r="F2267" s="5">
        <v>5034559</v>
      </c>
      <c r="G2267" s="5" t="s">
        <v>379</v>
      </c>
      <c r="H2267" s="5" t="s">
        <v>30</v>
      </c>
      <c r="I2267" s="5" t="s">
        <v>22</v>
      </c>
      <c r="J2267" s="5" t="s">
        <v>33</v>
      </c>
      <c r="K2267" s="6">
        <v>0</v>
      </c>
      <c r="L2267" s="7">
        <v>0</v>
      </c>
      <c r="M2267" s="8">
        <v>4.666666666666667</v>
      </c>
      <c r="N2267" s="8">
        <v>9.3333333333333339</v>
      </c>
      <c r="O2267" s="8">
        <v>28</v>
      </c>
      <c r="P2267" s="8">
        <v>0</v>
      </c>
      <c r="Q2267" s="8">
        <v>0</v>
      </c>
      <c r="R2267" s="8">
        <v>0</v>
      </c>
      <c r="S2267" s="8">
        <v>0</v>
      </c>
      <c r="T2267" s="5">
        <v>0</v>
      </c>
      <c r="U2267" s="5">
        <v>28</v>
      </c>
      <c r="V2267" s="5">
        <f>VLOOKUP(A2267,Planilha1!B:E,4,0)</f>
        <v>1.8665071822970765</v>
      </c>
    </row>
    <row r="2268" spans="1:22" x14ac:dyDescent="0.3">
      <c r="A2268" t="str">
        <f t="shared" si="70"/>
        <v>QUEIJOSLACTALIS</v>
      </c>
      <c r="B2268" t="str">
        <f t="shared" si="71"/>
        <v>5002549QUEIJOSLACTALIS</v>
      </c>
      <c r="C2268" s="5" t="s">
        <v>149</v>
      </c>
      <c r="D2268" s="5" t="s">
        <v>210</v>
      </c>
      <c r="E2268" s="5" t="s">
        <v>210</v>
      </c>
      <c r="F2268" s="5">
        <v>5002549</v>
      </c>
      <c r="G2268" s="5" t="s">
        <v>212</v>
      </c>
      <c r="H2268" s="5" t="s">
        <v>30</v>
      </c>
      <c r="I2268" s="5" t="s">
        <v>22</v>
      </c>
      <c r="J2268" s="5" t="s">
        <v>63</v>
      </c>
      <c r="K2268" s="6">
        <v>0</v>
      </c>
      <c r="L2268" s="7">
        <v>18</v>
      </c>
      <c r="M2268" s="8">
        <v>1133.0426666666667</v>
      </c>
      <c r="N2268" s="8">
        <v>1301.4086666666667</v>
      </c>
      <c r="O2268" s="8">
        <v>1.2023789116613772</v>
      </c>
      <c r="P2268" s="8">
        <v>0</v>
      </c>
      <c r="Q2268" s="8">
        <v>0</v>
      </c>
      <c r="R2268" s="8">
        <v>0</v>
      </c>
      <c r="S2268" s="8">
        <v>0</v>
      </c>
      <c r="T2268" s="5">
        <v>0</v>
      </c>
      <c r="U2268" s="5">
        <v>0</v>
      </c>
      <c r="V2268" s="5">
        <f>VLOOKUP(A2268,Planilha1!B:E,4,0)</f>
        <v>-1.9171310037550682</v>
      </c>
    </row>
    <row r="2269" spans="1:22" x14ac:dyDescent="0.3">
      <c r="A2269" t="str">
        <f t="shared" si="70"/>
        <v>LEITE CONDENSADOITAMBÉ</v>
      </c>
      <c r="B2269" t="str">
        <f t="shared" si="71"/>
        <v>5352083LEITE CONDENSADOITAMBÉ</v>
      </c>
      <c r="C2269" s="5" t="s">
        <v>226</v>
      </c>
      <c r="D2269" s="5" t="s">
        <v>727</v>
      </c>
      <c r="E2269" s="5" t="s">
        <v>733</v>
      </c>
      <c r="F2269" s="5">
        <v>5352083</v>
      </c>
      <c r="G2269" s="5" t="s">
        <v>1254</v>
      </c>
      <c r="H2269" s="5" t="s">
        <v>25</v>
      </c>
      <c r="I2269" s="5" t="s">
        <v>27</v>
      </c>
      <c r="J2269" s="5" t="s">
        <v>33</v>
      </c>
      <c r="K2269" s="6">
        <v>0</v>
      </c>
      <c r="L2269" s="7">
        <v>0</v>
      </c>
      <c r="M2269" s="8">
        <v>14.109166666666667</v>
      </c>
      <c r="N2269" s="8">
        <v>17.666666666666668</v>
      </c>
      <c r="O2269" s="8">
        <v>0</v>
      </c>
      <c r="P2269" s="8">
        <v>0</v>
      </c>
      <c r="Q2269" s="8">
        <v>0</v>
      </c>
      <c r="R2269" s="8">
        <v>0</v>
      </c>
      <c r="S2269" s="8">
        <v>0</v>
      </c>
      <c r="T2269" s="5">
        <v>0</v>
      </c>
      <c r="U2269" s="5">
        <v>0</v>
      </c>
      <c r="V2269" s="5">
        <f>VLOOKUP(A2269,Planilha1!B:E,4,0)</f>
        <v>1.4766792698630664</v>
      </c>
    </row>
    <row r="2270" spans="1:22" x14ac:dyDescent="0.3">
      <c r="A2270" t="str">
        <f t="shared" si="70"/>
        <v>LEITE EM PÓITAMBÉ</v>
      </c>
      <c r="B2270" t="str">
        <f t="shared" si="71"/>
        <v>5352083LEITE EM PÓITAMBÉ</v>
      </c>
      <c r="C2270" s="5" t="s">
        <v>226</v>
      </c>
      <c r="D2270" s="5" t="s">
        <v>727</v>
      </c>
      <c r="E2270" s="5" t="s">
        <v>733</v>
      </c>
      <c r="F2270" s="5">
        <v>5352083</v>
      </c>
      <c r="G2270" s="5" t="s">
        <v>1254</v>
      </c>
      <c r="H2270" s="5" t="s">
        <v>25</v>
      </c>
      <c r="I2270" s="5" t="s">
        <v>27</v>
      </c>
      <c r="J2270" s="5" t="s">
        <v>84</v>
      </c>
      <c r="K2270" s="6">
        <v>0</v>
      </c>
      <c r="L2270" s="7">
        <v>0</v>
      </c>
      <c r="M2270" s="8">
        <v>5</v>
      </c>
      <c r="N2270" s="8">
        <v>10</v>
      </c>
      <c r="O2270" s="8">
        <v>0</v>
      </c>
      <c r="P2270" s="8">
        <v>0</v>
      </c>
      <c r="Q2270" s="8">
        <v>0</v>
      </c>
      <c r="R2270" s="8">
        <v>0</v>
      </c>
      <c r="S2270" s="8">
        <v>0</v>
      </c>
      <c r="T2270" s="5">
        <v>0</v>
      </c>
      <c r="U2270" s="5">
        <v>0</v>
      </c>
      <c r="V2270" s="5">
        <f>VLOOKUP(A2270,Planilha1!B:E,4,0)</f>
        <v>4.5971522734997743</v>
      </c>
    </row>
    <row r="2271" spans="1:22" x14ac:dyDescent="0.3">
      <c r="A2271" t="str">
        <f t="shared" si="70"/>
        <v>IOGURTESLACTALIS</v>
      </c>
      <c r="B2271" t="str">
        <f t="shared" si="71"/>
        <v>5108984IOGURTESLACTALIS</v>
      </c>
      <c r="C2271" s="5" t="s">
        <v>226</v>
      </c>
      <c r="D2271" s="5" t="s">
        <v>752</v>
      </c>
      <c r="E2271" s="5" t="s">
        <v>767</v>
      </c>
      <c r="F2271" s="5">
        <v>5108984</v>
      </c>
      <c r="G2271" s="5" t="s">
        <v>768</v>
      </c>
      <c r="H2271" s="5" t="s">
        <v>154</v>
      </c>
      <c r="I2271" s="5" t="s">
        <v>22</v>
      </c>
      <c r="J2271" s="5" t="s">
        <v>153</v>
      </c>
      <c r="K2271" s="6">
        <v>0</v>
      </c>
      <c r="L2271" s="7">
        <v>6125.68</v>
      </c>
      <c r="M2271" s="8">
        <v>1562.8000000000004</v>
      </c>
      <c r="N2271" s="8">
        <v>2834.3199999999993</v>
      </c>
      <c r="O2271" s="8">
        <v>53.975986024912636</v>
      </c>
      <c r="P2271" s="8">
        <v>0</v>
      </c>
      <c r="Q2271" s="8">
        <v>3896.48</v>
      </c>
      <c r="R2271" s="8">
        <v>0</v>
      </c>
      <c r="S2271" s="8">
        <v>0</v>
      </c>
      <c r="T2271" s="5">
        <v>0</v>
      </c>
      <c r="U2271" s="5">
        <v>0</v>
      </c>
      <c r="V2271" s="5">
        <f>VLOOKUP(A2271,Planilha1!B:E,4,0)</f>
        <v>3.0503167986984403</v>
      </c>
    </row>
    <row r="2272" spans="1:22" x14ac:dyDescent="0.3">
      <c r="A2272" t="str">
        <f t="shared" si="70"/>
        <v>LEITE EM PÓITAMBÉ</v>
      </c>
      <c r="B2272" t="str">
        <f t="shared" si="71"/>
        <v>5109656LEITE EM PÓITAMBÉ</v>
      </c>
      <c r="C2272" s="5" t="s">
        <v>226</v>
      </c>
      <c r="D2272" s="5" t="s">
        <v>893</v>
      </c>
      <c r="E2272" s="5" t="s">
        <v>893</v>
      </c>
      <c r="F2272" s="5">
        <v>5109656</v>
      </c>
      <c r="G2272" s="5" t="s">
        <v>901</v>
      </c>
      <c r="H2272" s="5" t="s">
        <v>30</v>
      </c>
      <c r="I2272" s="5" t="s">
        <v>27</v>
      </c>
      <c r="J2272" s="5" t="s">
        <v>84</v>
      </c>
      <c r="K2272" s="6">
        <v>0</v>
      </c>
      <c r="L2272" s="7">
        <v>700</v>
      </c>
      <c r="M2272" s="8">
        <v>2090.0000000000005</v>
      </c>
      <c r="N2272" s="8">
        <v>1633.3333333333333</v>
      </c>
      <c r="O2272" s="8">
        <v>1394.7193874130007</v>
      </c>
      <c r="P2272" s="8">
        <v>47</v>
      </c>
      <c r="Q2272" s="8">
        <v>0</v>
      </c>
      <c r="R2272" s="8">
        <v>0</v>
      </c>
      <c r="S2272" s="8">
        <v>0</v>
      </c>
      <c r="T2272" s="5">
        <v>0</v>
      </c>
      <c r="U2272" s="5">
        <v>0</v>
      </c>
      <c r="V2272" s="5">
        <f>VLOOKUP(A2272,Planilha1!B:E,4,0)</f>
        <v>4.5971522734997743</v>
      </c>
    </row>
    <row r="2273" spans="1:22" x14ac:dyDescent="0.3">
      <c r="A2273" t="str">
        <f t="shared" si="70"/>
        <v>QUEIJOSLACTALIS</v>
      </c>
      <c r="B2273" t="str">
        <f t="shared" si="71"/>
        <v>5006978QUEIJOSLACTALIS</v>
      </c>
      <c r="C2273" s="5" t="s">
        <v>226</v>
      </c>
      <c r="D2273" s="5" t="s">
        <v>815</v>
      </c>
      <c r="E2273" s="5" t="s">
        <v>815</v>
      </c>
      <c r="F2273" s="5">
        <v>5006978</v>
      </c>
      <c r="G2273" s="5" t="s">
        <v>830</v>
      </c>
      <c r="H2273" s="5" t="s">
        <v>30</v>
      </c>
      <c r="I2273" s="5" t="s">
        <v>22</v>
      </c>
      <c r="J2273" s="5" t="s">
        <v>63</v>
      </c>
      <c r="K2273" s="6">
        <v>0</v>
      </c>
      <c r="L2273" s="7">
        <v>0</v>
      </c>
      <c r="M2273" s="8">
        <v>1014.6725000000001</v>
      </c>
      <c r="N2273" s="8">
        <v>1469.0716666666667</v>
      </c>
      <c r="O2273" s="8">
        <v>0</v>
      </c>
      <c r="P2273" s="8">
        <v>0</v>
      </c>
      <c r="Q2273" s="8">
        <v>0</v>
      </c>
      <c r="R2273" s="8">
        <v>0</v>
      </c>
      <c r="S2273" s="8">
        <v>0</v>
      </c>
      <c r="T2273" s="5">
        <v>0</v>
      </c>
      <c r="U2273" s="5">
        <v>0</v>
      </c>
      <c r="V2273" s="5">
        <f>VLOOKUP(A2273,Planilha1!B:E,4,0)</f>
        <v>-1.9171310037550682</v>
      </c>
    </row>
    <row r="2274" spans="1:22" x14ac:dyDescent="0.3">
      <c r="A2274" t="str">
        <f t="shared" si="70"/>
        <v>LEITE CONDENSADOITAMBÉ</v>
      </c>
      <c r="B2274" t="str">
        <f t="shared" si="71"/>
        <v>5036214LEITE CONDENSADOITAMBÉ</v>
      </c>
      <c r="C2274" s="5" t="s">
        <v>226</v>
      </c>
      <c r="D2274" s="5" t="s">
        <v>833</v>
      </c>
      <c r="E2274" s="5" t="s">
        <v>875</v>
      </c>
      <c r="F2274" s="5">
        <v>5036214</v>
      </c>
      <c r="G2274" s="5" t="s">
        <v>836</v>
      </c>
      <c r="H2274" s="5" t="s">
        <v>91</v>
      </c>
      <c r="I2274" s="5" t="s">
        <v>27</v>
      </c>
      <c r="J2274" s="5" t="s">
        <v>33</v>
      </c>
      <c r="K2274" s="6">
        <v>0</v>
      </c>
      <c r="L2274" s="7">
        <v>0</v>
      </c>
      <c r="M2274" s="8">
        <v>-11.666666666666666</v>
      </c>
      <c r="N2274" s="8">
        <v>-23.333333333333332</v>
      </c>
      <c r="O2274" s="8">
        <v>0</v>
      </c>
      <c r="P2274" s="8">
        <v>0</v>
      </c>
      <c r="Q2274" s="8">
        <v>0</v>
      </c>
      <c r="R2274" s="8">
        <v>0</v>
      </c>
      <c r="S2274" s="8">
        <v>-23.333333333333332</v>
      </c>
      <c r="T2274" s="5">
        <v>-23.333333333333332</v>
      </c>
      <c r="U2274" s="5">
        <v>-23.333333333333332</v>
      </c>
      <c r="V2274" s="5">
        <f>VLOOKUP(A2274,Planilha1!B:E,4,0)</f>
        <v>1.4766792698630664</v>
      </c>
    </row>
    <row r="2275" spans="1:22" x14ac:dyDescent="0.3">
      <c r="A2275" t="str">
        <f t="shared" si="70"/>
        <v>COMPOSTOITAMBÉ</v>
      </c>
      <c r="B2275" t="str">
        <f t="shared" si="71"/>
        <v>5107538COMPOSTOITAMBÉ</v>
      </c>
      <c r="C2275" s="5" t="s">
        <v>16</v>
      </c>
      <c r="D2275" s="5" t="s">
        <v>17</v>
      </c>
      <c r="E2275" s="5" t="s">
        <v>44</v>
      </c>
      <c r="F2275" s="5">
        <v>5107538</v>
      </c>
      <c r="G2275" s="5" t="s">
        <v>1255</v>
      </c>
      <c r="H2275" s="5" t="s">
        <v>25</v>
      </c>
      <c r="I2275" s="5" t="s">
        <v>27</v>
      </c>
      <c r="J2275" s="5" t="s">
        <v>26</v>
      </c>
      <c r="K2275" s="6">
        <v>0</v>
      </c>
      <c r="L2275" s="7">
        <v>0</v>
      </c>
      <c r="M2275" s="8">
        <v>254.16666666666669</v>
      </c>
      <c r="N2275" s="8">
        <v>508.33333333333331</v>
      </c>
      <c r="O2275" s="8">
        <v>0</v>
      </c>
      <c r="P2275" s="8">
        <v>0</v>
      </c>
      <c r="Q2275" s="8">
        <v>0</v>
      </c>
      <c r="R2275" s="8">
        <v>0</v>
      </c>
      <c r="S2275" s="8">
        <v>0</v>
      </c>
      <c r="T2275" s="5">
        <v>1250</v>
      </c>
      <c r="U2275" s="5">
        <v>0</v>
      </c>
      <c r="V2275" s="5">
        <f>VLOOKUP(A2275,Planilha1!B:E,4,0)</f>
        <v>0.15618217875936719</v>
      </c>
    </row>
    <row r="2276" spans="1:22" x14ac:dyDescent="0.3">
      <c r="A2276" t="str">
        <f t="shared" si="70"/>
        <v>LEITE EM PÓITAMBÉ</v>
      </c>
      <c r="B2276" t="str">
        <f t="shared" si="71"/>
        <v>5353215LEITE EM PÓITAMBÉ</v>
      </c>
      <c r="C2276" s="5" t="s">
        <v>16</v>
      </c>
      <c r="D2276" s="5" t="s">
        <v>17</v>
      </c>
      <c r="E2276" s="5" t="s">
        <v>44</v>
      </c>
      <c r="F2276" s="5">
        <v>5353215</v>
      </c>
      <c r="G2276" s="5" t="s">
        <v>81</v>
      </c>
      <c r="H2276" s="5" t="s">
        <v>25</v>
      </c>
      <c r="I2276" s="5" t="s">
        <v>27</v>
      </c>
      <c r="J2276" s="5" t="s">
        <v>84</v>
      </c>
      <c r="K2276" s="6">
        <v>0</v>
      </c>
      <c r="L2276" s="7">
        <v>0</v>
      </c>
      <c r="M2276" s="8">
        <v>15</v>
      </c>
      <c r="N2276" s="8">
        <v>6.666666666666667</v>
      </c>
      <c r="O2276" s="8">
        <v>14.996982660354847</v>
      </c>
      <c r="P2276" s="8">
        <v>0</v>
      </c>
      <c r="Q2276" s="8">
        <v>0</v>
      </c>
      <c r="R2276" s="8">
        <v>0</v>
      </c>
      <c r="S2276" s="8">
        <v>0</v>
      </c>
      <c r="T2276" s="5">
        <v>0</v>
      </c>
      <c r="U2276" s="5">
        <v>0</v>
      </c>
      <c r="V2276" s="5">
        <f>VLOOKUP(A2276,Planilha1!B:E,4,0)</f>
        <v>4.5971522734997743</v>
      </c>
    </row>
    <row r="2277" spans="1:22" x14ac:dyDescent="0.3">
      <c r="A2277" t="str">
        <f t="shared" si="70"/>
        <v>QUEIJOSLACTALIS</v>
      </c>
      <c r="B2277" t="str">
        <f t="shared" si="71"/>
        <v>5117795QUEIJOSLACTALIS</v>
      </c>
      <c r="C2277" s="5" t="s">
        <v>226</v>
      </c>
      <c r="D2277" s="5" t="s">
        <v>227</v>
      </c>
      <c r="E2277" s="5" t="s">
        <v>1722</v>
      </c>
      <c r="F2277" s="5">
        <v>5117795</v>
      </c>
      <c r="G2277" s="5" t="s">
        <v>242</v>
      </c>
      <c r="H2277" s="5" t="s">
        <v>30</v>
      </c>
      <c r="I2277" s="5" t="s">
        <v>22</v>
      </c>
      <c r="J2277" s="5" t="s">
        <v>63</v>
      </c>
      <c r="K2277" s="6">
        <v>0</v>
      </c>
      <c r="L2277" s="7">
        <v>30</v>
      </c>
      <c r="M2277" s="8">
        <v>77.25</v>
      </c>
      <c r="N2277" s="8">
        <v>94.5</v>
      </c>
      <c r="O2277" s="8">
        <v>79.294324908853383</v>
      </c>
      <c r="P2277" s="8">
        <v>0</v>
      </c>
      <c r="Q2277" s="8">
        <v>0</v>
      </c>
      <c r="R2277" s="8">
        <v>0</v>
      </c>
      <c r="S2277" s="8">
        <v>0</v>
      </c>
      <c r="T2277" s="5">
        <v>0</v>
      </c>
      <c r="U2277" s="5">
        <v>30</v>
      </c>
      <c r="V2277" s="5">
        <f>VLOOKUP(A2277,Planilha1!B:E,4,0)</f>
        <v>-1.9171310037550682</v>
      </c>
    </row>
    <row r="2278" spans="1:22" x14ac:dyDescent="0.3">
      <c r="A2278" t="str">
        <f t="shared" si="70"/>
        <v>IOGURTESITAMBÉ</v>
      </c>
      <c r="B2278" t="str">
        <f t="shared" si="71"/>
        <v>5016060IOGURTESITAMBÉ</v>
      </c>
      <c r="C2278" s="5" t="s">
        <v>226</v>
      </c>
      <c r="D2278" s="5" t="s">
        <v>727</v>
      </c>
      <c r="E2278" s="5" t="s">
        <v>733</v>
      </c>
      <c r="F2278" s="5">
        <v>5016060</v>
      </c>
      <c r="G2278" s="5" t="s">
        <v>737</v>
      </c>
      <c r="H2278" s="5" t="s">
        <v>25</v>
      </c>
      <c r="I2278" s="5" t="s">
        <v>27</v>
      </c>
      <c r="J2278" s="5" t="s">
        <v>153</v>
      </c>
      <c r="K2278" s="6">
        <v>0</v>
      </c>
      <c r="L2278" s="7">
        <v>32.4</v>
      </c>
      <c r="M2278" s="8">
        <v>42.45</v>
      </c>
      <c r="N2278" s="8">
        <v>33</v>
      </c>
      <c r="O2278" s="8">
        <v>60.987729485443047</v>
      </c>
      <c r="P2278" s="8">
        <v>0</v>
      </c>
      <c r="Q2278" s="8">
        <v>18.900000000000002</v>
      </c>
      <c r="R2278" s="8">
        <v>0</v>
      </c>
      <c r="S2278" s="8">
        <v>0</v>
      </c>
      <c r="T2278" s="5">
        <v>0</v>
      </c>
      <c r="U2278" s="5">
        <v>0</v>
      </c>
      <c r="V2278" s="5">
        <f>VLOOKUP(A2278,Planilha1!B:E,4,0)</f>
        <v>3.2554443184120534</v>
      </c>
    </row>
    <row r="2279" spans="1:22" x14ac:dyDescent="0.3">
      <c r="A2279" t="str">
        <f t="shared" si="70"/>
        <v>LEITE EM PÓITAMBÉ</v>
      </c>
      <c r="B2279" t="str">
        <f t="shared" si="71"/>
        <v>5040108LEITE EM PÓITAMBÉ</v>
      </c>
      <c r="C2279" s="5" t="s">
        <v>226</v>
      </c>
      <c r="D2279" s="5" t="s">
        <v>752</v>
      </c>
      <c r="E2279" s="5" t="s">
        <v>753</v>
      </c>
      <c r="F2279" s="5">
        <v>5040108</v>
      </c>
      <c r="G2279" s="5" t="s">
        <v>755</v>
      </c>
      <c r="H2279" s="5" t="s">
        <v>154</v>
      </c>
      <c r="I2279" s="5" t="s">
        <v>27</v>
      </c>
      <c r="J2279" s="5" t="s">
        <v>84</v>
      </c>
      <c r="K2279" s="6">
        <v>0</v>
      </c>
      <c r="L2279" s="7">
        <v>0</v>
      </c>
      <c r="M2279" s="8">
        <v>350</v>
      </c>
      <c r="N2279" s="8">
        <v>466.66666666666669</v>
      </c>
      <c r="O2279" s="8">
        <v>257.94810175810335</v>
      </c>
      <c r="P2279" s="8">
        <v>0</v>
      </c>
      <c r="Q2279" s="8">
        <v>0</v>
      </c>
      <c r="R2279" s="8">
        <v>0</v>
      </c>
      <c r="S2279" s="8">
        <v>0</v>
      </c>
      <c r="T2279" s="5">
        <v>0</v>
      </c>
      <c r="U2279" s="5">
        <v>0</v>
      </c>
      <c r="V2279" s="5">
        <f>VLOOKUP(A2279,Planilha1!B:E,4,0)</f>
        <v>4.5971522734997743</v>
      </c>
    </row>
    <row r="2280" spans="1:22" x14ac:dyDescent="0.3">
      <c r="A2280" t="str">
        <f t="shared" si="70"/>
        <v>COMPOSTOITAMBÉ</v>
      </c>
      <c r="B2280" t="str">
        <f t="shared" si="71"/>
        <v>5313456COMPOSTOITAMBÉ</v>
      </c>
      <c r="C2280" s="5" t="s">
        <v>226</v>
      </c>
      <c r="D2280" s="5" t="s">
        <v>752</v>
      </c>
      <c r="E2280" s="5" t="s">
        <v>1216</v>
      </c>
      <c r="F2280" s="5">
        <v>5313456</v>
      </c>
      <c r="G2280" s="5" t="s">
        <v>765</v>
      </c>
      <c r="H2280" s="5" t="s">
        <v>154</v>
      </c>
      <c r="I2280" s="5" t="s">
        <v>27</v>
      </c>
      <c r="J2280" s="5" t="s">
        <v>26</v>
      </c>
      <c r="K2280" s="6">
        <v>0</v>
      </c>
      <c r="L2280" s="7">
        <v>0</v>
      </c>
      <c r="M2280" s="8">
        <v>150</v>
      </c>
      <c r="N2280" s="8">
        <v>300</v>
      </c>
      <c r="O2280" s="8">
        <v>0</v>
      </c>
      <c r="P2280" s="8">
        <v>0</v>
      </c>
      <c r="Q2280" s="8">
        <v>700</v>
      </c>
      <c r="R2280" s="8">
        <v>0</v>
      </c>
      <c r="S2280" s="8">
        <v>0</v>
      </c>
      <c r="T2280" s="5">
        <v>0</v>
      </c>
      <c r="U2280" s="5">
        <v>0</v>
      </c>
      <c r="V2280" s="5">
        <f>VLOOKUP(A2280,Planilha1!B:E,4,0)</f>
        <v>0.15618217875936719</v>
      </c>
    </row>
    <row r="2281" spans="1:22" x14ac:dyDescent="0.3">
      <c r="A2281" t="str">
        <f t="shared" si="70"/>
        <v>LEITE EM PÓITAMBÉ</v>
      </c>
      <c r="B2281" t="str">
        <f t="shared" si="71"/>
        <v>5144654LEITE EM PÓITAMBÉ</v>
      </c>
      <c r="C2281" s="5" t="s">
        <v>226</v>
      </c>
      <c r="D2281" s="5" t="s">
        <v>833</v>
      </c>
      <c r="E2281" s="5" t="s">
        <v>850</v>
      </c>
      <c r="F2281" s="5">
        <v>5144654</v>
      </c>
      <c r="G2281" s="5" t="s">
        <v>859</v>
      </c>
      <c r="H2281" s="5" t="s">
        <v>40</v>
      </c>
      <c r="I2281" s="5" t="s">
        <v>27</v>
      </c>
      <c r="J2281" s="5" t="s">
        <v>84</v>
      </c>
      <c r="K2281" s="6">
        <v>0</v>
      </c>
      <c r="L2281" s="7">
        <v>0</v>
      </c>
      <c r="M2281" s="8">
        <v>196.66666666666669</v>
      </c>
      <c r="N2281" s="8">
        <v>160</v>
      </c>
      <c r="O2281" s="8">
        <v>88.982097118105429</v>
      </c>
      <c r="P2281" s="8">
        <v>0</v>
      </c>
      <c r="Q2281" s="8">
        <v>0</v>
      </c>
      <c r="R2281" s="8">
        <v>0</v>
      </c>
      <c r="S2281" s="8">
        <v>0</v>
      </c>
      <c r="T2281" s="5">
        <v>0</v>
      </c>
      <c r="U2281" s="5">
        <v>0</v>
      </c>
      <c r="V2281" s="5">
        <f>VLOOKUP(A2281,Planilha1!B:E,4,0)</f>
        <v>4.5971522734997743</v>
      </c>
    </row>
    <row r="2282" spans="1:22" x14ac:dyDescent="0.3">
      <c r="A2282" t="str">
        <f t="shared" si="70"/>
        <v>MANTEIGA 5KGITAMBÉ</v>
      </c>
      <c r="B2282" t="str">
        <f t="shared" si="71"/>
        <v>5353734MANTEIGA 5KGITAMBÉ</v>
      </c>
      <c r="C2282" s="5" t="s">
        <v>149</v>
      </c>
      <c r="D2282" s="5" t="s">
        <v>150</v>
      </c>
      <c r="E2282" s="5" t="s">
        <v>186</v>
      </c>
      <c r="F2282" s="5">
        <v>5353734</v>
      </c>
      <c r="G2282" s="5" t="s">
        <v>1256</v>
      </c>
      <c r="H2282" s="5" t="s">
        <v>20</v>
      </c>
      <c r="I2282" s="5" t="s">
        <v>27</v>
      </c>
      <c r="J2282" s="5" t="s">
        <v>60</v>
      </c>
      <c r="K2282" s="6">
        <v>0</v>
      </c>
      <c r="L2282" s="7">
        <v>0</v>
      </c>
      <c r="M2282" s="8">
        <v>3.3333333333333335</v>
      </c>
      <c r="N2282" s="8">
        <v>6.666666666666667</v>
      </c>
      <c r="O2282" s="8">
        <v>0</v>
      </c>
      <c r="P2282" s="8">
        <v>0</v>
      </c>
      <c r="Q2282" s="8">
        <v>15</v>
      </c>
      <c r="R2282" s="8">
        <v>0</v>
      </c>
      <c r="S2282" s="8">
        <v>0</v>
      </c>
      <c r="T2282" s="5">
        <v>0</v>
      </c>
      <c r="U2282" s="5">
        <v>0</v>
      </c>
      <c r="V2282" s="5">
        <f>VLOOKUP(A2282,Planilha1!B:E,4,0)</f>
        <v>5.819800475298738</v>
      </c>
    </row>
    <row r="2283" spans="1:22" x14ac:dyDescent="0.3">
      <c r="A2283" t="str">
        <f t="shared" si="70"/>
        <v>PARMESÃOLACTALIS</v>
      </c>
      <c r="B2283" t="str">
        <f t="shared" si="71"/>
        <v>5029281PARMESÃOLACTALIS</v>
      </c>
      <c r="C2283" s="5" t="s">
        <v>226</v>
      </c>
      <c r="D2283" s="5" t="s">
        <v>227</v>
      </c>
      <c r="E2283" s="5" t="s">
        <v>1722</v>
      </c>
      <c r="F2283" s="5">
        <v>5029281</v>
      </c>
      <c r="G2283" s="5" t="s">
        <v>501</v>
      </c>
      <c r="H2283" s="5" t="s">
        <v>30</v>
      </c>
      <c r="I2283" s="5" t="s">
        <v>22</v>
      </c>
      <c r="J2283" s="5" t="s">
        <v>195</v>
      </c>
      <c r="K2283" s="6">
        <v>0</v>
      </c>
      <c r="L2283" s="7">
        <v>0</v>
      </c>
      <c r="M2283" s="8">
        <v>4.7366666666666672</v>
      </c>
      <c r="N2283" s="8">
        <v>9.4733333333333345</v>
      </c>
      <c r="O2283" s="8">
        <v>0</v>
      </c>
      <c r="P2283" s="8">
        <v>0</v>
      </c>
      <c r="Q2283" s="8">
        <v>44.53</v>
      </c>
      <c r="R2283" s="8">
        <v>0</v>
      </c>
      <c r="S2283" s="8">
        <v>0</v>
      </c>
      <c r="T2283" s="5">
        <v>15</v>
      </c>
      <c r="U2283" s="5">
        <v>0</v>
      </c>
      <c r="V2283" s="5">
        <f>VLOOKUP(A2283,Planilha1!B:E,4,0)</f>
        <v>6.310326960724681</v>
      </c>
    </row>
    <row r="2284" spans="1:22" x14ac:dyDescent="0.3">
      <c r="A2284" t="str">
        <f t="shared" si="70"/>
        <v>LEITE UHTITAMBÉ</v>
      </c>
      <c r="B2284" t="str">
        <f t="shared" si="71"/>
        <v>5144654LEITE UHTITAMBÉ</v>
      </c>
      <c r="C2284" s="5" t="s">
        <v>226</v>
      </c>
      <c r="D2284" s="5" t="s">
        <v>833</v>
      </c>
      <c r="E2284" s="5" t="s">
        <v>850</v>
      </c>
      <c r="F2284" s="5">
        <v>5144654</v>
      </c>
      <c r="G2284" s="5" t="s">
        <v>859</v>
      </c>
      <c r="H2284" s="5" t="s">
        <v>40</v>
      </c>
      <c r="I2284" s="5" t="s">
        <v>27</v>
      </c>
      <c r="J2284" s="5" t="s">
        <v>156</v>
      </c>
      <c r="K2284" s="6">
        <v>0</v>
      </c>
      <c r="L2284" s="7">
        <v>0</v>
      </c>
      <c r="M2284" s="8">
        <v>36</v>
      </c>
      <c r="N2284" s="8">
        <v>72</v>
      </c>
      <c r="O2284" s="8">
        <v>0</v>
      </c>
      <c r="P2284" s="8">
        <v>0</v>
      </c>
      <c r="Q2284" s="8">
        <v>0</v>
      </c>
      <c r="R2284" s="8">
        <v>0</v>
      </c>
      <c r="S2284" s="8">
        <v>0</v>
      </c>
      <c r="T2284" s="5">
        <v>0</v>
      </c>
      <c r="U2284" s="5">
        <v>0</v>
      </c>
      <c r="V2284" s="5">
        <f>VLOOKUP(A2284,Planilha1!B:E,4,0)</f>
        <v>-0.14425288609148015</v>
      </c>
    </row>
    <row r="2285" spans="1:22" x14ac:dyDescent="0.3">
      <c r="A2285" t="str">
        <f t="shared" si="70"/>
        <v>LPI 25KGITAMBÉ</v>
      </c>
      <c r="B2285" t="str">
        <f t="shared" si="71"/>
        <v>5350603LPI 25KGITAMBÉ</v>
      </c>
      <c r="C2285" s="5" t="s">
        <v>226</v>
      </c>
      <c r="D2285" s="5" t="s">
        <v>833</v>
      </c>
      <c r="E2285" s="5" t="s">
        <v>850</v>
      </c>
      <c r="F2285" s="5">
        <v>5350603</v>
      </c>
      <c r="G2285" s="5" t="s">
        <v>1257</v>
      </c>
      <c r="H2285" s="5" t="s">
        <v>40</v>
      </c>
      <c r="I2285" s="5" t="s">
        <v>27</v>
      </c>
      <c r="J2285" s="5" t="s">
        <v>21</v>
      </c>
      <c r="K2285" s="6">
        <v>0</v>
      </c>
      <c r="L2285" s="7">
        <v>0</v>
      </c>
      <c r="M2285" s="8">
        <v>66.666666666666671</v>
      </c>
      <c r="N2285" s="8">
        <v>133.33333333333334</v>
      </c>
      <c r="O2285" s="8">
        <v>0</v>
      </c>
      <c r="P2285" s="8">
        <v>0</v>
      </c>
      <c r="Q2285" s="8">
        <v>0</v>
      </c>
      <c r="R2285" s="8">
        <v>0</v>
      </c>
      <c r="S2285" s="8">
        <v>0</v>
      </c>
      <c r="T2285" s="5">
        <v>0</v>
      </c>
      <c r="U2285" s="5">
        <v>0</v>
      </c>
      <c r="V2285" s="5">
        <f>VLOOKUP(A2285,Planilha1!B:E,4,0)</f>
        <v>-1.218192805504376</v>
      </c>
    </row>
    <row r="2286" spans="1:22" x14ac:dyDescent="0.3">
      <c r="A2286" t="str">
        <f t="shared" si="70"/>
        <v>IOGURTESITAMBÉ</v>
      </c>
      <c r="B2286" t="str">
        <f t="shared" si="71"/>
        <v>5127060IOGURTESITAMBÉ</v>
      </c>
      <c r="C2286" s="5" t="s">
        <v>226</v>
      </c>
      <c r="D2286" s="5" t="s">
        <v>727</v>
      </c>
      <c r="E2286" s="5" t="s">
        <v>733</v>
      </c>
      <c r="F2286" s="5">
        <v>5127060</v>
      </c>
      <c r="G2286" s="5" t="s">
        <v>741</v>
      </c>
      <c r="H2286" s="5" t="s">
        <v>25</v>
      </c>
      <c r="I2286" s="5" t="s">
        <v>27</v>
      </c>
      <c r="J2286" s="5" t="s">
        <v>153</v>
      </c>
      <c r="K2286" s="6">
        <v>0</v>
      </c>
      <c r="L2286" s="7">
        <v>1484.12</v>
      </c>
      <c r="M2286" s="8">
        <v>2066.4333333333329</v>
      </c>
      <c r="N2286" s="8">
        <v>1797.9999999999995</v>
      </c>
      <c r="O2286" s="8">
        <v>4000.1951749386494</v>
      </c>
      <c r="P2286" s="8">
        <v>0</v>
      </c>
      <c r="Q2286" s="8">
        <v>448.56000000000006</v>
      </c>
      <c r="R2286" s="8">
        <v>0</v>
      </c>
      <c r="S2286" s="8">
        <v>0</v>
      </c>
      <c r="T2286" s="5">
        <v>0</v>
      </c>
      <c r="U2286" s="5">
        <v>0</v>
      </c>
      <c r="V2286" s="5">
        <f>VLOOKUP(A2286,Planilha1!B:E,4,0)</f>
        <v>3.2554443184120534</v>
      </c>
    </row>
    <row r="2287" spans="1:22" x14ac:dyDescent="0.3">
      <c r="A2287" t="str">
        <f t="shared" si="70"/>
        <v>QUEIJOSLACTALIS</v>
      </c>
      <c r="B2287" t="str">
        <f t="shared" si="71"/>
        <v>5034558QUEIJOSLACTALIS</v>
      </c>
      <c r="C2287" s="5" t="s">
        <v>226</v>
      </c>
      <c r="D2287" s="5" t="s">
        <v>227</v>
      </c>
      <c r="E2287" s="5" t="s">
        <v>1722</v>
      </c>
      <c r="F2287" s="5">
        <v>5034558</v>
      </c>
      <c r="G2287" s="5" t="s">
        <v>379</v>
      </c>
      <c r="H2287" s="5" t="s">
        <v>30</v>
      </c>
      <c r="I2287" s="5" t="s">
        <v>22</v>
      </c>
      <c r="J2287" s="5" t="s">
        <v>63</v>
      </c>
      <c r="K2287" s="6">
        <v>0</v>
      </c>
      <c r="L2287" s="7">
        <v>0</v>
      </c>
      <c r="M2287" s="8">
        <v>53.05</v>
      </c>
      <c r="N2287" s="8">
        <v>106.10000000000001</v>
      </c>
      <c r="O2287" s="8">
        <v>0</v>
      </c>
      <c r="P2287" s="8">
        <v>0</v>
      </c>
      <c r="Q2287" s="8">
        <v>0</v>
      </c>
      <c r="R2287" s="8">
        <v>0</v>
      </c>
      <c r="S2287" s="8">
        <v>0</v>
      </c>
      <c r="T2287" s="5">
        <v>0</v>
      </c>
      <c r="U2287" s="5">
        <v>0</v>
      </c>
      <c r="V2287" s="5">
        <f>VLOOKUP(A2287,Planilha1!B:E,4,0)</f>
        <v>-1.9171310037550682</v>
      </c>
    </row>
    <row r="2288" spans="1:22" x14ac:dyDescent="0.3">
      <c r="A2288" t="str">
        <f t="shared" si="70"/>
        <v>MANTEIGA 5KGITAMBÉ</v>
      </c>
      <c r="B2288" t="str">
        <f t="shared" si="71"/>
        <v>5040108MANTEIGA 5KGITAMBÉ</v>
      </c>
      <c r="C2288" s="5" t="s">
        <v>226</v>
      </c>
      <c r="D2288" s="5" t="s">
        <v>752</v>
      </c>
      <c r="E2288" s="5" t="s">
        <v>753</v>
      </c>
      <c r="F2288" s="5">
        <v>5040108</v>
      </c>
      <c r="G2288" s="5" t="s">
        <v>755</v>
      </c>
      <c r="H2288" s="5" t="s">
        <v>154</v>
      </c>
      <c r="I2288" s="5" t="s">
        <v>27</v>
      </c>
      <c r="J2288" s="5" t="s">
        <v>60</v>
      </c>
      <c r="K2288" s="6">
        <v>0</v>
      </c>
      <c r="L2288" s="7">
        <v>0</v>
      </c>
      <c r="M2288" s="8">
        <v>191.66666666666669</v>
      </c>
      <c r="N2288" s="8">
        <v>383.33333333333331</v>
      </c>
      <c r="O2288" s="8">
        <v>0</v>
      </c>
      <c r="P2288" s="8">
        <v>0</v>
      </c>
      <c r="Q2288" s="8">
        <v>0</v>
      </c>
      <c r="R2288" s="8">
        <v>0</v>
      </c>
      <c r="S2288" s="8">
        <v>200</v>
      </c>
      <c r="T2288" s="5">
        <v>200</v>
      </c>
      <c r="U2288" s="5">
        <v>0</v>
      </c>
      <c r="V2288" s="5">
        <f>VLOOKUP(A2288,Planilha1!B:E,4,0)</f>
        <v>5.819800475298738</v>
      </c>
    </row>
    <row r="2289" spans="1:22" x14ac:dyDescent="0.3">
      <c r="A2289" t="str">
        <f t="shared" si="70"/>
        <v>LPI 25KGITAMBÉ</v>
      </c>
      <c r="B2289" t="str">
        <f t="shared" si="71"/>
        <v>5016060LPI 25KGITAMBÉ</v>
      </c>
      <c r="C2289" s="5" t="s">
        <v>226</v>
      </c>
      <c r="D2289" s="5" t="s">
        <v>727</v>
      </c>
      <c r="E2289" s="5" t="s">
        <v>733</v>
      </c>
      <c r="F2289" s="5">
        <v>5016060</v>
      </c>
      <c r="G2289" s="5" t="s">
        <v>737</v>
      </c>
      <c r="H2289" s="5" t="s">
        <v>25</v>
      </c>
      <c r="I2289" s="5" t="s">
        <v>27</v>
      </c>
      <c r="J2289" s="5" t="s">
        <v>21</v>
      </c>
      <c r="K2289" s="6">
        <v>0</v>
      </c>
      <c r="L2289" s="7">
        <v>0</v>
      </c>
      <c r="M2289" s="8">
        <v>100</v>
      </c>
      <c r="N2289" s="8">
        <v>116.66666666666667</v>
      </c>
      <c r="O2289" s="8">
        <v>0</v>
      </c>
      <c r="P2289" s="8">
        <v>0</v>
      </c>
      <c r="Q2289" s="8">
        <v>0</v>
      </c>
      <c r="R2289" s="8">
        <v>0</v>
      </c>
      <c r="S2289" s="8">
        <v>0</v>
      </c>
      <c r="T2289" s="5">
        <v>0</v>
      </c>
      <c r="U2289" s="5">
        <v>0</v>
      </c>
      <c r="V2289" s="5">
        <f>VLOOKUP(A2289,Planilha1!B:E,4,0)</f>
        <v>-1.218192805504376</v>
      </c>
    </row>
    <row r="2290" spans="1:22" x14ac:dyDescent="0.3">
      <c r="A2290" t="str">
        <f t="shared" si="70"/>
        <v>COMPOSTOITAMBÉ</v>
      </c>
      <c r="B2290" t="str">
        <f t="shared" si="71"/>
        <v>5168877COMPOSTOITAMBÉ</v>
      </c>
      <c r="C2290" s="5" t="s">
        <v>16</v>
      </c>
      <c r="D2290" s="5" t="s">
        <v>28</v>
      </c>
      <c r="E2290" s="5" t="s">
        <v>23</v>
      </c>
      <c r="F2290" s="5">
        <v>5168877</v>
      </c>
      <c r="G2290" s="5" t="s">
        <v>1258</v>
      </c>
      <c r="H2290" s="5" t="s">
        <v>154</v>
      </c>
      <c r="I2290" s="5" t="s">
        <v>27</v>
      </c>
      <c r="J2290" s="5" t="s">
        <v>26</v>
      </c>
      <c r="K2290" s="6">
        <v>0</v>
      </c>
      <c r="L2290" s="7">
        <v>0</v>
      </c>
      <c r="M2290" s="8">
        <v>83.333333333333329</v>
      </c>
      <c r="N2290" s="8">
        <v>166.66666666666666</v>
      </c>
      <c r="O2290" s="8">
        <v>0</v>
      </c>
      <c r="P2290" s="8">
        <v>0</v>
      </c>
      <c r="Q2290" s="8">
        <v>500</v>
      </c>
      <c r="R2290" s="8">
        <v>0</v>
      </c>
      <c r="S2290" s="8">
        <v>0</v>
      </c>
      <c r="T2290" s="5">
        <v>500</v>
      </c>
      <c r="U2290" s="5">
        <v>0</v>
      </c>
      <c r="V2290" s="5">
        <f>VLOOKUP(A2290,Planilha1!B:E,4,0)</f>
        <v>0.15618217875936719</v>
      </c>
    </row>
    <row r="2291" spans="1:22" x14ac:dyDescent="0.3">
      <c r="A2291" t="str">
        <f t="shared" si="70"/>
        <v>LEITE EM PÓITAMBÉ</v>
      </c>
      <c r="B2291" t="str">
        <f t="shared" si="71"/>
        <v>5316223LEITE EM PÓITAMBÉ</v>
      </c>
      <c r="C2291" s="5" t="s">
        <v>226</v>
      </c>
      <c r="D2291" s="5" t="s">
        <v>227</v>
      </c>
      <c r="E2291" s="5" t="s">
        <v>231</v>
      </c>
      <c r="F2291" s="5">
        <v>5316223</v>
      </c>
      <c r="G2291" s="5" t="s">
        <v>237</v>
      </c>
      <c r="H2291" s="5" t="s">
        <v>30</v>
      </c>
      <c r="I2291" s="5" t="s">
        <v>27</v>
      </c>
      <c r="J2291" s="5" t="s">
        <v>84</v>
      </c>
      <c r="K2291" s="6">
        <v>0</v>
      </c>
      <c r="L2291" s="7">
        <v>10</v>
      </c>
      <c r="M2291" s="8">
        <v>36.666666666666671</v>
      </c>
      <c r="N2291" s="8">
        <v>40</v>
      </c>
      <c r="O2291" s="8">
        <v>3.9991953760946259</v>
      </c>
      <c r="P2291" s="8">
        <v>0</v>
      </c>
      <c r="Q2291" s="8">
        <v>0</v>
      </c>
      <c r="R2291" s="8">
        <v>0</v>
      </c>
      <c r="S2291" s="8">
        <v>0</v>
      </c>
      <c r="T2291" s="5">
        <v>0</v>
      </c>
      <c r="U2291" s="5">
        <v>0</v>
      </c>
      <c r="V2291" s="5">
        <f>VLOOKUP(A2291,Planilha1!B:E,4,0)</f>
        <v>4.5971522734997743</v>
      </c>
    </row>
    <row r="2292" spans="1:22" x14ac:dyDescent="0.3">
      <c r="A2292" t="str">
        <f t="shared" si="70"/>
        <v>QUEIJOSLACTALIS</v>
      </c>
      <c r="B2292" t="str">
        <f t="shared" si="71"/>
        <v>5029281QUEIJOSLACTALIS</v>
      </c>
      <c r="C2292" s="5" t="s">
        <v>226</v>
      </c>
      <c r="D2292" s="5" t="s">
        <v>227</v>
      </c>
      <c r="E2292" s="5" t="s">
        <v>1722</v>
      </c>
      <c r="F2292" s="5">
        <v>5029281</v>
      </c>
      <c r="G2292" s="5" t="s">
        <v>501</v>
      </c>
      <c r="H2292" s="5" t="s">
        <v>30</v>
      </c>
      <c r="I2292" s="5" t="s">
        <v>22</v>
      </c>
      <c r="J2292" s="5" t="s">
        <v>63</v>
      </c>
      <c r="K2292" s="6">
        <v>0</v>
      </c>
      <c r="L2292" s="7">
        <v>0</v>
      </c>
      <c r="M2292" s="8">
        <v>6.9200000000000008</v>
      </c>
      <c r="N2292" s="8">
        <v>5.0533333333333337</v>
      </c>
      <c r="O2292" s="8">
        <v>4.416320647097475</v>
      </c>
      <c r="P2292" s="8">
        <v>0</v>
      </c>
      <c r="Q2292" s="8">
        <v>0</v>
      </c>
      <c r="R2292" s="8">
        <v>0</v>
      </c>
      <c r="S2292" s="8">
        <v>0</v>
      </c>
      <c r="T2292" s="5">
        <v>0</v>
      </c>
      <c r="U2292" s="5">
        <v>0</v>
      </c>
      <c r="V2292" s="5">
        <f>VLOOKUP(A2292,Planilha1!B:E,4,0)</f>
        <v>-1.9171310037550682</v>
      </c>
    </row>
    <row r="2293" spans="1:22" x14ac:dyDescent="0.3">
      <c r="A2293" t="str">
        <f t="shared" si="70"/>
        <v>IOGURTESLACTALIS</v>
      </c>
      <c r="B2293" t="str">
        <f t="shared" si="71"/>
        <v>5008588IOGURTESLACTALIS</v>
      </c>
      <c r="C2293" s="5" t="s">
        <v>226</v>
      </c>
      <c r="D2293" s="5" t="s">
        <v>227</v>
      </c>
      <c r="E2293" s="5" t="s">
        <v>1722</v>
      </c>
      <c r="F2293" s="5">
        <v>5008588</v>
      </c>
      <c r="G2293" s="5" t="s">
        <v>1134</v>
      </c>
      <c r="H2293" s="5" t="s">
        <v>30</v>
      </c>
      <c r="I2293" s="5" t="s">
        <v>22</v>
      </c>
      <c r="J2293" s="5" t="s">
        <v>153</v>
      </c>
      <c r="K2293" s="6">
        <v>0</v>
      </c>
      <c r="L2293" s="7">
        <v>16.32</v>
      </c>
      <c r="M2293" s="8">
        <v>27.200000000000003</v>
      </c>
      <c r="N2293" s="8">
        <v>27.2</v>
      </c>
      <c r="O2293" s="8">
        <v>27.489459098836416</v>
      </c>
      <c r="P2293" s="8">
        <v>0</v>
      </c>
      <c r="Q2293" s="8">
        <v>17.920000000000002</v>
      </c>
      <c r="R2293" s="8">
        <v>0</v>
      </c>
      <c r="S2293" s="8">
        <v>0</v>
      </c>
      <c r="T2293" s="5">
        <v>0</v>
      </c>
      <c r="U2293" s="5">
        <v>0</v>
      </c>
      <c r="V2293" s="5">
        <f>VLOOKUP(A2293,Planilha1!B:E,4,0)</f>
        <v>3.0503167986984403</v>
      </c>
    </row>
    <row r="2294" spans="1:22" x14ac:dyDescent="0.3">
      <c r="A2294" t="str">
        <f t="shared" si="70"/>
        <v>SPREADSITAMBÉ</v>
      </c>
      <c r="B2294" t="str">
        <f t="shared" si="71"/>
        <v>5127060SPREADSITAMBÉ</v>
      </c>
      <c r="C2294" s="5" t="s">
        <v>226</v>
      </c>
      <c r="D2294" s="5" t="s">
        <v>727</v>
      </c>
      <c r="E2294" s="5" t="s">
        <v>733</v>
      </c>
      <c r="F2294" s="5">
        <v>5127060</v>
      </c>
      <c r="G2294" s="5" t="s">
        <v>741</v>
      </c>
      <c r="H2294" s="5" t="s">
        <v>25</v>
      </c>
      <c r="I2294" s="5" t="s">
        <v>27</v>
      </c>
      <c r="J2294" s="5" t="s">
        <v>945</v>
      </c>
      <c r="K2294" s="6">
        <v>0</v>
      </c>
      <c r="L2294" s="7">
        <v>0</v>
      </c>
      <c r="M2294" s="8">
        <v>6.0333333333333332</v>
      </c>
      <c r="N2294" s="8">
        <v>10.333333333333334</v>
      </c>
      <c r="O2294" s="8">
        <v>1.999597688047313</v>
      </c>
      <c r="P2294" s="8">
        <v>0</v>
      </c>
      <c r="Q2294" s="8">
        <v>19.2</v>
      </c>
      <c r="R2294" s="8">
        <v>0</v>
      </c>
      <c r="S2294" s="8">
        <v>0</v>
      </c>
      <c r="T2294" s="5">
        <v>0</v>
      </c>
      <c r="U2294" s="5">
        <v>0</v>
      </c>
      <c r="V2294" s="5">
        <f>VLOOKUP(A2294,Planilha1!B:E,4,0)</f>
        <v>9.2962610783648607</v>
      </c>
    </row>
    <row r="2295" spans="1:22" x14ac:dyDescent="0.3">
      <c r="A2295" t="str">
        <f t="shared" si="70"/>
        <v>LPI 25KGITAMBÉ</v>
      </c>
      <c r="B2295" t="str">
        <f t="shared" si="71"/>
        <v>5121735LPI 25KGITAMBÉ</v>
      </c>
      <c r="C2295" s="5" t="s">
        <v>16</v>
      </c>
      <c r="D2295" s="5" t="s">
        <v>28</v>
      </c>
      <c r="E2295" s="5" t="s">
        <v>28</v>
      </c>
      <c r="F2295" s="5">
        <v>5121735</v>
      </c>
      <c r="G2295" s="5" t="s">
        <v>1017</v>
      </c>
      <c r="H2295" s="5" t="s">
        <v>30</v>
      </c>
      <c r="I2295" s="5" t="s">
        <v>27</v>
      </c>
      <c r="J2295" s="5" t="s">
        <v>21</v>
      </c>
      <c r="K2295" s="6">
        <v>0</v>
      </c>
      <c r="L2295" s="7">
        <v>0</v>
      </c>
      <c r="M2295" s="8">
        <v>53912.5</v>
      </c>
      <c r="N2295" s="8">
        <v>74491.666666666672</v>
      </c>
      <c r="O2295" s="8">
        <v>267818.97509810294</v>
      </c>
      <c r="P2295" s="8">
        <v>0</v>
      </c>
      <c r="Q2295" s="8">
        <v>24000</v>
      </c>
      <c r="R2295" s="8">
        <v>0</v>
      </c>
      <c r="S2295" s="8">
        <v>0</v>
      </c>
      <c r="T2295" s="5">
        <v>24000</v>
      </c>
      <c r="U2295" s="5">
        <v>0</v>
      </c>
      <c r="V2295" s="5">
        <f>VLOOKUP(A2295,Planilha1!B:E,4,0)</f>
        <v>-1.218192805504376</v>
      </c>
    </row>
    <row r="2296" spans="1:22" x14ac:dyDescent="0.3">
      <c r="A2296" t="str">
        <f t="shared" si="70"/>
        <v>IOGURTESLACTALIS</v>
      </c>
      <c r="B2296" t="str">
        <f t="shared" si="71"/>
        <v>5135368IOGURTESLACTALIS</v>
      </c>
      <c r="C2296" s="5" t="s">
        <v>226</v>
      </c>
      <c r="D2296" s="5" t="s">
        <v>227</v>
      </c>
      <c r="E2296" s="5" t="s">
        <v>1722</v>
      </c>
      <c r="F2296" s="5">
        <v>5135368</v>
      </c>
      <c r="G2296" s="5" t="s">
        <v>1106</v>
      </c>
      <c r="H2296" s="5" t="s">
        <v>30</v>
      </c>
      <c r="I2296" s="5" t="s">
        <v>22</v>
      </c>
      <c r="J2296" s="5" t="s">
        <v>153</v>
      </c>
      <c r="K2296" s="6">
        <v>0</v>
      </c>
      <c r="L2296" s="7">
        <v>20.399999999999999</v>
      </c>
      <c r="M2296" s="8">
        <v>6.12</v>
      </c>
      <c r="N2296" s="8">
        <v>12.24</v>
      </c>
      <c r="O2296" s="8">
        <v>4.0459195605667198</v>
      </c>
      <c r="P2296" s="8">
        <v>0</v>
      </c>
      <c r="Q2296" s="8">
        <v>0</v>
      </c>
      <c r="R2296" s="8">
        <v>0</v>
      </c>
      <c r="S2296" s="8">
        <v>0</v>
      </c>
      <c r="T2296" s="5">
        <v>0</v>
      </c>
      <c r="U2296" s="5">
        <v>0</v>
      </c>
      <c r="V2296" s="5">
        <f>VLOOKUP(A2296,Planilha1!B:E,4,0)</f>
        <v>3.0503167986984403</v>
      </c>
    </row>
    <row r="2297" spans="1:22" x14ac:dyDescent="0.3">
      <c r="A2297" t="str">
        <f t="shared" si="70"/>
        <v>COMPOSTOITAMBÉ</v>
      </c>
      <c r="B2297" t="str">
        <f t="shared" si="71"/>
        <v>5194644COMPOSTOITAMBÉ</v>
      </c>
      <c r="C2297" s="5" t="s">
        <v>149</v>
      </c>
      <c r="D2297" s="5" t="s">
        <v>150</v>
      </c>
      <c r="E2297" s="5" t="s">
        <v>151</v>
      </c>
      <c r="F2297" s="5">
        <v>5194644</v>
      </c>
      <c r="G2297" s="5" t="s">
        <v>1244</v>
      </c>
      <c r="H2297" s="5" t="s">
        <v>91</v>
      </c>
      <c r="I2297" s="5" t="s">
        <v>27</v>
      </c>
      <c r="J2297" s="5" t="s">
        <v>26</v>
      </c>
      <c r="K2297" s="6">
        <v>0</v>
      </c>
      <c r="L2297" s="7">
        <v>0</v>
      </c>
      <c r="M2297" s="8">
        <v>8.3333333333333339</v>
      </c>
      <c r="N2297" s="8">
        <v>16.666666666666668</v>
      </c>
      <c r="O2297" s="8">
        <v>0</v>
      </c>
      <c r="P2297" s="8">
        <v>0</v>
      </c>
      <c r="Q2297" s="8">
        <v>0</v>
      </c>
      <c r="R2297" s="8">
        <v>0</v>
      </c>
      <c r="S2297" s="8">
        <v>0</v>
      </c>
      <c r="T2297" s="5">
        <v>0</v>
      </c>
      <c r="U2297" s="5">
        <v>0</v>
      </c>
      <c r="V2297" s="5">
        <f>VLOOKUP(A2297,Planilha1!B:E,4,0)</f>
        <v>0.15618217875936719</v>
      </c>
    </row>
    <row r="2298" spans="1:22" x14ac:dyDescent="0.3">
      <c r="A2298" t="str">
        <f t="shared" si="70"/>
        <v>DOCE DE LEITEITAMBÉ</v>
      </c>
      <c r="B2298" t="str">
        <f t="shared" si="71"/>
        <v>5110662DOCE DE LEITEITAMBÉ</v>
      </c>
      <c r="C2298" s="5" t="s">
        <v>226</v>
      </c>
      <c r="D2298" s="5" t="s">
        <v>833</v>
      </c>
      <c r="E2298" s="5" t="s">
        <v>850</v>
      </c>
      <c r="F2298" s="5">
        <v>5110662</v>
      </c>
      <c r="G2298" s="5" t="s">
        <v>1259</v>
      </c>
      <c r="H2298" s="5" t="s">
        <v>40</v>
      </c>
      <c r="I2298" s="5" t="s">
        <v>27</v>
      </c>
      <c r="J2298" s="5" t="s">
        <v>46</v>
      </c>
      <c r="K2298" s="6">
        <v>0</v>
      </c>
      <c r="L2298" s="7">
        <v>0</v>
      </c>
      <c r="M2298" s="8">
        <v>4.8</v>
      </c>
      <c r="N2298" s="8">
        <v>4.666666666666667</v>
      </c>
      <c r="O2298" s="8">
        <v>0</v>
      </c>
      <c r="P2298" s="8">
        <v>0</v>
      </c>
      <c r="Q2298" s="8">
        <v>14.4</v>
      </c>
      <c r="R2298" s="8">
        <v>0</v>
      </c>
      <c r="S2298" s="8">
        <v>5</v>
      </c>
      <c r="T2298" s="5">
        <v>5</v>
      </c>
      <c r="U2298" s="5">
        <v>5</v>
      </c>
      <c r="V2298" s="5">
        <f>VLOOKUP(A2298,Planilha1!B:E,4,0)</f>
        <v>5.8210743907543439</v>
      </c>
    </row>
    <row r="2299" spans="1:22" x14ac:dyDescent="0.3">
      <c r="A2299" t="str">
        <f t="shared" si="70"/>
        <v>LEITE CONDENSADOITAMBÉ</v>
      </c>
      <c r="B2299" t="str">
        <f t="shared" si="71"/>
        <v>5110662LEITE CONDENSADOITAMBÉ</v>
      </c>
      <c r="C2299" s="5" t="s">
        <v>226</v>
      </c>
      <c r="D2299" s="5" t="s">
        <v>833</v>
      </c>
      <c r="E2299" s="5" t="s">
        <v>850</v>
      </c>
      <c r="F2299" s="5">
        <v>5110662</v>
      </c>
      <c r="G2299" s="5" t="s">
        <v>1259</v>
      </c>
      <c r="H2299" s="5" t="s">
        <v>40</v>
      </c>
      <c r="I2299" s="5" t="s">
        <v>27</v>
      </c>
      <c r="J2299" s="5" t="s">
        <v>33</v>
      </c>
      <c r="K2299" s="6">
        <v>0</v>
      </c>
      <c r="L2299" s="7">
        <v>0</v>
      </c>
      <c r="M2299" s="8">
        <v>39.5</v>
      </c>
      <c r="N2299" s="8">
        <v>31.666666666666668</v>
      </c>
      <c r="O2299" s="8">
        <v>0</v>
      </c>
      <c r="P2299" s="8">
        <v>0</v>
      </c>
      <c r="Q2299" s="8">
        <v>9.48</v>
      </c>
      <c r="R2299" s="8">
        <v>0</v>
      </c>
      <c r="S2299" s="8">
        <v>32</v>
      </c>
      <c r="T2299" s="5">
        <v>32</v>
      </c>
      <c r="U2299" s="5">
        <v>32</v>
      </c>
      <c r="V2299" s="5">
        <f>VLOOKUP(A2299,Planilha1!B:E,4,0)</f>
        <v>1.4766792698630664</v>
      </c>
    </row>
    <row r="2300" spans="1:22" x14ac:dyDescent="0.3">
      <c r="A2300" t="str">
        <f t="shared" si="70"/>
        <v>LEITE EM PÓITAMBÉ</v>
      </c>
      <c r="B2300" t="str">
        <f t="shared" si="71"/>
        <v>5141759LEITE EM PÓITAMBÉ</v>
      </c>
      <c r="C2300" s="5" t="s">
        <v>226</v>
      </c>
      <c r="D2300" s="5" t="s">
        <v>752</v>
      </c>
      <c r="E2300" s="5" t="s">
        <v>774</v>
      </c>
      <c r="F2300" s="5">
        <v>5141759</v>
      </c>
      <c r="G2300" s="5" t="s">
        <v>784</v>
      </c>
      <c r="H2300" s="5" t="s">
        <v>32</v>
      </c>
      <c r="I2300" s="5" t="s">
        <v>27</v>
      </c>
      <c r="J2300" s="5" t="s">
        <v>84</v>
      </c>
      <c r="K2300" s="6">
        <v>0</v>
      </c>
      <c r="L2300" s="7">
        <v>0</v>
      </c>
      <c r="M2300" s="8">
        <v>10</v>
      </c>
      <c r="N2300" s="8">
        <v>10</v>
      </c>
      <c r="O2300" s="8">
        <v>0</v>
      </c>
      <c r="P2300" s="8">
        <v>0</v>
      </c>
      <c r="Q2300" s="8">
        <v>0</v>
      </c>
      <c r="R2300" s="8">
        <v>0</v>
      </c>
      <c r="S2300" s="8">
        <v>0</v>
      </c>
      <c r="T2300" s="5">
        <v>0</v>
      </c>
      <c r="U2300" s="5">
        <v>0</v>
      </c>
      <c r="V2300" s="5">
        <f>VLOOKUP(A2300,Planilha1!B:E,4,0)</f>
        <v>4.5971522734997743</v>
      </c>
    </row>
    <row r="2301" spans="1:22" x14ac:dyDescent="0.3">
      <c r="A2301" t="str">
        <f t="shared" si="70"/>
        <v>LEITE EM PÓITAMBÉ</v>
      </c>
      <c r="B2301" t="str">
        <f t="shared" si="71"/>
        <v>5115814LEITE EM PÓITAMBÉ</v>
      </c>
      <c r="C2301" s="5" t="s">
        <v>226</v>
      </c>
      <c r="D2301" s="5" t="s">
        <v>752</v>
      </c>
      <c r="E2301" s="5" t="s">
        <v>1216</v>
      </c>
      <c r="F2301" s="5">
        <v>5115814</v>
      </c>
      <c r="G2301" s="5" t="s">
        <v>761</v>
      </c>
      <c r="H2301" s="5" t="s">
        <v>154</v>
      </c>
      <c r="I2301" s="5" t="s">
        <v>27</v>
      </c>
      <c r="J2301" s="5" t="s">
        <v>84</v>
      </c>
      <c r="K2301" s="6">
        <v>0</v>
      </c>
      <c r="L2301" s="7">
        <v>0</v>
      </c>
      <c r="M2301" s="8">
        <v>200.00000000000003</v>
      </c>
      <c r="N2301" s="8">
        <v>200</v>
      </c>
      <c r="O2301" s="8">
        <v>239.95172256567756</v>
      </c>
      <c r="P2301" s="8">
        <v>0</v>
      </c>
      <c r="Q2301" s="8">
        <v>0</v>
      </c>
      <c r="R2301" s="8">
        <v>0</v>
      </c>
      <c r="S2301" s="8">
        <v>0</v>
      </c>
      <c r="T2301" s="5">
        <v>0</v>
      </c>
      <c r="U2301" s="5">
        <v>0</v>
      </c>
      <c r="V2301" s="5">
        <f>VLOOKUP(A2301,Planilha1!B:E,4,0)</f>
        <v>4.5971522734997743</v>
      </c>
    </row>
    <row r="2302" spans="1:22" x14ac:dyDescent="0.3">
      <c r="A2302" t="str">
        <f t="shared" si="70"/>
        <v>SPREADSLACTALIS</v>
      </c>
      <c r="B2302" t="str">
        <f t="shared" si="71"/>
        <v>5144334SPREADSLACTALIS</v>
      </c>
      <c r="C2302" s="5" t="s">
        <v>226</v>
      </c>
      <c r="D2302" s="5" t="s">
        <v>227</v>
      </c>
      <c r="E2302" s="5" t="s">
        <v>1722</v>
      </c>
      <c r="F2302" s="5">
        <v>5144334</v>
      </c>
      <c r="G2302" s="5" t="s">
        <v>1260</v>
      </c>
      <c r="H2302" s="5" t="s">
        <v>30</v>
      </c>
      <c r="I2302" s="5" t="s">
        <v>22</v>
      </c>
      <c r="J2302" s="5" t="s">
        <v>945</v>
      </c>
      <c r="K2302" s="6">
        <v>0</v>
      </c>
      <c r="L2302" s="7">
        <v>0</v>
      </c>
      <c r="M2302" s="8">
        <v>5.1333333333333329</v>
      </c>
      <c r="N2302" s="8">
        <v>8.2666666666666657</v>
      </c>
      <c r="O2302" s="8">
        <v>1.6753526067698812</v>
      </c>
      <c r="P2302" s="8">
        <v>0</v>
      </c>
      <c r="Q2302" s="8">
        <v>8</v>
      </c>
      <c r="R2302" s="8">
        <v>0</v>
      </c>
      <c r="S2302" s="8">
        <v>0</v>
      </c>
      <c r="T2302" s="5">
        <v>0</v>
      </c>
      <c r="U2302" s="5">
        <v>0</v>
      </c>
      <c r="V2302" s="5">
        <f>VLOOKUP(A2302,Planilha1!B:E,4,0)</f>
        <v>13.599044988219518</v>
      </c>
    </row>
    <row r="2303" spans="1:22" x14ac:dyDescent="0.3">
      <c r="A2303" t="str">
        <f t="shared" si="70"/>
        <v>DOCE DE LEITEITAMBÉ</v>
      </c>
      <c r="B2303" t="str">
        <f t="shared" si="71"/>
        <v>5355052DOCE DE LEITEITAMBÉ</v>
      </c>
      <c r="C2303" s="5" t="s">
        <v>226</v>
      </c>
      <c r="D2303" s="5" t="s">
        <v>797</v>
      </c>
      <c r="E2303" s="5" t="s">
        <v>753</v>
      </c>
      <c r="F2303" s="5">
        <v>5355052</v>
      </c>
      <c r="G2303" s="5" t="s">
        <v>1261</v>
      </c>
      <c r="H2303" s="5" t="s">
        <v>972</v>
      </c>
      <c r="I2303" s="5" t="s">
        <v>27</v>
      </c>
      <c r="J2303" s="5" t="s">
        <v>46</v>
      </c>
      <c r="K2303" s="6">
        <v>0</v>
      </c>
      <c r="L2303" s="7">
        <v>0</v>
      </c>
      <c r="M2303" s="8">
        <v>600</v>
      </c>
      <c r="N2303" s="8">
        <v>900</v>
      </c>
      <c r="O2303" s="8">
        <v>0</v>
      </c>
      <c r="P2303" s="8">
        <v>0</v>
      </c>
      <c r="Q2303" s="8">
        <v>0</v>
      </c>
      <c r="R2303" s="8">
        <v>0</v>
      </c>
      <c r="S2303" s="8">
        <v>0</v>
      </c>
      <c r="T2303" s="5">
        <v>0</v>
      </c>
      <c r="U2303" s="5">
        <v>0</v>
      </c>
      <c r="V2303" s="5">
        <f>VLOOKUP(A2303,Planilha1!B:E,4,0)</f>
        <v>5.8210743907543439</v>
      </c>
    </row>
    <row r="2304" spans="1:22" x14ac:dyDescent="0.3">
      <c r="A2304" t="str">
        <f t="shared" si="70"/>
        <v>IOGURTESITAMBÉ</v>
      </c>
      <c r="B2304" t="str">
        <f t="shared" si="71"/>
        <v>5147526IOGURTESITAMBÉ</v>
      </c>
      <c r="C2304" s="5" t="s">
        <v>149</v>
      </c>
      <c r="D2304" s="5" t="s">
        <v>150</v>
      </c>
      <c r="E2304" s="5" t="s">
        <v>151</v>
      </c>
      <c r="F2304" s="5">
        <v>5147526</v>
      </c>
      <c r="G2304" s="5" t="s">
        <v>198</v>
      </c>
      <c r="H2304" s="5" t="s">
        <v>154</v>
      </c>
      <c r="I2304" s="5" t="s">
        <v>27</v>
      </c>
      <c r="J2304" s="5" t="s">
        <v>153</v>
      </c>
      <c r="K2304" s="6">
        <v>0</v>
      </c>
      <c r="L2304" s="7">
        <v>0</v>
      </c>
      <c r="M2304" s="8">
        <v>2797.9000000000005</v>
      </c>
      <c r="N2304" s="8">
        <v>664</v>
      </c>
      <c r="O2304" s="8">
        <v>5970.7986965092769</v>
      </c>
      <c r="P2304" s="8">
        <v>0</v>
      </c>
      <c r="Q2304" s="8">
        <v>40.799999999999997</v>
      </c>
      <c r="R2304" s="8">
        <v>0</v>
      </c>
      <c r="S2304" s="8">
        <v>0</v>
      </c>
      <c r="T2304" s="5">
        <v>0</v>
      </c>
      <c r="U2304" s="5">
        <v>0</v>
      </c>
      <c r="V2304" s="5">
        <f>VLOOKUP(A2304,Planilha1!B:E,4,0)</f>
        <v>3.2554443184120534</v>
      </c>
    </row>
    <row r="2305" spans="1:22" x14ac:dyDescent="0.3">
      <c r="A2305" t="str">
        <f t="shared" si="70"/>
        <v>LEITE CONDENSADOITAMBÉ</v>
      </c>
      <c r="B2305" t="str">
        <f t="shared" si="71"/>
        <v>5112934LEITE CONDENSADOITAMBÉ</v>
      </c>
      <c r="C2305" s="5" t="s">
        <v>226</v>
      </c>
      <c r="D2305" s="5" t="s">
        <v>727</v>
      </c>
      <c r="E2305" s="5" t="s">
        <v>733</v>
      </c>
      <c r="F2305" s="5">
        <v>5112934</v>
      </c>
      <c r="G2305" s="5" t="s">
        <v>1262</v>
      </c>
      <c r="H2305" s="5" t="s">
        <v>25</v>
      </c>
      <c r="I2305" s="5" t="s">
        <v>27</v>
      </c>
      <c r="J2305" s="5" t="s">
        <v>33</v>
      </c>
      <c r="K2305" s="6">
        <v>0</v>
      </c>
      <c r="L2305" s="7">
        <v>0</v>
      </c>
      <c r="M2305" s="8">
        <v>728.77499999999998</v>
      </c>
      <c r="N2305" s="8">
        <v>1457.6666666666667</v>
      </c>
      <c r="O2305" s="8">
        <v>0</v>
      </c>
      <c r="P2305" s="8">
        <v>0</v>
      </c>
      <c r="Q2305" s="8">
        <v>0</v>
      </c>
      <c r="R2305" s="8">
        <v>0</v>
      </c>
      <c r="S2305" s="8">
        <v>0</v>
      </c>
      <c r="T2305" s="5">
        <v>0</v>
      </c>
      <c r="U2305" s="5">
        <v>0</v>
      </c>
      <c r="V2305" s="5">
        <f>VLOOKUP(A2305,Planilha1!B:E,4,0)</f>
        <v>1.4766792698630664</v>
      </c>
    </row>
    <row r="2306" spans="1:22" x14ac:dyDescent="0.3">
      <c r="A2306" t="str">
        <f t="shared" ref="A2306:A2369" si="72">J2306&amp;I2306</f>
        <v>SPREADSITAMBÉ</v>
      </c>
      <c r="B2306" t="str">
        <f t="shared" si="71"/>
        <v>5219839SPREADSITAMBÉ</v>
      </c>
      <c r="C2306" s="5" t="s">
        <v>226</v>
      </c>
      <c r="D2306" s="5" t="s">
        <v>903</v>
      </c>
      <c r="E2306" s="5" t="s">
        <v>904</v>
      </c>
      <c r="F2306" s="5">
        <v>5219839</v>
      </c>
      <c r="G2306" s="5" t="s">
        <v>927</v>
      </c>
      <c r="H2306" s="5" t="s">
        <v>103</v>
      </c>
      <c r="I2306" s="5" t="s">
        <v>27</v>
      </c>
      <c r="J2306" s="5" t="s">
        <v>945</v>
      </c>
      <c r="K2306" s="6">
        <v>0</v>
      </c>
      <c r="L2306" s="7">
        <v>0</v>
      </c>
      <c r="M2306" s="8">
        <v>13</v>
      </c>
      <c r="N2306" s="8">
        <v>14</v>
      </c>
      <c r="O2306" s="8">
        <v>3.9991953760946259</v>
      </c>
      <c r="P2306" s="8">
        <v>0</v>
      </c>
      <c r="Q2306" s="8">
        <v>0</v>
      </c>
      <c r="R2306" s="8">
        <v>0</v>
      </c>
      <c r="S2306" s="8">
        <v>0</v>
      </c>
      <c r="T2306" s="5">
        <v>0</v>
      </c>
      <c r="U2306" s="5">
        <v>0</v>
      </c>
      <c r="V2306" s="5">
        <f>VLOOKUP(A2306,Planilha1!B:E,4,0)</f>
        <v>9.2962610783648607</v>
      </c>
    </row>
    <row r="2307" spans="1:22" x14ac:dyDescent="0.3">
      <c r="A2307" t="str">
        <f t="shared" si="72"/>
        <v>LEITE CONDENSADOLACTALIS</v>
      </c>
      <c r="B2307" t="str">
        <f t="shared" ref="B2307:B2370" si="73">F2307&amp;J2307&amp;I2307</f>
        <v>5034558LEITE CONDENSADOLACTALIS</v>
      </c>
      <c r="C2307" s="5" t="s">
        <v>226</v>
      </c>
      <c r="D2307" s="5" t="s">
        <v>227</v>
      </c>
      <c r="E2307" s="5" t="s">
        <v>1722</v>
      </c>
      <c r="F2307" s="5">
        <v>5034558</v>
      </c>
      <c r="G2307" s="5" t="s">
        <v>379</v>
      </c>
      <c r="H2307" s="5" t="s">
        <v>30</v>
      </c>
      <c r="I2307" s="5" t="s">
        <v>22</v>
      </c>
      <c r="J2307" s="5" t="s">
        <v>33</v>
      </c>
      <c r="K2307" s="6">
        <v>0</v>
      </c>
      <c r="L2307" s="7">
        <v>0</v>
      </c>
      <c r="M2307" s="8">
        <v>9.3333333333333339</v>
      </c>
      <c r="N2307" s="8">
        <v>18.666666666666668</v>
      </c>
      <c r="O2307" s="8">
        <v>14</v>
      </c>
      <c r="P2307" s="8">
        <v>0</v>
      </c>
      <c r="Q2307" s="8">
        <v>14</v>
      </c>
      <c r="R2307" s="8">
        <v>0</v>
      </c>
      <c r="S2307" s="8">
        <v>70</v>
      </c>
      <c r="T2307" s="5">
        <v>70</v>
      </c>
      <c r="U2307" s="5">
        <v>84</v>
      </c>
      <c r="V2307" s="5">
        <f>VLOOKUP(A2307,Planilha1!B:E,4,0)</f>
        <v>1.8665071822970765</v>
      </c>
    </row>
    <row r="2308" spans="1:22" x14ac:dyDescent="0.3">
      <c r="A2308" t="str">
        <f t="shared" si="72"/>
        <v>IOGURTESLACTALIS</v>
      </c>
      <c r="B2308" t="str">
        <f t="shared" si="73"/>
        <v>5147526IOGURTESLACTALIS</v>
      </c>
      <c r="C2308" s="5" t="s">
        <v>149</v>
      </c>
      <c r="D2308" s="5" t="s">
        <v>150</v>
      </c>
      <c r="E2308" s="5" t="s">
        <v>151</v>
      </c>
      <c r="F2308" s="5">
        <v>5147526</v>
      </c>
      <c r="G2308" s="5" t="s">
        <v>198</v>
      </c>
      <c r="H2308" s="5" t="s">
        <v>154</v>
      </c>
      <c r="I2308" s="5" t="s">
        <v>22</v>
      </c>
      <c r="J2308" s="5" t="s">
        <v>153</v>
      </c>
      <c r="K2308" s="6">
        <v>0</v>
      </c>
      <c r="L2308" s="7">
        <v>5258.7199999999993</v>
      </c>
      <c r="M2308" s="8">
        <v>152.30666666666667</v>
      </c>
      <c r="N2308" s="8">
        <v>78.133333333333326</v>
      </c>
      <c r="O2308" s="8">
        <v>1668.6568948210561</v>
      </c>
      <c r="P2308" s="8">
        <v>0</v>
      </c>
      <c r="Q2308" s="8">
        <v>0</v>
      </c>
      <c r="R2308" s="8">
        <v>0</v>
      </c>
      <c r="S2308" s="8">
        <v>0</v>
      </c>
      <c r="T2308" s="5">
        <v>0</v>
      </c>
      <c r="U2308" s="5">
        <v>0</v>
      </c>
      <c r="V2308" s="5">
        <f>VLOOKUP(A2308,Planilha1!B:E,4,0)</f>
        <v>3.0503167986984403</v>
      </c>
    </row>
    <row r="2309" spans="1:22" x14ac:dyDescent="0.3">
      <c r="A2309" t="str">
        <f t="shared" si="72"/>
        <v>SPREADSLACTALIS</v>
      </c>
      <c r="B2309" t="str">
        <f t="shared" si="73"/>
        <v>5159092SPREADSLACTALIS</v>
      </c>
      <c r="C2309" s="5" t="s">
        <v>226</v>
      </c>
      <c r="D2309" s="5" t="s">
        <v>227</v>
      </c>
      <c r="E2309" s="5" t="s">
        <v>1722</v>
      </c>
      <c r="F2309" s="5">
        <v>5159092</v>
      </c>
      <c r="G2309" s="5" t="s">
        <v>243</v>
      </c>
      <c r="H2309" s="5" t="s">
        <v>30</v>
      </c>
      <c r="I2309" s="5" t="s">
        <v>22</v>
      </c>
      <c r="J2309" s="5" t="s">
        <v>945</v>
      </c>
      <c r="K2309" s="6">
        <v>0</v>
      </c>
      <c r="L2309" s="7">
        <v>44</v>
      </c>
      <c r="M2309" s="8">
        <v>45.333333333333336</v>
      </c>
      <c r="N2309" s="8">
        <v>45.333333333333329</v>
      </c>
      <c r="O2309" s="8">
        <v>30.15064844360354</v>
      </c>
      <c r="P2309" s="8">
        <v>0</v>
      </c>
      <c r="Q2309" s="8">
        <v>0</v>
      </c>
      <c r="R2309" s="8">
        <v>0</v>
      </c>
      <c r="S2309" s="8">
        <v>0</v>
      </c>
      <c r="T2309" s="5">
        <v>0</v>
      </c>
      <c r="U2309" s="5">
        <v>80</v>
      </c>
      <c r="V2309" s="5">
        <f>VLOOKUP(A2309,Planilha1!B:E,4,0)</f>
        <v>13.599044988219518</v>
      </c>
    </row>
    <row r="2310" spans="1:22" x14ac:dyDescent="0.3">
      <c r="A2310" t="str">
        <f t="shared" si="72"/>
        <v>IOGURTESLACTALIS</v>
      </c>
      <c r="B2310" t="str">
        <f t="shared" si="73"/>
        <v>5161553IOGURTESLACTALIS</v>
      </c>
      <c r="C2310" s="5" t="s">
        <v>149</v>
      </c>
      <c r="D2310" s="5" t="s">
        <v>150</v>
      </c>
      <c r="E2310" s="5" t="s">
        <v>151</v>
      </c>
      <c r="F2310" s="5">
        <v>5161553</v>
      </c>
      <c r="G2310" s="5" t="s">
        <v>198</v>
      </c>
      <c r="H2310" s="5" t="s">
        <v>113</v>
      </c>
      <c r="I2310" s="5" t="s">
        <v>22</v>
      </c>
      <c r="J2310" s="5" t="s">
        <v>153</v>
      </c>
      <c r="K2310" s="6">
        <v>0</v>
      </c>
      <c r="L2310" s="7">
        <v>1148.96</v>
      </c>
      <c r="M2310" s="8">
        <v>1905.4533333333336</v>
      </c>
      <c r="N2310" s="8">
        <v>1914.84</v>
      </c>
      <c r="O2310" s="8">
        <v>1642.677532459614</v>
      </c>
      <c r="P2310" s="8">
        <v>0</v>
      </c>
      <c r="Q2310" s="8">
        <v>612.71999999999991</v>
      </c>
      <c r="R2310" s="8">
        <v>0</v>
      </c>
      <c r="S2310" s="8">
        <v>0</v>
      </c>
      <c r="T2310" s="5">
        <v>0</v>
      </c>
      <c r="U2310" s="5">
        <v>0</v>
      </c>
      <c r="V2310" s="5">
        <f>VLOOKUP(A2310,Planilha1!B:E,4,0)</f>
        <v>3.0503167986984403</v>
      </c>
    </row>
    <row r="2311" spans="1:22" x14ac:dyDescent="0.3">
      <c r="A2311" t="str">
        <f t="shared" si="72"/>
        <v>COMPOSTOLACTALIS</v>
      </c>
      <c r="B2311" t="str">
        <f t="shared" si="73"/>
        <v>5030629COMPOSTOLACTALIS</v>
      </c>
      <c r="C2311" s="5" t="s">
        <v>226</v>
      </c>
      <c r="D2311" s="5" t="s">
        <v>227</v>
      </c>
      <c r="E2311" s="5" t="s">
        <v>231</v>
      </c>
      <c r="F2311" s="5">
        <v>5030629</v>
      </c>
      <c r="G2311" s="5" t="s">
        <v>1220</v>
      </c>
      <c r="H2311" s="5" t="s">
        <v>30</v>
      </c>
      <c r="I2311" s="5" t="s">
        <v>22</v>
      </c>
      <c r="J2311" s="5" t="s">
        <v>26</v>
      </c>
      <c r="K2311" s="6">
        <v>0</v>
      </c>
      <c r="L2311" s="7">
        <v>0</v>
      </c>
      <c r="M2311" s="8">
        <v>5</v>
      </c>
      <c r="N2311" s="8">
        <v>10</v>
      </c>
      <c r="O2311" s="8">
        <v>0</v>
      </c>
      <c r="P2311" s="8">
        <v>0</v>
      </c>
      <c r="Q2311" s="8">
        <v>0</v>
      </c>
      <c r="R2311" s="8">
        <v>0</v>
      </c>
      <c r="S2311" s="8">
        <v>0</v>
      </c>
      <c r="T2311" s="5">
        <v>0</v>
      </c>
      <c r="U2311" s="5">
        <v>0</v>
      </c>
      <c r="V2311" s="5">
        <f>VLOOKUP(A2311,Planilha1!B:E,4,0)</f>
        <v>7.7134687735139194</v>
      </c>
    </row>
    <row r="2312" spans="1:22" x14ac:dyDescent="0.3">
      <c r="A2312" t="str">
        <f t="shared" si="72"/>
        <v>LEITE UHTITAMBÉ</v>
      </c>
      <c r="B2312" t="str">
        <f t="shared" si="73"/>
        <v>5051163LEITE UHTITAMBÉ</v>
      </c>
      <c r="C2312" s="5" t="s">
        <v>226</v>
      </c>
      <c r="D2312" s="5" t="s">
        <v>727</v>
      </c>
      <c r="E2312" s="5" t="s">
        <v>733</v>
      </c>
      <c r="F2312" s="5">
        <v>5051163</v>
      </c>
      <c r="G2312" s="5" t="s">
        <v>739</v>
      </c>
      <c r="H2312" s="5" t="s">
        <v>25</v>
      </c>
      <c r="I2312" s="5" t="s">
        <v>27</v>
      </c>
      <c r="J2312" s="5" t="s">
        <v>156</v>
      </c>
      <c r="K2312" s="6">
        <v>0</v>
      </c>
      <c r="L2312" s="7">
        <v>0</v>
      </c>
      <c r="M2312" s="8">
        <v>84</v>
      </c>
      <c r="N2312" s="8">
        <v>32</v>
      </c>
      <c r="O2312" s="8">
        <v>0</v>
      </c>
      <c r="P2312" s="8">
        <v>0</v>
      </c>
      <c r="Q2312" s="8">
        <v>-120</v>
      </c>
      <c r="R2312" s="8">
        <v>0</v>
      </c>
      <c r="S2312" s="8">
        <v>0</v>
      </c>
      <c r="T2312" s="5">
        <v>0</v>
      </c>
      <c r="U2312" s="5">
        <v>0</v>
      </c>
      <c r="V2312" s="5">
        <f>VLOOKUP(A2312,Planilha1!B:E,4,0)</f>
        <v>-0.14425288609148015</v>
      </c>
    </row>
    <row r="2313" spans="1:22" x14ac:dyDescent="0.3">
      <c r="A2313" t="str">
        <f t="shared" si="72"/>
        <v>LEITE EM PÓITAMBÉ</v>
      </c>
      <c r="B2313" t="str">
        <f t="shared" si="73"/>
        <v>5118346LEITE EM PÓITAMBÉ</v>
      </c>
      <c r="C2313" s="5" t="s">
        <v>226</v>
      </c>
      <c r="D2313" s="5" t="s">
        <v>227</v>
      </c>
      <c r="E2313" s="5" t="s">
        <v>703</v>
      </c>
      <c r="F2313" s="5">
        <v>5118346</v>
      </c>
      <c r="G2313" s="5" t="s">
        <v>711</v>
      </c>
      <c r="H2313" s="5" t="s">
        <v>30</v>
      </c>
      <c r="I2313" s="5" t="s">
        <v>27</v>
      </c>
      <c r="J2313" s="5" t="s">
        <v>84</v>
      </c>
      <c r="K2313" s="6">
        <v>0</v>
      </c>
      <c r="L2313" s="7">
        <v>0</v>
      </c>
      <c r="M2313" s="8">
        <v>183.33333333333334</v>
      </c>
      <c r="N2313" s="8">
        <v>166.66666666666669</v>
      </c>
      <c r="O2313" s="8">
        <v>131.97344741112266</v>
      </c>
      <c r="P2313" s="8">
        <v>0</v>
      </c>
      <c r="Q2313" s="8">
        <v>150</v>
      </c>
      <c r="R2313" s="8">
        <v>0</v>
      </c>
      <c r="S2313" s="8">
        <v>0</v>
      </c>
      <c r="T2313" s="5">
        <v>0</v>
      </c>
      <c r="U2313" s="5">
        <v>0</v>
      </c>
      <c r="V2313" s="5">
        <f>VLOOKUP(A2313,Planilha1!B:E,4,0)</f>
        <v>4.5971522734997743</v>
      </c>
    </row>
    <row r="2314" spans="1:22" x14ac:dyDescent="0.3">
      <c r="A2314" t="str">
        <f t="shared" si="72"/>
        <v>QUEIJOSLACTALIS</v>
      </c>
      <c r="B2314" t="str">
        <f t="shared" si="73"/>
        <v>5017576QUEIJOSLACTALIS</v>
      </c>
      <c r="C2314" s="5" t="s">
        <v>226</v>
      </c>
      <c r="D2314" s="5" t="s">
        <v>752</v>
      </c>
      <c r="E2314" s="5" t="s">
        <v>774</v>
      </c>
      <c r="F2314" s="5">
        <v>5017576</v>
      </c>
      <c r="G2314" s="5" t="s">
        <v>775</v>
      </c>
      <c r="H2314" s="5" t="s">
        <v>32</v>
      </c>
      <c r="I2314" s="5" t="s">
        <v>22</v>
      </c>
      <c r="J2314" s="5" t="s">
        <v>63</v>
      </c>
      <c r="K2314" s="6">
        <v>0</v>
      </c>
      <c r="L2314" s="7">
        <v>240</v>
      </c>
      <c r="M2314" s="8">
        <v>117.42166666666667</v>
      </c>
      <c r="N2314" s="8">
        <v>234.84333333333333</v>
      </c>
      <c r="O2314" s="8">
        <v>0</v>
      </c>
      <c r="P2314" s="8">
        <v>0</v>
      </c>
      <c r="Q2314" s="8">
        <v>672</v>
      </c>
      <c r="R2314" s="8">
        <v>0</v>
      </c>
      <c r="S2314" s="8">
        <v>500</v>
      </c>
      <c r="T2314" s="5">
        <v>500</v>
      </c>
      <c r="U2314" s="5">
        <v>0</v>
      </c>
      <c r="V2314" s="5">
        <f>VLOOKUP(A2314,Planilha1!B:E,4,0)</f>
        <v>-1.9171310037550682</v>
      </c>
    </row>
    <row r="2315" spans="1:22" x14ac:dyDescent="0.3">
      <c r="A2315" t="str">
        <f t="shared" si="72"/>
        <v>LEITE EM PÓITAMBÉ</v>
      </c>
      <c r="B2315" t="str">
        <f t="shared" si="73"/>
        <v>5051163LEITE EM PÓITAMBÉ</v>
      </c>
      <c r="C2315" s="5" t="s">
        <v>226</v>
      </c>
      <c r="D2315" s="5" t="s">
        <v>727</v>
      </c>
      <c r="E2315" s="5" t="s">
        <v>733</v>
      </c>
      <c r="F2315" s="5">
        <v>5051163</v>
      </c>
      <c r="G2315" s="5" t="s">
        <v>739</v>
      </c>
      <c r="H2315" s="5" t="s">
        <v>25</v>
      </c>
      <c r="I2315" s="5" t="s">
        <v>27</v>
      </c>
      <c r="J2315" s="5" t="s">
        <v>84</v>
      </c>
      <c r="K2315" s="6">
        <v>0</v>
      </c>
      <c r="L2315" s="7">
        <v>0</v>
      </c>
      <c r="M2315" s="8">
        <v>163.56666666666666</v>
      </c>
      <c r="N2315" s="8">
        <v>105.33333333333333</v>
      </c>
      <c r="O2315" s="8">
        <v>372.92496882082389</v>
      </c>
      <c r="P2315" s="8">
        <v>0</v>
      </c>
      <c r="Q2315" s="8">
        <v>0</v>
      </c>
      <c r="R2315" s="8">
        <v>0</v>
      </c>
      <c r="S2315" s="8">
        <v>0</v>
      </c>
      <c r="T2315" s="5">
        <v>0</v>
      </c>
      <c r="U2315" s="5">
        <v>0</v>
      </c>
      <c r="V2315" s="5">
        <f>VLOOKUP(A2315,Planilha1!B:E,4,0)</f>
        <v>4.5971522734997743</v>
      </c>
    </row>
    <row r="2316" spans="1:22" x14ac:dyDescent="0.3">
      <c r="A2316" t="str">
        <f t="shared" si="72"/>
        <v>LEITE EM PÓITAMBÉ</v>
      </c>
      <c r="B2316" t="str">
        <f t="shared" si="73"/>
        <v>5115019LEITE EM PÓITAMBÉ</v>
      </c>
      <c r="C2316" s="5" t="s">
        <v>226</v>
      </c>
      <c r="D2316" s="5" t="s">
        <v>752</v>
      </c>
      <c r="E2316" s="5" t="s">
        <v>756</v>
      </c>
      <c r="F2316" s="5">
        <v>5115019</v>
      </c>
      <c r="G2316" s="5" t="s">
        <v>760</v>
      </c>
      <c r="H2316" s="5" t="s">
        <v>154</v>
      </c>
      <c r="I2316" s="5" t="s">
        <v>27</v>
      </c>
      <c r="J2316" s="5" t="s">
        <v>84</v>
      </c>
      <c r="K2316" s="6">
        <v>0</v>
      </c>
      <c r="L2316" s="7">
        <v>700</v>
      </c>
      <c r="M2316" s="8">
        <v>2913.333333333333</v>
      </c>
      <c r="N2316" s="8">
        <v>2796.6666666666665</v>
      </c>
      <c r="O2316" s="8">
        <v>3614.2728211455183</v>
      </c>
      <c r="P2316" s="8">
        <v>142</v>
      </c>
      <c r="Q2316" s="8">
        <v>0</v>
      </c>
      <c r="R2316" s="8">
        <v>1532</v>
      </c>
      <c r="S2316" s="8">
        <v>0</v>
      </c>
      <c r="T2316" s="5">
        <v>0</v>
      </c>
      <c r="U2316" s="5">
        <v>0</v>
      </c>
      <c r="V2316" s="5">
        <f>VLOOKUP(A2316,Planilha1!B:E,4,0)</f>
        <v>4.5971522734997743</v>
      </c>
    </row>
    <row r="2317" spans="1:22" x14ac:dyDescent="0.3">
      <c r="A2317" t="str">
        <f t="shared" si="72"/>
        <v>CREME UHTITAMBÉ</v>
      </c>
      <c r="B2317" t="str">
        <f t="shared" si="73"/>
        <v>5051163CREME UHTITAMBÉ</v>
      </c>
      <c r="C2317" s="5" t="s">
        <v>226</v>
      </c>
      <c r="D2317" s="5" t="s">
        <v>727</v>
      </c>
      <c r="E2317" s="5" t="s">
        <v>733</v>
      </c>
      <c r="F2317" s="5">
        <v>5051163</v>
      </c>
      <c r="G2317" s="5" t="s">
        <v>739</v>
      </c>
      <c r="H2317" s="5" t="s">
        <v>25</v>
      </c>
      <c r="I2317" s="5" t="s">
        <v>27</v>
      </c>
      <c r="J2317" s="5" t="s">
        <v>34</v>
      </c>
      <c r="K2317" s="6">
        <v>0</v>
      </c>
      <c r="L2317" s="7">
        <v>0</v>
      </c>
      <c r="M2317" s="8">
        <v>18</v>
      </c>
      <c r="N2317" s="8">
        <v>36.333333333333336</v>
      </c>
      <c r="O2317" s="8">
        <v>0</v>
      </c>
      <c r="P2317" s="8">
        <v>0</v>
      </c>
      <c r="Q2317" s="8">
        <v>37.800000000000004</v>
      </c>
      <c r="R2317" s="8">
        <v>0</v>
      </c>
      <c r="S2317" s="8">
        <v>0</v>
      </c>
      <c r="T2317" s="5">
        <v>0</v>
      </c>
      <c r="U2317" s="5">
        <v>0</v>
      </c>
      <c r="V2317" s="5">
        <f>VLOOKUP(A2317,Planilha1!B:E,4,0)</f>
        <v>1.2362540170747773</v>
      </c>
    </row>
    <row r="2318" spans="1:22" x14ac:dyDescent="0.3">
      <c r="A2318" t="str">
        <f t="shared" si="72"/>
        <v>IOGURTESLACTALIS</v>
      </c>
      <c r="B2318" t="str">
        <f t="shared" si="73"/>
        <v>5034559IOGURTESLACTALIS</v>
      </c>
      <c r="C2318" s="5" t="s">
        <v>226</v>
      </c>
      <c r="D2318" s="5" t="s">
        <v>227</v>
      </c>
      <c r="E2318" s="5" t="s">
        <v>1722</v>
      </c>
      <c r="F2318" s="5">
        <v>5034559</v>
      </c>
      <c r="G2318" s="5" t="s">
        <v>379</v>
      </c>
      <c r="H2318" s="5" t="s">
        <v>30</v>
      </c>
      <c r="I2318" s="5" t="s">
        <v>22</v>
      </c>
      <c r="J2318" s="5" t="s">
        <v>153</v>
      </c>
      <c r="K2318" s="6">
        <v>0</v>
      </c>
      <c r="L2318" s="7">
        <v>0</v>
      </c>
      <c r="M2318" s="8">
        <v>74.8</v>
      </c>
      <c r="N2318" s="8">
        <v>12.24</v>
      </c>
      <c r="O2318" s="8">
        <v>80.81581860275665</v>
      </c>
      <c r="P2318" s="8">
        <v>0</v>
      </c>
      <c r="Q2318" s="8">
        <v>0</v>
      </c>
      <c r="R2318" s="8">
        <v>0</v>
      </c>
      <c r="S2318" s="8">
        <v>0</v>
      </c>
      <c r="T2318" s="5">
        <v>0</v>
      </c>
      <c r="U2318" s="5">
        <v>0</v>
      </c>
      <c r="V2318" s="5">
        <f>VLOOKUP(A2318,Planilha1!B:E,4,0)</f>
        <v>3.0503167986984403</v>
      </c>
    </row>
    <row r="2319" spans="1:22" x14ac:dyDescent="0.3">
      <c r="A2319" t="str">
        <f t="shared" si="72"/>
        <v>DOCE DE LEITEITAMBÉ</v>
      </c>
      <c r="B2319" t="str">
        <f t="shared" si="73"/>
        <v>5006835DOCE DE LEITEITAMBÉ</v>
      </c>
      <c r="C2319" s="5" t="s">
        <v>226</v>
      </c>
      <c r="D2319" s="5" t="s">
        <v>727</v>
      </c>
      <c r="E2319" s="5" t="s">
        <v>733</v>
      </c>
      <c r="F2319" s="5">
        <v>5006835</v>
      </c>
      <c r="G2319" s="5" t="s">
        <v>1247</v>
      </c>
      <c r="H2319" s="5" t="s">
        <v>25</v>
      </c>
      <c r="I2319" s="5" t="s">
        <v>27</v>
      </c>
      <c r="J2319" s="5" t="s">
        <v>46</v>
      </c>
      <c r="K2319" s="6">
        <v>0</v>
      </c>
      <c r="L2319" s="7">
        <v>0</v>
      </c>
      <c r="M2319" s="8">
        <v>39.5</v>
      </c>
      <c r="N2319" s="8">
        <v>79</v>
      </c>
      <c r="O2319" s="8">
        <v>0</v>
      </c>
      <c r="P2319" s="8">
        <v>0</v>
      </c>
      <c r="Q2319" s="8">
        <v>0</v>
      </c>
      <c r="R2319" s="8">
        <v>0</v>
      </c>
      <c r="S2319" s="8">
        <v>0</v>
      </c>
      <c r="T2319" s="5">
        <v>0</v>
      </c>
      <c r="U2319" s="5">
        <v>0</v>
      </c>
      <c r="V2319" s="5">
        <f>VLOOKUP(A2319,Planilha1!B:E,4,0)</f>
        <v>5.8210743907543439</v>
      </c>
    </row>
    <row r="2320" spans="1:22" x14ac:dyDescent="0.3">
      <c r="A2320" t="str">
        <f t="shared" si="72"/>
        <v>IOGURTESLACTALIS</v>
      </c>
      <c r="B2320" t="str">
        <f t="shared" si="73"/>
        <v>5166529IOGURTESLACTALIS</v>
      </c>
      <c r="C2320" s="5" t="s">
        <v>226</v>
      </c>
      <c r="D2320" s="5" t="s">
        <v>227</v>
      </c>
      <c r="E2320" s="5" t="s">
        <v>1722</v>
      </c>
      <c r="F2320" s="5">
        <v>5166529</v>
      </c>
      <c r="G2320" s="5" t="s">
        <v>255</v>
      </c>
      <c r="H2320" s="5" t="s">
        <v>30</v>
      </c>
      <c r="I2320" s="5" t="s">
        <v>22</v>
      </c>
      <c r="J2320" s="5" t="s">
        <v>153</v>
      </c>
      <c r="K2320" s="6">
        <v>0</v>
      </c>
      <c r="L2320" s="7">
        <v>1135.08</v>
      </c>
      <c r="M2320" s="8">
        <v>1215.5466666666666</v>
      </c>
      <c r="N2320" s="8">
        <v>1134.1466666666665</v>
      </c>
      <c r="O2320" s="8">
        <v>954.87690564152604</v>
      </c>
      <c r="P2320" s="8">
        <v>0</v>
      </c>
      <c r="Q2320" s="8">
        <v>153</v>
      </c>
      <c r="R2320" s="8">
        <v>0</v>
      </c>
      <c r="S2320" s="8">
        <v>0</v>
      </c>
      <c r="T2320" s="5">
        <v>0</v>
      </c>
      <c r="U2320" s="5">
        <v>0</v>
      </c>
      <c r="V2320" s="5">
        <f>VLOOKUP(A2320,Planilha1!B:E,4,0)</f>
        <v>3.0503167986984403</v>
      </c>
    </row>
    <row r="2321" spans="1:22" x14ac:dyDescent="0.3">
      <c r="A2321" t="str">
        <f t="shared" si="72"/>
        <v>LEITE EM PÓITAMBÉ</v>
      </c>
      <c r="B2321" t="str">
        <f t="shared" si="73"/>
        <v>5168151LEITE EM PÓITAMBÉ</v>
      </c>
      <c r="C2321" s="5" t="s">
        <v>226</v>
      </c>
      <c r="D2321" s="5" t="s">
        <v>833</v>
      </c>
      <c r="E2321" s="5" t="s">
        <v>875</v>
      </c>
      <c r="F2321" s="5">
        <v>5168151</v>
      </c>
      <c r="G2321" s="5" t="s">
        <v>880</v>
      </c>
      <c r="H2321" s="5" t="s">
        <v>91</v>
      </c>
      <c r="I2321" s="5" t="s">
        <v>27</v>
      </c>
      <c r="J2321" s="5" t="s">
        <v>84</v>
      </c>
      <c r="K2321" s="6">
        <v>0</v>
      </c>
      <c r="L2321" s="7">
        <v>0</v>
      </c>
      <c r="M2321" s="8">
        <v>811.9</v>
      </c>
      <c r="N2321" s="8">
        <v>874</v>
      </c>
      <c r="O2321" s="8">
        <v>971.80447639099407</v>
      </c>
      <c r="P2321" s="8">
        <v>0</v>
      </c>
      <c r="Q2321" s="8">
        <v>1510.8</v>
      </c>
      <c r="R2321" s="8">
        <v>0</v>
      </c>
      <c r="S2321" s="8">
        <v>0</v>
      </c>
      <c r="T2321" s="5">
        <v>0</v>
      </c>
      <c r="U2321" s="5">
        <v>0</v>
      </c>
      <c r="V2321" s="5">
        <f>VLOOKUP(A2321,Planilha1!B:E,4,0)</f>
        <v>4.5971522734997743</v>
      </c>
    </row>
    <row r="2322" spans="1:22" x14ac:dyDescent="0.3">
      <c r="A2322" t="str">
        <f t="shared" si="72"/>
        <v>MANTEIGA 5KGITAMBÉ</v>
      </c>
      <c r="B2322" t="str">
        <f t="shared" si="73"/>
        <v>5342592MANTEIGA 5KGITAMBÉ</v>
      </c>
      <c r="C2322" s="5" t="s">
        <v>149</v>
      </c>
      <c r="D2322" s="5" t="s">
        <v>150</v>
      </c>
      <c r="E2322" s="5" t="s">
        <v>186</v>
      </c>
      <c r="F2322" s="5">
        <v>5342592</v>
      </c>
      <c r="G2322" s="5" t="s">
        <v>1263</v>
      </c>
      <c r="H2322" s="5" t="s">
        <v>113</v>
      </c>
      <c r="I2322" s="5" t="s">
        <v>27</v>
      </c>
      <c r="J2322" s="5" t="s">
        <v>60</v>
      </c>
      <c r="K2322" s="6">
        <v>0</v>
      </c>
      <c r="L2322" s="7">
        <v>0</v>
      </c>
      <c r="M2322" s="8">
        <v>5</v>
      </c>
      <c r="N2322" s="8">
        <v>10</v>
      </c>
      <c r="O2322" s="8">
        <v>0</v>
      </c>
      <c r="P2322" s="8">
        <v>0</v>
      </c>
      <c r="Q2322" s="8">
        <v>0</v>
      </c>
      <c r="R2322" s="8">
        <v>0</v>
      </c>
      <c r="S2322" s="8">
        <v>0</v>
      </c>
      <c r="T2322" s="5">
        <v>0</v>
      </c>
      <c r="U2322" s="5">
        <v>30</v>
      </c>
      <c r="V2322" s="5">
        <f>VLOOKUP(A2322,Planilha1!B:E,4,0)</f>
        <v>5.819800475298738</v>
      </c>
    </row>
    <row r="2323" spans="1:22" x14ac:dyDescent="0.3">
      <c r="A2323" t="str">
        <f t="shared" si="72"/>
        <v>IOGURTESITAMBÉ</v>
      </c>
      <c r="B2323" t="str">
        <f t="shared" si="73"/>
        <v>5058881IOGURTESITAMBÉ</v>
      </c>
      <c r="C2323" s="5" t="s">
        <v>149</v>
      </c>
      <c r="D2323" s="5" t="s">
        <v>150</v>
      </c>
      <c r="E2323" s="5" t="s">
        <v>151</v>
      </c>
      <c r="F2323" s="5">
        <v>5058881</v>
      </c>
      <c r="G2323" s="5" t="s">
        <v>200</v>
      </c>
      <c r="H2323" s="5" t="s">
        <v>30</v>
      </c>
      <c r="I2323" s="5" t="s">
        <v>27</v>
      </c>
      <c r="J2323" s="5" t="s">
        <v>153</v>
      </c>
      <c r="K2323" s="6">
        <v>0</v>
      </c>
      <c r="L2323" s="7">
        <v>0</v>
      </c>
      <c r="M2323" s="8">
        <v>88.399999999999991</v>
      </c>
      <c r="N2323" s="8">
        <v>176.66666666666669</v>
      </c>
      <c r="O2323" s="8">
        <v>0</v>
      </c>
      <c r="P2323" s="8">
        <v>0</v>
      </c>
      <c r="Q2323" s="8">
        <v>654.84</v>
      </c>
      <c r="R2323" s="8">
        <v>0</v>
      </c>
      <c r="S2323" s="8">
        <v>0</v>
      </c>
      <c r="T2323" s="5">
        <v>0</v>
      </c>
      <c r="U2323" s="5">
        <v>0</v>
      </c>
      <c r="V2323" s="5">
        <f>VLOOKUP(A2323,Planilha1!B:E,4,0)</f>
        <v>3.2554443184120534</v>
      </c>
    </row>
    <row r="2324" spans="1:22" x14ac:dyDescent="0.3">
      <c r="A2324" t="str">
        <f t="shared" si="72"/>
        <v>LEITE EM PÓITAMBÉ</v>
      </c>
      <c r="B2324" t="str">
        <f t="shared" si="73"/>
        <v>5059971LEITE EM PÓITAMBÉ</v>
      </c>
      <c r="C2324" s="5" t="s">
        <v>149</v>
      </c>
      <c r="D2324" s="5" t="s">
        <v>210</v>
      </c>
      <c r="E2324" s="5" t="s">
        <v>210</v>
      </c>
      <c r="F2324" s="5">
        <v>5059971</v>
      </c>
      <c r="G2324" s="5" t="s">
        <v>213</v>
      </c>
      <c r="H2324" s="5" t="s">
        <v>30</v>
      </c>
      <c r="I2324" s="5" t="s">
        <v>27</v>
      </c>
      <c r="J2324" s="5" t="s">
        <v>84</v>
      </c>
      <c r="K2324" s="6">
        <v>0</v>
      </c>
      <c r="L2324" s="7">
        <v>900</v>
      </c>
      <c r="M2324" s="8">
        <v>850</v>
      </c>
      <c r="N2324" s="8">
        <v>900</v>
      </c>
      <c r="O2324" s="8">
        <v>1419.7143585135923</v>
      </c>
      <c r="P2324" s="8">
        <v>0</v>
      </c>
      <c r="Q2324" s="8">
        <v>0</v>
      </c>
      <c r="R2324" s="8">
        <v>0</v>
      </c>
      <c r="S2324" s="8">
        <v>0</v>
      </c>
      <c r="T2324" s="5">
        <v>0</v>
      </c>
      <c r="U2324" s="5">
        <v>0</v>
      </c>
      <c r="V2324" s="5">
        <f>VLOOKUP(A2324,Planilha1!B:E,4,0)</f>
        <v>4.5971522734997743</v>
      </c>
    </row>
    <row r="2325" spans="1:22" x14ac:dyDescent="0.3">
      <c r="A2325" t="str">
        <f t="shared" si="72"/>
        <v>LEITE EM PÓITAMBÉ</v>
      </c>
      <c r="B2325" t="str">
        <f t="shared" si="73"/>
        <v>5307722LEITE EM PÓITAMBÉ</v>
      </c>
      <c r="C2325" s="5" t="s">
        <v>16</v>
      </c>
      <c r="D2325" s="5" t="s">
        <v>28</v>
      </c>
      <c r="E2325" s="5" t="s">
        <v>28</v>
      </c>
      <c r="F2325" s="5">
        <v>5307722</v>
      </c>
      <c r="G2325" s="5" t="s">
        <v>1264</v>
      </c>
      <c r="H2325" s="5" t="s">
        <v>30</v>
      </c>
      <c r="I2325" s="5" t="s">
        <v>27</v>
      </c>
      <c r="J2325" s="5" t="s">
        <v>84</v>
      </c>
      <c r="K2325" s="6">
        <v>0</v>
      </c>
      <c r="L2325" s="7">
        <v>0</v>
      </c>
      <c r="M2325" s="8">
        <v>36.666666666666671</v>
      </c>
      <c r="N2325" s="8">
        <v>40</v>
      </c>
      <c r="O2325" s="8">
        <v>0</v>
      </c>
      <c r="P2325" s="8">
        <v>0</v>
      </c>
      <c r="Q2325" s="8">
        <v>0</v>
      </c>
      <c r="R2325" s="8">
        <v>0</v>
      </c>
      <c r="S2325" s="8">
        <v>0</v>
      </c>
      <c r="T2325" s="5">
        <v>0</v>
      </c>
      <c r="U2325" s="5">
        <v>0</v>
      </c>
      <c r="V2325" s="5">
        <f>VLOOKUP(A2325,Planilha1!B:E,4,0)</f>
        <v>4.5971522734997743</v>
      </c>
    </row>
    <row r="2326" spans="1:22" x14ac:dyDescent="0.3">
      <c r="A2326" t="str">
        <f t="shared" si="72"/>
        <v>QUEIJOSLACTALIS</v>
      </c>
      <c r="B2326" t="str">
        <f t="shared" si="73"/>
        <v>5034559QUEIJOSLACTALIS</v>
      </c>
      <c r="C2326" s="5" t="s">
        <v>226</v>
      </c>
      <c r="D2326" s="5" t="s">
        <v>227</v>
      </c>
      <c r="E2326" s="5" t="s">
        <v>1722</v>
      </c>
      <c r="F2326" s="5">
        <v>5034559</v>
      </c>
      <c r="G2326" s="5" t="s">
        <v>379</v>
      </c>
      <c r="H2326" s="5" t="s">
        <v>30</v>
      </c>
      <c r="I2326" s="5" t="s">
        <v>22</v>
      </c>
      <c r="J2326" s="5" t="s">
        <v>63</v>
      </c>
      <c r="K2326" s="6">
        <v>0</v>
      </c>
      <c r="L2326" s="7">
        <v>0</v>
      </c>
      <c r="M2326" s="8">
        <v>53.188333333333333</v>
      </c>
      <c r="N2326" s="8">
        <v>106.37666666666667</v>
      </c>
      <c r="O2326" s="8">
        <v>0</v>
      </c>
      <c r="P2326" s="8">
        <v>0</v>
      </c>
      <c r="Q2326" s="8">
        <v>0</v>
      </c>
      <c r="R2326" s="8">
        <v>0</v>
      </c>
      <c r="S2326" s="8">
        <v>0</v>
      </c>
      <c r="T2326" s="5">
        <v>0</v>
      </c>
      <c r="U2326" s="5">
        <v>0</v>
      </c>
      <c r="V2326" s="5">
        <f>VLOOKUP(A2326,Planilha1!B:E,4,0)</f>
        <v>-1.9171310037550682</v>
      </c>
    </row>
    <row r="2327" spans="1:22" x14ac:dyDescent="0.3">
      <c r="A2327" t="str">
        <f t="shared" si="72"/>
        <v>LEITE EM PÓITAMBÉ</v>
      </c>
      <c r="B2327" t="str">
        <f t="shared" si="73"/>
        <v>5173983LEITE EM PÓITAMBÉ</v>
      </c>
      <c r="C2327" s="5" t="s">
        <v>226</v>
      </c>
      <c r="D2327" s="5" t="s">
        <v>752</v>
      </c>
      <c r="E2327" s="5" t="s">
        <v>774</v>
      </c>
      <c r="F2327" s="5">
        <v>5173983</v>
      </c>
      <c r="G2327" s="5" t="s">
        <v>1245</v>
      </c>
      <c r="H2327" s="5" t="s">
        <v>32</v>
      </c>
      <c r="I2327" s="5" t="s">
        <v>27</v>
      </c>
      <c r="J2327" s="5" t="s">
        <v>84</v>
      </c>
      <c r="K2327" s="6">
        <v>0</v>
      </c>
      <c r="L2327" s="7">
        <v>0</v>
      </c>
      <c r="M2327" s="8">
        <v>10</v>
      </c>
      <c r="N2327" s="8">
        <v>20</v>
      </c>
      <c r="O2327" s="8">
        <v>0</v>
      </c>
      <c r="P2327" s="8">
        <v>0</v>
      </c>
      <c r="Q2327" s="8">
        <v>0</v>
      </c>
      <c r="R2327" s="8">
        <v>0</v>
      </c>
      <c r="S2327" s="8">
        <v>0</v>
      </c>
      <c r="T2327" s="5">
        <v>0</v>
      </c>
      <c r="U2327" s="5">
        <v>0</v>
      </c>
      <c r="V2327" s="5">
        <f>VLOOKUP(A2327,Planilha1!B:E,4,0)</f>
        <v>4.5971522734997743</v>
      </c>
    </row>
    <row r="2328" spans="1:22" x14ac:dyDescent="0.3">
      <c r="A2328" t="str">
        <f t="shared" si="72"/>
        <v>COMPOSTOITAMBÉ</v>
      </c>
      <c r="B2328" t="str">
        <f t="shared" si="73"/>
        <v>5170033COMPOSTOITAMBÉ</v>
      </c>
      <c r="C2328" s="5" t="s">
        <v>16</v>
      </c>
      <c r="D2328" s="5" t="s">
        <v>17</v>
      </c>
      <c r="E2328" s="5" t="s">
        <v>23</v>
      </c>
      <c r="F2328" s="5">
        <v>5170033</v>
      </c>
      <c r="G2328" s="5" t="s">
        <v>1265</v>
      </c>
      <c r="H2328" s="5" t="s">
        <v>40</v>
      </c>
      <c r="I2328" s="5" t="s">
        <v>27</v>
      </c>
      <c r="J2328" s="5" t="s">
        <v>26</v>
      </c>
      <c r="K2328" s="6">
        <v>0</v>
      </c>
      <c r="L2328" s="7">
        <v>0</v>
      </c>
      <c r="M2328" s="8">
        <v>1275</v>
      </c>
      <c r="N2328" s="8">
        <v>1666.6666666666667</v>
      </c>
      <c r="O2328" s="8">
        <v>0</v>
      </c>
      <c r="P2328" s="8">
        <v>0</v>
      </c>
      <c r="Q2328" s="8">
        <v>0</v>
      </c>
      <c r="R2328" s="8">
        <v>0</v>
      </c>
      <c r="S2328" s="8">
        <v>0</v>
      </c>
      <c r="T2328" s="5">
        <v>0</v>
      </c>
      <c r="U2328" s="5">
        <v>0</v>
      </c>
      <c r="V2328" s="5">
        <f>VLOOKUP(A2328,Planilha1!B:E,4,0)</f>
        <v>0.15618217875936719</v>
      </c>
    </row>
    <row r="2329" spans="1:22" x14ac:dyDescent="0.3">
      <c r="A2329" t="str">
        <f t="shared" si="72"/>
        <v>LPI 25KGLACTALIS</v>
      </c>
      <c r="B2329" t="str">
        <f t="shared" si="73"/>
        <v>5011061LPI 25KGLACTALIS</v>
      </c>
      <c r="C2329" s="5" t="s">
        <v>16</v>
      </c>
      <c r="D2329" s="5" t="s">
        <v>53</v>
      </c>
      <c r="E2329" s="5" t="s">
        <v>54</v>
      </c>
      <c r="F2329" s="5">
        <v>5011061</v>
      </c>
      <c r="G2329" s="5" t="s">
        <v>1266</v>
      </c>
      <c r="H2329" s="5" t="s">
        <v>113</v>
      </c>
      <c r="I2329" s="5" t="s">
        <v>22</v>
      </c>
      <c r="J2329" s="5" t="s">
        <v>21</v>
      </c>
      <c r="K2329" s="6">
        <v>0</v>
      </c>
      <c r="L2329" s="7">
        <v>0</v>
      </c>
      <c r="M2329" s="8">
        <v>116.66666666666667</v>
      </c>
      <c r="N2329" s="8">
        <v>233.33333333333334</v>
      </c>
      <c r="O2329" s="8">
        <v>0</v>
      </c>
      <c r="P2329" s="8">
        <v>0</v>
      </c>
      <c r="Q2329" s="8">
        <v>0</v>
      </c>
      <c r="R2329" s="8">
        <v>0</v>
      </c>
      <c r="S2329" s="8">
        <v>0</v>
      </c>
      <c r="T2329" s="5">
        <v>0</v>
      </c>
      <c r="U2329" s="5">
        <v>0</v>
      </c>
      <c r="V2329" s="5">
        <f>VLOOKUP(A2329,Planilha1!B:E,4,0)</f>
        <v>-4.3046759024811481</v>
      </c>
    </row>
    <row r="2330" spans="1:22" x14ac:dyDescent="0.3">
      <c r="A2330" t="str">
        <f t="shared" si="72"/>
        <v>LEITE EM PÓITAMBÉ</v>
      </c>
      <c r="B2330" t="str">
        <f t="shared" si="73"/>
        <v>5011709LEITE EM PÓITAMBÉ</v>
      </c>
      <c r="C2330" s="5" t="s">
        <v>226</v>
      </c>
      <c r="D2330" s="5" t="s">
        <v>727</v>
      </c>
      <c r="E2330" s="5" t="s">
        <v>727</v>
      </c>
      <c r="F2330" s="5">
        <v>5011709</v>
      </c>
      <c r="G2330" s="5" t="s">
        <v>728</v>
      </c>
      <c r="H2330" s="5" t="s">
        <v>25</v>
      </c>
      <c r="I2330" s="5" t="s">
        <v>27</v>
      </c>
      <c r="J2330" s="5" t="s">
        <v>84</v>
      </c>
      <c r="K2330" s="6">
        <v>0</v>
      </c>
      <c r="L2330" s="7">
        <v>0</v>
      </c>
      <c r="M2330" s="8">
        <v>533.33333333333326</v>
      </c>
      <c r="N2330" s="8">
        <v>533.33333333333337</v>
      </c>
      <c r="O2330" s="8">
        <v>394.92054338934429</v>
      </c>
      <c r="P2330" s="8">
        <v>0</v>
      </c>
      <c r="Q2330" s="8">
        <v>0</v>
      </c>
      <c r="R2330" s="8">
        <v>0</v>
      </c>
      <c r="S2330" s="8">
        <v>0</v>
      </c>
      <c r="T2330" s="5">
        <v>0</v>
      </c>
      <c r="U2330" s="5">
        <v>0</v>
      </c>
      <c r="V2330" s="5">
        <f>VLOOKUP(A2330,Planilha1!B:E,4,0)</f>
        <v>4.5971522734997743</v>
      </c>
    </row>
    <row r="2331" spans="1:22" x14ac:dyDescent="0.3">
      <c r="A2331" t="str">
        <f t="shared" si="72"/>
        <v>COMPOSTOITAMBÉ</v>
      </c>
      <c r="B2331" t="str">
        <f t="shared" si="73"/>
        <v>5231638COMPOSTOITAMBÉ</v>
      </c>
      <c r="C2331" s="5" t="s">
        <v>16</v>
      </c>
      <c r="D2331" s="5" t="s">
        <v>53</v>
      </c>
      <c r="E2331" s="5" t="s">
        <v>54</v>
      </c>
      <c r="F2331" s="5">
        <v>5231638</v>
      </c>
      <c r="G2331" s="5" t="s">
        <v>1267</v>
      </c>
      <c r="H2331" s="5" t="s">
        <v>113</v>
      </c>
      <c r="I2331" s="5" t="s">
        <v>27</v>
      </c>
      <c r="J2331" s="5" t="s">
        <v>26</v>
      </c>
      <c r="K2331" s="6">
        <v>0</v>
      </c>
      <c r="L2331" s="7">
        <v>0</v>
      </c>
      <c r="M2331" s="8">
        <v>333.33333333333331</v>
      </c>
      <c r="N2331" s="8">
        <v>333.33333333333331</v>
      </c>
      <c r="O2331" s="8">
        <v>0</v>
      </c>
      <c r="P2331" s="8">
        <v>0</v>
      </c>
      <c r="Q2331" s="8">
        <v>0</v>
      </c>
      <c r="R2331" s="8">
        <v>0</v>
      </c>
      <c r="S2331" s="8">
        <v>0</v>
      </c>
      <c r="T2331" s="5">
        <v>0</v>
      </c>
      <c r="U2331" s="5">
        <v>0</v>
      </c>
      <c r="V2331" s="5">
        <f>VLOOKUP(A2331,Planilha1!B:E,4,0)</f>
        <v>0.15618217875936719</v>
      </c>
    </row>
    <row r="2332" spans="1:22" x14ac:dyDescent="0.3">
      <c r="A2332" t="str">
        <f t="shared" si="72"/>
        <v>BLISTERITAMBÉ</v>
      </c>
      <c r="B2332" t="str">
        <f t="shared" si="73"/>
        <v>5059971BLISTERITAMBÉ</v>
      </c>
      <c r="C2332" s="5" t="s">
        <v>149</v>
      </c>
      <c r="D2332" s="5" t="s">
        <v>210</v>
      </c>
      <c r="E2332" s="5" t="s">
        <v>210</v>
      </c>
      <c r="F2332" s="5">
        <v>5059971</v>
      </c>
      <c r="G2332" s="5" t="s">
        <v>213</v>
      </c>
      <c r="H2332" s="5" t="s">
        <v>30</v>
      </c>
      <c r="I2332" s="5" t="s">
        <v>27</v>
      </c>
      <c r="J2332" s="5" t="s">
        <v>199</v>
      </c>
      <c r="K2332" s="6">
        <v>0</v>
      </c>
      <c r="L2332" s="7">
        <v>0</v>
      </c>
      <c r="M2332" s="8">
        <v>10.56</v>
      </c>
      <c r="N2332" s="8">
        <v>21</v>
      </c>
      <c r="O2332" s="8">
        <v>0</v>
      </c>
      <c r="P2332" s="8">
        <v>0</v>
      </c>
      <c r="Q2332" s="8">
        <v>0</v>
      </c>
      <c r="R2332" s="8">
        <v>0</v>
      </c>
      <c r="S2332" s="8">
        <v>50</v>
      </c>
      <c r="T2332" s="5">
        <v>50</v>
      </c>
      <c r="U2332" s="5">
        <v>0</v>
      </c>
      <c r="V2332" s="5">
        <f>VLOOKUP(A2332,Planilha1!B:E,4,0)</f>
        <v>10.339882680976428</v>
      </c>
    </row>
    <row r="2333" spans="1:22" x14ac:dyDescent="0.3">
      <c r="A2333" t="str">
        <f t="shared" si="72"/>
        <v>MANTEIGA 5KGITAMBÉ</v>
      </c>
      <c r="B2333" t="str">
        <f t="shared" si="73"/>
        <v>5357324MANTEIGA 5KGITAMBÉ</v>
      </c>
      <c r="C2333" s="5" t="s">
        <v>226</v>
      </c>
      <c r="D2333" s="5" t="s">
        <v>797</v>
      </c>
      <c r="E2333" s="5" t="s">
        <v>753</v>
      </c>
      <c r="F2333" s="5">
        <v>5357324</v>
      </c>
      <c r="G2333" s="5" t="s">
        <v>1227</v>
      </c>
      <c r="H2333" s="5" t="s">
        <v>1228</v>
      </c>
      <c r="I2333" s="5" t="s">
        <v>27</v>
      </c>
      <c r="J2333" s="5" t="s">
        <v>60</v>
      </c>
      <c r="K2333" s="6">
        <v>0</v>
      </c>
      <c r="L2333" s="7">
        <v>0</v>
      </c>
      <c r="M2333" s="8">
        <v>83.333333333333329</v>
      </c>
      <c r="N2333" s="8">
        <v>166.66666666666666</v>
      </c>
      <c r="O2333" s="8">
        <v>0</v>
      </c>
      <c r="P2333" s="8">
        <v>0</v>
      </c>
      <c r="Q2333" s="8">
        <v>0</v>
      </c>
      <c r="R2333" s="8">
        <v>0</v>
      </c>
      <c r="S2333" s="8">
        <v>100</v>
      </c>
      <c r="T2333" s="5">
        <v>100</v>
      </c>
      <c r="U2333" s="5">
        <v>0</v>
      </c>
      <c r="V2333" s="5">
        <f>VLOOKUP(A2333,Planilha1!B:E,4,0)</f>
        <v>5.819800475298738</v>
      </c>
    </row>
    <row r="2334" spans="1:22" x14ac:dyDescent="0.3">
      <c r="A2334" t="str">
        <f t="shared" si="72"/>
        <v>LEITE EM PÓITAMBÉ</v>
      </c>
      <c r="B2334" t="str">
        <f t="shared" si="73"/>
        <v>5357324LEITE EM PÓITAMBÉ</v>
      </c>
      <c r="C2334" s="5" t="s">
        <v>226</v>
      </c>
      <c r="D2334" s="5" t="s">
        <v>797</v>
      </c>
      <c r="E2334" s="5" t="s">
        <v>753</v>
      </c>
      <c r="F2334" s="5">
        <v>5357324</v>
      </c>
      <c r="G2334" s="5" t="s">
        <v>1227</v>
      </c>
      <c r="H2334" s="5" t="s">
        <v>1228</v>
      </c>
      <c r="I2334" s="5" t="s">
        <v>27</v>
      </c>
      <c r="J2334" s="5" t="s">
        <v>84</v>
      </c>
      <c r="K2334" s="6">
        <v>0</v>
      </c>
      <c r="L2334" s="7">
        <v>0</v>
      </c>
      <c r="M2334" s="8">
        <v>8.3333333333333339</v>
      </c>
      <c r="N2334" s="8">
        <v>16.666666666666668</v>
      </c>
      <c r="O2334" s="8">
        <v>0</v>
      </c>
      <c r="P2334" s="8">
        <v>0</v>
      </c>
      <c r="Q2334" s="8">
        <v>0</v>
      </c>
      <c r="R2334" s="8">
        <v>0</v>
      </c>
      <c r="S2334" s="8">
        <v>0</v>
      </c>
      <c r="T2334" s="5">
        <v>0</v>
      </c>
      <c r="U2334" s="5">
        <v>0</v>
      </c>
      <c r="V2334" s="5">
        <f>VLOOKUP(A2334,Planilha1!B:E,4,0)</f>
        <v>4.5971522734997743</v>
      </c>
    </row>
    <row r="2335" spans="1:22" x14ac:dyDescent="0.3">
      <c r="A2335" t="str">
        <f t="shared" si="72"/>
        <v>LEITE UHTLACTALIS</v>
      </c>
      <c r="B2335" t="str">
        <f t="shared" si="73"/>
        <v>5175227LEITE UHTLACTALIS</v>
      </c>
      <c r="C2335" s="5" t="s">
        <v>149</v>
      </c>
      <c r="D2335" s="5" t="s">
        <v>150</v>
      </c>
      <c r="E2335" s="5" t="s">
        <v>151</v>
      </c>
      <c r="F2335" s="5">
        <v>5175227</v>
      </c>
      <c r="G2335" s="5" t="s">
        <v>204</v>
      </c>
      <c r="H2335" s="5" t="s">
        <v>30</v>
      </c>
      <c r="I2335" s="5" t="s">
        <v>22</v>
      </c>
      <c r="J2335" s="5" t="s">
        <v>156</v>
      </c>
      <c r="K2335" s="6">
        <v>0</v>
      </c>
      <c r="L2335" s="7">
        <v>0</v>
      </c>
      <c r="M2335" s="8">
        <v>2888</v>
      </c>
      <c r="N2335" s="8">
        <v>5776</v>
      </c>
      <c r="O2335" s="8">
        <v>0</v>
      </c>
      <c r="P2335" s="8">
        <v>0</v>
      </c>
      <c r="Q2335" s="8">
        <v>0</v>
      </c>
      <c r="R2335" s="8">
        <v>0</v>
      </c>
      <c r="S2335" s="8">
        <v>0</v>
      </c>
      <c r="T2335" s="5">
        <v>0</v>
      </c>
      <c r="U2335" s="5">
        <v>0</v>
      </c>
      <c r="V2335" s="5">
        <f>VLOOKUP(A2335,Planilha1!B:E,4,0)</f>
        <v>0.37177548115779385</v>
      </c>
    </row>
    <row r="2336" spans="1:22" x14ac:dyDescent="0.3">
      <c r="A2336" t="str">
        <f t="shared" si="72"/>
        <v>DOCE DE LEITEITAMBÉ</v>
      </c>
      <c r="B2336" t="str">
        <f t="shared" si="73"/>
        <v>5357324DOCE DE LEITEITAMBÉ</v>
      </c>
      <c r="C2336" s="5" t="s">
        <v>226</v>
      </c>
      <c r="D2336" s="5" t="s">
        <v>797</v>
      </c>
      <c r="E2336" s="5" t="s">
        <v>753</v>
      </c>
      <c r="F2336" s="5">
        <v>5357324</v>
      </c>
      <c r="G2336" s="5" t="s">
        <v>1227</v>
      </c>
      <c r="H2336" s="5" t="s">
        <v>1228</v>
      </c>
      <c r="I2336" s="5" t="s">
        <v>27</v>
      </c>
      <c r="J2336" s="5" t="s">
        <v>46</v>
      </c>
      <c r="K2336" s="6">
        <v>0</v>
      </c>
      <c r="L2336" s="7">
        <v>0</v>
      </c>
      <c r="M2336" s="8">
        <v>4.8</v>
      </c>
      <c r="N2336" s="8">
        <v>9.6666666666666661</v>
      </c>
      <c r="O2336" s="8">
        <v>0</v>
      </c>
      <c r="P2336" s="8">
        <v>0</v>
      </c>
      <c r="Q2336" s="8">
        <v>0</v>
      </c>
      <c r="R2336" s="8">
        <v>0</v>
      </c>
      <c r="S2336" s="8">
        <v>30</v>
      </c>
      <c r="T2336" s="5">
        <v>30</v>
      </c>
      <c r="U2336" s="5">
        <v>0</v>
      </c>
      <c r="V2336" s="5">
        <f>VLOOKUP(A2336,Planilha1!B:E,4,0)</f>
        <v>5.8210743907543439</v>
      </c>
    </row>
    <row r="2337" spans="1:22" x14ac:dyDescent="0.3">
      <c r="A2337" t="str">
        <f t="shared" si="72"/>
        <v>LEITE UHTLACTALIS</v>
      </c>
      <c r="B2337" t="str">
        <f t="shared" si="73"/>
        <v>5012641LEITE UHTLACTALIS</v>
      </c>
      <c r="C2337" s="5" t="s">
        <v>226</v>
      </c>
      <c r="D2337" s="5" t="s">
        <v>227</v>
      </c>
      <c r="E2337" s="5" t="s">
        <v>703</v>
      </c>
      <c r="F2337" s="5">
        <v>5012641</v>
      </c>
      <c r="G2337" s="5" t="s">
        <v>704</v>
      </c>
      <c r="H2337" s="5" t="s">
        <v>30</v>
      </c>
      <c r="I2337" s="5" t="s">
        <v>22</v>
      </c>
      <c r="J2337" s="5" t="s">
        <v>156</v>
      </c>
      <c r="K2337" s="6">
        <v>0</v>
      </c>
      <c r="L2337" s="7">
        <v>0</v>
      </c>
      <c r="M2337" s="8">
        <v>60</v>
      </c>
      <c r="N2337" s="8">
        <v>120</v>
      </c>
      <c r="O2337" s="8">
        <v>0</v>
      </c>
      <c r="P2337" s="8">
        <v>0</v>
      </c>
      <c r="Q2337" s="8">
        <v>0</v>
      </c>
      <c r="R2337" s="8">
        <v>0</v>
      </c>
      <c r="S2337" s="8">
        <v>0</v>
      </c>
      <c r="T2337" s="5">
        <v>0</v>
      </c>
      <c r="U2337" s="5">
        <v>0</v>
      </c>
      <c r="V2337" s="5">
        <f>VLOOKUP(A2337,Planilha1!B:E,4,0)</f>
        <v>0.37177548115779385</v>
      </c>
    </row>
    <row r="2338" spans="1:22" x14ac:dyDescent="0.3">
      <c r="A2338" t="str">
        <f t="shared" si="72"/>
        <v>LEITE EM PÓITAMBÉ</v>
      </c>
      <c r="B2338" t="str">
        <f t="shared" si="73"/>
        <v>5159222LEITE EM PÓITAMBÉ</v>
      </c>
      <c r="C2338" s="5" t="s">
        <v>226</v>
      </c>
      <c r="D2338" s="5" t="s">
        <v>727</v>
      </c>
      <c r="E2338" s="5" t="s">
        <v>733</v>
      </c>
      <c r="F2338" s="5">
        <v>5159222</v>
      </c>
      <c r="G2338" s="5" t="s">
        <v>743</v>
      </c>
      <c r="H2338" s="5" t="s">
        <v>25</v>
      </c>
      <c r="I2338" s="5" t="s">
        <v>27</v>
      </c>
      <c r="J2338" s="5" t="s">
        <v>84</v>
      </c>
      <c r="K2338" s="6">
        <v>0</v>
      </c>
      <c r="L2338" s="7">
        <v>150</v>
      </c>
      <c r="M2338" s="8">
        <v>538.33333333333337</v>
      </c>
      <c r="N2338" s="8">
        <v>410</v>
      </c>
      <c r="O2338" s="8">
        <v>342.93100350011417</v>
      </c>
      <c r="P2338" s="8">
        <v>0</v>
      </c>
      <c r="Q2338" s="8">
        <v>350</v>
      </c>
      <c r="R2338" s="8">
        <v>0</v>
      </c>
      <c r="S2338" s="8">
        <v>0</v>
      </c>
      <c r="T2338" s="5">
        <v>0</v>
      </c>
      <c r="U2338" s="5">
        <v>0</v>
      </c>
      <c r="V2338" s="5">
        <f>VLOOKUP(A2338,Planilha1!B:E,4,0)</f>
        <v>4.5971522734997743</v>
      </c>
    </row>
    <row r="2339" spans="1:22" x14ac:dyDescent="0.3">
      <c r="A2339" t="str">
        <f t="shared" si="72"/>
        <v>LEITE EM PÓITAMBÉ</v>
      </c>
      <c r="B2339" t="str">
        <f t="shared" si="73"/>
        <v>5279458LEITE EM PÓITAMBÉ</v>
      </c>
      <c r="C2339" s="5" t="s">
        <v>16</v>
      </c>
      <c r="D2339" s="5" t="s">
        <v>53</v>
      </c>
      <c r="E2339" s="5" t="s">
        <v>54</v>
      </c>
      <c r="F2339" s="5">
        <v>5279458</v>
      </c>
      <c r="G2339" s="5" t="s">
        <v>141</v>
      </c>
      <c r="H2339" s="5" t="s">
        <v>113</v>
      </c>
      <c r="I2339" s="5" t="s">
        <v>27</v>
      </c>
      <c r="J2339" s="5" t="s">
        <v>84</v>
      </c>
      <c r="K2339" s="6">
        <v>0</v>
      </c>
      <c r="L2339" s="7">
        <v>0</v>
      </c>
      <c r="M2339" s="8">
        <v>96.666666666666671</v>
      </c>
      <c r="N2339" s="8">
        <v>160</v>
      </c>
      <c r="O2339" s="8">
        <v>36.992557228875292</v>
      </c>
      <c r="P2339" s="8">
        <v>0</v>
      </c>
      <c r="Q2339" s="8">
        <v>0</v>
      </c>
      <c r="R2339" s="8">
        <v>0</v>
      </c>
      <c r="S2339" s="8">
        <v>0</v>
      </c>
      <c r="T2339" s="5">
        <v>0</v>
      </c>
      <c r="U2339" s="5">
        <v>0</v>
      </c>
      <c r="V2339" s="5">
        <f>VLOOKUP(A2339,Planilha1!B:E,4,0)</f>
        <v>4.5971522734997743</v>
      </c>
    </row>
    <row r="2340" spans="1:22" x14ac:dyDescent="0.3">
      <c r="A2340" t="str">
        <f t="shared" si="72"/>
        <v>IOGURTESLACTALIS</v>
      </c>
      <c r="B2340" t="str">
        <f t="shared" si="73"/>
        <v>5175512IOGURTESLACTALIS</v>
      </c>
      <c r="C2340" s="5" t="s">
        <v>226</v>
      </c>
      <c r="D2340" s="5" t="s">
        <v>227</v>
      </c>
      <c r="E2340" s="5" t="s">
        <v>1722</v>
      </c>
      <c r="F2340" s="5">
        <v>5175512</v>
      </c>
      <c r="G2340" s="5" t="s">
        <v>386</v>
      </c>
      <c r="H2340" s="5" t="s">
        <v>30</v>
      </c>
      <c r="I2340" s="5" t="s">
        <v>22</v>
      </c>
      <c r="J2340" s="5" t="s">
        <v>153</v>
      </c>
      <c r="K2340" s="6">
        <v>0</v>
      </c>
      <c r="L2340" s="7">
        <v>120.35999999999999</v>
      </c>
      <c r="M2340" s="8">
        <v>137.02000000000004</v>
      </c>
      <c r="N2340" s="8">
        <v>135.32</v>
      </c>
      <c r="O2340" s="8">
        <v>103.33620466382659</v>
      </c>
      <c r="P2340" s="8">
        <v>0</v>
      </c>
      <c r="Q2340" s="8">
        <v>54.64</v>
      </c>
      <c r="R2340" s="8">
        <v>0</v>
      </c>
      <c r="S2340" s="8">
        <v>0</v>
      </c>
      <c r="T2340" s="5">
        <v>0</v>
      </c>
      <c r="U2340" s="5">
        <v>0</v>
      </c>
      <c r="V2340" s="5">
        <f>VLOOKUP(A2340,Planilha1!B:E,4,0)</f>
        <v>3.0503167986984403</v>
      </c>
    </row>
    <row r="2341" spans="1:22" x14ac:dyDescent="0.3">
      <c r="A2341" t="str">
        <f t="shared" si="72"/>
        <v>LEITE EM PÓITAMBÉ</v>
      </c>
      <c r="B2341" t="str">
        <f t="shared" si="73"/>
        <v>5204180LEITE EM PÓITAMBÉ</v>
      </c>
      <c r="C2341" s="5" t="s">
        <v>226</v>
      </c>
      <c r="D2341" s="5" t="s">
        <v>752</v>
      </c>
      <c r="E2341" s="5" t="s">
        <v>774</v>
      </c>
      <c r="F2341" s="5">
        <v>5204180</v>
      </c>
      <c r="G2341" s="5" t="s">
        <v>790</v>
      </c>
      <c r="H2341" s="5" t="s">
        <v>32</v>
      </c>
      <c r="I2341" s="5" t="s">
        <v>27</v>
      </c>
      <c r="J2341" s="5" t="s">
        <v>84</v>
      </c>
      <c r="K2341" s="6">
        <v>0</v>
      </c>
      <c r="L2341" s="7">
        <v>0</v>
      </c>
      <c r="M2341" s="8">
        <v>1.6666666666666667</v>
      </c>
      <c r="N2341" s="8">
        <v>3.3333333333333335</v>
      </c>
      <c r="O2341" s="8">
        <v>7.9983907521892519</v>
      </c>
      <c r="P2341" s="8">
        <v>0</v>
      </c>
      <c r="Q2341" s="8">
        <v>0</v>
      </c>
      <c r="R2341" s="8">
        <v>0</v>
      </c>
      <c r="S2341" s="8">
        <v>0</v>
      </c>
      <c r="T2341" s="5">
        <v>0</v>
      </c>
      <c r="U2341" s="5">
        <v>0</v>
      </c>
      <c r="V2341" s="5">
        <f>VLOOKUP(A2341,Planilha1!B:E,4,0)</f>
        <v>4.5971522734997743</v>
      </c>
    </row>
    <row r="2342" spans="1:22" x14ac:dyDescent="0.3">
      <c r="A2342" t="str">
        <f t="shared" si="72"/>
        <v>IOGURTESITAMBÉ</v>
      </c>
      <c r="B2342" t="str">
        <f t="shared" si="73"/>
        <v>5178518IOGURTESITAMBÉ</v>
      </c>
      <c r="C2342" s="5" t="s">
        <v>226</v>
      </c>
      <c r="D2342" s="5" t="s">
        <v>752</v>
      </c>
      <c r="E2342" s="5" t="s">
        <v>767</v>
      </c>
      <c r="F2342" s="5">
        <v>5178518</v>
      </c>
      <c r="G2342" s="5" t="s">
        <v>769</v>
      </c>
      <c r="H2342" s="5" t="s">
        <v>154</v>
      </c>
      <c r="I2342" s="5" t="s">
        <v>27</v>
      </c>
      <c r="J2342" s="5" t="s">
        <v>153</v>
      </c>
      <c r="K2342" s="6">
        <v>0</v>
      </c>
      <c r="L2342" s="7">
        <v>0</v>
      </c>
      <c r="M2342" s="8">
        <v>360.9</v>
      </c>
      <c r="N2342" s="8">
        <v>365.33333333333337</v>
      </c>
      <c r="O2342" s="8">
        <v>495.90022663573359</v>
      </c>
      <c r="P2342" s="8">
        <v>0</v>
      </c>
      <c r="Q2342" s="8">
        <v>1684.8</v>
      </c>
      <c r="R2342" s="8">
        <v>0</v>
      </c>
      <c r="S2342" s="8">
        <v>0</v>
      </c>
      <c r="T2342" s="5">
        <v>0</v>
      </c>
      <c r="U2342" s="5">
        <v>0</v>
      </c>
      <c r="V2342" s="5">
        <f>VLOOKUP(A2342,Planilha1!B:E,4,0)</f>
        <v>3.2554443184120534</v>
      </c>
    </row>
    <row r="2343" spans="1:22" x14ac:dyDescent="0.3">
      <c r="A2343" t="str">
        <f t="shared" si="72"/>
        <v>LEITE EM PÓITAMBÉ</v>
      </c>
      <c r="B2343" t="str">
        <f t="shared" si="73"/>
        <v>5176952LEITE EM PÓITAMBÉ</v>
      </c>
      <c r="C2343" s="5" t="s">
        <v>226</v>
      </c>
      <c r="D2343" s="5" t="s">
        <v>227</v>
      </c>
      <c r="E2343" s="5" t="s">
        <v>231</v>
      </c>
      <c r="F2343" s="5">
        <v>5176952</v>
      </c>
      <c r="G2343" s="5" t="s">
        <v>233</v>
      </c>
      <c r="H2343" s="5" t="s">
        <v>30</v>
      </c>
      <c r="I2343" s="5" t="s">
        <v>27</v>
      </c>
      <c r="J2343" s="5" t="s">
        <v>84</v>
      </c>
      <c r="K2343" s="6">
        <v>0</v>
      </c>
      <c r="L2343" s="7">
        <v>20</v>
      </c>
      <c r="M2343" s="8">
        <v>73.333333333333329</v>
      </c>
      <c r="N2343" s="8">
        <v>120</v>
      </c>
      <c r="O2343" s="8">
        <v>14.996982660354847</v>
      </c>
      <c r="P2343" s="8">
        <v>0</v>
      </c>
      <c r="Q2343" s="8">
        <v>0</v>
      </c>
      <c r="R2343" s="8">
        <v>0</v>
      </c>
      <c r="S2343" s="8">
        <v>0</v>
      </c>
      <c r="T2343" s="5">
        <v>0</v>
      </c>
      <c r="U2343" s="5">
        <v>0</v>
      </c>
      <c r="V2343" s="5">
        <f>VLOOKUP(A2343,Planilha1!B:E,4,0)</f>
        <v>4.5971522734997743</v>
      </c>
    </row>
    <row r="2344" spans="1:22" x14ac:dyDescent="0.3">
      <c r="A2344" t="str">
        <f t="shared" si="72"/>
        <v>SPREADSITAMBÉ</v>
      </c>
      <c r="B2344" t="str">
        <f t="shared" si="73"/>
        <v>5006978SPREADSITAMBÉ</v>
      </c>
      <c r="C2344" s="5" t="s">
        <v>226</v>
      </c>
      <c r="D2344" s="5" t="s">
        <v>815</v>
      </c>
      <c r="E2344" s="5" t="s">
        <v>815</v>
      </c>
      <c r="F2344" s="5">
        <v>5006978</v>
      </c>
      <c r="G2344" s="5" t="s">
        <v>830</v>
      </c>
      <c r="H2344" s="5" t="s">
        <v>30</v>
      </c>
      <c r="I2344" s="5" t="s">
        <v>27</v>
      </c>
      <c r="J2344" s="5" t="s">
        <v>945</v>
      </c>
      <c r="K2344" s="6">
        <v>0</v>
      </c>
      <c r="L2344" s="7">
        <v>0</v>
      </c>
      <c r="M2344" s="8">
        <v>7.2</v>
      </c>
      <c r="N2344" s="8">
        <v>14.333333333333334</v>
      </c>
      <c r="O2344" s="8">
        <v>0</v>
      </c>
      <c r="P2344" s="8">
        <v>310</v>
      </c>
      <c r="Q2344" s="8">
        <v>0</v>
      </c>
      <c r="R2344" s="8">
        <v>0</v>
      </c>
      <c r="S2344" s="8">
        <v>0</v>
      </c>
      <c r="T2344" s="5">
        <v>0</v>
      </c>
      <c r="U2344" s="5">
        <v>0</v>
      </c>
      <c r="V2344" s="5">
        <f>VLOOKUP(A2344,Planilha1!B:E,4,0)</f>
        <v>9.2962610783648607</v>
      </c>
    </row>
    <row r="2345" spans="1:22" x14ac:dyDescent="0.3">
      <c r="A2345" t="str">
        <f t="shared" si="72"/>
        <v>LEITE EM PÓITAMBÉ</v>
      </c>
      <c r="B2345" t="str">
        <f t="shared" si="73"/>
        <v>5127060LEITE EM PÓITAMBÉ</v>
      </c>
      <c r="C2345" s="5" t="s">
        <v>226</v>
      </c>
      <c r="D2345" s="5" t="s">
        <v>727</v>
      </c>
      <c r="E2345" s="5" t="s">
        <v>733</v>
      </c>
      <c r="F2345" s="5">
        <v>5127060</v>
      </c>
      <c r="G2345" s="5" t="s">
        <v>741</v>
      </c>
      <c r="H2345" s="5" t="s">
        <v>25</v>
      </c>
      <c r="I2345" s="5" t="s">
        <v>27</v>
      </c>
      <c r="J2345" s="5" t="s">
        <v>84</v>
      </c>
      <c r="K2345" s="6">
        <v>0</v>
      </c>
      <c r="L2345" s="7">
        <v>19.2</v>
      </c>
      <c r="M2345" s="8">
        <v>14.6</v>
      </c>
      <c r="N2345" s="8">
        <v>9.3333333333333339</v>
      </c>
      <c r="O2345" s="8">
        <v>20.995775724496788</v>
      </c>
      <c r="P2345" s="8">
        <v>0</v>
      </c>
      <c r="Q2345" s="8">
        <v>0</v>
      </c>
      <c r="R2345" s="8">
        <v>0</v>
      </c>
      <c r="S2345" s="8">
        <v>0</v>
      </c>
      <c r="T2345" s="5">
        <v>0</v>
      </c>
      <c r="U2345" s="5">
        <v>0</v>
      </c>
      <c r="V2345" s="5">
        <f>VLOOKUP(A2345,Planilha1!B:E,4,0)</f>
        <v>4.5971522734997743</v>
      </c>
    </row>
    <row r="2346" spans="1:22" x14ac:dyDescent="0.3">
      <c r="A2346" t="str">
        <f t="shared" si="72"/>
        <v>LEITE EM PÓITAMBÉ</v>
      </c>
      <c r="B2346" t="str">
        <f t="shared" si="73"/>
        <v>5227253LEITE EM PÓITAMBÉ</v>
      </c>
      <c r="C2346" s="5" t="s">
        <v>149</v>
      </c>
      <c r="D2346" s="5" t="s">
        <v>210</v>
      </c>
      <c r="E2346" s="5" t="s">
        <v>210</v>
      </c>
      <c r="F2346" s="5">
        <v>5227253</v>
      </c>
      <c r="G2346" s="5" t="s">
        <v>218</v>
      </c>
      <c r="H2346" s="5" t="s">
        <v>30</v>
      </c>
      <c r="I2346" s="5" t="s">
        <v>27</v>
      </c>
      <c r="J2346" s="5" t="s">
        <v>84</v>
      </c>
      <c r="K2346" s="6">
        <v>0</v>
      </c>
      <c r="L2346" s="7">
        <v>180</v>
      </c>
      <c r="M2346" s="8">
        <v>248.33333333333331</v>
      </c>
      <c r="N2346" s="8">
        <v>240</v>
      </c>
      <c r="O2346" s="8">
        <v>320.93542893159372</v>
      </c>
      <c r="P2346" s="8">
        <v>0</v>
      </c>
      <c r="Q2346" s="8">
        <v>630</v>
      </c>
      <c r="R2346" s="8">
        <v>0</v>
      </c>
      <c r="S2346" s="8">
        <v>0</v>
      </c>
      <c r="T2346" s="5">
        <v>0</v>
      </c>
      <c r="U2346" s="5">
        <v>0</v>
      </c>
      <c r="V2346" s="5">
        <f>VLOOKUP(A2346,Planilha1!B:E,4,0)</f>
        <v>4.5971522734997743</v>
      </c>
    </row>
    <row r="2347" spans="1:22" x14ac:dyDescent="0.3">
      <c r="A2347" t="str">
        <f t="shared" si="72"/>
        <v>IOGURTESLACTALIS</v>
      </c>
      <c r="B2347" t="str">
        <f t="shared" si="73"/>
        <v>5178175IOGURTESLACTALIS</v>
      </c>
      <c r="C2347" s="5" t="s">
        <v>226</v>
      </c>
      <c r="D2347" s="5" t="s">
        <v>227</v>
      </c>
      <c r="E2347" s="5" t="s">
        <v>1722</v>
      </c>
      <c r="F2347" s="5">
        <v>5178175</v>
      </c>
      <c r="G2347" s="5" t="s">
        <v>1268</v>
      </c>
      <c r="H2347" s="5" t="s">
        <v>30</v>
      </c>
      <c r="I2347" s="5" t="s">
        <v>22</v>
      </c>
      <c r="J2347" s="5" t="s">
        <v>153</v>
      </c>
      <c r="K2347" s="6">
        <v>0</v>
      </c>
      <c r="L2347" s="7">
        <v>268.10000000000002</v>
      </c>
      <c r="M2347" s="8">
        <v>177.39333333333343</v>
      </c>
      <c r="N2347" s="8">
        <v>161.40000000000003</v>
      </c>
      <c r="O2347" s="8">
        <v>153.07252286752569</v>
      </c>
      <c r="P2347" s="8">
        <v>0</v>
      </c>
      <c r="Q2347" s="8">
        <v>110.75999999999999</v>
      </c>
      <c r="R2347" s="8">
        <v>0</v>
      </c>
      <c r="S2347" s="8">
        <v>0</v>
      </c>
      <c r="T2347" s="5">
        <v>0</v>
      </c>
      <c r="U2347" s="5">
        <v>0</v>
      </c>
      <c r="V2347" s="5">
        <f>VLOOKUP(A2347,Planilha1!B:E,4,0)</f>
        <v>3.0503167986984403</v>
      </c>
    </row>
    <row r="2348" spans="1:22" x14ac:dyDescent="0.3">
      <c r="A2348" t="str">
        <f t="shared" si="72"/>
        <v>QUEIJOSLACTALIS</v>
      </c>
      <c r="B2348" t="str">
        <f t="shared" si="73"/>
        <v>5063519QUEIJOSLACTALIS</v>
      </c>
      <c r="C2348" s="5" t="s">
        <v>149</v>
      </c>
      <c r="D2348" s="5" t="s">
        <v>150</v>
      </c>
      <c r="E2348" s="5" t="s">
        <v>151</v>
      </c>
      <c r="F2348" s="5">
        <v>5063519</v>
      </c>
      <c r="G2348" s="5" t="s">
        <v>198</v>
      </c>
      <c r="H2348" s="5" t="s">
        <v>30</v>
      </c>
      <c r="I2348" s="5" t="s">
        <v>22</v>
      </c>
      <c r="J2348" s="5" t="s">
        <v>63</v>
      </c>
      <c r="K2348" s="6">
        <v>0</v>
      </c>
      <c r="L2348" s="7">
        <v>120</v>
      </c>
      <c r="M2348" s="8">
        <v>61.666666666666664</v>
      </c>
      <c r="N2348" s="8">
        <v>56.666666666666664</v>
      </c>
      <c r="O2348" s="8">
        <v>34.886083872942898</v>
      </c>
      <c r="P2348" s="8">
        <v>0</v>
      </c>
      <c r="Q2348" s="8">
        <v>70</v>
      </c>
      <c r="R2348" s="8">
        <v>0</v>
      </c>
      <c r="S2348" s="8">
        <v>0</v>
      </c>
      <c r="T2348" s="5">
        <v>0</v>
      </c>
      <c r="U2348" s="5">
        <v>0</v>
      </c>
      <c r="V2348" s="5">
        <f>VLOOKUP(A2348,Planilha1!B:E,4,0)</f>
        <v>-1.9171310037550682</v>
      </c>
    </row>
    <row r="2349" spans="1:22" x14ac:dyDescent="0.3">
      <c r="A2349" t="str">
        <f t="shared" si="72"/>
        <v>LEITE EM PÓLACTALIS</v>
      </c>
      <c r="B2349" t="str">
        <f t="shared" si="73"/>
        <v>5069172LEITE EM PÓLACTALIS</v>
      </c>
      <c r="C2349" s="5" t="s">
        <v>226</v>
      </c>
      <c r="D2349" s="5" t="s">
        <v>227</v>
      </c>
      <c r="E2349" s="5" t="s">
        <v>1722</v>
      </c>
      <c r="F2349" s="5">
        <v>5069172</v>
      </c>
      <c r="G2349" s="5" t="s">
        <v>896</v>
      </c>
      <c r="H2349" s="5" t="s">
        <v>30</v>
      </c>
      <c r="I2349" s="5" t="s">
        <v>22</v>
      </c>
      <c r="J2349" s="5" t="s">
        <v>84</v>
      </c>
      <c r="K2349" s="6">
        <v>0</v>
      </c>
      <c r="L2349" s="7">
        <v>0</v>
      </c>
      <c r="M2349" s="8">
        <v>88.8</v>
      </c>
      <c r="N2349" s="8">
        <v>48</v>
      </c>
      <c r="O2349" s="8">
        <v>68.421628399612118</v>
      </c>
      <c r="P2349" s="8">
        <v>0</v>
      </c>
      <c r="Q2349" s="8">
        <v>0</v>
      </c>
      <c r="R2349" s="8">
        <v>0</v>
      </c>
      <c r="S2349" s="8">
        <v>0</v>
      </c>
      <c r="T2349" s="5">
        <v>0</v>
      </c>
      <c r="U2349" s="5">
        <v>0</v>
      </c>
      <c r="V2349" s="5">
        <f>VLOOKUP(A2349,Planilha1!B:E,4,0)</f>
        <v>-2.8055507108797499</v>
      </c>
    </row>
    <row r="2350" spans="1:22" x14ac:dyDescent="0.3">
      <c r="A2350" t="str">
        <f t="shared" si="72"/>
        <v>QUEIJOSLACTALIS</v>
      </c>
      <c r="B2350" t="str">
        <f t="shared" si="73"/>
        <v>5077482QUEIJOSLACTALIS</v>
      </c>
      <c r="C2350" s="5" t="s">
        <v>226</v>
      </c>
      <c r="D2350" s="5" t="s">
        <v>227</v>
      </c>
      <c r="E2350" s="5" t="s">
        <v>1722</v>
      </c>
      <c r="F2350" s="5">
        <v>5077482</v>
      </c>
      <c r="G2350" s="5" t="s">
        <v>164</v>
      </c>
      <c r="H2350" s="5" t="s">
        <v>30</v>
      </c>
      <c r="I2350" s="5" t="s">
        <v>22</v>
      </c>
      <c r="J2350" s="5" t="s">
        <v>63</v>
      </c>
      <c r="K2350" s="6">
        <v>0</v>
      </c>
      <c r="L2350" s="7">
        <v>81.87</v>
      </c>
      <c r="M2350" s="8">
        <v>13.348333333333333</v>
      </c>
      <c r="N2350" s="8">
        <v>25.496666666666666</v>
      </c>
      <c r="O2350" s="8">
        <v>2.0400552150463178</v>
      </c>
      <c r="P2350" s="8">
        <v>0</v>
      </c>
      <c r="Q2350" s="8">
        <v>3.6</v>
      </c>
      <c r="R2350" s="8">
        <v>0</v>
      </c>
      <c r="S2350" s="8">
        <v>0</v>
      </c>
      <c r="T2350" s="5">
        <v>0</v>
      </c>
      <c r="U2350" s="5">
        <v>0</v>
      </c>
      <c r="V2350" s="5">
        <f>VLOOKUP(A2350,Planilha1!B:E,4,0)</f>
        <v>-1.9171310037550682</v>
      </c>
    </row>
    <row r="2351" spans="1:22" x14ac:dyDescent="0.3">
      <c r="A2351" t="str">
        <f t="shared" si="72"/>
        <v>SPREADSLACTALIS</v>
      </c>
      <c r="B2351" t="str">
        <f t="shared" si="73"/>
        <v>5077482SPREADSLACTALIS</v>
      </c>
      <c r="C2351" s="5" t="s">
        <v>226</v>
      </c>
      <c r="D2351" s="5" t="s">
        <v>227</v>
      </c>
      <c r="E2351" s="5" t="s">
        <v>1722</v>
      </c>
      <c r="F2351" s="5">
        <v>5077482</v>
      </c>
      <c r="G2351" s="5" t="s">
        <v>164</v>
      </c>
      <c r="H2351" s="5" t="s">
        <v>30</v>
      </c>
      <c r="I2351" s="5" t="s">
        <v>22</v>
      </c>
      <c r="J2351" s="5" t="s">
        <v>945</v>
      </c>
      <c r="K2351" s="6">
        <v>0</v>
      </c>
      <c r="L2351" s="7">
        <v>6</v>
      </c>
      <c r="M2351" s="8">
        <v>37.333333333333336</v>
      </c>
      <c r="N2351" s="8">
        <v>74.666666666666671</v>
      </c>
      <c r="O2351" s="8">
        <v>3.3962930395743167</v>
      </c>
      <c r="P2351" s="8">
        <v>0</v>
      </c>
      <c r="Q2351" s="8">
        <v>96</v>
      </c>
      <c r="R2351" s="8">
        <v>0</v>
      </c>
      <c r="S2351" s="8">
        <v>0</v>
      </c>
      <c r="T2351" s="5">
        <v>0</v>
      </c>
      <c r="U2351" s="5">
        <v>0</v>
      </c>
      <c r="V2351" s="5">
        <f>VLOOKUP(A2351,Planilha1!B:E,4,0)</f>
        <v>13.599044988219518</v>
      </c>
    </row>
    <row r="2352" spans="1:22" x14ac:dyDescent="0.3">
      <c r="A2352" t="str">
        <f t="shared" si="72"/>
        <v>QUEIJOSLACTALIS</v>
      </c>
      <c r="B2352" t="str">
        <f t="shared" si="73"/>
        <v>5079293QUEIJOSLACTALIS</v>
      </c>
      <c r="C2352" s="5" t="s">
        <v>226</v>
      </c>
      <c r="D2352" s="5" t="s">
        <v>227</v>
      </c>
      <c r="E2352" s="5" t="s">
        <v>703</v>
      </c>
      <c r="F2352" s="5">
        <v>5079293</v>
      </c>
      <c r="G2352" s="5" t="s">
        <v>709</v>
      </c>
      <c r="H2352" s="5" t="s">
        <v>30</v>
      </c>
      <c r="I2352" s="5" t="s">
        <v>22</v>
      </c>
      <c r="J2352" s="5" t="s">
        <v>63</v>
      </c>
      <c r="K2352" s="6">
        <v>0</v>
      </c>
      <c r="L2352" s="7">
        <v>0</v>
      </c>
      <c r="M2352" s="8">
        <v>0.25</v>
      </c>
      <c r="N2352" s="8">
        <v>0.5</v>
      </c>
      <c r="O2352" s="8">
        <v>0</v>
      </c>
      <c r="P2352" s="8">
        <v>0</v>
      </c>
      <c r="Q2352" s="8">
        <v>0</v>
      </c>
      <c r="R2352" s="8">
        <v>0</v>
      </c>
      <c r="S2352" s="8">
        <v>0</v>
      </c>
      <c r="T2352" s="5">
        <v>0</v>
      </c>
      <c r="U2352" s="5">
        <v>0</v>
      </c>
      <c r="V2352" s="5">
        <f>VLOOKUP(A2352,Planilha1!B:E,4,0)</f>
        <v>-1.9171310037550682</v>
      </c>
    </row>
    <row r="2353" spans="1:22" x14ac:dyDescent="0.3">
      <c r="A2353" t="str">
        <f t="shared" si="72"/>
        <v>LEITE UHTLACTALIS</v>
      </c>
      <c r="B2353" t="str">
        <f t="shared" si="73"/>
        <v>5079293LEITE UHTLACTALIS</v>
      </c>
      <c r="C2353" s="5" t="s">
        <v>226</v>
      </c>
      <c r="D2353" s="5" t="s">
        <v>227</v>
      </c>
      <c r="E2353" s="5" t="s">
        <v>703</v>
      </c>
      <c r="F2353" s="5">
        <v>5079293</v>
      </c>
      <c r="G2353" s="5" t="s">
        <v>709</v>
      </c>
      <c r="H2353" s="5" t="s">
        <v>30</v>
      </c>
      <c r="I2353" s="5" t="s">
        <v>22</v>
      </c>
      <c r="J2353" s="5" t="s">
        <v>156</v>
      </c>
      <c r="K2353" s="6">
        <v>0</v>
      </c>
      <c r="L2353" s="7">
        <v>0</v>
      </c>
      <c r="M2353" s="8">
        <v>8</v>
      </c>
      <c r="N2353" s="8">
        <v>12</v>
      </c>
      <c r="O2353" s="8">
        <v>0</v>
      </c>
      <c r="P2353" s="8">
        <v>0</v>
      </c>
      <c r="Q2353" s="8">
        <v>0</v>
      </c>
      <c r="R2353" s="8">
        <v>0</v>
      </c>
      <c r="S2353" s="8">
        <v>0</v>
      </c>
      <c r="T2353" s="5">
        <v>0</v>
      </c>
      <c r="U2353" s="5">
        <v>0</v>
      </c>
      <c r="V2353" s="5">
        <f>VLOOKUP(A2353,Planilha1!B:E,4,0)</f>
        <v>0.37177548115779385</v>
      </c>
    </row>
    <row r="2354" spans="1:22" x14ac:dyDescent="0.3">
      <c r="A2354" t="str">
        <f t="shared" si="72"/>
        <v>SPREADSLACTALIS</v>
      </c>
      <c r="B2354" t="str">
        <f t="shared" si="73"/>
        <v>5091134SPREADSLACTALIS</v>
      </c>
      <c r="C2354" s="5" t="s">
        <v>226</v>
      </c>
      <c r="D2354" s="5" t="s">
        <v>227</v>
      </c>
      <c r="E2354" s="5" t="s">
        <v>1722</v>
      </c>
      <c r="F2354" s="5">
        <v>5091134</v>
      </c>
      <c r="G2354" s="5" t="s">
        <v>1269</v>
      </c>
      <c r="H2354" s="5" t="s">
        <v>30</v>
      </c>
      <c r="I2354" s="5" t="s">
        <v>22</v>
      </c>
      <c r="J2354" s="5" t="s">
        <v>945</v>
      </c>
      <c r="K2354" s="6">
        <v>0</v>
      </c>
      <c r="L2354" s="7">
        <v>0</v>
      </c>
      <c r="M2354" s="8">
        <v>123.2</v>
      </c>
      <c r="N2354" s="8">
        <v>120</v>
      </c>
      <c r="O2354" s="8">
        <v>41.712860821617447</v>
      </c>
      <c r="P2354" s="8">
        <v>0</v>
      </c>
      <c r="Q2354" s="8">
        <v>0</v>
      </c>
      <c r="R2354" s="8">
        <v>0</v>
      </c>
      <c r="S2354" s="8">
        <v>0</v>
      </c>
      <c r="T2354" s="5">
        <v>0</v>
      </c>
      <c r="U2354" s="5">
        <v>0</v>
      </c>
      <c r="V2354" s="5">
        <f>VLOOKUP(A2354,Planilha1!B:E,4,0)</f>
        <v>13.599044988219518</v>
      </c>
    </row>
    <row r="2355" spans="1:22" x14ac:dyDescent="0.3">
      <c r="A2355" t="str">
        <f t="shared" si="72"/>
        <v>LPI 25KGLACTALIS</v>
      </c>
      <c r="B2355" t="str">
        <f t="shared" si="73"/>
        <v>5098945LPI 25KGLACTALIS</v>
      </c>
      <c r="C2355" s="5" t="s">
        <v>16</v>
      </c>
      <c r="D2355" s="5" t="s">
        <v>53</v>
      </c>
      <c r="E2355" s="5" t="s">
        <v>54</v>
      </c>
      <c r="F2355" s="5">
        <v>5098945</v>
      </c>
      <c r="G2355" s="5" t="s">
        <v>988</v>
      </c>
      <c r="H2355" s="5" t="s">
        <v>113</v>
      </c>
      <c r="I2355" s="5" t="s">
        <v>22</v>
      </c>
      <c r="J2355" s="5" t="s">
        <v>21</v>
      </c>
      <c r="K2355" s="6">
        <v>0</v>
      </c>
      <c r="L2355" s="7">
        <v>0</v>
      </c>
      <c r="M2355" s="8">
        <v>162.5</v>
      </c>
      <c r="N2355" s="8">
        <v>325</v>
      </c>
      <c r="O2355" s="8">
        <v>0</v>
      </c>
      <c r="P2355" s="8">
        <v>0</v>
      </c>
      <c r="Q2355" s="8">
        <v>0</v>
      </c>
      <c r="R2355" s="8">
        <v>0</v>
      </c>
      <c r="S2355" s="8">
        <v>0</v>
      </c>
      <c r="T2355" s="5">
        <v>0</v>
      </c>
      <c r="U2355" s="5">
        <v>0</v>
      </c>
      <c r="V2355" s="5">
        <f>VLOOKUP(A2355,Planilha1!B:E,4,0)</f>
        <v>-4.3046759024811481</v>
      </c>
    </row>
    <row r="2356" spans="1:22" x14ac:dyDescent="0.3">
      <c r="A2356" t="str">
        <f t="shared" si="72"/>
        <v>LPI 25KGLACTALIS</v>
      </c>
      <c r="B2356" t="str">
        <f t="shared" si="73"/>
        <v>5099067LPI 25KGLACTALIS</v>
      </c>
      <c r="C2356" s="5" t="s">
        <v>16</v>
      </c>
      <c r="D2356" s="5" t="s">
        <v>53</v>
      </c>
      <c r="E2356" s="5" t="s">
        <v>54</v>
      </c>
      <c r="F2356" s="5">
        <v>5099067</v>
      </c>
      <c r="G2356" s="5" t="s">
        <v>990</v>
      </c>
      <c r="H2356" s="5" t="s">
        <v>30</v>
      </c>
      <c r="I2356" s="5" t="s">
        <v>22</v>
      </c>
      <c r="J2356" s="5" t="s">
        <v>21</v>
      </c>
      <c r="K2356" s="6">
        <v>0</v>
      </c>
      <c r="L2356" s="7">
        <v>0</v>
      </c>
      <c r="M2356" s="8">
        <v>2000</v>
      </c>
      <c r="N2356" s="8">
        <v>4000</v>
      </c>
      <c r="O2356" s="8">
        <v>0</v>
      </c>
      <c r="P2356" s="8">
        <v>0</v>
      </c>
      <c r="Q2356" s="8">
        <v>0</v>
      </c>
      <c r="R2356" s="8">
        <v>0</v>
      </c>
      <c r="S2356" s="8">
        <v>0</v>
      </c>
      <c r="T2356" s="5">
        <v>0</v>
      </c>
      <c r="U2356" s="5">
        <v>0</v>
      </c>
      <c r="V2356" s="5">
        <f>VLOOKUP(A2356,Planilha1!B:E,4,0)</f>
        <v>-4.3046759024811481</v>
      </c>
    </row>
    <row r="2357" spans="1:22" x14ac:dyDescent="0.3">
      <c r="A2357" t="str">
        <f t="shared" si="72"/>
        <v>LPD 25KGLACTALIS</v>
      </c>
      <c r="B2357" t="str">
        <f t="shared" si="73"/>
        <v>5099089LPD 25KGLACTALIS</v>
      </c>
      <c r="C2357" s="5" t="s">
        <v>16</v>
      </c>
      <c r="D2357" s="5" t="s">
        <v>53</v>
      </c>
      <c r="E2357" s="5" t="s">
        <v>54</v>
      </c>
      <c r="F2357" s="5">
        <v>5099089</v>
      </c>
      <c r="G2357" s="5" t="s">
        <v>1270</v>
      </c>
      <c r="H2357" s="5" t="s">
        <v>88</v>
      </c>
      <c r="I2357" s="5" t="s">
        <v>22</v>
      </c>
      <c r="J2357" s="5" t="s">
        <v>43</v>
      </c>
      <c r="K2357" s="6">
        <v>0</v>
      </c>
      <c r="L2357" s="7">
        <v>0</v>
      </c>
      <c r="M2357" s="8">
        <v>0</v>
      </c>
      <c r="N2357" s="8">
        <v>-500</v>
      </c>
      <c r="O2357" s="8">
        <v>0</v>
      </c>
      <c r="P2357" s="8">
        <v>0</v>
      </c>
      <c r="Q2357" s="8">
        <v>0</v>
      </c>
      <c r="R2357" s="8">
        <v>0</v>
      </c>
      <c r="S2357" s="8">
        <v>0</v>
      </c>
      <c r="T2357" s="5">
        <v>0</v>
      </c>
      <c r="U2357" s="5">
        <v>0</v>
      </c>
      <c r="V2357" s="5">
        <f>VLOOKUP(A2357,Planilha1!B:E,4,0)</f>
        <v>5.893629113453061</v>
      </c>
    </row>
    <row r="2358" spans="1:22" x14ac:dyDescent="0.3">
      <c r="A2358" t="str">
        <f t="shared" si="72"/>
        <v>DOCE DE LEITELACTALIS</v>
      </c>
      <c r="B2358" t="str">
        <f t="shared" si="73"/>
        <v>5107112DOCE DE LEITELACTALIS</v>
      </c>
      <c r="C2358" s="5" t="s">
        <v>226</v>
      </c>
      <c r="D2358" s="5" t="s">
        <v>227</v>
      </c>
      <c r="E2358" s="5" t="s">
        <v>703</v>
      </c>
      <c r="F2358" s="5">
        <v>5107112</v>
      </c>
      <c r="G2358" s="5" t="s">
        <v>710</v>
      </c>
      <c r="H2358" s="5" t="s">
        <v>30</v>
      </c>
      <c r="I2358" s="5" t="s">
        <v>22</v>
      </c>
      <c r="J2358" s="5" t="s">
        <v>46</v>
      </c>
      <c r="K2358" s="6">
        <v>0</v>
      </c>
      <c r="L2358" s="7">
        <v>0</v>
      </c>
      <c r="M2358" s="8">
        <v>357.2</v>
      </c>
      <c r="N2358" s="8">
        <v>176.4</v>
      </c>
      <c r="O2358" s="8">
        <v>0</v>
      </c>
      <c r="P2358" s="8">
        <v>0</v>
      </c>
      <c r="Q2358" s="8">
        <v>0</v>
      </c>
      <c r="R2358" s="8">
        <v>0</v>
      </c>
      <c r="S2358" s="8">
        <v>0</v>
      </c>
      <c r="T2358" s="5">
        <v>0</v>
      </c>
      <c r="U2358" s="5">
        <v>0</v>
      </c>
      <c r="V2358" s="5">
        <f>VLOOKUP(A2358,Planilha1!B:E,4,0)</f>
        <v>5.6473514327668077</v>
      </c>
    </row>
    <row r="2359" spans="1:22" x14ac:dyDescent="0.3">
      <c r="A2359" t="str">
        <f t="shared" si="72"/>
        <v>QUEIJOSLACTALIS</v>
      </c>
      <c r="B2359" t="str">
        <f t="shared" si="73"/>
        <v>5178175QUEIJOSLACTALIS</v>
      </c>
      <c r="C2359" s="5" t="s">
        <v>226</v>
      </c>
      <c r="D2359" s="5" t="s">
        <v>227</v>
      </c>
      <c r="E2359" s="5" t="s">
        <v>1722</v>
      </c>
      <c r="F2359" s="5">
        <v>5178175</v>
      </c>
      <c r="G2359" s="5" t="s">
        <v>1268</v>
      </c>
      <c r="H2359" s="5" t="s">
        <v>30</v>
      </c>
      <c r="I2359" s="5" t="s">
        <v>22</v>
      </c>
      <c r="J2359" s="5" t="s">
        <v>63</v>
      </c>
      <c r="K2359" s="6">
        <v>0</v>
      </c>
      <c r="L2359" s="7">
        <v>57.635000000000005</v>
      </c>
      <c r="M2359" s="8">
        <v>26.23833333333333</v>
      </c>
      <c r="N2359" s="8">
        <v>27.823333333333327</v>
      </c>
      <c r="O2359" s="8">
        <v>53.172500591053605</v>
      </c>
      <c r="P2359" s="8">
        <v>0</v>
      </c>
      <c r="Q2359" s="8">
        <v>27.4</v>
      </c>
      <c r="R2359" s="8">
        <v>0</v>
      </c>
      <c r="S2359" s="8">
        <v>0</v>
      </c>
      <c r="T2359" s="5">
        <v>0</v>
      </c>
      <c r="U2359" s="5">
        <v>13</v>
      </c>
      <c r="V2359" s="5">
        <f>VLOOKUP(A2359,Planilha1!B:E,4,0)</f>
        <v>-1.9171310037550682</v>
      </c>
    </row>
    <row r="2360" spans="1:22" x14ac:dyDescent="0.3">
      <c r="A2360" t="str">
        <f t="shared" si="72"/>
        <v>SPREADSLACTALIS</v>
      </c>
      <c r="B2360" t="str">
        <f t="shared" si="73"/>
        <v>5178175SPREADSLACTALIS</v>
      </c>
      <c r="C2360" s="5" t="s">
        <v>226</v>
      </c>
      <c r="D2360" s="5" t="s">
        <v>227</v>
      </c>
      <c r="E2360" s="5" t="s">
        <v>1722</v>
      </c>
      <c r="F2360" s="5">
        <v>5178175</v>
      </c>
      <c r="G2360" s="5" t="s">
        <v>1268</v>
      </c>
      <c r="H2360" s="5" t="s">
        <v>30</v>
      </c>
      <c r="I2360" s="5" t="s">
        <v>22</v>
      </c>
      <c r="J2360" s="5" t="s">
        <v>945</v>
      </c>
      <c r="K2360" s="6">
        <v>0</v>
      </c>
      <c r="L2360" s="7">
        <v>4.8</v>
      </c>
      <c r="M2360" s="8">
        <v>10.133333333333331</v>
      </c>
      <c r="N2360" s="8">
        <v>9.3333333333333321</v>
      </c>
      <c r="O2360" s="8">
        <v>6.5703454272301798</v>
      </c>
      <c r="P2360" s="8">
        <v>0</v>
      </c>
      <c r="Q2360" s="8">
        <v>4.8</v>
      </c>
      <c r="R2360" s="8">
        <v>0</v>
      </c>
      <c r="S2360" s="8">
        <v>0</v>
      </c>
      <c r="T2360" s="5">
        <v>0</v>
      </c>
      <c r="U2360" s="5">
        <v>0</v>
      </c>
      <c r="V2360" s="5">
        <f>VLOOKUP(A2360,Planilha1!B:E,4,0)</f>
        <v>13.599044988219518</v>
      </c>
    </row>
    <row r="2361" spans="1:22" x14ac:dyDescent="0.3">
      <c r="A2361" t="str">
        <f t="shared" si="72"/>
        <v>LEITE UHTLACTALIS</v>
      </c>
      <c r="B2361" t="str">
        <f t="shared" si="73"/>
        <v>5180079LEITE UHTLACTALIS</v>
      </c>
      <c r="C2361" s="5" t="s">
        <v>226</v>
      </c>
      <c r="D2361" s="5" t="s">
        <v>227</v>
      </c>
      <c r="E2361" s="5" t="s">
        <v>1722</v>
      </c>
      <c r="F2361" s="5">
        <v>5180079</v>
      </c>
      <c r="G2361" s="5" t="s">
        <v>257</v>
      </c>
      <c r="H2361" s="5" t="s">
        <v>30</v>
      </c>
      <c r="I2361" s="5" t="s">
        <v>22</v>
      </c>
      <c r="J2361" s="5" t="s">
        <v>156</v>
      </c>
      <c r="K2361" s="6">
        <v>0</v>
      </c>
      <c r="L2361" s="7">
        <v>0</v>
      </c>
      <c r="M2361" s="8">
        <v>36</v>
      </c>
      <c r="N2361" s="8">
        <v>72</v>
      </c>
      <c r="O2361" s="8">
        <v>0</v>
      </c>
      <c r="P2361" s="8">
        <v>0</v>
      </c>
      <c r="Q2361" s="8">
        <v>0</v>
      </c>
      <c r="R2361" s="8">
        <v>0</v>
      </c>
      <c r="S2361" s="8">
        <v>0</v>
      </c>
      <c r="T2361" s="5">
        <v>0</v>
      </c>
      <c r="U2361" s="5">
        <v>0</v>
      </c>
      <c r="V2361" s="5">
        <f>VLOOKUP(A2361,Planilha1!B:E,4,0)</f>
        <v>0.37177548115779385</v>
      </c>
    </row>
    <row r="2362" spans="1:22" x14ac:dyDescent="0.3">
      <c r="A2362" t="str">
        <f t="shared" si="72"/>
        <v>IOGURTESLACTALIS</v>
      </c>
      <c r="B2362" t="str">
        <f t="shared" si="73"/>
        <v>5180555IOGURTESLACTALIS</v>
      </c>
      <c r="C2362" s="5" t="s">
        <v>226</v>
      </c>
      <c r="D2362" s="5" t="s">
        <v>227</v>
      </c>
      <c r="E2362" s="5" t="s">
        <v>1722</v>
      </c>
      <c r="F2362" s="5">
        <v>5180555</v>
      </c>
      <c r="G2362" s="5" t="s">
        <v>285</v>
      </c>
      <c r="H2362" s="5" t="s">
        <v>30</v>
      </c>
      <c r="I2362" s="5" t="s">
        <v>22</v>
      </c>
      <c r="J2362" s="5" t="s">
        <v>153</v>
      </c>
      <c r="K2362" s="6">
        <v>0</v>
      </c>
      <c r="L2362" s="7">
        <v>38.799999999999997</v>
      </c>
      <c r="M2362" s="8">
        <v>71.2</v>
      </c>
      <c r="N2362" s="8">
        <v>46</v>
      </c>
      <c r="O2362" s="8">
        <v>80.223176864307447</v>
      </c>
      <c r="P2362" s="8">
        <v>0</v>
      </c>
      <c r="Q2362" s="8">
        <v>17.920000000000002</v>
      </c>
      <c r="R2362" s="8">
        <v>0</v>
      </c>
      <c r="S2362" s="8">
        <v>0</v>
      </c>
      <c r="T2362" s="5">
        <v>0</v>
      </c>
      <c r="U2362" s="5">
        <v>0</v>
      </c>
      <c r="V2362" s="5">
        <f>VLOOKUP(A2362,Planilha1!B:E,4,0)</f>
        <v>3.0503167986984403</v>
      </c>
    </row>
    <row r="2363" spans="1:22" x14ac:dyDescent="0.3">
      <c r="A2363" t="str">
        <f t="shared" si="72"/>
        <v>IOGURTESLACTALIS</v>
      </c>
      <c r="B2363" t="str">
        <f t="shared" si="73"/>
        <v>5181253IOGURTESLACTALIS</v>
      </c>
      <c r="C2363" s="5" t="s">
        <v>226</v>
      </c>
      <c r="D2363" s="5" t="s">
        <v>227</v>
      </c>
      <c r="E2363" s="5" t="s">
        <v>1722</v>
      </c>
      <c r="F2363" s="5">
        <v>5181253</v>
      </c>
      <c r="G2363" s="5" t="s">
        <v>1271</v>
      </c>
      <c r="H2363" s="5" t="s">
        <v>30</v>
      </c>
      <c r="I2363" s="5" t="s">
        <v>22</v>
      </c>
      <c r="J2363" s="5" t="s">
        <v>153</v>
      </c>
      <c r="K2363" s="6">
        <v>0</v>
      </c>
      <c r="L2363" s="7">
        <v>0</v>
      </c>
      <c r="M2363" s="8">
        <v>81.599999999999994</v>
      </c>
      <c r="N2363" s="8">
        <v>163.20000000000002</v>
      </c>
      <c r="O2363" s="8">
        <v>0</v>
      </c>
      <c r="P2363" s="8">
        <v>0</v>
      </c>
      <c r="Q2363" s="8">
        <v>122.72</v>
      </c>
      <c r="R2363" s="8">
        <v>0</v>
      </c>
      <c r="S2363" s="8">
        <v>0</v>
      </c>
      <c r="T2363" s="5">
        <v>0</v>
      </c>
      <c r="U2363" s="5">
        <v>0</v>
      </c>
      <c r="V2363" s="5">
        <f>VLOOKUP(A2363,Planilha1!B:E,4,0)</f>
        <v>3.0503167986984403</v>
      </c>
    </row>
    <row r="2364" spans="1:22" x14ac:dyDescent="0.3">
      <c r="A2364" t="str">
        <f t="shared" si="72"/>
        <v>MERC + AROMLACTALIS</v>
      </c>
      <c r="B2364" t="str">
        <f t="shared" si="73"/>
        <v>5109656MERC + AROMLACTALIS</v>
      </c>
      <c r="C2364" s="5" t="s">
        <v>226</v>
      </c>
      <c r="D2364" s="5" t="s">
        <v>893</v>
      </c>
      <c r="E2364" s="5" t="s">
        <v>893</v>
      </c>
      <c r="F2364" s="5">
        <v>5109656</v>
      </c>
      <c r="G2364" s="5" t="s">
        <v>901</v>
      </c>
      <c r="H2364" s="5" t="s">
        <v>30</v>
      </c>
      <c r="I2364" s="5" t="s">
        <v>22</v>
      </c>
      <c r="J2364" s="5" t="s">
        <v>230</v>
      </c>
      <c r="K2364" s="6">
        <v>0</v>
      </c>
      <c r="L2364" s="7">
        <v>150</v>
      </c>
      <c r="M2364" s="8">
        <v>152.5</v>
      </c>
      <c r="N2364" s="8">
        <v>143</v>
      </c>
      <c r="O2364" s="8">
        <v>178.48773588178986</v>
      </c>
      <c r="P2364" s="8">
        <v>0</v>
      </c>
      <c r="Q2364" s="8">
        <v>0</v>
      </c>
      <c r="R2364" s="8">
        <v>0</v>
      </c>
      <c r="S2364" s="8">
        <v>0</v>
      </c>
      <c r="T2364" s="5">
        <v>0</v>
      </c>
      <c r="U2364" s="5">
        <v>0</v>
      </c>
      <c r="V2364" s="5">
        <f>VLOOKUP(A2364,Planilha1!B:E,4,0)</f>
        <v>0.86907188046232187</v>
      </c>
    </row>
    <row r="2365" spans="1:22" x14ac:dyDescent="0.3">
      <c r="A2365" t="str">
        <f t="shared" si="72"/>
        <v>LEITE EM PÓLACTALIS</v>
      </c>
      <c r="B2365" t="str">
        <f t="shared" si="73"/>
        <v>5112607LEITE EM PÓLACTALIS</v>
      </c>
      <c r="C2365" s="5" t="s">
        <v>226</v>
      </c>
      <c r="D2365" s="5" t="s">
        <v>227</v>
      </c>
      <c r="E2365" s="5" t="s">
        <v>1722</v>
      </c>
      <c r="F2365" s="5">
        <v>5112607</v>
      </c>
      <c r="G2365" s="5" t="s">
        <v>1272</v>
      </c>
      <c r="H2365" s="5" t="s">
        <v>30</v>
      </c>
      <c r="I2365" s="5" t="s">
        <v>22</v>
      </c>
      <c r="J2365" s="5" t="s">
        <v>84</v>
      </c>
      <c r="K2365" s="6">
        <v>0</v>
      </c>
      <c r="L2365" s="7">
        <v>0</v>
      </c>
      <c r="M2365" s="8">
        <v>120</v>
      </c>
      <c r="N2365" s="8">
        <v>120</v>
      </c>
      <c r="O2365" s="8">
        <v>0</v>
      </c>
      <c r="P2365" s="8">
        <v>0</v>
      </c>
      <c r="Q2365" s="8">
        <v>0</v>
      </c>
      <c r="R2365" s="8">
        <v>0</v>
      </c>
      <c r="S2365" s="8">
        <v>0</v>
      </c>
      <c r="T2365" s="5">
        <v>0</v>
      </c>
      <c r="U2365" s="5">
        <v>0</v>
      </c>
      <c r="V2365" s="5">
        <f>VLOOKUP(A2365,Planilha1!B:E,4,0)</f>
        <v>-2.8055507108797499</v>
      </c>
    </row>
    <row r="2366" spans="1:22" x14ac:dyDescent="0.3">
      <c r="A2366" t="str">
        <f t="shared" si="72"/>
        <v>MANTEIGA 5KGLACTALIS</v>
      </c>
      <c r="B2366" t="str">
        <f t="shared" si="73"/>
        <v>5115189MANTEIGA 5KGLACTALIS</v>
      </c>
      <c r="C2366" s="5" t="s">
        <v>226</v>
      </c>
      <c r="D2366" s="5" t="s">
        <v>797</v>
      </c>
      <c r="E2366" s="5" t="s">
        <v>810</v>
      </c>
      <c r="F2366" s="5">
        <v>5115189</v>
      </c>
      <c r="G2366" s="5" t="s">
        <v>811</v>
      </c>
      <c r="H2366" s="5" t="s">
        <v>20</v>
      </c>
      <c r="I2366" s="5" t="s">
        <v>22</v>
      </c>
      <c r="J2366" s="5" t="s">
        <v>60</v>
      </c>
      <c r="K2366" s="6">
        <v>0</v>
      </c>
      <c r="L2366" s="7">
        <v>0</v>
      </c>
      <c r="M2366" s="8">
        <v>165.83333333333334</v>
      </c>
      <c r="N2366" s="8">
        <v>81.666666666666671</v>
      </c>
      <c r="O2366" s="8">
        <v>0</v>
      </c>
      <c r="P2366" s="8">
        <v>0</v>
      </c>
      <c r="Q2366" s="8">
        <v>0</v>
      </c>
      <c r="R2366" s="8">
        <v>0</v>
      </c>
      <c r="S2366" s="8">
        <v>0</v>
      </c>
      <c r="T2366" s="5">
        <v>250</v>
      </c>
      <c r="U2366" s="5">
        <v>0</v>
      </c>
      <c r="V2366" s="5">
        <f>VLOOKUP(A2366,Planilha1!B:E,4,0)</f>
        <v>11.476197020267191</v>
      </c>
    </row>
    <row r="2367" spans="1:22" x14ac:dyDescent="0.3">
      <c r="A2367" t="str">
        <f t="shared" si="72"/>
        <v>QUEIJOSLACTALIS</v>
      </c>
      <c r="B2367" t="str">
        <f t="shared" si="73"/>
        <v>5116958QUEIJOSLACTALIS</v>
      </c>
      <c r="C2367" s="5" t="s">
        <v>226</v>
      </c>
      <c r="D2367" s="5" t="s">
        <v>227</v>
      </c>
      <c r="E2367" s="5" t="s">
        <v>1722</v>
      </c>
      <c r="F2367" s="5">
        <v>5116958</v>
      </c>
      <c r="G2367" s="5" t="s">
        <v>382</v>
      </c>
      <c r="H2367" s="5" t="s">
        <v>30</v>
      </c>
      <c r="I2367" s="5" t="s">
        <v>22</v>
      </c>
      <c r="J2367" s="5" t="s">
        <v>63</v>
      </c>
      <c r="K2367" s="6">
        <v>0</v>
      </c>
      <c r="L2367" s="7">
        <v>0</v>
      </c>
      <c r="M2367" s="8">
        <v>21.373333333333335</v>
      </c>
      <c r="N2367" s="8">
        <v>23.366666666666664</v>
      </c>
      <c r="O2367" s="8">
        <v>9.7557947713946831</v>
      </c>
      <c r="P2367" s="8">
        <v>0</v>
      </c>
      <c r="Q2367" s="8">
        <v>0</v>
      </c>
      <c r="R2367" s="8">
        <v>0</v>
      </c>
      <c r="S2367" s="8">
        <v>0</v>
      </c>
      <c r="T2367" s="5">
        <v>0</v>
      </c>
      <c r="U2367" s="5">
        <v>0</v>
      </c>
      <c r="V2367" s="5">
        <f>VLOOKUP(A2367,Planilha1!B:E,4,0)</f>
        <v>-1.9171310037550682</v>
      </c>
    </row>
    <row r="2368" spans="1:22" x14ac:dyDescent="0.3">
      <c r="A2368" t="str">
        <f t="shared" si="72"/>
        <v>CREME UHTITAMBÉ</v>
      </c>
      <c r="B2368" t="str">
        <f t="shared" si="73"/>
        <v>5182512CREME UHTITAMBÉ</v>
      </c>
      <c r="C2368" s="5" t="s">
        <v>226</v>
      </c>
      <c r="D2368" s="5" t="s">
        <v>833</v>
      </c>
      <c r="E2368" s="5" t="s">
        <v>875</v>
      </c>
      <c r="F2368" s="5">
        <v>5182512</v>
      </c>
      <c r="G2368" s="5" t="s">
        <v>882</v>
      </c>
      <c r="H2368" s="5" t="s">
        <v>91</v>
      </c>
      <c r="I2368" s="5" t="s">
        <v>27</v>
      </c>
      <c r="J2368" s="5" t="s">
        <v>34</v>
      </c>
      <c r="K2368" s="6">
        <v>0</v>
      </c>
      <c r="L2368" s="7">
        <v>0</v>
      </c>
      <c r="M2368" s="8">
        <v>72</v>
      </c>
      <c r="N2368" s="8">
        <v>144</v>
      </c>
      <c r="O2368" s="8">
        <v>0</v>
      </c>
      <c r="P2368" s="8">
        <v>0</v>
      </c>
      <c r="Q2368" s="8">
        <v>0</v>
      </c>
      <c r="R2368" s="8">
        <v>0</v>
      </c>
      <c r="S2368" s="8">
        <v>144</v>
      </c>
      <c r="T2368" s="5">
        <v>144</v>
      </c>
      <c r="U2368" s="5">
        <v>144</v>
      </c>
      <c r="V2368" s="5">
        <f>VLOOKUP(A2368,Planilha1!B:E,4,0)</f>
        <v>1.2362540170747773</v>
      </c>
    </row>
    <row r="2369" spans="1:22" x14ac:dyDescent="0.3">
      <c r="A2369" t="str">
        <f t="shared" si="72"/>
        <v>SPREADSLACTALIS</v>
      </c>
      <c r="B2369" t="str">
        <f t="shared" si="73"/>
        <v>5117795SPREADSLACTALIS</v>
      </c>
      <c r="C2369" s="5" t="s">
        <v>226</v>
      </c>
      <c r="D2369" s="5" t="s">
        <v>227</v>
      </c>
      <c r="E2369" s="5" t="s">
        <v>1722</v>
      </c>
      <c r="F2369" s="5">
        <v>5117795</v>
      </c>
      <c r="G2369" s="5" t="s">
        <v>242</v>
      </c>
      <c r="H2369" s="5" t="s">
        <v>30</v>
      </c>
      <c r="I2369" s="5" t="s">
        <v>22</v>
      </c>
      <c r="J2369" s="5" t="s">
        <v>945</v>
      </c>
      <c r="K2369" s="6">
        <v>0</v>
      </c>
      <c r="L2369" s="7">
        <v>0</v>
      </c>
      <c r="M2369" s="8">
        <v>46.3</v>
      </c>
      <c r="N2369" s="8">
        <v>45.6</v>
      </c>
      <c r="O2369" s="8">
        <v>42.527743211985111</v>
      </c>
      <c r="P2369" s="8">
        <v>0</v>
      </c>
      <c r="Q2369" s="8">
        <v>42.6</v>
      </c>
      <c r="R2369" s="8">
        <v>0</v>
      </c>
      <c r="S2369" s="8">
        <v>0</v>
      </c>
      <c r="T2369" s="5">
        <v>0</v>
      </c>
      <c r="U2369" s="5">
        <v>48</v>
      </c>
      <c r="V2369" s="5">
        <f>VLOOKUP(A2369,Planilha1!B:E,4,0)</f>
        <v>13.599044988219518</v>
      </c>
    </row>
    <row r="2370" spans="1:22" x14ac:dyDescent="0.3">
      <c r="A2370" t="str">
        <f t="shared" ref="A2370:A2433" si="74">J2370&amp;I2370</f>
        <v>MANTEIGA 5KGITAMBÉ</v>
      </c>
      <c r="B2370" t="str">
        <f t="shared" si="73"/>
        <v>5182612MANTEIGA 5KGITAMBÉ</v>
      </c>
      <c r="C2370" s="5" t="s">
        <v>149</v>
      </c>
      <c r="D2370" s="5" t="s">
        <v>150</v>
      </c>
      <c r="E2370" s="5" t="s">
        <v>186</v>
      </c>
      <c r="F2370" s="5">
        <v>5182612</v>
      </c>
      <c r="G2370" s="5" t="s">
        <v>1273</v>
      </c>
      <c r="H2370" s="5" t="s">
        <v>25</v>
      </c>
      <c r="I2370" s="5" t="s">
        <v>27</v>
      </c>
      <c r="J2370" s="5" t="s">
        <v>60</v>
      </c>
      <c r="K2370" s="6">
        <v>0</v>
      </c>
      <c r="L2370" s="7">
        <v>0</v>
      </c>
      <c r="M2370" s="8">
        <v>12.5</v>
      </c>
      <c r="N2370" s="8">
        <v>25</v>
      </c>
      <c r="O2370" s="8">
        <v>0</v>
      </c>
      <c r="P2370" s="8">
        <v>0</v>
      </c>
      <c r="Q2370" s="8">
        <v>120</v>
      </c>
      <c r="R2370" s="8">
        <v>0</v>
      </c>
      <c r="S2370" s="8">
        <v>0</v>
      </c>
      <c r="T2370" s="5">
        <v>0</v>
      </c>
      <c r="U2370" s="5">
        <v>25</v>
      </c>
      <c r="V2370" s="5">
        <f>VLOOKUP(A2370,Planilha1!B:E,4,0)</f>
        <v>5.819800475298738</v>
      </c>
    </row>
    <row r="2371" spans="1:22" x14ac:dyDescent="0.3">
      <c r="A2371" t="str">
        <f t="shared" si="74"/>
        <v>QUEIJOSLACTALIS</v>
      </c>
      <c r="B2371" t="str">
        <f t="shared" ref="B2371:B2434" si="75">F2371&amp;J2371&amp;I2371</f>
        <v>5135368QUEIJOSLACTALIS</v>
      </c>
      <c r="C2371" s="5" t="s">
        <v>226</v>
      </c>
      <c r="D2371" s="5" t="s">
        <v>227</v>
      </c>
      <c r="E2371" s="5" t="s">
        <v>1722</v>
      </c>
      <c r="F2371" s="5">
        <v>5135368</v>
      </c>
      <c r="G2371" s="5" t="s">
        <v>1106</v>
      </c>
      <c r="H2371" s="5" t="s">
        <v>30</v>
      </c>
      <c r="I2371" s="5" t="s">
        <v>22</v>
      </c>
      <c r="J2371" s="5" t="s">
        <v>63</v>
      </c>
      <c r="K2371" s="6">
        <v>0</v>
      </c>
      <c r="L2371" s="7">
        <v>35.200000000000003</v>
      </c>
      <c r="M2371" s="8">
        <v>32.929833333333335</v>
      </c>
      <c r="N2371" s="8">
        <v>27.086333333333332</v>
      </c>
      <c r="O2371" s="8">
        <v>9.7386993366317238</v>
      </c>
      <c r="P2371" s="8">
        <v>0</v>
      </c>
      <c r="Q2371" s="8">
        <v>12</v>
      </c>
      <c r="R2371" s="8">
        <v>0</v>
      </c>
      <c r="S2371" s="8">
        <v>0</v>
      </c>
      <c r="T2371" s="5">
        <v>0</v>
      </c>
      <c r="U2371" s="5">
        <v>12</v>
      </c>
      <c r="V2371" s="5">
        <f>VLOOKUP(A2371,Planilha1!B:E,4,0)</f>
        <v>-1.9171310037550682</v>
      </c>
    </row>
    <row r="2372" spans="1:22" x14ac:dyDescent="0.3">
      <c r="A2372" t="str">
        <f t="shared" si="74"/>
        <v>IOGURTESLACTALIS</v>
      </c>
      <c r="B2372" t="str">
        <f t="shared" si="75"/>
        <v>5138371IOGURTESLACTALIS</v>
      </c>
      <c r="C2372" s="5" t="s">
        <v>149</v>
      </c>
      <c r="D2372" s="5" t="s">
        <v>150</v>
      </c>
      <c r="E2372" s="5" t="s">
        <v>186</v>
      </c>
      <c r="F2372" s="5">
        <v>5138371</v>
      </c>
      <c r="G2372" s="5" t="s">
        <v>189</v>
      </c>
      <c r="H2372" s="5" t="s">
        <v>113</v>
      </c>
      <c r="I2372" s="5" t="s">
        <v>22</v>
      </c>
      <c r="J2372" s="5" t="s">
        <v>153</v>
      </c>
      <c r="K2372" s="6">
        <v>0</v>
      </c>
      <c r="L2372" s="7">
        <v>0</v>
      </c>
      <c r="M2372" s="8">
        <v>0</v>
      </c>
      <c r="N2372" s="8">
        <v>0</v>
      </c>
      <c r="O2372" s="8">
        <v>0</v>
      </c>
      <c r="P2372" s="8">
        <v>0</v>
      </c>
      <c r="Q2372" s="8">
        <v>0</v>
      </c>
      <c r="R2372" s="8">
        <v>0</v>
      </c>
      <c r="S2372" s="8">
        <v>0</v>
      </c>
      <c r="T2372" s="5">
        <v>0</v>
      </c>
      <c r="U2372" s="5">
        <v>0</v>
      </c>
      <c r="V2372" s="5">
        <f>VLOOKUP(A2372,Planilha1!B:E,4,0)</f>
        <v>3.0503167986984403</v>
      </c>
    </row>
    <row r="2373" spans="1:22" x14ac:dyDescent="0.3">
      <c r="A2373" t="str">
        <f t="shared" si="74"/>
        <v>IOGURTESLACTALIS</v>
      </c>
      <c r="B2373" t="str">
        <f t="shared" si="75"/>
        <v>5185436IOGURTESLACTALIS</v>
      </c>
      <c r="C2373" s="5" t="s">
        <v>226</v>
      </c>
      <c r="D2373" s="5" t="s">
        <v>227</v>
      </c>
      <c r="E2373" s="5" t="s">
        <v>1722</v>
      </c>
      <c r="F2373" s="5">
        <v>5185436</v>
      </c>
      <c r="G2373" s="5" t="s">
        <v>1274</v>
      </c>
      <c r="H2373" s="5" t="s">
        <v>30</v>
      </c>
      <c r="I2373" s="5" t="s">
        <v>22</v>
      </c>
      <c r="J2373" s="5" t="s">
        <v>153</v>
      </c>
      <c r="K2373" s="6">
        <v>0</v>
      </c>
      <c r="L2373" s="7">
        <v>0</v>
      </c>
      <c r="M2373" s="8">
        <v>6.1333333333333329</v>
      </c>
      <c r="N2373" s="8">
        <v>12.266666666666666</v>
      </c>
      <c r="O2373" s="8">
        <v>0</v>
      </c>
      <c r="P2373" s="8">
        <v>0</v>
      </c>
      <c r="Q2373" s="8">
        <v>0</v>
      </c>
      <c r="R2373" s="8">
        <v>0</v>
      </c>
      <c r="S2373" s="8">
        <v>0</v>
      </c>
      <c r="T2373" s="5">
        <v>0</v>
      </c>
      <c r="U2373" s="5">
        <v>0</v>
      </c>
      <c r="V2373" s="5">
        <f>VLOOKUP(A2373,Planilha1!B:E,4,0)</f>
        <v>3.0503167986984403</v>
      </c>
    </row>
    <row r="2374" spans="1:22" x14ac:dyDescent="0.3">
      <c r="A2374" t="str">
        <f t="shared" si="74"/>
        <v>IOGURTESLACTALIS</v>
      </c>
      <c r="B2374" t="str">
        <f t="shared" si="75"/>
        <v>5145301IOGURTESLACTALIS</v>
      </c>
      <c r="C2374" s="5" t="s">
        <v>226</v>
      </c>
      <c r="D2374" s="5" t="s">
        <v>227</v>
      </c>
      <c r="E2374" s="5" t="s">
        <v>1722</v>
      </c>
      <c r="F2374" s="5">
        <v>5145301</v>
      </c>
      <c r="G2374" s="5" t="s">
        <v>383</v>
      </c>
      <c r="H2374" s="5" t="s">
        <v>30</v>
      </c>
      <c r="I2374" s="5" t="s">
        <v>22</v>
      </c>
      <c r="J2374" s="5" t="s">
        <v>153</v>
      </c>
      <c r="K2374" s="6">
        <v>0</v>
      </c>
      <c r="L2374" s="7">
        <v>0</v>
      </c>
      <c r="M2374" s="8">
        <v>24.479999999999997</v>
      </c>
      <c r="N2374" s="8">
        <v>22.439999999999998</v>
      </c>
      <c r="O2374" s="8">
        <v>20.782350193502573</v>
      </c>
      <c r="P2374" s="8">
        <v>0</v>
      </c>
      <c r="Q2374" s="8">
        <v>0</v>
      </c>
      <c r="R2374" s="8">
        <v>0</v>
      </c>
      <c r="S2374" s="8">
        <v>0</v>
      </c>
      <c r="T2374" s="5">
        <v>0</v>
      </c>
      <c r="U2374" s="5">
        <v>0</v>
      </c>
      <c r="V2374" s="5">
        <f>VLOOKUP(A2374,Planilha1!B:E,4,0)</f>
        <v>3.0503167986984403</v>
      </c>
    </row>
    <row r="2375" spans="1:22" x14ac:dyDescent="0.3">
      <c r="A2375" t="str">
        <f t="shared" si="74"/>
        <v>LEITE EM PÓITAMBÉ</v>
      </c>
      <c r="B2375" t="str">
        <f t="shared" si="75"/>
        <v>5189644LEITE EM PÓITAMBÉ</v>
      </c>
      <c r="C2375" s="5" t="s">
        <v>226</v>
      </c>
      <c r="D2375" s="5" t="s">
        <v>227</v>
      </c>
      <c r="E2375" s="5" t="s">
        <v>231</v>
      </c>
      <c r="F2375" s="5">
        <v>5189644</v>
      </c>
      <c r="G2375" s="5" t="s">
        <v>234</v>
      </c>
      <c r="H2375" s="5" t="s">
        <v>30</v>
      </c>
      <c r="I2375" s="5" t="s">
        <v>27</v>
      </c>
      <c r="J2375" s="5" t="s">
        <v>84</v>
      </c>
      <c r="K2375" s="6">
        <v>0</v>
      </c>
      <c r="L2375" s="7">
        <v>0</v>
      </c>
      <c r="M2375" s="8">
        <v>3.3333333333333335</v>
      </c>
      <c r="N2375" s="8">
        <v>6.666666666666667</v>
      </c>
      <c r="O2375" s="8">
        <v>7.9983907521892519</v>
      </c>
      <c r="P2375" s="8">
        <v>0</v>
      </c>
      <c r="Q2375" s="8">
        <v>0</v>
      </c>
      <c r="R2375" s="8">
        <v>0</v>
      </c>
      <c r="S2375" s="8">
        <v>0</v>
      </c>
      <c r="T2375" s="5">
        <v>0</v>
      </c>
      <c r="U2375" s="5">
        <v>0</v>
      </c>
      <c r="V2375" s="5">
        <f>VLOOKUP(A2375,Planilha1!B:E,4,0)</f>
        <v>4.5971522734997743</v>
      </c>
    </row>
    <row r="2376" spans="1:22" x14ac:dyDescent="0.3">
      <c r="A2376" t="str">
        <f t="shared" si="74"/>
        <v>QUEIJOSLACTALIS</v>
      </c>
      <c r="B2376" t="str">
        <f t="shared" si="75"/>
        <v>5147526QUEIJOSLACTALIS</v>
      </c>
      <c r="C2376" s="5" t="s">
        <v>149</v>
      </c>
      <c r="D2376" s="5" t="s">
        <v>150</v>
      </c>
      <c r="E2376" s="5" t="s">
        <v>151</v>
      </c>
      <c r="F2376" s="5">
        <v>5147526</v>
      </c>
      <c r="G2376" s="5" t="s">
        <v>198</v>
      </c>
      <c r="H2376" s="5" t="s">
        <v>154</v>
      </c>
      <c r="I2376" s="5" t="s">
        <v>22</v>
      </c>
      <c r="J2376" s="5" t="s">
        <v>63</v>
      </c>
      <c r="K2376" s="6">
        <v>0</v>
      </c>
      <c r="L2376" s="7">
        <v>0</v>
      </c>
      <c r="M2376" s="8">
        <v>194</v>
      </c>
      <c r="N2376" s="8">
        <v>388</v>
      </c>
      <c r="O2376" s="8">
        <v>0</v>
      </c>
      <c r="P2376" s="8">
        <v>0</v>
      </c>
      <c r="Q2376" s="8">
        <v>360</v>
      </c>
      <c r="R2376" s="8">
        <v>0</v>
      </c>
      <c r="S2376" s="8">
        <v>0</v>
      </c>
      <c r="T2376" s="5">
        <v>0</v>
      </c>
      <c r="U2376" s="5">
        <v>0</v>
      </c>
      <c r="V2376" s="5">
        <f>VLOOKUP(A2376,Planilha1!B:E,4,0)</f>
        <v>-1.9171310037550682</v>
      </c>
    </row>
    <row r="2377" spans="1:22" x14ac:dyDescent="0.3">
      <c r="A2377" t="str">
        <f t="shared" si="74"/>
        <v>CREME UHTLACTALIS</v>
      </c>
      <c r="B2377" t="str">
        <f t="shared" si="75"/>
        <v>5156239CREME UHTLACTALIS</v>
      </c>
      <c r="C2377" s="5" t="s">
        <v>226</v>
      </c>
      <c r="D2377" s="5" t="s">
        <v>227</v>
      </c>
      <c r="E2377" s="5" t="s">
        <v>1722</v>
      </c>
      <c r="F2377" s="5">
        <v>5156239</v>
      </c>
      <c r="G2377" s="5" t="s">
        <v>384</v>
      </c>
      <c r="H2377" s="5" t="s">
        <v>30</v>
      </c>
      <c r="I2377" s="5" t="s">
        <v>22</v>
      </c>
      <c r="J2377" s="5" t="s">
        <v>34</v>
      </c>
      <c r="K2377" s="6">
        <v>0</v>
      </c>
      <c r="L2377" s="7">
        <v>0</v>
      </c>
      <c r="M2377" s="8">
        <v>9</v>
      </c>
      <c r="N2377" s="8">
        <v>9</v>
      </c>
      <c r="O2377" s="8">
        <v>27</v>
      </c>
      <c r="P2377" s="8">
        <v>0</v>
      </c>
      <c r="Q2377" s="8">
        <v>0</v>
      </c>
      <c r="R2377" s="8">
        <v>0</v>
      </c>
      <c r="S2377" s="8">
        <v>0</v>
      </c>
      <c r="T2377" s="5">
        <v>9</v>
      </c>
      <c r="U2377" s="5">
        <v>0</v>
      </c>
      <c r="V2377" s="5">
        <f>VLOOKUP(A2377,Planilha1!B:E,4,0)</f>
        <v>-1.4094522863012933</v>
      </c>
    </row>
    <row r="2378" spans="1:22" x14ac:dyDescent="0.3">
      <c r="A2378" t="str">
        <f t="shared" si="74"/>
        <v>IOGURTESLACTALIS</v>
      </c>
      <c r="B2378" t="str">
        <f t="shared" si="75"/>
        <v>5156987IOGURTESLACTALIS</v>
      </c>
      <c r="C2378" s="5" t="s">
        <v>226</v>
      </c>
      <c r="D2378" s="5" t="s">
        <v>227</v>
      </c>
      <c r="E2378" s="5" t="s">
        <v>1722</v>
      </c>
      <c r="F2378" s="5">
        <v>5156987</v>
      </c>
      <c r="G2378" s="5" t="s">
        <v>567</v>
      </c>
      <c r="H2378" s="5" t="s">
        <v>30</v>
      </c>
      <c r="I2378" s="5" t="s">
        <v>22</v>
      </c>
      <c r="J2378" s="5" t="s">
        <v>153</v>
      </c>
      <c r="K2378" s="6">
        <v>0</v>
      </c>
      <c r="L2378" s="7">
        <v>20.399999999999999</v>
      </c>
      <c r="M2378" s="8">
        <v>6.8000000000000007</v>
      </c>
      <c r="N2378" s="8">
        <v>6.8</v>
      </c>
      <c r="O2378" s="8">
        <v>6.8609678182004652</v>
      </c>
      <c r="P2378" s="8">
        <v>0</v>
      </c>
      <c r="Q2378" s="8">
        <v>13.44</v>
      </c>
      <c r="R2378" s="8">
        <v>0</v>
      </c>
      <c r="S2378" s="8">
        <v>0</v>
      </c>
      <c r="T2378" s="5">
        <v>0</v>
      </c>
      <c r="U2378" s="5">
        <v>0</v>
      </c>
      <c r="V2378" s="5">
        <f>VLOOKUP(A2378,Planilha1!B:E,4,0)</f>
        <v>3.0503167986984403</v>
      </c>
    </row>
    <row r="2379" spans="1:22" x14ac:dyDescent="0.3">
      <c r="A2379" t="str">
        <f t="shared" si="74"/>
        <v>IOGURTESLACTALIS</v>
      </c>
      <c r="B2379" t="str">
        <f t="shared" si="75"/>
        <v>5159092IOGURTESLACTALIS</v>
      </c>
      <c r="C2379" s="5" t="s">
        <v>226</v>
      </c>
      <c r="D2379" s="5" t="s">
        <v>227</v>
      </c>
      <c r="E2379" s="5" t="s">
        <v>1722</v>
      </c>
      <c r="F2379" s="5">
        <v>5159092</v>
      </c>
      <c r="G2379" s="5" t="s">
        <v>243</v>
      </c>
      <c r="H2379" s="5" t="s">
        <v>30</v>
      </c>
      <c r="I2379" s="5" t="s">
        <v>22</v>
      </c>
      <c r="J2379" s="5" t="s">
        <v>153</v>
      </c>
      <c r="K2379" s="6">
        <v>0</v>
      </c>
      <c r="L2379" s="7">
        <v>64.8</v>
      </c>
      <c r="M2379" s="8">
        <v>20.7</v>
      </c>
      <c r="N2379" s="8">
        <v>18</v>
      </c>
      <c r="O2379" s="8">
        <v>13.670649332112056</v>
      </c>
      <c r="P2379" s="8">
        <v>0</v>
      </c>
      <c r="Q2379" s="8">
        <v>27</v>
      </c>
      <c r="R2379" s="8">
        <v>0</v>
      </c>
      <c r="S2379" s="8">
        <v>0</v>
      </c>
      <c r="T2379" s="5">
        <v>0</v>
      </c>
      <c r="U2379" s="5">
        <v>54</v>
      </c>
      <c r="V2379" s="5">
        <f>VLOOKUP(A2379,Planilha1!B:E,4,0)</f>
        <v>3.0503167986984403</v>
      </c>
    </row>
    <row r="2380" spans="1:22" x14ac:dyDescent="0.3">
      <c r="A2380" t="str">
        <f t="shared" si="74"/>
        <v>QUEIJOSLACTALIS</v>
      </c>
      <c r="B2380" t="str">
        <f t="shared" si="75"/>
        <v>5159092QUEIJOSLACTALIS</v>
      </c>
      <c r="C2380" s="5" t="s">
        <v>226</v>
      </c>
      <c r="D2380" s="5" t="s">
        <v>227</v>
      </c>
      <c r="E2380" s="5" t="s">
        <v>1722</v>
      </c>
      <c r="F2380" s="5">
        <v>5159092</v>
      </c>
      <c r="G2380" s="5" t="s">
        <v>243</v>
      </c>
      <c r="H2380" s="5" t="s">
        <v>30</v>
      </c>
      <c r="I2380" s="5" t="s">
        <v>22</v>
      </c>
      <c r="J2380" s="5" t="s">
        <v>63</v>
      </c>
      <c r="K2380" s="6">
        <v>0</v>
      </c>
      <c r="L2380" s="7">
        <v>596.63000000000011</v>
      </c>
      <c r="M2380" s="8">
        <v>130.30483333333333</v>
      </c>
      <c r="N2380" s="8">
        <v>131.82666666666668</v>
      </c>
      <c r="O2380" s="8">
        <v>108.64718639685222</v>
      </c>
      <c r="P2380" s="8">
        <v>0</v>
      </c>
      <c r="Q2380" s="8">
        <v>204</v>
      </c>
      <c r="R2380" s="8">
        <v>0</v>
      </c>
      <c r="S2380" s="8">
        <v>0</v>
      </c>
      <c r="T2380" s="5">
        <v>0</v>
      </c>
      <c r="U2380" s="5">
        <v>261</v>
      </c>
      <c r="V2380" s="5">
        <f>VLOOKUP(A2380,Planilha1!B:E,4,0)</f>
        <v>-1.9171310037550682</v>
      </c>
    </row>
    <row r="2381" spans="1:22" x14ac:dyDescent="0.3">
      <c r="A2381" t="str">
        <f t="shared" si="74"/>
        <v>IOGURTESLACTALIS</v>
      </c>
      <c r="B2381" t="str">
        <f t="shared" si="75"/>
        <v>5189702IOGURTESLACTALIS</v>
      </c>
      <c r="C2381" s="5" t="s">
        <v>226</v>
      </c>
      <c r="D2381" s="5" t="s">
        <v>227</v>
      </c>
      <c r="E2381" s="5" t="s">
        <v>1722</v>
      </c>
      <c r="F2381" s="5">
        <v>5189702</v>
      </c>
      <c r="G2381" s="5" t="s">
        <v>1268</v>
      </c>
      <c r="H2381" s="5" t="s">
        <v>30</v>
      </c>
      <c r="I2381" s="5" t="s">
        <v>22</v>
      </c>
      <c r="J2381" s="5" t="s">
        <v>153</v>
      </c>
      <c r="K2381" s="6">
        <v>0</v>
      </c>
      <c r="L2381" s="7">
        <v>194.06000000000003</v>
      </c>
      <c r="M2381" s="8">
        <v>212.31000000000003</v>
      </c>
      <c r="N2381" s="8">
        <v>211.42666666666665</v>
      </c>
      <c r="O2381" s="8">
        <v>145.0946533114786</v>
      </c>
      <c r="P2381" s="8">
        <v>0</v>
      </c>
      <c r="Q2381" s="8">
        <v>144.96</v>
      </c>
      <c r="R2381" s="8">
        <v>0</v>
      </c>
      <c r="S2381" s="8">
        <v>0</v>
      </c>
      <c r="T2381" s="5">
        <v>0</v>
      </c>
      <c r="U2381" s="5">
        <v>0</v>
      </c>
      <c r="V2381" s="5">
        <f>VLOOKUP(A2381,Planilha1!B:E,4,0)</f>
        <v>3.0503167986984403</v>
      </c>
    </row>
    <row r="2382" spans="1:22" x14ac:dyDescent="0.3">
      <c r="A2382" t="str">
        <f t="shared" si="74"/>
        <v>DOCE DE LEITELACTALIS</v>
      </c>
      <c r="B2382" t="str">
        <f t="shared" si="75"/>
        <v>5166529DOCE DE LEITELACTALIS</v>
      </c>
      <c r="C2382" s="5" t="s">
        <v>226</v>
      </c>
      <c r="D2382" s="5" t="s">
        <v>227</v>
      </c>
      <c r="E2382" s="5" t="s">
        <v>1722</v>
      </c>
      <c r="F2382" s="5">
        <v>5166529</v>
      </c>
      <c r="G2382" s="5" t="s">
        <v>255</v>
      </c>
      <c r="H2382" s="5" t="s">
        <v>30</v>
      </c>
      <c r="I2382" s="5" t="s">
        <v>22</v>
      </c>
      <c r="J2382" s="5" t="s">
        <v>46</v>
      </c>
      <c r="K2382" s="6">
        <v>0</v>
      </c>
      <c r="L2382" s="7">
        <v>0</v>
      </c>
      <c r="M2382" s="8">
        <v>41.25</v>
      </c>
      <c r="N2382" s="8">
        <v>60</v>
      </c>
      <c r="O2382" s="8">
        <v>0</v>
      </c>
      <c r="P2382" s="8">
        <v>0</v>
      </c>
      <c r="Q2382" s="8">
        <v>0</v>
      </c>
      <c r="R2382" s="8">
        <v>0</v>
      </c>
      <c r="S2382" s="8">
        <v>23</v>
      </c>
      <c r="T2382" s="5">
        <v>23</v>
      </c>
      <c r="U2382" s="5">
        <v>23</v>
      </c>
      <c r="V2382" s="5">
        <f>VLOOKUP(A2382,Planilha1!B:E,4,0)</f>
        <v>5.6473514327668077</v>
      </c>
    </row>
    <row r="2383" spans="1:22" x14ac:dyDescent="0.3">
      <c r="A2383" t="str">
        <f t="shared" si="74"/>
        <v>SPREADSLACTALIS</v>
      </c>
      <c r="B2383" t="str">
        <f t="shared" si="75"/>
        <v>5167210SPREADSLACTALIS</v>
      </c>
      <c r="C2383" s="5" t="s">
        <v>226</v>
      </c>
      <c r="D2383" s="5" t="s">
        <v>227</v>
      </c>
      <c r="E2383" s="5" t="s">
        <v>1722</v>
      </c>
      <c r="F2383" s="5">
        <v>5167210</v>
      </c>
      <c r="G2383" s="5" t="s">
        <v>505</v>
      </c>
      <c r="H2383" s="5" t="s">
        <v>30</v>
      </c>
      <c r="I2383" s="5" t="s">
        <v>22</v>
      </c>
      <c r="J2383" s="5" t="s">
        <v>945</v>
      </c>
      <c r="K2383" s="6">
        <v>0</v>
      </c>
      <c r="L2383" s="7">
        <v>0</v>
      </c>
      <c r="M2383" s="8">
        <v>22</v>
      </c>
      <c r="N2383" s="8">
        <v>20</v>
      </c>
      <c r="O2383" s="8">
        <v>6.7071089053338433</v>
      </c>
      <c r="P2383" s="8">
        <v>0</v>
      </c>
      <c r="Q2383" s="8">
        <v>0</v>
      </c>
      <c r="R2383" s="8">
        <v>0</v>
      </c>
      <c r="S2383" s="8">
        <v>0</v>
      </c>
      <c r="T2383" s="5">
        <v>0</v>
      </c>
      <c r="U2383" s="5">
        <v>0</v>
      </c>
      <c r="V2383" s="5">
        <f>VLOOKUP(A2383,Planilha1!B:E,4,0)</f>
        <v>13.599044988219518</v>
      </c>
    </row>
    <row r="2384" spans="1:22" x14ac:dyDescent="0.3">
      <c r="A2384" t="str">
        <f t="shared" si="74"/>
        <v>SPREADSLACTALIS</v>
      </c>
      <c r="B2384" t="str">
        <f t="shared" si="75"/>
        <v>5168997SPREADSLACTALIS</v>
      </c>
      <c r="C2384" s="5" t="s">
        <v>226</v>
      </c>
      <c r="D2384" s="5" t="s">
        <v>227</v>
      </c>
      <c r="E2384" s="5" t="s">
        <v>1722</v>
      </c>
      <c r="F2384" s="5">
        <v>5168997</v>
      </c>
      <c r="G2384" s="5" t="s">
        <v>1275</v>
      </c>
      <c r="H2384" s="5" t="s">
        <v>30</v>
      </c>
      <c r="I2384" s="5" t="s">
        <v>22</v>
      </c>
      <c r="J2384" s="5" t="s">
        <v>945</v>
      </c>
      <c r="K2384" s="6">
        <v>0</v>
      </c>
      <c r="L2384" s="7">
        <v>6</v>
      </c>
      <c r="M2384" s="8">
        <v>6</v>
      </c>
      <c r="N2384" s="8">
        <v>6</v>
      </c>
      <c r="O2384" s="8">
        <v>3.3621021700484013</v>
      </c>
      <c r="P2384" s="8">
        <v>0</v>
      </c>
      <c r="Q2384" s="8">
        <v>0</v>
      </c>
      <c r="R2384" s="8">
        <v>0</v>
      </c>
      <c r="S2384" s="8">
        <v>0</v>
      </c>
      <c r="T2384" s="5">
        <v>0</v>
      </c>
      <c r="U2384" s="5">
        <v>0</v>
      </c>
      <c r="V2384" s="5">
        <f>VLOOKUP(A2384,Planilha1!B:E,4,0)</f>
        <v>13.599044988219518</v>
      </c>
    </row>
    <row r="2385" spans="1:22" x14ac:dyDescent="0.3">
      <c r="A2385" t="str">
        <f t="shared" si="74"/>
        <v>LEITE UHTLACTALIS</v>
      </c>
      <c r="B2385" t="str">
        <f t="shared" si="75"/>
        <v>5169659LEITE UHTLACTALIS</v>
      </c>
      <c r="C2385" s="5" t="s">
        <v>226</v>
      </c>
      <c r="D2385" s="5" t="s">
        <v>227</v>
      </c>
      <c r="E2385" s="5" t="s">
        <v>1722</v>
      </c>
      <c r="F2385" s="5">
        <v>5169659</v>
      </c>
      <c r="G2385" s="5" t="s">
        <v>1276</v>
      </c>
      <c r="H2385" s="5" t="s">
        <v>30</v>
      </c>
      <c r="I2385" s="5" t="s">
        <v>22</v>
      </c>
      <c r="J2385" s="5" t="s">
        <v>156</v>
      </c>
      <c r="K2385" s="6">
        <v>0</v>
      </c>
      <c r="L2385" s="7">
        <v>0</v>
      </c>
      <c r="M2385" s="8">
        <v>140</v>
      </c>
      <c r="N2385" s="8">
        <v>280</v>
      </c>
      <c r="O2385" s="8">
        <v>0</v>
      </c>
      <c r="P2385" s="8">
        <v>0</v>
      </c>
      <c r="Q2385" s="8">
        <v>0</v>
      </c>
      <c r="R2385" s="8">
        <v>0</v>
      </c>
      <c r="S2385" s="8">
        <v>0</v>
      </c>
      <c r="T2385" s="5">
        <v>0</v>
      </c>
      <c r="U2385" s="5">
        <v>0</v>
      </c>
      <c r="V2385" s="5">
        <f>VLOOKUP(A2385,Planilha1!B:E,4,0)</f>
        <v>0.37177548115779385</v>
      </c>
    </row>
    <row r="2386" spans="1:22" x14ac:dyDescent="0.3">
      <c r="A2386" t="str">
        <f t="shared" si="74"/>
        <v>SPREADSLACTALIS</v>
      </c>
      <c r="B2386" t="str">
        <f t="shared" si="75"/>
        <v>5171396SPREADSLACTALIS</v>
      </c>
      <c r="C2386" s="5" t="s">
        <v>226</v>
      </c>
      <c r="D2386" s="5" t="s">
        <v>227</v>
      </c>
      <c r="E2386" s="5" t="s">
        <v>1722</v>
      </c>
      <c r="F2386" s="5">
        <v>5171396</v>
      </c>
      <c r="G2386" s="5" t="s">
        <v>1277</v>
      </c>
      <c r="H2386" s="5" t="s">
        <v>30</v>
      </c>
      <c r="I2386" s="5" t="s">
        <v>22</v>
      </c>
      <c r="J2386" s="5" t="s">
        <v>945</v>
      </c>
      <c r="K2386" s="6">
        <v>0</v>
      </c>
      <c r="L2386" s="7">
        <v>440</v>
      </c>
      <c r="M2386" s="8">
        <v>376.66666666666663</v>
      </c>
      <c r="N2386" s="8">
        <v>326.66666666666669</v>
      </c>
      <c r="O2386" s="8">
        <v>343.85187634388228</v>
      </c>
      <c r="P2386" s="8">
        <v>0</v>
      </c>
      <c r="Q2386" s="8">
        <v>80</v>
      </c>
      <c r="R2386" s="8">
        <v>0</v>
      </c>
      <c r="S2386" s="8">
        <v>0</v>
      </c>
      <c r="T2386" s="5">
        <v>0</v>
      </c>
      <c r="U2386" s="5">
        <v>0</v>
      </c>
      <c r="V2386" s="5">
        <f>VLOOKUP(A2386,Planilha1!B:E,4,0)</f>
        <v>13.599044988219518</v>
      </c>
    </row>
    <row r="2387" spans="1:22" x14ac:dyDescent="0.3">
      <c r="A2387" t="str">
        <f t="shared" si="74"/>
        <v>IOGURTESLACTALIS</v>
      </c>
      <c r="B2387" t="str">
        <f t="shared" si="75"/>
        <v>5171786IOGURTESLACTALIS</v>
      </c>
      <c r="C2387" s="5" t="s">
        <v>149</v>
      </c>
      <c r="D2387" s="5" t="s">
        <v>150</v>
      </c>
      <c r="E2387" s="5" t="s">
        <v>151</v>
      </c>
      <c r="F2387" s="5">
        <v>5171786</v>
      </c>
      <c r="G2387" s="5" t="s">
        <v>200</v>
      </c>
      <c r="H2387" s="5" t="s">
        <v>113</v>
      </c>
      <c r="I2387" s="5" t="s">
        <v>22</v>
      </c>
      <c r="J2387" s="5" t="s">
        <v>153</v>
      </c>
      <c r="K2387" s="6">
        <v>0</v>
      </c>
      <c r="L2387" s="7">
        <v>129.6</v>
      </c>
      <c r="M2387" s="8">
        <v>336.12</v>
      </c>
      <c r="N2387" s="8">
        <v>44.2</v>
      </c>
      <c r="O2387" s="8">
        <v>1901.1491091190301</v>
      </c>
      <c r="P2387" s="8">
        <v>0</v>
      </c>
      <c r="Q2387" s="8">
        <v>0</v>
      </c>
      <c r="R2387" s="8">
        <v>0</v>
      </c>
      <c r="S2387" s="8">
        <v>0</v>
      </c>
      <c r="T2387" s="5">
        <v>0</v>
      </c>
      <c r="U2387" s="5">
        <v>0</v>
      </c>
      <c r="V2387" s="5">
        <f>VLOOKUP(A2387,Planilha1!B:E,4,0)</f>
        <v>3.0503167986984403</v>
      </c>
    </row>
    <row r="2388" spans="1:22" x14ac:dyDescent="0.3">
      <c r="A2388" t="str">
        <f t="shared" si="74"/>
        <v>CREME 35%LACTALIS</v>
      </c>
      <c r="B2388" t="str">
        <f t="shared" si="75"/>
        <v>5172313CREME 35%LACTALIS</v>
      </c>
      <c r="C2388" s="5" t="s">
        <v>16</v>
      </c>
      <c r="D2388" s="5" t="s">
        <v>17</v>
      </c>
      <c r="E2388" s="5" t="s">
        <v>66</v>
      </c>
      <c r="F2388" s="5">
        <v>5172313</v>
      </c>
      <c r="G2388" s="5" t="s">
        <v>962</v>
      </c>
      <c r="H2388" s="5" t="s">
        <v>154</v>
      </c>
      <c r="I2388" s="5" t="s">
        <v>22</v>
      </c>
      <c r="J2388" s="5" t="s">
        <v>89</v>
      </c>
      <c r="K2388" s="6">
        <v>0</v>
      </c>
      <c r="L2388" s="7">
        <v>0</v>
      </c>
      <c r="M2388" s="8">
        <v>1750</v>
      </c>
      <c r="N2388" s="8">
        <v>2133.3333333333335</v>
      </c>
      <c r="O2388" s="8">
        <v>0</v>
      </c>
      <c r="P2388" s="8">
        <v>0</v>
      </c>
      <c r="Q2388" s="8">
        <v>0</v>
      </c>
      <c r="R2388" s="8">
        <v>0</v>
      </c>
      <c r="S2388" s="8">
        <v>0</v>
      </c>
      <c r="T2388" s="5">
        <v>0</v>
      </c>
      <c r="U2388" s="5">
        <v>0</v>
      </c>
      <c r="V2388" s="5">
        <f>VLOOKUP(A2388,Planilha1!B:E,4,0)</f>
        <v>6.4420264254159507</v>
      </c>
    </row>
    <row r="2389" spans="1:22" x14ac:dyDescent="0.3">
      <c r="A2389" t="str">
        <f t="shared" si="74"/>
        <v>SPREADSLACTALIS</v>
      </c>
      <c r="B2389" t="str">
        <f t="shared" si="75"/>
        <v>5173913SPREADSLACTALIS</v>
      </c>
      <c r="C2389" s="5" t="s">
        <v>226</v>
      </c>
      <c r="D2389" s="5" t="s">
        <v>227</v>
      </c>
      <c r="E2389" s="5" t="s">
        <v>1722</v>
      </c>
      <c r="F2389" s="5">
        <v>5173913</v>
      </c>
      <c r="G2389" s="5" t="s">
        <v>1278</v>
      </c>
      <c r="H2389" s="5" t="s">
        <v>30</v>
      </c>
      <c r="I2389" s="5" t="s">
        <v>22</v>
      </c>
      <c r="J2389" s="5" t="s">
        <v>945</v>
      </c>
      <c r="K2389" s="6">
        <v>0</v>
      </c>
      <c r="L2389" s="7">
        <v>720</v>
      </c>
      <c r="M2389" s="8">
        <v>260</v>
      </c>
      <c r="N2389" s="8">
        <v>340</v>
      </c>
      <c r="O2389" s="8">
        <v>271.64645838340215</v>
      </c>
      <c r="P2389" s="8">
        <v>0</v>
      </c>
      <c r="Q2389" s="8">
        <v>0</v>
      </c>
      <c r="R2389" s="8">
        <v>0</v>
      </c>
      <c r="S2389" s="8">
        <v>0</v>
      </c>
      <c r="T2389" s="5">
        <v>0</v>
      </c>
      <c r="U2389" s="5">
        <v>0</v>
      </c>
      <c r="V2389" s="5">
        <f>VLOOKUP(A2389,Planilha1!B:E,4,0)</f>
        <v>13.599044988219518</v>
      </c>
    </row>
    <row r="2390" spans="1:22" x14ac:dyDescent="0.3">
      <c r="A2390" t="str">
        <f t="shared" si="74"/>
        <v>QUEIJOSLACTALIS</v>
      </c>
      <c r="B2390" t="str">
        <f t="shared" si="75"/>
        <v>5175227QUEIJOSLACTALIS</v>
      </c>
      <c r="C2390" s="5" t="s">
        <v>149</v>
      </c>
      <c r="D2390" s="5" t="s">
        <v>150</v>
      </c>
      <c r="E2390" s="5" t="s">
        <v>151</v>
      </c>
      <c r="F2390" s="5">
        <v>5175227</v>
      </c>
      <c r="G2390" s="5" t="s">
        <v>204</v>
      </c>
      <c r="H2390" s="5" t="s">
        <v>30</v>
      </c>
      <c r="I2390" s="5" t="s">
        <v>22</v>
      </c>
      <c r="J2390" s="5" t="s">
        <v>63</v>
      </c>
      <c r="K2390" s="6">
        <v>0</v>
      </c>
      <c r="L2390" s="7">
        <v>0</v>
      </c>
      <c r="M2390" s="8">
        <v>407.88166666666666</v>
      </c>
      <c r="N2390" s="8">
        <v>815.76333333333332</v>
      </c>
      <c r="O2390" s="8">
        <v>0</v>
      </c>
      <c r="P2390" s="8">
        <v>0</v>
      </c>
      <c r="Q2390" s="8">
        <v>0</v>
      </c>
      <c r="R2390" s="8">
        <v>0</v>
      </c>
      <c r="S2390" s="8">
        <v>0</v>
      </c>
      <c r="T2390" s="5">
        <v>0</v>
      </c>
      <c r="U2390" s="5">
        <v>0</v>
      </c>
      <c r="V2390" s="5">
        <f>VLOOKUP(A2390,Planilha1!B:E,4,0)</f>
        <v>-1.9171310037550682</v>
      </c>
    </row>
    <row r="2391" spans="1:22" x14ac:dyDescent="0.3">
      <c r="A2391" t="str">
        <f t="shared" si="74"/>
        <v>QUEIJOSLACTALIS</v>
      </c>
      <c r="B2391" t="str">
        <f t="shared" si="75"/>
        <v>5189702QUEIJOSLACTALIS</v>
      </c>
      <c r="C2391" s="5" t="s">
        <v>226</v>
      </c>
      <c r="D2391" s="5" t="s">
        <v>227</v>
      </c>
      <c r="E2391" s="5" t="s">
        <v>1722</v>
      </c>
      <c r="F2391" s="5">
        <v>5189702</v>
      </c>
      <c r="G2391" s="5" t="s">
        <v>1268</v>
      </c>
      <c r="H2391" s="5" t="s">
        <v>30</v>
      </c>
      <c r="I2391" s="5" t="s">
        <v>22</v>
      </c>
      <c r="J2391" s="5" t="s">
        <v>63</v>
      </c>
      <c r="K2391" s="6">
        <v>0</v>
      </c>
      <c r="L2391" s="7">
        <v>45.319000000000003</v>
      </c>
      <c r="M2391" s="8">
        <v>95.263333333333364</v>
      </c>
      <c r="N2391" s="8">
        <v>106.05000000000001</v>
      </c>
      <c r="O2391" s="8">
        <v>67.447188618123519</v>
      </c>
      <c r="P2391" s="8">
        <v>0</v>
      </c>
      <c r="Q2391" s="8">
        <v>55.600000000000009</v>
      </c>
      <c r="R2391" s="8">
        <v>0</v>
      </c>
      <c r="S2391" s="8">
        <v>0</v>
      </c>
      <c r="T2391" s="5">
        <v>0</v>
      </c>
      <c r="U2391" s="5">
        <v>18</v>
      </c>
      <c r="V2391" s="5">
        <f>VLOOKUP(A2391,Planilha1!B:E,4,0)</f>
        <v>-1.9171310037550682</v>
      </c>
    </row>
    <row r="2392" spans="1:22" x14ac:dyDescent="0.3">
      <c r="A2392" t="str">
        <f t="shared" si="74"/>
        <v>CREME UHTITAMBÉ</v>
      </c>
      <c r="B2392" t="str">
        <f t="shared" si="75"/>
        <v>5194644CREME UHTITAMBÉ</v>
      </c>
      <c r="C2392" s="5" t="s">
        <v>149</v>
      </c>
      <c r="D2392" s="5" t="s">
        <v>150</v>
      </c>
      <c r="E2392" s="5" t="s">
        <v>151</v>
      </c>
      <c r="F2392" s="5">
        <v>5194644</v>
      </c>
      <c r="G2392" s="5" t="s">
        <v>1244</v>
      </c>
      <c r="H2392" s="5" t="s">
        <v>91</v>
      </c>
      <c r="I2392" s="5" t="s">
        <v>27</v>
      </c>
      <c r="J2392" s="5" t="s">
        <v>34</v>
      </c>
      <c r="K2392" s="6">
        <v>0</v>
      </c>
      <c r="L2392" s="7">
        <v>0</v>
      </c>
      <c r="M2392" s="8">
        <v>9</v>
      </c>
      <c r="N2392" s="8">
        <v>18</v>
      </c>
      <c r="O2392" s="8">
        <v>0</v>
      </c>
      <c r="P2392" s="8">
        <v>0</v>
      </c>
      <c r="Q2392" s="8">
        <v>0</v>
      </c>
      <c r="R2392" s="8">
        <v>0</v>
      </c>
      <c r="S2392" s="8">
        <v>0</v>
      </c>
      <c r="T2392" s="5">
        <v>0</v>
      </c>
      <c r="U2392" s="5">
        <v>0</v>
      </c>
      <c r="V2392" s="5">
        <f>VLOOKUP(A2392,Planilha1!B:E,4,0)</f>
        <v>1.2362540170747773</v>
      </c>
    </row>
    <row r="2393" spans="1:22" x14ac:dyDescent="0.3">
      <c r="A2393" t="str">
        <f t="shared" si="74"/>
        <v>IOGURTESLACTALIS</v>
      </c>
      <c r="B2393" t="str">
        <f t="shared" si="75"/>
        <v>5208306IOGURTESLACTALIS</v>
      </c>
      <c r="C2393" s="5" t="s">
        <v>149</v>
      </c>
      <c r="D2393" s="5" t="s">
        <v>150</v>
      </c>
      <c r="E2393" s="5" t="s">
        <v>151</v>
      </c>
      <c r="F2393" s="5">
        <v>5208306</v>
      </c>
      <c r="G2393" s="5" t="s">
        <v>205</v>
      </c>
      <c r="H2393" s="5" t="s">
        <v>103</v>
      </c>
      <c r="I2393" s="5" t="s">
        <v>22</v>
      </c>
      <c r="J2393" s="5" t="s">
        <v>153</v>
      </c>
      <c r="K2393" s="6">
        <v>0</v>
      </c>
      <c r="L2393" s="7">
        <v>540.36</v>
      </c>
      <c r="M2393" s="8">
        <v>544.54000000000008</v>
      </c>
      <c r="N2393" s="8">
        <v>514.52</v>
      </c>
      <c r="O2393" s="8">
        <v>524.44235070151592</v>
      </c>
      <c r="P2393" s="8">
        <v>0</v>
      </c>
      <c r="Q2393" s="8">
        <v>0</v>
      </c>
      <c r="R2393" s="8">
        <v>0</v>
      </c>
      <c r="S2393" s="8">
        <v>0</v>
      </c>
      <c r="T2393" s="5">
        <v>0</v>
      </c>
      <c r="U2393" s="5">
        <v>0</v>
      </c>
      <c r="V2393" s="5">
        <f>VLOOKUP(A2393,Planilha1!B:E,4,0)</f>
        <v>3.0503167986984403</v>
      </c>
    </row>
    <row r="2394" spans="1:22" x14ac:dyDescent="0.3">
      <c r="A2394" t="str">
        <f t="shared" si="74"/>
        <v>LEITE EM PÓITAMBÉ</v>
      </c>
      <c r="B2394" t="str">
        <f t="shared" si="75"/>
        <v>5211344LEITE EM PÓITAMBÉ</v>
      </c>
      <c r="C2394" s="5" t="s">
        <v>226</v>
      </c>
      <c r="D2394" s="5" t="s">
        <v>815</v>
      </c>
      <c r="E2394" s="5" t="s">
        <v>815</v>
      </c>
      <c r="F2394" s="5">
        <v>5211344</v>
      </c>
      <c r="G2394" s="5" t="s">
        <v>832</v>
      </c>
      <c r="H2394" s="5" t="s">
        <v>30</v>
      </c>
      <c r="I2394" s="5" t="s">
        <v>27</v>
      </c>
      <c r="J2394" s="5" t="s">
        <v>84</v>
      </c>
      <c r="K2394" s="6">
        <v>0</v>
      </c>
      <c r="L2394" s="7">
        <v>50</v>
      </c>
      <c r="M2394" s="8">
        <v>409.83333333333337</v>
      </c>
      <c r="N2394" s="8">
        <v>499.66666666666663</v>
      </c>
      <c r="O2394" s="8">
        <v>143.97103353940653</v>
      </c>
      <c r="P2394" s="8">
        <v>53</v>
      </c>
      <c r="Q2394" s="8">
        <v>0</v>
      </c>
      <c r="R2394" s="8">
        <v>0</v>
      </c>
      <c r="S2394" s="8">
        <v>0</v>
      </c>
      <c r="T2394" s="5">
        <v>0</v>
      </c>
      <c r="U2394" s="5">
        <v>0</v>
      </c>
      <c r="V2394" s="5">
        <f>VLOOKUP(A2394,Planilha1!B:E,4,0)</f>
        <v>4.5971522734997743</v>
      </c>
    </row>
    <row r="2395" spans="1:22" x14ac:dyDescent="0.3">
      <c r="A2395" t="str">
        <f t="shared" si="74"/>
        <v>SPREADSLACTALIS</v>
      </c>
      <c r="B2395" t="str">
        <f t="shared" si="75"/>
        <v>5215067SPREADSLACTALIS</v>
      </c>
      <c r="C2395" s="5" t="s">
        <v>226</v>
      </c>
      <c r="D2395" s="5" t="s">
        <v>227</v>
      </c>
      <c r="E2395" s="5" t="s">
        <v>1722</v>
      </c>
      <c r="F2395" s="5">
        <v>5215067</v>
      </c>
      <c r="G2395" s="5" t="s">
        <v>258</v>
      </c>
      <c r="H2395" s="5" t="s">
        <v>30</v>
      </c>
      <c r="I2395" s="5" t="s">
        <v>22</v>
      </c>
      <c r="J2395" s="5" t="s">
        <v>945</v>
      </c>
      <c r="K2395" s="6">
        <v>0</v>
      </c>
      <c r="L2395" s="7">
        <v>0</v>
      </c>
      <c r="M2395" s="8">
        <v>9.6</v>
      </c>
      <c r="N2395" s="8">
        <v>19.2</v>
      </c>
      <c r="O2395" s="8">
        <v>0</v>
      </c>
      <c r="P2395" s="8">
        <v>0</v>
      </c>
      <c r="Q2395" s="8">
        <v>-80</v>
      </c>
      <c r="R2395" s="8">
        <v>0</v>
      </c>
      <c r="S2395" s="8">
        <v>0</v>
      </c>
      <c r="T2395" s="5">
        <v>0</v>
      </c>
      <c r="U2395" s="5">
        <v>0</v>
      </c>
      <c r="V2395" s="5">
        <f>VLOOKUP(A2395,Planilha1!B:E,4,0)</f>
        <v>13.599044988219518</v>
      </c>
    </row>
    <row r="2396" spans="1:22" x14ac:dyDescent="0.3">
      <c r="A2396" t="str">
        <f t="shared" si="74"/>
        <v>IOGURTESLACTALIS</v>
      </c>
      <c r="B2396" t="str">
        <f t="shared" si="75"/>
        <v>5218658IOGURTESLACTALIS</v>
      </c>
      <c r="C2396" s="5" t="s">
        <v>226</v>
      </c>
      <c r="D2396" s="5" t="s">
        <v>227</v>
      </c>
      <c r="E2396" s="5" t="s">
        <v>1722</v>
      </c>
      <c r="F2396" s="5">
        <v>5218658</v>
      </c>
      <c r="G2396" s="5" t="s">
        <v>507</v>
      </c>
      <c r="H2396" s="5" t="s">
        <v>30</v>
      </c>
      <c r="I2396" s="5" t="s">
        <v>22</v>
      </c>
      <c r="J2396" s="5" t="s">
        <v>153</v>
      </c>
      <c r="K2396" s="6">
        <v>0</v>
      </c>
      <c r="L2396" s="7">
        <v>0</v>
      </c>
      <c r="M2396" s="8">
        <v>80.753333333333345</v>
      </c>
      <c r="N2396" s="8">
        <v>67.999999999999986</v>
      </c>
      <c r="O2396" s="8">
        <v>77.835514475747644</v>
      </c>
      <c r="P2396" s="8">
        <v>0</v>
      </c>
      <c r="Q2396" s="8">
        <v>42.400000000000006</v>
      </c>
      <c r="R2396" s="8">
        <v>0</v>
      </c>
      <c r="S2396" s="8">
        <v>0</v>
      </c>
      <c r="T2396" s="5">
        <v>0</v>
      </c>
      <c r="U2396" s="5">
        <v>0</v>
      </c>
      <c r="V2396" s="5">
        <f>VLOOKUP(A2396,Planilha1!B:E,4,0)</f>
        <v>3.0503167986984403</v>
      </c>
    </row>
    <row r="2397" spans="1:22" x14ac:dyDescent="0.3">
      <c r="A2397" t="str">
        <f t="shared" si="74"/>
        <v>LEITE EM PÓITAMBÉ</v>
      </c>
      <c r="B2397" t="str">
        <f t="shared" si="75"/>
        <v>5219839LEITE EM PÓITAMBÉ</v>
      </c>
      <c r="C2397" s="5" t="s">
        <v>226</v>
      </c>
      <c r="D2397" s="5" t="s">
        <v>903</v>
      </c>
      <c r="E2397" s="5" t="s">
        <v>904</v>
      </c>
      <c r="F2397" s="5">
        <v>5219839</v>
      </c>
      <c r="G2397" s="5" t="s">
        <v>927</v>
      </c>
      <c r="H2397" s="5" t="s">
        <v>103</v>
      </c>
      <c r="I2397" s="5" t="s">
        <v>27</v>
      </c>
      <c r="J2397" s="5" t="s">
        <v>84</v>
      </c>
      <c r="K2397" s="6">
        <v>0</v>
      </c>
      <c r="L2397" s="7">
        <v>43.6</v>
      </c>
      <c r="M2397" s="8">
        <v>23.866666666666667</v>
      </c>
      <c r="N2397" s="8">
        <v>20</v>
      </c>
      <c r="O2397" s="8">
        <v>12.997384972307534</v>
      </c>
      <c r="P2397" s="8">
        <v>0</v>
      </c>
      <c r="Q2397" s="8">
        <v>0</v>
      </c>
      <c r="R2397" s="8">
        <v>0</v>
      </c>
      <c r="S2397" s="8">
        <v>0</v>
      </c>
      <c r="T2397" s="5">
        <v>0</v>
      </c>
      <c r="U2397" s="5">
        <v>0</v>
      </c>
      <c r="V2397" s="5">
        <f>VLOOKUP(A2397,Planilha1!B:E,4,0)</f>
        <v>4.5971522734997743</v>
      </c>
    </row>
    <row r="2398" spans="1:22" x14ac:dyDescent="0.3">
      <c r="A2398" t="str">
        <f t="shared" si="74"/>
        <v>SPREADSLACTALIS</v>
      </c>
      <c r="B2398" t="str">
        <f t="shared" si="75"/>
        <v>5221399SPREADSLACTALIS</v>
      </c>
      <c r="C2398" s="5" t="s">
        <v>226</v>
      </c>
      <c r="D2398" s="5" t="s">
        <v>227</v>
      </c>
      <c r="E2398" s="5" t="s">
        <v>1722</v>
      </c>
      <c r="F2398" s="5">
        <v>5221399</v>
      </c>
      <c r="G2398" s="5" t="s">
        <v>244</v>
      </c>
      <c r="H2398" s="5" t="s">
        <v>30</v>
      </c>
      <c r="I2398" s="5" t="s">
        <v>22</v>
      </c>
      <c r="J2398" s="5" t="s">
        <v>945</v>
      </c>
      <c r="K2398" s="6">
        <v>0</v>
      </c>
      <c r="L2398" s="7">
        <v>144</v>
      </c>
      <c r="M2398" s="8">
        <v>238.00000000000003</v>
      </c>
      <c r="N2398" s="8">
        <v>186.66666666666666</v>
      </c>
      <c r="O2398" s="8">
        <v>168.73194111039516</v>
      </c>
      <c r="P2398" s="8">
        <v>0</v>
      </c>
      <c r="Q2398" s="8">
        <v>80</v>
      </c>
      <c r="R2398" s="8">
        <v>0</v>
      </c>
      <c r="S2398" s="8">
        <v>0</v>
      </c>
      <c r="T2398" s="5">
        <v>0</v>
      </c>
      <c r="U2398" s="5">
        <v>200</v>
      </c>
      <c r="V2398" s="5">
        <f>VLOOKUP(A2398,Planilha1!B:E,4,0)</f>
        <v>13.599044988219518</v>
      </c>
    </row>
    <row r="2399" spans="1:22" x14ac:dyDescent="0.3">
      <c r="A2399" t="str">
        <f t="shared" si="74"/>
        <v>IOGURTESLACTALIS</v>
      </c>
      <c r="B2399" t="str">
        <f t="shared" si="75"/>
        <v>5226499IOGURTESLACTALIS</v>
      </c>
      <c r="C2399" s="5" t="s">
        <v>149</v>
      </c>
      <c r="D2399" s="5" t="s">
        <v>210</v>
      </c>
      <c r="E2399" s="5" t="s">
        <v>210</v>
      </c>
      <c r="F2399" s="5">
        <v>5226499</v>
      </c>
      <c r="G2399" s="5" t="s">
        <v>217</v>
      </c>
      <c r="H2399" s="5" t="s">
        <v>30</v>
      </c>
      <c r="I2399" s="5" t="s">
        <v>22</v>
      </c>
      <c r="J2399" s="5" t="s">
        <v>153</v>
      </c>
      <c r="K2399" s="6">
        <v>0</v>
      </c>
      <c r="L2399" s="7">
        <v>340.2</v>
      </c>
      <c r="M2399" s="8">
        <v>650.21999999999991</v>
      </c>
      <c r="N2399" s="8">
        <v>633.72</v>
      </c>
      <c r="O2399" s="8">
        <v>289.98985988405605</v>
      </c>
      <c r="P2399" s="8">
        <v>0</v>
      </c>
      <c r="Q2399" s="8">
        <v>0</v>
      </c>
      <c r="R2399" s="8">
        <v>0</v>
      </c>
      <c r="S2399" s="8">
        <v>0</v>
      </c>
      <c r="T2399" s="5">
        <v>0</v>
      </c>
      <c r="U2399" s="5">
        <v>0</v>
      </c>
      <c r="V2399" s="5">
        <f>VLOOKUP(A2399,Planilha1!B:E,4,0)</f>
        <v>3.0503167986984403</v>
      </c>
    </row>
    <row r="2400" spans="1:22" x14ac:dyDescent="0.3">
      <c r="A2400" t="str">
        <f t="shared" si="74"/>
        <v>IOGURTESLACTALIS</v>
      </c>
      <c r="B2400" t="str">
        <f t="shared" si="75"/>
        <v>5179227IOGURTESLACTALIS</v>
      </c>
      <c r="C2400" s="5" t="s">
        <v>226</v>
      </c>
      <c r="D2400" s="5" t="s">
        <v>227</v>
      </c>
      <c r="E2400" s="5" t="s">
        <v>1722</v>
      </c>
      <c r="F2400" s="5">
        <v>5179227</v>
      </c>
      <c r="G2400" s="5" t="s">
        <v>387</v>
      </c>
      <c r="H2400" s="5" t="s">
        <v>30</v>
      </c>
      <c r="I2400" s="5" t="s">
        <v>22</v>
      </c>
      <c r="J2400" s="5" t="s">
        <v>153</v>
      </c>
      <c r="K2400" s="6">
        <v>0</v>
      </c>
      <c r="L2400" s="7">
        <v>8.16</v>
      </c>
      <c r="M2400" s="8">
        <v>12.24</v>
      </c>
      <c r="N2400" s="8">
        <v>10.88</v>
      </c>
      <c r="O2400" s="8">
        <v>15.009791721877098</v>
      </c>
      <c r="P2400" s="8">
        <v>0</v>
      </c>
      <c r="Q2400" s="8">
        <v>8.9600000000000009</v>
      </c>
      <c r="R2400" s="8">
        <v>0</v>
      </c>
      <c r="S2400" s="8">
        <v>0</v>
      </c>
      <c r="T2400" s="5">
        <v>0</v>
      </c>
      <c r="U2400" s="5">
        <v>0</v>
      </c>
      <c r="V2400" s="5">
        <f>VLOOKUP(A2400,Planilha1!B:E,4,0)</f>
        <v>3.0503167986984403</v>
      </c>
    </row>
    <row r="2401" spans="1:22" x14ac:dyDescent="0.3">
      <c r="A2401" t="str">
        <f t="shared" si="74"/>
        <v>IOGURTESLACTALIS</v>
      </c>
      <c r="B2401" t="str">
        <f t="shared" si="75"/>
        <v>5179953IOGURTESLACTALIS</v>
      </c>
      <c r="C2401" s="5" t="s">
        <v>226</v>
      </c>
      <c r="D2401" s="5" t="s">
        <v>227</v>
      </c>
      <c r="E2401" s="5" t="s">
        <v>1722</v>
      </c>
      <c r="F2401" s="5">
        <v>5179953</v>
      </c>
      <c r="G2401" s="5" t="s">
        <v>1279</v>
      </c>
      <c r="H2401" s="5" t="s">
        <v>30</v>
      </c>
      <c r="I2401" s="5" t="s">
        <v>22</v>
      </c>
      <c r="J2401" s="5" t="s">
        <v>153</v>
      </c>
      <c r="K2401" s="6">
        <v>0</v>
      </c>
      <c r="L2401" s="7">
        <v>48.96</v>
      </c>
      <c r="M2401" s="8">
        <v>59.16</v>
      </c>
      <c r="N2401" s="8">
        <v>61.199999999999996</v>
      </c>
      <c r="O2401" s="8">
        <v>55.417701023255418</v>
      </c>
      <c r="P2401" s="8">
        <v>0</v>
      </c>
      <c r="Q2401" s="8">
        <v>31.36</v>
      </c>
      <c r="R2401" s="8">
        <v>0</v>
      </c>
      <c r="S2401" s="8">
        <v>0</v>
      </c>
      <c r="T2401" s="5">
        <v>0</v>
      </c>
      <c r="U2401" s="5">
        <v>0</v>
      </c>
      <c r="V2401" s="5">
        <f>VLOOKUP(A2401,Planilha1!B:E,4,0)</f>
        <v>3.0503167986984403</v>
      </c>
    </row>
    <row r="2402" spans="1:22" x14ac:dyDescent="0.3">
      <c r="A2402" t="str">
        <f t="shared" si="74"/>
        <v>IOGURTESLACTALIS</v>
      </c>
      <c r="B2402" t="str">
        <f t="shared" si="75"/>
        <v>5179954IOGURTESLACTALIS</v>
      </c>
      <c r="C2402" s="5" t="s">
        <v>16</v>
      </c>
      <c r="D2402" s="5" t="s">
        <v>17</v>
      </c>
      <c r="E2402" s="5" t="s">
        <v>44</v>
      </c>
      <c r="F2402" s="5">
        <v>5179954</v>
      </c>
      <c r="G2402" s="5" t="s">
        <v>1280</v>
      </c>
      <c r="H2402" s="5" t="s">
        <v>30</v>
      </c>
      <c r="I2402" s="5" t="s">
        <v>22</v>
      </c>
      <c r="J2402" s="5" t="s">
        <v>153</v>
      </c>
      <c r="K2402" s="6">
        <v>0</v>
      </c>
      <c r="L2402" s="7">
        <v>972</v>
      </c>
      <c r="M2402" s="8">
        <v>886.5</v>
      </c>
      <c r="N2402" s="8">
        <v>747</v>
      </c>
      <c r="O2402" s="8">
        <v>531.48566982385466</v>
      </c>
      <c r="P2402" s="8">
        <v>0</v>
      </c>
      <c r="Q2402" s="8">
        <v>729</v>
      </c>
      <c r="R2402" s="8">
        <v>0</v>
      </c>
      <c r="S2402" s="8">
        <v>0</v>
      </c>
      <c r="T2402" s="5">
        <v>729</v>
      </c>
      <c r="U2402" s="5">
        <v>0</v>
      </c>
      <c r="V2402" s="5">
        <f>VLOOKUP(A2402,Planilha1!B:E,4,0)</f>
        <v>3.0503167986984403</v>
      </c>
    </row>
    <row r="2403" spans="1:22" x14ac:dyDescent="0.3">
      <c r="A2403" t="str">
        <f t="shared" si="74"/>
        <v>PARMESÃOLACTALIS</v>
      </c>
      <c r="B2403" t="str">
        <f t="shared" si="75"/>
        <v>5180079PARMESÃOLACTALIS</v>
      </c>
      <c r="C2403" s="5" t="s">
        <v>226</v>
      </c>
      <c r="D2403" s="5" t="s">
        <v>227</v>
      </c>
      <c r="E2403" s="5" t="s">
        <v>1722</v>
      </c>
      <c r="F2403" s="5">
        <v>5180079</v>
      </c>
      <c r="G2403" s="5" t="s">
        <v>257</v>
      </c>
      <c r="H2403" s="5" t="s">
        <v>30</v>
      </c>
      <c r="I2403" s="5" t="s">
        <v>22</v>
      </c>
      <c r="J2403" s="5" t="s">
        <v>195</v>
      </c>
      <c r="K2403" s="6">
        <v>0</v>
      </c>
      <c r="L2403" s="7">
        <v>0</v>
      </c>
      <c r="M2403" s="8">
        <v>7.0374999999999996</v>
      </c>
      <c r="N2403" s="8">
        <v>9.581666666666667</v>
      </c>
      <c r="O2403" s="8">
        <v>0</v>
      </c>
      <c r="P2403" s="8">
        <v>0</v>
      </c>
      <c r="Q2403" s="8">
        <v>0</v>
      </c>
      <c r="R2403" s="8">
        <v>0</v>
      </c>
      <c r="S2403" s="8">
        <v>0</v>
      </c>
      <c r="T2403" s="5">
        <v>0</v>
      </c>
      <c r="U2403" s="5">
        <v>0</v>
      </c>
      <c r="V2403" s="5">
        <f>VLOOKUP(A2403,Planilha1!B:E,4,0)</f>
        <v>6.310326960724681</v>
      </c>
    </row>
    <row r="2404" spans="1:22" x14ac:dyDescent="0.3">
      <c r="A2404" t="str">
        <f t="shared" si="74"/>
        <v>IOGURTESITAMBÉ</v>
      </c>
      <c r="B2404" t="str">
        <f t="shared" si="75"/>
        <v>5226643IOGURTESITAMBÉ</v>
      </c>
      <c r="C2404" s="5" t="s">
        <v>226</v>
      </c>
      <c r="D2404" s="5" t="s">
        <v>833</v>
      </c>
      <c r="E2404" s="5" t="s">
        <v>850</v>
      </c>
      <c r="F2404" s="5">
        <v>5226643</v>
      </c>
      <c r="G2404" s="5" t="s">
        <v>869</v>
      </c>
      <c r="H2404" s="5" t="s">
        <v>40</v>
      </c>
      <c r="I2404" s="5" t="s">
        <v>27</v>
      </c>
      <c r="J2404" s="5" t="s">
        <v>153</v>
      </c>
      <c r="K2404" s="6">
        <v>0</v>
      </c>
      <c r="L2404" s="7">
        <v>30.6</v>
      </c>
      <c r="M2404" s="8">
        <v>317.10000000000002</v>
      </c>
      <c r="N2404" s="8">
        <v>276</v>
      </c>
      <c r="O2404" s="8">
        <v>332.93301505987756</v>
      </c>
      <c r="P2404" s="8">
        <v>0</v>
      </c>
      <c r="Q2404" s="8">
        <v>0</v>
      </c>
      <c r="R2404" s="8">
        <v>0</v>
      </c>
      <c r="S2404" s="8">
        <v>0</v>
      </c>
      <c r="T2404" s="5">
        <v>0</v>
      </c>
      <c r="U2404" s="5">
        <v>0</v>
      </c>
      <c r="V2404" s="5">
        <f>VLOOKUP(A2404,Planilha1!B:E,4,0)</f>
        <v>3.2554443184120534</v>
      </c>
    </row>
    <row r="2405" spans="1:22" x14ac:dyDescent="0.3">
      <c r="A2405" t="str">
        <f t="shared" si="74"/>
        <v>SPREADSITAMBÉ</v>
      </c>
      <c r="B2405" t="str">
        <f t="shared" si="75"/>
        <v>5226805SPREADSITAMBÉ</v>
      </c>
      <c r="C2405" s="5" t="s">
        <v>226</v>
      </c>
      <c r="D2405" s="5" t="s">
        <v>727</v>
      </c>
      <c r="E2405" s="5" t="s">
        <v>730</v>
      </c>
      <c r="F2405" s="5">
        <v>5226805</v>
      </c>
      <c r="G2405" s="5" t="s">
        <v>732</v>
      </c>
      <c r="H2405" s="5" t="s">
        <v>25</v>
      </c>
      <c r="I2405" s="5" t="s">
        <v>27</v>
      </c>
      <c r="J2405" s="5" t="s">
        <v>945</v>
      </c>
      <c r="K2405" s="6">
        <v>0</v>
      </c>
      <c r="L2405" s="7">
        <v>140</v>
      </c>
      <c r="M2405" s="8">
        <v>148.33333333333331</v>
      </c>
      <c r="N2405" s="8">
        <v>68.666666666666671</v>
      </c>
      <c r="O2405" s="8">
        <v>246.95031447384315</v>
      </c>
      <c r="P2405" s="8">
        <v>24</v>
      </c>
      <c r="Q2405" s="8">
        <v>84</v>
      </c>
      <c r="R2405" s="8">
        <v>79.900000000000006</v>
      </c>
      <c r="S2405" s="8">
        <v>0</v>
      </c>
      <c r="T2405" s="5">
        <v>0</v>
      </c>
      <c r="U2405" s="5">
        <v>0</v>
      </c>
      <c r="V2405" s="5">
        <f>VLOOKUP(A2405,Planilha1!B:E,4,0)</f>
        <v>9.2962610783648607</v>
      </c>
    </row>
    <row r="2406" spans="1:22" x14ac:dyDescent="0.3">
      <c r="A2406" t="str">
        <f t="shared" si="74"/>
        <v>LEITE EM PÓITAMBÉ</v>
      </c>
      <c r="B2406" t="str">
        <f t="shared" si="75"/>
        <v>5226985LEITE EM PÓITAMBÉ</v>
      </c>
      <c r="C2406" s="5" t="s">
        <v>226</v>
      </c>
      <c r="D2406" s="5" t="s">
        <v>815</v>
      </c>
      <c r="E2406" s="5" t="s">
        <v>815</v>
      </c>
      <c r="F2406" s="5">
        <v>5226985</v>
      </c>
      <c r="G2406" s="5" t="s">
        <v>830</v>
      </c>
      <c r="H2406" s="5" t="s">
        <v>30</v>
      </c>
      <c r="I2406" s="5" t="s">
        <v>27</v>
      </c>
      <c r="J2406" s="5" t="s">
        <v>84</v>
      </c>
      <c r="K2406" s="6">
        <v>0</v>
      </c>
      <c r="L2406" s="7">
        <v>300</v>
      </c>
      <c r="M2406" s="8">
        <v>762</v>
      </c>
      <c r="N2406" s="8">
        <v>739.33333333333337</v>
      </c>
      <c r="O2406" s="8">
        <v>265.94649251029267</v>
      </c>
      <c r="P2406" s="8">
        <v>177</v>
      </c>
      <c r="Q2406" s="8">
        <v>-10</v>
      </c>
      <c r="R2406" s="8">
        <v>0</v>
      </c>
      <c r="S2406" s="8">
        <v>0</v>
      </c>
      <c r="T2406" s="5">
        <v>0</v>
      </c>
      <c r="U2406" s="5">
        <v>0</v>
      </c>
      <c r="V2406" s="5">
        <f>VLOOKUP(A2406,Planilha1!B:E,4,0)</f>
        <v>4.5971522734997743</v>
      </c>
    </row>
    <row r="2407" spans="1:22" x14ac:dyDescent="0.3">
      <c r="A2407" t="str">
        <f t="shared" si="74"/>
        <v>SPREADSLACTALIS</v>
      </c>
      <c r="B2407" t="str">
        <f t="shared" si="75"/>
        <v>5226985SPREADSLACTALIS</v>
      </c>
      <c r="C2407" s="5" t="s">
        <v>226</v>
      </c>
      <c r="D2407" s="5" t="s">
        <v>815</v>
      </c>
      <c r="E2407" s="5" t="s">
        <v>815</v>
      </c>
      <c r="F2407" s="5">
        <v>5226985</v>
      </c>
      <c r="G2407" s="5" t="s">
        <v>830</v>
      </c>
      <c r="H2407" s="5" t="s">
        <v>30</v>
      </c>
      <c r="I2407" s="5" t="s">
        <v>22</v>
      </c>
      <c r="J2407" s="5" t="s">
        <v>945</v>
      </c>
      <c r="K2407" s="6">
        <v>0</v>
      </c>
      <c r="L2407" s="7">
        <v>400</v>
      </c>
      <c r="M2407" s="8">
        <v>168.66666666666669</v>
      </c>
      <c r="N2407" s="8">
        <v>176</v>
      </c>
      <c r="O2407" s="8">
        <v>95.523590977154825</v>
      </c>
      <c r="P2407" s="8">
        <v>24</v>
      </c>
      <c r="Q2407" s="8">
        <v>120</v>
      </c>
      <c r="R2407" s="8">
        <v>0</v>
      </c>
      <c r="S2407" s="8">
        <v>0</v>
      </c>
      <c r="T2407" s="5">
        <v>0</v>
      </c>
      <c r="U2407" s="5">
        <v>0</v>
      </c>
      <c r="V2407" s="5">
        <f>VLOOKUP(A2407,Planilha1!B:E,4,0)</f>
        <v>13.599044988219518</v>
      </c>
    </row>
    <row r="2408" spans="1:22" x14ac:dyDescent="0.3">
      <c r="A2408" t="str">
        <f t="shared" si="74"/>
        <v>LEITE UHTLACTALIS</v>
      </c>
      <c r="B2408" t="str">
        <f t="shared" si="75"/>
        <v>5181253LEITE UHTLACTALIS</v>
      </c>
      <c r="C2408" s="5" t="s">
        <v>226</v>
      </c>
      <c r="D2408" s="5" t="s">
        <v>227</v>
      </c>
      <c r="E2408" s="5" t="s">
        <v>1722</v>
      </c>
      <c r="F2408" s="5">
        <v>5181253</v>
      </c>
      <c r="G2408" s="5" t="s">
        <v>1271</v>
      </c>
      <c r="H2408" s="5" t="s">
        <v>30</v>
      </c>
      <c r="I2408" s="5" t="s">
        <v>22</v>
      </c>
      <c r="J2408" s="5" t="s">
        <v>156</v>
      </c>
      <c r="K2408" s="6">
        <v>0</v>
      </c>
      <c r="L2408" s="7">
        <v>0</v>
      </c>
      <c r="M2408" s="8">
        <v>10</v>
      </c>
      <c r="N2408" s="8">
        <v>20</v>
      </c>
      <c r="O2408" s="8">
        <v>0</v>
      </c>
      <c r="P2408" s="8">
        <v>0</v>
      </c>
      <c r="Q2408" s="8">
        <v>0</v>
      </c>
      <c r="R2408" s="8">
        <v>0</v>
      </c>
      <c r="S2408" s="8">
        <v>0</v>
      </c>
      <c r="T2408" s="5">
        <v>0</v>
      </c>
      <c r="U2408" s="5">
        <v>0</v>
      </c>
      <c r="V2408" s="5">
        <f>VLOOKUP(A2408,Planilha1!B:E,4,0)</f>
        <v>0.37177548115779385</v>
      </c>
    </row>
    <row r="2409" spans="1:22" x14ac:dyDescent="0.3">
      <c r="A2409" t="str">
        <f t="shared" si="74"/>
        <v>LPI 25KGLACTALIS</v>
      </c>
      <c r="B2409" t="str">
        <f t="shared" si="75"/>
        <v>5181766LPI 25KGLACTALIS</v>
      </c>
      <c r="C2409" s="5" t="s">
        <v>16</v>
      </c>
      <c r="D2409" s="5" t="s">
        <v>17</v>
      </c>
      <c r="E2409" s="5" t="s">
        <v>44</v>
      </c>
      <c r="F2409" s="5">
        <v>5181766</v>
      </c>
      <c r="G2409" s="5" t="s">
        <v>1281</v>
      </c>
      <c r="H2409" s="5" t="s">
        <v>40</v>
      </c>
      <c r="I2409" s="5" t="s">
        <v>22</v>
      </c>
      <c r="J2409" s="5" t="s">
        <v>21</v>
      </c>
      <c r="K2409" s="6">
        <v>0</v>
      </c>
      <c r="L2409" s="7">
        <v>0</v>
      </c>
      <c r="M2409" s="8">
        <v>4166.666666666667</v>
      </c>
      <c r="N2409" s="8">
        <v>8333.3333333333339</v>
      </c>
      <c r="O2409" s="8">
        <v>0</v>
      </c>
      <c r="P2409" s="8">
        <v>0</v>
      </c>
      <c r="Q2409" s="8">
        <v>0</v>
      </c>
      <c r="R2409" s="8">
        <v>0</v>
      </c>
      <c r="S2409" s="8">
        <v>0</v>
      </c>
      <c r="T2409" s="5">
        <v>0</v>
      </c>
      <c r="U2409" s="5">
        <v>0</v>
      </c>
      <c r="V2409" s="5">
        <f>VLOOKUP(A2409,Planilha1!B:E,4,0)</f>
        <v>-4.3046759024811481</v>
      </c>
    </row>
    <row r="2410" spans="1:22" x14ac:dyDescent="0.3">
      <c r="A2410" t="str">
        <f t="shared" si="74"/>
        <v>QUEIJOSLACTALIS</v>
      </c>
      <c r="B2410" t="str">
        <f t="shared" si="75"/>
        <v>5182399QUEIJOSLACTALIS</v>
      </c>
      <c r="C2410" s="5" t="s">
        <v>226</v>
      </c>
      <c r="D2410" s="5" t="s">
        <v>227</v>
      </c>
      <c r="E2410" s="5" t="s">
        <v>1722</v>
      </c>
      <c r="F2410" s="5">
        <v>5182399</v>
      </c>
      <c r="G2410" s="5" t="s">
        <v>272</v>
      </c>
      <c r="H2410" s="5" t="s">
        <v>30</v>
      </c>
      <c r="I2410" s="5" t="s">
        <v>22</v>
      </c>
      <c r="J2410" s="5" t="s">
        <v>63</v>
      </c>
      <c r="K2410" s="6">
        <v>0</v>
      </c>
      <c r="L2410" s="7">
        <v>162.917</v>
      </c>
      <c r="M2410" s="8">
        <v>41.68116666666667</v>
      </c>
      <c r="N2410" s="8">
        <v>24.816666666666666</v>
      </c>
      <c r="O2410" s="8">
        <v>99.358666842311735</v>
      </c>
      <c r="P2410" s="8">
        <v>0</v>
      </c>
      <c r="Q2410" s="8">
        <v>0</v>
      </c>
      <c r="R2410" s="8">
        <v>0</v>
      </c>
      <c r="S2410" s="8">
        <v>0</v>
      </c>
      <c r="T2410" s="5">
        <v>0</v>
      </c>
      <c r="U2410" s="5">
        <v>24</v>
      </c>
      <c r="V2410" s="5">
        <f>VLOOKUP(A2410,Planilha1!B:E,4,0)</f>
        <v>-1.9171310037550682</v>
      </c>
    </row>
    <row r="2411" spans="1:22" x14ac:dyDescent="0.3">
      <c r="A2411" t="str">
        <f t="shared" si="74"/>
        <v>COMPOSTOLACTALIS</v>
      </c>
      <c r="B2411" t="str">
        <f t="shared" si="75"/>
        <v>5183340COMPOSTOLACTALIS</v>
      </c>
      <c r="C2411" s="5" t="s">
        <v>16</v>
      </c>
      <c r="D2411" s="5" t="s">
        <v>53</v>
      </c>
      <c r="E2411" s="5" t="s">
        <v>54</v>
      </c>
      <c r="F2411" s="5">
        <v>5183340</v>
      </c>
      <c r="G2411" s="5" t="s">
        <v>1282</v>
      </c>
      <c r="H2411" s="5" t="s">
        <v>88</v>
      </c>
      <c r="I2411" s="5" t="s">
        <v>22</v>
      </c>
      <c r="J2411" s="5" t="s">
        <v>26</v>
      </c>
      <c r="K2411" s="6">
        <v>0</v>
      </c>
      <c r="L2411" s="7">
        <v>0</v>
      </c>
      <c r="M2411" s="8">
        <v>83.333333333333329</v>
      </c>
      <c r="N2411" s="8">
        <v>166.66666666666666</v>
      </c>
      <c r="O2411" s="8">
        <v>0</v>
      </c>
      <c r="P2411" s="8">
        <v>0</v>
      </c>
      <c r="Q2411" s="8">
        <v>0</v>
      </c>
      <c r="R2411" s="8">
        <v>0</v>
      </c>
      <c r="S2411" s="8">
        <v>0</v>
      </c>
      <c r="T2411" s="5">
        <v>0</v>
      </c>
      <c r="U2411" s="5">
        <v>0</v>
      </c>
      <c r="V2411" s="5">
        <f>VLOOKUP(A2411,Planilha1!B:E,4,0)</f>
        <v>7.7134687735139194</v>
      </c>
    </row>
    <row r="2412" spans="1:22" x14ac:dyDescent="0.3">
      <c r="A2412" t="str">
        <f t="shared" si="74"/>
        <v>QUEIJOSLACTALIS</v>
      </c>
      <c r="B2412" t="str">
        <f t="shared" si="75"/>
        <v>5185158QUEIJOSLACTALIS</v>
      </c>
      <c r="C2412" s="5" t="s">
        <v>226</v>
      </c>
      <c r="D2412" s="5" t="s">
        <v>227</v>
      </c>
      <c r="E2412" s="5" t="s">
        <v>1722</v>
      </c>
      <c r="F2412" s="5">
        <v>5185158</v>
      </c>
      <c r="G2412" s="5" t="s">
        <v>388</v>
      </c>
      <c r="H2412" s="5" t="s">
        <v>30</v>
      </c>
      <c r="I2412" s="5" t="s">
        <v>22</v>
      </c>
      <c r="J2412" s="5" t="s">
        <v>63</v>
      </c>
      <c r="K2412" s="6">
        <v>0</v>
      </c>
      <c r="L2412" s="7">
        <v>259.17599999999999</v>
      </c>
      <c r="M2412" s="8">
        <v>144.23166666666665</v>
      </c>
      <c r="N2412" s="8">
        <v>148.18</v>
      </c>
      <c r="O2412" s="8">
        <v>39.44486647639836</v>
      </c>
      <c r="P2412" s="8">
        <v>0</v>
      </c>
      <c r="Q2412" s="8">
        <v>24</v>
      </c>
      <c r="R2412" s="8">
        <v>0</v>
      </c>
      <c r="S2412" s="8">
        <v>0</v>
      </c>
      <c r="T2412" s="5">
        <v>0</v>
      </c>
      <c r="U2412" s="5">
        <v>48</v>
      </c>
      <c r="V2412" s="5">
        <f>VLOOKUP(A2412,Planilha1!B:E,4,0)</f>
        <v>-1.9171310037550682</v>
      </c>
    </row>
    <row r="2413" spans="1:22" x14ac:dyDescent="0.3">
      <c r="A2413" t="str">
        <f t="shared" si="74"/>
        <v>QUEIJOSLACTALIS</v>
      </c>
      <c r="B2413" t="str">
        <f t="shared" si="75"/>
        <v>5185436QUEIJOSLACTALIS</v>
      </c>
      <c r="C2413" s="5" t="s">
        <v>226</v>
      </c>
      <c r="D2413" s="5" t="s">
        <v>227</v>
      </c>
      <c r="E2413" s="5" t="s">
        <v>1722</v>
      </c>
      <c r="F2413" s="5">
        <v>5185436</v>
      </c>
      <c r="G2413" s="5" t="s">
        <v>1274</v>
      </c>
      <c r="H2413" s="5" t="s">
        <v>30</v>
      </c>
      <c r="I2413" s="5" t="s">
        <v>22</v>
      </c>
      <c r="J2413" s="5" t="s">
        <v>63</v>
      </c>
      <c r="K2413" s="6">
        <v>0</v>
      </c>
      <c r="L2413" s="7">
        <v>0</v>
      </c>
      <c r="M2413" s="8">
        <v>1.9366666666666665</v>
      </c>
      <c r="N2413" s="8">
        <v>3.8733333333333331</v>
      </c>
      <c r="O2413" s="8">
        <v>0</v>
      </c>
      <c r="P2413" s="8">
        <v>0</v>
      </c>
      <c r="Q2413" s="8">
        <v>0</v>
      </c>
      <c r="R2413" s="8">
        <v>0</v>
      </c>
      <c r="S2413" s="8">
        <v>0</v>
      </c>
      <c r="T2413" s="5">
        <v>0</v>
      </c>
      <c r="U2413" s="5">
        <v>0</v>
      </c>
      <c r="V2413" s="5">
        <f>VLOOKUP(A2413,Planilha1!B:E,4,0)</f>
        <v>-1.9171310037550682</v>
      </c>
    </row>
    <row r="2414" spans="1:22" x14ac:dyDescent="0.3">
      <c r="A2414" t="str">
        <f t="shared" si="74"/>
        <v>LEITE UHTLACTALIS</v>
      </c>
      <c r="B2414" t="str">
        <f t="shared" si="75"/>
        <v>5235133LEITE UHTLACTALIS</v>
      </c>
      <c r="C2414" s="5" t="s">
        <v>226</v>
      </c>
      <c r="D2414" s="5" t="s">
        <v>227</v>
      </c>
      <c r="E2414" s="5" t="s">
        <v>1722</v>
      </c>
      <c r="F2414" s="5">
        <v>5235133</v>
      </c>
      <c r="G2414" s="5" t="s">
        <v>1283</v>
      </c>
      <c r="H2414" s="5" t="s">
        <v>30</v>
      </c>
      <c r="I2414" s="5" t="s">
        <v>22</v>
      </c>
      <c r="J2414" s="5" t="s">
        <v>156</v>
      </c>
      <c r="K2414" s="6">
        <v>0</v>
      </c>
      <c r="L2414" s="7">
        <v>0</v>
      </c>
      <c r="M2414" s="8">
        <v>30</v>
      </c>
      <c r="N2414" s="8">
        <v>60</v>
      </c>
      <c r="O2414" s="8">
        <v>0</v>
      </c>
      <c r="P2414" s="8">
        <v>0</v>
      </c>
      <c r="Q2414" s="8">
        <v>0</v>
      </c>
      <c r="R2414" s="8">
        <v>0</v>
      </c>
      <c r="S2414" s="8">
        <v>0</v>
      </c>
      <c r="T2414" s="5">
        <v>0</v>
      </c>
      <c r="U2414" s="5">
        <v>0</v>
      </c>
      <c r="V2414" s="5">
        <f>VLOOKUP(A2414,Planilha1!B:E,4,0)</f>
        <v>0.37177548115779385</v>
      </c>
    </row>
    <row r="2415" spans="1:22" x14ac:dyDescent="0.3">
      <c r="A2415" t="str">
        <f t="shared" si="74"/>
        <v>QUEIJOSLACTALIS</v>
      </c>
      <c r="B2415" t="str">
        <f t="shared" si="75"/>
        <v>5235618QUEIJOSLACTALIS</v>
      </c>
      <c r="C2415" s="5" t="s">
        <v>16</v>
      </c>
      <c r="D2415" s="5" t="s">
        <v>53</v>
      </c>
      <c r="E2415" s="5" t="s">
        <v>54</v>
      </c>
      <c r="F2415" s="5">
        <v>5235618</v>
      </c>
      <c r="G2415" s="5" t="s">
        <v>140</v>
      </c>
      <c r="H2415" s="5" t="s">
        <v>30</v>
      </c>
      <c r="I2415" s="5" t="s">
        <v>22</v>
      </c>
      <c r="J2415" s="5" t="s">
        <v>63</v>
      </c>
      <c r="K2415" s="6">
        <v>0</v>
      </c>
      <c r="L2415" s="7">
        <v>0</v>
      </c>
      <c r="M2415" s="8">
        <v>5867.7861666666658</v>
      </c>
      <c r="N2415" s="8">
        <v>7304.3623333333344</v>
      </c>
      <c r="O2415" s="8">
        <v>6476.690937120442</v>
      </c>
      <c r="P2415" s="8">
        <v>0</v>
      </c>
      <c r="Q2415" s="8">
        <v>6721.5</v>
      </c>
      <c r="R2415" s="8">
        <v>0</v>
      </c>
      <c r="S2415" s="8">
        <v>0</v>
      </c>
      <c r="T2415" s="5">
        <v>0</v>
      </c>
      <c r="U2415" s="5">
        <v>0</v>
      </c>
      <c r="V2415" s="5">
        <f>VLOOKUP(A2415,Planilha1!B:E,4,0)</f>
        <v>-1.9171310037550682</v>
      </c>
    </row>
    <row r="2416" spans="1:22" x14ac:dyDescent="0.3">
      <c r="A2416" t="str">
        <f t="shared" si="74"/>
        <v>IOGURTESLACTALIS</v>
      </c>
      <c r="B2416" t="str">
        <f t="shared" si="75"/>
        <v>5247982IOGURTESLACTALIS</v>
      </c>
      <c r="C2416" s="5" t="s">
        <v>226</v>
      </c>
      <c r="D2416" s="5" t="s">
        <v>227</v>
      </c>
      <c r="E2416" s="5" t="s">
        <v>1722</v>
      </c>
      <c r="F2416" s="5">
        <v>5247982</v>
      </c>
      <c r="G2416" s="5" t="s">
        <v>576</v>
      </c>
      <c r="H2416" s="5" t="s">
        <v>30</v>
      </c>
      <c r="I2416" s="5" t="s">
        <v>22</v>
      </c>
      <c r="J2416" s="5" t="s">
        <v>153</v>
      </c>
      <c r="K2416" s="6">
        <v>0</v>
      </c>
      <c r="L2416" s="7">
        <v>116.80000000000001</v>
      </c>
      <c r="M2416" s="8">
        <v>82.733333333333334</v>
      </c>
      <c r="N2416" s="8">
        <v>79.13333333333334</v>
      </c>
      <c r="O2416" s="8">
        <v>70.022900789075848</v>
      </c>
      <c r="P2416" s="8">
        <v>0</v>
      </c>
      <c r="Q2416" s="8">
        <v>9.1999999999999993</v>
      </c>
      <c r="R2416" s="8">
        <v>0</v>
      </c>
      <c r="S2416" s="8">
        <v>0</v>
      </c>
      <c r="T2416" s="5">
        <v>0</v>
      </c>
      <c r="U2416" s="5">
        <v>0</v>
      </c>
      <c r="V2416" s="5">
        <f>VLOOKUP(A2416,Planilha1!B:E,4,0)</f>
        <v>3.0503167986984403</v>
      </c>
    </row>
    <row r="2417" spans="1:22" x14ac:dyDescent="0.3">
      <c r="A2417" t="str">
        <f t="shared" si="74"/>
        <v>IOGURTESLACTALIS</v>
      </c>
      <c r="B2417" t="str">
        <f t="shared" si="75"/>
        <v>5248235IOGURTESLACTALIS</v>
      </c>
      <c r="C2417" s="5" t="s">
        <v>226</v>
      </c>
      <c r="D2417" s="5" t="s">
        <v>227</v>
      </c>
      <c r="E2417" s="5" t="s">
        <v>1722</v>
      </c>
      <c r="F2417" s="5">
        <v>5248235</v>
      </c>
      <c r="G2417" s="5" t="s">
        <v>272</v>
      </c>
      <c r="H2417" s="5" t="s">
        <v>30</v>
      </c>
      <c r="I2417" s="5" t="s">
        <v>22</v>
      </c>
      <c r="J2417" s="5" t="s">
        <v>153</v>
      </c>
      <c r="K2417" s="6">
        <v>0</v>
      </c>
      <c r="L2417" s="7">
        <v>220.8</v>
      </c>
      <c r="M2417" s="8">
        <v>277.53333333333336</v>
      </c>
      <c r="N2417" s="8">
        <v>245.33333333333334</v>
      </c>
      <c r="O2417" s="8">
        <v>221.28900604998228</v>
      </c>
      <c r="P2417" s="8">
        <v>0</v>
      </c>
      <c r="Q2417" s="8">
        <v>0</v>
      </c>
      <c r="R2417" s="8">
        <v>0</v>
      </c>
      <c r="S2417" s="8">
        <v>0</v>
      </c>
      <c r="T2417" s="5">
        <v>0</v>
      </c>
      <c r="U2417" s="5">
        <v>0</v>
      </c>
      <c r="V2417" s="5">
        <f>VLOOKUP(A2417,Planilha1!B:E,4,0)</f>
        <v>3.0503167986984403</v>
      </c>
    </row>
    <row r="2418" spans="1:22" x14ac:dyDescent="0.3">
      <c r="A2418" t="str">
        <f t="shared" si="74"/>
        <v>IOGURTESLACTALIS</v>
      </c>
      <c r="B2418" t="str">
        <f t="shared" si="75"/>
        <v>5248591IOGURTESLACTALIS</v>
      </c>
      <c r="C2418" s="5" t="s">
        <v>226</v>
      </c>
      <c r="D2418" s="5" t="s">
        <v>227</v>
      </c>
      <c r="E2418" s="5" t="s">
        <v>1722</v>
      </c>
      <c r="F2418" s="5">
        <v>5248591</v>
      </c>
      <c r="G2418" s="5" t="s">
        <v>1284</v>
      </c>
      <c r="H2418" s="5" t="s">
        <v>30</v>
      </c>
      <c r="I2418" s="5" t="s">
        <v>22</v>
      </c>
      <c r="J2418" s="5" t="s">
        <v>153</v>
      </c>
      <c r="K2418" s="6">
        <v>0</v>
      </c>
      <c r="L2418" s="7">
        <v>76.800000000000011</v>
      </c>
      <c r="M2418" s="8">
        <v>83.566666666666677</v>
      </c>
      <c r="N2418" s="8">
        <v>81.13333333333334</v>
      </c>
      <c r="O2418" s="8">
        <v>67.25913883573098</v>
      </c>
      <c r="P2418" s="8">
        <v>0</v>
      </c>
      <c r="Q2418" s="8">
        <v>16.2</v>
      </c>
      <c r="R2418" s="8">
        <v>0</v>
      </c>
      <c r="S2418" s="8">
        <v>0</v>
      </c>
      <c r="T2418" s="5">
        <v>0</v>
      </c>
      <c r="U2418" s="5">
        <v>0</v>
      </c>
      <c r="V2418" s="5">
        <f>VLOOKUP(A2418,Planilha1!B:E,4,0)</f>
        <v>3.0503167986984403</v>
      </c>
    </row>
    <row r="2419" spans="1:22" x14ac:dyDescent="0.3">
      <c r="A2419" t="str">
        <f t="shared" si="74"/>
        <v>IOGURTESLACTALIS</v>
      </c>
      <c r="B2419" t="str">
        <f t="shared" si="75"/>
        <v>5248758IOGURTESLACTALIS</v>
      </c>
      <c r="C2419" s="5" t="s">
        <v>226</v>
      </c>
      <c r="D2419" s="5" t="s">
        <v>227</v>
      </c>
      <c r="E2419" s="5" t="s">
        <v>1722</v>
      </c>
      <c r="F2419" s="5">
        <v>5248758</v>
      </c>
      <c r="G2419" s="5" t="s">
        <v>1111</v>
      </c>
      <c r="H2419" s="5" t="s">
        <v>30</v>
      </c>
      <c r="I2419" s="5" t="s">
        <v>22</v>
      </c>
      <c r="J2419" s="5" t="s">
        <v>153</v>
      </c>
      <c r="K2419" s="6">
        <v>0</v>
      </c>
      <c r="L2419" s="7">
        <v>146.88</v>
      </c>
      <c r="M2419" s="8">
        <v>196.24</v>
      </c>
      <c r="N2419" s="8">
        <v>193.8</v>
      </c>
      <c r="O2419" s="8">
        <v>163.47224568165845</v>
      </c>
      <c r="P2419" s="8">
        <v>0</v>
      </c>
      <c r="Q2419" s="8">
        <v>48.96</v>
      </c>
      <c r="R2419" s="8">
        <v>0</v>
      </c>
      <c r="S2419" s="8">
        <v>0</v>
      </c>
      <c r="T2419" s="5">
        <v>0</v>
      </c>
      <c r="U2419" s="5">
        <v>0</v>
      </c>
      <c r="V2419" s="5">
        <f>VLOOKUP(A2419,Planilha1!B:E,4,0)</f>
        <v>3.0503167986984403</v>
      </c>
    </row>
    <row r="2420" spans="1:22" x14ac:dyDescent="0.3">
      <c r="A2420" t="str">
        <f t="shared" si="74"/>
        <v>LEITE UHTLACTALIS</v>
      </c>
      <c r="B2420" t="str">
        <f t="shared" si="75"/>
        <v>5249249LEITE UHTLACTALIS</v>
      </c>
      <c r="C2420" s="5" t="s">
        <v>226</v>
      </c>
      <c r="D2420" s="5" t="s">
        <v>227</v>
      </c>
      <c r="E2420" s="5" t="s">
        <v>1722</v>
      </c>
      <c r="F2420" s="5">
        <v>5249249</v>
      </c>
      <c r="G2420" s="5" t="s">
        <v>1285</v>
      </c>
      <c r="H2420" s="5" t="s">
        <v>30</v>
      </c>
      <c r="I2420" s="5" t="s">
        <v>22</v>
      </c>
      <c r="J2420" s="5" t="s">
        <v>156</v>
      </c>
      <c r="K2420" s="6">
        <v>0</v>
      </c>
      <c r="L2420" s="7">
        <v>0</v>
      </c>
      <c r="M2420" s="8">
        <v>394</v>
      </c>
      <c r="N2420" s="8">
        <v>492</v>
      </c>
      <c r="O2420" s="8">
        <v>0</v>
      </c>
      <c r="P2420" s="8">
        <v>0</v>
      </c>
      <c r="Q2420" s="8">
        <v>0</v>
      </c>
      <c r="R2420" s="8">
        <v>0</v>
      </c>
      <c r="S2420" s="8">
        <v>0</v>
      </c>
      <c r="T2420" s="5">
        <v>0</v>
      </c>
      <c r="U2420" s="5">
        <v>0</v>
      </c>
      <c r="V2420" s="5">
        <f>VLOOKUP(A2420,Planilha1!B:E,4,0)</f>
        <v>0.37177548115779385</v>
      </c>
    </row>
    <row r="2421" spans="1:22" x14ac:dyDescent="0.3">
      <c r="A2421" t="str">
        <f t="shared" si="74"/>
        <v>LEITE EM PÓLACTALIS</v>
      </c>
      <c r="B2421" t="str">
        <f t="shared" si="75"/>
        <v>5249803LEITE EM PÓLACTALIS</v>
      </c>
      <c r="C2421" s="5" t="s">
        <v>226</v>
      </c>
      <c r="D2421" s="5" t="s">
        <v>227</v>
      </c>
      <c r="E2421" s="5" t="s">
        <v>1722</v>
      </c>
      <c r="F2421" s="5">
        <v>5249803</v>
      </c>
      <c r="G2421" s="5" t="s">
        <v>1286</v>
      </c>
      <c r="H2421" s="5" t="s">
        <v>30</v>
      </c>
      <c r="I2421" s="5" t="s">
        <v>22</v>
      </c>
      <c r="J2421" s="5" t="s">
        <v>84</v>
      </c>
      <c r="K2421" s="6">
        <v>0</v>
      </c>
      <c r="L2421" s="7">
        <v>0</v>
      </c>
      <c r="M2421" s="8">
        <v>70.5</v>
      </c>
      <c r="N2421" s="8">
        <v>69</v>
      </c>
      <c r="O2421" s="8">
        <v>73.578751219771107</v>
      </c>
      <c r="P2421" s="8">
        <v>0</v>
      </c>
      <c r="Q2421" s="8">
        <v>36</v>
      </c>
      <c r="R2421" s="8">
        <v>0</v>
      </c>
      <c r="S2421" s="8">
        <v>0</v>
      </c>
      <c r="T2421" s="5">
        <v>0</v>
      </c>
      <c r="U2421" s="5">
        <v>0</v>
      </c>
      <c r="V2421" s="5">
        <f>VLOOKUP(A2421,Planilha1!B:E,4,0)</f>
        <v>-2.8055507108797499</v>
      </c>
    </row>
    <row r="2422" spans="1:22" x14ac:dyDescent="0.3">
      <c r="A2422" t="str">
        <f t="shared" si="74"/>
        <v>SPREADSLACTALIS</v>
      </c>
      <c r="B2422" t="str">
        <f t="shared" si="75"/>
        <v>5189702SPREADSLACTALIS</v>
      </c>
      <c r="C2422" s="5" t="s">
        <v>226</v>
      </c>
      <c r="D2422" s="5" t="s">
        <v>227</v>
      </c>
      <c r="E2422" s="5" t="s">
        <v>1722</v>
      </c>
      <c r="F2422" s="5">
        <v>5189702</v>
      </c>
      <c r="G2422" s="5" t="s">
        <v>1268</v>
      </c>
      <c r="H2422" s="5" t="s">
        <v>30</v>
      </c>
      <c r="I2422" s="5" t="s">
        <v>22</v>
      </c>
      <c r="J2422" s="5" t="s">
        <v>945</v>
      </c>
      <c r="K2422" s="6">
        <v>0</v>
      </c>
      <c r="L2422" s="7">
        <v>0</v>
      </c>
      <c r="M2422" s="8">
        <v>12.666666666666666</v>
      </c>
      <c r="N2422" s="8">
        <v>12.799999999999999</v>
      </c>
      <c r="O2422" s="8">
        <v>9.2828210762861776</v>
      </c>
      <c r="P2422" s="8">
        <v>0</v>
      </c>
      <c r="Q2422" s="8">
        <v>14.399999999999999</v>
      </c>
      <c r="R2422" s="8">
        <v>0</v>
      </c>
      <c r="S2422" s="8">
        <v>0</v>
      </c>
      <c r="T2422" s="5">
        <v>0</v>
      </c>
      <c r="U2422" s="5">
        <v>0</v>
      </c>
      <c r="V2422" s="5">
        <f>VLOOKUP(A2422,Planilha1!B:E,4,0)</f>
        <v>13.599044988219518</v>
      </c>
    </row>
    <row r="2423" spans="1:22" x14ac:dyDescent="0.3">
      <c r="A2423" t="str">
        <f t="shared" si="74"/>
        <v>IOGURTESLACTALIS</v>
      </c>
      <c r="B2423" t="str">
        <f t="shared" si="75"/>
        <v>5252814IOGURTESLACTALIS</v>
      </c>
      <c r="C2423" s="5" t="s">
        <v>226</v>
      </c>
      <c r="D2423" s="5" t="s">
        <v>227</v>
      </c>
      <c r="E2423" s="5" t="s">
        <v>1722</v>
      </c>
      <c r="F2423" s="5">
        <v>5252814</v>
      </c>
      <c r="G2423" s="5" t="s">
        <v>1287</v>
      </c>
      <c r="H2423" s="5" t="s">
        <v>30</v>
      </c>
      <c r="I2423" s="5" t="s">
        <v>22</v>
      </c>
      <c r="J2423" s="5" t="s">
        <v>153</v>
      </c>
      <c r="K2423" s="6">
        <v>0</v>
      </c>
      <c r="L2423" s="7">
        <v>8.4</v>
      </c>
      <c r="M2423" s="8">
        <v>16.16</v>
      </c>
      <c r="N2423" s="8">
        <v>22.48</v>
      </c>
      <c r="O2423" s="8">
        <v>15.488463895239921</v>
      </c>
      <c r="P2423" s="8">
        <v>0</v>
      </c>
      <c r="Q2423" s="8">
        <v>0</v>
      </c>
      <c r="R2423" s="8">
        <v>0</v>
      </c>
      <c r="S2423" s="8">
        <v>0</v>
      </c>
      <c r="T2423" s="5">
        <v>0</v>
      </c>
      <c r="U2423" s="5">
        <v>0</v>
      </c>
      <c r="V2423" s="5">
        <f>VLOOKUP(A2423,Planilha1!B:E,4,0)</f>
        <v>3.0503167986984403</v>
      </c>
    </row>
    <row r="2424" spans="1:22" x14ac:dyDescent="0.3">
      <c r="A2424" t="str">
        <f t="shared" si="74"/>
        <v>IOGURTESLACTALIS</v>
      </c>
      <c r="B2424" t="str">
        <f t="shared" si="75"/>
        <v>5252882IOGURTESLACTALIS</v>
      </c>
      <c r="C2424" s="5" t="s">
        <v>226</v>
      </c>
      <c r="D2424" s="5" t="s">
        <v>227</v>
      </c>
      <c r="E2424" s="5" t="s">
        <v>1722</v>
      </c>
      <c r="F2424" s="5">
        <v>5252882</v>
      </c>
      <c r="G2424" s="5" t="s">
        <v>274</v>
      </c>
      <c r="H2424" s="5" t="s">
        <v>30</v>
      </c>
      <c r="I2424" s="5" t="s">
        <v>22</v>
      </c>
      <c r="J2424" s="5" t="s">
        <v>153</v>
      </c>
      <c r="K2424" s="6">
        <v>0</v>
      </c>
      <c r="L2424" s="7">
        <v>48.96</v>
      </c>
      <c r="M2424" s="8">
        <v>41.82</v>
      </c>
      <c r="N2424" s="8">
        <v>28.560000000000002</v>
      </c>
      <c r="O2424" s="8">
        <v>30.475461704099743</v>
      </c>
      <c r="P2424" s="8">
        <v>0</v>
      </c>
      <c r="Q2424" s="8">
        <v>0</v>
      </c>
      <c r="R2424" s="8">
        <v>0</v>
      </c>
      <c r="S2424" s="8">
        <v>0</v>
      </c>
      <c r="T2424" s="5">
        <v>0</v>
      </c>
      <c r="U2424" s="5">
        <v>0</v>
      </c>
      <c r="V2424" s="5">
        <f>VLOOKUP(A2424,Planilha1!B:E,4,0)</f>
        <v>3.0503167986984403</v>
      </c>
    </row>
    <row r="2425" spans="1:22" x14ac:dyDescent="0.3">
      <c r="A2425" t="str">
        <f t="shared" si="74"/>
        <v>LEITE CONDENSADOLACTALIS</v>
      </c>
      <c r="B2425" t="str">
        <f t="shared" si="75"/>
        <v>5190692LEITE CONDENSADOLACTALIS</v>
      </c>
      <c r="C2425" s="5" t="s">
        <v>149</v>
      </c>
      <c r="D2425" s="5" t="s">
        <v>210</v>
      </c>
      <c r="E2425" s="5" t="s">
        <v>210</v>
      </c>
      <c r="F2425" s="5">
        <v>5190692</v>
      </c>
      <c r="G2425" s="5" t="s">
        <v>1288</v>
      </c>
      <c r="H2425" s="5" t="s">
        <v>30</v>
      </c>
      <c r="I2425" s="5" t="s">
        <v>22</v>
      </c>
      <c r="J2425" s="5" t="s">
        <v>33</v>
      </c>
      <c r="K2425" s="6">
        <v>0</v>
      </c>
      <c r="L2425" s="7">
        <v>0</v>
      </c>
      <c r="M2425" s="8">
        <v>2181.666666666667</v>
      </c>
      <c r="N2425" s="8">
        <v>1922.6666666666665</v>
      </c>
      <c r="O2425" s="8">
        <v>952</v>
      </c>
      <c r="P2425" s="8">
        <v>0</v>
      </c>
      <c r="Q2425" s="8">
        <v>0</v>
      </c>
      <c r="R2425" s="8">
        <v>0</v>
      </c>
      <c r="S2425" s="8">
        <v>0</v>
      </c>
      <c r="T2425" s="5">
        <v>0</v>
      </c>
      <c r="U2425" s="5">
        <v>0</v>
      </c>
      <c r="V2425" s="5">
        <f>VLOOKUP(A2425,Planilha1!B:E,4,0)</f>
        <v>1.8665071822970765</v>
      </c>
    </row>
    <row r="2426" spans="1:22" x14ac:dyDescent="0.3">
      <c r="A2426" t="str">
        <f t="shared" si="74"/>
        <v>SPREADSLACTALIS</v>
      </c>
      <c r="B2426" t="str">
        <f t="shared" si="75"/>
        <v>5190780SPREADSLACTALIS</v>
      </c>
      <c r="C2426" s="5" t="s">
        <v>149</v>
      </c>
      <c r="D2426" s="5" t="s">
        <v>210</v>
      </c>
      <c r="E2426" s="5" t="s">
        <v>210</v>
      </c>
      <c r="F2426" s="5">
        <v>5190780</v>
      </c>
      <c r="G2426" s="5" t="s">
        <v>1289</v>
      </c>
      <c r="H2426" s="5" t="s">
        <v>30</v>
      </c>
      <c r="I2426" s="5" t="s">
        <v>22</v>
      </c>
      <c r="J2426" s="5" t="s">
        <v>945</v>
      </c>
      <c r="K2426" s="6">
        <v>0</v>
      </c>
      <c r="L2426" s="7">
        <v>0</v>
      </c>
      <c r="M2426" s="8">
        <v>5.2666666666666666</v>
      </c>
      <c r="N2426" s="8">
        <v>3.333333333333333</v>
      </c>
      <c r="O2426" s="8">
        <v>3.1170676051126698</v>
      </c>
      <c r="P2426" s="8">
        <v>0</v>
      </c>
      <c r="Q2426" s="8">
        <v>0</v>
      </c>
      <c r="R2426" s="8">
        <v>0</v>
      </c>
      <c r="S2426" s="8">
        <v>0</v>
      </c>
      <c r="T2426" s="5">
        <v>0</v>
      </c>
      <c r="U2426" s="5">
        <v>0</v>
      </c>
      <c r="V2426" s="5">
        <f>VLOOKUP(A2426,Planilha1!B:E,4,0)</f>
        <v>13.599044988219518</v>
      </c>
    </row>
    <row r="2427" spans="1:22" x14ac:dyDescent="0.3">
      <c r="A2427" t="str">
        <f t="shared" si="74"/>
        <v>QUEIJOSLACTALIS</v>
      </c>
      <c r="B2427" t="str">
        <f t="shared" si="75"/>
        <v>5190780QUEIJOSLACTALIS</v>
      </c>
      <c r="C2427" s="5" t="s">
        <v>149</v>
      </c>
      <c r="D2427" s="5" t="s">
        <v>210</v>
      </c>
      <c r="E2427" s="5" t="s">
        <v>210</v>
      </c>
      <c r="F2427" s="5">
        <v>5190780</v>
      </c>
      <c r="G2427" s="5" t="s">
        <v>1289</v>
      </c>
      <c r="H2427" s="5" t="s">
        <v>30</v>
      </c>
      <c r="I2427" s="5" t="s">
        <v>22</v>
      </c>
      <c r="J2427" s="5" t="s">
        <v>63</v>
      </c>
      <c r="K2427" s="6">
        <v>0</v>
      </c>
      <c r="L2427" s="7">
        <v>0</v>
      </c>
      <c r="M2427" s="8">
        <v>25.664999999999999</v>
      </c>
      <c r="N2427" s="8">
        <v>19.93</v>
      </c>
      <c r="O2427" s="8">
        <v>2.3192806495079648</v>
      </c>
      <c r="P2427" s="8">
        <v>0</v>
      </c>
      <c r="Q2427" s="8">
        <v>0</v>
      </c>
      <c r="R2427" s="8">
        <v>0</v>
      </c>
      <c r="S2427" s="8">
        <v>0</v>
      </c>
      <c r="T2427" s="5">
        <v>0</v>
      </c>
      <c r="U2427" s="5">
        <v>0</v>
      </c>
      <c r="V2427" s="5">
        <f>VLOOKUP(A2427,Planilha1!B:E,4,0)</f>
        <v>-1.9171310037550682</v>
      </c>
    </row>
    <row r="2428" spans="1:22" x14ac:dyDescent="0.3">
      <c r="A2428" t="str">
        <f t="shared" si="74"/>
        <v>PARMESÃOLACTALIS</v>
      </c>
      <c r="B2428" t="str">
        <f t="shared" si="75"/>
        <v>5192480PARMESÃOLACTALIS</v>
      </c>
      <c r="C2428" s="5" t="s">
        <v>149</v>
      </c>
      <c r="D2428" s="5" t="s">
        <v>210</v>
      </c>
      <c r="E2428" s="5" t="s">
        <v>210</v>
      </c>
      <c r="F2428" s="5">
        <v>5192480</v>
      </c>
      <c r="G2428" s="5" t="s">
        <v>1290</v>
      </c>
      <c r="H2428" s="5" t="s">
        <v>30</v>
      </c>
      <c r="I2428" s="5" t="s">
        <v>22</v>
      </c>
      <c r="J2428" s="5" t="s">
        <v>195</v>
      </c>
      <c r="K2428" s="6">
        <v>0</v>
      </c>
      <c r="L2428" s="7">
        <v>0</v>
      </c>
      <c r="M2428" s="8">
        <v>167.04583333333335</v>
      </c>
      <c r="N2428" s="8">
        <v>281.37666666666667</v>
      </c>
      <c r="O2428" s="8">
        <v>0</v>
      </c>
      <c r="P2428" s="8">
        <v>0</v>
      </c>
      <c r="Q2428" s="8">
        <v>143.97999999999999</v>
      </c>
      <c r="R2428" s="8">
        <v>0</v>
      </c>
      <c r="S2428" s="8">
        <v>300</v>
      </c>
      <c r="T2428" s="5">
        <v>300</v>
      </c>
      <c r="U2428" s="5">
        <v>261</v>
      </c>
      <c r="V2428" s="5">
        <f>VLOOKUP(A2428,Planilha1!B:E,4,0)</f>
        <v>6.310326960724681</v>
      </c>
    </row>
    <row r="2429" spans="1:22" x14ac:dyDescent="0.3">
      <c r="A2429" t="str">
        <f t="shared" si="74"/>
        <v>IOGURTESLACTALIS</v>
      </c>
      <c r="B2429" t="str">
        <f t="shared" si="75"/>
        <v>5195658IOGURTESLACTALIS</v>
      </c>
      <c r="C2429" s="5" t="s">
        <v>226</v>
      </c>
      <c r="D2429" s="5" t="s">
        <v>227</v>
      </c>
      <c r="E2429" s="5" t="s">
        <v>1722</v>
      </c>
      <c r="F2429" s="5">
        <v>5195658</v>
      </c>
      <c r="G2429" s="5" t="s">
        <v>1107</v>
      </c>
      <c r="H2429" s="5" t="s">
        <v>30</v>
      </c>
      <c r="I2429" s="5" t="s">
        <v>22</v>
      </c>
      <c r="J2429" s="5" t="s">
        <v>153</v>
      </c>
      <c r="K2429" s="6">
        <v>0</v>
      </c>
      <c r="L2429" s="7">
        <v>0</v>
      </c>
      <c r="M2429" s="8">
        <v>27.6</v>
      </c>
      <c r="N2429" s="8">
        <v>30.666666666666668</v>
      </c>
      <c r="O2429" s="8">
        <v>2.5757121709523338</v>
      </c>
      <c r="P2429" s="8">
        <v>0</v>
      </c>
      <c r="Q2429" s="8">
        <v>18.399999999999999</v>
      </c>
      <c r="R2429" s="8">
        <v>0</v>
      </c>
      <c r="S2429" s="8">
        <v>0</v>
      </c>
      <c r="T2429" s="5">
        <v>0</v>
      </c>
      <c r="U2429" s="5">
        <v>0</v>
      </c>
      <c r="V2429" s="5">
        <f>VLOOKUP(A2429,Planilha1!B:E,4,0)</f>
        <v>3.0503167986984403</v>
      </c>
    </row>
    <row r="2430" spans="1:22" x14ac:dyDescent="0.3">
      <c r="A2430" t="str">
        <f t="shared" si="74"/>
        <v>SPREADSLACTALIS</v>
      </c>
      <c r="B2430" t="str">
        <f t="shared" si="75"/>
        <v>5195658SPREADSLACTALIS</v>
      </c>
      <c r="C2430" s="5" t="s">
        <v>226</v>
      </c>
      <c r="D2430" s="5" t="s">
        <v>227</v>
      </c>
      <c r="E2430" s="5" t="s">
        <v>1722</v>
      </c>
      <c r="F2430" s="5">
        <v>5195658</v>
      </c>
      <c r="G2430" s="5" t="s">
        <v>1107</v>
      </c>
      <c r="H2430" s="5" t="s">
        <v>30</v>
      </c>
      <c r="I2430" s="5" t="s">
        <v>22</v>
      </c>
      <c r="J2430" s="5" t="s">
        <v>945</v>
      </c>
      <c r="K2430" s="6">
        <v>0</v>
      </c>
      <c r="L2430" s="7">
        <v>0</v>
      </c>
      <c r="M2430" s="8">
        <v>12</v>
      </c>
      <c r="N2430" s="8">
        <v>18.666666666666668</v>
      </c>
      <c r="O2430" s="8">
        <v>25.791312579049258</v>
      </c>
      <c r="P2430" s="8">
        <v>0</v>
      </c>
      <c r="Q2430" s="8">
        <v>16</v>
      </c>
      <c r="R2430" s="8">
        <v>0</v>
      </c>
      <c r="S2430" s="8">
        <v>0</v>
      </c>
      <c r="T2430" s="5">
        <v>0</v>
      </c>
      <c r="U2430" s="5">
        <v>0</v>
      </c>
      <c r="V2430" s="5">
        <f>VLOOKUP(A2430,Planilha1!B:E,4,0)</f>
        <v>13.599044988219518</v>
      </c>
    </row>
    <row r="2431" spans="1:22" x14ac:dyDescent="0.3">
      <c r="A2431" t="str">
        <f t="shared" si="74"/>
        <v>LEITE EM PÓLACTALIS</v>
      </c>
      <c r="B2431" t="str">
        <f t="shared" si="75"/>
        <v>5197450LEITE EM PÓLACTALIS</v>
      </c>
      <c r="C2431" s="5" t="s">
        <v>226</v>
      </c>
      <c r="D2431" s="5" t="s">
        <v>227</v>
      </c>
      <c r="E2431" s="5" t="s">
        <v>1722</v>
      </c>
      <c r="F2431" s="5">
        <v>5197450</v>
      </c>
      <c r="G2431" s="5" t="s">
        <v>1109</v>
      </c>
      <c r="H2431" s="5" t="s">
        <v>30</v>
      </c>
      <c r="I2431" s="5" t="s">
        <v>22</v>
      </c>
      <c r="J2431" s="5" t="s">
        <v>84</v>
      </c>
      <c r="K2431" s="6">
        <v>0</v>
      </c>
      <c r="L2431" s="7">
        <v>0</v>
      </c>
      <c r="M2431" s="8">
        <v>3.166666666666667</v>
      </c>
      <c r="N2431" s="8">
        <v>6.3333333333333339</v>
      </c>
      <c r="O2431" s="8">
        <v>0</v>
      </c>
      <c r="P2431" s="8">
        <v>0</v>
      </c>
      <c r="Q2431" s="8">
        <v>9</v>
      </c>
      <c r="R2431" s="8">
        <v>0</v>
      </c>
      <c r="S2431" s="8">
        <v>0</v>
      </c>
      <c r="T2431" s="5">
        <v>0</v>
      </c>
      <c r="U2431" s="5">
        <v>0</v>
      </c>
      <c r="V2431" s="5">
        <f>VLOOKUP(A2431,Planilha1!B:E,4,0)</f>
        <v>-2.8055507108797499</v>
      </c>
    </row>
    <row r="2432" spans="1:22" x14ac:dyDescent="0.3">
      <c r="A2432" t="str">
        <f t="shared" si="74"/>
        <v>LEITE CONDENSADOLACTALIS</v>
      </c>
      <c r="B2432" t="str">
        <f t="shared" si="75"/>
        <v>5197450LEITE CONDENSADOLACTALIS</v>
      </c>
      <c r="C2432" s="5" t="s">
        <v>226</v>
      </c>
      <c r="D2432" s="5" t="s">
        <v>227</v>
      </c>
      <c r="E2432" s="5" t="s">
        <v>1722</v>
      </c>
      <c r="F2432" s="5">
        <v>5197450</v>
      </c>
      <c r="G2432" s="5" t="s">
        <v>1109</v>
      </c>
      <c r="H2432" s="5" t="s">
        <v>30</v>
      </c>
      <c r="I2432" s="5" t="s">
        <v>22</v>
      </c>
      <c r="J2432" s="5" t="s">
        <v>33</v>
      </c>
      <c r="K2432" s="6">
        <v>0</v>
      </c>
      <c r="L2432" s="7">
        <v>0</v>
      </c>
      <c r="M2432" s="8">
        <v>21</v>
      </c>
      <c r="N2432" s="8">
        <v>23.333333333333332</v>
      </c>
      <c r="O2432" s="8">
        <v>14</v>
      </c>
      <c r="P2432" s="8">
        <v>0</v>
      </c>
      <c r="Q2432" s="8">
        <v>0</v>
      </c>
      <c r="R2432" s="8">
        <v>0</v>
      </c>
      <c r="S2432" s="8">
        <v>0</v>
      </c>
      <c r="T2432" s="5">
        <v>18</v>
      </c>
      <c r="U2432" s="5">
        <v>0</v>
      </c>
      <c r="V2432" s="5">
        <f>VLOOKUP(A2432,Planilha1!B:E,4,0)</f>
        <v>1.8665071822970765</v>
      </c>
    </row>
    <row r="2433" spans="1:22" x14ac:dyDescent="0.3">
      <c r="A2433" t="str">
        <f t="shared" si="74"/>
        <v>PARMESÃOLACTALIS</v>
      </c>
      <c r="B2433" t="str">
        <f t="shared" si="75"/>
        <v>5204041PARMESÃOLACTALIS</v>
      </c>
      <c r="C2433" s="5" t="s">
        <v>149</v>
      </c>
      <c r="D2433" s="5" t="s">
        <v>210</v>
      </c>
      <c r="E2433" s="5" t="s">
        <v>210</v>
      </c>
      <c r="F2433" s="5">
        <v>5204041</v>
      </c>
      <c r="G2433" s="5" t="s">
        <v>1291</v>
      </c>
      <c r="H2433" s="5" t="s">
        <v>30</v>
      </c>
      <c r="I2433" s="5" t="s">
        <v>22</v>
      </c>
      <c r="J2433" s="5" t="s">
        <v>195</v>
      </c>
      <c r="K2433" s="6">
        <v>0</v>
      </c>
      <c r="L2433" s="7">
        <v>0</v>
      </c>
      <c r="M2433" s="8">
        <v>159.03833333333336</v>
      </c>
      <c r="N2433" s="8">
        <v>227.50666666666666</v>
      </c>
      <c r="O2433" s="8">
        <v>0</v>
      </c>
      <c r="P2433" s="8">
        <v>0</v>
      </c>
      <c r="Q2433" s="8">
        <v>0</v>
      </c>
      <c r="R2433" s="8">
        <v>0</v>
      </c>
      <c r="S2433" s="8">
        <v>250</v>
      </c>
      <c r="T2433" s="5">
        <v>250</v>
      </c>
      <c r="U2433" s="5">
        <v>133</v>
      </c>
      <c r="V2433" s="5">
        <f>VLOOKUP(A2433,Planilha1!B:E,4,0)</f>
        <v>6.310326960724681</v>
      </c>
    </row>
    <row r="2434" spans="1:22" x14ac:dyDescent="0.3">
      <c r="A2434" t="str">
        <f t="shared" ref="A2434:A2497" si="76">J2434&amp;I2434</f>
        <v>LPI 25KGLACTALIS</v>
      </c>
      <c r="B2434" t="str">
        <f t="shared" si="75"/>
        <v>5205744LPI 25KGLACTALIS</v>
      </c>
      <c r="C2434" s="5" t="s">
        <v>16</v>
      </c>
      <c r="D2434" s="5" t="s">
        <v>53</v>
      </c>
      <c r="E2434" s="5" t="s">
        <v>54</v>
      </c>
      <c r="F2434" s="5">
        <v>5205744</v>
      </c>
      <c r="G2434" s="5" t="s">
        <v>1292</v>
      </c>
      <c r="H2434" s="5" t="s">
        <v>30</v>
      </c>
      <c r="I2434" s="5" t="s">
        <v>22</v>
      </c>
      <c r="J2434" s="5" t="s">
        <v>21</v>
      </c>
      <c r="K2434" s="6">
        <v>0</v>
      </c>
      <c r="L2434" s="7">
        <v>0</v>
      </c>
      <c r="M2434" s="8">
        <v>2000</v>
      </c>
      <c r="N2434" s="8">
        <v>4000</v>
      </c>
      <c r="O2434" s="8">
        <v>0</v>
      </c>
      <c r="P2434" s="8">
        <v>0</v>
      </c>
      <c r="Q2434" s="8">
        <v>0</v>
      </c>
      <c r="R2434" s="8">
        <v>0</v>
      </c>
      <c r="S2434" s="8">
        <v>0</v>
      </c>
      <c r="T2434" s="5">
        <v>0</v>
      </c>
      <c r="U2434" s="5">
        <v>0</v>
      </c>
      <c r="V2434" s="5">
        <f>VLOOKUP(A2434,Planilha1!B:E,4,0)</f>
        <v>-4.3046759024811481</v>
      </c>
    </row>
    <row r="2435" spans="1:22" x14ac:dyDescent="0.3">
      <c r="A2435" t="str">
        <f t="shared" si="76"/>
        <v>LPI 25KGLACTALIS</v>
      </c>
      <c r="B2435" t="str">
        <f t="shared" ref="B2435:B2498" si="77">F2435&amp;J2435&amp;I2435</f>
        <v>5206128LPI 25KGLACTALIS</v>
      </c>
      <c r="C2435" s="5" t="s">
        <v>16</v>
      </c>
      <c r="D2435" s="5" t="s">
        <v>17</v>
      </c>
      <c r="E2435" s="5" t="s">
        <v>66</v>
      </c>
      <c r="F2435" s="5">
        <v>5206128</v>
      </c>
      <c r="G2435" s="5" t="s">
        <v>1293</v>
      </c>
      <c r="H2435" s="5" t="s">
        <v>25</v>
      </c>
      <c r="I2435" s="5" t="s">
        <v>22</v>
      </c>
      <c r="J2435" s="5" t="s">
        <v>21</v>
      </c>
      <c r="K2435" s="6">
        <v>0</v>
      </c>
      <c r="L2435" s="7">
        <v>0</v>
      </c>
      <c r="M2435" s="8">
        <v>4000</v>
      </c>
      <c r="N2435" s="8">
        <v>8000</v>
      </c>
      <c r="O2435" s="8">
        <v>0</v>
      </c>
      <c r="P2435" s="8">
        <v>0</v>
      </c>
      <c r="Q2435" s="8">
        <v>0</v>
      </c>
      <c r="R2435" s="8">
        <v>0</v>
      </c>
      <c r="S2435" s="8">
        <v>0</v>
      </c>
      <c r="T2435" s="5">
        <v>0</v>
      </c>
      <c r="U2435" s="5">
        <v>0</v>
      </c>
      <c r="V2435" s="5">
        <f>VLOOKUP(A2435,Planilha1!B:E,4,0)</f>
        <v>-4.3046759024811481</v>
      </c>
    </row>
    <row r="2436" spans="1:22" x14ac:dyDescent="0.3">
      <c r="A2436" t="str">
        <f t="shared" si="76"/>
        <v>CREME 35%LACTALIS</v>
      </c>
      <c r="B2436" t="str">
        <f t="shared" si="77"/>
        <v>5206830CREME 35%LACTALIS</v>
      </c>
      <c r="C2436" s="5" t="s">
        <v>16</v>
      </c>
      <c r="D2436" s="5" t="s">
        <v>17</v>
      </c>
      <c r="E2436" s="5" t="s">
        <v>44</v>
      </c>
      <c r="F2436" s="5">
        <v>5206830</v>
      </c>
      <c r="G2436" s="5" t="s">
        <v>70</v>
      </c>
      <c r="H2436" s="5" t="s">
        <v>25</v>
      </c>
      <c r="I2436" s="5" t="s">
        <v>22</v>
      </c>
      <c r="J2436" s="5" t="s">
        <v>89</v>
      </c>
      <c r="K2436" s="6">
        <v>0</v>
      </c>
      <c r="L2436" s="7">
        <v>0</v>
      </c>
      <c r="M2436" s="8">
        <v>650</v>
      </c>
      <c r="N2436" s="8">
        <v>1266.6666666666667</v>
      </c>
      <c r="O2436" s="8">
        <v>0</v>
      </c>
      <c r="P2436" s="8">
        <v>0</v>
      </c>
      <c r="Q2436" s="8">
        <v>0</v>
      </c>
      <c r="R2436" s="8">
        <v>0</v>
      </c>
      <c r="S2436" s="8">
        <v>0</v>
      </c>
      <c r="T2436" s="5">
        <v>0</v>
      </c>
      <c r="U2436" s="5">
        <v>0</v>
      </c>
      <c r="V2436" s="5">
        <f>VLOOKUP(A2436,Planilha1!B:E,4,0)</f>
        <v>6.4420264254159507</v>
      </c>
    </row>
    <row r="2437" spans="1:22" x14ac:dyDescent="0.3">
      <c r="A2437" t="str">
        <f t="shared" si="76"/>
        <v>QUEIJOSLACTALIS</v>
      </c>
      <c r="B2437" t="str">
        <f t="shared" si="77"/>
        <v>5207394QUEIJOSLACTALIS</v>
      </c>
      <c r="C2437" s="5" t="s">
        <v>149</v>
      </c>
      <c r="D2437" s="5" t="s">
        <v>210</v>
      </c>
      <c r="E2437" s="5" t="s">
        <v>210</v>
      </c>
      <c r="F2437" s="5">
        <v>5207394</v>
      </c>
      <c r="G2437" s="5" t="s">
        <v>215</v>
      </c>
      <c r="H2437" s="5" t="s">
        <v>154</v>
      </c>
      <c r="I2437" s="5" t="s">
        <v>22</v>
      </c>
      <c r="J2437" s="5" t="s">
        <v>63</v>
      </c>
      <c r="K2437" s="6">
        <v>0</v>
      </c>
      <c r="L2437" s="7">
        <v>0</v>
      </c>
      <c r="M2437" s="8">
        <v>20.5</v>
      </c>
      <c r="N2437" s="8">
        <v>31</v>
      </c>
      <c r="O2437" s="8">
        <v>0</v>
      </c>
      <c r="P2437" s="8">
        <v>0</v>
      </c>
      <c r="Q2437" s="8">
        <v>0</v>
      </c>
      <c r="R2437" s="8">
        <v>0</v>
      </c>
      <c r="S2437" s="8">
        <v>0</v>
      </c>
      <c r="T2437" s="5">
        <v>0</v>
      </c>
      <c r="U2437" s="5">
        <v>0</v>
      </c>
      <c r="V2437" s="5">
        <f>VLOOKUP(A2437,Planilha1!B:E,4,0)</f>
        <v>-1.9171310037550682</v>
      </c>
    </row>
    <row r="2438" spans="1:22" x14ac:dyDescent="0.3">
      <c r="A2438" t="str">
        <f t="shared" si="76"/>
        <v>IOGURTESLACTALIS</v>
      </c>
      <c r="B2438" t="str">
        <f t="shared" si="77"/>
        <v>5207394IOGURTESLACTALIS</v>
      </c>
      <c r="C2438" s="5" t="s">
        <v>149</v>
      </c>
      <c r="D2438" s="5" t="s">
        <v>210</v>
      </c>
      <c r="E2438" s="5" t="s">
        <v>210</v>
      </c>
      <c r="F2438" s="5">
        <v>5207394</v>
      </c>
      <c r="G2438" s="5" t="s">
        <v>215</v>
      </c>
      <c r="H2438" s="5" t="s">
        <v>154</v>
      </c>
      <c r="I2438" s="5" t="s">
        <v>22</v>
      </c>
      <c r="J2438" s="5" t="s">
        <v>153</v>
      </c>
      <c r="K2438" s="6">
        <v>0</v>
      </c>
      <c r="L2438" s="7">
        <v>882.83999999999992</v>
      </c>
      <c r="M2438" s="8">
        <v>273.60000000000002</v>
      </c>
      <c r="N2438" s="8">
        <v>381.59999999999997</v>
      </c>
      <c r="O2438" s="8">
        <v>156.51440373313454</v>
      </c>
      <c r="P2438" s="8">
        <v>0</v>
      </c>
      <c r="Q2438" s="8">
        <v>0</v>
      </c>
      <c r="R2438" s="8">
        <v>0</v>
      </c>
      <c r="S2438" s="8">
        <v>0</v>
      </c>
      <c r="T2438" s="5">
        <v>0</v>
      </c>
      <c r="U2438" s="5">
        <v>0</v>
      </c>
      <c r="V2438" s="5">
        <f>VLOOKUP(A2438,Planilha1!B:E,4,0)</f>
        <v>3.0503167986984403</v>
      </c>
    </row>
    <row r="2439" spans="1:22" x14ac:dyDescent="0.3">
      <c r="A2439" t="str">
        <f t="shared" si="76"/>
        <v>IOGURTESLACTALIS</v>
      </c>
      <c r="B2439" t="str">
        <f t="shared" si="77"/>
        <v>5253698IOGURTESLACTALIS</v>
      </c>
      <c r="C2439" s="5" t="s">
        <v>226</v>
      </c>
      <c r="D2439" s="5" t="s">
        <v>227</v>
      </c>
      <c r="E2439" s="5" t="s">
        <v>1722</v>
      </c>
      <c r="F2439" s="5">
        <v>5253698</v>
      </c>
      <c r="G2439" s="5" t="s">
        <v>583</v>
      </c>
      <c r="H2439" s="5" t="s">
        <v>30</v>
      </c>
      <c r="I2439" s="5" t="s">
        <v>22</v>
      </c>
      <c r="J2439" s="5" t="s">
        <v>153</v>
      </c>
      <c r="K2439" s="6">
        <v>0</v>
      </c>
      <c r="L2439" s="7">
        <v>124.56</v>
      </c>
      <c r="M2439" s="8">
        <v>130.62666666666667</v>
      </c>
      <c r="N2439" s="8">
        <v>153.38666666666666</v>
      </c>
      <c r="O2439" s="8">
        <v>89.300852723438112</v>
      </c>
      <c r="P2439" s="8">
        <v>0</v>
      </c>
      <c r="Q2439" s="8">
        <v>35.840000000000003</v>
      </c>
      <c r="R2439" s="8">
        <v>0</v>
      </c>
      <c r="S2439" s="8">
        <v>0</v>
      </c>
      <c r="T2439" s="5">
        <v>0</v>
      </c>
      <c r="U2439" s="5">
        <v>0</v>
      </c>
      <c r="V2439" s="5">
        <f>VLOOKUP(A2439,Planilha1!B:E,4,0)</f>
        <v>3.0503167986984403</v>
      </c>
    </row>
    <row r="2440" spans="1:22" x14ac:dyDescent="0.3">
      <c r="A2440" t="str">
        <f t="shared" si="76"/>
        <v>MERC + AROMLACTALIS</v>
      </c>
      <c r="B2440" t="str">
        <f t="shared" si="77"/>
        <v>5208306MERC + AROMLACTALIS</v>
      </c>
      <c r="C2440" s="5" t="s">
        <v>149</v>
      </c>
      <c r="D2440" s="5" t="s">
        <v>150</v>
      </c>
      <c r="E2440" s="5" t="s">
        <v>151</v>
      </c>
      <c r="F2440" s="5">
        <v>5208306</v>
      </c>
      <c r="G2440" s="5" t="s">
        <v>205</v>
      </c>
      <c r="H2440" s="5" t="s">
        <v>103</v>
      </c>
      <c r="I2440" s="5" t="s">
        <v>22</v>
      </c>
      <c r="J2440" s="5" t="s">
        <v>230</v>
      </c>
      <c r="K2440" s="6">
        <v>0</v>
      </c>
      <c r="L2440" s="7">
        <v>0</v>
      </c>
      <c r="M2440" s="8">
        <v>972</v>
      </c>
      <c r="N2440" s="8">
        <v>1744</v>
      </c>
      <c r="O2440" s="8">
        <v>133.97122375904729</v>
      </c>
      <c r="P2440" s="8">
        <v>0</v>
      </c>
      <c r="Q2440" s="8">
        <v>0</v>
      </c>
      <c r="R2440" s="8">
        <v>0</v>
      </c>
      <c r="S2440" s="8">
        <v>0</v>
      </c>
      <c r="T2440" s="5">
        <v>0</v>
      </c>
      <c r="U2440" s="5">
        <v>0</v>
      </c>
      <c r="V2440" s="5">
        <f>VLOOKUP(A2440,Planilha1!B:E,4,0)</f>
        <v>0.86907188046232187</v>
      </c>
    </row>
    <row r="2441" spans="1:22" x14ac:dyDescent="0.3">
      <c r="A2441" t="str">
        <f t="shared" si="76"/>
        <v>LEITE CONDENSADOLACTALIS</v>
      </c>
      <c r="B2441" t="str">
        <f t="shared" si="77"/>
        <v>5208306LEITE CONDENSADOLACTALIS</v>
      </c>
      <c r="C2441" s="5" t="s">
        <v>149</v>
      </c>
      <c r="D2441" s="5" t="s">
        <v>150</v>
      </c>
      <c r="E2441" s="5" t="s">
        <v>151</v>
      </c>
      <c r="F2441" s="5">
        <v>5208306</v>
      </c>
      <c r="G2441" s="5" t="s">
        <v>205</v>
      </c>
      <c r="H2441" s="5" t="s">
        <v>103</v>
      </c>
      <c r="I2441" s="5" t="s">
        <v>22</v>
      </c>
      <c r="J2441" s="5" t="s">
        <v>33</v>
      </c>
      <c r="K2441" s="6">
        <v>0</v>
      </c>
      <c r="L2441" s="7">
        <v>0</v>
      </c>
      <c r="M2441" s="8">
        <v>164.32</v>
      </c>
      <c r="N2441" s="8">
        <v>202.24</v>
      </c>
      <c r="O2441" s="8">
        <v>284.39999999999998</v>
      </c>
      <c r="P2441" s="8">
        <v>0</v>
      </c>
      <c r="Q2441" s="8">
        <v>0</v>
      </c>
      <c r="R2441" s="8">
        <v>0</v>
      </c>
      <c r="S2441" s="8">
        <v>250</v>
      </c>
      <c r="T2441" s="5">
        <v>200</v>
      </c>
      <c r="U2441" s="5">
        <v>0</v>
      </c>
      <c r="V2441" s="5">
        <f>VLOOKUP(A2441,Planilha1!B:E,4,0)</f>
        <v>1.8665071822970765</v>
      </c>
    </row>
    <row r="2442" spans="1:22" x14ac:dyDescent="0.3">
      <c r="A2442" t="str">
        <f t="shared" si="76"/>
        <v>CREME UHTLACTALIS</v>
      </c>
      <c r="B2442" t="str">
        <f t="shared" si="77"/>
        <v>5208306CREME UHTLACTALIS</v>
      </c>
      <c r="C2442" s="5" t="s">
        <v>149</v>
      </c>
      <c r="D2442" s="5" t="s">
        <v>150</v>
      </c>
      <c r="E2442" s="5" t="s">
        <v>151</v>
      </c>
      <c r="F2442" s="5">
        <v>5208306</v>
      </c>
      <c r="G2442" s="5" t="s">
        <v>205</v>
      </c>
      <c r="H2442" s="5" t="s">
        <v>103</v>
      </c>
      <c r="I2442" s="5" t="s">
        <v>22</v>
      </c>
      <c r="J2442" s="5" t="s">
        <v>34</v>
      </c>
      <c r="K2442" s="6">
        <v>0</v>
      </c>
      <c r="L2442" s="7">
        <v>0</v>
      </c>
      <c r="M2442" s="8">
        <v>115.2</v>
      </c>
      <c r="N2442" s="8">
        <v>139.20000000000002</v>
      </c>
      <c r="O2442" s="8">
        <v>158.4</v>
      </c>
      <c r="P2442" s="8">
        <v>0</v>
      </c>
      <c r="Q2442" s="8">
        <v>0</v>
      </c>
      <c r="R2442" s="8">
        <v>0</v>
      </c>
      <c r="S2442" s="8">
        <v>150</v>
      </c>
      <c r="T2442" s="5">
        <v>150</v>
      </c>
      <c r="U2442" s="5">
        <v>0</v>
      </c>
      <c r="V2442" s="5">
        <f>VLOOKUP(A2442,Planilha1!B:E,4,0)</f>
        <v>-1.4094522863012933</v>
      </c>
    </row>
    <row r="2443" spans="1:22" x14ac:dyDescent="0.3">
      <c r="A2443" t="str">
        <f t="shared" si="76"/>
        <v>QUEIJOSLACTALIS</v>
      </c>
      <c r="B2443" t="str">
        <f t="shared" si="77"/>
        <v>5211344QUEIJOSLACTALIS</v>
      </c>
      <c r="C2443" s="5" t="s">
        <v>226</v>
      </c>
      <c r="D2443" s="5" t="s">
        <v>815</v>
      </c>
      <c r="E2443" s="5" t="s">
        <v>815</v>
      </c>
      <c r="F2443" s="5">
        <v>5211344</v>
      </c>
      <c r="G2443" s="5" t="s">
        <v>832</v>
      </c>
      <c r="H2443" s="5" t="s">
        <v>30</v>
      </c>
      <c r="I2443" s="5" t="s">
        <v>22</v>
      </c>
      <c r="J2443" s="5" t="s">
        <v>63</v>
      </c>
      <c r="K2443" s="6">
        <v>0</v>
      </c>
      <c r="L2443" s="7">
        <v>0</v>
      </c>
      <c r="M2443" s="8">
        <v>469.28383333333335</v>
      </c>
      <c r="N2443" s="8">
        <v>938.5676666666667</v>
      </c>
      <c r="O2443" s="8">
        <v>0</v>
      </c>
      <c r="P2443" s="8">
        <v>0</v>
      </c>
      <c r="Q2443" s="8">
        <v>0</v>
      </c>
      <c r="R2443" s="8">
        <v>0</v>
      </c>
      <c r="S2443" s="8">
        <v>0</v>
      </c>
      <c r="T2443" s="5">
        <v>0</v>
      </c>
      <c r="U2443" s="5">
        <v>0</v>
      </c>
      <c r="V2443" s="5">
        <f>VLOOKUP(A2443,Planilha1!B:E,4,0)</f>
        <v>-1.9171310037550682</v>
      </c>
    </row>
    <row r="2444" spans="1:22" x14ac:dyDescent="0.3">
      <c r="A2444" t="str">
        <f t="shared" si="76"/>
        <v>LEITE EM PÓLACTALIS</v>
      </c>
      <c r="B2444" t="str">
        <f t="shared" si="77"/>
        <v>5212172LEITE EM PÓLACTALIS</v>
      </c>
      <c r="C2444" s="5" t="s">
        <v>16</v>
      </c>
      <c r="D2444" s="5" t="s">
        <v>53</v>
      </c>
      <c r="E2444" s="5" t="s">
        <v>54</v>
      </c>
      <c r="F2444" s="5">
        <v>5212172</v>
      </c>
      <c r="G2444" s="5" t="s">
        <v>970</v>
      </c>
      <c r="H2444" s="5" t="s">
        <v>25</v>
      </c>
      <c r="I2444" s="5" t="s">
        <v>22</v>
      </c>
      <c r="J2444" s="5" t="s">
        <v>84</v>
      </c>
      <c r="K2444" s="6">
        <v>0</v>
      </c>
      <c r="L2444" s="7">
        <v>0</v>
      </c>
      <c r="M2444" s="8">
        <v>8166.6666666666679</v>
      </c>
      <c r="N2444" s="8">
        <v>-333.33333333333394</v>
      </c>
      <c r="O2444" s="8">
        <v>0</v>
      </c>
      <c r="P2444" s="8">
        <v>0</v>
      </c>
      <c r="Q2444" s="8">
        <v>0</v>
      </c>
      <c r="R2444" s="8">
        <v>0</v>
      </c>
      <c r="S2444" s="8">
        <v>0</v>
      </c>
      <c r="T2444" s="5">
        <v>0</v>
      </c>
      <c r="U2444" s="5">
        <v>0</v>
      </c>
      <c r="V2444" s="5">
        <f>VLOOKUP(A2444,Planilha1!B:E,4,0)</f>
        <v>-2.8055507108797499</v>
      </c>
    </row>
    <row r="2445" spans="1:22" x14ac:dyDescent="0.3">
      <c r="A2445" t="str">
        <f t="shared" si="76"/>
        <v>QUEIJOSLACTALIS</v>
      </c>
      <c r="B2445" t="str">
        <f t="shared" si="77"/>
        <v>5215067QUEIJOSLACTALIS</v>
      </c>
      <c r="C2445" s="5" t="s">
        <v>226</v>
      </c>
      <c r="D2445" s="5" t="s">
        <v>227</v>
      </c>
      <c r="E2445" s="5" t="s">
        <v>1722</v>
      </c>
      <c r="F2445" s="5">
        <v>5215067</v>
      </c>
      <c r="G2445" s="5" t="s">
        <v>258</v>
      </c>
      <c r="H2445" s="5" t="s">
        <v>30</v>
      </c>
      <c r="I2445" s="5" t="s">
        <v>22</v>
      </c>
      <c r="J2445" s="5" t="s">
        <v>63</v>
      </c>
      <c r="K2445" s="6">
        <v>0</v>
      </c>
      <c r="L2445" s="7">
        <v>0</v>
      </c>
      <c r="M2445" s="8">
        <v>0.5</v>
      </c>
      <c r="N2445" s="8">
        <v>1</v>
      </c>
      <c r="O2445" s="8">
        <v>0</v>
      </c>
      <c r="P2445" s="8">
        <v>0</v>
      </c>
      <c r="Q2445" s="8">
        <v>0</v>
      </c>
      <c r="R2445" s="8">
        <v>0</v>
      </c>
      <c r="S2445" s="8">
        <v>0</v>
      </c>
      <c r="T2445" s="5">
        <v>0</v>
      </c>
      <c r="U2445" s="5">
        <v>0</v>
      </c>
      <c r="V2445" s="5">
        <f>VLOOKUP(A2445,Planilha1!B:E,4,0)</f>
        <v>-1.9171310037550682</v>
      </c>
    </row>
    <row r="2446" spans="1:22" x14ac:dyDescent="0.3">
      <c r="A2446" t="str">
        <f t="shared" si="76"/>
        <v>SPREADSLACTALIS</v>
      </c>
      <c r="B2446" t="str">
        <f t="shared" si="77"/>
        <v>5253937SPREADSLACTALIS</v>
      </c>
      <c r="C2446" s="5" t="s">
        <v>226</v>
      </c>
      <c r="D2446" s="5" t="s">
        <v>227</v>
      </c>
      <c r="E2446" s="5" t="s">
        <v>1722</v>
      </c>
      <c r="F2446" s="5">
        <v>5253937</v>
      </c>
      <c r="G2446" s="5" t="s">
        <v>1294</v>
      </c>
      <c r="H2446" s="5" t="s">
        <v>30</v>
      </c>
      <c r="I2446" s="5" t="s">
        <v>22</v>
      </c>
      <c r="J2446" s="5" t="s">
        <v>945</v>
      </c>
      <c r="K2446" s="6">
        <v>0</v>
      </c>
      <c r="L2446" s="7">
        <v>22</v>
      </c>
      <c r="M2446" s="8">
        <v>28</v>
      </c>
      <c r="N2446" s="8">
        <v>24</v>
      </c>
      <c r="O2446" s="8">
        <v>20.292281063631112</v>
      </c>
      <c r="P2446" s="8">
        <v>0</v>
      </c>
      <c r="Q2446" s="8">
        <v>12</v>
      </c>
      <c r="R2446" s="8">
        <v>0</v>
      </c>
      <c r="S2446" s="8">
        <v>0</v>
      </c>
      <c r="T2446" s="5">
        <v>0</v>
      </c>
      <c r="U2446" s="5">
        <v>0</v>
      </c>
      <c r="V2446" s="5">
        <f>VLOOKUP(A2446,Planilha1!B:E,4,0)</f>
        <v>13.599044988219518</v>
      </c>
    </row>
    <row r="2447" spans="1:22" x14ac:dyDescent="0.3">
      <c r="A2447" t="str">
        <f t="shared" si="76"/>
        <v>MANTEIGA 5KGLACTALIS</v>
      </c>
      <c r="B2447" t="str">
        <f t="shared" si="77"/>
        <v>5217104MANTEIGA 5KGLACTALIS</v>
      </c>
      <c r="C2447" s="5" t="s">
        <v>226</v>
      </c>
      <c r="D2447" s="5" t="s">
        <v>227</v>
      </c>
      <c r="E2447" s="5" t="s">
        <v>1722</v>
      </c>
      <c r="F2447" s="5">
        <v>5217104</v>
      </c>
      <c r="G2447" s="5" t="s">
        <v>1295</v>
      </c>
      <c r="H2447" s="5" t="s">
        <v>30</v>
      </c>
      <c r="I2447" s="5" t="s">
        <v>22</v>
      </c>
      <c r="J2447" s="5" t="s">
        <v>60</v>
      </c>
      <c r="K2447" s="6">
        <v>0</v>
      </c>
      <c r="L2447" s="7">
        <v>0</v>
      </c>
      <c r="M2447" s="8">
        <v>16.666666666666668</v>
      </c>
      <c r="N2447" s="8">
        <v>33.333333333333336</v>
      </c>
      <c r="O2447" s="8">
        <v>0</v>
      </c>
      <c r="P2447" s="8">
        <v>0</v>
      </c>
      <c r="Q2447" s="8">
        <v>5</v>
      </c>
      <c r="R2447" s="8">
        <v>0</v>
      </c>
      <c r="S2447" s="8">
        <v>20</v>
      </c>
      <c r="T2447" s="5">
        <v>20</v>
      </c>
      <c r="U2447" s="5">
        <v>0</v>
      </c>
      <c r="V2447" s="5">
        <f>VLOOKUP(A2447,Planilha1!B:E,4,0)</f>
        <v>11.476197020267191</v>
      </c>
    </row>
    <row r="2448" spans="1:22" x14ac:dyDescent="0.3">
      <c r="A2448" t="str">
        <f t="shared" si="76"/>
        <v>IOGURTESLACTALIS</v>
      </c>
      <c r="B2448" t="str">
        <f t="shared" si="77"/>
        <v>5255373IOGURTESLACTALIS</v>
      </c>
      <c r="C2448" s="5" t="s">
        <v>226</v>
      </c>
      <c r="D2448" s="5" t="s">
        <v>227</v>
      </c>
      <c r="E2448" s="5" t="s">
        <v>1722</v>
      </c>
      <c r="F2448" s="5">
        <v>5255373</v>
      </c>
      <c r="G2448" s="5" t="s">
        <v>407</v>
      </c>
      <c r="H2448" s="5" t="s">
        <v>30</v>
      </c>
      <c r="I2448" s="5" t="s">
        <v>22</v>
      </c>
      <c r="J2448" s="5" t="s">
        <v>153</v>
      </c>
      <c r="K2448" s="6">
        <v>0</v>
      </c>
      <c r="L2448" s="7">
        <v>40.799999999999997</v>
      </c>
      <c r="M2448" s="8">
        <v>48.373333333333335</v>
      </c>
      <c r="N2448" s="8">
        <v>42.933333333333337</v>
      </c>
      <c r="O2448" s="8">
        <v>62.392638406542275</v>
      </c>
      <c r="P2448" s="8">
        <v>0</v>
      </c>
      <c r="Q2448" s="8">
        <v>0</v>
      </c>
      <c r="R2448" s="8">
        <v>0</v>
      </c>
      <c r="S2448" s="8">
        <v>0</v>
      </c>
      <c r="T2448" s="5">
        <v>0</v>
      </c>
      <c r="U2448" s="5">
        <v>0</v>
      </c>
      <c r="V2448" s="5">
        <f>VLOOKUP(A2448,Planilha1!B:E,4,0)</f>
        <v>3.0503167986984403</v>
      </c>
    </row>
    <row r="2449" spans="1:22" x14ac:dyDescent="0.3">
      <c r="A2449" t="str">
        <f t="shared" si="76"/>
        <v>IOGURTESLACTALIS</v>
      </c>
      <c r="B2449" t="str">
        <f t="shared" si="77"/>
        <v>5259823IOGURTESLACTALIS</v>
      </c>
      <c r="C2449" s="5" t="s">
        <v>226</v>
      </c>
      <c r="D2449" s="5" t="s">
        <v>227</v>
      </c>
      <c r="E2449" s="5" t="s">
        <v>1722</v>
      </c>
      <c r="F2449" s="5">
        <v>5259823</v>
      </c>
      <c r="G2449" s="5" t="s">
        <v>1296</v>
      </c>
      <c r="H2449" s="5" t="s">
        <v>30</v>
      </c>
      <c r="I2449" s="5" t="s">
        <v>22</v>
      </c>
      <c r="J2449" s="5" t="s">
        <v>153</v>
      </c>
      <c r="K2449" s="6">
        <v>0</v>
      </c>
      <c r="L2449" s="7">
        <v>0</v>
      </c>
      <c r="M2449" s="8">
        <v>63.653333333333329</v>
      </c>
      <c r="N2449" s="8">
        <v>58.506666666666668</v>
      </c>
      <c r="O2449" s="8">
        <v>53.85061950331761</v>
      </c>
      <c r="P2449" s="8">
        <v>0</v>
      </c>
      <c r="Q2449" s="8">
        <v>36</v>
      </c>
      <c r="R2449" s="8">
        <v>0</v>
      </c>
      <c r="S2449" s="8">
        <v>0</v>
      </c>
      <c r="T2449" s="5">
        <v>0</v>
      </c>
      <c r="U2449" s="5">
        <v>0</v>
      </c>
      <c r="V2449" s="5">
        <f>VLOOKUP(A2449,Planilha1!B:E,4,0)</f>
        <v>3.0503167986984403</v>
      </c>
    </row>
    <row r="2450" spans="1:22" x14ac:dyDescent="0.3">
      <c r="A2450" t="str">
        <f t="shared" si="76"/>
        <v>IOGURTESLACTALIS</v>
      </c>
      <c r="B2450" t="str">
        <f t="shared" si="77"/>
        <v>5259994IOGURTESLACTALIS</v>
      </c>
      <c r="C2450" s="5" t="s">
        <v>226</v>
      </c>
      <c r="D2450" s="5" t="s">
        <v>227</v>
      </c>
      <c r="E2450" s="5" t="s">
        <v>1722</v>
      </c>
      <c r="F2450" s="5">
        <v>5259994</v>
      </c>
      <c r="G2450" s="5" t="s">
        <v>280</v>
      </c>
      <c r="H2450" s="5" t="s">
        <v>30</v>
      </c>
      <c r="I2450" s="5" t="s">
        <v>22</v>
      </c>
      <c r="J2450" s="5" t="s">
        <v>153</v>
      </c>
      <c r="K2450" s="6">
        <v>0</v>
      </c>
      <c r="L2450" s="7">
        <v>64.8</v>
      </c>
      <c r="M2450" s="8">
        <v>61.099999999999994</v>
      </c>
      <c r="N2450" s="8">
        <v>59.2</v>
      </c>
      <c r="O2450" s="8">
        <v>60.882541669147656</v>
      </c>
      <c r="P2450" s="8">
        <v>0</v>
      </c>
      <c r="Q2450" s="8">
        <v>56.199999999999996</v>
      </c>
      <c r="R2450" s="8">
        <v>0</v>
      </c>
      <c r="S2450" s="8">
        <v>0</v>
      </c>
      <c r="T2450" s="5">
        <v>0</v>
      </c>
      <c r="U2450" s="5">
        <v>0</v>
      </c>
      <c r="V2450" s="5">
        <f>VLOOKUP(A2450,Planilha1!B:E,4,0)</f>
        <v>3.0503167986984403</v>
      </c>
    </row>
    <row r="2451" spans="1:22" x14ac:dyDescent="0.3">
      <c r="A2451" t="str">
        <f t="shared" si="76"/>
        <v>LEITE UHTLACTALIS</v>
      </c>
      <c r="B2451" t="str">
        <f t="shared" si="77"/>
        <v>5221294LEITE UHTLACTALIS</v>
      </c>
      <c r="C2451" s="5" t="s">
        <v>226</v>
      </c>
      <c r="D2451" s="5" t="s">
        <v>227</v>
      </c>
      <c r="E2451" s="5" t="s">
        <v>1722</v>
      </c>
      <c r="F2451" s="5">
        <v>5221294</v>
      </c>
      <c r="G2451" s="5" t="s">
        <v>272</v>
      </c>
      <c r="H2451" s="5" t="s">
        <v>30</v>
      </c>
      <c r="I2451" s="5" t="s">
        <v>22</v>
      </c>
      <c r="J2451" s="5" t="s">
        <v>156</v>
      </c>
      <c r="K2451" s="6">
        <v>0</v>
      </c>
      <c r="L2451" s="7">
        <v>0</v>
      </c>
      <c r="M2451" s="8">
        <v>152</v>
      </c>
      <c r="N2451" s="8">
        <v>168</v>
      </c>
      <c r="O2451" s="8">
        <v>0</v>
      </c>
      <c r="P2451" s="8">
        <v>0</v>
      </c>
      <c r="Q2451" s="8">
        <v>0</v>
      </c>
      <c r="R2451" s="8">
        <v>0</v>
      </c>
      <c r="S2451" s="8">
        <v>0</v>
      </c>
      <c r="T2451" s="5">
        <v>0</v>
      </c>
      <c r="U2451" s="5">
        <v>0</v>
      </c>
      <c r="V2451" s="5">
        <f>VLOOKUP(A2451,Planilha1!B:E,4,0)</f>
        <v>0.37177548115779385</v>
      </c>
    </row>
    <row r="2452" spans="1:22" x14ac:dyDescent="0.3">
      <c r="A2452" t="str">
        <f t="shared" si="76"/>
        <v>QUEIJOSLACTALIS</v>
      </c>
      <c r="B2452" t="str">
        <f t="shared" si="77"/>
        <v>5221399QUEIJOSLACTALIS</v>
      </c>
      <c r="C2452" s="5" t="s">
        <v>226</v>
      </c>
      <c r="D2452" s="5" t="s">
        <v>227</v>
      </c>
      <c r="E2452" s="5" t="s">
        <v>1722</v>
      </c>
      <c r="F2452" s="5">
        <v>5221399</v>
      </c>
      <c r="G2452" s="5" t="s">
        <v>244</v>
      </c>
      <c r="H2452" s="5" t="s">
        <v>30</v>
      </c>
      <c r="I2452" s="5" t="s">
        <v>22</v>
      </c>
      <c r="J2452" s="5" t="s">
        <v>63</v>
      </c>
      <c r="K2452" s="6">
        <v>0</v>
      </c>
      <c r="L2452" s="7">
        <v>236.04</v>
      </c>
      <c r="M2452" s="8">
        <v>410.89</v>
      </c>
      <c r="N2452" s="8">
        <v>339.89</v>
      </c>
      <c r="O2452" s="8">
        <v>140.62704636009227</v>
      </c>
      <c r="P2452" s="8">
        <v>0</v>
      </c>
      <c r="Q2452" s="8">
        <v>0</v>
      </c>
      <c r="R2452" s="8">
        <v>0</v>
      </c>
      <c r="S2452" s="8">
        <v>0</v>
      </c>
      <c r="T2452" s="5">
        <v>0</v>
      </c>
      <c r="U2452" s="5">
        <v>237</v>
      </c>
      <c r="V2452" s="5">
        <f>VLOOKUP(A2452,Planilha1!B:E,4,0)</f>
        <v>-1.9171310037550682</v>
      </c>
    </row>
    <row r="2453" spans="1:22" x14ac:dyDescent="0.3">
      <c r="A2453" t="str">
        <f t="shared" si="76"/>
        <v>LEITE EM PÓLACTALIS</v>
      </c>
      <c r="B2453" t="str">
        <f t="shared" si="77"/>
        <v>5225690LEITE EM PÓLACTALIS</v>
      </c>
      <c r="C2453" s="5" t="s">
        <v>16</v>
      </c>
      <c r="D2453" s="5" t="s">
        <v>53</v>
      </c>
      <c r="E2453" s="5" t="s">
        <v>54</v>
      </c>
      <c r="F2453" s="5">
        <v>5225690</v>
      </c>
      <c r="G2453" s="5" t="s">
        <v>137</v>
      </c>
      <c r="H2453" s="5" t="s">
        <v>103</v>
      </c>
      <c r="I2453" s="5" t="s">
        <v>22</v>
      </c>
      <c r="J2453" s="5" t="s">
        <v>84</v>
      </c>
      <c r="K2453" s="6">
        <v>0</v>
      </c>
      <c r="L2453" s="7">
        <v>0</v>
      </c>
      <c r="M2453" s="8">
        <v>20000</v>
      </c>
      <c r="N2453" s="8">
        <v>40000</v>
      </c>
      <c r="O2453" s="8">
        <v>0</v>
      </c>
      <c r="P2453" s="8">
        <v>0</v>
      </c>
      <c r="Q2453" s="8">
        <v>96000</v>
      </c>
      <c r="R2453" s="8">
        <v>0</v>
      </c>
      <c r="S2453" s="8">
        <v>0</v>
      </c>
      <c r="T2453" s="5">
        <v>96000</v>
      </c>
      <c r="U2453" s="5">
        <v>0</v>
      </c>
      <c r="V2453" s="5">
        <f>VLOOKUP(A2453,Planilha1!B:E,4,0)</f>
        <v>-2.8055507108797499</v>
      </c>
    </row>
    <row r="2454" spans="1:22" x14ac:dyDescent="0.3">
      <c r="A2454" t="str">
        <f t="shared" si="76"/>
        <v>IOGURTESLACTALIS</v>
      </c>
      <c r="B2454" t="str">
        <f t="shared" si="77"/>
        <v>5261116IOGURTESLACTALIS</v>
      </c>
      <c r="C2454" s="5" t="s">
        <v>149</v>
      </c>
      <c r="D2454" s="5" t="s">
        <v>150</v>
      </c>
      <c r="E2454" s="5" t="s">
        <v>151</v>
      </c>
      <c r="F2454" s="5">
        <v>5261116</v>
      </c>
      <c r="G2454" s="5" t="s">
        <v>206</v>
      </c>
      <c r="H2454" s="5" t="s">
        <v>30</v>
      </c>
      <c r="I2454" s="5" t="s">
        <v>22</v>
      </c>
      <c r="J2454" s="5" t="s">
        <v>153</v>
      </c>
      <c r="K2454" s="6">
        <v>0</v>
      </c>
      <c r="L2454" s="7">
        <v>1670.7599999999998</v>
      </c>
      <c r="M2454" s="8">
        <v>616.88000000000011</v>
      </c>
      <c r="N2454" s="8">
        <v>593.52</v>
      </c>
      <c r="O2454" s="8">
        <v>859.5584598815268</v>
      </c>
      <c r="P2454" s="8">
        <v>0</v>
      </c>
      <c r="Q2454" s="8">
        <v>134.39999999999998</v>
      </c>
      <c r="R2454" s="8">
        <v>0</v>
      </c>
      <c r="S2454" s="8">
        <v>0</v>
      </c>
      <c r="T2454" s="5">
        <v>0</v>
      </c>
      <c r="U2454" s="5">
        <v>0</v>
      </c>
      <c r="V2454" s="5">
        <f>VLOOKUP(A2454,Planilha1!B:E,4,0)</f>
        <v>3.0503167986984403</v>
      </c>
    </row>
    <row r="2455" spans="1:22" x14ac:dyDescent="0.3">
      <c r="A2455" t="str">
        <f t="shared" si="76"/>
        <v>QUEIJOSLACTALIS</v>
      </c>
      <c r="B2455" t="str">
        <f t="shared" si="77"/>
        <v>5226985QUEIJOSLACTALIS</v>
      </c>
      <c r="C2455" s="5" t="s">
        <v>226</v>
      </c>
      <c r="D2455" s="5" t="s">
        <v>815</v>
      </c>
      <c r="E2455" s="5" t="s">
        <v>815</v>
      </c>
      <c r="F2455" s="5">
        <v>5226985</v>
      </c>
      <c r="G2455" s="5" t="s">
        <v>830</v>
      </c>
      <c r="H2455" s="5" t="s">
        <v>30</v>
      </c>
      <c r="I2455" s="5" t="s">
        <v>22</v>
      </c>
      <c r="J2455" s="5" t="s">
        <v>63</v>
      </c>
      <c r="K2455" s="6">
        <v>0</v>
      </c>
      <c r="L2455" s="7">
        <v>0</v>
      </c>
      <c r="M2455" s="8">
        <v>585.97883333333334</v>
      </c>
      <c r="N2455" s="8">
        <v>669.48099999999999</v>
      </c>
      <c r="O2455" s="8">
        <v>100.74339705811131</v>
      </c>
      <c r="P2455" s="8">
        <v>0</v>
      </c>
      <c r="Q2455" s="8">
        <v>0</v>
      </c>
      <c r="R2455" s="8">
        <v>0</v>
      </c>
      <c r="S2455" s="8">
        <v>0</v>
      </c>
      <c r="T2455" s="5">
        <v>0</v>
      </c>
      <c r="U2455" s="5">
        <v>0</v>
      </c>
      <c r="V2455" s="5">
        <f>VLOOKUP(A2455,Planilha1!B:E,4,0)</f>
        <v>-1.9171310037550682</v>
      </c>
    </row>
    <row r="2456" spans="1:22" x14ac:dyDescent="0.3">
      <c r="A2456" t="str">
        <f t="shared" si="76"/>
        <v>LEITE UHTLACTALIS</v>
      </c>
      <c r="B2456" t="str">
        <f t="shared" si="77"/>
        <v>5261412LEITE UHTLACTALIS</v>
      </c>
      <c r="C2456" s="5" t="s">
        <v>149</v>
      </c>
      <c r="D2456" s="5" t="s">
        <v>150</v>
      </c>
      <c r="E2456" s="5" t="s">
        <v>151</v>
      </c>
      <c r="F2456" s="5">
        <v>5261412</v>
      </c>
      <c r="G2456" s="5" t="s">
        <v>1297</v>
      </c>
      <c r="H2456" s="5" t="s">
        <v>30</v>
      </c>
      <c r="I2456" s="5" t="s">
        <v>22</v>
      </c>
      <c r="J2456" s="5" t="s">
        <v>156</v>
      </c>
      <c r="K2456" s="6">
        <v>0</v>
      </c>
      <c r="L2456" s="7">
        <v>0</v>
      </c>
      <c r="M2456" s="8">
        <v>56</v>
      </c>
      <c r="N2456" s="8">
        <v>112</v>
      </c>
      <c r="O2456" s="8">
        <v>0</v>
      </c>
      <c r="P2456" s="8">
        <v>0</v>
      </c>
      <c r="Q2456" s="8">
        <v>0</v>
      </c>
      <c r="R2456" s="8">
        <v>0</v>
      </c>
      <c r="S2456" s="8">
        <v>0</v>
      </c>
      <c r="T2456" s="5">
        <v>0</v>
      </c>
      <c r="U2456" s="5">
        <v>0</v>
      </c>
      <c r="V2456" s="5">
        <f>VLOOKUP(A2456,Planilha1!B:E,4,0)</f>
        <v>0.37177548115779385</v>
      </c>
    </row>
    <row r="2457" spans="1:22" x14ac:dyDescent="0.3">
      <c r="A2457" t="str">
        <f t="shared" si="76"/>
        <v>IOGURTESLACTALIS</v>
      </c>
      <c r="B2457" t="str">
        <f t="shared" si="77"/>
        <v>5227253IOGURTESLACTALIS</v>
      </c>
      <c r="C2457" s="5" t="s">
        <v>149</v>
      </c>
      <c r="D2457" s="5" t="s">
        <v>210</v>
      </c>
      <c r="E2457" s="5" t="s">
        <v>210</v>
      </c>
      <c r="F2457" s="5">
        <v>5227253</v>
      </c>
      <c r="G2457" s="5" t="s">
        <v>218</v>
      </c>
      <c r="H2457" s="5" t="s">
        <v>30</v>
      </c>
      <c r="I2457" s="5" t="s">
        <v>22</v>
      </c>
      <c r="J2457" s="5" t="s">
        <v>153</v>
      </c>
      <c r="K2457" s="6">
        <v>0</v>
      </c>
      <c r="L2457" s="7">
        <v>399.84</v>
      </c>
      <c r="M2457" s="8">
        <v>612.68000000000006</v>
      </c>
      <c r="N2457" s="8">
        <v>478.72</v>
      </c>
      <c r="O2457" s="8">
        <v>614.91139146708952</v>
      </c>
      <c r="P2457" s="8">
        <v>0</v>
      </c>
      <c r="Q2457" s="8">
        <v>0</v>
      </c>
      <c r="R2457" s="8">
        <v>0</v>
      </c>
      <c r="S2457" s="8">
        <v>0</v>
      </c>
      <c r="T2457" s="5">
        <v>0</v>
      </c>
      <c r="U2457" s="5">
        <v>0</v>
      </c>
      <c r="V2457" s="5">
        <f>VLOOKUP(A2457,Planilha1!B:E,4,0)</f>
        <v>3.0503167986984403</v>
      </c>
    </row>
    <row r="2458" spans="1:22" x14ac:dyDescent="0.3">
      <c r="A2458" t="str">
        <f t="shared" si="76"/>
        <v>IOGURTESLACTALIS</v>
      </c>
      <c r="B2458" t="str">
        <f t="shared" si="77"/>
        <v>5227730IOGURTESLACTALIS</v>
      </c>
      <c r="C2458" s="5" t="s">
        <v>226</v>
      </c>
      <c r="D2458" s="5" t="s">
        <v>227</v>
      </c>
      <c r="E2458" s="5" t="s">
        <v>1722</v>
      </c>
      <c r="F2458" s="5">
        <v>5227730</v>
      </c>
      <c r="G2458" s="5" t="s">
        <v>1298</v>
      </c>
      <c r="H2458" s="5" t="s">
        <v>30</v>
      </c>
      <c r="I2458" s="5" t="s">
        <v>22</v>
      </c>
      <c r="J2458" s="5" t="s">
        <v>153</v>
      </c>
      <c r="K2458" s="6">
        <v>0</v>
      </c>
      <c r="L2458" s="7">
        <v>97.2</v>
      </c>
      <c r="M2458" s="8">
        <v>149.4</v>
      </c>
      <c r="N2458" s="8">
        <v>151.20000000000002</v>
      </c>
      <c r="O2458" s="8">
        <v>166.01946546133917</v>
      </c>
      <c r="P2458" s="8">
        <v>0</v>
      </c>
      <c r="Q2458" s="8">
        <v>108</v>
      </c>
      <c r="R2458" s="8">
        <v>0</v>
      </c>
      <c r="S2458" s="8">
        <v>0</v>
      </c>
      <c r="T2458" s="5">
        <v>0</v>
      </c>
      <c r="U2458" s="5">
        <v>0</v>
      </c>
      <c r="V2458" s="5">
        <f>VLOOKUP(A2458,Planilha1!B:E,4,0)</f>
        <v>3.0503167986984403</v>
      </c>
    </row>
    <row r="2459" spans="1:22" x14ac:dyDescent="0.3">
      <c r="A2459" t="str">
        <f t="shared" si="76"/>
        <v>LEITE CONDENSADOLACTALIS</v>
      </c>
      <c r="B2459" t="str">
        <f t="shared" si="77"/>
        <v>5228459LEITE CONDENSADOLACTALIS</v>
      </c>
      <c r="C2459" s="5" t="s">
        <v>226</v>
      </c>
      <c r="D2459" s="5" t="s">
        <v>227</v>
      </c>
      <c r="E2459" s="5" t="s">
        <v>1722</v>
      </c>
      <c r="F2459" s="5">
        <v>5228459</v>
      </c>
      <c r="G2459" s="5" t="s">
        <v>259</v>
      </c>
      <c r="H2459" s="5" t="s">
        <v>30</v>
      </c>
      <c r="I2459" s="5" t="s">
        <v>22</v>
      </c>
      <c r="J2459" s="5" t="s">
        <v>33</v>
      </c>
      <c r="K2459" s="6">
        <v>0</v>
      </c>
      <c r="L2459" s="7">
        <v>0</v>
      </c>
      <c r="M2459" s="8">
        <v>44.333333333333336</v>
      </c>
      <c r="N2459" s="8">
        <v>46.666666666666671</v>
      </c>
      <c r="O2459" s="8">
        <v>28</v>
      </c>
      <c r="P2459" s="8">
        <v>0</v>
      </c>
      <c r="Q2459" s="8">
        <v>28</v>
      </c>
      <c r="R2459" s="8">
        <v>0</v>
      </c>
      <c r="S2459" s="8">
        <v>42</v>
      </c>
      <c r="T2459" s="5">
        <v>42</v>
      </c>
      <c r="U2459" s="5">
        <v>14</v>
      </c>
      <c r="V2459" s="5">
        <f>VLOOKUP(A2459,Planilha1!B:E,4,0)</f>
        <v>1.8665071822970765</v>
      </c>
    </row>
    <row r="2460" spans="1:22" x14ac:dyDescent="0.3">
      <c r="A2460" t="str">
        <f t="shared" si="76"/>
        <v>IOGURTESLACTALIS</v>
      </c>
      <c r="B2460" t="str">
        <f t="shared" si="77"/>
        <v>5229130IOGURTESLACTALIS</v>
      </c>
      <c r="C2460" s="5" t="s">
        <v>149</v>
      </c>
      <c r="D2460" s="5" t="s">
        <v>210</v>
      </c>
      <c r="E2460" s="5" t="s">
        <v>210</v>
      </c>
      <c r="F2460" s="5">
        <v>5229130</v>
      </c>
      <c r="G2460" s="5" t="s">
        <v>219</v>
      </c>
      <c r="H2460" s="5" t="s">
        <v>30</v>
      </c>
      <c r="I2460" s="5" t="s">
        <v>22</v>
      </c>
      <c r="J2460" s="5" t="s">
        <v>153</v>
      </c>
      <c r="K2460" s="6">
        <v>0</v>
      </c>
      <c r="L2460" s="7">
        <v>204</v>
      </c>
      <c r="M2460" s="8">
        <v>506.6</v>
      </c>
      <c r="N2460" s="8">
        <v>374</v>
      </c>
      <c r="O2460" s="8">
        <v>481.16810683821501</v>
      </c>
      <c r="P2460" s="8">
        <v>0</v>
      </c>
      <c r="Q2460" s="8">
        <v>0</v>
      </c>
      <c r="R2460" s="8">
        <v>0</v>
      </c>
      <c r="S2460" s="8">
        <v>0</v>
      </c>
      <c r="T2460" s="5">
        <v>0</v>
      </c>
      <c r="U2460" s="5">
        <v>0</v>
      </c>
      <c r="V2460" s="5">
        <f>VLOOKUP(A2460,Planilha1!B:E,4,0)</f>
        <v>3.0503167986984403</v>
      </c>
    </row>
    <row r="2461" spans="1:22" x14ac:dyDescent="0.3">
      <c r="A2461" t="str">
        <f t="shared" si="76"/>
        <v>QUEIJOSLACTALIS</v>
      </c>
      <c r="B2461" t="str">
        <f t="shared" si="77"/>
        <v>5229130QUEIJOSLACTALIS</v>
      </c>
      <c r="C2461" s="5" t="s">
        <v>149</v>
      </c>
      <c r="D2461" s="5" t="s">
        <v>210</v>
      </c>
      <c r="E2461" s="5" t="s">
        <v>210</v>
      </c>
      <c r="F2461" s="5">
        <v>5229130</v>
      </c>
      <c r="G2461" s="5" t="s">
        <v>219</v>
      </c>
      <c r="H2461" s="5" t="s">
        <v>30</v>
      </c>
      <c r="I2461" s="5" t="s">
        <v>22</v>
      </c>
      <c r="J2461" s="5" t="s">
        <v>63</v>
      </c>
      <c r="K2461" s="6">
        <v>0</v>
      </c>
      <c r="L2461" s="7">
        <v>13844.934999999999</v>
      </c>
      <c r="M2461" s="8">
        <v>8551.6563333333343</v>
      </c>
      <c r="N2461" s="8">
        <v>9664.779333333332</v>
      </c>
      <c r="O2461" s="8">
        <v>8413.9513029370937</v>
      </c>
      <c r="P2461" s="8">
        <v>0</v>
      </c>
      <c r="Q2461" s="8">
        <v>8832</v>
      </c>
      <c r="R2461" s="8">
        <v>0</v>
      </c>
      <c r="S2461" s="8">
        <v>0</v>
      </c>
      <c r="T2461" s="5">
        <v>0</v>
      </c>
      <c r="U2461" s="5">
        <v>0</v>
      </c>
      <c r="V2461" s="5">
        <f>VLOOKUP(A2461,Planilha1!B:E,4,0)</f>
        <v>-1.9171310037550682</v>
      </c>
    </row>
    <row r="2462" spans="1:22" x14ac:dyDescent="0.3">
      <c r="A2462" t="str">
        <f t="shared" si="76"/>
        <v>PARMESÃOLACTALIS</v>
      </c>
      <c r="B2462" t="str">
        <f t="shared" si="77"/>
        <v>5231303PARMESÃOLACTALIS</v>
      </c>
      <c r="C2462" s="5" t="s">
        <v>226</v>
      </c>
      <c r="D2462" s="5" t="s">
        <v>752</v>
      </c>
      <c r="E2462" s="5" t="s">
        <v>767</v>
      </c>
      <c r="F2462" s="5">
        <v>5231303</v>
      </c>
      <c r="G2462" s="5" t="s">
        <v>771</v>
      </c>
      <c r="H2462" s="5" t="s">
        <v>154</v>
      </c>
      <c r="I2462" s="5" t="s">
        <v>22</v>
      </c>
      <c r="J2462" s="5" t="s">
        <v>195</v>
      </c>
      <c r="K2462" s="6">
        <v>0</v>
      </c>
      <c r="L2462" s="7">
        <v>0</v>
      </c>
      <c r="M2462" s="8">
        <v>81.033333333333331</v>
      </c>
      <c r="N2462" s="8">
        <v>142.64000000000001</v>
      </c>
      <c r="O2462" s="8">
        <v>0</v>
      </c>
      <c r="P2462" s="8">
        <v>0</v>
      </c>
      <c r="Q2462" s="8">
        <v>0</v>
      </c>
      <c r="R2462" s="8">
        <v>0</v>
      </c>
      <c r="S2462" s="8">
        <v>0</v>
      </c>
      <c r="T2462" s="5">
        <v>0</v>
      </c>
      <c r="U2462" s="5">
        <v>0</v>
      </c>
      <c r="V2462" s="5">
        <f>VLOOKUP(A2462,Planilha1!B:E,4,0)</f>
        <v>6.310326960724681</v>
      </c>
    </row>
    <row r="2463" spans="1:22" x14ac:dyDescent="0.3">
      <c r="A2463" t="str">
        <f t="shared" si="76"/>
        <v>QUEIJOSLACTALIS</v>
      </c>
      <c r="B2463" t="str">
        <f t="shared" si="77"/>
        <v>5233736QUEIJOSLACTALIS</v>
      </c>
      <c r="C2463" s="5" t="s">
        <v>16</v>
      </c>
      <c r="D2463" s="5" t="s">
        <v>17</v>
      </c>
      <c r="E2463" s="5" t="s">
        <v>66</v>
      </c>
      <c r="F2463" s="5">
        <v>5233736</v>
      </c>
      <c r="G2463" s="5" t="s">
        <v>1299</v>
      </c>
      <c r="H2463" s="5" t="s">
        <v>25</v>
      </c>
      <c r="I2463" s="5" t="s">
        <v>22</v>
      </c>
      <c r="J2463" s="5" t="s">
        <v>63</v>
      </c>
      <c r="K2463" s="6">
        <v>0</v>
      </c>
      <c r="L2463" s="7">
        <v>0</v>
      </c>
      <c r="M2463" s="8">
        <v>626.66666666666674</v>
      </c>
      <c r="N2463" s="8">
        <v>1253.3333333333333</v>
      </c>
      <c r="O2463" s="8">
        <v>0</v>
      </c>
      <c r="P2463" s="8">
        <v>0</v>
      </c>
      <c r="Q2463" s="8">
        <v>600</v>
      </c>
      <c r="R2463" s="8">
        <v>0</v>
      </c>
      <c r="S2463" s="8">
        <v>0</v>
      </c>
      <c r="T2463" s="5">
        <v>0</v>
      </c>
      <c r="U2463" s="5">
        <v>0</v>
      </c>
      <c r="V2463" s="5">
        <f>VLOOKUP(A2463,Planilha1!B:E,4,0)</f>
        <v>-1.9171310037550682</v>
      </c>
    </row>
    <row r="2464" spans="1:22" x14ac:dyDescent="0.3">
      <c r="A2464" t="str">
        <f t="shared" si="76"/>
        <v>SPREADSLACTALIS</v>
      </c>
      <c r="B2464" t="str">
        <f t="shared" si="77"/>
        <v>5233959SPREADSLACTALIS</v>
      </c>
      <c r="C2464" s="5" t="s">
        <v>226</v>
      </c>
      <c r="D2464" s="5" t="s">
        <v>227</v>
      </c>
      <c r="E2464" s="5" t="s">
        <v>1722</v>
      </c>
      <c r="F2464" s="5">
        <v>5233959</v>
      </c>
      <c r="G2464" s="5" t="s">
        <v>1300</v>
      </c>
      <c r="H2464" s="5" t="s">
        <v>30</v>
      </c>
      <c r="I2464" s="5" t="s">
        <v>22</v>
      </c>
      <c r="J2464" s="5" t="s">
        <v>945</v>
      </c>
      <c r="K2464" s="6">
        <v>0</v>
      </c>
      <c r="L2464" s="7">
        <v>0</v>
      </c>
      <c r="M2464" s="8">
        <v>19.999999999999996</v>
      </c>
      <c r="N2464" s="8">
        <v>18.666666666666668</v>
      </c>
      <c r="O2464" s="8">
        <v>4.4847023861493076</v>
      </c>
      <c r="P2464" s="8">
        <v>0</v>
      </c>
      <c r="Q2464" s="8">
        <v>0</v>
      </c>
      <c r="R2464" s="8">
        <v>0</v>
      </c>
      <c r="S2464" s="8">
        <v>0</v>
      </c>
      <c r="T2464" s="5">
        <v>0</v>
      </c>
      <c r="U2464" s="5">
        <v>0</v>
      </c>
      <c r="V2464" s="5">
        <f>VLOOKUP(A2464,Planilha1!B:E,4,0)</f>
        <v>13.599044988219518</v>
      </c>
    </row>
    <row r="2465" spans="1:22" x14ac:dyDescent="0.3">
      <c r="A2465" t="str">
        <f t="shared" si="76"/>
        <v>MANTEIGA 5KGLACTALIS</v>
      </c>
      <c r="B2465" t="str">
        <f t="shared" si="77"/>
        <v>5233959MANTEIGA 5KGLACTALIS</v>
      </c>
      <c r="C2465" s="5" t="s">
        <v>226</v>
      </c>
      <c r="D2465" s="5" t="s">
        <v>227</v>
      </c>
      <c r="E2465" s="5" t="s">
        <v>1722</v>
      </c>
      <c r="F2465" s="5">
        <v>5233959</v>
      </c>
      <c r="G2465" s="5" t="s">
        <v>1300</v>
      </c>
      <c r="H2465" s="5" t="s">
        <v>30</v>
      </c>
      <c r="I2465" s="5" t="s">
        <v>22</v>
      </c>
      <c r="J2465" s="5" t="s">
        <v>60</v>
      </c>
      <c r="K2465" s="6">
        <v>0</v>
      </c>
      <c r="L2465" s="7">
        <v>0</v>
      </c>
      <c r="M2465" s="8">
        <v>39.166666666666671</v>
      </c>
      <c r="N2465" s="8">
        <v>68.333333333333329</v>
      </c>
      <c r="O2465" s="8">
        <v>0</v>
      </c>
      <c r="P2465" s="8">
        <v>0</v>
      </c>
      <c r="Q2465" s="8">
        <v>70</v>
      </c>
      <c r="R2465" s="8">
        <v>0</v>
      </c>
      <c r="S2465" s="8">
        <v>70</v>
      </c>
      <c r="T2465" s="5">
        <v>70</v>
      </c>
      <c r="U2465" s="5">
        <v>70</v>
      </c>
      <c r="V2465" s="5">
        <f>VLOOKUP(A2465,Planilha1!B:E,4,0)</f>
        <v>11.476197020267191</v>
      </c>
    </row>
    <row r="2466" spans="1:22" x14ac:dyDescent="0.3">
      <c r="A2466" t="str">
        <f t="shared" si="76"/>
        <v>BLISTERLACTALIS</v>
      </c>
      <c r="B2466" t="str">
        <f t="shared" si="77"/>
        <v>5233959BLISTERLACTALIS</v>
      </c>
      <c r="C2466" s="5" t="s">
        <v>226</v>
      </c>
      <c r="D2466" s="5" t="s">
        <v>227</v>
      </c>
      <c r="E2466" s="5" t="s">
        <v>1722</v>
      </c>
      <c r="F2466" s="5">
        <v>5233959</v>
      </c>
      <c r="G2466" s="5" t="s">
        <v>1300</v>
      </c>
      <c r="H2466" s="5" t="s">
        <v>30</v>
      </c>
      <c r="I2466" s="5" t="s">
        <v>22</v>
      </c>
      <c r="J2466" s="5" t="s">
        <v>199</v>
      </c>
      <c r="K2466" s="6">
        <v>0</v>
      </c>
      <c r="L2466" s="7">
        <v>0</v>
      </c>
      <c r="M2466" s="8">
        <v>0.96</v>
      </c>
      <c r="N2466" s="8">
        <v>0.64</v>
      </c>
      <c r="O2466" s="8">
        <v>0</v>
      </c>
      <c r="P2466" s="8">
        <v>0</v>
      </c>
      <c r="Q2466" s="8">
        <v>0</v>
      </c>
      <c r="R2466" s="8">
        <v>0</v>
      </c>
      <c r="S2466" s="8">
        <v>0</v>
      </c>
      <c r="T2466" s="5">
        <v>0</v>
      </c>
      <c r="U2466" s="5">
        <v>0</v>
      </c>
      <c r="V2466" s="5">
        <f>VLOOKUP(A2466,Planilha1!B:E,4,0)</f>
        <v>13.783871706210666</v>
      </c>
    </row>
    <row r="2467" spans="1:22" x14ac:dyDescent="0.3">
      <c r="A2467" t="str">
        <f t="shared" si="76"/>
        <v>MANTEIGA 5KGLACTALIS</v>
      </c>
      <c r="B2467" t="str">
        <f t="shared" si="77"/>
        <v>5234719MANTEIGA 5KGLACTALIS</v>
      </c>
      <c r="C2467" s="5" t="s">
        <v>226</v>
      </c>
      <c r="D2467" s="5" t="s">
        <v>227</v>
      </c>
      <c r="E2467" s="5" t="s">
        <v>1722</v>
      </c>
      <c r="F2467" s="5">
        <v>5234719</v>
      </c>
      <c r="G2467" s="5" t="s">
        <v>573</v>
      </c>
      <c r="H2467" s="5" t="s">
        <v>30</v>
      </c>
      <c r="I2467" s="5" t="s">
        <v>22</v>
      </c>
      <c r="J2467" s="5" t="s">
        <v>60</v>
      </c>
      <c r="K2467" s="6">
        <v>0</v>
      </c>
      <c r="L2467" s="7">
        <v>0</v>
      </c>
      <c r="M2467" s="8">
        <v>7.5</v>
      </c>
      <c r="N2467" s="8">
        <v>8.3333333333333339</v>
      </c>
      <c r="O2467" s="8">
        <v>0</v>
      </c>
      <c r="P2467" s="8">
        <v>0</v>
      </c>
      <c r="Q2467" s="8">
        <v>0</v>
      </c>
      <c r="R2467" s="8">
        <v>0</v>
      </c>
      <c r="S2467" s="8">
        <v>10</v>
      </c>
      <c r="T2467" s="5">
        <v>10</v>
      </c>
      <c r="U2467" s="5">
        <v>10</v>
      </c>
      <c r="V2467" s="5">
        <f>VLOOKUP(A2467,Planilha1!B:E,4,0)</f>
        <v>11.476197020267191</v>
      </c>
    </row>
    <row r="2468" spans="1:22" x14ac:dyDescent="0.3">
      <c r="A2468" t="str">
        <f t="shared" si="76"/>
        <v>IOGURTESLACTALIS</v>
      </c>
      <c r="B2468" t="str">
        <f t="shared" si="77"/>
        <v>5261759IOGURTESLACTALIS</v>
      </c>
      <c r="C2468" s="5" t="s">
        <v>226</v>
      </c>
      <c r="D2468" s="5" t="s">
        <v>227</v>
      </c>
      <c r="E2468" s="5" t="s">
        <v>1722</v>
      </c>
      <c r="F2468" s="5">
        <v>5261759</v>
      </c>
      <c r="G2468" s="5" t="s">
        <v>593</v>
      </c>
      <c r="H2468" s="5" t="s">
        <v>30</v>
      </c>
      <c r="I2468" s="5" t="s">
        <v>22</v>
      </c>
      <c r="J2468" s="5" t="s">
        <v>153</v>
      </c>
      <c r="K2468" s="6">
        <v>0</v>
      </c>
      <c r="L2468" s="7">
        <v>21.6</v>
      </c>
      <c r="M2468" s="8">
        <v>14.400000000000002</v>
      </c>
      <c r="N2468" s="8">
        <v>15.2</v>
      </c>
      <c r="O2468" s="8">
        <v>12.109266290428561</v>
      </c>
      <c r="P2468" s="8">
        <v>0</v>
      </c>
      <c r="Q2468" s="8">
        <v>7.2</v>
      </c>
      <c r="R2468" s="8">
        <v>0</v>
      </c>
      <c r="S2468" s="8">
        <v>0</v>
      </c>
      <c r="T2468" s="5">
        <v>0</v>
      </c>
      <c r="U2468" s="5">
        <v>0</v>
      </c>
      <c r="V2468" s="5">
        <f>VLOOKUP(A2468,Planilha1!B:E,4,0)</f>
        <v>3.0503167986984403</v>
      </c>
    </row>
    <row r="2469" spans="1:22" x14ac:dyDescent="0.3">
      <c r="A2469" t="str">
        <f t="shared" si="76"/>
        <v>LEITE CONDENSADOLACTALIS</v>
      </c>
      <c r="B2469" t="str">
        <f t="shared" si="77"/>
        <v>5261868LEITE CONDENSADOLACTALIS</v>
      </c>
      <c r="C2469" s="5" t="s">
        <v>226</v>
      </c>
      <c r="D2469" s="5" t="s">
        <v>227</v>
      </c>
      <c r="E2469" s="5" t="s">
        <v>1722</v>
      </c>
      <c r="F2469" s="5">
        <v>5261868</v>
      </c>
      <c r="G2469" s="5" t="s">
        <v>1301</v>
      </c>
      <c r="H2469" s="5" t="s">
        <v>30</v>
      </c>
      <c r="I2469" s="5" t="s">
        <v>22</v>
      </c>
      <c r="J2469" s="5" t="s">
        <v>33</v>
      </c>
      <c r="K2469" s="6">
        <v>0</v>
      </c>
      <c r="L2469" s="7">
        <v>0</v>
      </c>
      <c r="M2469" s="8">
        <v>22.119999999999997</v>
      </c>
      <c r="N2469" s="8">
        <v>28.439999999999998</v>
      </c>
      <c r="O2469" s="8">
        <v>85.32</v>
      </c>
      <c r="P2469" s="8">
        <v>0</v>
      </c>
      <c r="Q2469" s="8">
        <v>0</v>
      </c>
      <c r="R2469" s="8">
        <v>0</v>
      </c>
      <c r="S2469" s="8">
        <v>47</v>
      </c>
      <c r="T2469" s="5">
        <v>47</v>
      </c>
      <c r="U2469" s="5">
        <v>95</v>
      </c>
      <c r="V2469" s="5">
        <f>VLOOKUP(A2469,Planilha1!B:E,4,0)</f>
        <v>1.8665071822970765</v>
      </c>
    </row>
    <row r="2470" spans="1:22" x14ac:dyDescent="0.3">
      <c r="A2470" t="str">
        <f t="shared" si="76"/>
        <v>QUEIJOSLACTALIS</v>
      </c>
      <c r="B2470" t="str">
        <f t="shared" si="77"/>
        <v>5247711QUEIJOSLACTALIS</v>
      </c>
      <c r="C2470" s="5" t="s">
        <v>226</v>
      </c>
      <c r="D2470" s="5" t="s">
        <v>227</v>
      </c>
      <c r="E2470" s="5" t="s">
        <v>1722</v>
      </c>
      <c r="F2470" s="5">
        <v>5247711</v>
      </c>
      <c r="G2470" s="5" t="s">
        <v>1302</v>
      </c>
      <c r="H2470" s="5" t="s">
        <v>30</v>
      </c>
      <c r="I2470" s="5" t="s">
        <v>22</v>
      </c>
      <c r="J2470" s="5" t="s">
        <v>63</v>
      </c>
      <c r="K2470" s="6">
        <v>0</v>
      </c>
      <c r="L2470" s="7">
        <v>59.31</v>
      </c>
      <c r="M2470" s="8">
        <v>33.161666666666669</v>
      </c>
      <c r="N2470" s="8">
        <v>31.293333333333333</v>
      </c>
      <c r="O2470" s="8">
        <v>6.6159332532647346</v>
      </c>
      <c r="P2470" s="8">
        <v>0</v>
      </c>
      <c r="Q2470" s="8">
        <v>0</v>
      </c>
      <c r="R2470" s="8">
        <v>0</v>
      </c>
      <c r="S2470" s="8">
        <v>0</v>
      </c>
      <c r="T2470" s="5">
        <v>0</v>
      </c>
      <c r="U2470" s="5">
        <v>0</v>
      </c>
      <c r="V2470" s="5">
        <f>VLOOKUP(A2470,Planilha1!B:E,4,0)</f>
        <v>-1.9171310037550682</v>
      </c>
    </row>
    <row r="2471" spans="1:22" x14ac:dyDescent="0.3">
      <c r="A2471" t="str">
        <f t="shared" si="76"/>
        <v>IOGURTESLACTALIS</v>
      </c>
      <c r="B2471" t="str">
        <f t="shared" si="77"/>
        <v>5262094IOGURTESLACTALIS</v>
      </c>
      <c r="C2471" s="5" t="s">
        <v>226</v>
      </c>
      <c r="D2471" s="5" t="s">
        <v>227</v>
      </c>
      <c r="E2471" s="5" t="s">
        <v>1722</v>
      </c>
      <c r="F2471" s="5">
        <v>5262094</v>
      </c>
      <c r="G2471" s="5" t="s">
        <v>285</v>
      </c>
      <c r="H2471" s="5" t="s">
        <v>30</v>
      </c>
      <c r="I2471" s="5" t="s">
        <v>22</v>
      </c>
      <c r="J2471" s="5" t="s">
        <v>153</v>
      </c>
      <c r="K2471" s="6">
        <v>0</v>
      </c>
      <c r="L2471" s="7">
        <v>36.799999999999997</v>
      </c>
      <c r="M2471" s="8">
        <v>49.06666666666667</v>
      </c>
      <c r="N2471" s="8">
        <v>52.133333333333333</v>
      </c>
      <c r="O2471" s="8">
        <v>51.651006897150346</v>
      </c>
      <c r="P2471" s="8">
        <v>0</v>
      </c>
      <c r="Q2471" s="8">
        <v>0</v>
      </c>
      <c r="R2471" s="8">
        <v>0</v>
      </c>
      <c r="S2471" s="8">
        <v>0</v>
      </c>
      <c r="T2471" s="5">
        <v>0</v>
      </c>
      <c r="U2471" s="5">
        <v>0</v>
      </c>
      <c r="V2471" s="5">
        <f>VLOOKUP(A2471,Planilha1!B:E,4,0)</f>
        <v>3.0503167986984403</v>
      </c>
    </row>
    <row r="2472" spans="1:22" x14ac:dyDescent="0.3">
      <c r="A2472" t="str">
        <f t="shared" si="76"/>
        <v>LEITE CONDENSADOLACTALIS</v>
      </c>
      <c r="B2472" t="str">
        <f t="shared" si="77"/>
        <v>5262839LEITE CONDENSADOLACTALIS</v>
      </c>
      <c r="C2472" s="5" t="s">
        <v>226</v>
      </c>
      <c r="D2472" s="5" t="s">
        <v>227</v>
      </c>
      <c r="E2472" s="5" t="s">
        <v>1722</v>
      </c>
      <c r="F2472" s="5">
        <v>5262839</v>
      </c>
      <c r="G2472" s="5" t="s">
        <v>1115</v>
      </c>
      <c r="H2472" s="5" t="s">
        <v>30</v>
      </c>
      <c r="I2472" s="5" t="s">
        <v>22</v>
      </c>
      <c r="J2472" s="5" t="s">
        <v>33</v>
      </c>
      <c r="K2472" s="6">
        <v>0</v>
      </c>
      <c r="L2472" s="7">
        <v>0</v>
      </c>
      <c r="M2472" s="8">
        <v>123.24</v>
      </c>
      <c r="N2472" s="8">
        <v>230.67999999999998</v>
      </c>
      <c r="O2472" s="8">
        <v>597.24</v>
      </c>
      <c r="P2472" s="8">
        <v>0</v>
      </c>
      <c r="Q2472" s="8">
        <v>227.52</v>
      </c>
      <c r="R2472" s="8">
        <v>0</v>
      </c>
      <c r="S2472" s="8">
        <v>332</v>
      </c>
      <c r="T2472" s="5">
        <v>332</v>
      </c>
      <c r="U2472" s="5">
        <v>142</v>
      </c>
      <c r="V2472" s="5">
        <f>VLOOKUP(A2472,Planilha1!B:E,4,0)</f>
        <v>1.8665071822970765</v>
      </c>
    </row>
    <row r="2473" spans="1:22" x14ac:dyDescent="0.3">
      <c r="A2473" t="str">
        <f t="shared" si="76"/>
        <v>IOGURTESLACTALIS</v>
      </c>
      <c r="B2473" t="str">
        <f t="shared" si="77"/>
        <v>5263196IOGURTESLACTALIS</v>
      </c>
      <c r="C2473" s="5" t="s">
        <v>226</v>
      </c>
      <c r="D2473" s="5" t="s">
        <v>227</v>
      </c>
      <c r="E2473" s="5" t="s">
        <v>1722</v>
      </c>
      <c r="F2473" s="5">
        <v>5263196</v>
      </c>
      <c r="G2473" s="5" t="s">
        <v>601</v>
      </c>
      <c r="H2473" s="5" t="s">
        <v>30</v>
      </c>
      <c r="I2473" s="5" t="s">
        <v>22</v>
      </c>
      <c r="J2473" s="5" t="s">
        <v>153</v>
      </c>
      <c r="K2473" s="6">
        <v>0</v>
      </c>
      <c r="L2473" s="7">
        <v>25.4</v>
      </c>
      <c r="M2473" s="8">
        <v>37.133333333333326</v>
      </c>
      <c r="N2473" s="8">
        <v>48.133333333333333</v>
      </c>
      <c r="O2473" s="8">
        <v>39.860855388963671</v>
      </c>
      <c r="P2473" s="8">
        <v>0</v>
      </c>
      <c r="Q2473" s="8">
        <v>0</v>
      </c>
      <c r="R2473" s="8">
        <v>0</v>
      </c>
      <c r="S2473" s="8">
        <v>0</v>
      </c>
      <c r="T2473" s="5">
        <v>0</v>
      </c>
      <c r="U2473" s="5">
        <v>0</v>
      </c>
      <c r="V2473" s="5">
        <f>VLOOKUP(A2473,Planilha1!B:E,4,0)</f>
        <v>3.0503167986984403</v>
      </c>
    </row>
    <row r="2474" spans="1:22" x14ac:dyDescent="0.3">
      <c r="A2474" t="str">
        <f t="shared" si="76"/>
        <v>QUEIJOSLACTALIS</v>
      </c>
      <c r="B2474" t="str">
        <f t="shared" si="77"/>
        <v>5248517QUEIJOSLACTALIS</v>
      </c>
      <c r="C2474" s="5" t="s">
        <v>226</v>
      </c>
      <c r="D2474" s="5" t="s">
        <v>227</v>
      </c>
      <c r="E2474" s="5" t="s">
        <v>1722</v>
      </c>
      <c r="F2474" s="5">
        <v>5248517</v>
      </c>
      <c r="G2474" s="5" t="s">
        <v>398</v>
      </c>
      <c r="H2474" s="5" t="s">
        <v>30</v>
      </c>
      <c r="I2474" s="5" t="s">
        <v>22</v>
      </c>
      <c r="J2474" s="5" t="s">
        <v>63</v>
      </c>
      <c r="K2474" s="6">
        <v>0</v>
      </c>
      <c r="L2474" s="7">
        <v>0</v>
      </c>
      <c r="M2474" s="8">
        <v>1.9466666666666665</v>
      </c>
      <c r="N2474" s="8">
        <v>3.8933333333333331</v>
      </c>
      <c r="O2474" s="8">
        <v>0</v>
      </c>
      <c r="P2474" s="8">
        <v>0</v>
      </c>
      <c r="Q2474" s="8">
        <v>0</v>
      </c>
      <c r="R2474" s="8">
        <v>0</v>
      </c>
      <c r="S2474" s="8">
        <v>0</v>
      </c>
      <c r="T2474" s="5">
        <v>0</v>
      </c>
      <c r="U2474" s="5">
        <v>12</v>
      </c>
      <c r="V2474" s="5">
        <f>VLOOKUP(A2474,Planilha1!B:E,4,0)</f>
        <v>-1.9171310037550682</v>
      </c>
    </row>
    <row r="2475" spans="1:22" x14ac:dyDescent="0.3">
      <c r="A2475" t="str">
        <f t="shared" si="76"/>
        <v>LEITE EM PÓLACTALIS</v>
      </c>
      <c r="B2475" t="str">
        <f t="shared" si="77"/>
        <v>5263976LEITE EM PÓLACTALIS</v>
      </c>
      <c r="C2475" s="5" t="s">
        <v>226</v>
      </c>
      <c r="D2475" s="5" t="s">
        <v>227</v>
      </c>
      <c r="E2475" s="5" t="s">
        <v>1722</v>
      </c>
      <c r="F2475" s="5">
        <v>5263976</v>
      </c>
      <c r="G2475" s="5" t="s">
        <v>420</v>
      </c>
      <c r="H2475" s="5" t="s">
        <v>30</v>
      </c>
      <c r="I2475" s="5" t="s">
        <v>22</v>
      </c>
      <c r="J2475" s="5" t="s">
        <v>84</v>
      </c>
      <c r="K2475" s="6">
        <v>0</v>
      </c>
      <c r="L2475" s="7">
        <v>0</v>
      </c>
      <c r="M2475" s="8">
        <v>13.5</v>
      </c>
      <c r="N2475" s="8">
        <v>21</v>
      </c>
      <c r="O2475" s="8">
        <v>0</v>
      </c>
      <c r="P2475" s="8">
        <v>0</v>
      </c>
      <c r="Q2475" s="8">
        <v>10</v>
      </c>
      <c r="R2475" s="8">
        <v>0</v>
      </c>
      <c r="S2475" s="8">
        <v>0</v>
      </c>
      <c r="T2475" s="5">
        <v>0</v>
      </c>
      <c r="U2475" s="5">
        <v>0</v>
      </c>
      <c r="V2475" s="5">
        <f>VLOOKUP(A2475,Planilha1!B:E,4,0)</f>
        <v>-2.8055507108797499</v>
      </c>
    </row>
    <row r="2476" spans="1:22" x14ac:dyDescent="0.3">
      <c r="A2476" t="str">
        <f t="shared" si="76"/>
        <v>SPREADSLACTALIS</v>
      </c>
      <c r="B2476" t="str">
        <f t="shared" si="77"/>
        <v>5248697SPREADSLACTALIS</v>
      </c>
      <c r="C2476" s="5" t="s">
        <v>226</v>
      </c>
      <c r="D2476" s="5" t="s">
        <v>227</v>
      </c>
      <c r="E2476" s="5" t="s">
        <v>1722</v>
      </c>
      <c r="F2476" s="5">
        <v>5248697</v>
      </c>
      <c r="G2476" s="5" t="s">
        <v>1303</v>
      </c>
      <c r="H2476" s="5" t="s">
        <v>30</v>
      </c>
      <c r="I2476" s="5" t="s">
        <v>22</v>
      </c>
      <c r="J2476" s="5" t="s">
        <v>945</v>
      </c>
      <c r="K2476" s="6">
        <v>0</v>
      </c>
      <c r="L2476" s="7">
        <v>6</v>
      </c>
      <c r="M2476" s="8">
        <v>7</v>
      </c>
      <c r="N2476" s="8">
        <v>8</v>
      </c>
      <c r="O2476" s="8">
        <v>6.764093687877037</v>
      </c>
      <c r="P2476" s="8">
        <v>0</v>
      </c>
      <c r="Q2476" s="8">
        <v>0</v>
      </c>
      <c r="R2476" s="8">
        <v>0</v>
      </c>
      <c r="S2476" s="8">
        <v>0</v>
      </c>
      <c r="T2476" s="5">
        <v>0</v>
      </c>
      <c r="U2476" s="5">
        <v>0</v>
      </c>
      <c r="V2476" s="5">
        <f>VLOOKUP(A2476,Planilha1!B:E,4,0)</f>
        <v>13.599044988219518</v>
      </c>
    </row>
    <row r="2477" spans="1:22" x14ac:dyDescent="0.3">
      <c r="A2477" t="str">
        <f t="shared" si="76"/>
        <v>SPREADSLACTALIS</v>
      </c>
      <c r="B2477" t="str">
        <f t="shared" si="77"/>
        <v>5248699SPREADSLACTALIS</v>
      </c>
      <c r="C2477" s="5" t="s">
        <v>226</v>
      </c>
      <c r="D2477" s="5" t="s">
        <v>227</v>
      </c>
      <c r="E2477" s="5" t="s">
        <v>1722</v>
      </c>
      <c r="F2477" s="5">
        <v>5248699</v>
      </c>
      <c r="G2477" s="5" t="s">
        <v>1304</v>
      </c>
      <c r="H2477" s="5" t="s">
        <v>30</v>
      </c>
      <c r="I2477" s="5" t="s">
        <v>22</v>
      </c>
      <c r="J2477" s="5" t="s">
        <v>945</v>
      </c>
      <c r="K2477" s="6">
        <v>0</v>
      </c>
      <c r="L2477" s="7">
        <v>12</v>
      </c>
      <c r="M2477" s="8">
        <v>5.333333333333333</v>
      </c>
      <c r="N2477" s="8">
        <v>8</v>
      </c>
      <c r="O2477" s="8">
        <v>12.399888681398849</v>
      </c>
      <c r="P2477" s="8">
        <v>0</v>
      </c>
      <c r="Q2477" s="8">
        <v>0</v>
      </c>
      <c r="R2477" s="8">
        <v>0</v>
      </c>
      <c r="S2477" s="8">
        <v>0</v>
      </c>
      <c r="T2477" s="5">
        <v>0</v>
      </c>
      <c r="U2477" s="5">
        <v>0</v>
      </c>
      <c r="V2477" s="5">
        <f>VLOOKUP(A2477,Planilha1!B:E,4,0)</f>
        <v>13.599044988219518</v>
      </c>
    </row>
    <row r="2478" spans="1:22" x14ac:dyDescent="0.3">
      <c r="A2478" t="str">
        <f t="shared" si="76"/>
        <v>QUEIJOSLACTALIS</v>
      </c>
      <c r="B2478" t="str">
        <f t="shared" si="77"/>
        <v>5248699QUEIJOSLACTALIS</v>
      </c>
      <c r="C2478" s="5" t="s">
        <v>226</v>
      </c>
      <c r="D2478" s="5" t="s">
        <v>227</v>
      </c>
      <c r="E2478" s="5" t="s">
        <v>1722</v>
      </c>
      <c r="F2478" s="5">
        <v>5248699</v>
      </c>
      <c r="G2478" s="5" t="s">
        <v>1304</v>
      </c>
      <c r="H2478" s="5" t="s">
        <v>30</v>
      </c>
      <c r="I2478" s="5" t="s">
        <v>22</v>
      </c>
      <c r="J2478" s="5" t="s">
        <v>63</v>
      </c>
      <c r="K2478" s="6">
        <v>0</v>
      </c>
      <c r="L2478" s="7">
        <v>78.88</v>
      </c>
      <c r="M2478" s="8">
        <v>13.615</v>
      </c>
      <c r="N2478" s="8">
        <v>7.7966666666666669</v>
      </c>
      <c r="O2478" s="8">
        <v>26.44093910004166</v>
      </c>
      <c r="P2478" s="8">
        <v>0</v>
      </c>
      <c r="Q2478" s="8">
        <v>0</v>
      </c>
      <c r="R2478" s="8">
        <v>0</v>
      </c>
      <c r="S2478" s="8">
        <v>0</v>
      </c>
      <c r="T2478" s="5">
        <v>0</v>
      </c>
      <c r="U2478" s="5">
        <v>0</v>
      </c>
      <c r="V2478" s="5">
        <f>VLOOKUP(A2478,Planilha1!B:E,4,0)</f>
        <v>-1.9171310037550682</v>
      </c>
    </row>
    <row r="2479" spans="1:22" x14ac:dyDescent="0.3">
      <c r="A2479" t="str">
        <f t="shared" si="76"/>
        <v>IOGURTESLACTALIS</v>
      </c>
      <c r="B2479" t="str">
        <f t="shared" si="77"/>
        <v>5248711IOGURTESLACTALIS</v>
      </c>
      <c r="C2479" s="5" t="s">
        <v>226</v>
      </c>
      <c r="D2479" s="5" t="s">
        <v>227</v>
      </c>
      <c r="E2479" s="5" t="s">
        <v>1722</v>
      </c>
      <c r="F2479" s="5">
        <v>5248711</v>
      </c>
      <c r="G2479" s="5" t="s">
        <v>272</v>
      </c>
      <c r="H2479" s="5" t="s">
        <v>30</v>
      </c>
      <c r="I2479" s="5" t="s">
        <v>22</v>
      </c>
      <c r="J2479" s="5" t="s">
        <v>153</v>
      </c>
      <c r="K2479" s="6">
        <v>0</v>
      </c>
      <c r="L2479" s="7">
        <v>0</v>
      </c>
      <c r="M2479" s="8">
        <v>62.86666666666666</v>
      </c>
      <c r="N2479" s="8">
        <v>49.06666666666667</v>
      </c>
      <c r="O2479" s="8">
        <v>44.077729297159976</v>
      </c>
      <c r="P2479" s="8">
        <v>0</v>
      </c>
      <c r="Q2479" s="8">
        <v>0</v>
      </c>
      <c r="R2479" s="8">
        <v>0</v>
      </c>
      <c r="S2479" s="8">
        <v>0</v>
      </c>
      <c r="T2479" s="5">
        <v>0</v>
      </c>
      <c r="U2479" s="5">
        <v>0</v>
      </c>
      <c r="V2479" s="5">
        <f>VLOOKUP(A2479,Planilha1!B:E,4,0)</f>
        <v>3.0503167986984403</v>
      </c>
    </row>
    <row r="2480" spans="1:22" x14ac:dyDescent="0.3">
      <c r="A2480" t="str">
        <f t="shared" si="76"/>
        <v>QUEIJOSLACTALIS</v>
      </c>
      <c r="B2480" t="str">
        <f t="shared" si="77"/>
        <v>5249172QUEIJOSLACTALIS</v>
      </c>
      <c r="C2480" s="5" t="s">
        <v>226</v>
      </c>
      <c r="D2480" s="5" t="s">
        <v>227</v>
      </c>
      <c r="E2480" s="5" t="s">
        <v>1722</v>
      </c>
      <c r="F2480" s="5">
        <v>5249172</v>
      </c>
      <c r="G2480" s="5" t="s">
        <v>579</v>
      </c>
      <c r="H2480" s="5" t="s">
        <v>30</v>
      </c>
      <c r="I2480" s="5" t="s">
        <v>22</v>
      </c>
      <c r="J2480" s="5" t="s">
        <v>63</v>
      </c>
      <c r="K2480" s="6">
        <v>0</v>
      </c>
      <c r="L2480" s="7">
        <v>31.125</v>
      </c>
      <c r="M2480" s="8">
        <v>23.358333333333331</v>
      </c>
      <c r="N2480" s="8">
        <v>19.41</v>
      </c>
      <c r="O2480" s="8">
        <v>26.047744100493627</v>
      </c>
      <c r="P2480" s="8">
        <v>0</v>
      </c>
      <c r="Q2480" s="8">
        <v>0</v>
      </c>
      <c r="R2480" s="8">
        <v>0</v>
      </c>
      <c r="S2480" s="8">
        <v>0</v>
      </c>
      <c r="T2480" s="5">
        <v>0</v>
      </c>
      <c r="U2480" s="5">
        <v>0</v>
      </c>
      <c r="V2480" s="5">
        <f>VLOOKUP(A2480,Planilha1!B:E,4,0)</f>
        <v>-1.9171310037550682</v>
      </c>
    </row>
    <row r="2481" spans="1:22" x14ac:dyDescent="0.3">
      <c r="A2481" t="str">
        <f t="shared" si="76"/>
        <v>QUEIJOSLACTALIS</v>
      </c>
      <c r="B2481" t="str">
        <f t="shared" si="77"/>
        <v>5249184QUEIJOSLACTALIS</v>
      </c>
      <c r="C2481" s="5" t="s">
        <v>226</v>
      </c>
      <c r="D2481" s="5" t="s">
        <v>227</v>
      </c>
      <c r="E2481" s="5" t="s">
        <v>1722</v>
      </c>
      <c r="F2481" s="5">
        <v>5249184</v>
      </c>
      <c r="G2481" s="5" t="s">
        <v>1305</v>
      </c>
      <c r="H2481" s="5" t="s">
        <v>30</v>
      </c>
      <c r="I2481" s="5" t="s">
        <v>22</v>
      </c>
      <c r="J2481" s="5" t="s">
        <v>63</v>
      </c>
      <c r="K2481" s="6">
        <v>0</v>
      </c>
      <c r="L2481" s="7">
        <v>28.646000000000001</v>
      </c>
      <c r="M2481" s="8">
        <v>17.41</v>
      </c>
      <c r="N2481" s="8">
        <v>15.54</v>
      </c>
      <c r="O2481" s="8">
        <v>12.98113346333942</v>
      </c>
      <c r="P2481" s="8">
        <v>0</v>
      </c>
      <c r="Q2481" s="8">
        <v>0</v>
      </c>
      <c r="R2481" s="8">
        <v>0</v>
      </c>
      <c r="S2481" s="8">
        <v>0</v>
      </c>
      <c r="T2481" s="5">
        <v>0</v>
      </c>
      <c r="U2481" s="5">
        <v>0</v>
      </c>
      <c r="V2481" s="5">
        <f>VLOOKUP(A2481,Planilha1!B:E,4,0)</f>
        <v>-1.9171310037550682</v>
      </c>
    </row>
    <row r="2482" spans="1:22" x14ac:dyDescent="0.3">
      <c r="A2482" t="str">
        <f t="shared" si="76"/>
        <v>IOGURTESLACTALIS</v>
      </c>
      <c r="B2482" t="str">
        <f t="shared" si="77"/>
        <v>5264254IOGURTESLACTALIS</v>
      </c>
      <c r="C2482" s="5" t="s">
        <v>226</v>
      </c>
      <c r="D2482" s="5" t="s">
        <v>227</v>
      </c>
      <c r="E2482" s="5" t="s">
        <v>1722</v>
      </c>
      <c r="F2482" s="5">
        <v>5264254</v>
      </c>
      <c r="G2482" s="5" t="s">
        <v>421</v>
      </c>
      <c r="H2482" s="5" t="s">
        <v>30</v>
      </c>
      <c r="I2482" s="5" t="s">
        <v>22</v>
      </c>
      <c r="J2482" s="5" t="s">
        <v>153</v>
      </c>
      <c r="K2482" s="6">
        <v>0</v>
      </c>
      <c r="L2482" s="7">
        <v>14.4</v>
      </c>
      <c r="M2482" s="8">
        <v>11.200000000000003</v>
      </c>
      <c r="N2482" s="8">
        <v>7.1999999999999993</v>
      </c>
      <c r="O2482" s="8">
        <v>4.7525308641023152</v>
      </c>
      <c r="P2482" s="8">
        <v>0</v>
      </c>
      <c r="Q2482" s="8">
        <v>0</v>
      </c>
      <c r="R2482" s="8">
        <v>0</v>
      </c>
      <c r="S2482" s="8">
        <v>0</v>
      </c>
      <c r="T2482" s="5">
        <v>0</v>
      </c>
      <c r="U2482" s="5">
        <v>0</v>
      </c>
      <c r="V2482" s="5">
        <f>VLOOKUP(A2482,Planilha1!B:E,4,0)</f>
        <v>3.0503167986984403</v>
      </c>
    </row>
    <row r="2483" spans="1:22" x14ac:dyDescent="0.3">
      <c r="A2483" t="str">
        <f t="shared" si="76"/>
        <v>IOGURTESLACTALIS</v>
      </c>
      <c r="B2483" t="str">
        <f t="shared" si="77"/>
        <v>5249304IOGURTESLACTALIS</v>
      </c>
      <c r="C2483" s="5" t="s">
        <v>226</v>
      </c>
      <c r="D2483" s="5" t="s">
        <v>227</v>
      </c>
      <c r="E2483" s="5" t="s">
        <v>1722</v>
      </c>
      <c r="F2483" s="5">
        <v>5249304</v>
      </c>
      <c r="G2483" s="5" t="s">
        <v>1149</v>
      </c>
      <c r="H2483" s="5" t="s">
        <v>30</v>
      </c>
      <c r="I2483" s="5" t="s">
        <v>22</v>
      </c>
      <c r="J2483" s="5" t="s">
        <v>153</v>
      </c>
      <c r="K2483" s="6">
        <v>0</v>
      </c>
      <c r="L2483" s="7">
        <v>46</v>
      </c>
      <c r="M2483" s="8">
        <v>31.346666666666671</v>
      </c>
      <c r="N2483" s="8">
        <v>39.866666666666674</v>
      </c>
      <c r="O2483" s="8">
        <v>7.7328349911113223</v>
      </c>
      <c r="P2483" s="8">
        <v>0</v>
      </c>
      <c r="Q2483" s="8">
        <v>0</v>
      </c>
      <c r="R2483" s="8">
        <v>0</v>
      </c>
      <c r="S2483" s="8">
        <v>0</v>
      </c>
      <c r="T2483" s="5">
        <v>0</v>
      </c>
      <c r="U2483" s="5">
        <v>0</v>
      </c>
      <c r="V2483" s="5">
        <f>VLOOKUP(A2483,Planilha1!B:E,4,0)</f>
        <v>3.0503167986984403</v>
      </c>
    </row>
    <row r="2484" spans="1:22" x14ac:dyDescent="0.3">
      <c r="A2484" t="str">
        <f t="shared" si="76"/>
        <v>QUEIJOSLACTALIS</v>
      </c>
      <c r="B2484" t="str">
        <f t="shared" si="77"/>
        <v>5249304QUEIJOSLACTALIS</v>
      </c>
      <c r="C2484" s="5" t="s">
        <v>226</v>
      </c>
      <c r="D2484" s="5" t="s">
        <v>227</v>
      </c>
      <c r="E2484" s="5" t="s">
        <v>1722</v>
      </c>
      <c r="F2484" s="5">
        <v>5249304</v>
      </c>
      <c r="G2484" s="5" t="s">
        <v>1149</v>
      </c>
      <c r="H2484" s="5" t="s">
        <v>30</v>
      </c>
      <c r="I2484" s="5" t="s">
        <v>22</v>
      </c>
      <c r="J2484" s="5" t="s">
        <v>63</v>
      </c>
      <c r="K2484" s="6">
        <v>0</v>
      </c>
      <c r="L2484" s="7">
        <v>23.8</v>
      </c>
      <c r="M2484" s="8">
        <v>7.9116666666666662</v>
      </c>
      <c r="N2484" s="8">
        <v>3.8833333333333333</v>
      </c>
      <c r="O2484" s="8">
        <v>0</v>
      </c>
      <c r="P2484" s="8">
        <v>0</v>
      </c>
      <c r="Q2484" s="8">
        <v>0</v>
      </c>
      <c r="R2484" s="8">
        <v>0</v>
      </c>
      <c r="S2484" s="8">
        <v>0</v>
      </c>
      <c r="T2484" s="5">
        <v>0</v>
      </c>
      <c r="U2484" s="5">
        <v>0</v>
      </c>
      <c r="V2484" s="5">
        <f>VLOOKUP(A2484,Planilha1!B:E,4,0)</f>
        <v>-1.9171310037550682</v>
      </c>
    </row>
    <row r="2485" spans="1:22" x14ac:dyDescent="0.3">
      <c r="A2485" t="str">
        <f t="shared" si="76"/>
        <v>IOGURTESLACTALIS</v>
      </c>
      <c r="B2485" t="str">
        <f t="shared" si="77"/>
        <v>5249406IOGURTESLACTALIS</v>
      </c>
      <c r="C2485" s="5" t="s">
        <v>226</v>
      </c>
      <c r="D2485" s="5" t="s">
        <v>227</v>
      </c>
      <c r="E2485" s="5" t="s">
        <v>1722</v>
      </c>
      <c r="F2485" s="5">
        <v>5249406</v>
      </c>
      <c r="G2485" s="5" t="s">
        <v>399</v>
      </c>
      <c r="H2485" s="5" t="s">
        <v>30</v>
      </c>
      <c r="I2485" s="5" t="s">
        <v>22</v>
      </c>
      <c r="J2485" s="5" t="s">
        <v>153</v>
      </c>
      <c r="K2485" s="6">
        <v>0</v>
      </c>
      <c r="L2485" s="7">
        <v>46</v>
      </c>
      <c r="M2485" s="8">
        <v>52.133333333333333</v>
      </c>
      <c r="N2485" s="8">
        <v>55.199999999999996</v>
      </c>
      <c r="O2485" s="8">
        <v>33.837563874148145</v>
      </c>
      <c r="P2485" s="8">
        <v>0</v>
      </c>
      <c r="Q2485" s="8">
        <v>0</v>
      </c>
      <c r="R2485" s="8">
        <v>0</v>
      </c>
      <c r="S2485" s="8">
        <v>0</v>
      </c>
      <c r="T2485" s="5">
        <v>0</v>
      </c>
      <c r="U2485" s="5">
        <v>0</v>
      </c>
      <c r="V2485" s="5">
        <f>VLOOKUP(A2485,Planilha1!B:E,4,0)</f>
        <v>3.0503167986984403</v>
      </c>
    </row>
    <row r="2486" spans="1:22" x14ac:dyDescent="0.3">
      <c r="A2486" t="str">
        <f t="shared" si="76"/>
        <v>QUEIJOSLACTALIS</v>
      </c>
      <c r="B2486" t="str">
        <f t="shared" si="77"/>
        <v>5249803QUEIJOSLACTALIS</v>
      </c>
      <c r="C2486" s="5" t="s">
        <v>226</v>
      </c>
      <c r="D2486" s="5" t="s">
        <v>227</v>
      </c>
      <c r="E2486" s="5" t="s">
        <v>1722</v>
      </c>
      <c r="F2486" s="5">
        <v>5249803</v>
      </c>
      <c r="G2486" s="5" t="s">
        <v>1286</v>
      </c>
      <c r="H2486" s="5" t="s">
        <v>30</v>
      </c>
      <c r="I2486" s="5" t="s">
        <v>22</v>
      </c>
      <c r="J2486" s="5" t="s">
        <v>63</v>
      </c>
      <c r="K2486" s="6">
        <v>0</v>
      </c>
      <c r="L2486" s="7">
        <v>0</v>
      </c>
      <c r="M2486" s="8">
        <v>25.358333333333334</v>
      </c>
      <c r="N2486" s="8">
        <v>42.73</v>
      </c>
      <c r="O2486" s="8">
        <v>0</v>
      </c>
      <c r="P2486" s="8">
        <v>0</v>
      </c>
      <c r="Q2486" s="8">
        <v>24</v>
      </c>
      <c r="R2486" s="8">
        <v>0</v>
      </c>
      <c r="S2486" s="8">
        <v>0</v>
      </c>
      <c r="T2486" s="5">
        <v>0</v>
      </c>
      <c r="U2486" s="5">
        <v>24</v>
      </c>
      <c r="V2486" s="5">
        <f>VLOOKUP(A2486,Planilha1!B:E,4,0)</f>
        <v>-1.9171310037550682</v>
      </c>
    </row>
    <row r="2487" spans="1:22" x14ac:dyDescent="0.3">
      <c r="A2487" t="str">
        <f t="shared" si="76"/>
        <v>PARMESÃOLACTALIS</v>
      </c>
      <c r="B2487" t="str">
        <f t="shared" si="77"/>
        <v>5249870PARMESÃOLACTALIS</v>
      </c>
      <c r="C2487" s="5" t="s">
        <v>226</v>
      </c>
      <c r="D2487" s="5" t="s">
        <v>227</v>
      </c>
      <c r="E2487" s="5" t="s">
        <v>1722</v>
      </c>
      <c r="F2487" s="5">
        <v>5249870</v>
      </c>
      <c r="G2487" s="5" t="s">
        <v>580</v>
      </c>
      <c r="H2487" s="5" t="s">
        <v>30</v>
      </c>
      <c r="I2487" s="5" t="s">
        <v>22</v>
      </c>
      <c r="J2487" s="5" t="s">
        <v>195</v>
      </c>
      <c r="K2487" s="6">
        <v>0</v>
      </c>
      <c r="L2487" s="7">
        <v>0</v>
      </c>
      <c r="M2487" s="8">
        <v>2.3241666666666667</v>
      </c>
      <c r="N2487" s="8">
        <v>4.6483333333333334</v>
      </c>
      <c r="O2487" s="8">
        <v>0</v>
      </c>
      <c r="P2487" s="8">
        <v>0</v>
      </c>
      <c r="Q2487" s="8">
        <v>0</v>
      </c>
      <c r="R2487" s="8">
        <v>0</v>
      </c>
      <c r="S2487" s="8">
        <v>0</v>
      </c>
      <c r="T2487" s="5">
        <v>0</v>
      </c>
      <c r="U2487" s="5">
        <v>0</v>
      </c>
      <c r="V2487" s="5">
        <f>VLOOKUP(A2487,Planilha1!B:E,4,0)</f>
        <v>6.310326960724681</v>
      </c>
    </row>
    <row r="2488" spans="1:22" x14ac:dyDescent="0.3">
      <c r="A2488" t="str">
        <f t="shared" si="76"/>
        <v>IOGURTESLACTALIS</v>
      </c>
      <c r="B2488" t="str">
        <f t="shared" si="77"/>
        <v>5249870IOGURTESLACTALIS</v>
      </c>
      <c r="C2488" s="5" t="s">
        <v>226</v>
      </c>
      <c r="D2488" s="5" t="s">
        <v>227</v>
      </c>
      <c r="E2488" s="5" t="s">
        <v>1722</v>
      </c>
      <c r="F2488" s="5">
        <v>5249870</v>
      </c>
      <c r="G2488" s="5" t="s">
        <v>580</v>
      </c>
      <c r="H2488" s="5" t="s">
        <v>30</v>
      </c>
      <c r="I2488" s="5" t="s">
        <v>22</v>
      </c>
      <c r="J2488" s="5" t="s">
        <v>153</v>
      </c>
      <c r="K2488" s="6">
        <v>0</v>
      </c>
      <c r="L2488" s="7">
        <v>48.96</v>
      </c>
      <c r="M2488" s="8">
        <v>35.700000000000003</v>
      </c>
      <c r="N2488" s="8">
        <v>38.76</v>
      </c>
      <c r="O2488" s="8">
        <v>30.880053660156413</v>
      </c>
      <c r="P2488" s="8">
        <v>0</v>
      </c>
      <c r="Q2488" s="8">
        <v>12.24</v>
      </c>
      <c r="R2488" s="8">
        <v>0</v>
      </c>
      <c r="S2488" s="8">
        <v>0</v>
      </c>
      <c r="T2488" s="5">
        <v>0</v>
      </c>
      <c r="U2488" s="5">
        <v>0</v>
      </c>
      <c r="V2488" s="5">
        <f>VLOOKUP(A2488,Planilha1!B:E,4,0)</f>
        <v>3.0503167986984403</v>
      </c>
    </row>
    <row r="2489" spans="1:22" x14ac:dyDescent="0.3">
      <c r="A2489" t="str">
        <f t="shared" si="76"/>
        <v>QUEIJOSLACTALIS</v>
      </c>
      <c r="B2489" t="str">
        <f t="shared" si="77"/>
        <v>5252779QUEIJOSLACTALIS</v>
      </c>
      <c r="C2489" s="5" t="s">
        <v>226</v>
      </c>
      <c r="D2489" s="5" t="s">
        <v>227</v>
      </c>
      <c r="E2489" s="5" t="s">
        <v>1722</v>
      </c>
      <c r="F2489" s="5">
        <v>5252779</v>
      </c>
      <c r="G2489" s="5" t="s">
        <v>400</v>
      </c>
      <c r="H2489" s="5" t="s">
        <v>30</v>
      </c>
      <c r="I2489" s="5" t="s">
        <v>22</v>
      </c>
      <c r="J2489" s="5" t="s">
        <v>63</v>
      </c>
      <c r="K2489" s="6">
        <v>0</v>
      </c>
      <c r="L2489" s="7">
        <v>0</v>
      </c>
      <c r="M2489" s="8">
        <v>45.228333333333332</v>
      </c>
      <c r="N2489" s="8">
        <v>74.523333333333326</v>
      </c>
      <c r="O2489" s="8">
        <v>0</v>
      </c>
      <c r="P2489" s="8">
        <v>0</v>
      </c>
      <c r="Q2489" s="8">
        <v>12</v>
      </c>
      <c r="R2489" s="8">
        <v>0</v>
      </c>
      <c r="S2489" s="8">
        <v>0</v>
      </c>
      <c r="T2489" s="5">
        <v>0</v>
      </c>
      <c r="U2489" s="5">
        <v>48</v>
      </c>
      <c r="V2489" s="5">
        <f>VLOOKUP(A2489,Planilha1!B:E,4,0)</f>
        <v>-1.9171310037550682</v>
      </c>
    </row>
    <row r="2490" spans="1:22" x14ac:dyDescent="0.3">
      <c r="A2490" t="str">
        <f t="shared" si="76"/>
        <v>CREME 35%LACTALIS</v>
      </c>
      <c r="B2490" t="str">
        <f t="shared" si="77"/>
        <v>5252779CREME 35%LACTALIS</v>
      </c>
      <c r="C2490" s="5" t="s">
        <v>226</v>
      </c>
      <c r="D2490" s="5" t="s">
        <v>227</v>
      </c>
      <c r="E2490" s="5" t="s">
        <v>1722</v>
      </c>
      <c r="F2490" s="5">
        <v>5252779</v>
      </c>
      <c r="G2490" s="5" t="s">
        <v>400</v>
      </c>
      <c r="H2490" s="5" t="s">
        <v>30</v>
      </c>
      <c r="I2490" s="5" t="s">
        <v>22</v>
      </c>
      <c r="J2490" s="5" t="s">
        <v>89</v>
      </c>
      <c r="K2490" s="6">
        <v>0</v>
      </c>
      <c r="L2490" s="7">
        <v>0</v>
      </c>
      <c r="M2490" s="8">
        <v>3.3333333333333335</v>
      </c>
      <c r="N2490" s="8">
        <v>6.666666666666667</v>
      </c>
      <c r="O2490" s="8">
        <v>0</v>
      </c>
      <c r="P2490" s="8">
        <v>0</v>
      </c>
      <c r="Q2490" s="8">
        <v>0</v>
      </c>
      <c r="R2490" s="8">
        <v>0</v>
      </c>
      <c r="S2490" s="8">
        <v>0</v>
      </c>
      <c r="T2490" s="5">
        <v>0</v>
      </c>
      <c r="U2490" s="5">
        <v>0</v>
      </c>
      <c r="V2490" s="5">
        <f>VLOOKUP(A2490,Planilha1!B:E,4,0)</f>
        <v>6.4420264254159507</v>
      </c>
    </row>
    <row r="2491" spans="1:22" x14ac:dyDescent="0.3">
      <c r="A2491" t="str">
        <f t="shared" si="76"/>
        <v>IOGURTESLACTALIS</v>
      </c>
      <c r="B2491" t="str">
        <f t="shared" si="77"/>
        <v>5264406IOGURTESLACTALIS</v>
      </c>
      <c r="C2491" s="5" t="s">
        <v>226</v>
      </c>
      <c r="D2491" s="5" t="s">
        <v>227</v>
      </c>
      <c r="E2491" s="5" t="s">
        <v>1722</v>
      </c>
      <c r="F2491" s="5">
        <v>5264406</v>
      </c>
      <c r="G2491" s="5" t="s">
        <v>1306</v>
      </c>
      <c r="H2491" s="5" t="s">
        <v>30</v>
      </c>
      <c r="I2491" s="5" t="s">
        <v>22</v>
      </c>
      <c r="J2491" s="5" t="s">
        <v>153</v>
      </c>
      <c r="K2491" s="6">
        <v>0</v>
      </c>
      <c r="L2491" s="7">
        <v>202.56</v>
      </c>
      <c r="M2491" s="8">
        <v>136.72000000000003</v>
      </c>
      <c r="N2491" s="8">
        <v>154.4</v>
      </c>
      <c r="O2491" s="8">
        <v>94.423784674071186</v>
      </c>
      <c r="P2491" s="8">
        <v>0</v>
      </c>
      <c r="Q2491" s="8">
        <v>55.68</v>
      </c>
      <c r="R2491" s="8">
        <v>0</v>
      </c>
      <c r="S2491" s="8">
        <v>0</v>
      </c>
      <c r="T2491" s="5">
        <v>0</v>
      </c>
      <c r="U2491" s="5">
        <v>0</v>
      </c>
      <c r="V2491" s="5">
        <f>VLOOKUP(A2491,Planilha1!B:E,4,0)</f>
        <v>3.0503167986984403</v>
      </c>
    </row>
    <row r="2492" spans="1:22" x14ac:dyDescent="0.3">
      <c r="A2492" t="str">
        <f t="shared" si="76"/>
        <v>QUEIJOSLACTALIS</v>
      </c>
      <c r="B2492" t="str">
        <f t="shared" si="77"/>
        <v>5252814QUEIJOSLACTALIS</v>
      </c>
      <c r="C2492" s="5" t="s">
        <v>226</v>
      </c>
      <c r="D2492" s="5" t="s">
        <v>227</v>
      </c>
      <c r="E2492" s="5" t="s">
        <v>1722</v>
      </c>
      <c r="F2492" s="5">
        <v>5252814</v>
      </c>
      <c r="G2492" s="5" t="s">
        <v>1287</v>
      </c>
      <c r="H2492" s="5" t="s">
        <v>30</v>
      </c>
      <c r="I2492" s="5" t="s">
        <v>22</v>
      </c>
      <c r="J2492" s="5" t="s">
        <v>63</v>
      </c>
      <c r="K2492" s="6">
        <v>0</v>
      </c>
      <c r="L2492" s="7">
        <v>0</v>
      </c>
      <c r="M2492" s="8">
        <v>0.79999999999999993</v>
      </c>
      <c r="N2492" s="8">
        <v>1.5999999999999999</v>
      </c>
      <c r="O2492" s="8">
        <v>0</v>
      </c>
      <c r="P2492" s="8">
        <v>0</v>
      </c>
      <c r="Q2492" s="8">
        <v>0</v>
      </c>
      <c r="R2492" s="8">
        <v>0</v>
      </c>
      <c r="S2492" s="8">
        <v>0</v>
      </c>
      <c r="T2492" s="5">
        <v>0</v>
      </c>
      <c r="U2492" s="5">
        <v>0</v>
      </c>
      <c r="V2492" s="5">
        <f>VLOOKUP(A2492,Planilha1!B:E,4,0)</f>
        <v>-1.9171310037550682</v>
      </c>
    </row>
    <row r="2493" spans="1:22" x14ac:dyDescent="0.3">
      <c r="A2493" t="str">
        <f t="shared" si="76"/>
        <v>MERC + AROMLACTALIS</v>
      </c>
      <c r="B2493" t="str">
        <f t="shared" si="77"/>
        <v>5264441MERC + AROMLACTALIS</v>
      </c>
      <c r="C2493" s="5" t="s">
        <v>226</v>
      </c>
      <c r="D2493" s="5" t="s">
        <v>227</v>
      </c>
      <c r="E2493" s="5" t="s">
        <v>1722</v>
      </c>
      <c r="F2493" s="5">
        <v>5264441</v>
      </c>
      <c r="G2493" s="5" t="s">
        <v>606</v>
      </c>
      <c r="H2493" s="5" t="s">
        <v>30</v>
      </c>
      <c r="I2493" s="5" t="s">
        <v>22</v>
      </c>
      <c r="J2493" s="5" t="s">
        <v>230</v>
      </c>
      <c r="K2493" s="6">
        <v>0</v>
      </c>
      <c r="L2493" s="7">
        <v>0</v>
      </c>
      <c r="M2493" s="8">
        <v>6</v>
      </c>
      <c r="N2493" s="8">
        <v>4.5</v>
      </c>
      <c r="O2493" s="8">
        <v>0</v>
      </c>
      <c r="P2493" s="8">
        <v>0</v>
      </c>
      <c r="Q2493" s="8">
        <v>0</v>
      </c>
      <c r="R2493" s="8">
        <v>0</v>
      </c>
      <c r="S2493" s="8">
        <v>0</v>
      </c>
      <c r="T2493" s="5">
        <v>0</v>
      </c>
      <c r="U2493" s="5">
        <v>0</v>
      </c>
      <c r="V2493" s="5">
        <f>VLOOKUP(A2493,Planilha1!B:E,4,0)</f>
        <v>0.86907188046232187</v>
      </c>
    </row>
    <row r="2494" spans="1:22" x14ac:dyDescent="0.3">
      <c r="A2494" t="str">
        <f t="shared" si="76"/>
        <v>QUEIJOSLACTALIS</v>
      </c>
      <c r="B2494" t="str">
        <f t="shared" si="77"/>
        <v>5264990QUEIJOSLACTALIS</v>
      </c>
      <c r="C2494" s="5" t="s">
        <v>226</v>
      </c>
      <c r="D2494" s="5" t="s">
        <v>227</v>
      </c>
      <c r="E2494" s="5" t="s">
        <v>1722</v>
      </c>
      <c r="F2494" s="5">
        <v>5264990</v>
      </c>
      <c r="G2494" s="5" t="s">
        <v>297</v>
      </c>
      <c r="H2494" s="5" t="s">
        <v>30</v>
      </c>
      <c r="I2494" s="5" t="s">
        <v>22</v>
      </c>
      <c r="J2494" s="5" t="s">
        <v>63</v>
      </c>
      <c r="K2494" s="6">
        <v>0</v>
      </c>
      <c r="L2494" s="7">
        <v>28.991</v>
      </c>
      <c r="M2494" s="8">
        <v>22.64</v>
      </c>
      <c r="N2494" s="8">
        <v>23.55</v>
      </c>
      <c r="O2494" s="8">
        <v>15.767689329701568</v>
      </c>
      <c r="P2494" s="8">
        <v>0</v>
      </c>
      <c r="Q2494" s="8">
        <v>0</v>
      </c>
      <c r="R2494" s="8">
        <v>0</v>
      </c>
      <c r="S2494" s="8">
        <v>0</v>
      </c>
      <c r="T2494" s="5">
        <v>0</v>
      </c>
      <c r="U2494" s="5">
        <v>0</v>
      </c>
      <c r="V2494" s="5">
        <f>VLOOKUP(A2494,Planilha1!B:E,4,0)</f>
        <v>-1.9171310037550682</v>
      </c>
    </row>
    <row r="2495" spans="1:22" x14ac:dyDescent="0.3">
      <c r="A2495" t="str">
        <f t="shared" si="76"/>
        <v>QUEIJOSLACTALIS</v>
      </c>
      <c r="B2495" t="str">
        <f t="shared" si="77"/>
        <v>5252882QUEIJOSLACTALIS</v>
      </c>
      <c r="C2495" s="5" t="s">
        <v>226</v>
      </c>
      <c r="D2495" s="5" t="s">
        <v>227</v>
      </c>
      <c r="E2495" s="5" t="s">
        <v>1722</v>
      </c>
      <c r="F2495" s="5">
        <v>5252882</v>
      </c>
      <c r="G2495" s="5" t="s">
        <v>274</v>
      </c>
      <c r="H2495" s="5" t="s">
        <v>30</v>
      </c>
      <c r="I2495" s="5" t="s">
        <v>22</v>
      </c>
      <c r="J2495" s="5" t="s">
        <v>63</v>
      </c>
      <c r="K2495" s="6">
        <v>0</v>
      </c>
      <c r="L2495" s="7">
        <v>0</v>
      </c>
      <c r="M2495" s="8">
        <v>13.576666666666666</v>
      </c>
      <c r="N2495" s="8">
        <v>27.153333333333332</v>
      </c>
      <c r="O2495" s="8">
        <v>0</v>
      </c>
      <c r="P2495" s="8">
        <v>0</v>
      </c>
      <c r="Q2495" s="8">
        <v>0</v>
      </c>
      <c r="R2495" s="8">
        <v>0</v>
      </c>
      <c r="S2495" s="8">
        <v>0</v>
      </c>
      <c r="T2495" s="5">
        <v>0</v>
      </c>
      <c r="U2495" s="5">
        <v>0</v>
      </c>
      <c r="V2495" s="5">
        <f>VLOOKUP(A2495,Planilha1!B:E,4,0)</f>
        <v>-1.9171310037550682</v>
      </c>
    </row>
    <row r="2496" spans="1:22" x14ac:dyDescent="0.3">
      <c r="A2496" t="str">
        <f t="shared" si="76"/>
        <v>QUEIJOSLACTALIS</v>
      </c>
      <c r="B2496" t="str">
        <f t="shared" si="77"/>
        <v>5253127QUEIJOSLACTALIS</v>
      </c>
      <c r="C2496" s="5" t="s">
        <v>226</v>
      </c>
      <c r="D2496" s="5" t="s">
        <v>227</v>
      </c>
      <c r="E2496" s="5" t="s">
        <v>1722</v>
      </c>
      <c r="F2496" s="5">
        <v>5253127</v>
      </c>
      <c r="G2496" s="5" t="s">
        <v>582</v>
      </c>
      <c r="H2496" s="5" t="s">
        <v>30</v>
      </c>
      <c r="I2496" s="5" t="s">
        <v>22</v>
      </c>
      <c r="J2496" s="5" t="s">
        <v>63</v>
      </c>
      <c r="K2496" s="6">
        <v>0</v>
      </c>
      <c r="L2496" s="7">
        <v>47.08</v>
      </c>
      <c r="M2496" s="8">
        <v>35.048333333333332</v>
      </c>
      <c r="N2496" s="8">
        <v>27.396666666666665</v>
      </c>
      <c r="O2496" s="8">
        <v>13.095103028425806</v>
      </c>
      <c r="P2496" s="8">
        <v>0</v>
      </c>
      <c r="Q2496" s="8">
        <v>0</v>
      </c>
      <c r="R2496" s="8">
        <v>0</v>
      </c>
      <c r="S2496" s="8">
        <v>0</v>
      </c>
      <c r="T2496" s="5">
        <v>0</v>
      </c>
      <c r="U2496" s="5">
        <v>0</v>
      </c>
      <c r="V2496" s="5">
        <f>VLOOKUP(A2496,Planilha1!B:E,4,0)</f>
        <v>-1.9171310037550682</v>
      </c>
    </row>
    <row r="2497" spans="1:22" x14ac:dyDescent="0.3">
      <c r="A2497" t="str">
        <f t="shared" si="76"/>
        <v>QUEIJOSLACTALIS</v>
      </c>
      <c r="B2497" t="str">
        <f t="shared" si="77"/>
        <v>5253375QUEIJOSLACTALIS</v>
      </c>
      <c r="C2497" s="5" t="s">
        <v>226</v>
      </c>
      <c r="D2497" s="5" t="s">
        <v>227</v>
      </c>
      <c r="E2497" s="5" t="s">
        <v>1722</v>
      </c>
      <c r="F2497" s="5">
        <v>5253375</v>
      </c>
      <c r="G2497" s="5" t="s">
        <v>403</v>
      </c>
      <c r="H2497" s="5" t="s">
        <v>30</v>
      </c>
      <c r="I2497" s="5" t="s">
        <v>22</v>
      </c>
      <c r="J2497" s="5" t="s">
        <v>63</v>
      </c>
      <c r="K2497" s="6">
        <v>0</v>
      </c>
      <c r="L2497" s="7">
        <v>214.5</v>
      </c>
      <c r="M2497" s="8">
        <v>156.5</v>
      </c>
      <c r="N2497" s="8">
        <v>141.5</v>
      </c>
      <c r="O2497" s="8">
        <v>137.52707418974254</v>
      </c>
      <c r="P2497" s="8">
        <v>0</v>
      </c>
      <c r="Q2497" s="8">
        <v>120</v>
      </c>
      <c r="R2497" s="8">
        <v>0</v>
      </c>
      <c r="S2497" s="8">
        <v>0</v>
      </c>
      <c r="T2497" s="5">
        <v>0</v>
      </c>
      <c r="U2497" s="5">
        <v>120</v>
      </c>
      <c r="V2497" s="5">
        <f>VLOOKUP(A2497,Planilha1!B:E,4,0)</f>
        <v>-1.9171310037550682</v>
      </c>
    </row>
    <row r="2498" spans="1:22" x14ac:dyDescent="0.3">
      <c r="A2498" t="str">
        <f t="shared" ref="A2498:A2561" si="78">J2498&amp;I2498</f>
        <v>IOGURTESLACTALIS</v>
      </c>
      <c r="B2498" t="str">
        <f t="shared" si="77"/>
        <v>5265744IOGURTESLACTALIS</v>
      </c>
      <c r="C2498" s="5" t="s">
        <v>226</v>
      </c>
      <c r="D2498" s="5" t="s">
        <v>227</v>
      </c>
      <c r="E2498" s="5" t="s">
        <v>1722</v>
      </c>
      <c r="F2498" s="5">
        <v>5265744</v>
      </c>
      <c r="G2498" s="5" t="s">
        <v>1307</v>
      </c>
      <c r="H2498" s="5" t="s">
        <v>30</v>
      </c>
      <c r="I2498" s="5" t="s">
        <v>22</v>
      </c>
      <c r="J2498" s="5" t="s">
        <v>153</v>
      </c>
      <c r="K2498" s="6">
        <v>0</v>
      </c>
      <c r="L2498" s="7">
        <v>12.24</v>
      </c>
      <c r="M2498" s="8">
        <v>10.946666666666665</v>
      </c>
      <c r="N2498" s="8">
        <v>6.9333333333333336</v>
      </c>
      <c r="O2498" s="8">
        <v>11.499529117216394</v>
      </c>
      <c r="P2498" s="8">
        <v>0</v>
      </c>
      <c r="Q2498" s="8">
        <v>4.4800000000000004</v>
      </c>
      <c r="R2498" s="8">
        <v>0</v>
      </c>
      <c r="S2498" s="8">
        <v>0</v>
      </c>
      <c r="T2498" s="5">
        <v>0</v>
      </c>
      <c r="U2498" s="5">
        <v>0</v>
      </c>
      <c r="V2498" s="5">
        <f>VLOOKUP(A2498,Planilha1!B:E,4,0)</f>
        <v>3.0503167986984403</v>
      </c>
    </row>
    <row r="2499" spans="1:22" x14ac:dyDescent="0.3">
      <c r="A2499" t="str">
        <f t="shared" si="78"/>
        <v>QUEIJOSLACTALIS</v>
      </c>
      <c r="B2499" t="str">
        <f t="shared" ref="B2499:B2562" si="79">F2499&amp;J2499&amp;I2499</f>
        <v>5253730QUEIJOSLACTALIS</v>
      </c>
      <c r="C2499" s="5" t="s">
        <v>226</v>
      </c>
      <c r="D2499" s="5" t="s">
        <v>227</v>
      </c>
      <c r="E2499" s="5" t="s">
        <v>1722</v>
      </c>
      <c r="F2499" s="5">
        <v>5253730</v>
      </c>
      <c r="G2499" s="5" t="s">
        <v>404</v>
      </c>
      <c r="H2499" s="5" t="s">
        <v>30</v>
      </c>
      <c r="I2499" s="5" t="s">
        <v>22</v>
      </c>
      <c r="J2499" s="5" t="s">
        <v>63</v>
      </c>
      <c r="K2499" s="6">
        <v>0</v>
      </c>
      <c r="L2499" s="7">
        <v>11.98</v>
      </c>
      <c r="M2499" s="8">
        <v>9.7883333333333322</v>
      </c>
      <c r="N2499" s="8">
        <v>3.86</v>
      </c>
      <c r="O2499" s="8">
        <v>6.6102347750104151</v>
      </c>
      <c r="P2499" s="8">
        <v>0</v>
      </c>
      <c r="Q2499" s="8">
        <v>12</v>
      </c>
      <c r="R2499" s="8">
        <v>0</v>
      </c>
      <c r="S2499" s="8">
        <v>0</v>
      </c>
      <c r="T2499" s="5">
        <v>0</v>
      </c>
      <c r="U2499" s="5">
        <v>0</v>
      </c>
      <c r="V2499" s="5">
        <f>VLOOKUP(A2499,Planilha1!B:E,4,0)</f>
        <v>-1.9171310037550682</v>
      </c>
    </row>
    <row r="2500" spans="1:22" x14ac:dyDescent="0.3">
      <c r="A2500" t="str">
        <f t="shared" si="78"/>
        <v>IOGURTESLACTALIS</v>
      </c>
      <c r="B2500" t="str">
        <f t="shared" si="79"/>
        <v>5254974IOGURTESLACTALIS</v>
      </c>
      <c r="C2500" s="5" t="s">
        <v>226</v>
      </c>
      <c r="D2500" s="5" t="s">
        <v>227</v>
      </c>
      <c r="E2500" s="5" t="s">
        <v>1722</v>
      </c>
      <c r="F2500" s="5">
        <v>5254974</v>
      </c>
      <c r="G2500" s="5" t="s">
        <v>406</v>
      </c>
      <c r="H2500" s="5" t="s">
        <v>30</v>
      </c>
      <c r="I2500" s="5" t="s">
        <v>22</v>
      </c>
      <c r="J2500" s="5" t="s">
        <v>153</v>
      </c>
      <c r="K2500" s="6">
        <v>0</v>
      </c>
      <c r="L2500" s="7">
        <v>144.08000000000001</v>
      </c>
      <c r="M2500" s="8">
        <v>82.56</v>
      </c>
      <c r="N2500" s="8">
        <v>65.36</v>
      </c>
      <c r="O2500" s="8">
        <v>78.09764447544633</v>
      </c>
      <c r="P2500" s="8">
        <v>0</v>
      </c>
      <c r="Q2500" s="8">
        <v>0</v>
      </c>
      <c r="R2500" s="8">
        <v>0</v>
      </c>
      <c r="S2500" s="8">
        <v>0</v>
      </c>
      <c r="T2500" s="5">
        <v>0</v>
      </c>
      <c r="U2500" s="5">
        <v>0</v>
      </c>
      <c r="V2500" s="5">
        <f>VLOOKUP(A2500,Planilha1!B:E,4,0)</f>
        <v>3.0503167986984403</v>
      </c>
    </row>
    <row r="2501" spans="1:22" x14ac:dyDescent="0.3">
      <c r="A2501" t="str">
        <f t="shared" si="78"/>
        <v>IOGURTESLACTALIS</v>
      </c>
      <c r="B2501" t="str">
        <f t="shared" si="79"/>
        <v>5269327IOGURTESLACTALIS</v>
      </c>
      <c r="C2501" s="5" t="s">
        <v>226</v>
      </c>
      <c r="D2501" s="5" t="s">
        <v>227</v>
      </c>
      <c r="E2501" s="5" t="s">
        <v>1722</v>
      </c>
      <c r="F2501" s="5">
        <v>5269327</v>
      </c>
      <c r="G2501" s="5" t="s">
        <v>1308</v>
      </c>
      <c r="H2501" s="5" t="s">
        <v>30</v>
      </c>
      <c r="I2501" s="5" t="s">
        <v>22</v>
      </c>
      <c r="J2501" s="5" t="s">
        <v>153</v>
      </c>
      <c r="K2501" s="6">
        <v>0</v>
      </c>
      <c r="L2501" s="7">
        <v>224.88000000000002</v>
      </c>
      <c r="M2501" s="8">
        <v>182.94</v>
      </c>
      <c r="N2501" s="8">
        <v>149.44</v>
      </c>
      <c r="O2501" s="8">
        <v>208.80933867302298</v>
      </c>
      <c r="P2501" s="8">
        <v>0</v>
      </c>
      <c r="Q2501" s="8">
        <v>39.36</v>
      </c>
      <c r="R2501" s="8">
        <v>0</v>
      </c>
      <c r="S2501" s="8">
        <v>0</v>
      </c>
      <c r="T2501" s="5">
        <v>0</v>
      </c>
      <c r="U2501" s="5">
        <v>0</v>
      </c>
      <c r="V2501" s="5">
        <f>VLOOKUP(A2501,Planilha1!B:E,4,0)</f>
        <v>3.0503167986984403</v>
      </c>
    </row>
    <row r="2502" spans="1:22" x14ac:dyDescent="0.3">
      <c r="A2502" t="str">
        <f t="shared" si="78"/>
        <v>IOGURTESLACTALIS</v>
      </c>
      <c r="B2502" t="str">
        <f t="shared" si="79"/>
        <v>5256555IOGURTESLACTALIS</v>
      </c>
      <c r="C2502" s="5" t="s">
        <v>226</v>
      </c>
      <c r="D2502" s="5" t="s">
        <v>227</v>
      </c>
      <c r="E2502" s="5" t="s">
        <v>1722</v>
      </c>
      <c r="F2502" s="5">
        <v>5256555</v>
      </c>
      <c r="G2502" s="5" t="s">
        <v>586</v>
      </c>
      <c r="H2502" s="5" t="s">
        <v>30</v>
      </c>
      <c r="I2502" s="5" t="s">
        <v>22</v>
      </c>
      <c r="J2502" s="5" t="s">
        <v>153</v>
      </c>
      <c r="K2502" s="6">
        <v>0</v>
      </c>
      <c r="L2502" s="7">
        <v>32.4</v>
      </c>
      <c r="M2502" s="8">
        <v>30.600000000000005</v>
      </c>
      <c r="N2502" s="8">
        <v>22.439999999999998</v>
      </c>
      <c r="O2502" s="8">
        <v>29.164811705606297</v>
      </c>
      <c r="P2502" s="8">
        <v>0</v>
      </c>
      <c r="Q2502" s="8">
        <v>0</v>
      </c>
      <c r="R2502" s="8">
        <v>0</v>
      </c>
      <c r="S2502" s="8">
        <v>0</v>
      </c>
      <c r="T2502" s="5">
        <v>0</v>
      </c>
      <c r="U2502" s="5">
        <v>0</v>
      </c>
      <c r="V2502" s="5">
        <f>VLOOKUP(A2502,Planilha1!B:E,4,0)</f>
        <v>3.0503167986984403</v>
      </c>
    </row>
    <row r="2503" spans="1:22" x14ac:dyDescent="0.3">
      <c r="A2503" t="str">
        <f t="shared" si="78"/>
        <v>IOGURTESLACTALIS</v>
      </c>
      <c r="B2503" t="str">
        <f t="shared" si="79"/>
        <v>5256567IOGURTESLACTALIS</v>
      </c>
      <c r="C2503" s="5" t="s">
        <v>226</v>
      </c>
      <c r="D2503" s="5" t="s">
        <v>227</v>
      </c>
      <c r="E2503" s="5" t="s">
        <v>1722</v>
      </c>
      <c r="F2503" s="5">
        <v>5256567</v>
      </c>
      <c r="G2503" s="5" t="s">
        <v>587</v>
      </c>
      <c r="H2503" s="5" t="s">
        <v>30</v>
      </c>
      <c r="I2503" s="5" t="s">
        <v>22</v>
      </c>
      <c r="J2503" s="5" t="s">
        <v>153</v>
      </c>
      <c r="K2503" s="6">
        <v>0</v>
      </c>
      <c r="L2503" s="7">
        <v>24.48</v>
      </c>
      <c r="M2503" s="8">
        <v>23.8</v>
      </c>
      <c r="N2503" s="8">
        <v>23.12</v>
      </c>
      <c r="O2503" s="8">
        <v>20.582903454601396</v>
      </c>
      <c r="P2503" s="8">
        <v>0</v>
      </c>
      <c r="Q2503" s="8">
        <v>13.44</v>
      </c>
      <c r="R2503" s="8">
        <v>0</v>
      </c>
      <c r="S2503" s="8">
        <v>0</v>
      </c>
      <c r="T2503" s="5">
        <v>0</v>
      </c>
      <c r="U2503" s="5">
        <v>0</v>
      </c>
      <c r="V2503" s="5">
        <f>VLOOKUP(A2503,Planilha1!B:E,4,0)</f>
        <v>3.0503167986984403</v>
      </c>
    </row>
    <row r="2504" spans="1:22" x14ac:dyDescent="0.3">
      <c r="A2504" t="str">
        <f t="shared" si="78"/>
        <v>QUEIJOSLACTALIS</v>
      </c>
      <c r="B2504" t="str">
        <f t="shared" si="79"/>
        <v>5256963QUEIJOSLACTALIS</v>
      </c>
      <c r="C2504" s="5" t="s">
        <v>226</v>
      </c>
      <c r="D2504" s="5" t="s">
        <v>227</v>
      </c>
      <c r="E2504" s="5" t="s">
        <v>1722</v>
      </c>
      <c r="F2504" s="5">
        <v>5256963</v>
      </c>
      <c r="G2504" s="5" t="s">
        <v>1309</v>
      </c>
      <c r="H2504" s="5" t="s">
        <v>30</v>
      </c>
      <c r="I2504" s="5" t="s">
        <v>22</v>
      </c>
      <c r="J2504" s="5" t="s">
        <v>63</v>
      </c>
      <c r="K2504" s="6">
        <v>0</v>
      </c>
      <c r="L2504" s="7">
        <v>35.659999999999997</v>
      </c>
      <c r="M2504" s="8">
        <v>33.643333333333338</v>
      </c>
      <c r="N2504" s="8">
        <v>35</v>
      </c>
      <c r="O2504" s="8">
        <v>19.369127586431382</v>
      </c>
      <c r="P2504" s="8">
        <v>0</v>
      </c>
      <c r="Q2504" s="8">
        <v>0</v>
      </c>
      <c r="R2504" s="8">
        <v>0</v>
      </c>
      <c r="S2504" s="8">
        <v>0</v>
      </c>
      <c r="T2504" s="5">
        <v>0</v>
      </c>
      <c r="U2504" s="5">
        <v>24</v>
      </c>
      <c r="V2504" s="5">
        <f>VLOOKUP(A2504,Planilha1!B:E,4,0)</f>
        <v>-1.9171310037550682</v>
      </c>
    </row>
    <row r="2505" spans="1:22" x14ac:dyDescent="0.3">
      <c r="A2505" t="str">
        <f t="shared" si="78"/>
        <v>DOCE DE LEITELACTALIS</v>
      </c>
      <c r="B2505" t="str">
        <f t="shared" si="79"/>
        <v>5258848DOCE DE LEITELACTALIS</v>
      </c>
      <c r="C2505" s="5" t="s">
        <v>226</v>
      </c>
      <c r="D2505" s="5" t="s">
        <v>227</v>
      </c>
      <c r="E2505" s="5" t="s">
        <v>1722</v>
      </c>
      <c r="F2505" s="5">
        <v>5258848</v>
      </c>
      <c r="G2505" s="5" t="s">
        <v>409</v>
      </c>
      <c r="H2505" s="5" t="s">
        <v>30</v>
      </c>
      <c r="I2505" s="5" t="s">
        <v>22</v>
      </c>
      <c r="J2505" s="5" t="s">
        <v>46</v>
      </c>
      <c r="K2505" s="6">
        <v>0</v>
      </c>
      <c r="L2505" s="7">
        <v>0</v>
      </c>
      <c r="M2505" s="8">
        <v>2.8000000000000003</v>
      </c>
      <c r="N2505" s="8">
        <v>5.6000000000000005</v>
      </c>
      <c r="O2505" s="8">
        <v>0</v>
      </c>
      <c r="P2505" s="8">
        <v>0</v>
      </c>
      <c r="Q2505" s="8">
        <v>0</v>
      </c>
      <c r="R2505" s="8">
        <v>0</v>
      </c>
      <c r="S2505" s="8">
        <v>8</v>
      </c>
      <c r="T2505" s="5">
        <v>8</v>
      </c>
      <c r="U2505" s="5">
        <v>0</v>
      </c>
      <c r="V2505" s="5">
        <f>VLOOKUP(A2505,Planilha1!B:E,4,0)</f>
        <v>5.6473514327668077</v>
      </c>
    </row>
    <row r="2506" spans="1:22" x14ac:dyDescent="0.3">
      <c r="A2506" t="str">
        <f t="shared" si="78"/>
        <v>CREME UHTLACTALIS</v>
      </c>
      <c r="B2506" t="str">
        <f t="shared" si="79"/>
        <v>5259495CREME UHTLACTALIS</v>
      </c>
      <c r="C2506" s="5" t="s">
        <v>226</v>
      </c>
      <c r="D2506" s="5" t="s">
        <v>227</v>
      </c>
      <c r="E2506" s="5" t="s">
        <v>1722</v>
      </c>
      <c r="F2506" s="5">
        <v>5259495</v>
      </c>
      <c r="G2506" s="5" t="s">
        <v>1310</v>
      </c>
      <c r="H2506" s="5" t="s">
        <v>30</v>
      </c>
      <c r="I2506" s="5" t="s">
        <v>22</v>
      </c>
      <c r="J2506" s="5" t="s">
        <v>34</v>
      </c>
      <c r="K2506" s="6">
        <v>0</v>
      </c>
      <c r="L2506" s="7">
        <v>0</v>
      </c>
      <c r="M2506" s="8">
        <v>1.8</v>
      </c>
      <c r="N2506" s="8">
        <v>3.6</v>
      </c>
      <c r="O2506" s="8">
        <v>10.8</v>
      </c>
      <c r="P2506" s="8">
        <v>0</v>
      </c>
      <c r="Q2506" s="8">
        <v>0</v>
      </c>
      <c r="R2506" s="8">
        <v>0</v>
      </c>
      <c r="S2506" s="8">
        <v>0</v>
      </c>
      <c r="T2506" s="5">
        <v>11</v>
      </c>
      <c r="U2506" s="5">
        <v>11</v>
      </c>
      <c r="V2506" s="5">
        <f>VLOOKUP(A2506,Planilha1!B:E,4,0)</f>
        <v>-1.4094522863012933</v>
      </c>
    </row>
    <row r="2507" spans="1:22" x14ac:dyDescent="0.3">
      <c r="A2507" t="str">
        <f t="shared" si="78"/>
        <v>LEITE EM PÓLACTALIS</v>
      </c>
      <c r="B2507" t="str">
        <f t="shared" si="79"/>
        <v>5259495LEITE EM PÓLACTALIS</v>
      </c>
      <c r="C2507" s="5" t="s">
        <v>226</v>
      </c>
      <c r="D2507" s="5" t="s">
        <v>227</v>
      </c>
      <c r="E2507" s="5" t="s">
        <v>1722</v>
      </c>
      <c r="F2507" s="5">
        <v>5259495</v>
      </c>
      <c r="G2507" s="5" t="s">
        <v>1310</v>
      </c>
      <c r="H2507" s="5" t="s">
        <v>30</v>
      </c>
      <c r="I2507" s="5" t="s">
        <v>22</v>
      </c>
      <c r="J2507" s="5" t="s">
        <v>84</v>
      </c>
      <c r="K2507" s="6">
        <v>0</v>
      </c>
      <c r="L2507" s="7">
        <v>0</v>
      </c>
      <c r="M2507" s="8">
        <v>1.6666666666666667</v>
      </c>
      <c r="N2507" s="8">
        <v>3.3333333333333335</v>
      </c>
      <c r="O2507" s="8">
        <v>0</v>
      </c>
      <c r="P2507" s="8">
        <v>0</v>
      </c>
      <c r="Q2507" s="8">
        <v>0</v>
      </c>
      <c r="R2507" s="8">
        <v>0</v>
      </c>
      <c r="S2507" s="8">
        <v>0</v>
      </c>
      <c r="T2507" s="5">
        <v>0</v>
      </c>
      <c r="U2507" s="5">
        <v>0</v>
      </c>
      <c r="V2507" s="5">
        <f>VLOOKUP(A2507,Planilha1!B:E,4,0)</f>
        <v>-2.8055507108797499</v>
      </c>
    </row>
    <row r="2508" spans="1:22" x14ac:dyDescent="0.3">
      <c r="A2508" t="str">
        <f t="shared" si="78"/>
        <v>LEITE CONDENSADOLACTALIS</v>
      </c>
      <c r="B2508" t="str">
        <f t="shared" si="79"/>
        <v>5259495LEITE CONDENSADOLACTALIS</v>
      </c>
      <c r="C2508" s="5" t="s">
        <v>226</v>
      </c>
      <c r="D2508" s="5" t="s">
        <v>227</v>
      </c>
      <c r="E2508" s="5" t="s">
        <v>1722</v>
      </c>
      <c r="F2508" s="5">
        <v>5259495</v>
      </c>
      <c r="G2508" s="5" t="s">
        <v>1310</v>
      </c>
      <c r="H2508" s="5" t="s">
        <v>30</v>
      </c>
      <c r="I2508" s="5" t="s">
        <v>22</v>
      </c>
      <c r="J2508" s="5" t="s">
        <v>33</v>
      </c>
      <c r="K2508" s="6">
        <v>0</v>
      </c>
      <c r="L2508" s="7">
        <v>0</v>
      </c>
      <c r="M2508" s="8">
        <v>3.16</v>
      </c>
      <c r="N2508" s="8">
        <v>6.32</v>
      </c>
      <c r="O2508" s="8">
        <v>18.96</v>
      </c>
      <c r="P2508" s="8">
        <v>0</v>
      </c>
      <c r="Q2508" s="8">
        <v>0</v>
      </c>
      <c r="R2508" s="8">
        <v>0</v>
      </c>
      <c r="S2508" s="8">
        <v>0</v>
      </c>
      <c r="T2508" s="5">
        <v>19</v>
      </c>
      <c r="U2508" s="5">
        <v>19</v>
      </c>
      <c r="V2508" s="5">
        <f>VLOOKUP(A2508,Planilha1!B:E,4,0)</f>
        <v>1.8665071822970765</v>
      </c>
    </row>
    <row r="2509" spans="1:22" x14ac:dyDescent="0.3">
      <c r="A2509" t="str">
        <f t="shared" si="78"/>
        <v>LEITE UHTLACTALIS</v>
      </c>
      <c r="B2509" t="str">
        <f t="shared" si="79"/>
        <v>5259495LEITE UHTLACTALIS</v>
      </c>
      <c r="C2509" s="5" t="s">
        <v>226</v>
      </c>
      <c r="D2509" s="5" t="s">
        <v>227</v>
      </c>
      <c r="E2509" s="5" t="s">
        <v>1722</v>
      </c>
      <c r="F2509" s="5">
        <v>5259495</v>
      </c>
      <c r="G2509" s="5" t="s">
        <v>1310</v>
      </c>
      <c r="H2509" s="5" t="s">
        <v>30</v>
      </c>
      <c r="I2509" s="5" t="s">
        <v>22</v>
      </c>
      <c r="J2509" s="5" t="s">
        <v>156</v>
      </c>
      <c r="K2509" s="6">
        <v>0</v>
      </c>
      <c r="L2509" s="7">
        <v>0</v>
      </c>
      <c r="M2509" s="8">
        <v>4</v>
      </c>
      <c r="N2509" s="8">
        <v>8</v>
      </c>
      <c r="O2509" s="8">
        <v>0</v>
      </c>
      <c r="P2509" s="8">
        <v>0</v>
      </c>
      <c r="Q2509" s="8">
        <v>0</v>
      </c>
      <c r="R2509" s="8">
        <v>0</v>
      </c>
      <c r="S2509" s="8">
        <v>0</v>
      </c>
      <c r="T2509" s="5">
        <v>0</v>
      </c>
      <c r="U2509" s="5">
        <v>0</v>
      </c>
      <c r="V2509" s="5">
        <f>VLOOKUP(A2509,Planilha1!B:E,4,0)</f>
        <v>0.37177548115779385</v>
      </c>
    </row>
    <row r="2510" spans="1:22" x14ac:dyDescent="0.3">
      <c r="A2510" t="str">
        <f t="shared" si="78"/>
        <v>IOGURTESLACTALIS</v>
      </c>
      <c r="B2510" t="str">
        <f t="shared" si="79"/>
        <v>5259536IOGURTESLACTALIS</v>
      </c>
      <c r="C2510" s="5" t="s">
        <v>226</v>
      </c>
      <c r="D2510" s="5" t="s">
        <v>227</v>
      </c>
      <c r="E2510" s="5" t="s">
        <v>1722</v>
      </c>
      <c r="F2510" s="5">
        <v>5259536</v>
      </c>
      <c r="G2510" s="5" t="s">
        <v>279</v>
      </c>
      <c r="H2510" s="5" t="s">
        <v>30</v>
      </c>
      <c r="I2510" s="5" t="s">
        <v>22</v>
      </c>
      <c r="J2510" s="5" t="s">
        <v>153</v>
      </c>
      <c r="K2510" s="6">
        <v>0</v>
      </c>
      <c r="L2510" s="7">
        <v>12.24</v>
      </c>
      <c r="M2510" s="8">
        <v>10.199999999999999</v>
      </c>
      <c r="N2510" s="8">
        <v>6.8</v>
      </c>
      <c r="O2510" s="8">
        <v>10.354134988098211</v>
      </c>
      <c r="P2510" s="8">
        <v>0</v>
      </c>
      <c r="Q2510" s="8">
        <v>8.9600000000000009</v>
      </c>
      <c r="R2510" s="8">
        <v>0</v>
      </c>
      <c r="S2510" s="8">
        <v>0</v>
      </c>
      <c r="T2510" s="5">
        <v>0</v>
      </c>
      <c r="U2510" s="5">
        <v>0</v>
      </c>
      <c r="V2510" s="5">
        <f>VLOOKUP(A2510,Planilha1!B:E,4,0)</f>
        <v>3.0503167986984403</v>
      </c>
    </row>
    <row r="2511" spans="1:22" x14ac:dyDescent="0.3">
      <c r="A2511" t="str">
        <f t="shared" si="78"/>
        <v>QUEIJOSLACTALIS</v>
      </c>
      <c r="B2511" t="str">
        <f t="shared" si="79"/>
        <v>5270331QUEIJOSLACTALIS</v>
      </c>
      <c r="C2511" s="5" t="s">
        <v>226</v>
      </c>
      <c r="D2511" s="5" t="s">
        <v>227</v>
      </c>
      <c r="E2511" s="5" t="s">
        <v>1722</v>
      </c>
      <c r="F2511" s="5">
        <v>5270331</v>
      </c>
      <c r="G2511" s="5" t="s">
        <v>611</v>
      </c>
      <c r="H2511" s="5" t="s">
        <v>30</v>
      </c>
      <c r="I2511" s="5" t="s">
        <v>22</v>
      </c>
      <c r="J2511" s="5" t="s">
        <v>63</v>
      </c>
      <c r="K2511" s="6">
        <v>0</v>
      </c>
      <c r="L2511" s="7">
        <v>0</v>
      </c>
      <c r="M2511" s="8">
        <v>9.1</v>
      </c>
      <c r="N2511" s="8">
        <v>8.4</v>
      </c>
      <c r="O2511" s="8">
        <v>4.7069430380677613</v>
      </c>
      <c r="P2511" s="8">
        <v>0</v>
      </c>
      <c r="Q2511" s="8">
        <v>0</v>
      </c>
      <c r="R2511" s="8">
        <v>0</v>
      </c>
      <c r="S2511" s="8">
        <v>0</v>
      </c>
      <c r="T2511" s="5">
        <v>0</v>
      </c>
      <c r="U2511" s="5">
        <v>0</v>
      </c>
      <c r="V2511" s="5">
        <f>VLOOKUP(A2511,Planilha1!B:E,4,0)</f>
        <v>-1.9171310037550682</v>
      </c>
    </row>
    <row r="2512" spans="1:22" x14ac:dyDescent="0.3">
      <c r="A2512" t="str">
        <f t="shared" si="78"/>
        <v>MANTEIGA 5KGLACTALIS</v>
      </c>
      <c r="B2512" t="str">
        <f t="shared" si="79"/>
        <v>5259915MANTEIGA 5KGLACTALIS</v>
      </c>
      <c r="C2512" s="5" t="s">
        <v>226</v>
      </c>
      <c r="D2512" s="5" t="s">
        <v>227</v>
      </c>
      <c r="E2512" s="5" t="s">
        <v>703</v>
      </c>
      <c r="F2512" s="5">
        <v>5259915</v>
      </c>
      <c r="G2512" s="5" t="s">
        <v>720</v>
      </c>
      <c r="H2512" s="5" t="s">
        <v>30</v>
      </c>
      <c r="I2512" s="5" t="s">
        <v>22</v>
      </c>
      <c r="J2512" s="5" t="s">
        <v>60</v>
      </c>
      <c r="K2512" s="6">
        <v>0</v>
      </c>
      <c r="L2512" s="7">
        <v>0</v>
      </c>
      <c r="M2512" s="8">
        <v>112.5</v>
      </c>
      <c r="N2512" s="8">
        <v>141.66666666666666</v>
      </c>
      <c r="O2512" s="8">
        <v>0</v>
      </c>
      <c r="P2512" s="8">
        <v>0</v>
      </c>
      <c r="Q2512" s="8">
        <v>0</v>
      </c>
      <c r="R2512" s="8">
        <v>0</v>
      </c>
      <c r="S2512" s="8">
        <v>0</v>
      </c>
      <c r="T2512" s="5">
        <v>0</v>
      </c>
      <c r="U2512" s="5">
        <v>0</v>
      </c>
      <c r="V2512" s="5">
        <f>VLOOKUP(A2512,Planilha1!B:E,4,0)</f>
        <v>11.476197020267191</v>
      </c>
    </row>
    <row r="2513" spans="1:22" x14ac:dyDescent="0.3">
      <c r="A2513" t="str">
        <f t="shared" si="78"/>
        <v>QUEIJOSLACTALIS</v>
      </c>
      <c r="B2513" t="str">
        <f t="shared" si="79"/>
        <v>5271259QUEIJOSLACTALIS</v>
      </c>
      <c r="C2513" s="5" t="s">
        <v>226</v>
      </c>
      <c r="D2513" s="5" t="s">
        <v>227</v>
      </c>
      <c r="E2513" s="5" t="s">
        <v>1722</v>
      </c>
      <c r="F2513" s="5">
        <v>5271259</v>
      </c>
      <c r="G2513" s="5" t="s">
        <v>1311</v>
      </c>
      <c r="H2513" s="5" t="s">
        <v>30</v>
      </c>
      <c r="I2513" s="5" t="s">
        <v>22</v>
      </c>
      <c r="J2513" s="5" t="s">
        <v>63</v>
      </c>
      <c r="K2513" s="6">
        <v>0</v>
      </c>
      <c r="L2513" s="7">
        <v>0</v>
      </c>
      <c r="M2513" s="8">
        <v>1.7266666666666666</v>
      </c>
      <c r="N2513" s="8">
        <v>3.4533333333333331</v>
      </c>
      <c r="O2513" s="8">
        <v>0</v>
      </c>
      <c r="P2513" s="8">
        <v>0</v>
      </c>
      <c r="Q2513" s="8">
        <v>0</v>
      </c>
      <c r="R2513" s="8">
        <v>0</v>
      </c>
      <c r="S2513" s="8">
        <v>0</v>
      </c>
      <c r="T2513" s="5">
        <v>0</v>
      </c>
      <c r="U2513" s="5">
        <v>0</v>
      </c>
      <c r="V2513" s="5">
        <f>VLOOKUP(A2513,Planilha1!B:E,4,0)</f>
        <v>-1.9171310037550682</v>
      </c>
    </row>
    <row r="2514" spans="1:22" x14ac:dyDescent="0.3">
      <c r="A2514" t="str">
        <f t="shared" si="78"/>
        <v>IOGURTESLACTALIS</v>
      </c>
      <c r="B2514" t="str">
        <f t="shared" si="79"/>
        <v>5260717IOGURTESLACTALIS</v>
      </c>
      <c r="C2514" s="5" t="s">
        <v>226</v>
      </c>
      <c r="D2514" s="5" t="s">
        <v>227</v>
      </c>
      <c r="E2514" s="5" t="s">
        <v>1722</v>
      </c>
      <c r="F2514" s="5">
        <v>5260717</v>
      </c>
      <c r="G2514" s="5" t="s">
        <v>1312</v>
      </c>
      <c r="H2514" s="5" t="s">
        <v>30</v>
      </c>
      <c r="I2514" s="5" t="s">
        <v>22</v>
      </c>
      <c r="J2514" s="5" t="s">
        <v>153</v>
      </c>
      <c r="K2514" s="6">
        <v>0</v>
      </c>
      <c r="L2514" s="7">
        <v>0</v>
      </c>
      <c r="M2514" s="8">
        <v>87.72</v>
      </c>
      <c r="N2514" s="8">
        <v>73.44</v>
      </c>
      <c r="O2514" s="8">
        <v>91.494766851351059</v>
      </c>
      <c r="P2514" s="8">
        <v>0</v>
      </c>
      <c r="Q2514" s="8">
        <v>44.8</v>
      </c>
      <c r="R2514" s="8">
        <v>0</v>
      </c>
      <c r="S2514" s="8">
        <v>0</v>
      </c>
      <c r="T2514" s="5">
        <v>0</v>
      </c>
      <c r="U2514" s="5">
        <v>0</v>
      </c>
      <c r="V2514" s="5">
        <f>VLOOKUP(A2514,Planilha1!B:E,4,0)</f>
        <v>3.0503167986984403</v>
      </c>
    </row>
    <row r="2515" spans="1:22" x14ac:dyDescent="0.3">
      <c r="A2515" t="str">
        <f t="shared" si="78"/>
        <v>SPREADSLACTALIS</v>
      </c>
      <c r="B2515" t="str">
        <f t="shared" si="79"/>
        <v>5261194SPREADSLACTALIS</v>
      </c>
      <c r="C2515" s="5" t="s">
        <v>226</v>
      </c>
      <c r="D2515" s="5" t="s">
        <v>227</v>
      </c>
      <c r="E2515" s="5" t="s">
        <v>1722</v>
      </c>
      <c r="F2515" s="5">
        <v>5261194</v>
      </c>
      <c r="G2515" s="5" t="s">
        <v>1153</v>
      </c>
      <c r="H2515" s="5" t="s">
        <v>30</v>
      </c>
      <c r="I2515" s="5" t="s">
        <v>22</v>
      </c>
      <c r="J2515" s="5" t="s">
        <v>945</v>
      </c>
      <c r="K2515" s="6">
        <v>0</v>
      </c>
      <c r="L2515" s="7">
        <v>48</v>
      </c>
      <c r="M2515" s="8">
        <v>40.533333333333331</v>
      </c>
      <c r="N2515" s="8">
        <v>38.400000000000006</v>
      </c>
      <c r="O2515" s="8">
        <v>40.368019953598093</v>
      </c>
      <c r="P2515" s="8">
        <v>0</v>
      </c>
      <c r="Q2515" s="8">
        <v>9.6</v>
      </c>
      <c r="R2515" s="8">
        <v>0</v>
      </c>
      <c r="S2515" s="8">
        <v>0</v>
      </c>
      <c r="T2515" s="5">
        <v>0</v>
      </c>
      <c r="U2515" s="5">
        <v>0</v>
      </c>
      <c r="V2515" s="5">
        <f>VLOOKUP(A2515,Planilha1!B:E,4,0)</f>
        <v>13.599044988219518</v>
      </c>
    </row>
    <row r="2516" spans="1:22" x14ac:dyDescent="0.3">
      <c r="A2516" t="str">
        <f t="shared" si="78"/>
        <v>IOGURTESLACTALIS</v>
      </c>
      <c r="B2516" t="str">
        <f t="shared" si="79"/>
        <v>5261200IOGURTESLACTALIS</v>
      </c>
      <c r="C2516" s="5" t="s">
        <v>226</v>
      </c>
      <c r="D2516" s="5" t="s">
        <v>227</v>
      </c>
      <c r="E2516" s="5" t="s">
        <v>1722</v>
      </c>
      <c r="F2516" s="5">
        <v>5261200</v>
      </c>
      <c r="G2516" s="5" t="s">
        <v>591</v>
      </c>
      <c r="H2516" s="5" t="s">
        <v>30</v>
      </c>
      <c r="I2516" s="5" t="s">
        <v>22</v>
      </c>
      <c r="J2516" s="5" t="s">
        <v>153</v>
      </c>
      <c r="K2516" s="6">
        <v>0</v>
      </c>
      <c r="L2516" s="7">
        <v>40.799999999999997</v>
      </c>
      <c r="M2516" s="8">
        <v>106.08</v>
      </c>
      <c r="N2516" s="8">
        <v>63.919999999999995</v>
      </c>
      <c r="O2516" s="8">
        <v>68.626773616767622</v>
      </c>
      <c r="P2516" s="8">
        <v>0</v>
      </c>
      <c r="Q2516" s="8">
        <v>0</v>
      </c>
      <c r="R2516" s="8">
        <v>0</v>
      </c>
      <c r="S2516" s="8">
        <v>0</v>
      </c>
      <c r="T2516" s="5">
        <v>0</v>
      </c>
      <c r="U2516" s="5">
        <v>0</v>
      </c>
      <c r="V2516" s="5">
        <f>VLOOKUP(A2516,Planilha1!B:E,4,0)</f>
        <v>3.0503167986984403</v>
      </c>
    </row>
    <row r="2517" spans="1:22" x14ac:dyDescent="0.3">
      <c r="A2517" t="str">
        <f t="shared" si="78"/>
        <v>MANTEIGA 5KGLACTALIS</v>
      </c>
      <c r="B2517" t="str">
        <f t="shared" si="79"/>
        <v>5261200MANTEIGA 5KGLACTALIS</v>
      </c>
      <c r="C2517" s="5" t="s">
        <v>226</v>
      </c>
      <c r="D2517" s="5" t="s">
        <v>227</v>
      </c>
      <c r="E2517" s="5" t="s">
        <v>1722</v>
      </c>
      <c r="F2517" s="5">
        <v>5261200</v>
      </c>
      <c r="G2517" s="5" t="s">
        <v>591</v>
      </c>
      <c r="H2517" s="5" t="s">
        <v>30</v>
      </c>
      <c r="I2517" s="5" t="s">
        <v>22</v>
      </c>
      <c r="J2517" s="5" t="s">
        <v>60</v>
      </c>
      <c r="K2517" s="6">
        <v>0</v>
      </c>
      <c r="L2517" s="7">
        <v>0</v>
      </c>
      <c r="M2517" s="8">
        <v>8.3333333333333339</v>
      </c>
      <c r="N2517" s="8">
        <v>16.666666666666668</v>
      </c>
      <c r="O2517" s="8">
        <v>0</v>
      </c>
      <c r="P2517" s="8">
        <v>0</v>
      </c>
      <c r="Q2517" s="8">
        <v>0</v>
      </c>
      <c r="R2517" s="8">
        <v>0</v>
      </c>
      <c r="S2517" s="8">
        <v>20</v>
      </c>
      <c r="T2517" s="5">
        <v>20</v>
      </c>
      <c r="U2517" s="5">
        <v>20</v>
      </c>
      <c r="V2517" s="5">
        <f>VLOOKUP(A2517,Planilha1!B:E,4,0)</f>
        <v>11.476197020267191</v>
      </c>
    </row>
    <row r="2518" spans="1:22" x14ac:dyDescent="0.3">
      <c r="A2518" t="str">
        <f t="shared" si="78"/>
        <v>IOGURTESLACTALIS</v>
      </c>
      <c r="B2518" t="str">
        <f t="shared" si="79"/>
        <v>5261291IOGURTESLACTALIS</v>
      </c>
      <c r="C2518" s="5" t="s">
        <v>149</v>
      </c>
      <c r="D2518" s="5" t="s">
        <v>150</v>
      </c>
      <c r="E2518" s="5" t="s">
        <v>151</v>
      </c>
      <c r="F2518" s="5">
        <v>5261291</v>
      </c>
      <c r="G2518" s="5" t="s">
        <v>207</v>
      </c>
      <c r="H2518" s="5" t="s">
        <v>30</v>
      </c>
      <c r="I2518" s="5" t="s">
        <v>22</v>
      </c>
      <c r="J2518" s="5" t="s">
        <v>153</v>
      </c>
      <c r="K2518" s="6">
        <v>0</v>
      </c>
      <c r="L2518" s="7">
        <v>0</v>
      </c>
      <c r="M2518" s="8">
        <v>16.399999999999999</v>
      </c>
      <c r="N2518" s="8">
        <v>16.8</v>
      </c>
      <c r="O2518" s="8">
        <v>16.747827589444491</v>
      </c>
      <c r="P2518" s="8">
        <v>0</v>
      </c>
      <c r="Q2518" s="8">
        <v>12</v>
      </c>
      <c r="R2518" s="8">
        <v>0</v>
      </c>
      <c r="S2518" s="8">
        <v>0</v>
      </c>
      <c r="T2518" s="5">
        <v>0</v>
      </c>
      <c r="U2518" s="5">
        <v>0</v>
      </c>
      <c r="V2518" s="5">
        <f>VLOOKUP(A2518,Planilha1!B:E,4,0)</f>
        <v>3.0503167986984403</v>
      </c>
    </row>
    <row r="2519" spans="1:22" x14ac:dyDescent="0.3">
      <c r="A2519" t="str">
        <f t="shared" si="78"/>
        <v>LEITE EM PÓLACTALIS</v>
      </c>
      <c r="B2519" t="str">
        <f t="shared" si="79"/>
        <v>5261291LEITE EM PÓLACTALIS</v>
      </c>
      <c r="C2519" s="5" t="s">
        <v>149</v>
      </c>
      <c r="D2519" s="5" t="s">
        <v>150</v>
      </c>
      <c r="E2519" s="5" t="s">
        <v>151</v>
      </c>
      <c r="F2519" s="5">
        <v>5261291</v>
      </c>
      <c r="G2519" s="5" t="s">
        <v>207</v>
      </c>
      <c r="H2519" s="5" t="s">
        <v>30</v>
      </c>
      <c r="I2519" s="5" t="s">
        <v>22</v>
      </c>
      <c r="J2519" s="5" t="s">
        <v>84</v>
      </c>
      <c r="K2519" s="6">
        <v>0</v>
      </c>
      <c r="L2519" s="7">
        <v>10</v>
      </c>
      <c r="M2519" s="8">
        <v>10</v>
      </c>
      <c r="N2519" s="8">
        <v>10</v>
      </c>
      <c r="O2519" s="8">
        <v>10.468104553184597</v>
      </c>
      <c r="P2519" s="8">
        <v>0</v>
      </c>
      <c r="Q2519" s="8">
        <v>0</v>
      </c>
      <c r="R2519" s="8">
        <v>0</v>
      </c>
      <c r="S2519" s="8">
        <v>0</v>
      </c>
      <c r="T2519" s="5">
        <v>0</v>
      </c>
      <c r="U2519" s="5">
        <v>0</v>
      </c>
      <c r="V2519" s="5">
        <f>VLOOKUP(A2519,Planilha1!B:E,4,0)</f>
        <v>-2.8055507108797499</v>
      </c>
    </row>
    <row r="2520" spans="1:22" x14ac:dyDescent="0.3">
      <c r="A2520" t="str">
        <f t="shared" si="78"/>
        <v>IOGURTESLACTALIS</v>
      </c>
      <c r="B2520" t="str">
        <f t="shared" si="79"/>
        <v>5261412IOGURTESLACTALIS</v>
      </c>
      <c r="C2520" s="5" t="s">
        <v>149</v>
      </c>
      <c r="D2520" s="5" t="s">
        <v>150</v>
      </c>
      <c r="E2520" s="5" t="s">
        <v>151</v>
      </c>
      <c r="F2520" s="5">
        <v>5261412</v>
      </c>
      <c r="G2520" s="5" t="s">
        <v>1297</v>
      </c>
      <c r="H2520" s="5" t="s">
        <v>30</v>
      </c>
      <c r="I2520" s="5" t="s">
        <v>22</v>
      </c>
      <c r="J2520" s="5" t="s">
        <v>153</v>
      </c>
      <c r="K2520" s="6">
        <v>0</v>
      </c>
      <c r="L2520" s="7">
        <v>38.4</v>
      </c>
      <c r="M2520" s="8">
        <v>35.199999999999996</v>
      </c>
      <c r="N2520" s="8">
        <v>46.4</v>
      </c>
      <c r="O2520" s="8">
        <v>31.814604093864784</v>
      </c>
      <c r="P2520" s="8">
        <v>0</v>
      </c>
      <c r="Q2520" s="8">
        <v>0</v>
      </c>
      <c r="R2520" s="8">
        <v>0</v>
      </c>
      <c r="S2520" s="8">
        <v>0</v>
      </c>
      <c r="T2520" s="5">
        <v>0</v>
      </c>
      <c r="U2520" s="5">
        <v>0</v>
      </c>
      <c r="V2520" s="5">
        <f>VLOOKUP(A2520,Planilha1!B:E,4,0)</f>
        <v>3.0503167986984403</v>
      </c>
    </row>
    <row r="2521" spans="1:22" x14ac:dyDescent="0.3">
      <c r="A2521" t="str">
        <f t="shared" si="78"/>
        <v>IOGURTESLACTALIS</v>
      </c>
      <c r="B2521" t="str">
        <f t="shared" si="79"/>
        <v>5272287IOGURTESLACTALIS</v>
      </c>
      <c r="C2521" s="5" t="s">
        <v>226</v>
      </c>
      <c r="D2521" s="5" t="s">
        <v>227</v>
      </c>
      <c r="E2521" s="5" t="s">
        <v>1722</v>
      </c>
      <c r="F2521" s="5">
        <v>5272287</v>
      </c>
      <c r="G2521" s="5" t="s">
        <v>1313</v>
      </c>
      <c r="H2521" s="5" t="s">
        <v>30</v>
      </c>
      <c r="I2521" s="5" t="s">
        <v>22</v>
      </c>
      <c r="J2521" s="5" t="s">
        <v>153</v>
      </c>
      <c r="K2521" s="6">
        <v>0</v>
      </c>
      <c r="L2521" s="7">
        <v>82.08</v>
      </c>
      <c r="M2521" s="8">
        <v>73.959999999999994</v>
      </c>
      <c r="N2521" s="8">
        <v>59.599999999999994</v>
      </c>
      <c r="O2521" s="8">
        <v>71.584283830759347</v>
      </c>
      <c r="P2521" s="8">
        <v>0</v>
      </c>
      <c r="Q2521" s="8">
        <v>0</v>
      </c>
      <c r="R2521" s="8">
        <v>0</v>
      </c>
      <c r="S2521" s="8">
        <v>0</v>
      </c>
      <c r="T2521" s="5">
        <v>0</v>
      </c>
      <c r="U2521" s="5">
        <v>0</v>
      </c>
      <c r="V2521" s="5">
        <f>VLOOKUP(A2521,Planilha1!B:E,4,0)</f>
        <v>3.0503167986984403</v>
      </c>
    </row>
    <row r="2522" spans="1:22" x14ac:dyDescent="0.3">
      <c r="A2522" t="str">
        <f t="shared" si="78"/>
        <v>QUEIJOSLACTALIS</v>
      </c>
      <c r="B2522" t="str">
        <f t="shared" si="79"/>
        <v>5261487QUEIJOSLACTALIS</v>
      </c>
      <c r="C2522" s="5" t="s">
        <v>226</v>
      </c>
      <c r="D2522" s="5" t="s">
        <v>227</v>
      </c>
      <c r="E2522" s="5" t="s">
        <v>1722</v>
      </c>
      <c r="F2522" s="5">
        <v>5261487</v>
      </c>
      <c r="G2522" s="5" t="s">
        <v>1314</v>
      </c>
      <c r="H2522" s="5" t="s">
        <v>30</v>
      </c>
      <c r="I2522" s="5" t="s">
        <v>22</v>
      </c>
      <c r="J2522" s="5" t="s">
        <v>63</v>
      </c>
      <c r="K2522" s="6">
        <v>0</v>
      </c>
      <c r="L2522" s="7">
        <v>35.409999999999997</v>
      </c>
      <c r="M2522" s="8">
        <v>36.905000000000001</v>
      </c>
      <c r="N2522" s="8">
        <v>34.946666666666665</v>
      </c>
      <c r="O2522" s="8">
        <v>9.7386993366317238</v>
      </c>
      <c r="P2522" s="8">
        <v>0</v>
      </c>
      <c r="Q2522" s="8">
        <v>0</v>
      </c>
      <c r="R2522" s="8">
        <v>0</v>
      </c>
      <c r="S2522" s="8">
        <v>0</v>
      </c>
      <c r="T2522" s="5">
        <v>0</v>
      </c>
      <c r="U2522" s="5">
        <v>0</v>
      </c>
      <c r="V2522" s="5">
        <f>VLOOKUP(A2522,Planilha1!B:E,4,0)</f>
        <v>-1.9171310037550682</v>
      </c>
    </row>
    <row r="2523" spans="1:22" x14ac:dyDescent="0.3">
      <c r="A2523" t="str">
        <f t="shared" si="78"/>
        <v>QUEIJOSLACTALIS</v>
      </c>
      <c r="B2523" t="str">
        <f t="shared" si="79"/>
        <v>5261771QUEIJOSLACTALIS</v>
      </c>
      <c r="C2523" s="5" t="s">
        <v>226</v>
      </c>
      <c r="D2523" s="5" t="s">
        <v>227</v>
      </c>
      <c r="E2523" s="5" t="s">
        <v>1722</v>
      </c>
      <c r="F2523" s="5">
        <v>5261771</v>
      </c>
      <c r="G2523" s="5" t="s">
        <v>272</v>
      </c>
      <c r="H2523" s="5" t="s">
        <v>30</v>
      </c>
      <c r="I2523" s="5" t="s">
        <v>22</v>
      </c>
      <c r="J2523" s="5" t="s">
        <v>63</v>
      </c>
      <c r="K2523" s="6">
        <v>0</v>
      </c>
      <c r="L2523" s="7">
        <v>0</v>
      </c>
      <c r="M2523" s="8">
        <v>19.413333333333334</v>
      </c>
      <c r="N2523" s="8">
        <v>38.826666666666668</v>
      </c>
      <c r="O2523" s="8">
        <v>0</v>
      </c>
      <c r="P2523" s="8">
        <v>0</v>
      </c>
      <c r="Q2523" s="8">
        <v>0</v>
      </c>
      <c r="R2523" s="8">
        <v>0</v>
      </c>
      <c r="S2523" s="8">
        <v>0</v>
      </c>
      <c r="T2523" s="5">
        <v>0</v>
      </c>
      <c r="U2523" s="5">
        <v>0</v>
      </c>
      <c r="V2523" s="5">
        <f>VLOOKUP(A2523,Planilha1!B:E,4,0)</f>
        <v>-1.9171310037550682</v>
      </c>
    </row>
    <row r="2524" spans="1:22" x14ac:dyDescent="0.3">
      <c r="A2524" t="str">
        <f t="shared" si="78"/>
        <v>CREME UHTLACTALIS</v>
      </c>
      <c r="B2524" t="str">
        <f t="shared" si="79"/>
        <v>5261868CREME UHTLACTALIS</v>
      </c>
      <c r="C2524" s="5" t="s">
        <v>226</v>
      </c>
      <c r="D2524" s="5" t="s">
        <v>227</v>
      </c>
      <c r="E2524" s="5" t="s">
        <v>1722</v>
      </c>
      <c r="F2524" s="5">
        <v>5261868</v>
      </c>
      <c r="G2524" s="5" t="s">
        <v>1301</v>
      </c>
      <c r="H2524" s="5" t="s">
        <v>30</v>
      </c>
      <c r="I2524" s="5" t="s">
        <v>22</v>
      </c>
      <c r="J2524" s="5" t="s">
        <v>34</v>
      </c>
      <c r="K2524" s="6">
        <v>0</v>
      </c>
      <c r="L2524" s="7">
        <v>0</v>
      </c>
      <c r="M2524" s="8">
        <v>17.100000000000001</v>
      </c>
      <c r="N2524" s="8">
        <v>21.599999999999998</v>
      </c>
      <c r="O2524" s="8">
        <v>43.2</v>
      </c>
      <c r="P2524" s="8">
        <v>0</v>
      </c>
      <c r="Q2524" s="8">
        <v>0</v>
      </c>
      <c r="R2524" s="8">
        <v>0</v>
      </c>
      <c r="S2524" s="8">
        <v>0</v>
      </c>
      <c r="T2524" s="5">
        <v>0</v>
      </c>
      <c r="U2524" s="5">
        <v>16</v>
      </c>
      <c r="V2524" s="5">
        <f>VLOOKUP(A2524,Planilha1!B:E,4,0)</f>
        <v>-1.4094522863012933</v>
      </c>
    </row>
    <row r="2525" spans="1:22" x14ac:dyDescent="0.3">
      <c r="A2525" t="str">
        <f t="shared" si="78"/>
        <v>LEITE UHTLACTALIS</v>
      </c>
      <c r="B2525" t="str">
        <f t="shared" si="79"/>
        <v>5261868LEITE UHTLACTALIS</v>
      </c>
      <c r="C2525" s="5" t="s">
        <v>226</v>
      </c>
      <c r="D2525" s="5" t="s">
        <v>227</v>
      </c>
      <c r="E2525" s="5" t="s">
        <v>1722</v>
      </c>
      <c r="F2525" s="5">
        <v>5261868</v>
      </c>
      <c r="G2525" s="5" t="s">
        <v>1301</v>
      </c>
      <c r="H2525" s="5" t="s">
        <v>30</v>
      </c>
      <c r="I2525" s="5" t="s">
        <v>22</v>
      </c>
      <c r="J2525" s="5" t="s">
        <v>156</v>
      </c>
      <c r="K2525" s="6">
        <v>0</v>
      </c>
      <c r="L2525" s="7">
        <v>0</v>
      </c>
      <c r="M2525" s="8">
        <v>668</v>
      </c>
      <c r="N2525" s="8">
        <v>1336</v>
      </c>
      <c r="O2525" s="8">
        <v>0</v>
      </c>
      <c r="P2525" s="8">
        <v>0</v>
      </c>
      <c r="Q2525" s="8">
        <v>0</v>
      </c>
      <c r="R2525" s="8">
        <v>0</v>
      </c>
      <c r="S2525" s="8">
        <v>0</v>
      </c>
      <c r="T2525" s="5">
        <v>0</v>
      </c>
      <c r="U2525" s="5">
        <v>0</v>
      </c>
      <c r="V2525" s="5">
        <f>VLOOKUP(A2525,Planilha1!B:E,4,0)</f>
        <v>0.37177548115779385</v>
      </c>
    </row>
    <row r="2526" spans="1:22" x14ac:dyDescent="0.3">
      <c r="A2526" t="str">
        <f t="shared" si="78"/>
        <v>IOGURTESLACTALIS</v>
      </c>
      <c r="B2526" t="str">
        <f t="shared" si="79"/>
        <v>5261868IOGURTESLACTALIS</v>
      </c>
      <c r="C2526" s="5" t="s">
        <v>226</v>
      </c>
      <c r="D2526" s="5" t="s">
        <v>227</v>
      </c>
      <c r="E2526" s="5" t="s">
        <v>1722</v>
      </c>
      <c r="F2526" s="5">
        <v>5261868</v>
      </c>
      <c r="G2526" s="5" t="s">
        <v>1301</v>
      </c>
      <c r="H2526" s="5" t="s">
        <v>30</v>
      </c>
      <c r="I2526" s="5" t="s">
        <v>22</v>
      </c>
      <c r="J2526" s="5" t="s">
        <v>153</v>
      </c>
      <c r="K2526" s="6">
        <v>0</v>
      </c>
      <c r="L2526" s="7">
        <v>0</v>
      </c>
      <c r="M2526" s="8">
        <v>55.92</v>
      </c>
      <c r="N2526" s="8">
        <v>12</v>
      </c>
      <c r="O2526" s="8">
        <v>43.735820601900805</v>
      </c>
      <c r="P2526" s="8">
        <v>0</v>
      </c>
      <c r="Q2526" s="8">
        <v>0</v>
      </c>
      <c r="R2526" s="8">
        <v>0</v>
      </c>
      <c r="S2526" s="8">
        <v>0</v>
      </c>
      <c r="T2526" s="5">
        <v>0</v>
      </c>
      <c r="U2526" s="5">
        <v>0</v>
      </c>
      <c r="V2526" s="5">
        <f>VLOOKUP(A2526,Planilha1!B:E,4,0)</f>
        <v>3.0503167986984403</v>
      </c>
    </row>
    <row r="2527" spans="1:22" x14ac:dyDescent="0.3">
      <c r="A2527" t="str">
        <f t="shared" si="78"/>
        <v>LEITE EM PÓLACTALIS</v>
      </c>
      <c r="B2527" t="str">
        <f t="shared" si="79"/>
        <v>5262010LEITE EM PÓLACTALIS</v>
      </c>
      <c r="C2527" s="5" t="s">
        <v>226</v>
      </c>
      <c r="D2527" s="5" t="s">
        <v>227</v>
      </c>
      <c r="E2527" s="5" t="s">
        <v>1722</v>
      </c>
      <c r="F2527" s="5">
        <v>5262010</v>
      </c>
      <c r="G2527" s="5" t="s">
        <v>1315</v>
      </c>
      <c r="H2527" s="5" t="s">
        <v>30</v>
      </c>
      <c r="I2527" s="5" t="s">
        <v>22</v>
      </c>
      <c r="J2527" s="5" t="s">
        <v>84</v>
      </c>
      <c r="K2527" s="6">
        <v>0</v>
      </c>
      <c r="L2527" s="7">
        <v>0</v>
      </c>
      <c r="M2527" s="8">
        <v>3</v>
      </c>
      <c r="N2527" s="8">
        <v>6</v>
      </c>
      <c r="O2527" s="8">
        <v>0</v>
      </c>
      <c r="P2527" s="8">
        <v>0</v>
      </c>
      <c r="Q2527" s="8">
        <v>0</v>
      </c>
      <c r="R2527" s="8">
        <v>0</v>
      </c>
      <c r="S2527" s="8">
        <v>0</v>
      </c>
      <c r="T2527" s="5">
        <v>0</v>
      </c>
      <c r="U2527" s="5">
        <v>0</v>
      </c>
      <c r="V2527" s="5">
        <f>VLOOKUP(A2527,Planilha1!B:E,4,0)</f>
        <v>-2.8055507108797499</v>
      </c>
    </row>
    <row r="2528" spans="1:22" x14ac:dyDescent="0.3">
      <c r="A2528" t="str">
        <f t="shared" si="78"/>
        <v>IOGURTESLACTALIS</v>
      </c>
      <c r="B2528" t="str">
        <f t="shared" si="79"/>
        <v>5262079IOGURTESLACTALIS</v>
      </c>
      <c r="C2528" s="5" t="s">
        <v>226</v>
      </c>
      <c r="D2528" s="5" t="s">
        <v>227</v>
      </c>
      <c r="E2528" s="5" t="s">
        <v>1722</v>
      </c>
      <c r="F2528" s="5">
        <v>5262079</v>
      </c>
      <c r="G2528" s="5" t="s">
        <v>285</v>
      </c>
      <c r="H2528" s="5" t="s">
        <v>30</v>
      </c>
      <c r="I2528" s="5" t="s">
        <v>22</v>
      </c>
      <c r="J2528" s="5" t="s">
        <v>153</v>
      </c>
      <c r="K2528" s="6">
        <v>0</v>
      </c>
      <c r="L2528" s="7">
        <v>36.799999999999997</v>
      </c>
      <c r="M2528" s="8">
        <v>62.866666666666667</v>
      </c>
      <c r="N2528" s="8">
        <v>39.866666666666667</v>
      </c>
      <c r="O2528" s="8">
        <v>12.969736506830781</v>
      </c>
      <c r="P2528" s="8">
        <v>0</v>
      </c>
      <c r="Q2528" s="8">
        <v>46</v>
      </c>
      <c r="R2528" s="8">
        <v>0</v>
      </c>
      <c r="S2528" s="8">
        <v>0</v>
      </c>
      <c r="T2528" s="5">
        <v>0</v>
      </c>
      <c r="U2528" s="5">
        <v>0</v>
      </c>
      <c r="V2528" s="5">
        <f>VLOOKUP(A2528,Planilha1!B:E,4,0)</f>
        <v>3.0503167986984403</v>
      </c>
    </row>
    <row r="2529" spans="1:22" x14ac:dyDescent="0.3">
      <c r="A2529" t="str">
        <f t="shared" si="78"/>
        <v>MERC + AROMLACTALIS</v>
      </c>
      <c r="B2529" t="str">
        <f t="shared" si="79"/>
        <v>5262079MERC + AROMLACTALIS</v>
      </c>
      <c r="C2529" s="5" t="s">
        <v>226</v>
      </c>
      <c r="D2529" s="5" t="s">
        <v>227</v>
      </c>
      <c r="E2529" s="5" t="s">
        <v>1722</v>
      </c>
      <c r="F2529" s="5">
        <v>5262079</v>
      </c>
      <c r="G2529" s="5" t="s">
        <v>285</v>
      </c>
      <c r="H2529" s="5" t="s">
        <v>30</v>
      </c>
      <c r="I2529" s="5" t="s">
        <v>22</v>
      </c>
      <c r="J2529" s="5" t="s">
        <v>230</v>
      </c>
      <c r="K2529" s="6">
        <v>0</v>
      </c>
      <c r="L2529" s="7">
        <v>13.5</v>
      </c>
      <c r="M2529" s="8">
        <v>7.5</v>
      </c>
      <c r="N2529" s="8">
        <v>6</v>
      </c>
      <c r="O2529" s="8">
        <v>8.8782291202295056</v>
      </c>
      <c r="P2529" s="8">
        <v>0</v>
      </c>
      <c r="Q2529" s="8">
        <v>0</v>
      </c>
      <c r="R2529" s="8">
        <v>0</v>
      </c>
      <c r="S2529" s="8">
        <v>0</v>
      </c>
      <c r="T2529" s="5">
        <v>0</v>
      </c>
      <c r="U2529" s="5">
        <v>0</v>
      </c>
      <c r="V2529" s="5">
        <f>VLOOKUP(A2529,Planilha1!B:E,4,0)</f>
        <v>0.86907188046232187</v>
      </c>
    </row>
    <row r="2530" spans="1:22" x14ac:dyDescent="0.3">
      <c r="A2530" t="str">
        <f t="shared" si="78"/>
        <v>MERC + AROMLACTALIS</v>
      </c>
      <c r="B2530" t="str">
        <f t="shared" si="79"/>
        <v>5262094MERC + AROMLACTALIS</v>
      </c>
      <c r="C2530" s="5" t="s">
        <v>226</v>
      </c>
      <c r="D2530" s="5" t="s">
        <v>227</v>
      </c>
      <c r="E2530" s="5" t="s">
        <v>1722</v>
      </c>
      <c r="F2530" s="5">
        <v>5262094</v>
      </c>
      <c r="G2530" s="5" t="s">
        <v>285</v>
      </c>
      <c r="H2530" s="5" t="s">
        <v>30</v>
      </c>
      <c r="I2530" s="5" t="s">
        <v>22</v>
      </c>
      <c r="J2530" s="5" t="s">
        <v>230</v>
      </c>
      <c r="K2530" s="6">
        <v>0</v>
      </c>
      <c r="L2530" s="7">
        <v>0</v>
      </c>
      <c r="M2530" s="8">
        <v>3.75</v>
      </c>
      <c r="N2530" s="8">
        <v>7.5</v>
      </c>
      <c r="O2530" s="8">
        <v>3.7894880391223502</v>
      </c>
      <c r="P2530" s="8">
        <v>0</v>
      </c>
      <c r="Q2530" s="8">
        <v>0</v>
      </c>
      <c r="R2530" s="8">
        <v>0</v>
      </c>
      <c r="S2530" s="8">
        <v>0</v>
      </c>
      <c r="T2530" s="5">
        <v>0</v>
      </c>
      <c r="U2530" s="5">
        <v>0</v>
      </c>
      <c r="V2530" s="5">
        <f>VLOOKUP(A2530,Planilha1!B:E,4,0)</f>
        <v>0.86907188046232187</v>
      </c>
    </row>
    <row r="2531" spans="1:22" x14ac:dyDescent="0.3">
      <c r="A2531" t="str">
        <f t="shared" si="78"/>
        <v>LEITE CONDENSADOLACTALIS</v>
      </c>
      <c r="B2531" t="str">
        <f t="shared" si="79"/>
        <v>5262263LEITE CONDENSADOLACTALIS</v>
      </c>
      <c r="C2531" s="5" t="s">
        <v>226</v>
      </c>
      <c r="D2531" s="5" t="s">
        <v>227</v>
      </c>
      <c r="E2531" s="5" t="s">
        <v>1722</v>
      </c>
      <c r="F2531" s="5">
        <v>5262263</v>
      </c>
      <c r="G2531" s="5" t="s">
        <v>413</v>
      </c>
      <c r="H2531" s="5" t="s">
        <v>30</v>
      </c>
      <c r="I2531" s="5" t="s">
        <v>22</v>
      </c>
      <c r="J2531" s="5" t="s">
        <v>33</v>
      </c>
      <c r="K2531" s="6">
        <v>0</v>
      </c>
      <c r="L2531" s="7">
        <v>0</v>
      </c>
      <c r="M2531" s="8">
        <v>14.22</v>
      </c>
      <c r="N2531" s="8">
        <v>12.64</v>
      </c>
      <c r="O2531" s="8">
        <v>37.92</v>
      </c>
      <c r="P2531" s="8">
        <v>0</v>
      </c>
      <c r="Q2531" s="8">
        <v>0</v>
      </c>
      <c r="R2531" s="8">
        <v>0</v>
      </c>
      <c r="S2531" s="8">
        <v>0</v>
      </c>
      <c r="T2531" s="5">
        <v>0</v>
      </c>
      <c r="U2531" s="5">
        <v>0</v>
      </c>
      <c r="V2531" s="5">
        <f>VLOOKUP(A2531,Planilha1!B:E,4,0)</f>
        <v>1.8665071822970765</v>
      </c>
    </row>
    <row r="2532" spans="1:22" x14ac:dyDescent="0.3">
      <c r="A2532" t="str">
        <f t="shared" si="78"/>
        <v>MERC + AROMLACTALIS</v>
      </c>
      <c r="B2532" t="str">
        <f t="shared" si="79"/>
        <v>5262521MERC + AROMLACTALIS</v>
      </c>
      <c r="C2532" s="5" t="s">
        <v>226</v>
      </c>
      <c r="D2532" s="5" t="s">
        <v>227</v>
      </c>
      <c r="E2532" s="5" t="s">
        <v>1722</v>
      </c>
      <c r="F2532" s="5">
        <v>5262521</v>
      </c>
      <c r="G2532" s="5" t="s">
        <v>415</v>
      </c>
      <c r="H2532" s="5" t="s">
        <v>30</v>
      </c>
      <c r="I2532" s="5" t="s">
        <v>22</v>
      </c>
      <c r="J2532" s="5" t="s">
        <v>230</v>
      </c>
      <c r="K2532" s="6">
        <v>0</v>
      </c>
      <c r="L2532" s="7">
        <v>0</v>
      </c>
      <c r="M2532" s="8">
        <v>4.5</v>
      </c>
      <c r="N2532" s="8">
        <v>3.6</v>
      </c>
      <c r="O2532" s="8">
        <v>4.5815765164727358</v>
      </c>
      <c r="P2532" s="8">
        <v>0</v>
      </c>
      <c r="Q2532" s="8">
        <v>0</v>
      </c>
      <c r="R2532" s="8">
        <v>0</v>
      </c>
      <c r="S2532" s="8">
        <v>0</v>
      </c>
      <c r="T2532" s="5">
        <v>0</v>
      </c>
      <c r="U2532" s="5">
        <v>0</v>
      </c>
      <c r="V2532" s="5">
        <f>VLOOKUP(A2532,Planilha1!B:E,4,0)</f>
        <v>0.86907188046232187</v>
      </c>
    </row>
    <row r="2533" spans="1:22" x14ac:dyDescent="0.3">
      <c r="A2533" t="str">
        <f t="shared" si="78"/>
        <v>QUEIJOSLACTALIS</v>
      </c>
      <c r="B2533" t="str">
        <f t="shared" si="79"/>
        <v>5262779QUEIJOSLACTALIS</v>
      </c>
      <c r="C2533" s="5" t="s">
        <v>226</v>
      </c>
      <c r="D2533" s="5" t="s">
        <v>227</v>
      </c>
      <c r="E2533" s="5" t="s">
        <v>1722</v>
      </c>
      <c r="F2533" s="5">
        <v>5262779</v>
      </c>
      <c r="G2533" s="5" t="s">
        <v>1316</v>
      </c>
      <c r="H2533" s="5" t="s">
        <v>30</v>
      </c>
      <c r="I2533" s="5" t="s">
        <v>22</v>
      </c>
      <c r="J2533" s="5" t="s">
        <v>63</v>
      </c>
      <c r="K2533" s="6">
        <v>0</v>
      </c>
      <c r="L2533" s="7">
        <v>0</v>
      </c>
      <c r="M2533" s="8">
        <v>13.646666666666668</v>
      </c>
      <c r="N2533" s="8">
        <v>11.56</v>
      </c>
      <c r="O2533" s="8">
        <v>6.5646469489758603</v>
      </c>
      <c r="P2533" s="8">
        <v>0</v>
      </c>
      <c r="Q2533" s="8">
        <v>24</v>
      </c>
      <c r="R2533" s="8">
        <v>0</v>
      </c>
      <c r="S2533" s="8">
        <v>0</v>
      </c>
      <c r="T2533" s="5">
        <v>0</v>
      </c>
      <c r="U2533" s="5">
        <v>0</v>
      </c>
      <c r="V2533" s="5">
        <f>VLOOKUP(A2533,Planilha1!B:E,4,0)</f>
        <v>-1.9171310037550682</v>
      </c>
    </row>
    <row r="2534" spans="1:22" x14ac:dyDescent="0.3">
      <c r="A2534" t="str">
        <f t="shared" si="78"/>
        <v>SPREADSLACTALIS</v>
      </c>
      <c r="B2534" t="str">
        <f t="shared" si="79"/>
        <v>5262782SPREADSLACTALIS</v>
      </c>
      <c r="C2534" s="5" t="s">
        <v>226</v>
      </c>
      <c r="D2534" s="5" t="s">
        <v>227</v>
      </c>
      <c r="E2534" s="5" t="s">
        <v>1722</v>
      </c>
      <c r="F2534" s="5">
        <v>5262782</v>
      </c>
      <c r="G2534" s="5" t="s">
        <v>598</v>
      </c>
      <c r="H2534" s="5" t="s">
        <v>30</v>
      </c>
      <c r="I2534" s="5" t="s">
        <v>22</v>
      </c>
      <c r="J2534" s="5" t="s">
        <v>945</v>
      </c>
      <c r="K2534" s="6">
        <v>0</v>
      </c>
      <c r="L2534" s="7">
        <v>0</v>
      </c>
      <c r="M2534" s="8">
        <v>19.666666666666668</v>
      </c>
      <c r="N2534" s="8">
        <v>36</v>
      </c>
      <c r="O2534" s="8">
        <v>1.6810510850242006</v>
      </c>
      <c r="P2534" s="8">
        <v>0</v>
      </c>
      <c r="Q2534" s="8">
        <v>32</v>
      </c>
      <c r="R2534" s="8">
        <v>0</v>
      </c>
      <c r="S2534" s="8">
        <v>0</v>
      </c>
      <c r="T2534" s="5">
        <v>0</v>
      </c>
      <c r="U2534" s="5">
        <v>0</v>
      </c>
      <c r="V2534" s="5">
        <f>VLOOKUP(A2534,Planilha1!B:E,4,0)</f>
        <v>13.599044988219518</v>
      </c>
    </row>
    <row r="2535" spans="1:22" x14ac:dyDescent="0.3">
      <c r="A2535" t="str">
        <f t="shared" si="78"/>
        <v>CREME UHTLACTALIS</v>
      </c>
      <c r="B2535" t="str">
        <f t="shared" si="79"/>
        <v>5262839CREME UHTLACTALIS</v>
      </c>
      <c r="C2535" s="5" t="s">
        <v>226</v>
      </c>
      <c r="D2535" s="5" t="s">
        <v>227</v>
      </c>
      <c r="E2535" s="5" t="s">
        <v>1722</v>
      </c>
      <c r="F2535" s="5">
        <v>5262839</v>
      </c>
      <c r="G2535" s="5" t="s">
        <v>1115</v>
      </c>
      <c r="H2535" s="5" t="s">
        <v>30</v>
      </c>
      <c r="I2535" s="5" t="s">
        <v>22</v>
      </c>
      <c r="J2535" s="5" t="s">
        <v>34</v>
      </c>
      <c r="K2535" s="6">
        <v>0</v>
      </c>
      <c r="L2535" s="7">
        <v>0</v>
      </c>
      <c r="M2535" s="8">
        <v>49.5</v>
      </c>
      <c r="N2535" s="8">
        <v>45</v>
      </c>
      <c r="O2535" s="8">
        <v>135</v>
      </c>
      <c r="P2535" s="8">
        <v>0</v>
      </c>
      <c r="Q2535" s="8">
        <v>118.8</v>
      </c>
      <c r="R2535" s="8">
        <v>0</v>
      </c>
      <c r="S2535" s="8">
        <v>0</v>
      </c>
      <c r="T2535" s="5">
        <v>0</v>
      </c>
      <c r="U2535" s="5">
        <v>0</v>
      </c>
      <c r="V2535" s="5">
        <f>VLOOKUP(A2535,Planilha1!B:E,4,0)</f>
        <v>-1.4094522863012933</v>
      </c>
    </row>
    <row r="2536" spans="1:22" x14ac:dyDescent="0.3">
      <c r="A2536" t="str">
        <f t="shared" si="78"/>
        <v>IOGURTESITAMBÉ</v>
      </c>
      <c r="B2536" t="str">
        <f t="shared" si="79"/>
        <v>5272524IOGURTESITAMBÉ</v>
      </c>
      <c r="C2536" s="5" t="s">
        <v>226</v>
      </c>
      <c r="D2536" s="5" t="s">
        <v>227</v>
      </c>
      <c r="E2536" s="5" t="s">
        <v>228</v>
      </c>
      <c r="F2536" s="5">
        <v>5272524</v>
      </c>
      <c r="G2536" s="5" t="s">
        <v>1252</v>
      </c>
      <c r="H2536" s="5" t="s">
        <v>30</v>
      </c>
      <c r="I2536" s="5" t="s">
        <v>27</v>
      </c>
      <c r="J2536" s="5" t="s">
        <v>153</v>
      </c>
      <c r="K2536" s="6">
        <v>0</v>
      </c>
      <c r="L2536" s="7">
        <v>0</v>
      </c>
      <c r="M2536" s="8">
        <v>165.64</v>
      </c>
      <c r="N2536" s="8">
        <v>331.33333333333331</v>
      </c>
      <c r="O2536" s="8">
        <v>0</v>
      </c>
      <c r="P2536" s="8">
        <v>0</v>
      </c>
      <c r="Q2536" s="8">
        <v>48</v>
      </c>
      <c r="R2536" s="8">
        <v>0</v>
      </c>
      <c r="S2536" s="8">
        <v>0</v>
      </c>
      <c r="T2536" s="5">
        <v>0</v>
      </c>
      <c r="U2536" s="5">
        <v>0</v>
      </c>
      <c r="V2536" s="5">
        <f>VLOOKUP(A2536,Planilha1!B:E,4,0)</f>
        <v>3.2554443184120534</v>
      </c>
    </row>
    <row r="2537" spans="1:22" x14ac:dyDescent="0.3">
      <c r="A2537" t="str">
        <f t="shared" si="78"/>
        <v>QUEIJOSLACTALIS</v>
      </c>
      <c r="B2537" t="str">
        <f t="shared" si="79"/>
        <v>5263126QUEIJOSLACTALIS</v>
      </c>
      <c r="C2537" s="5" t="s">
        <v>226</v>
      </c>
      <c r="D2537" s="5" t="s">
        <v>227</v>
      </c>
      <c r="E2537" s="5" t="s">
        <v>1722</v>
      </c>
      <c r="F2537" s="5">
        <v>5263126</v>
      </c>
      <c r="G2537" s="5" t="s">
        <v>1317</v>
      </c>
      <c r="H2537" s="5" t="s">
        <v>30</v>
      </c>
      <c r="I2537" s="5" t="s">
        <v>22</v>
      </c>
      <c r="J2537" s="5" t="s">
        <v>63</v>
      </c>
      <c r="K2537" s="6">
        <v>0</v>
      </c>
      <c r="L2537" s="7">
        <v>75.36999999999999</v>
      </c>
      <c r="M2537" s="8">
        <v>74.054999999999993</v>
      </c>
      <c r="N2537" s="8">
        <v>70.606666666666669</v>
      </c>
      <c r="O2537" s="8">
        <v>40.2540503885117</v>
      </c>
      <c r="P2537" s="8">
        <v>0</v>
      </c>
      <c r="Q2537" s="8">
        <v>0</v>
      </c>
      <c r="R2537" s="8">
        <v>0</v>
      </c>
      <c r="S2537" s="8">
        <v>0</v>
      </c>
      <c r="T2537" s="5">
        <v>0</v>
      </c>
      <c r="U2537" s="5">
        <v>0</v>
      </c>
      <c r="V2537" s="5">
        <f>VLOOKUP(A2537,Planilha1!B:E,4,0)</f>
        <v>-1.9171310037550682</v>
      </c>
    </row>
    <row r="2538" spans="1:22" x14ac:dyDescent="0.3">
      <c r="A2538" t="str">
        <f t="shared" si="78"/>
        <v>QUEIJOSITAMBÉ</v>
      </c>
      <c r="B2538" t="str">
        <f t="shared" si="79"/>
        <v>5272524QUEIJOSITAMBÉ</v>
      </c>
      <c r="C2538" s="5" t="s">
        <v>226</v>
      </c>
      <c r="D2538" s="5" t="s">
        <v>227</v>
      </c>
      <c r="E2538" s="5" t="s">
        <v>228</v>
      </c>
      <c r="F2538" s="5">
        <v>5272524</v>
      </c>
      <c r="G2538" s="5" t="s">
        <v>1252</v>
      </c>
      <c r="H2538" s="5" t="s">
        <v>30</v>
      </c>
      <c r="I2538" s="5" t="s">
        <v>27</v>
      </c>
      <c r="J2538" s="5" t="s">
        <v>63</v>
      </c>
      <c r="K2538" s="6">
        <v>0</v>
      </c>
      <c r="L2538" s="7">
        <v>0</v>
      </c>
      <c r="M2538" s="8">
        <v>26.099999999999998</v>
      </c>
      <c r="N2538" s="8">
        <v>52</v>
      </c>
      <c r="O2538" s="8">
        <v>0</v>
      </c>
      <c r="P2538" s="8">
        <v>0</v>
      </c>
      <c r="Q2538" s="8">
        <v>127.2</v>
      </c>
      <c r="R2538" s="8">
        <v>0</v>
      </c>
      <c r="S2538" s="8">
        <v>0</v>
      </c>
      <c r="T2538" s="5">
        <v>0</v>
      </c>
      <c r="U2538" s="5">
        <v>0</v>
      </c>
      <c r="V2538" s="5">
        <f>VLOOKUP(A2538,Planilha1!B:E,4,0)</f>
        <v>12.008237327188938</v>
      </c>
    </row>
    <row r="2539" spans="1:22" x14ac:dyDescent="0.3">
      <c r="A2539" t="str">
        <f t="shared" si="78"/>
        <v>CREME UHTLACTALIS</v>
      </c>
      <c r="B2539" t="str">
        <f t="shared" si="79"/>
        <v>5263210CREME UHTLACTALIS</v>
      </c>
      <c r="C2539" s="5" t="s">
        <v>226</v>
      </c>
      <c r="D2539" s="5" t="s">
        <v>227</v>
      </c>
      <c r="E2539" s="5" t="s">
        <v>1722</v>
      </c>
      <c r="F2539" s="5">
        <v>5263210</v>
      </c>
      <c r="G2539" s="5" t="s">
        <v>287</v>
      </c>
      <c r="H2539" s="5" t="s">
        <v>30</v>
      </c>
      <c r="I2539" s="5" t="s">
        <v>22</v>
      </c>
      <c r="J2539" s="5" t="s">
        <v>34</v>
      </c>
      <c r="K2539" s="6">
        <v>0</v>
      </c>
      <c r="L2539" s="7">
        <v>0</v>
      </c>
      <c r="M2539" s="8">
        <v>1.8</v>
      </c>
      <c r="N2539" s="8">
        <v>3.6</v>
      </c>
      <c r="O2539" s="8">
        <v>10.8</v>
      </c>
      <c r="P2539" s="8">
        <v>0</v>
      </c>
      <c r="Q2539" s="8">
        <v>16.2</v>
      </c>
      <c r="R2539" s="8">
        <v>0</v>
      </c>
      <c r="S2539" s="8">
        <v>10</v>
      </c>
      <c r="T2539" s="5">
        <v>10</v>
      </c>
      <c r="U2539" s="5">
        <v>10</v>
      </c>
      <c r="V2539" s="5">
        <f>VLOOKUP(A2539,Planilha1!B:E,4,0)</f>
        <v>-1.4094522863012933</v>
      </c>
    </row>
    <row r="2540" spans="1:22" x14ac:dyDescent="0.3">
      <c r="A2540" t="str">
        <f t="shared" si="78"/>
        <v>QUEIJOSLACTALIS</v>
      </c>
      <c r="B2540" t="str">
        <f t="shared" si="79"/>
        <v>5263210QUEIJOSLACTALIS</v>
      </c>
      <c r="C2540" s="5" t="s">
        <v>226</v>
      </c>
      <c r="D2540" s="5" t="s">
        <v>227</v>
      </c>
      <c r="E2540" s="5" t="s">
        <v>1722</v>
      </c>
      <c r="F2540" s="5">
        <v>5263210</v>
      </c>
      <c r="G2540" s="5" t="s">
        <v>287</v>
      </c>
      <c r="H2540" s="5" t="s">
        <v>30</v>
      </c>
      <c r="I2540" s="5" t="s">
        <v>22</v>
      </c>
      <c r="J2540" s="5" t="s">
        <v>63</v>
      </c>
      <c r="K2540" s="6">
        <v>0</v>
      </c>
      <c r="L2540" s="7">
        <v>0</v>
      </c>
      <c r="M2540" s="8">
        <v>11.593333333333334</v>
      </c>
      <c r="N2540" s="8">
        <v>11.526666666666666</v>
      </c>
      <c r="O2540" s="8">
        <v>9.5734434672564639</v>
      </c>
      <c r="P2540" s="8">
        <v>0</v>
      </c>
      <c r="Q2540" s="8">
        <v>0</v>
      </c>
      <c r="R2540" s="8">
        <v>0</v>
      </c>
      <c r="S2540" s="8">
        <v>0</v>
      </c>
      <c r="T2540" s="5">
        <v>0</v>
      </c>
      <c r="U2540" s="5">
        <v>0</v>
      </c>
      <c r="V2540" s="5">
        <f>VLOOKUP(A2540,Planilha1!B:E,4,0)</f>
        <v>-1.9171310037550682</v>
      </c>
    </row>
    <row r="2541" spans="1:22" x14ac:dyDescent="0.3">
      <c r="A2541" t="str">
        <f t="shared" si="78"/>
        <v>LEITE CONDENSADOLACTALIS</v>
      </c>
      <c r="B2541" t="str">
        <f t="shared" si="79"/>
        <v>5263210LEITE CONDENSADOLACTALIS</v>
      </c>
      <c r="C2541" s="5" t="s">
        <v>226</v>
      </c>
      <c r="D2541" s="5" t="s">
        <v>227</v>
      </c>
      <c r="E2541" s="5" t="s">
        <v>1722</v>
      </c>
      <c r="F2541" s="5">
        <v>5263210</v>
      </c>
      <c r="G2541" s="5" t="s">
        <v>287</v>
      </c>
      <c r="H2541" s="5" t="s">
        <v>30</v>
      </c>
      <c r="I2541" s="5" t="s">
        <v>22</v>
      </c>
      <c r="J2541" s="5" t="s">
        <v>33</v>
      </c>
      <c r="K2541" s="6">
        <v>0</v>
      </c>
      <c r="L2541" s="7">
        <v>0</v>
      </c>
      <c r="M2541" s="8">
        <v>1.58</v>
      </c>
      <c r="N2541" s="8">
        <v>3.16</v>
      </c>
      <c r="O2541" s="8">
        <v>9.48</v>
      </c>
      <c r="P2541" s="8">
        <v>0</v>
      </c>
      <c r="Q2541" s="8">
        <v>0</v>
      </c>
      <c r="R2541" s="8">
        <v>0</v>
      </c>
      <c r="S2541" s="8">
        <v>9</v>
      </c>
      <c r="T2541" s="5">
        <v>9</v>
      </c>
      <c r="U2541" s="5">
        <v>9</v>
      </c>
      <c r="V2541" s="5">
        <f>VLOOKUP(A2541,Planilha1!B:E,4,0)</f>
        <v>1.8665071822970765</v>
      </c>
    </row>
    <row r="2542" spans="1:22" x14ac:dyDescent="0.3">
      <c r="A2542" t="str">
        <f t="shared" si="78"/>
        <v>MANTEIGA 5KGLACTALIS</v>
      </c>
      <c r="B2542" t="str">
        <f t="shared" si="79"/>
        <v>5263269MANTEIGA 5KGLACTALIS</v>
      </c>
      <c r="C2542" s="5" t="s">
        <v>226</v>
      </c>
      <c r="D2542" s="5" t="s">
        <v>227</v>
      </c>
      <c r="E2542" s="5" t="s">
        <v>1722</v>
      </c>
      <c r="F2542" s="5">
        <v>5263269</v>
      </c>
      <c r="G2542" s="5" t="s">
        <v>1154</v>
      </c>
      <c r="H2542" s="5" t="s">
        <v>30</v>
      </c>
      <c r="I2542" s="5" t="s">
        <v>22</v>
      </c>
      <c r="J2542" s="5" t="s">
        <v>60</v>
      </c>
      <c r="K2542" s="6">
        <v>0</v>
      </c>
      <c r="L2542" s="7">
        <v>0</v>
      </c>
      <c r="M2542" s="8">
        <v>3.3333333333333335</v>
      </c>
      <c r="N2542" s="8">
        <v>5</v>
      </c>
      <c r="O2542" s="8">
        <v>0</v>
      </c>
      <c r="P2542" s="8">
        <v>0</v>
      </c>
      <c r="Q2542" s="8">
        <v>0</v>
      </c>
      <c r="R2542" s="8">
        <v>0</v>
      </c>
      <c r="S2542" s="8">
        <v>0</v>
      </c>
      <c r="T2542" s="5">
        <v>0</v>
      </c>
      <c r="U2542" s="5">
        <v>0</v>
      </c>
      <c r="V2542" s="5">
        <f>VLOOKUP(A2542,Planilha1!B:E,4,0)</f>
        <v>11.476197020267191</v>
      </c>
    </row>
    <row r="2543" spans="1:22" x14ac:dyDescent="0.3">
      <c r="A2543" t="str">
        <f t="shared" si="78"/>
        <v>LEITE CONDENSADOLACTALIS</v>
      </c>
      <c r="B2543" t="str">
        <f t="shared" si="79"/>
        <v>5263269LEITE CONDENSADOLACTALIS</v>
      </c>
      <c r="C2543" s="5" t="s">
        <v>226</v>
      </c>
      <c r="D2543" s="5" t="s">
        <v>227</v>
      </c>
      <c r="E2543" s="5" t="s">
        <v>1722</v>
      </c>
      <c r="F2543" s="5">
        <v>5263269</v>
      </c>
      <c r="G2543" s="5" t="s">
        <v>1154</v>
      </c>
      <c r="H2543" s="5" t="s">
        <v>30</v>
      </c>
      <c r="I2543" s="5" t="s">
        <v>22</v>
      </c>
      <c r="J2543" s="5" t="s">
        <v>33</v>
      </c>
      <c r="K2543" s="6">
        <v>0</v>
      </c>
      <c r="L2543" s="7">
        <v>0</v>
      </c>
      <c r="M2543" s="8">
        <v>28.000000000000004</v>
      </c>
      <c r="N2543" s="8">
        <v>37.333333333333336</v>
      </c>
      <c r="O2543" s="8">
        <v>28</v>
      </c>
      <c r="P2543" s="8">
        <v>0</v>
      </c>
      <c r="Q2543" s="8">
        <v>0</v>
      </c>
      <c r="R2543" s="8">
        <v>0</v>
      </c>
      <c r="S2543" s="8">
        <v>42</v>
      </c>
      <c r="T2543" s="5">
        <v>42</v>
      </c>
      <c r="U2543" s="5">
        <v>0</v>
      </c>
      <c r="V2543" s="5">
        <f>VLOOKUP(A2543,Planilha1!B:E,4,0)</f>
        <v>1.8665071822970765</v>
      </c>
    </row>
    <row r="2544" spans="1:22" x14ac:dyDescent="0.3">
      <c r="A2544" t="str">
        <f t="shared" si="78"/>
        <v>IOGURTESLACTALIS</v>
      </c>
      <c r="B2544" t="str">
        <f t="shared" si="79"/>
        <v>5263331IOGURTESLACTALIS</v>
      </c>
      <c r="C2544" s="5" t="s">
        <v>226</v>
      </c>
      <c r="D2544" s="5" t="s">
        <v>227</v>
      </c>
      <c r="E2544" s="5" t="s">
        <v>1722</v>
      </c>
      <c r="F2544" s="5">
        <v>5263331</v>
      </c>
      <c r="G2544" s="5" t="s">
        <v>1318</v>
      </c>
      <c r="H2544" s="5" t="s">
        <v>30</v>
      </c>
      <c r="I2544" s="5" t="s">
        <v>22</v>
      </c>
      <c r="J2544" s="5" t="s">
        <v>153</v>
      </c>
      <c r="K2544" s="6">
        <v>0</v>
      </c>
      <c r="L2544" s="7">
        <v>0</v>
      </c>
      <c r="M2544" s="8">
        <v>2.04</v>
      </c>
      <c r="N2544" s="8">
        <v>2.72</v>
      </c>
      <c r="O2544" s="8">
        <v>2.2850897799820484</v>
      </c>
      <c r="P2544" s="8">
        <v>0</v>
      </c>
      <c r="Q2544" s="8">
        <v>0</v>
      </c>
      <c r="R2544" s="8">
        <v>0</v>
      </c>
      <c r="S2544" s="8">
        <v>0</v>
      </c>
      <c r="T2544" s="5">
        <v>0</v>
      </c>
      <c r="U2544" s="5">
        <v>0</v>
      </c>
      <c r="V2544" s="5">
        <f>VLOOKUP(A2544,Planilha1!B:E,4,0)</f>
        <v>3.0503167986984403</v>
      </c>
    </row>
    <row r="2545" spans="1:22" x14ac:dyDescent="0.3">
      <c r="A2545" t="str">
        <f t="shared" si="78"/>
        <v>QUEIJOSLACTALIS</v>
      </c>
      <c r="B2545" t="str">
        <f t="shared" si="79"/>
        <v>5263331QUEIJOSLACTALIS</v>
      </c>
      <c r="C2545" s="5" t="s">
        <v>226</v>
      </c>
      <c r="D2545" s="5" t="s">
        <v>227</v>
      </c>
      <c r="E2545" s="5" t="s">
        <v>1722</v>
      </c>
      <c r="F2545" s="5">
        <v>5263331</v>
      </c>
      <c r="G2545" s="5" t="s">
        <v>1318</v>
      </c>
      <c r="H2545" s="5" t="s">
        <v>30</v>
      </c>
      <c r="I2545" s="5" t="s">
        <v>22</v>
      </c>
      <c r="J2545" s="5" t="s">
        <v>63</v>
      </c>
      <c r="K2545" s="6">
        <v>0</v>
      </c>
      <c r="L2545" s="7">
        <v>0</v>
      </c>
      <c r="M2545" s="8">
        <v>4.8550000000000004</v>
      </c>
      <c r="N2545" s="8">
        <v>7.833333333333333</v>
      </c>
      <c r="O2545" s="8">
        <v>3.0885752138410734</v>
      </c>
      <c r="P2545" s="8">
        <v>0</v>
      </c>
      <c r="Q2545" s="8">
        <v>0</v>
      </c>
      <c r="R2545" s="8">
        <v>0</v>
      </c>
      <c r="S2545" s="8">
        <v>0</v>
      </c>
      <c r="T2545" s="5">
        <v>0</v>
      </c>
      <c r="U2545" s="5">
        <v>0</v>
      </c>
      <c r="V2545" s="5">
        <f>VLOOKUP(A2545,Planilha1!B:E,4,0)</f>
        <v>-1.9171310037550682</v>
      </c>
    </row>
    <row r="2546" spans="1:22" x14ac:dyDescent="0.3">
      <c r="A2546" t="str">
        <f t="shared" si="78"/>
        <v>QUEIJOSLACTALIS</v>
      </c>
      <c r="B2546" t="str">
        <f t="shared" si="79"/>
        <v>5263514QUEIJOSLACTALIS</v>
      </c>
      <c r="C2546" s="5" t="s">
        <v>226</v>
      </c>
      <c r="D2546" s="5" t="s">
        <v>227</v>
      </c>
      <c r="E2546" s="5" t="s">
        <v>1722</v>
      </c>
      <c r="F2546" s="5">
        <v>5263514</v>
      </c>
      <c r="G2546" s="5" t="s">
        <v>290</v>
      </c>
      <c r="H2546" s="5" t="s">
        <v>30</v>
      </c>
      <c r="I2546" s="5" t="s">
        <v>22</v>
      </c>
      <c r="J2546" s="5" t="s">
        <v>63</v>
      </c>
      <c r="K2546" s="6">
        <v>0</v>
      </c>
      <c r="L2546" s="7">
        <v>23.49</v>
      </c>
      <c r="M2546" s="8">
        <v>15.411666666666665</v>
      </c>
      <c r="N2546" s="8">
        <v>15.549999999999999</v>
      </c>
      <c r="O2546" s="8">
        <v>13.157786289223319</v>
      </c>
      <c r="P2546" s="8">
        <v>0</v>
      </c>
      <c r="Q2546" s="8">
        <v>0</v>
      </c>
      <c r="R2546" s="8">
        <v>0</v>
      </c>
      <c r="S2546" s="8">
        <v>0</v>
      </c>
      <c r="T2546" s="5">
        <v>0</v>
      </c>
      <c r="U2546" s="5">
        <v>0</v>
      </c>
      <c r="V2546" s="5">
        <f>VLOOKUP(A2546,Planilha1!B:E,4,0)</f>
        <v>-1.9171310037550682</v>
      </c>
    </row>
    <row r="2547" spans="1:22" x14ac:dyDescent="0.3">
      <c r="A2547" t="str">
        <f t="shared" si="78"/>
        <v>QUEIJOSLACTALIS</v>
      </c>
      <c r="B2547" t="str">
        <f t="shared" si="79"/>
        <v>5263607QUEIJOSLACTALIS</v>
      </c>
      <c r="C2547" s="5" t="s">
        <v>226</v>
      </c>
      <c r="D2547" s="5" t="s">
        <v>227</v>
      </c>
      <c r="E2547" s="5" t="s">
        <v>1722</v>
      </c>
      <c r="F2547" s="5">
        <v>5263607</v>
      </c>
      <c r="G2547" s="5" t="s">
        <v>291</v>
      </c>
      <c r="H2547" s="5" t="s">
        <v>30</v>
      </c>
      <c r="I2547" s="5" t="s">
        <v>22</v>
      </c>
      <c r="J2547" s="5" t="s">
        <v>63</v>
      </c>
      <c r="K2547" s="6">
        <v>0</v>
      </c>
      <c r="L2547" s="7">
        <v>11.11</v>
      </c>
      <c r="M2547" s="8">
        <v>13.605</v>
      </c>
      <c r="N2547" s="8">
        <v>15.549999999999999</v>
      </c>
      <c r="O2547" s="8">
        <v>9.7671917279033202</v>
      </c>
      <c r="P2547" s="8">
        <v>0</v>
      </c>
      <c r="Q2547" s="8">
        <v>0</v>
      </c>
      <c r="R2547" s="8">
        <v>0</v>
      </c>
      <c r="S2547" s="8">
        <v>0</v>
      </c>
      <c r="T2547" s="5">
        <v>0</v>
      </c>
      <c r="U2547" s="5">
        <v>0</v>
      </c>
      <c r="V2547" s="5">
        <f>VLOOKUP(A2547,Planilha1!B:E,4,0)</f>
        <v>-1.9171310037550682</v>
      </c>
    </row>
    <row r="2548" spans="1:22" x14ac:dyDescent="0.3">
      <c r="A2548" t="str">
        <f t="shared" si="78"/>
        <v>IOGURTESLACTALIS</v>
      </c>
      <c r="B2548" t="str">
        <f t="shared" si="79"/>
        <v>5263630IOGURTESLACTALIS</v>
      </c>
      <c r="C2548" s="5" t="s">
        <v>226</v>
      </c>
      <c r="D2548" s="5" t="s">
        <v>227</v>
      </c>
      <c r="E2548" s="5" t="s">
        <v>1722</v>
      </c>
      <c r="F2548" s="5">
        <v>5263630</v>
      </c>
      <c r="G2548" s="5" t="s">
        <v>1319</v>
      </c>
      <c r="H2548" s="5" t="s">
        <v>30</v>
      </c>
      <c r="I2548" s="5" t="s">
        <v>22</v>
      </c>
      <c r="J2548" s="5" t="s">
        <v>153</v>
      </c>
      <c r="K2548" s="6">
        <v>0</v>
      </c>
      <c r="L2548" s="7">
        <v>22.5</v>
      </c>
      <c r="M2548" s="8">
        <v>0.55000000000000004</v>
      </c>
      <c r="N2548" s="8">
        <v>0.6</v>
      </c>
      <c r="O2548" s="8">
        <v>1.6981465197871584</v>
      </c>
      <c r="P2548" s="8">
        <v>0</v>
      </c>
      <c r="Q2548" s="8">
        <v>0</v>
      </c>
      <c r="R2548" s="8">
        <v>0</v>
      </c>
      <c r="S2548" s="8">
        <v>0</v>
      </c>
      <c r="T2548" s="5">
        <v>0</v>
      </c>
      <c r="U2548" s="5">
        <v>0</v>
      </c>
      <c r="V2548" s="5">
        <f>VLOOKUP(A2548,Planilha1!B:E,4,0)</f>
        <v>3.0503167986984403</v>
      </c>
    </row>
    <row r="2549" spans="1:22" x14ac:dyDescent="0.3">
      <c r="A2549" t="str">
        <f t="shared" si="78"/>
        <v>QUEIJOSLACTALIS</v>
      </c>
      <c r="B2549" t="str">
        <f t="shared" si="79"/>
        <v>5263630QUEIJOSLACTALIS</v>
      </c>
      <c r="C2549" s="5" t="s">
        <v>226</v>
      </c>
      <c r="D2549" s="5" t="s">
        <v>227</v>
      </c>
      <c r="E2549" s="5" t="s">
        <v>1722</v>
      </c>
      <c r="F2549" s="5">
        <v>5263630</v>
      </c>
      <c r="G2549" s="5" t="s">
        <v>1319</v>
      </c>
      <c r="H2549" s="5" t="s">
        <v>30</v>
      </c>
      <c r="I2549" s="5" t="s">
        <v>22</v>
      </c>
      <c r="J2549" s="5" t="s">
        <v>63</v>
      </c>
      <c r="K2549" s="6">
        <v>0</v>
      </c>
      <c r="L2549" s="7">
        <v>47.39</v>
      </c>
      <c r="M2549" s="8">
        <v>32.130000000000003</v>
      </c>
      <c r="N2549" s="8">
        <v>38.793333333333329</v>
      </c>
      <c r="O2549" s="8">
        <v>16.029819329400258</v>
      </c>
      <c r="P2549" s="8">
        <v>0</v>
      </c>
      <c r="Q2549" s="8">
        <v>0</v>
      </c>
      <c r="R2549" s="8">
        <v>0</v>
      </c>
      <c r="S2549" s="8">
        <v>0</v>
      </c>
      <c r="T2549" s="5">
        <v>0</v>
      </c>
      <c r="U2549" s="5">
        <v>24</v>
      </c>
      <c r="V2549" s="5">
        <f>VLOOKUP(A2549,Planilha1!B:E,4,0)</f>
        <v>-1.9171310037550682</v>
      </c>
    </row>
    <row r="2550" spans="1:22" x14ac:dyDescent="0.3">
      <c r="A2550" t="str">
        <f t="shared" si="78"/>
        <v>IOGURTESLACTALIS</v>
      </c>
      <c r="B2550" t="str">
        <f t="shared" si="79"/>
        <v>5263652IOGURTESLACTALIS</v>
      </c>
      <c r="C2550" s="5" t="s">
        <v>226</v>
      </c>
      <c r="D2550" s="5" t="s">
        <v>227</v>
      </c>
      <c r="E2550" s="5" t="s">
        <v>1722</v>
      </c>
      <c r="F2550" s="5">
        <v>5263652</v>
      </c>
      <c r="G2550" s="5" t="s">
        <v>292</v>
      </c>
      <c r="H2550" s="5" t="s">
        <v>30</v>
      </c>
      <c r="I2550" s="5" t="s">
        <v>22</v>
      </c>
      <c r="J2550" s="5" t="s">
        <v>153</v>
      </c>
      <c r="K2550" s="6">
        <v>0</v>
      </c>
      <c r="L2550" s="7">
        <v>194.4</v>
      </c>
      <c r="M2550" s="8">
        <v>223.2</v>
      </c>
      <c r="N2550" s="8">
        <v>178.20000000000002</v>
      </c>
      <c r="O2550" s="8">
        <v>264.81968143472761</v>
      </c>
      <c r="P2550" s="8">
        <v>0</v>
      </c>
      <c r="Q2550" s="8">
        <v>32.4</v>
      </c>
      <c r="R2550" s="8">
        <v>0</v>
      </c>
      <c r="S2550" s="8">
        <v>0</v>
      </c>
      <c r="T2550" s="5">
        <v>0</v>
      </c>
      <c r="U2550" s="5">
        <v>0</v>
      </c>
      <c r="V2550" s="5">
        <f>VLOOKUP(A2550,Planilha1!B:E,4,0)</f>
        <v>3.0503167986984403</v>
      </c>
    </row>
    <row r="2551" spans="1:22" x14ac:dyDescent="0.3">
      <c r="A2551" t="str">
        <f t="shared" si="78"/>
        <v>QUEIJOSLACTALIS</v>
      </c>
      <c r="B2551" t="str">
        <f t="shared" si="79"/>
        <v>5263659QUEIJOSLACTALIS</v>
      </c>
      <c r="C2551" s="5" t="s">
        <v>226</v>
      </c>
      <c r="D2551" s="5" t="s">
        <v>227</v>
      </c>
      <c r="E2551" s="5" t="s">
        <v>1722</v>
      </c>
      <c r="F2551" s="5">
        <v>5263659</v>
      </c>
      <c r="G2551" s="5" t="s">
        <v>1320</v>
      </c>
      <c r="H2551" s="5" t="s">
        <v>30</v>
      </c>
      <c r="I2551" s="5" t="s">
        <v>22</v>
      </c>
      <c r="J2551" s="5" t="s">
        <v>63</v>
      </c>
      <c r="K2551" s="6">
        <v>0</v>
      </c>
      <c r="L2551" s="7">
        <v>11.86</v>
      </c>
      <c r="M2551" s="8">
        <v>9.8033333333333328</v>
      </c>
      <c r="N2551" s="8">
        <v>7.97</v>
      </c>
      <c r="O2551" s="8">
        <v>3.3564036917940814</v>
      </c>
      <c r="P2551" s="8">
        <v>0</v>
      </c>
      <c r="Q2551" s="8">
        <v>0</v>
      </c>
      <c r="R2551" s="8">
        <v>0</v>
      </c>
      <c r="S2551" s="8">
        <v>0</v>
      </c>
      <c r="T2551" s="5">
        <v>0</v>
      </c>
      <c r="U2551" s="5">
        <v>0</v>
      </c>
      <c r="V2551" s="5">
        <f>VLOOKUP(A2551,Planilha1!B:E,4,0)</f>
        <v>-1.9171310037550682</v>
      </c>
    </row>
    <row r="2552" spans="1:22" x14ac:dyDescent="0.3">
      <c r="A2552" t="str">
        <f t="shared" si="78"/>
        <v>QUEIJOSLACTALIS</v>
      </c>
      <c r="B2552" t="str">
        <f t="shared" si="79"/>
        <v>5263748QUEIJOSLACTALIS</v>
      </c>
      <c r="C2552" s="5" t="s">
        <v>226</v>
      </c>
      <c r="D2552" s="5" t="s">
        <v>227</v>
      </c>
      <c r="E2552" s="5" t="s">
        <v>1722</v>
      </c>
      <c r="F2552" s="5">
        <v>5263748</v>
      </c>
      <c r="G2552" s="5" t="s">
        <v>419</v>
      </c>
      <c r="H2552" s="5" t="s">
        <v>30</v>
      </c>
      <c r="I2552" s="5" t="s">
        <v>22</v>
      </c>
      <c r="J2552" s="5" t="s">
        <v>63</v>
      </c>
      <c r="K2552" s="6">
        <v>0</v>
      </c>
      <c r="L2552" s="7">
        <v>0</v>
      </c>
      <c r="M2552" s="8">
        <v>6.1599999999999993</v>
      </c>
      <c r="N2552" s="8">
        <v>5.6000000000000005</v>
      </c>
      <c r="O2552" s="8">
        <v>6.6558226010449699</v>
      </c>
      <c r="P2552" s="8">
        <v>0</v>
      </c>
      <c r="Q2552" s="8">
        <v>0</v>
      </c>
      <c r="R2552" s="8">
        <v>0</v>
      </c>
      <c r="S2552" s="8">
        <v>0</v>
      </c>
      <c r="T2552" s="5">
        <v>0</v>
      </c>
      <c r="U2552" s="5">
        <v>0</v>
      </c>
      <c r="V2552" s="5">
        <f>VLOOKUP(A2552,Planilha1!B:E,4,0)</f>
        <v>-1.9171310037550682</v>
      </c>
    </row>
    <row r="2553" spans="1:22" x14ac:dyDescent="0.3">
      <c r="A2553" t="str">
        <f t="shared" si="78"/>
        <v>QUEIJOSLACTALIS</v>
      </c>
      <c r="B2553" t="str">
        <f t="shared" si="79"/>
        <v>5264241QUEIJOSLACTALIS</v>
      </c>
      <c r="C2553" s="5" t="s">
        <v>226</v>
      </c>
      <c r="D2553" s="5" t="s">
        <v>227</v>
      </c>
      <c r="E2553" s="5" t="s">
        <v>1722</v>
      </c>
      <c r="F2553" s="5">
        <v>5264241</v>
      </c>
      <c r="G2553" s="5" t="s">
        <v>296</v>
      </c>
      <c r="H2553" s="5" t="s">
        <v>30</v>
      </c>
      <c r="I2553" s="5" t="s">
        <v>22</v>
      </c>
      <c r="J2553" s="5" t="s">
        <v>63</v>
      </c>
      <c r="K2553" s="6">
        <v>0</v>
      </c>
      <c r="L2553" s="7">
        <v>0</v>
      </c>
      <c r="M2553" s="8">
        <v>3.9016666666666664</v>
      </c>
      <c r="N2553" s="8">
        <v>4.0333333333333332</v>
      </c>
      <c r="O2553" s="8">
        <v>0</v>
      </c>
      <c r="P2553" s="8">
        <v>0</v>
      </c>
      <c r="Q2553" s="8">
        <v>0</v>
      </c>
      <c r="R2553" s="8">
        <v>0</v>
      </c>
      <c r="S2553" s="8">
        <v>0</v>
      </c>
      <c r="T2553" s="5">
        <v>0</v>
      </c>
      <c r="U2553" s="5">
        <v>0</v>
      </c>
      <c r="V2553" s="5">
        <f>VLOOKUP(A2553,Planilha1!B:E,4,0)</f>
        <v>-1.9171310037550682</v>
      </c>
    </row>
    <row r="2554" spans="1:22" x14ac:dyDescent="0.3">
      <c r="A2554" t="str">
        <f t="shared" si="78"/>
        <v>QUEIJOSLACTALIS</v>
      </c>
      <c r="B2554" t="str">
        <f t="shared" si="79"/>
        <v>5264254QUEIJOSLACTALIS</v>
      </c>
      <c r="C2554" s="5" t="s">
        <v>226</v>
      </c>
      <c r="D2554" s="5" t="s">
        <v>227</v>
      </c>
      <c r="E2554" s="5" t="s">
        <v>1722</v>
      </c>
      <c r="F2554" s="5">
        <v>5264254</v>
      </c>
      <c r="G2554" s="5" t="s">
        <v>421</v>
      </c>
      <c r="H2554" s="5" t="s">
        <v>30</v>
      </c>
      <c r="I2554" s="5" t="s">
        <v>22</v>
      </c>
      <c r="J2554" s="5" t="s">
        <v>63</v>
      </c>
      <c r="K2554" s="6">
        <v>0</v>
      </c>
      <c r="L2554" s="7">
        <v>0</v>
      </c>
      <c r="M2554" s="8">
        <v>19.259999999999998</v>
      </c>
      <c r="N2554" s="8">
        <v>38.520000000000003</v>
      </c>
      <c r="O2554" s="8">
        <v>0</v>
      </c>
      <c r="P2554" s="8">
        <v>0</v>
      </c>
      <c r="Q2554" s="8">
        <v>0</v>
      </c>
      <c r="R2554" s="8">
        <v>0</v>
      </c>
      <c r="S2554" s="8">
        <v>0</v>
      </c>
      <c r="T2554" s="5">
        <v>0</v>
      </c>
      <c r="U2554" s="5">
        <v>0</v>
      </c>
      <c r="V2554" s="5">
        <f>VLOOKUP(A2554,Planilha1!B:E,4,0)</f>
        <v>-1.9171310037550682</v>
      </c>
    </row>
    <row r="2555" spans="1:22" x14ac:dyDescent="0.3">
      <c r="A2555" t="str">
        <f t="shared" si="78"/>
        <v>IOGURTESLACTALIS</v>
      </c>
      <c r="B2555" t="str">
        <f t="shared" si="79"/>
        <v>5272670IOGURTESLACTALIS</v>
      </c>
      <c r="C2555" s="5" t="s">
        <v>226</v>
      </c>
      <c r="D2555" s="5" t="s">
        <v>227</v>
      </c>
      <c r="E2555" s="5" t="s">
        <v>1722</v>
      </c>
      <c r="F2555" s="5">
        <v>5272670</v>
      </c>
      <c r="G2555" s="5" t="s">
        <v>1155</v>
      </c>
      <c r="H2555" s="5" t="s">
        <v>30</v>
      </c>
      <c r="I2555" s="5" t="s">
        <v>22</v>
      </c>
      <c r="J2555" s="5" t="s">
        <v>153</v>
      </c>
      <c r="K2555" s="6">
        <v>0</v>
      </c>
      <c r="L2555" s="7">
        <v>110.39999999999998</v>
      </c>
      <c r="M2555" s="8">
        <v>173.00000000000011</v>
      </c>
      <c r="N2555" s="8">
        <v>158.72000000000003</v>
      </c>
      <c r="O2555" s="8">
        <v>154.81055873509305</v>
      </c>
      <c r="P2555" s="8">
        <v>0</v>
      </c>
      <c r="Q2555" s="8">
        <v>80.399999999999991</v>
      </c>
      <c r="R2555" s="8">
        <v>0</v>
      </c>
      <c r="S2555" s="8">
        <v>0</v>
      </c>
      <c r="T2555" s="5">
        <v>0</v>
      </c>
      <c r="U2555" s="5">
        <v>0</v>
      </c>
      <c r="V2555" s="5">
        <f>VLOOKUP(A2555,Planilha1!B:E,4,0)</f>
        <v>3.0503167986984403</v>
      </c>
    </row>
    <row r="2556" spans="1:22" x14ac:dyDescent="0.3">
      <c r="A2556" t="str">
        <f t="shared" si="78"/>
        <v>SPREADSLACTALIS</v>
      </c>
      <c r="B2556" t="str">
        <f t="shared" si="79"/>
        <v>5274522SPREADSLACTALIS</v>
      </c>
      <c r="C2556" s="5" t="s">
        <v>226</v>
      </c>
      <c r="D2556" s="5" t="s">
        <v>227</v>
      </c>
      <c r="E2556" s="5" t="s">
        <v>1722</v>
      </c>
      <c r="F2556" s="5">
        <v>5274522</v>
      </c>
      <c r="G2556" s="5" t="s">
        <v>307</v>
      </c>
      <c r="H2556" s="5" t="s">
        <v>30</v>
      </c>
      <c r="I2556" s="5" t="s">
        <v>22</v>
      </c>
      <c r="J2556" s="5" t="s">
        <v>945</v>
      </c>
      <c r="K2556" s="6">
        <v>0</v>
      </c>
      <c r="L2556" s="7">
        <v>68</v>
      </c>
      <c r="M2556" s="8">
        <v>48</v>
      </c>
      <c r="N2556" s="8">
        <v>57.333333333333329</v>
      </c>
      <c r="O2556" s="8">
        <v>46.22035712078403</v>
      </c>
      <c r="P2556" s="8">
        <v>0</v>
      </c>
      <c r="Q2556" s="8">
        <v>48</v>
      </c>
      <c r="R2556" s="8">
        <v>0</v>
      </c>
      <c r="S2556" s="8">
        <v>0</v>
      </c>
      <c r="T2556" s="5">
        <v>0</v>
      </c>
      <c r="U2556" s="5">
        <v>0</v>
      </c>
      <c r="V2556" s="5">
        <f>VLOOKUP(A2556,Planilha1!B:E,4,0)</f>
        <v>13.599044988219518</v>
      </c>
    </row>
    <row r="2557" spans="1:22" x14ac:dyDescent="0.3">
      <c r="A2557" t="str">
        <f t="shared" si="78"/>
        <v>BLISTERLACTALIS</v>
      </c>
      <c r="B2557" t="str">
        <f t="shared" si="79"/>
        <v>5274693BLISTERLACTALIS</v>
      </c>
      <c r="C2557" s="5" t="s">
        <v>226</v>
      </c>
      <c r="D2557" s="5" t="s">
        <v>227</v>
      </c>
      <c r="E2557" s="5" t="s">
        <v>1722</v>
      </c>
      <c r="F2557" s="5">
        <v>5274693</v>
      </c>
      <c r="G2557" s="5" t="s">
        <v>1321</v>
      </c>
      <c r="H2557" s="5" t="s">
        <v>30</v>
      </c>
      <c r="I2557" s="5" t="s">
        <v>22</v>
      </c>
      <c r="J2557" s="5" t="s">
        <v>199</v>
      </c>
      <c r="K2557" s="6">
        <v>0</v>
      </c>
      <c r="L2557" s="7">
        <v>0</v>
      </c>
      <c r="M2557" s="8">
        <v>7.0799999999999992</v>
      </c>
      <c r="N2557" s="8">
        <v>14.16</v>
      </c>
      <c r="O2557" s="8">
        <v>0</v>
      </c>
      <c r="P2557" s="8">
        <v>0</v>
      </c>
      <c r="Q2557" s="8">
        <v>10.56</v>
      </c>
      <c r="R2557" s="8">
        <v>0</v>
      </c>
      <c r="S2557" s="8">
        <v>16</v>
      </c>
      <c r="T2557" s="5">
        <v>16</v>
      </c>
      <c r="U2557" s="5">
        <v>16</v>
      </c>
      <c r="V2557" s="5">
        <f>VLOOKUP(A2557,Planilha1!B:E,4,0)</f>
        <v>13.783871706210666</v>
      </c>
    </row>
    <row r="2558" spans="1:22" x14ac:dyDescent="0.3">
      <c r="A2558" t="str">
        <f t="shared" si="78"/>
        <v>PARMESÃOLACTALIS</v>
      </c>
      <c r="B2558" t="str">
        <f t="shared" si="79"/>
        <v>5264538PARMESÃOLACTALIS</v>
      </c>
      <c r="C2558" s="5" t="s">
        <v>226</v>
      </c>
      <c r="D2558" s="5" t="s">
        <v>227</v>
      </c>
      <c r="E2558" s="5" t="s">
        <v>1722</v>
      </c>
      <c r="F2558" s="5">
        <v>5264538</v>
      </c>
      <c r="G2558" s="5" t="s">
        <v>683</v>
      </c>
      <c r="H2558" s="5" t="s">
        <v>30</v>
      </c>
      <c r="I2558" s="5" t="s">
        <v>22</v>
      </c>
      <c r="J2558" s="5" t="s">
        <v>195</v>
      </c>
      <c r="K2558" s="6">
        <v>0</v>
      </c>
      <c r="L2558" s="7">
        <v>0</v>
      </c>
      <c r="M2558" s="8">
        <v>4.8763333333333332</v>
      </c>
      <c r="N2558" s="8">
        <v>9.7526666666666664</v>
      </c>
      <c r="O2558" s="8">
        <v>0</v>
      </c>
      <c r="P2558" s="8">
        <v>0</v>
      </c>
      <c r="Q2558" s="8">
        <v>0</v>
      </c>
      <c r="R2558" s="8">
        <v>0</v>
      </c>
      <c r="S2558" s="8">
        <v>0</v>
      </c>
      <c r="T2558" s="5">
        <v>0</v>
      </c>
      <c r="U2558" s="5">
        <v>15</v>
      </c>
      <c r="V2558" s="5">
        <f>VLOOKUP(A2558,Planilha1!B:E,4,0)</f>
        <v>6.310326960724681</v>
      </c>
    </row>
    <row r="2559" spans="1:22" x14ac:dyDescent="0.3">
      <c r="A2559" t="str">
        <f t="shared" si="78"/>
        <v>QUEIJOSLACTALIS</v>
      </c>
      <c r="B2559" t="str">
        <f t="shared" si="79"/>
        <v>5264538QUEIJOSLACTALIS</v>
      </c>
      <c r="C2559" s="5" t="s">
        <v>226</v>
      </c>
      <c r="D2559" s="5" t="s">
        <v>227</v>
      </c>
      <c r="E2559" s="5" t="s">
        <v>1722</v>
      </c>
      <c r="F2559" s="5">
        <v>5264538</v>
      </c>
      <c r="G2559" s="5" t="s">
        <v>683</v>
      </c>
      <c r="H2559" s="5" t="s">
        <v>30</v>
      </c>
      <c r="I2559" s="5" t="s">
        <v>22</v>
      </c>
      <c r="J2559" s="5" t="s">
        <v>63</v>
      </c>
      <c r="K2559" s="6">
        <v>0</v>
      </c>
      <c r="L2559" s="7">
        <v>0</v>
      </c>
      <c r="M2559" s="8">
        <v>13.877166666666668</v>
      </c>
      <c r="N2559" s="8">
        <v>27.754333333333335</v>
      </c>
      <c r="O2559" s="8">
        <v>0</v>
      </c>
      <c r="P2559" s="8">
        <v>0</v>
      </c>
      <c r="Q2559" s="8">
        <v>0</v>
      </c>
      <c r="R2559" s="8">
        <v>0</v>
      </c>
      <c r="S2559" s="8">
        <v>0</v>
      </c>
      <c r="T2559" s="5">
        <v>0</v>
      </c>
      <c r="U2559" s="5">
        <v>0</v>
      </c>
      <c r="V2559" s="5">
        <f>VLOOKUP(A2559,Planilha1!B:E,4,0)</f>
        <v>-1.9171310037550682</v>
      </c>
    </row>
    <row r="2560" spans="1:22" x14ac:dyDescent="0.3">
      <c r="A2560" t="str">
        <f t="shared" si="78"/>
        <v>QUEIJOSLACTALIS</v>
      </c>
      <c r="B2560" t="str">
        <f t="shared" si="79"/>
        <v>5264820QUEIJOSLACTALIS</v>
      </c>
      <c r="C2560" s="5" t="s">
        <v>226</v>
      </c>
      <c r="D2560" s="5" t="s">
        <v>227</v>
      </c>
      <c r="E2560" s="5" t="s">
        <v>1722</v>
      </c>
      <c r="F2560" s="5">
        <v>5264820</v>
      </c>
      <c r="G2560" s="5" t="s">
        <v>514</v>
      </c>
      <c r="H2560" s="5" t="s">
        <v>30</v>
      </c>
      <c r="I2560" s="5" t="s">
        <v>22</v>
      </c>
      <c r="J2560" s="5" t="s">
        <v>63</v>
      </c>
      <c r="K2560" s="6">
        <v>0</v>
      </c>
      <c r="L2560" s="7">
        <v>0</v>
      </c>
      <c r="M2560" s="8">
        <v>5.8333333333333339</v>
      </c>
      <c r="N2560" s="8">
        <v>3.91</v>
      </c>
      <c r="O2560" s="8">
        <v>3.3222128222681655</v>
      </c>
      <c r="P2560" s="8">
        <v>0</v>
      </c>
      <c r="Q2560" s="8">
        <v>0</v>
      </c>
      <c r="R2560" s="8">
        <v>0</v>
      </c>
      <c r="S2560" s="8">
        <v>0</v>
      </c>
      <c r="T2560" s="5">
        <v>0</v>
      </c>
      <c r="U2560" s="5">
        <v>0</v>
      </c>
      <c r="V2560" s="5">
        <f>VLOOKUP(A2560,Planilha1!B:E,4,0)</f>
        <v>-1.9171310037550682</v>
      </c>
    </row>
    <row r="2561" spans="1:22" x14ac:dyDescent="0.3">
      <c r="A2561" t="str">
        <f t="shared" si="78"/>
        <v>IOGURTESLACTALIS</v>
      </c>
      <c r="B2561" t="str">
        <f t="shared" si="79"/>
        <v>5264858IOGURTESLACTALIS</v>
      </c>
      <c r="C2561" s="5" t="s">
        <v>226</v>
      </c>
      <c r="D2561" s="5" t="s">
        <v>227</v>
      </c>
      <c r="E2561" s="5" t="s">
        <v>1722</v>
      </c>
      <c r="F2561" s="5">
        <v>5264858</v>
      </c>
      <c r="G2561" s="5" t="s">
        <v>1322</v>
      </c>
      <c r="H2561" s="5" t="s">
        <v>30</v>
      </c>
      <c r="I2561" s="5" t="s">
        <v>22</v>
      </c>
      <c r="J2561" s="5" t="s">
        <v>153</v>
      </c>
      <c r="K2561" s="6">
        <v>0</v>
      </c>
      <c r="L2561" s="7">
        <v>0</v>
      </c>
      <c r="M2561" s="8">
        <v>0.39999999999999997</v>
      </c>
      <c r="N2561" s="8">
        <v>0.79999999999999993</v>
      </c>
      <c r="O2561" s="8">
        <v>2.7238726055646367</v>
      </c>
      <c r="P2561" s="8">
        <v>0</v>
      </c>
      <c r="Q2561" s="8">
        <v>0</v>
      </c>
      <c r="R2561" s="8">
        <v>0</v>
      </c>
      <c r="S2561" s="8">
        <v>0</v>
      </c>
      <c r="T2561" s="5">
        <v>0</v>
      </c>
      <c r="U2561" s="5">
        <v>0</v>
      </c>
      <c r="V2561" s="5">
        <f>VLOOKUP(A2561,Planilha1!B:E,4,0)</f>
        <v>3.0503167986984403</v>
      </c>
    </row>
    <row r="2562" spans="1:22" x14ac:dyDescent="0.3">
      <c r="A2562" t="str">
        <f t="shared" ref="A2562:A2625" si="80">J2562&amp;I2562</f>
        <v>LPI 25KGLACTALIS</v>
      </c>
      <c r="B2562" t="str">
        <f t="shared" si="79"/>
        <v>5275462LPI 25KGLACTALIS</v>
      </c>
      <c r="C2562" s="5" t="s">
        <v>16</v>
      </c>
      <c r="D2562" s="5" t="s">
        <v>17</v>
      </c>
      <c r="E2562" s="5" t="s">
        <v>66</v>
      </c>
      <c r="F2562" s="5">
        <v>5275462</v>
      </c>
      <c r="G2562" s="5" t="s">
        <v>1323</v>
      </c>
      <c r="H2562" s="5" t="s">
        <v>30</v>
      </c>
      <c r="I2562" s="5" t="s">
        <v>22</v>
      </c>
      <c r="J2562" s="5" t="s">
        <v>21</v>
      </c>
      <c r="K2562" s="6">
        <v>0</v>
      </c>
      <c r="L2562" s="7">
        <v>0</v>
      </c>
      <c r="M2562" s="8">
        <v>9854.1666666666661</v>
      </c>
      <c r="N2562" s="8">
        <v>19708.333333333332</v>
      </c>
      <c r="O2562" s="8">
        <v>0</v>
      </c>
      <c r="P2562" s="8">
        <v>0</v>
      </c>
      <c r="Q2562" s="8">
        <v>-30650</v>
      </c>
      <c r="R2562" s="8">
        <v>0</v>
      </c>
      <c r="S2562" s="8">
        <v>0</v>
      </c>
      <c r="T2562" s="5">
        <v>0</v>
      </c>
      <c r="U2562" s="5">
        <v>0</v>
      </c>
      <c r="V2562" s="5">
        <f>VLOOKUP(A2562,Planilha1!B:E,4,0)</f>
        <v>-4.3046759024811481</v>
      </c>
    </row>
    <row r="2563" spans="1:22" x14ac:dyDescent="0.3">
      <c r="A2563" t="str">
        <f t="shared" si="80"/>
        <v>SPREADSLACTALIS</v>
      </c>
      <c r="B2563" t="str">
        <f t="shared" ref="B2563:B2626" si="81">F2563&amp;J2563&amp;I2563</f>
        <v>5264990SPREADSLACTALIS</v>
      </c>
      <c r="C2563" s="5" t="s">
        <v>226</v>
      </c>
      <c r="D2563" s="5" t="s">
        <v>227</v>
      </c>
      <c r="E2563" s="5" t="s">
        <v>1722</v>
      </c>
      <c r="F2563" s="5">
        <v>5264990</v>
      </c>
      <c r="G2563" s="5" t="s">
        <v>297</v>
      </c>
      <c r="H2563" s="5" t="s">
        <v>30</v>
      </c>
      <c r="I2563" s="5" t="s">
        <v>22</v>
      </c>
      <c r="J2563" s="5" t="s">
        <v>945</v>
      </c>
      <c r="K2563" s="6">
        <v>0</v>
      </c>
      <c r="L2563" s="7">
        <v>0</v>
      </c>
      <c r="M2563" s="8">
        <v>0.89999999999999991</v>
      </c>
      <c r="N2563" s="8">
        <v>0.6</v>
      </c>
      <c r="O2563" s="8">
        <v>1.0143291292688397</v>
      </c>
      <c r="P2563" s="8">
        <v>0</v>
      </c>
      <c r="Q2563" s="8">
        <v>0</v>
      </c>
      <c r="R2563" s="8">
        <v>0</v>
      </c>
      <c r="S2563" s="8">
        <v>0</v>
      </c>
      <c r="T2563" s="5">
        <v>0</v>
      </c>
      <c r="U2563" s="5">
        <v>0</v>
      </c>
      <c r="V2563" s="5">
        <f>VLOOKUP(A2563,Planilha1!B:E,4,0)</f>
        <v>13.599044988219518</v>
      </c>
    </row>
    <row r="2564" spans="1:22" x14ac:dyDescent="0.3">
      <c r="A2564" t="str">
        <f t="shared" si="80"/>
        <v>SPREADSLACTALIS</v>
      </c>
      <c r="B2564" t="str">
        <f t="shared" si="81"/>
        <v>5265010SPREADSLACTALIS</v>
      </c>
      <c r="C2564" s="5" t="s">
        <v>226</v>
      </c>
      <c r="D2564" s="5" t="s">
        <v>227</v>
      </c>
      <c r="E2564" s="5" t="s">
        <v>1722</v>
      </c>
      <c r="F2564" s="5">
        <v>5265010</v>
      </c>
      <c r="G2564" s="5" t="s">
        <v>422</v>
      </c>
      <c r="H2564" s="5" t="s">
        <v>30</v>
      </c>
      <c r="I2564" s="5" t="s">
        <v>22</v>
      </c>
      <c r="J2564" s="5" t="s">
        <v>945</v>
      </c>
      <c r="K2564" s="6">
        <v>0</v>
      </c>
      <c r="L2564" s="7">
        <v>16</v>
      </c>
      <c r="M2564" s="8">
        <v>9.3333333333333339</v>
      </c>
      <c r="N2564" s="8">
        <v>10.666666666666666</v>
      </c>
      <c r="O2564" s="8">
        <v>6.7925860791486334</v>
      </c>
      <c r="P2564" s="8">
        <v>0</v>
      </c>
      <c r="Q2564" s="8">
        <v>0</v>
      </c>
      <c r="R2564" s="8">
        <v>0</v>
      </c>
      <c r="S2564" s="8">
        <v>0</v>
      </c>
      <c r="T2564" s="5">
        <v>0</v>
      </c>
      <c r="U2564" s="5">
        <v>0</v>
      </c>
      <c r="V2564" s="5">
        <f>VLOOKUP(A2564,Planilha1!B:E,4,0)</f>
        <v>13.599044988219518</v>
      </c>
    </row>
    <row r="2565" spans="1:22" x14ac:dyDescent="0.3">
      <c r="A2565" t="str">
        <f t="shared" si="80"/>
        <v>QUEIJOSLACTALIS</v>
      </c>
      <c r="B2565" t="str">
        <f t="shared" si="81"/>
        <v>5265010QUEIJOSLACTALIS</v>
      </c>
      <c r="C2565" s="5" t="s">
        <v>226</v>
      </c>
      <c r="D2565" s="5" t="s">
        <v>227</v>
      </c>
      <c r="E2565" s="5" t="s">
        <v>1722</v>
      </c>
      <c r="F2565" s="5">
        <v>5265010</v>
      </c>
      <c r="G2565" s="5" t="s">
        <v>422</v>
      </c>
      <c r="H2565" s="5" t="s">
        <v>30</v>
      </c>
      <c r="I2565" s="5" t="s">
        <v>22</v>
      </c>
      <c r="J2565" s="5" t="s">
        <v>63</v>
      </c>
      <c r="K2565" s="6">
        <v>0</v>
      </c>
      <c r="L2565" s="7">
        <v>6</v>
      </c>
      <c r="M2565" s="8">
        <v>4.666666666666667</v>
      </c>
      <c r="N2565" s="8">
        <v>6</v>
      </c>
      <c r="O2565" s="8">
        <v>2.8321436923967038</v>
      </c>
      <c r="P2565" s="8">
        <v>0</v>
      </c>
      <c r="Q2565" s="8">
        <v>3</v>
      </c>
      <c r="R2565" s="8">
        <v>0</v>
      </c>
      <c r="S2565" s="8">
        <v>0</v>
      </c>
      <c r="T2565" s="5">
        <v>0</v>
      </c>
      <c r="U2565" s="5">
        <v>3</v>
      </c>
      <c r="V2565" s="5">
        <f>VLOOKUP(A2565,Planilha1!B:E,4,0)</f>
        <v>-1.9171310037550682</v>
      </c>
    </row>
    <row r="2566" spans="1:22" x14ac:dyDescent="0.3">
      <c r="A2566" t="str">
        <f t="shared" si="80"/>
        <v>CREME UHTLACTALIS</v>
      </c>
      <c r="B2566" t="str">
        <f t="shared" si="81"/>
        <v>5265511CREME UHTLACTALIS</v>
      </c>
      <c r="C2566" s="5" t="s">
        <v>226</v>
      </c>
      <c r="D2566" s="5" t="s">
        <v>227</v>
      </c>
      <c r="E2566" s="5" t="s">
        <v>1722</v>
      </c>
      <c r="F2566" s="5">
        <v>5265511</v>
      </c>
      <c r="G2566" s="5" t="s">
        <v>423</v>
      </c>
      <c r="H2566" s="5" t="s">
        <v>30</v>
      </c>
      <c r="I2566" s="5" t="s">
        <v>22</v>
      </c>
      <c r="J2566" s="5" t="s">
        <v>34</v>
      </c>
      <c r="K2566" s="6">
        <v>0</v>
      </c>
      <c r="L2566" s="7">
        <v>0</v>
      </c>
      <c r="M2566" s="8">
        <v>1.8</v>
      </c>
      <c r="N2566" s="8">
        <v>1.8</v>
      </c>
      <c r="O2566" s="8">
        <v>5.4</v>
      </c>
      <c r="P2566" s="8">
        <v>0</v>
      </c>
      <c r="Q2566" s="8">
        <v>0</v>
      </c>
      <c r="R2566" s="8">
        <v>0</v>
      </c>
      <c r="S2566" s="8">
        <v>0</v>
      </c>
      <c r="T2566" s="5">
        <v>0</v>
      </c>
      <c r="U2566" s="5">
        <v>0</v>
      </c>
      <c r="V2566" s="5">
        <f>VLOOKUP(A2566,Planilha1!B:E,4,0)</f>
        <v>-1.4094522863012933</v>
      </c>
    </row>
    <row r="2567" spans="1:22" x14ac:dyDescent="0.3">
      <c r="A2567" t="str">
        <f t="shared" si="80"/>
        <v>SPREADSLACTALIS</v>
      </c>
      <c r="B2567" t="str">
        <f t="shared" si="81"/>
        <v>5265511SPREADSLACTALIS</v>
      </c>
      <c r="C2567" s="5" t="s">
        <v>226</v>
      </c>
      <c r="D2567" s="5" t="s">
        <v>227</v>
      </c>
      <c r="E2567" s="5" t="s">
        <v>1722</v>
      </c>
      <c r="F2567" s="5">
        <v>5265511</v>
      </c>
      <c r="G2567" s="5" t="s">
        <v>423</v>
      </c>
      <c r="H2567" s="5" t="s">
        <v>30</v>
      </c>
      <c r="I2567" s="5" t="s">
        <v>22</v>
      </c>
      <c r="J2567" s="5" t="s">
        <v>945</v>
      </c>
      <c r="K2567" s="6">
        <v>0</v>
      </c>
      <c r="L2567" s="7">
        <v>0</v>
      </c>
      <c r="M2567" s="8">
        <v>2</v>
      </c>
      <c r="N2567" s="8">
        <v>2.6666666666666665</v>
      </c>
      <c r="O2567" s="8">
        <v>1.1339971726095455</v>
      </c>
      <c r="P2567" s="8">
        <v>0</v>
      </c>
      <c r="Q2567" s="8">
        <v>0</v>
      </c>
      <c r="R2567" s="8">
        <v>0</v>
      </c>
      <c r="S2567" s="8">
        <v>0</v>
      </c>
      <c r="T2567" s="5">
        <v>0</v>
      </c>
      <c r="U2567" s="5">
        <v>0</v>
      </c>
      <c r="V2567" s="5">
        <f>VLOOKUP(A2567,Planilha1!B:E,4,0)</f>
        <v>13.599044988219518</v>
      </c>
    </row>
    <row r="2568" spans="1:22" x14ac:dyDescent="0.3">
      <c r="A2568" t="str">
        <f t="shared" si="80"/>
        <v>QUEIJOSLACTALIS</v>
      </c>
      <c r="B2568" t="str">
        <f t="shared" si="81"/>
        <v>5265511QUEIJOSLACTALIS</v>
      </c>
      <c r="C2568" s="5" t="s">
        <v>226</v>
      </c>
      <c r="D2568" s="5" t="s">
        <v>227</v>
      </c>
      <c r="E2568" s="5" t="s">
        <v>1722</v>
      </c>
      <c r="F2568" s="5">
        <v>5265511</v>
      </c>
      <c r="G2568" s="5" t="s">
        <v>423</v>
      </c>
      <c r="H2568" s="5" t="s">
        <v>30</v>
      </c>
      <c r="I2568" s="5" t="s">
        <v>22</v>
      </c>
      <c r="J2568" s="5" t="s">
        <v>63</v>
      </c>
      <c r="K2568" s="6">
        <v>0</v>
      </c>
      <c r="L2568" s="7">
        <v>0</v>
      </c>
      <c r="M2568" s="8">
        <v>5.8599999999999994</v>
      </c>
      <c r="N2568" s="8">
        <v>7.873333333333334</v>
      </c>
      <c r="O2568" s="8">
        <v>4.2795571689938123</v>
      </c>
      <c r="P2568" s="8">
        <v>0</v>
      </c>
      <c r="Q2568" s="8">
        <v>0</v>
      </c>
      <c r="R2568" s="8">
        <v>0</v>
      </c>
      <c r="S2568" s="8">
        <v>0</v>
      </c>
      <c r="T2568" s="5">
        <v>0</v>
      </c>
      <c r="U2568" s="5">
        <v>0</v>
      </c>
      <c r="V2568" s="5">
        <f>VLOOKUP(A2568,Planilha1!B:E,4,0)</f>
        <v>-1.9171310037550682</v>
      </c>
    </row>
    <row r="2569" spans="1:22" x14ac:dyDescent="0.3">
      <c r="A2569" t="str">
        <f t="shared" si="80"/>
        <v>IOGURTESLACTALIS</v>
      </c>
      <c r="B2569" t="str">
        <f t="shared" si="81"/>
        <v>5278482IOGURTESLACTALIS</v>
      </c>
      <c r="C2569" s="5" t="s">
        <v>226</v>
      </c>
      <c r="D2569" s="5" t="s">
        <v>227</v>
      </c>
      <c r="E2569" s="5" t="s">
        <v>1722</v>
      </c>
      <c r="F2569" s="5">
        <v>5278482</v>
      </c>
      <c r="G2569" s="5" t="s">
        <v>1324</v>
      </c>
      <c r="H2569" s="5" t="s">
        <v>30</v>
      </c>
      <c r="I2569" s="5" t="s">
        <v>22</v>
      </c>
      <c r="J2569" s="5" t="s">
        <v>153</v>
      </c>
      <c r="K2569" s="6">
        <v>0</v>
      </c>
      <c r="L2569" s="7">
        <v>91.800000000000011</v>
      </c>
      <c r="M2569" s="8">
        <v>95.88</v>
      </c>
      <c r="N2569" s="8">
        <v>73.44</v>
      </c>
      <c r="O2569" s="8">
        <v>95.250064020947491</v>
      </c>
      <c r="P2569" s="8">
        <v>0</v>
      </c>
      <c r="Q2569" s="8">
        <v>0</v>
      </c>
      <c r="R2569" s="8">
        <v>0</v>
      </c>
      <c r="S2569" s="8">
        <v>0</v>
      </c>
      <c r="T2569" s="5">
        <v>0</v>
      </c>
      <c r="U2569" s="5">
        <v>0</v>
      </c>
      <c r="V2569" s="5">
        <f>VLOOKUP(A2569,Planilha1!B:E,4,0)</f>
        <v>3.0503167986984403</v>
      </c>
    </row>
    <row r="2570" spans="1:22" x14ac:dyDescent="0.3">
      <c r="A2570" t="str">
        <f t="shared" si="80"/>
        <v>SPREADSLACTALIS</v>
      </c>
      <c r="B2570" t="str">
        <f t="shared" si="81"/>
        <v>5265744SPREADSLACTALIS</v>
      </c>
      <c r="C2570" s="5" t="s">
        <v>226</v>
      </c>
      <c r="D2570" s="5" t="s">
        <v>227</v>
      </c>
      <c r="E2570" s="5" t="s">
        <v>1722</v>
      </c>
      <c r="F2570" s="5">
        <v>5265744</v>
      </c>
      <c r="G2570" s="5" t="s">
        <v>1307</v>
      </c>
      <c r="H2570" s="5" t="s">
        <v>30</v>
      </c>
      <c r="I2570" s="5" t="s">
        <v>22</v>
      </c>
      <c r="J2570" s="5" t="s">
        <v>945</v>
      </c>
      <c r="K2570" s="6">
        <v>0</v>
      </c>
      <c r="L2570" s="7">
        <v>12</v>
      </c>
      <c r="M2570" s="8">
        <v>10</v>
      </c>
      <c r="N2570" s="8">
        <v>8</v>
      </c>
      <c r="O2570" s="8">
        <v>10.148989770942714</v>
      </c>
      <c r="P2570" s="8">
        <v>0</v>
      </c>
      <c r="Q2570" s="8">
        <v>6</v>
      </c>
      <c r="R2570" s="8">
        <v>0</v>
      </c>
      <c r="S2570" s="8">
        <v>0</v>
      </c>
      <c r="T2570" s="5">
        <v>0</v>
      </c>
      <c r="U2570" s="5">
        <v>0</v>
      </c>
      <c r="V2570" s="5">
        <f>VLOOKUP(A2570,Planilha1!B:E,4,0)</f>
        <v>13.599044988219518</v>
      </c>
    </row>
    <row r="2571" spans="1:22" x14ac:dyDescent="0.3">
      <c r="A2571" t="str">
        <f t="shared" si="80"/>
        <v>IOGURTESLACTALIS</v>
      </c>
      <c r="B2571" t="str">
        <f t="shared" si="81"/>
        <v>5265948IOGURTESLACTALIS</v>
      </c>
      <c r="C2571" s="5" t="s">
        <v>226</v>
      </c>
      <c r="D2571" s="5" t="s">
        <v>227</v>
      </c>
      <c r="E2571" s="5" t="s">
        <v>1722</v>
      </c>
      <c r="F2571" s="5">
        <v>5265948</v>
      </c>
      <c r="G2571" s="5" t="s">
        <v>425</v>
      </c>
      <c r="H2571" s="5" t="s">
        <v>30</v>
      </c>
      <c r="I2571" s="5" t="s">
        <v>22</v>
      </c>
      <c r="J2571" s="5" t="s">
        <v>153</v>
      </c>
      <c r="K2571" s="6">
        <v>0</v>
      </c>
      <c r="L2571" s="7">
        <v>40.799999999999997</v>
      </c>
      <c r="M2571" s="8">
        <v>78.88</v>
      </c>
      <c r="N2571" s="8">
        <v>54.4</v>
      </c>
      <c r="O2571" s="8">
        <v>80.815818602756636</v>
      </c>
      <c r="P2571" s="8">
        <v>0</v>
      </c>
      <c r="Q2571" s="8">
        <v>0</v>
      </c>
      <c r="R2571" s="8">
        <v>0</v>
      </c>
      <c r="S2571" s="8">
        <v>0</v>
      </c>
      <c r="T2571" s="5">
        <v>0</v>
      </c>
      <c r="U2571" s="5">
        <v>0</v>
      </c>
      <c r="V2571" s="5">
        <f>VLOOKUP(A2571,Planilha1!B:E,4,0)</f>
        <v>3.0503167986984403</v>
      </c>
    </row>
    <row r="2572" spans="1:22" x14ac:dyDescent="0.3">
      <c r="A2572" t="str">
        <f t="shared" si="80"/>
        <v>LEITE EM PÓLACTALIS</v>
      </c>
      <c r="B2572" t="str">
        <f t="shared" si="81"/>
        <v>5265966LEITE EM PÓLACTALIS</v>
      </c>
      <c r="C2572" s="5" t="s">
        <v>226</v>
      </c>
      <c r="D2572" s="5" t="s">
        <v>227</v>
      </c>
      <c r="E2572" s="5" t="s">
        <v>1722</v>
      </c>
      <c r="F2572" s="5">
        <v>5265966</v>
      </c>
      <c r="G2572" s="5" t="s">
        <v>426</v>
      </c>
      <c r="H2572" s="5" t="s">
        <v>30</v>
      </c>
      <c r="I2572" s="5" t="s">
        <v>22</v>
      </c>
      <c r="J2572" s="5" t="s">
        <v>84</v>
      </c>
      <c r="K2572" s="6">
        <v>0</v>
      </c>
      <c r="L2572" s="7">
        <v>18</v>
      </c>
      <c r="M2572" s="8">
        <v>3.333333333333333</v>
      </c>
      <c r="N2572" s="8">
        <v>0</v>
      </c>
      <c r="O2572" s="8">
        <v>11.322876291332497</v>
      </c>
      <c r="P2572" s="8">
        <v>0</v>
      </c>
      <c r="Q2572" s="8">
        <v>0</v>
      </c>
      <c r="R2572" s="8">
        <v>0</v>
      </c>
      <c r="S2572" s="8">
        <v>0</v>
      </c>
      <c r="T2572" s="5">
        <v>0</v>
      </c>
      <c r="U2572" s="5">
        <v>0</v>
      </c>
      <c r="V2572" s="5">
        <f>VLOOKUP(A2572,Planilha1!B:E,4,0)</f>
        <v>-2.8055507108797499</v>
      </c>
    </row>
    <row r="2573" spans="1:22" x14ac:dyDescent="0.3">
      <c r="A2573" t="str">
        <f t="shared" si="80"/>
        <v>IOGURTESLACTALIS</v>
      </c>
      <c r="B2573" t="str">
        <f t="shared" si="81"/>
        <v>5266124IOGURTESLACTALIS</v>
      </c>
      <c r="C2573" s="5" t="s">
        <v>226</v>
      </c>
      <c r="D2573" s="5" t="s">
        <v>227</v>
      </c>
      <c r="E2573" s="5" t="s">
        <v>1722</v>
      </c>
      <c r="F2573" s="5">
        <v>5266124</v>
      </c>
      <c r="G2573" s="5" t="s">
        <v>427</v>
      </c>
      <c r="H2573" s="5" t="s">
        <v>30</v>
      </c>
      <c r="I2573" s="5" t="s">
        <v>22</v>
      </c>
      <c r="J2573" s="5" t="s">
        <v>153</v>
      </c>
      <c r="K2573" s="6">
        <v>0</v>
      </c>
      <c r="L2573" s="7">
        <v>306</v>
      </c>
      <c r="M2573" s="8">
        <v>270.64</v>
      </c>
      <c r="N2573" s="8">
        <v>263.83999999999997</v>
      </c>
      <c r="O2573" s="8">
        <v>217.0493382287687</v>
      </c>
      <c r="P2573" s="8">
        <v>0</v>
      </c>
      <c r="Q2573" s="8">
        <v>61.2</v>
      </c>
      <c r="R2573" s="8">
        <v>0</v>
      </c>
      <c r="S2573" s="8">
        <v>0</v>
      </c>
      <c r="T2573" s="5">
        <v>0</v>
      </c>
      <c r="U2573" s="5">
        <v>0</v>
      </c>
      <c r="V2573" s="5">
        <f>VLOOKUP(A2573,Planilha1!B:E,4,0)</f>
        <v>3.0503167986984403</v>
      </c>
    </row>
    <row r="2574" spans="1:22" x14ac:dyDescent="0.3">
      <c r="A2574" t="str">
        <f t="shared" si="80"/>
        <v>IOGURTESLACTALIS</v>
      </c>
      <c r="B2574" t="str">
        <f t="shared" si="81"/>
        <v>5266154IOGURTESLACTALIS</v>
      </c>
      <c r="C2574" s="5" t="s">
        <v>226</v>
      </c>
      <c r="D2574" s="5" t="s">
        <v>227</v>
      </c>
      <c r="E2574" s="5" t="s">
        <v>1722</v>
      </c>
      <c r="F2574" s="5">
        <v>5266154</v>
      </c>
      <c r="G2574" s="5" t="s">
        <v>428</v>
      </c>
      <c r="H2574" s="5" t="s">
        <v>30</v>
      </c>
      <c r="I2574" s="5" t="s">
        <v>22</v>
      </c>
      <c r="J2574" s="5" t="s">
        <v>153</v>
      </c>
      <c r="K2574" s="6">
        <v>0</v>
      </c>
      <c r="L2574" s="7">
        <v>0</v>
      </c>
      <c r="M2574" s="8">
        <v>12.24</v>
      </c>
      <c r="N2574" s="8">
        <v>14.96</v>
      </c>
      <c r="O2574" s="8">
        <v>0</v>
      </c>
      <c r="P2574" s="8">
        <v>0</v>
      </c>
      <c r="Q2574" s="8">
        <v>0</v>
      </c>
      <c r="R2574" s="8">
        <v>0</v>
      </c>
      <c r="S2574" s="8">
        <v>0</v>
      </c>
      <c r="T2574" s="5">
        <v>0</v>
      </c>
      <c r="U2574" s="5">
        <v>0</v>
      </c>
      <c r="V2574" s="5">
        <f>VLOOKUP(A2574,Planilha1!B:E,4,0)</f>
        <v>3.0503167986984403</v>
      </c>
    </row>
    <row r="2575" spans="1:22" x14ac:dyDescent="0.3">
      <c r="A2575" t="str">
        <f t="shared" si="80"/>
        <v>IOGURTESLACTALIS</v>
      </c>
      <c r="B2575" t="str">
        <f t="shared" si="81"/>
        <v>5266265IOGURTESLACTALIS</v>
      </c>
      <c r="C2575" s="5" t="s">
        <v>226</v>
      </c>
      <c r="D2575" s="5" t="s">
        <v>227</v>
      </c>
      <c r="E2575" s="5" t="s">
        <v>1722</v>
      </c>
      <c r="F2575" s="5">
        <v>5266265</v>
      </c>
      <c r="G2575" s="5" t="s">
        <v>429</v>
      </c>
      <c r="H2575" s="5" t="s">
        <v>30</v>
      </c>
      <c r="I2575" s="5" t="s">
        <v>22</v>
      </c>
      <c r="J2575" s="5" t="s">
        <v>153</v>
      </c>
      <c r="K2575" s="6">
        <v>0</v>
      </c>
      <c r="L2575" s="7">
        <v>0</v>
      </c>
      <c r="M2575" s="8">
        <v>5.4399999999999995</v>
      </c>
      <c r="N2575" s="8">
        <v>2.72</v>
      </c>
      <c r="O2575" s="8">
        <v>1.1567910856268226</v>
      </c>
      <c r="P2575" s="8">
        <v>0</v>
      </c>
      <c r="Q2575" s="8">
        <v>0</v>
      </c>
      <c r="R2575" s="8">
        <v>0</v>
      </c>
      <c r="S2575" s="8">
        <v>0</v>
      </c>
      <c r="T2575" s="5">
        <v>0</v>
      </c>
      <c r="U2575" s="5">
        <v>0</v>
      </c>
      <c r="V2575" s="5">
        <f>VLOOKUP(A2575,Planilha1!B:E,4,0)</f>
        <v>3.0503167986984403</v>
      </c>
    </row>
    <row r="2576" spans="1:22" x14ac:dyDescent="0.3">
      <c r="A2576" t="str">
        <f t="shared" si="80"/>
        <v>LEITE EM PÓLACTALIS</v>
      </c>
      <c r="B2576" t="str">
        <f t="shared" si="81"/>
        <v>5266349LEITE EM PÓLACTALIS</v>
      </c>
      <c r="C2576" s="5" t="s">
        <v>226</v>
      </c>
      <c r="D2576" s="5" t="s">
        <v>227</v>
      </c>
      <c r="E2576" s="5" t="s">
        <v>1722</v>
      </c>
      <c r="F2576" s="5">
        <v>5266349</v>
      </c>
      <c r="G2576" s="5" t="s">
        <v>431</v>
      </c>
      <c r="H2576" s="5" t="s">
        <v>30</v>
      </c>
      <c r="I2576" s="5" t="s">
        <v>22</v>
      </c>
      <c r="J2576" s="5" t="s">
        <v>84</v>
      </c>
      <c r="K2576" s="6">
        <v>0</v>
      </c>
      <c r="L2576" s="7">
        <v>0</v>
      </c>
      <c r="M2576" s="8">
        <v>1.5</v>
      </c>
      <c r="N2576" s="8">
        <v>3</v>
      </c>
      <c r="O2576" s="8">
        <v>0</v>
      </c>
      <c r="P2576" s="8">
        <v>0</v>
      </c>
      <c r="Q2576" s="8">
        <v>0</v>
      </c>
      <c r="R2576" s="8">
        <v>0</v>
      </c>
      <c r="S2576" s="8">
        <v>0</v>
      </c>
      <c r="T2576" s="5">
        <v>0</v>
      </c>
      <c r="U2576" s="5">
        <v>0</v>
      </c>
      <c r="V2576" s="5">
        <f>VLOOKUP(A2576,Planilha1!B:E,4,0)</f>
        <v>-2.8055507108797499</v>
      </c>
    </row>
    <row r="2577" spans="1:22" x14ac:dyDescent="0.3">
      <c r="A2577" t="str">
        <f t="shared" si="80"/>
        <v>LEITE EM PÓLACTALIS</v>
      </c>
      <c r="B2577" t="str">
        <f t="shared" si="81"/>
        <v>5266544LEITE EM PÓLACTALIS</v>
      </c>
      <c r="C2577" s="5" t="s">
        <v>226</v>
      </c>
      <c r="D2577" s="5" t="s">
        <v>227</v>
      </c>
      <c r="E2577" s="5" t="s">
        <v>1722</v>
      </c>
      <c r="F2577" s="5">
        <v>5266544</v>
      </c>
      <c r="G2577" s="5" t="s">
        <v>434</v>
      </c>
      <c r="H2577" s="5" t="s">
        <v>30</v>
      </c>
      <c r="I2577" s="5" t="s">
        <v>22</v>
      </c>
      <c r="J2577" s="5" t="s">
        <v>84</v>
      </c>
      <c r="K2577" s="6">
        <v>0</v>
      </c>
      <c r="L2577" s="7">
        <v>0</v>
      </c>
      <c r="M2577" s="8">
        <v>3</v>
      </c>
      <c r="N2577" s="8">
        <v>3</v>
      </c>
      <c r="O2577" s="8">
        <v>2.5415213014264184</v>
      </c>
      <c r="P2577" s="8">
        <v>0</v>
      </c>
      <c r="Q2577" s="8">
        <v>0</v>
      </c>
      <c r="R2577" s="8">
        <v>0</v>
      </c>
      <c r="S2577" s="8">
        <v>0</v>
      </c>
      <c r="T2577" s="5">
        <v>0</v>
      </c>
      <c r="U2577" s="5">
        <v>0</v>
      </c>
      <c r="V2577" s="5">
        <f>VLOOKUP(A2577,Planilha1!B:E,4,0)</f>
        <v>-2.8055507108797499</v>
      </c>
    </row>
    <row r="2578" spans="1:22" x14ac:dyDescent="0.3">
      <c r="A2578" t="str">
        <f t="shared" si="80"/>
        <v>IOGURTESLACTALIS</v>
      </c>
      <c r="B2578" t="str">
        <f t="shared" si="81"/>
        <v>5266577IOGURTESLACTALIS</v>
      </c>
      <c r="C2578" s="5" t="s">
        <v>226</v>
      </c>
      <c r="D2578" s="5" t="s">
        <v>227</v>
      </c>
      <c r="E2578" s="5" t="s">
        <v>1722</v>
      </c>
      <c r="F2578" s="5">
        <v>5266577</v>
      </c>
      <c r="G2578" s="5" t="s">
        <v>428</v>
      </c>
      <c r="H2578" s="5" t="s">
        <v>30</v>
      </c>
      <c r="I2578" s="5" t="s">
        <v>22</v>
      </c>
      <c r="J2578" s="5" t="s">
        <v>153</v>
      </c>
      <c r="K2578" s="6">
        <v>0</v>
      </c>
      <c r="L2578" s="7">
        <v>0</v>
      </c>
      <c r="M2578" s="8">
        <v>10.199999999999999</v>
      </c>
      <c r="N2578" s="8">
        <v>10.88</v>
      </c>
      <c r="O2578" s="8">
        <v>0</v>
      </c>
      <c r="P2578" s="8">
        <v>0</v>
      </c>
      <c r="Q2578" s="8">
        <v>4.4800000000000004</v>
      </c>
      <c r="R2578" s="8">
        <v>0</v>
      </c>
      <c r="S2578" s="8">
        <v>0</v>
      </c>
      <c r="T2578" s="5">
        <v>0</v>
      </c>
      <c r="U2578" s="5">
        <v>0</v>
      </c>
      <c r="V2578" s="5">
        <f>VLOOKUP(A2578,Planilha1!B:E,4,0)</f>
        <v>3.0503167986984403</v>
      </c>
    </row>
    <row r="2579" spans="1:22" x14ac:dyDescent="0.3">
      <c r="A2579" t="str">
        <f t="shared" si="80"/>
        <v>SPREADSLACTALIS</v>
      </c>
      <c r="B2579" t="str">
        <f t="shared" si="81"/>
        <v>5266628SPREADSLACTALIS</v>
      </c>
      <c r="C2579" s="5" t="s">
        <v>226</v>
      </c>
      <c r="D2579" s="5" t="s">
        <v>227</v>
      </c>
      <c r="E2579" s="5" t="s">
        <v>1722</v>
      </c>
      <c r="F2579" s="5">
        <v>5266628</v>
      </c>
      <c r="G2579" s="5" t="s">
        <v>435</v>
      </c>
      <c r="H2579" s="5" t="s">
        <v>30</v>
      </c>
      <c r="I2579" s="5" t="s">
        <v>22</v>
      </c>
      <c r="J2579" s="5" t="s">
        <v>945</v>
      </c>
      <c r="K2579" s="6">
        <v>0</v>
      </c>
      <c r="L2579" s="7">
        <v>0</v>
      </c>
      <c r="M2579" s="8">
        <v>3.0666666666666664</v>
      </c>
      <c r="N2579" s="8">
        <v>3.1999999999999997</v>
      </c>
      <c r="O2579" s="8">
        <v>2.2622958669647715</v>
      </c>
      <c r="P2579" s="8">
        <v>0</v>
      </c>
      <c r="Q2579" s="8">
        <v>0</v>
      </c>
      <c r="R2579" s="8">
        <v>0</v>
      </c>
      <c r="S2579" s="8">
        <v>0</v>
      </c>
      <c r="T2579" s="5">
        <v>0</v>
      </c>
      <c r="U2579" s="5">
        <v>0</v>
      </c>
      <c r="V2579" s="5">
        <f>VLOOKUP(A2579,Planilha1!B:E,4,0)</f>
        <v>13.599044988219518</v>
      </c>
    </row>
    <row r="2580" spans="1:22" x14ac:dyDescent="0.3">
      <c r="A2580" t="str">
        <f t="shared" si="80"/>
        <v>QUEIJOSLACTALIS</v>
      </c>
      <c r="B2580" t="str">
        <f t="shared" si="81"/>
        <v>5266628QUEIJOSLACTALIS</v>
      </c>
      <c r="C2580" s="5" t="s">
        <v>226</v>
      </c>
      <c r="D2580" s="5" t="s">
        <v>227</v>
      </c>
      <c r="E2580" s="5" t="s">
        <v>1722</v>
      </c>
      <c r="F2580" s="5">
        <v>5266628</v>
      </c>
      <c r="G2580" s="5" t="s">
        <v>435</v>
      </c>
      <c r="H2580" s="5" t="s">
        <v>30</v>
      </c>
      <c r="I2580" s="5" t="s">
        <v>22</v>
      </c>
      <c r="J2580" s="5" t="s">
        <v>63</v>
      </c>
      <c r="K2580" s="6">
        <v>0</v>
      </c>
      <c r="L2580" s="7">
        <v>6</v>
      </c>
      <c r="M2580" s="8">
        <v>6</v>
      </c>
      <c r="N2580" s="8">
        <v>6</v>
      </c>
      <c r="O2580" s="8">
        <v>5.0944395593614749</v>
      </c>
      <c r="P2580" s="8">
        <v>0</v>
      </c>
      <c r="Q2580" s="8">
        <v>0</v>
      </c>
      <c r="R2580" s="8">
        <v>0</v>
      </c>
      <c r="S2580" s="8">
        <v>0</v>
      </c>
      <c r="T2580" s="5">
        <v>0</v>
      </c>
      <c r="U2580" s="5">
        <v>6</v>
      </c>
      <c r="V2580" s="5">
        <f>VLOOKUP(A2580,Planilha1!B:E,4,0)</f>
        <v>-1.9171310037550682</v>
      </c>
    </row>
    <row r="2581" spans="1:22" x14ac:dyDescent="0.3">
      <c r="A2581" t="str">
        <f t="shared" si="80"/>
        <v>IOGURTESLACTALIS</v>
      </c>
      <c r="B2581" t="str">
        <f t="shared" si="81"/>
        <v>5266756IOGURTESLACTALIS</v>
      </c>
      <c r="C2581" s="5" t="s">
        <v>226</v>
      </c>
      <c r="D2581" s="5" t="s">
        <v>227</v>
      </c>
      <c r="E2581" s="5" t="s">
        <v>1722</v>
      </c>
      <c r="F2581" s="5">
        <v>5266756</v>
      </c>
      <c r="G2581" s="5" t="s">
        <v>437</v>
      </c>
      <c r="H2581" s="5" t="s">
        <v>30</v>
      </c>
      <c r="I2581" s="5" t="s">
        <v>22</v>
      </c>
      <c r="J2581" s="5" t="s">
        <v>153</v>
      </c>
      <c r="K2581" s="6">
        <v>0</v>
      </c>
      <c r="L2581" s="7">
        <v>27</v>
      </c>
      <c r="M2581" s="8">
        <v>26.999999999999996</v>
      </c>
      <c r="N2581" s="8">
        <v>21.599999999999998</v>
      </c>
      <c r="O2581" s="8">
        <v>18.337703022399584</v>
      </c>
      <c r="P2581" s="8">
        <v>0</v>
      </c>
      <c r="Q2581" s="8">
        <v>0</v>
      </c>
      <c r="R2581" s="8">
        <v>0</v>
      </c>
      <c r="S2581" s="8">
        <v>0</v>
      </c>
      <c r="T2581" s="5">
        <v>0</v>
      </c>
      <c r="U2581" s="5">
        <v>0</v>
      </c>
      <c r="V2581" s="5">
        <f>VLOOKUP(A2581,Planilha1!B:E,4,0)</f>
        <v>3.0503167986984403</v>
      </c>
    </row>
    <row r="2582" spans="1:22" x14ac:dyDescent="0.3">
      <c r="A2582" t="str">
        <f t="shared" si="80"/>
        <v>QUEIJOSLACTALIS</v>
      </c>
      <c r="B2582" t="str">
        <f t="shared" si="81"/>
        <v>5266756QUEIJOSLACTALIS</v>
      </c>
      <c r="C2582" s="5" t="s">
        <v>226</v>
      </c>
      <c r="D2582" s="5" t="s">
        <v>227</v>
      </c>
      <c r="E2582" s="5" t="s">
        <v>1722</v>
      </c>
      <c r="F2582" s="5">
        <v>5266756</v>
      </c>
      <c r="G2582" s="5" t="s">
        <v>437</v>
      </c>
      <c r="H2582" s="5" t="s">
        <v>30</v>
      </c>
      <c r="I2582" s="5" t="s">
        <v>22</v>
      </c>
      <c r="J2582" s="5" t="s">
        <v>63</v>
      </c>
      <c r="K2582" s="6">
        <v>0</v>
      </c>
      <c r="L2582" s="7">
        <v>14.399999999999999</v>
      </c>
      <c r="M2582" s="8">
        <v>6.3999999999999995</v>
      </c>
      <c r="N2582" s="8">
        <v>6.3999999999999995</v>
      </c>
      <c r="O2582" s="8">
        <v>2.7124756490559978</v>
      </c>
      <c r="P2582" s="8">
        <v>0</v>
      </c>
      <c r="Q2582" s="8">
        <v>0</v>
      </c>
      <c r="R2582" s="8">
        <v>0</v>
      </c>
      <c r="S2582" s="8">
        <v>0</v>
      </c>
      <c r="T2582" s="5">
        <v>0</v>
      </c>
      <c r="U2582" s="5">
        <v>0</v>
      </c>
      <c r="V2582" s="5">
        <f>VLOOKUP(A2582,Planilha1!B:E,4,0)</f>
        <v>-1.9171310037550682</v>
      </c>
    </row>
    <row r="2583" spans="1:22" x14ac:dyDescent="0.3">
      <c r="A2583" t="str">
        <f t="shared" si="80"/>
        <v>IOGURTESLACTALIS</v>
      </c>
      <c r="B2583" t="str">
        <f t="shared" si="81"/>
        <v>5278610IOGURTESLACTALIS</v>
      </c>
      <c r="C2583" s="5" t="s">
        <v>226</v>
      </c>
      <c r="D2583" s="5" t="s">
        <v>227</v>
      </c>
      <c r="E2583" s="5" t="s">
        <v>1722</v>
      </c>
      <c r="F2583" s="5">
        <v>5278610</v>
      </c>
      <c r="G2583" s="5" t="s">
        <v>308</v>
      </c>
      <c r="H2583" s="5" t="s">
        <v>30</v>
      </c>
      <c r="I2583" s="5" t="s">
        <v>22</v>
      </c>
      <c r="J2583" s="5" t="s">
        <v>153</v>
      </c>
      <c r="K2583" s="6">
        <v>0</v>
      </c>
      <c r="L2583" s="7">
        <v>163.20000000000002</v>
      </c>
      <c r="M2583" s="8">
        <v>115.25999999999999</v>
      </c>
      <c r="N2583" s="8">
        <v>119.67999999999999</v>
      </c>
      <c r="O2583" s="8">
        <v>71.8692077434753</v>
      </c>
      <c r="P2583" s="8">
        <v>0</v>
      </c>
      <c r="Q2583" s="8">
        <v>24.48</v>
      </c>
      <c r="R2583" s="8">
        <v>0</v>
      </c>
      <c r="S2583" s="8">
        <v>0</v>
      </c>
      <c r="T2583" s="5">
        <v>0</v>
      </c>
      <c r="U2583" s="5">
        <v>0</v>
      </c>
      <c r="V2583" s="5">
        <f>VLOOKUP(A2583,Planilha1!B:E,4,0)</f>
        <v>3.0503167986984403</v>
      </c>
    </row>
    <row r="2584" spans="1:22" x14ac:dyDescent="0.3">
      <c r="A2584" t="str">
        <f t="shared" si="80"/>
        <v>IOGURTESLACTALIS</v>
      </c>
      <c r="B2584" t="str">
        <f t="shared" si="81"/>
        <v>5279284IOGURTESLACTALIS</v>
      </c>
      <c r="C2584" s="5" t="s">
        <v>226</v>
      </c>
      <c r="D2584" s="5" t="s">
        <v>227</v>
      </c>
      <c r="E2584" s="5" t="s">
        <v>228</v>
      </c>
      <c r="F2584" s="5">
        <v>5279284</v>
      </c>
      <c r="G2584" s="5" t="s">
        <v>1325</v>
      </c>
      <c r="H2584" s="5" t="s">
        <v>30</v>
      </c>
      <c r="I2584" s="5" t="s">
        <v>22</v>
      </c>
      <c r="J2584" s="5" t="s">
        <v>153</v>
      </c>
      <c r="K2584" s="6">
        <v>0</v>
      </c>
      <c r="L2584" s="7">
        <v>33.76</v>
      </c>
      <c r="M2584" s="8">
        <v>3.5066666666666668</v>
      </c>
      <c r="N2584" s="8">
        <v>7.0133333333333345</v>
      </c>
      <c r="O2584" s="8">
        <v>2.5016319536461831</v>
      </c>
      <c r="P2584" s="8">
        <v>0</v>
      </c>
      <c r="Q2584" s="8">
        <v>0</v>
      </c>
      <c r="R2584" s="8">
        <v>0</v>
      </c>
      <c r="S2584" s="8">
        <v>0</v>
      </c>
      <c r="T2584" s="5">
        <v>0</v>
      </c>
      <c r="U2584" s="5">
        <v>0</v>
      </c>
      <c r="V2584" s="5">
        <f>VLOOKUP(A2584,Planilha1!B:E,4,0)</f>
        <v>3.0503167986984403</v>
      </c>
    </row>
    <row r="2585" spans="1:22" x14ac:dyDescent="0.3">
      <c r="A2585" t="str">
        <f t="shared" si="80"/>
        <v>MERC + AROMLACTALIS</v>
      </c>
      <c r="B2585" t="str">
        <f t="shared" si="81"/>
        <v>5269528MERC + AROMLACTALIS</v>
      </c>
      <c r="C2585" s="5" t="s">
        <v>226</v>
      </c>
      <c r="D2585" s="5" t="s">
        <v>227</v>
      </c>
      <c r="E2585" s="5" t="s">
        <v>1722</v>
      </c>
      <c r="F2585" s="5">
        <v>5269528</v>
      </c>
      <c r="G2585" s="5" t="s">
        <v>439</v>
      </c>
      <c r="H2585" s="5" t="s">
        <v>30</v>
      </c>
      <c r="I2585" s="5" t="s">
        <v>22</v>
      </c>
      <c r="J2585" s="5" t="s">
        <v>230</v>
      </c>
      <c r="K2585" s="6">
        <v>0</v>
      </c>
      <c r="L2585" s="7">
        <v>3</v>
      </c>
      <c r="M2585" s="8">
        <v>1</v>
      </c>
      <c r="N2585" s="8">
        <v>1</v>
      </c>
      <c r="O2585" s="8">
        <v>0.84337478163925983</v>
      </c>
      <c r="P2585" s="8">
        <v>0</v>
      </c>
      <c r="Q2585" s="8">
        <v>0</v>
      </c>
      <c r="R2585" s="8">
        <v>0</v>
      </c>
      <c r="S2585" s="8">
        <v>0</v>
      </c>
      <c r="T2585" s="5">
        <v>0</v>
      </c>
      <c r="U2585" s="5">
        <v>0</v>
      </c>
      <c r="V2585" s="5">
        <f>VLOOKUP(A2585,Planilha1!B:E,4,0)</f>
        <v>0.86907188046232187</v>
      </c>
    </row>
    <row r="2586" spans="1:22" x14ac:dyDescent="0.3">
      <c r="A2586" t="str">
        <f t="shared" si="80"/>
        <v>IOGURTESLACTALIS</v>
      </c>
      <c r="B2586" t="str">
        <f t="shared" si="81"/>
        <v>5271259IOGURTESLACTALIS</v>
      </c>
      <c r="C2586" s="5" t="s">
        <v>226</v>
      </c>
      <c r="D2586" s="5" t="s">
        <v>227</v>
      </c>
      <c r="E2586" s="5" t="s">
        <v>1722</v>
      </c>
      <c r="F2586" s="5">
        <v>5271259</v>
      </c>
      <c r="G2586" s="5" t="s">
        <v>1311</v>
      </c>
      <c r="H2586" s="5" t="s">
        <v>30</v>
      </c>
      <c r="I2586" s="5" t="s">
        <v>22</v>
      </c>
      <c r="J2586" s="5" t="s">
        <v>153</v>
      </c>
      <c r="K2586" s="6">
        <v>0</v>
      </c>
      <c r="L2586" s="7">
        <v>0</v>
      </c>
      <c r="M2586" s="8">
        <v>1.5333333333333332</v>
      </c>
      <c r="N2586" s="8">
        <v>3.0666666666666664</v>
      </c>
      <c r="O2586" s="8">
        <v>0</v>
      </c>
      <c r="P2586" s="8">
        <v>0</v>
      </c>
      <c r="Q2586" s="8">
        <v>0</v>
      </c>
      <c r="R2586" s="8">
        <v>0</v>
      </c>
      <c r="S2586" s="8">
        <v>0</v>
      </c>
      <c r="T2586" s="5">
        <v>0</v>
      </c>
      <c r="U2586" s="5">
        <v>0</v>
      </c>
      <c r="V2586" s="5">
        <f>VLOOKUP(A2586,Planilha1!B:E,4,0)</f>
        <v>3.0503167986984403</v>
      </c>
    </row>
    <row r="2587" spans="1:22" x14ac:dyDescent="0.3">
      <c r="A2587" t="str">
        <f t="shared" si="80"/>
        <v>IOGURTESLACTALIS</v>
      </c>
      <c r="B2587" t="str">
        <f t="shared" si="81"/>
        <v>5283788IOGURTESLACTALIS</v>
      </c>
      <c r="C2587" s="5" t="s">
        <v>226</v>
      </c>
      <c r="D2587" s="5" t="s">
        <v>227</v>
      </c>
      <c r="E2587" s="5" t="s">
        <v>1722</v>
      </c>
      <c r="F2587" s="5">
        <v>5283788</v>
      </c>
      <c r="G2587" s="5" t="s">
        <v>667</v>
      </c>
      <c r="H2587" s="5" t="s">
        <v>30</v>
      </c>
      <c r="I2587" s="5" t="s">
        <v>22</v>
      </c>
      <c r="J2587" s="5" t="s">
        <v>153</v>
      </c>
      <c r="K2587" s="6">
        <v>0</v>
      </c>
      <c r="L2587" s="7">
        <v>22.560000000000002</v>
      </c>
      <c r="M2587" s="8">
        <v>130.96000000000006</v>
      </c>
      <c r="N2587" s="8">
        <v>91.84</v>
      </c>
      <c r="O2587" s="8">
        <v>165.51799937495909</v>
      </c>
      <c r="P2587" s="8">
        <v>0</v>
      </c>
      <c r="Q2587" s="8">
        <v>0</v>
      </c>
      <c r="R2587" s="8">
        <v>0</v>
      </c>
      <c r="S2587" s="8">
        <v>0</v>
      </c>
      <c r="T2587" s="5">
        <v>0</v>
      </c>
      <c r="U2587" s="5">
        <v>0</v>
      </c>
      <c r="V2587" s="5">
        <f>VLOOKUP(A2587,Planilha1!B:E,4,0)</f>
        <v>3.0503167986984403</v>
      </c>
    </row>
    <row r="2588" spans="1:22" x14ac:dyDescent="0.3">
      <c r="A2588" t="str">
        <f t="shared" si="80"/>
        <v>SPREADSLACTALIS</v>
      </c>
      <c r="B2588" t="str">
        <f t="shared" si="81"/>
        <v>5283788SPREADSLACTALIS</v>
      </c>
      <c r="C2588" s="5" t="s">
        <v>226</v>
      </c>
      <c r="D2588" s="5" t="s">
        <v>227</v>
      </c>
      <c r="E2588" s="5" t="s">
        <v>1722</v>
      </c>
      <c r="F2588" s="5">
        <v>5283788</v>
      </c>
      <c r="G2588" s="5" t="s">
        <v>667</v>
      </c>
      <c r="H2588" s="5" t="s">
        <v>30</v>
      </c>
      <c r="I2588" s="5" t="s">
        <v>22</v>
      </c>
      <c r="J2588" s="5" t="s">
        <v>945</v>
      </c>
      <c r="K2588" s="6">
        <v>0</v>
      </c>
      <c r="L2588" s="7">
        <v>0</v>
      </c>
      <c r="M2588" s="8">
        <v>4.8</v>
      </c>
      <c r="N2588" s="8">
        <v>3.1999999999999997</v>
      </c>
      <c r="O2588" s="8">
        <v>6.7299028183511211</v>
      </c>
      <c r="P2588" s="8">
        <v>0</v>
      </c>
      <c r="Q2588" s="8">
        <v>0</v>
      </c>
      <c r="R2588" s="8">
        <v>0</v>
      </c>
      <c r="S2588" s="8">
        <v>0</v>
      </c>
      <c r="T2588" s="5">
        <v>0</v>
      </c>
      <c r="U2588" s="5">
        <v>0</v>
      </c>
      <c r="V2588" s="5">
        <f>VLOOKUP(A2588,Planilha1!B:E,4,0)</f>
        <v>13.599044988219518</v>
      </c>
    </row>
    <row r="2589" spans="1:22" x14ac:dyDescent="0.3">
      <c r="A2589" t="str">
        <f t="shared" si="80"/>
        <v>IOGURTESLACTALIS</v>
      </c>
      <c r="B2589" t="str">
        <f t="shared" si="81"/>
        <v>5284452IOGURTESLACTALIS</v>
      </c>
      <c r="C2589" s="5" t="s">
        <v>226</v>
      </c>
      <c r="D2589" s="5" t="s">
        <v>227</v>
      </c>
      <c r="E2589" s="5" t="s">
        <v>1722</v>
      </c>
      <c r="F2589" s="5">
        <v>5284452</v>
      </c>
      <c r="G2589" s="5" t="s">
        <v>1326</v>
      </c>
      <c r="H2589" s="5" t="s">
        <v>30</v>
      </c>
      <c r="I2589" s="5" t="s">
        <v>22</v>
      </c>
      <c r="J2589" s="5" t="s">
        <v>153</v>
      </c>
      <c r="K2589" s="6">
        <v>0</v>
      </c>
      <c r="L2589" s="7">
        <v>0</v>
      </c>
      <c r="M2589" s="8">
        <v>26.066666666666666</v>
      </c>
      <c r="N2589" s="8">
        <v>52.133333333333333</v>
      </c>
      <c r="O2589" s="8">
        <v>0</v>
      </c>
      <c r="P2589" s="8">
        <v>0</v>
      </c>
      <c r="Q2589" s="8">
        <v>36.799999999999997</v>
      </c>
      <c r="R2589" s="8">
        <v>0</v>
      </c>
      <c r="S2589" s="8">
        <v>0</v>
      </c>
      <c r="T2589" s="5">
        <v>0</v>
      </c>
      <c r="U2589" s="5">
        <v>0</v>
      </c>
      <c r="V2589" s="5">
        <f>VLOOKUP(A2589,Planilha1!B:E,4,0)</f>
        <v>3.0503167986984403</v>
      </c>
    </row>
    <row r="2590" spans="1:22" x14ac:dyDescent="0.3">
      <c r="A2590" t="str">
        <f t="shared" si="80"/>
        <v>IOGURTESLACTALIS</v>
      </c>
      <c r="B2590" t="str">
        <f t="shared" si="81"/>
        <v>5285686IOGURTESLACTALIS</v>
      </c>
      <c r="C2590" s="5" t="s">
        <v>226</v>
      </c>
      <c r="D2590" s="5" t="s">
        <v>227</v>
      </c>
      <c r="E2590" s="5" t="s">
        <v>1722</v>
      </c>
      <c r="F2590" s="5">
        <v>5285686</v>
      </c>
      <c r="G2590" s="5" t="s">
        <v>1157</v>
      </c>
      <c r="H2590" s="5" t="s">
        <v>30</v>
      </c>
      <c r="I2590" s="5" t="s">
        <v>22</v>
      </c>
      <c r="J2590" s="5" t="s">
        <v>153</v>
      </c>
      <c r="K2590" s="6">
        <v>0</v>
      </c>
      <c r="L2590" s="7">
        <v>128.4</v>
      </c>
      <c r="M2590" s="8">
        <v>177.99999999999997</v>
      </c>
      <c r="N2590" s="8">
        <v>93.2</v>
      </c>
      <c r="O2590" s="8">
        <v>157.42616025382563</v>
      </c>
      <c r="P2590" s="8">
        <v>0</v>
      </c>
      <c r="Q2590" s="8">
        <v>14.4</v>
      </c>
      <c r="R2590" s="8">
        <v>0</v>
      </c>
      <c r="S2590" s="8">
        <v>0</v>
      </c>
      <c r="T2590" s="5">
        <v>0</v>
      </c>
      <c r="U2590" s="5">
        <v>0</v>
      </c>
      <c r="V2590" s="5">
        <f>VLOOKUP(A2590,Planilha1!B:E,4,0)</f>
        <v>3.0503167986984403</v>
      </c>
    </row>
    <row r="2591" spans="1:22" x14ac:dyDescent="0.3">
      <c r="A2591" t="str">
        <f t="shared" si="80"/>
        <v>IOGURTESLACTALIS</v>
      </c>
      <c r="B2591" t="str">
        <f t="shared" si="81"/>
        <v>5273892IOGURTESLACTALIS</v>
      </c>
      <c r="C2591" s="5" t="s">
        <v>226</v>
      </c>
      <c r="D2591" s="5" t="s">
        <v>227</v>
      </c>
      <c r="E2591" s="5" t="s">
        <v>1722</v>
      </c>
      <c r="F2591" s="5">
        <v>5273892</v>
      </c>
      <c r="G2591" s="5" t="s">
        <v>1084</v>
      </c>
      <c r="H2591" s="5" t="s">
        <v>30</v>
      </c>
      <c r="I2591" s="5" t="s">
        <v>22</v>
      </c>
      <c r="J2591" s="5" t="s">
        <v>153</v>
      </c>
      <c r="K2591" s="6">
        <v>0</v>
      </c>
      <c r="L2591" s="7">
        <v>28.56</v>
      </c>
      <c r="M2591" s="8">
        <v>39.693333333333335</v>
      </c>
      <c r="N2591" s="8">
        <v>19.306666666666668</v>
      </c>
      <c r="O2591" s="8">
        <v>103.69520879384872</v>
      </c>
      <c r="P2591" s="8">
        <v>0</v>
      </c>
      <c r="Q2591" s="8">
        <v>17.920000000000002</v>
      </c>
      <c r="R2591" s="8">
        <v>0</v>
      </c>
      <c r="S2591" s="8">
        <v>0</v>
      </c>
      <c r="T2591" s="5">
        <v>0</v>
      </c>
      <c r="U2591" s="5">
        <v>0</v>
      </c>
      <c r="V2591" s="5">
        <f>VLOOKUP(A2591,Planilha1!B:E,4,0)</f>
        <v>3.0503167986984403</v>
      </c>
    </row>
    <row r="2592" spans="1:22" x14ac:dyDescent="0.3">
      <c r="A2592" t="str">
        <f t="shared" si="80"/>
        <v>QUEIJOSLACTALIS</v>
      </c>
      <c r="B2592" t="str">
        <f t="shared" si="81"/>
        <v>5273958QUEIJOSLACTALIS</v>
      </c>
      <c r="C2592" s="5" t="s">
        <v>226</v>
      </c>
      <c r="D2592" s="5" t="s">
        <v>227</v>
      </c>
      <c r="E2592" s="5" t="s">
        <v>1722</v>
      </c>
      <c r="F2592" s="5">
        <v>5273958</v>
      </c>
      <c r="G2592" s="5" t="s">
        <v>305</v>
      </c>
      <c r="H2592" s="5" t="s">
        <v>30</v>
      </c>
      <c r="I2592" s="5" t="s">
        <v>22</v>
      </c>
      <c r="J2592" s="5" t="s">
        <v>63</v>
      </c>
      <c r="K2592" s="6">
        <v>0</v>
      </c>
      <c r="L2592" s="7">
        <v>0</v>
      </c>
      <c r="M2592" s="8">
        <v>2</v>
      </c>
      <c r="N2592" s="8">
        <v>4</v>
      </c>
      <c r="O2592" s="8">
        <v>0</v>
      </c>
      <c r="P2592" s="8">
        <v>0</v>
      </c>
      <c r="Q2592" s="8">
        <v>0</v>
      </c>
      <c r="R2592" s="8">
        <v>0</v>
      </c>
      <c r="S2592" s="8">
        <v>0</v>
      </c>
      <c r="T2592" s="5">
        <v>0</v>
      </c>
      <c r="U2592" s="5">
        <v>0</v>
      </c>
      <c r="V2592" s="5">
        <f>VLOOKUP(A2592,Planilha1!B:E,4,0)</f>
        <v>-1.9171310037550682</v>
      </c>
    </row>
    <row r="2593" spans="1:22" x14ac:dyDescent="0.3">
      <c r="A2593" t="str">
        <f t="shared" si="80"/>
        <v>IOGURTESLACTALIS</v>
      </c>
      <c r="B2593" t="str">
        <f t="shared" si="81"/>
        <v>5274388IOGURTESLACTALIS</v>
      </c>
      <c r="C2593" s="5" t="s">
        <v>226</v>
      </c>
      <c r="D2593" s="5" t="s">
        <v>227</v>
      </c>
      <c r="E2593" s="5" t="s">
        <v>1722</v>
      </c>
      <c r="F2593" s="5">
        <v>5274388</v>
      </c>
      <c r="G2593" s="5" t="s">
        <v>1327</v>
      </c>
      <c r="H2593" s="5" t="s">
        <v>30</v>
      </c>
      <c r="I2593" s="5" t="s">
        <v>22</v>
      </c>
      <c r="J2593" s="5" t="s">
        <v>153</v>
      </c>
      <c r="K2593" s="6">
        <v>0</v>
      </c>
      <c r="L2593" s="7">
        <v>12</v>
      </c>
      <c r="M2593" s="8">
        <v>18</v>
      </c>
      <c r="N2593" s="8">
        <v>20</v>
      </c>
      <c r="O2593" s="8">
        <v>10.148989770942714</v>
      </c>
      <c r="P2593" s="8">
        <v>0</v>
      </c>
      <c r="Q2593" s="8">
        <v>0</v>
      </c>
      <c r="R2593" s="8">
        <v>0</v>
      </c>
      <c r="S2593" s="8">
        <v>0</v>
      </c>
      <c r="T2593" s="5">
        <v>0</v>
      </c>
      <c r="U2593" s="5">
        <v>0</v>
      </c>
      <c r="V2593" s="5">
        <f>VLOOKUP(A2593,Planilha1!B:E,4,0)</f>
        <v>3.0503167986984403</v>
      </c>
    </row>
    <row r="2594" spans="1:22" x14ac:dyDescent="0.3">
      <c r="A2594" t="str">
        <f t="shared" si="80"/>
        <v>IOGURTESLACTALIS</v>
      </c>
      <c r="B2594" t="str">
        <f t="shared" si="81"/>
        <v>5286165IOGURTESLACTALIS</v>
      </c>
      <c r="C2594" s="5" t="s">
        <v>226</v>
      </c>
      <c r="D2594" s="5" t="s">
        <v>227</v>
      </c>
      <c r="E2594" s="5" t="s">
        <v>1722</v>
      </c>
      <c r="F2594" s="5">
        <v>5286165</v>
      </c>
      <c r="G2594" s="5" t="s">
        <v>318</v>
      </c>
      <c r="H2594" s="5" t="s">
        <v>30</v>
      </c>
      <c r="I2594" s="5" t="s">
        <v>22</v>
      </c>
      <c r="J2594" s="5" t="s">
        <v>153</v>
      </c>
      <c r="K2594" s="6">
        <v>0</v>
      </c>
      <c r="L2594" s="7">
        <v>350.87999999999994</v>
      </c>
      <c r="M2594" s="8">
        <v>360.40000000000003</v>
      </c>
      <c r="N2594" s="8">
        <v>311.44</v>
      </c>
      <c r="O2594" s="8">
        <v>356.01242893859978</v>
      </c>
      <c r="P2594" s="8">
        <v>0</v>
      </c>
      <c r="Q2594" s="8">
        <v>40.32</v>
      </c>
      <c r="R2594" s="8">
        <v>0</v>
      </c>
      <c r="S2594" s="8">
        <v>0</v>
      </c>
      <c r="T2594" s="5">
        <v>0</v>
      </c>
      <c r="U2594" s="5">
        <v>0</v>
      </c>
      <c r="V2594" s="5">
        <f>VLOOKUP(A2594,Planilha1!B:E,4,0)</f>
        <v>3.0503167986984403</v>
      </c>
    </row>
    <row r="2595" spans="1:22" x14ac:dyDescent="0.3">
      <c r="A2595" t="str">
        <f t="shared" si="80"/>
        <v>QUEIJOSLACTALIS</v>
      </c>
      <c r="B2595" t="str">
        <f t="shared" si="81"/>
        <v>5286570QUEIJOSLACTALIS</v>
      </c>
      <c r="C2595" s="5" t="s">
        <v>226</v>
      </c>
      <c r="D2595" s="5" t="s">
        <v>227</v>
      </c>
      <c r="E2595" s="5" t="s">
        <v>1722</v>
      </c>
      <c r="F2595" s="5">
        <v>5286570</v>
      </c>
      <c r="G2595" s="5" t="s">
        <v>1328</v>
      </c>
      <c r="H2595" s="5" t="s">
        <v>30</v>
      </c>
      <c r="I2595" s="5" t="s">
        <v>22</v>
      </c>
      <c r="J2595" s="5" t="s">
        <v>63</v>
      </c>
      <c r="K2595" s="6">
        <v>0</v>
      </c>
      <c r="L2595" s="7">
        <v>4.8</v>
      </c>
      <c r="M2595" s="8">
        <v>6.6419999999999995</v>
      </c>
      <c r="N2595" s="8">
        <v>5.6</v>
      </c>
      <c r="O2595" s="8">
        <v>6.9008571659806996</v>
      </c>
      <c r="P2595" s="8">
        <v>0</v>
      </c>
      <c r="Q2595" s="8">
        <v>0</v>
      </c>
      <c r="R2595" s="8">
        <v>0</v>
      </c>
      <c r="S2595" s="8">
        <v>0</v>
      </c>
      <c r="T2595" s="5">
        <v>0</v>
      </c>
      <c r="U2595" s="5">
        <v>0</v>
      </c>
      <c r="V2595" s="5">
        <f>VLOOKUP(A2595,Planilha1!B:E,4,0)</f>
        <v>-1.9171310037550682</v>
      </c>
    </row>
    <row r="2596" spans="1:22" x14ac:dyDescent="0.3">
      <c r="A2596" t="str">
        <f t="shared" si="80"/>
        <v>PARMESÃOLACTALIS</v>
      </c>
      <c r="B2596" t="str">
        <f t="shared" si="81"/>
        <v>5278430PARMESÃOLACTALIS</v>
      </c>
      <c r="C2596" s="5" t="s">
        <v>226</v>
      </c>
      <c r="D2596" s="5" t="s">
        <v>227</v>
      </c>
      <c r="E2596" s="5" t="s">
        <v>1722</v>
      </c>
      <c r="F2596" s="5">
        <v>5278430</v>
      </c>
      <c r="G2596" s="5" t="s">
        <v>444</v>
      </c>
      <c r="H2596" s="5" t="s">
        <v>30</v>
      </c>
      <c r="I2596" s="5" t="s">
        <v>22</v>
      </c>
      <c r="J2596" s="5" t="s">
        <v>195</v>
      </c>
      <c r="K2596" s="6">
        <v>0</v>
      </c>
      <c r="L2596" s="7">
        <v>0</v>
      </c>
      <c r="M2596" s="8">
        <v>31.887499999999996</v>
      </c>
      <c r="N2596" s="8">
        <v>49.466666666666669</v>
      </c>
      <c r="O2596" s="8">
        <v>0</v>
      </c>
      <c r="P2596" s="8">
        <v>0</v>
      </c>
      <c r="Q2596" s="8">
        <v>0</v>
      </c>
      <c r="R2596" s="8">
        <v>0</v>
      </c>
      <c r="S2596" s="8">
        <v>0</v>
      </c>
      <c r="T2596" s="5">
        <v>0</v>
      </c>
      <c r="U2596" s="5">
        <v>0</v>
      </c>
      <c r="V2596" s="5">
        <f>VLOOKUP(A2596,Planilha1!B:E,4,0)</f>
        <v>6.310326960724681</v>
      </c>
    </row>
    <row r="2597" spans="1:22" x14ac:dyDescent="0.3">
      <c r="A2597" t="str">
        <f t="shared" si="80"/>
        <v>QUEIJOSLACTALIS</v>
      </c>
      <c r="B2597" t="str">
        <f t="shared" si="81"/>
        <v>5278430QUEIJOSLACTALIS</v>
      </c>
      <c r="C2597" s="5" t="s">
        <v>226</v>
      </c>
      <c r="D2597" s="5" t="s">
        <v>227</v>
      </c>
      <c r="E2597" s="5" t="s">
        <v>1722</v>
      </c>
      <c r="F2597" s="5">
        <v>5278430</v>
      </c>
      <c r="G2597" s="5" t="s">
        <v>444</v>
      </c>
      <c r="H2597" s="5" t="s">
        <v>30</v>
      </c>
      <c r="I2597" s="5" t="s">
        <v>22</v>
      </c>
      <c r="J2597" s="5" t="s">
        <v>63</v>
      </c>
      <c r="K2597" s="6">
        <v>0</v>
      </c>
      <c r="L2597" s="7">
        <v>152.97</v>
      </c>
      <c r="M2597" s="8">
        <v>200.54566666666665</v>
      </c>
      <c r="N2597" s="8">
        <v>163.95833333333334</v>
      </c>
      <c r="O2597" s="8">
        <v>73.185556220223077</v>
      </c>
      <c r="P2597" s="8">
        <v>0</v>
      </c>
      <c r="Q2597" s="8">
        <v>0</v>
      </c>
      <c r="R2597" s="8">
        <v>0</v>
      </c>
      <c r="S2597" s="8">
        <v>0</v>
      </c>
      <c r="T2597" s="5">
        <v>0</v>
      </c>
      <c r="U2597" s="5">
        <v>0</v>
      </c>
      <c r="V2597" s="5">
        <f>VLOOKUP(A2597,Planilha1!B:E,4,0)</f>
        <v>-1.9171310037550682</v>
      </c>
    </row>
    <row r="2598" spans="1:22" x14ac:dyDescent="0.3">
      <c r="A2598" t="str">
        <f t="shared" si="80"/>
        <v>IOGURTESLACTALIS</v>
      </c>
      <c r="B2598" t="str">
        <f t="shared" si="81"/>
        <v>5278455IOGURTESLACTALIS</v>
      </c>
      <c r="C2598" s="5" t="s">
        <v>226</v>
      </c>
      <c r="D2598" s="5" t="s">
        <v>227</v>
      </c>
      <c r="E2598" s="5" t="s">
        <v>1722</v>
      </c>
      <c r="F2598" s="5">
        <v>5278455</v>
      </c>
      <c r="G2598" s="5" t="s">
        <v>445</v>
      </c>
      <c r="H2598" s="5" t="s">
        <v>30</v>
      </c>
      <c r="I2598" s="5" t="s">
        <v>22</v>
      </c>
      <c r="J2598" s="5" t="s">
        <v>153</v>
      </c>
      <c r="K2598" s="6">
        <v>0</v>
      </c>
      <c r="L2598" s="7">
        <v>0</v>
      </c>
      <c r="M2598" s="8">
        <v>3.4000000000000004</v>
      </c>
      <c r="N2598" s="8">
        <v>1.36</v>
      </c>
      <c r="O2598" s="8">
        <v>4.9177867334775769</v>
      </c>
      <c r="P2598" s="8">
        <v>0</v>
      </c>
      <c r="Q2598" s="8">
        <v>0</v>
      </c>
      <c r="R2598" s="8">
        <v>0</v>
      </c>
      <c r="S2598" s="8">
        <v>0</v>
      </c>
      <c r="T2598" s="5">
        <v>0</v>
      </c>
      <c r="U2598" s="5">
        <v>0</v>
      </c>
      <c r="V2598" s="5">
        <f>VLOOKUP(A2598,Planilha1!B:E,4,0)</f>
        <v>3.0503167986984403</v>
      </c>
    </row>
    <row r="2599" spans="1:22" x14ac:dyDescent="0.3">
      <c r="A2599" t="str">
        <f t="shared" si="80"/>
        <v>QUEIJOSLACTALIS</v>
      </c>
      <c r="B2599" t="str">
        <f t="shared" si="81"/>
        <v>5278455QUEIJOSLACTALIS</v>
      </c>
      <c r="C2599" s="5" t="s">
        <v>226</v>
      </c>
      <c r="D2599" s="5" t="s">
        <v>227</v>
      </c>
      <c r="E2599" s="5" t="s">
        <v>1722</v>
      </c>
      <c r="F2599" s="5">
        <v>5278455</v>
      </c>
      <c r="G2599" s="5" t="s">
        <v>445</v>
      </c>
      <c r="H2599" s="5" t="s">
        <v>30</v>
      </c>
      <c r="I2599" s="5" t="s">
        <v>22</v>
      </c>
      <c r="J2599" s="5" t="s">
        <v>63</v>
      </c>
      <c r="K2599" s="6">
        <v>0</v>
      </c>
      <c r="L2599" s="7">
        <v>0</v>
      </c>
      <c r="M2599" s="8">
        <v>13.723333333333333</v>
      </c>
      <c r="N2599" s="8">
        <v>19.503333333333334</v>
      </c>
      <c r="O2599" s="8">
        <v>0</v>
      </c>
      <c r="P2599" s="8">
        <v>0</v>
      </c>
      <c r="Q2599" s="8">
        <v>0</v>
      </c>
      <c r="R2599" s="8">
        <v>0</v>
      </c>
      <c r="S2599" s="8">
        <v>0</v>
      </c>
      <c r="T2599" s="5">
        <v>0</v>
      </c>
      <c r="U2599" s="5">
        <v>24</v>
      </c>
      <c r="V2599" s="5">
        <f>VLOOKUP(A2599,Planilha1!B:E,4,0)</f>
        <v>-1.9171310037550682</v>
      </c>
    </row>
    <row r="2600" spans="1:22" x14ac:dyDescent="0.3">
      <c r="A2600" t="str">
        <f t="shared" si="80"/>
        <v>SPREADSLACTALIS</v>
      </c>
      <c r="B2600" t="str">
        <f t="shared" si="81"/>
        <v>5278455SPREADSLACTALIS</v>
      </c>
      <c r="C2600" s="5" t="s">
        <v>226</v>
      </c>
      <c r="D2600" s="5" t="s">
        <v>227</v>
      </c>
      <c r="E2600" s="5" t="s">
        <v>1722</v>
      </c>
      <c r="F2600" s="5">
        <v>5278455</v>
      </c>
      <c r="G2600" s="5" t="s">
        <v>445</v>
      </c>
      <c r="H2600" s="5" t="s">
        <v>30</v>
      </c>
      <c r="I2600" s="5" t="s">
        <v>22</v>
      </c>
      <c r="J2600" s="5" t="s">
        <v>945</v>
      </c>
      <c r="K2600" s="6">
        <v>0</v>
      </c>
      <c r="L2600" s="7">
        <v>6</v>
      </c>
      <c r="M2600" s="8">
        <v>1.5999999999999999</v>
      </c>
      <c r="N2600" s="8">
        <v>1.5999999999999999</v>
      </c>
      <c r="O2600" s="8">
        <v>1.3562378245279989</v>
      </c>
      <c r="P2600" s="8">
        <v>0</v>
      </c>
      <c r="Q2600" s="8">
        <v>0</v>
      </c>
      <c r="R2600" s="8">
        <v>0</v>
      </c>
      <c r="S2600" s="8">
        <v>0</v>
      </c>
      <c r="T2600" s="5">
        <v>0</v>
      </c>
      <c r="U2600" s="5">
        <v>0</v>
      </c>
      <c r="V2600" s="5">
        <f>VLOOKUP(A2600,Planilha1!B:E,4,0)</f>
        <v>13.599044988219518</v>
      </c>
    </row>
    <row r="2601" spans="1:22" x14ac:dyDescent="0.3">
      <c r="A2601" t="str">
        <f t="shared" si="80"/>
        <v>IOGURTESLACTALIS</v>
      </c>
      <c r="B2601" t="str">
        <f t="shared" si="81"/>
        <v>5278611IOGURTESLACTALIS</v>
      </c>
      <c r="C2601" s="5" t="s">
        <v>226</v>
      </c>
      <c r="D2601" s="5" t="s">
        <v>227</v>
      </c>
      <c r="E2601" s="5" t="s">
        <v>1722</v>
      </c>
      <c r="F2601" s="5">
        <v>5278611</v>
      </c>
      <c r="G2601" s="5" t="s">
        <v>447</v>
      </c>
      <c r="H2601" s="5" t="s">
        <v>30</v>
      </c>
      <c r="I2601" s="5" t="s">
        <v>22</v>
      </c>
      <c r="J2601" s="5" t="s">
        <v>153</v>
      </c>
      <c r="K2601" s="6">
        <v>0</v>
      </c>
      <c r="L2601" s="7">
        <v>0</v>
      </c>
      <c r="M2601" s="8">
        <v>116.28</v>
      </c>
      <c r="N2601" s="8">
        <v>106.08</v>
      </c>
      <c r="O2601" s="8">
        <v>81.397063384697219</v>
      </c>
      <c r="P2601" s="8">
        <v>0</v>
      </c>
      <c r="Q2601" s="8">
        <v>61.2</v>
      </c>
      <c r="R2601" s="8">
        <v>0</v>
      </c>
      <c r="S2601" s="8">
        <v>0</v>
      </c>
      <c r="T2601" s="5">
        <v>0</v>
      </c>
      <c r="U2601" s="5">
        <v>0</v>
      </c>
      <c r="V2601" s="5">
        <f>VLOOKUP(A2601,Planilha1!B:E,4,0)</f>
        <v>3.0503167986984403</v>
      </c>
    </row>
    <row r="2602" spans="1:22" x14ac:dyDescent="0.3">
      <c r="A2602" t="str">
        <f t="shared" si="80"/>
        <v>LEITE EM PÓLACTALIS</v>
      </c>
      <c r="B2602" t="str">
        <f t="shared" si="81"/>
        <v>5278611LEITE EM PÓLACTALIS</v>
      </c>
      <c r="C2602" s="5" t="s">
        <v>226</v>
      </c>
      <c r="D2602" s="5" t="s">
        <v>227</v>
      </c>
      <c r="E2602" s="5" t="s">
        <v>1722</v>
      </c>
      <c r="F2602" s="5">
        <v>5278611</v>
      </c>
      <c r="G2602" s="5" t="s">
        <v>447</v>
      </c>
      <c r="H2602" s="5" t="s">
        <v>30</v>
      </c>
      <c r="I2602" s="5" t="s">
        <v>22</v>
      </c>
      <c r="J2602" s="5" t="s">
        <v>84</v>
      </c>
      <c r="K2602" s="6">
        <v>0</v>
      </c>
      <c r="L2602" s="7">
        <v>0</v>
      </c>
      <c r="M2602" s="8">
        <v>33.166666666666671</v>
      </c>
      <c r="N2602" s="8">
        <v>33.333333333333336</v>
      </c>
      <c r="O2602" s="8">
        <v>39.615820824027935</v>
      </c>
      <c r="P2602" s="8">
        <v>0</v>
      </c>
      <c r="Q2602" s="8">
        <v>30</v>
      </c>
      <c r="R2602" s="8">
        <v>0</v>
      </c>
      <c r="S2602" s="8">
        <v>0</v>
      </c>
      <c r="T2602" s="5">
        <v>0</v>
      </c>
      <c r="U2602" s="5">
        <v>0</v>
      </c>
      <c r="V2602" s="5">
        <f>VLOOKUP(A2602,Planilha1!B:E,4,0)</f>
        <v>-2.8055507108797499</v>
      </c>
    </row>
    <row r="2603" spans="1:22" x14ac:dyDescent="0.3">
      <c r="A2603" t="str">
        <f t="shared" si="80"/>
        <v>LEITE EM PÓLACTALIS</v>
      </c>
      <c r="B2603" t="str">
        <f t="shared" si="81"/>
        <v>5279013LEITE EM PÓLACTALIS</v>
      </c>
      <c r="C2603" s="5" t="s">
        <v>226</v>
      </c>
      <c r="D2603" s="5" t="s">
        <v>227</v>
      </c>
      <c r="E2603" s="5" t="s">
        <v>1722</v>
      </c>
      <c r="F2603" s="5">
        <v>5279013</v>
      </c>
      <c r="G2603" s="5" t="s">
        <v>1329</v>
      </c>
      <c r="H2603" s="5" t="s">
        <v>30</v>
      </c>
      <c r="I2603" s="5" t="s">
        <v>22</v>
      </c>
      <c r="J2603" s="5" t="s">
        <v>84</v>
      </c>
      <c r="K2603" s="6">
        <v>0</v>
      </c>
      <c r="L2603" s="7">
        <v>0</v>
      </c>
      <c r="M2603" s="8">
        <v>15.000000000000002</v>
      </c>
      <c r="N2603" s="8">
        <v>13.333333333333334</v>
      </c>
      <c r="O2603" s="8">
        <v>8.4907325989357929</v>
      </c>
      <c r="P2603" s="8">
        <v>0</v>
      </c>
      <c r="Q2603" s="8">
        <v>0</v>
      </c>
      <c r="R2603" s="8">
        <v>0</v>
      </c>
      <c r="S2603" s="8">
        <v>0</v>
      </c>
      <c r="T2603" s="5">
        <v>0</v>
      </c>
      <c r="U2603" s="5">
        <v>0</v>
      </c>
      <c r="V2603" s="5">
        <f>VLOOKUP(A2603,Planilha1!B:E,4,0)</f>
        <v>-2.8055507108797499</v>
      </c>
    </row>
    <row r="2604" spans="1:22" x14ac:dyDescent="0.3">
      <c r="A2604" t="str">
        <f t="shared" si="80"/>
        <v>IOGURTESLACTALIS</v>
      </c>
      <c r="B2604" t="str">
        <f t="shared" si="81"/>
        <v>5294345IOGURTESLACTALIS</v>
      </c>
      <c r="C2604" s="5" t="s">
        <v>226</v>
      </c>
      <c r="D2604" s="5" t="s">
        <v>227</v>
      </c>
      <c r="E2604" s="5" t="s">
        <v>1722</v>
      </c>
      <c r="F2604" s="5">
        <v>5294345</v>
      </c>
      <c r="G2604" s="5" t="s">
        <v>329</v>
      </c>
      <c r="H2604" s="5" t="s">
        <v>30</v>
      </c>
      <c r="I2604" s="5" t="s">
        <v>22</v>
      </c>
      <c r="J2604" s="5" t="s">
        <v>153</v>
      </c>
      <c r="K2604" s="6">
        <v>0</v>
      </c>
      <c r="L2604" s="7">
        <v>27.599999999999994</v>
      </c>
      <c r="M2604" s="8">
        <v>8.293333333333333</v>
      </c>
      <c r="N2604" s="8">
        <v>6.48</v>
      </c>
      <c r="O2604" s="8">
        <v>6.7071089053338442</v>
      </c>
      <c r="P2604" s="8">
        <v>0</v>
      </c>
      <c r="Q2604" s="8">
        <v>0</v>
      </c>
      <c r="R2604" s="8">
        <v>0</v>
      </c>
      <c r="S2604" s="8">
        <v>0</v>
      </c>
      <c r="T2604" s="5">
        <v>0</v>
      </c>
      <c r="U2604" s="5">
        <v>0</v>
      </c>
      <c r="V2604" s="5">
        <f>VLOOKUP(A2604,Planilha1!B:E,4,0)</f>
        <v>3.0503167986984403</v>
      </c>
    </row>
    <row r="2605" spans="1:22" x14ac:dyDescent="0.3">
      <c r="A2605" t="str">
        <f t="shared" si="80"/>
        <v>MERC + AROMLACTALIS</v>
      </c>
      <c r="B2605" t="str">
        <f t="shared" si="81"/>
        <v>5279284MERC + AROMLACTALIS</v>
      </c>
      <c r="C2605" s="5" t="s">
        <v>226</v>
      </c>
      <c r="D2605" s="5" t="s">
        <v>227</v>
      </c>
      <c r="E2605" s="5" t="s">
        <v>228</v>
      </c>
      <c r="F2605" s="5">
        <v>5279284</v>
      </c>
      <c r="G2605" s="5" t="s">
        <v>1325</v>
      </c>
      <c r="H2605" s="5" t="s">
        <v>30</v>
      </c>
      <c r="I2605" s="5" t="s">
        <v>22</v>
      </c>
      <c r="J2605" s="5" t="s">
        <v>230</v>
      </c>
      <c r="K2605" s="6">
        <v>0</v>
      </c>
      <c r="L2605" s="7">
        <v>9</v>
      </c>
      <c r="M2605" s="8">
        <v>0.75</v>
      </c>
      <c r="N2605" s="8">
        <v>1.5</v>
      </c>
      <c r="O2605" s="8">
        <v>0</v>
      </c>
      <c r="P2605" s="8">
        <v>0</v>
      </c>
      <c r="Q2605" s="8">
        <v>0</v>
      </c>
      <c r="R2605" s="8">
        <v>0</v>
      </c>
      <c r="S2605" s="8">
        <v>0</v>
      </c>
      <c r="T2605" s="5">
        <v>0</v>
      </c>
      <c r="U2605" s="5">
        <v>0</v>
      </c>
      <c r="V2605" s="5">
        <f>VLOOKUP(A2605,Planilha1!B:E,4,0)</f>
        <v>0.86907188046232187</v>
      </c>
    </row>
    <row r="2606" spans="1:22" x14ac:dyDescent="0.3">
      <c r="A2606" t="str">
        <f t="shared" si="80"/>
        <v>IOGURTESLACTALIS</v>
      </c>
      <c r="B2606" t="str">
        <f t="shared" si="81"/>
        <v>5279316IOGURTESLACTALIS</v>
      </c>
      <c r="C2606" s="5" t="s">
        <v>226</v>
      </c>
      <c r="D2606" s="5" t="s">
        <v>227</v>
      </c>
      <c r="E2606" s="5" t="s">
        <v>1722</v>
      </c>
      <c r="F2606" s="5">
        <v>5279316</v>
      </c>
      <c r="G2606" s="5" t="s">
        <v>449</v>
      </c>
      <c r="H2606" s="5" t="s">
        <v>30</v>
      </c>
      <c r="I2606" s="5" t="s">
        <v>22</v>
      </c>
      <c r="J2606" s="5" t="s">
        <v>153</v>
      </c>
      <c r="K2606" s="6">
        <v>0</v>
      </c>
      <c r="L2606" s="7">
        <v>0</v>
      </c>
      <c r="M2606" s="8">
        <v>21.880000000000003</v>
      </c>
      <c r="N2606" s="8">
        <v>28.64</v>
      </c>
      <c r="O2606" s="8">
        <v>13.989764114353939</v>
      </c>
      <c r="P2606" s="8">
        <v>0</v>
      </c>
      <c r="Q2606" s="8">
        <v>-1.7600000000000007</v>
      </c>
      <c r="R2606" s="8">
        <v>0</v>
      </c>
      <c r="S2606" s="8">
        <v>0</v>
      </c>
      <c r="T2606" s="5">
        <v>0</v>
      </c>
      <c r="U2606" s="5">
        <v>0</v>
      </c>
      <c r="V2606" s="5">
        <f>VLOOKUP(A2606,Planilha1!B:E,4,0)</f>
        <v>3.0503167986984403</v>
      </c>
    </row>
    <row r="2607" spans="1:22" x14ac:dyDescent="0.3">
      <c r="A2607" t="str">
        <f t="shared" si="80"/>
        <v>CREME UHTLACTALIS</v>
      </c>
      <c r="B2607" t="str">
        <f t="shared" si="81"/>
        <v>5279849CREME UHTLACTALIS</v>
      </c>
      <c r="C2607" s="5" t="s">
        <v>226</v>
      </c>
      <c r="D2607" s="5" t="s">
        <v>227</v>
      </c>
      <c r="E2607" s="5" t="s">
        <v>1722</v>
      </c>
      <c r="F2607" s="5">
        <v>5279849</v>
      </c>
      <c r="G2607" s="5" t="s">
        <v>450</v>
      </c>
      <c r="H2607" s="5" t="s">
        <v>30</v>
      </c>
      <c r="I2607" s="5" t="s">
        <v>22</v>
      </c>
      <c r="J2607" s="5" t="s">
        <v>34</v>
      </c>
      <c r="K2607" s="6">
        <v>0</v>
      </c>
      <c r="L2607" s="7">
        <v>0</v>
      </c>
      <c r="M2607" s="8">
        <v>15.3</v>
      </c>
      <c r="N2607" s="8">
        <v>12.6</v>
      </c>
      <c r="O2607" s="8">
        <v>21.6</v>
      </c>
      <c r="P2607" s="8">
        <v>0</v>
      </c>
      <c r="Q2607" s="8">
        <v>0</v>
      </c>
      <c r="R2607" s="8">
        <v>0</v>
      </c>
      <c r="S2607" s="8">
        <v>16</v>
      </c>
      <c r="T2607" s="5">
        <v>16</v>
      </c>
      <c r="U2607" s="5">
        <v>22</v>
      </c>
      <c r="V2607" s="5">
        <f>VLOOKUP(A2607,Planilha1!B:E,4,0)</f>
        <v>-1.4094522863012933</v>
      </c>
    </row>
    <row r="2608" spans="1:22" x14ac:dyDescent="0.3">
      <c r="A2608" t="str">
        <f t="shared" si="80"/>
        <v>QUEIJOSLACTALIS</v>
      </c>
      <c r="B2608" t="str">
        <f t="shared" si="81"/>
        <v>5279849QUEIJOSLACTALIS</v>
      </c>
      <c r="C2608" s="5" t="s">
        <v>226</v>
      </c>
      <c r="D2608" s="5" t="s">
        <v>227</v>
      </c>
      <c r="E2608" s="5" t="s">
        <v>1722</v>
      </c>
      <c r="F2608" s="5">
        <v>5279849</v>
      </c>
      <c r="G2608" s="5" t="s">
        <v>450</v>
      </c>
      <c r="H2608" s="5" t="s">
        <v>30</v>
      </c>
      <c r="I2608" s="5" t="s">
        <v>22</v>
      </c>
      <c r="J2608" s="5" t="s">
        <v>63</v>
      </c>
      <c r="K2608" s="6">
        <v>0</v>
      </c>
      <c r="L2608" s="7">
        <v>0</v>
      </c>
      <c r="M2608" s="8">
        <v>9.8383333333333329</v>
      </c>
      <c r="N2608" s="8">
        <v>11.69</v>
      </c>
      <c r="O2608" s="8">
        <v>0</v>
      </c>
      <c r="P2608" s="8">
        <v>0</v>
      </c>
      <c r="Q2608" s="8">
        <v>0</v>
      </c>
      <c r="R2608" s="8">
        <v>0</v>
      </c>
      <c r="S2608" s="8">
        <v>0</v>
      </c>
      <c r="T2608" s="5">
        <v>0</v>
      </c>
      <c r="U2608" s="5">
        <v>0</v>
      </c>
      <c r="V2608" s="5">
        <f>VLOOKUP(A2608,Planilha1!B:E,4,0)</f>
        <v>-1.9171310037550682</v>
      </c>
    </row>
    <row r="2609" spans="1:22" x14ac:dyDescent="0.3">
      <c r="A2609" t="str">
        <f t="shared" si="80"/>
        <v>LEITE UHTLACTALIS</v>
      </c>
      <c r="B2609" t="str">
        <f t="shared" si="81"/>
        <v>5280087LEITE UHTLACTALIS</v>
      </c>
      <c r="C2609" s="5" t="s">
        <v>226</v>
      </c>
      <c r="D2609" s="5" t="s">
        <v>227</v>
      </c>
      <c r="E2609" s="5" t="s">
        <v>1722</v>
      </c>
      <c r="F2609" s="5">
        <v>5280087</v>
      </c>
      <c r="G2609" s="5" t="s">
        <v>1330</v>
      </c>
      <c r="H2609" s="5" t="s">
        <v>30</v>
      </c>
      <c r="I2609" s="5" t="s">
        <v>22</v>
      </c>
      <c r="J2609" s="5" t="s">
        <v>156</v>
      </c>
      <c r="K2609" s="6">
        <v>0</v>
      </c>
      <c r="L2609" s="7">
        <v>0</v>
      </c>
      <c r="M2609" s="8">
        <v>64</v>
      </c>
      <c r="N2609" s="8">
        <v>80</v>
      </c>
      <c r="O2609" s="8">
        <v>0</v>
      </c>
      <c r="P2609" s="8">
        <v>0</v>
      </c>
      <c r="Q2609" s="8">
        <v>0</v>
      </c>
      <c r="R2609" s="8">
        <v>0</v>
      </c>
      <c r="S2609" s="8">
        <v>0</v>
      </c>
      <c r="T2609" s="5">
        <v>0</v>
      </c>
      <c r="U2609" s="5">
        <v>0</v>
      </c>
      <c r="V2609" s="5">
        <f>VLOOKUP(A2609,Planilha1!B:E,4,0)</f>
        <v>0.37177548115779385</v>
      </c>
    </row>
    <row r="2610" spans="1:22" x14ac:dyDescent="0.3">
      <c r="A2610" t="str">
        <f t="shared" si="80"/>
        <v>LEITE UHTLACTALIS</v>
      </c>
      <c r="B2610" t="str">
        <f t="shared" si="81"/>
        <v>5280659LEITE UHTLACTALIS</v>
      </c>
      <c r="C2610" s="5" t="s">
        <v>226</v>
      </c>
      <c r="D2610" s="5" t="s">
        <v>227</v>
      </c>
      <c r="E2610" s="5" t="s">
        <v>1722</v>
      </c>
      <c r="F2610" s="5">
        <v>5280659</v>
      </c>
      <c r="G2610" s="5" t="s">
        <v>1331</v>
      </c>
      <c r="H2610" s="5" t="s">
        <v>30</v>
      </c>
      <c r="I2610" s="5" t="s">
        <v>22</v>
      </c>
      <c r="J2610" s="5" t="s">
        <v>156</v>
      </c>
      <c r="K2610" s="6">
        <v>0</v>
      </c>
      <c r="L2610" s="7">
        <v>0</v>
      </c>
      <c r="M2610" s="8">
        <v>6</v>
      </c>
      <c r="N2610" s="8">
        <v>12</v>
      </c>
      <c r="O2610" s="8">
        <v>0</v>
      </c>
      <c r="P2610" s="8">
        <v>0</v>
      </c>
      <c r="Q2610" s="8">
        <v>0</v>
      </c>
      <c r="R2610" s="8">
        <v>0</v>
      </c>
      <c r="S2610" s="8">
        <v>0</v>
      </c>
      <c r="T2610" s="5">
        <v>0</v>
      </c>
      <c r="U2610" s="5">
        <v>0</v>
      </c>
      <c r="V2610" s="5">
        <f>VLOOKUP(A2610,Planilha1!B:E,4,0)</f>
        <v>0.37177548115779385</v>
      </c>
    </row>
    <row r="2611" spans="1:22" x14ac:dyDescent="0.3">
      <c r="A2611" t="str">
        <f t="shared" si="80"/>
        <v>IOGURTESLACTALIS</v>
      </c>
      <c r="B2611" t="str">
        <f t="shared" si="81"/>
        <v>5280659IOGURTESLACTALIS</v>
      </c>
      <c r="C2611" s="5" t="s">
        <v>226</v>
      </c>
      <c r="D2611" s="5" t="s">
        <v>227</v>
      </c>
      <c r="E2611" s="5" t="s">
        <v>1722</v>
      </c>
      <c r="F2611" s="5">
        <v>5280659</v>
      </c>
      <c r="G2611" s="5" t="s">
        <v>1331</v>
      </c>
      <c r="H2611" s="5" t="s">
        <v>30</v>
      </c>
      <c r="I2611" s="5" t="s">
        <v>22</v>
      </c>
      <c r="J2611" s="5" t="s">
        <v>153</v>
      </c>
      <c r="K2611" s="6">
        <v>0</v>
      </c>
      <c r="L2611" s="7">
        <v>12.24</v>
      </c>
      <c r="M2611" s="8">
        <v>14.96</v>
      </c>
      <c r="N2611" s="8">
        <v>13.6</v>
      </c>
      <c r="O2611" s="8">
        <v>13.853000636250275</v>
      </c>
      <c r="P2611" s="8">
        <v>0</v>
      </c>
      <c r="Q2611" s="8">
        <v>13.44</v>
      </c>
      <c r="R2611" s="8">
        <v>0</v>
      </c>
      <c r="S2611" s="8">
        <v>0</v>
      </c>
      <c r="T2611" s="5">
        <v>0</v>
      </c>
      <c r="U2611" s="5">
        <v>0</v>
      </c>
      <c r="V2611" s="5">
        <f>VLOOKUP(A2611,Planilha1!B:E,4,0)</f>
        <v>3.0503167986984403</v>
      </c>
    </row>
    <row r="2612" spans="1:22" x14ac:dyDescent="0.3">
      <c r="A2612" t="str">
        <f t="shared" si="80"/>
        <v>QUEIJOSLACTALIS</v>
      </c>
      <c r="B2612" t="str">
        <f t="shared" si="81"/>
        <v>5282186QUEIJOSLACTALIS</v>
      </c>
      <c r="C2612" s="5" t="s">
        <v>226</v>
      </c>
      <c r="D2612" s="5" t="s">
        <v>227</v>
      </c>
      <c r="E2612" s="5" t="s">
        <v>1722</v>
      </c>
      <c r="F2612" s="5">
        <v>5282186</v>
      </c>
      <c r="G2612" s="5" t="s">
        <v>314</v>
      </c>
      <c r="H2612" s="5" t="s">
        <v>30</v>
      </c>
      <c r="I2612" s="5" t="s">
        <v>22</v>
      </c>
      <c r="J2612" s="5" t="s">
        <v>63</v>
      </c>
      <c r="K2612" s="6">
        <v>0</v>
      </c>
      <c r="L2612" s="7">
        <v>16.04</v>
      </c>
      <c r="M2612" s="8">
        <v>15.454833333333335</v>
      </c>
      <c r="N2612" s="8">
        <v>11.566666666666668</v>
      </c>
      <c r="O2612" s="8">
        <v>9.8412719452094723</v>
      </c>
      <c r="P2612" s="8">
        <v>0</v>
      </c>
      <c r="Q2612" s="8">
        <v>0</v>
      </c>
      <c r="R2612" s="8">
        <v>0</v>
      </c>
      <c r="S2612" s="8">
        <v>0</v>
      </c>
      <c r="T2612" s="5">
        <v>0</v>
      </c>
      <c r="U2612" s="5">
        <v>0</v>
      </c>
      <c r="V2612" s="5">
        <f>VLOOKUP(A2612,Planilha1!B:E,4,0)</f>
        <v>-1.9171310037550682</v>
      </c>
    </row>
    <row r="2613" spans="1:22" x14ac:dyDescent="0.3">
      <c r="A2613" t="str">
        <f t="shared" si="80"/>
        <v>PARMESÃOLACTALIS</v>
      </c>
      <c r="B2613" t="str">
        <f t="shared" si="81"/>
        <v>5282647PARMESÃOLACTALIS</v>
      </c>
      <c r="C2613" s="5" t="s">
        <v>226</v>
      </c>
      <c r="D2613" s="5" t="s">
        <v>227</v>
      </c>
      <c r="E2613" s="5" t="s">
        <v>1722</v>
      </c>
      <c r="F2613" s="5">
        <v>5282647</v>
      </c>
      <c r="G2613" s="5" t="s">
        <v>1085</v>
      </c>
      <c r="H2613" s="5" t="s">
        <v>30</v>
      </c>
      <c r="I2613" s="5" t="s">
        <v>22</v>
      </c>
      <c r="J2613" s="5" t="s">
        <v>195</v>
      </c>
      <c r="K2613" s="6">
        <v>0</v>
      </c>
      <c r="L2613" s="7">
        <v>0</v>
      </c>
      <c r="M2613" s="8">
        <v>6.8733333333333331</v>
      </c>
      <c r="N2613" s="8">
        <v>13.746666666666668</v>
      </c>
      <c r="O2613" s="8">
        <v>0</v>
      </c>
      <c r="P2613" s="8">
        <v>0</v>
      </c>
      <c r="Q2613" s="8">
        <v>0</v>
      </c>
      <c r="R2613" s="8">
        <v>0</v>
      </c>
      <c r="S2613" s="8">
        <v>14</v>
      </c>
      <c r="T2613" s="5">
        <v>14</v>
      </c>
      <c r="U2613" s="5">
        <v>0</v>
      </c>
      <c r="V2613" s="5">
        <f>VLOOKUP(A2613,Planilha1!B:E,4,0)</f>
        <v>6.310326960724681</v>
      </c>
    </row>
    <row r="2614" spans="1:22" x14ac:dyDescent="0.3">
      <c r="A2614" t="str">
        <f t="shared" si="80"/>
        <v>IOGURTESLACTALIS</v>
      </c>
      <c r="B2614" t="str">
        <f t="shared" si="81"/>
        <v>5282647IOGURTESLACTALIS</v>
      </c>
      <c r="C2614" s="5" t="s">
        <v>226</v>
      </c>
      <c r="D2614" s="5" t="s">
        <v>227</v>
      </c>
      <c r="E2614" s="5" t="s">
        <v>1722</v>
      </c>
      <c r="F2614" s="5">
        <v>5282647</v>
      </c>
      <c r="G2614" s="5" t="s">
        <v>1085</v>
      </c>
      <c r="H2614" s="5" t="s">
        <v>30</v>
      </c>
      <c r="I2614" s="5" t="s">
        <v>22</v>
      </c>
      <c r="J2614" s="5" t="s">
        <v>153</v>
      </c>
      <c r="K2614" s="6">
        <v>0</v>
      </c>
      <c r="L2614" s="7">
        <v>36.799999999999997</v>
      </c>
      <c r="M2614" s="8">
        <v>39.866666666666674</v>
      </c>
      <c r="N2614" s="8">
        <v>27.599999999999998</v>
      </c>
      <c r="O2614" s="8">
        <v>44.083427775414286</v>
      </c>
      <c r="P2614" s="8">
        <v>0</v>
      </c>
      <c r="Q2614" s="8">
        <v>0</v>
      </c>
      <c r="R2614" s="8">
        <v>0</v>
      </c>
      <c r="S2614" s="8">
        <v>0</v>
      </c>
      <c r="T2614" s="5">
        <v>0</v>
      </c>
      <c r="U2614" s="5">
        <v>0</v>
      </c>
      <c r="V2614" s="5">
        <f>VLOOKUP(A2614,Planilha1!B:E,4,0)</f>
        <v>3.0503167986984403</v>
      </c>
    </row>
    <row r="2615" spans="1:22" x14ac:dyDescent="0.3">
      <c r="A2615" t="str">
        <f t="shared" si="80"/>
        <v>QUEIJOSLACTALIS</v>
      </c>
      <c r="B2615" t="str">
        <f t="shared" si="81"/>
        <v>5282647QUEIJOSLACTALIS</v>
      </c>
      <c r="C2615" s="5" t="s">
        <v>226</v>
      </c>
      <c r="D2615" s="5" t="s">
        <v>227</v>
      </c>
      <c r="E2615" s="5" t="s">
        <v>1722</v>
      </c>
      <c r="F2615" s="5">
        <v>5282647</v>
      </c>
      <c r="G2615" s="5" t="s">
        <v>1085</v>
      </c>
      <c r="H2615" s="5" t="s">
        <v>30</v>
      </c>
      <c r="I2615" s="5" t="s">
        <v>22</v>
      </c>
      <c r="J2615" s="5" t="s">
        <v>63</v>
      </c>
      <c r="K2615" s="6">
        <v>0</v>
      </c>
      <c r="L2615" s="7">
        <v>47.006</v>
      </c>
      <c r="M2615" s="8">
        <v>27.343333333333334</v>
      </c>
      <c r="N2615" s="8">
        <v>54.686666666666667</v>
      </c>
      <c r="O2615" s="8">
        <v>0</v>
      </c>
      <c r="P2615" s="8">
        <v>0</v>
      </c>
      <c r="Q2615" s="8">
        <v>0</v>
      </c>
      <c r="R2615" s="8">
        <v>0</v>
      </c>
      <c r="S2615" s="8">
        <v>0</v>
      </c>
      <c r="T2615" s="5">
        <v>0</v>
      </c>
      <c r="U2615" s="5">
        <v>0</v>
      </c>
      <c r="V2615" s="5">
        <f>VLOOKUP(A2615,Planilha1!B:E,4,0)</f>
        <v>-1.9171310037550682</v>
      </c>
    </row>
    <row r="2616" spans="1:22" x14ac:dyDescent="0.3">
      <c r="A2616" t="str">
        <f t="shared" si="80"/>
        <v>PARMESÃOLACTALIS</v>
      </c>
      <c r="B2616" t="str">
        <f t="shared" si="81"/>
        <v>5282908PARMESÃOLACTALIS</v>
      </c>
      <c r="C2616" s="5" t="s">
        <v>226</v>
      </c>
      <c r="D2616" s="5" t="s">
        <v>227</v>
      </c>
      <c r="E2616" s="5" t="s">
        <v>1722</v>
      </c>
      <c r="F2616" s="5">
        <v>5282908</v>
      </c>
      <c r="G2616" s="5" t="s">
        <v>316</v>
      </c>
      <c r="H2616" s="5" t="s">
        <v>30</v>
      </c>
      <c r="I2616" s="5" t="s">
        <v>22</v>
      </c>
      <c r="J2616" s="5" t="s">
        <v>195</v>
      </c>
      <c r="K2616" s="6">
        <v>0</v>
      </c>
      <c r="L2616" s="7">
        <v>0</v>
      </c>
      <c r="M2616" s="8">
        <v>2.4075000000000002</v>
      </c>
      <c r="N2616" s="8">
        <v>4.8150000000000004</v>
      </c>
      <c r="O2616" s="8">
        <v>0</v>
      </c>
      <c r="P2616" s="8">
        <v>0</v>
      </c>
      <c r="Q2616" s="8">
        <v>15.897</v>
      </c>
      <c r="R2616" s="8">
        <v>0</v>
      </c>
      <c r="S2616" s="8">
        <v>0</v>
      </c>
      <c r="T2616" s="5">
        <v>0</v>
      </c>
      <c r="U2616" s="5">
        <v>0</v>
      </c>
      <c r="V2616" s="5">
        <f>VLOOKUP(A2616,Planilha1!B:E,4,0)</f>
        <v>6.310326960724681</v>
      </c>
    </row>
    <row r="2617" spans="1:22" x14ac:dyDescent="0.3">
      <c r="A2617" t="str">
        <f t="shared" si="80"/>
        <v>QUEIJOSLACTALIS</v>
      </c>
      <c r="B2617" t="str">
        <f t="shared" si="81"/>
        <v>5282908QUEIJOSLACTALIS</v>
      </c>
      <c r="C2617" s="5" t="s">
        <v>226</v>
      </c>
      <c r="D2617" s="5" t="s">
        <v>227</v>
      </c>
      <c r="E2617" s="5" t="s">
        <v>1722</v>
      </c>
      <c r="F2617" s="5">
        <v>5282908</v>
      </c>
      <c r="G2617" s="5" t="s">
        <v>316</v>
      </c>
      <c r="H2617" s="5" t="s">
        <v>30</v>
      </c>
      <c r="I2617" s="5" t="s">
        <v>22</v>
      </c>
      <c r="J2617" s="5" t="s">
        <v>63</v>
      </c>
      <c r="K2617" s="6">
        <v>0</v>
      </c>
      <c r="L2617" s="7">
        <v>59.39</v>
      </c>
      <c r="M2617" s="8">
        <v>15.61</v>
      </c>
      <c r="N2617" s="8">
        <v>31.22</v>
      </c>
      <c r="O2617" s="8">
        <v>0.42168739081962991</v>
      </c>
      <c r="P2617" s="8">
        <v>0</v>
      </c>
      <c r="Q2617" s="8">
        <v>0</v>
      </c>
      <c r="R2617" s="8">
        <v>0</v>
      </c>
      <c r="S2617" s="8">
        <v>0</v>
      </c>
      <c r="T2617" s="5">
        <v>0</v>
      </c>
      <c r="U2617" s="5">
        <v>0</v>
      </c>
      <c r="V2617" s="5">
        <f>VLOOKUP(A2617,Planilha1!B:E,4,0)</f>
        <v>-1.9171310037550682</v>
      </c>
    </row>
    <row r="2618" spans="1:22" x14ac:dyDescent="0.3">
      <c r="A2618" t="str">
        <f t="shared" si="80"/>
        <v>IOGURTESLACTALIS</v>
      </c>
      <c r="B2618" t="str">
        <f t="shared" si="81"/>
        <v>5294903IOGURTESLACTALIS</v>
      </c>
      <c r="C2618" s="5" t="s">
        <v>226</v>
      </c>
      <c r="D2618" s="5" t="s">
        <v>227</v>
      </c>
      <c r="E2618" s="5" t="s">
        <v>1722</v>
      </c>
      <c r="F2618" s="5">
        <v>5294903</v>
      </c>
      <c r="G2618" s="5" t="s">
        <v>1332</v>
      </c>
      <c r="H2618" s="5" t="s">
        <v>30</v>
      </c>
      <c r="I2618" s="5" t="s">
        <v>22</v>
      </c>
      <c r="J2618" s="5" t="s">
        <v>153</v>
      </c>
      <c r="K2618" s="6">
        <v>0</v>
      </c>
      <c r="L2618" s="7">
        <v>70.2</v>
      </c>
      <c r="M2618" s="8">
        <v>63.000000000000007</v>
      </c>
      <c r="N2618" s="8">
        <v>48.599999999999994</v>
      </c>
      <c r="O2618" s="8">
        <v>48.704893639667254</v>
      </c>
      <c r="P2618" s="8">
        <v>0</v>
      </c>
      <c r="Q2618" s="8">
        <v>21.6</v>
      </c>
      <c r="R2618" s="8">
        <v>0</v>
      </c>
      <c r="S2618" s="8">
        <v>0</v>
      </c>
      <c r="T2618" s="5">
        <v>0</v>
      </c>
      <c r="U2618" s="5">
        <v>0</v>
      </c>
      <c r="V2618" s="5">
        <f>VLOOKUP(A2618,Planilha1!B:E,4,0)</f>
        <v>3.0503167986984403</v>
      </c>
    </row>
    <row r="2619" spans="1:22" x14ac:dyDescent="0.3">
      <c r="A2619" t="str">
        <f t="shared" si="80"/>
        <v>IOGURTESLACTALIS</v>
      </c>
      <c r="B2619" t="str">
        <f t="shared" si="81"/>
        <v>5296842IOGURTESLACTALIS</v>
      </c>
      <c r="C2619" s="5" t="s">
        <v>226</v>
      </c>
      <c r="D2619" s="5" t="s">
        <v>227</v>
      </c>
      <c r="E2619" s="5" t="s">
        <v>1722</v>
      </c>
      <c r="F2619" s="5">
        <v>5296842</v>
      </c>
      <c r="G2619" s="5" t="s">
        <v>463</v>
      </c>
      <c r="H2619" s="5" t="s">
        <v>30</v>
      </c>
      <c r="I2619" s="5" t="s">
        <v>22</v>
      </c>
      <c r="J2619" s="5" t="s">
        <v>153</v>
      </c>
      <c r="K2619" s="6">
        <v>0</v>
      </c>
      <c r="L2619" s="7">
        <v>132.60000000000002</v>
      </c>
      <c r="M2619" s="8">
        <v>68</v>
      </c>
      <c r="N2619" s="8">
        <v>75.48</v>
      </c>
      <c r="O2619" s="8">
        <v>94.674517717261239</v>
      </c>
      <c r="P2619" s="8">
        <v>0</v>
      </c>
      <c r="Q2619" s="8">
        <v>34.24</v>
      </c>
      <c r="R2619" s="8">
        <v>0</v>
      </c>
      <c r="S2619" s="8">
        <v>0</v>
      </c>
      <c r="T2619" s="5">
        <v>0</v>
      </c>
      <c r="U2619" s="5">
        <v>0</v>
      </c>
      <c r="V2619" s="5">
        <f>VLOOKUP(A2619,Planilha1!B:E,4,0)</f>
        <v>3.0503167986984403</v>
      </c>
    </row>
    <row r="2620" spans="1:22" x14ac:dyDescent="0.3">
      <c r="A2620" t="str">
        <f t="shared" si="80"/>
        <v>IOGURTESLACTALIS</v>
      </c>
      <c r="B2620" t="str">
        <f t="shared" si="81"/>
        <v>5300785IOGURTESLACTALIS</v>
      </c>
      <c r="C2620" s="5" t="s">
        <v>226</v>
      </c>
      <c r="D2620" s="5" t="s">
        <v>227</v>
      </c>
      <c r="E2620" s="5" t="s">
        <v>1722</v>
      </c>
      <c r="F2620" s="5">
        <v>5300785</v>
      </c>
      <c r="G2620" s="5" t="s">
        <v>272</v>
      </c>
      <c r="H2620" s="5" t="s">
        <v>30</v>
      </c>
      <c r="I2620" s="5" t="s">
        <v>22</v>
      </c>
      <c r="J2620" s="5" t="s">
        <v>153</v>
      </c>
      <c r="K2620" s="6">
        <v>0</v>
      </c>
      <c r="L2620" s="7">
        <v>55.2</v>
      </c>
      <c r="M2620" s="8">
        <v>145.66666666666663</v>
      </c>
      <c r="N2620" s="8">
        <v>128.80000000000001</v>
      </c>
      <c r="O2620" s="8">
        <v>184.83584065710158</v>
      </c>
      <c r="P2620" s="8">
        <v>0</v>
      </c>
      <c r="Q2620" s="8">
        <v>0</v>
      </c>
      <c r="R2620" s="8">
        <v>0</v>
      </c>
      <c r="S2620" s="8">
        <v>0</v>
      </c>
      <c r="T2620" s="5">
        <v>0</v>
      </c>
      <c r="U2620" s="5">
        <v>0</v>
      </c>
      <c r="V2620" s="5">
        <f>VLOOKUP(A2620,Planilha1!B:E,4,0)</f>
        <v>3.0503167986984403</v>
      </c>
    </row>
    <row r="2621" spans="1:22" x14ac:dyDescent="0.3">
      <c r="A2621" t="str">
        <f t="shared" si="80"/>
        <v>IOGURTESLACTALIS</v>
      </c>
      <c r="B2621" t="str">
        <f t="shared" si="81"/>
        <v>5301830IOGURTESLACTALIS</v>
      </c>
      <c r="C2621" s="5" t="s">
        <v>226</v>
      </c>
      <c r="D2621" s="5" t="s">
        <v>227</v>
      </c>
      <c r="E2621" s="5" t="s">
        <v>1722</v>
      </c>
      <c r="F2621" s="5">
        <v>5301830</v>
      </c>
      <c r="G2621" s="5" t="s">
        <v>335</v>
      </c>
      <c r="H2621" s="5" t="s">
        <v>30</v>
      </c>
      <c r="I2621" s="5" t="s">
        <v>22</v>
      </c>
      <c r="J2621" s="5" t="s">
        <v>153</v>
      </c>
      <c r="K2621" s="6">
        <v>0</v>
      </c>
      <c r="L2621" s="7">
        <v>124.44</v>
      </c>
      <c r="M2621" s="8">
        <v>132.06</v>
      </c>
      <c r="N2621" s="8">
        <v>108.4</v>
      </c>
      <c r="O2621" s="8">
        <v>139.7209883176555</v>
      </c>
      <c r="P2621" s="8">
        <v>0</v>
      </c>
      <c r="Q2621" s="8">
        <v>19.559999999999999</v>
      </c>
      <c r="R2621" s="8">
        <v>0</v>
      </c>
      <c r="S2621" s="8">
        <v>0</v>
      </c>
      <c r="T2621" s="5">
        <v>0</v>
      </c>
      <c r="U2621" s="5">
        <v>0</v>
      </c>
      <c r="V2621" s="5">
        <f>VLOOKUP(A2621,Planilha1!B:E,4,0)</f>
        <v>3.0503167986984403</v>
      </c>
    </row>
    <row r="2622" spans="1:22" x14ac:dyDescent="0.3">
      <c r="A2622" t="str">
        <f t="shared" si="80"/>
        <v>BLISTERLACTALIS</v>
      </c>
      <c r="B2622" t="str">
        <f t="shared" si="81"/>
        <v>5311373BLISTERLACTALIS</v>
      </c>
      <c r="C2622" s="5" t="s">
        <v>226</v>
      </c>
      <c r="D2622" s="5" t="s">
        <v>227</v>
      </c>
      <c r="E2622" s="5" t="s">
        <v>1722</v>
      </c>
      <c r="F2622" s="5">
        <v>5311373</v>
      </c>
      <c r="G2622" s="5" t="s">
        <v>246</v>
      </c>
      <c r="H2622" s="5" t="s">
        <v>30</v>
      </c>
      <c r="I2622" s="5" t="s">
        <v>22</v>
      </c>
      <c r="J2622" s="5" t="s">
        <v>199</v>
      </c>
      <c r="K2622" s="6">
        <v>0</v>
      </c>
      <c r="L2622" s="7">
        <v>0</v>
      </c>
      <c r="M2622" s="8">
        <v>16.8</v>
      </c>
      <c r="N2622" s="8">
        <v>16.8</v>
      </c>
      <c r="O2622" s="8">
        <v>0</v>
      </c>
      <c r="P2622" s="8">
        <v>0</v>
      </c>
      <c r="Q2622" s="8">
        <v>0</v>
      </c>
      <c r="R2622" s="8">
        <v>0</v>
      </c>
      <c r="S2622" s="8">
        <v>58</v>
      </c>
      <c r="T2622" s="5">
        <v>58</v>
      </c>
      <c r="U2622" s="5">
        <v>58</v>
      </c>
      <c r="V2622" s="5">
        <f>VLOOKUP(A2622,Planilha1!B:E,4,0)</f>
        <v>13.783871706210666</v>
      </c>
    </row>
    <row r="2623" spans="1:22" x14ac:dyDescent="0.3">
      <c r="A2623" t="str">
        <f t="shared" si="80"/>
        <v>IOGURTESLACTALIS</v>
      </c>
      <c r="B2623" t="str">
        <f t="shared" si="81"/>
        <v>5312880IOGURTESLACTALIS</v>
      </c>
      <c r="C2623" s="5" t="s">
        <v>226</v>
      </c>
      <c r="D2623" s="5" t="s">
        <v>227</v>
      </c>
      <c r="E2623" s="5" t="s">
        <v>1722</v>
      </c>
      <c r="F2623" s="5">
        <v>5312880</v>
      </c>
      <c r="G2623" s="5" t="s">
        <v>1333</v>
      </c>
      <c r="H2623" s="5" t="s">
        <v>30</v>
      </c>
      <c r="I2623" s="5" t="s">
        <v>22</v>
      </c>
      <c r="J2623" s="5" t="s">
        <v>153</v>
      </c>
      <c r="K2623" s="6">
        <v>0</v>
      </c>
      <c r="L2623" s="7">
        <v>287.27999999999997</v>
      </c>
      <c r="M2623" s="8">
        <v>677.6400000000001</v>
      </c>
      <c r="N2623" s="8">
        <v>1144.0800000000004</v>
      </c>
      <c r="O2623" s="8">
        <v>170.65232828210077</v>
      </c>
      <c r="P2623" s="8">
        <v>0</v>
      </c>
      <c r="Q2623" s="8">
        <v>526</v>
      </c>
      <c r="R2623" s="8">
        <v>0</v>
      </c>
      <c r="S2623" s="8">
        <v>0</v>
      </c>
      <c r="T2623" s="5">
        <v>0</v>
      </c>
      <c r="U2623" s="5">
        <v>0</v>
      </c>
      <c r="V2623" s="5">
        <f>VLOOKUP(A2623,Planilha1!B:E,4,0)</f>
        <v>3.0503167986984403</v>
      </c>
    </row>
    <row r="2624" spans="1:22" x14ac:dyDescent="0.3">
      <c r="A2624" t="str">
        <f t="shared" si="80"/>
        <v>SPREADSLACTALIS</v>
      </c>
      <c r="B2624" t="str">
        <f t="shared" si="81"/>
        <v>5316215SPREADSLACTALIS</v>
      </c>
      <c r="C2624" s="5" t="s">
        <v>226</v>
      </c>
      <c r="D2624" s="5" t="s">
        <v>227</v>
      </c>
      <c r="E2624" s="5" t="s">
        <v>1722</v>
      </c>
      <c r="F2624" s="5">
        <v>5316215</v>
      </c>
      <c r="G2624" s="5" t="s">
        <v>1334</v>
      </c>
      <c r="H2624" s="5" t="s">
        <v>30</v>
      </c>
      <c r="I2624" s="5" t="s">
        <v>22</v>
      </c>
      <c r="J2624" s="5" t="s">
        <v>945</v>
      </c>
      <c r="K2624" s="6">
        <v>0</v>
      </c>
      <c r="L2624" s="7">
        <v>13</v>
      </c>
      <c r="M2624" s="8">
        <v>13.166666666666666</v>
      </c>
      <c r="N2624" s="8">
        <v>13.333333333333334</v>
      </c>
      <c r="O2624" s="8">
        <v>14.428546939936528</v>
      </c>
      <c r="P2624" s="8">
        <v>0</v>
      </c>
      <c r="Q2624" s="8">
        <v>0</v>
      </c>
      <c r="R2624" s="8">
        <v>0</v>
      </c>
      <c r="S2624" s="8">
        <v>0</v>
      </c>
      <c r="T2624" s="5">
        <v>0</v>
      </c>
      <c r="U2624" s="5">
        <v>0</v>
      </c>
      <c r="V2624" s="5">
        <f>VLOOKUP(A2624,Planilha1!B:E,4,0)</f>
        <v>13.599044988219518</v>
      </c>
    </row>
    <row r="2625" spans="1:22" x14ac:dyDescent="0.3">
      <c r="A2625" t="str">
        <f t="shared" si="80"/>
        <v>QUEIJOSLACTALIS</v>
      </c>
      <c r="B2625" t="str">
        <f t="shared" si="81"/>
        <v>5284452QUEIJOSLACTALIS</v>
      </c>
      <c r="C2625" s="5" t="s">
        <v>226</v>
      </c>
      <c r="D2625" s="5" t="s">
        <v>227</v>
      </c>
      <c r="E2625" s="5" t="s">
        <v>1722</v>
      </c>
      <c r="F2625" s="5">
        <v>5284452</v>
      </c>
      <c r="G2625" s="5" t="s">
        <v>1326</v>
      </c>
      <c r="H2625" s="5" t="s">
        <v>30</v>
      </c>
      <c r="I2625" s="5" t="s">
        <v>22</v>
      </c>
      <c r="J2625" s="5" t="s">
        <v>63</v>
      </c>
      <c r="K2625" s="6">
        <v>0</v>
      </c>
      <c r="L2625" s="7">
        <v>0</v>
      </c>
      <c r="M2625" s="8">
        <v>21.068333333333332</v>
      </c>
      <c r="N2625" s="8">
        <v>42.136666666666663</v>
      </c>
      <c r="O2625" s="8">
        <v>0</v>
      </c>
      <c r="P2625" s="8">
        <v>0</v>
      </c>
      <c r="Q2625" s="8">
        <v>0</v>
      </c>
      <c r="R2625" s="8">
        <v>0</v>
      </c>
      <c r="S2625" s="8">
        <v>0</v>
      </c>
      <c r="T2625" s="5">
        <v>0</v>
      </c>
      <c r="U2625" s="5">
        <v>0</v>
      </c>
      <c r="V2625" s="5">
        <f>VLOOKUP(A2625,Planilha1!B:E,4,0)</f>
        <v>-1.9171310037550682</v>
      </c>
    </row>
    <row r="2626" spans="1:22" x14ac:dyDescent="0.3">
      <c r="A2626" t="str">
        <f t="shared" ref="A2626:A2689" si="82">J2626&amp;I2626</f>
        <v>LEITE UHTLACTALIS</v>
      </c>
      <c r="B2626" t="str">
        <f t="shared" si="81"/>
        <v>5284452LEITE UHTLACTALIS</v>
      </c>
      <c r="C2626" s="5" t="s">
        <v>226</v>
      </c>
      <c r="D2626" s="5" t="s">
        <v>227</v>
      </c>
      <c r="E2626" s="5" t="s">
        <v>1722</v>
      </c>
      <c r="F2626" s="5">
        <v>5284452</v>
      </c>
      <c r="G2626" s="5" t="s">
        <v>1326</v>
      </c>
      <c r="H2626" s="5" t="s">
        <v>30</v>
      </c>
      <c r="I2626" s="5" t="s">
        <v>22</v>
      </c>
      <c r="J2626" s="5" t="s">
        <v>156</v>
      </c>
      <c r="K2626" s="6">
        <v>0</v>
      </c>
      <c r="L2626" s="7">
        <v>0</v>
      </c>
      <c r="M2626" s="8">
        <v>2</v>
      </c>
      <c r="N2626" s="8">
        <v>4</v>
      </c>
      <c r="O2626" s="8">
        <v>0</v>
      </c>
      <c r="P2626" s="8">
        <v>0</v>
      </c>
      <c r="Q2626" s="8">
        <v>0</v>
      </c>
      <c r="R2626" s="8">
        <v>0</v>
      </c>
      <c r="S2626" s="8">
        <v>0</v>
      </c>
      <c r="T2626" s="5">
        <v>0</v>
      </c>
      <c r="U2626" s="5">
        <v>0</v>
      </c>
      <c r="V2626" s="5">
        <f>VLOOKUP(A2626,Planilha1!B:E,4,0)</f>
        <v>0.37177548115779385</v>
      </c>
    </row>
    <row r="2627" spans="1:22" x14ac:dyDescent="0.3">
      <c r="A2627" t="str">
        <f t="shared" si="82"/>
        <v>LPI 25KGLACTALIS</v>
      </c>
      <c r="B2627" t="str">
        <f t="shared" ref="B2627:B2690" si="83">F2627&amp;J2627&amp;I2627</f>
        <v>5284751LPI 25KGLACTALIS</v>
      </c>
      <c r="C2627" s="5" t="s">
        <v>16</v>
      </c>
      <c r="D2627" s="5" t="s">
        <v>17</v>
      </c>
      <c r="E2627" s="5" t="s">
        <v>18</v>
      </c>
      <c r="F2627" s="5">
        <v>5284751</v>
      </c>
      <c r="G2627" s="5" t="s">
        <v>1335</v>
      </c>
      <c r="H2627" s="5" t="s">
        <v>40</v>
      </c>
      <c r="I2627" s="5" t="s">
        <v>22</v>
      </c>
      <c r="J2627" s="5" t="s">
        <v>21</v>
      </c>
      <c r="K2627" s="6">
        <v>0</v>
      </c>
      <c r="L2627" s="7">
        <v>0</v>
      </c>
      <c r="M2627" s="8">
        <v>8000</v>
      </c>
      <c r="N2627" s="8">
        <v>16000</v>
      </c>
      <c r="O2627" s="8">
        <v>0</v>
      </c>
      <c r="P2627" s="8">
        <v>0</v>
      </c>
      <c r="Q2627" s="8">
        <v>0</v>
      </c>
      <c r="R2627" s="8">
        <v>0</v>
      </c>
      <c r="S2627" s="8">
        <v>0</v>
      </c>
      <c r="T2627" s="5">
        <v>0</v>
      </c>
      <c r="U2627" s="5">
        <v>0</v>
      </c>
      <c r="V2627" s="5">
        <f>VLOOKUP(A2627,Planilha1!B:E,4,0)</f>
        <v>-4.3046759024811481</v>
      </c>
    </row>
    <row r="2628" spans="1:22" x14ac:dyDescent="0.3">
      <c r="A2628" t="str">
        <f t="shared" si="82"/>
        <v>QUEIJOSLACTALIS</v>
      </c>
      <c r="B2628" t="str">
        <f t="shared" si="83"/>
        <v>5285369QUEIJOSLACTALIS</v>
      </c>
      <c r="C2628" s="5" t="s">
        <v>226</v>
      </c>
      <c r="D2628" s="5" t="s">
        <v>227</v>
      </c>
      <c r="E2628" s="5" t="s">
        <v>1722</v>
      </c>
      <c r="F2628" s="5">
        <v>5285369</v>
      </c>
      <c r="G2628" s="5" t="s">
        <v>626</v>
      </c>
      <c r="H2628" s="5" t="s">
        <v>30</v>
      </c>
      <c r="I2628" s="5" t="s">
        <v>22</v>
      </c>
      <c r="J2628" s="5" t="s">
        <v>63</v>
      </c>
      <c r="K2628" s="6">
        <v>0</v>
      </c>
      <c r="L2628" s="7">
        <v>35.229999999999997</v>
      </c>
      <c r="M2628" s="8">
        <v>42.756666666666668</v>
      </c>
      <c r="N2628" s="8">
        <v>31.09</v>
      </c>
      <c r="O2628" s="8">
        <v>12.986831941593739</v>
      </c>
      <c r="P2628" s="8">
        <v>0</v>
      </c>
      <c r="Q2628" s="8">
        <v>0</v>
      </c>
      <c r="R2628" s="8">
        <v>0</v>
      </c>
      <c r="S2628" s="8">
        <v>0</v>
      </c>
      <c r="T2628" s="5">
        <v>0</v>
      </c>
      <c r="U2628" s="5">
        <v>0</v>
      </c>
      <c r="V2628" s="5">
        <f>VLOOKUP(A2628,Planilha1!B:E,4,0)</f>
        <v>-1.9171310037550682</v>
      </c>
    </row>
    <row r="2629" spans="1:22" x14ac:dyDescent="0.3">
      <c r="A2629" t="str">
        <f t="shared" si="82"/>
        <v>IOGURTESLACTALIS</v>
      </c>
      <c r="B2629" t="str">
        <f t="shared" si="83"/>
        <v>5285544IOGURTESLACTALIS</v>
      </c>
      <c r="C2629" s="5" t="s">
        <v>226</v>
      </c>
      <c r="D2629" s="5" t="s">
        <v>227</v>
      </c>
      <c r="E2629" s="5" t="s">
        <v>1722</v>
      </c>
      <c r="F2629" s="5">
        <v>5285544</v>
      </c>
      <c r="G2629" s="5" t="s">
        <v>1087</v>
      </c>
      <c r="H2629" s="5" t="s">
        <v>30</v>
      </c>
      <c r="I2629" s="5" t="s">
        <v>22</v>
      </c>
      <c r="J2629" s="5" t="s">
        <v>153</v>
      </c>
      <c r="K2629" s="6">
        <v>0</v>
      </c>
      <c r="L2629" s="7">
        <v>61.2</v>
      </c>
      <c r="M2629" s="8">
        <v>24.48</v>
      </c>
      <c r="N2629" s="8">
        <v>6.12</v>
      </c>
      <c r="O2629" s="8">
        <v>39.672805606571131</v>
      </c>
      <c r="P2629" s="8">
        <v>0</v>
      </c>
      <c r="Q2629" s="8">
        <v>0</v>
      </c>
      <c r="R2629" s="8">
        <v>0</v>
      </c>
      <c r="S2629" s="8">
        <v>0</v>
      </c>
      <c r="T2629" s="5">
        <v>0</v>
      </c>
      <c r="U2629" s="5">
        <v>0</v>
      </c>
      <c r="V2629" s="5">
        <f>VLOOKUP(A2629,Planilha1!B:E,4,0)</f>
        <v>3.0503167986984403</v>
      </c>
    </row>
    <row r="2630" spans="1:22" x14ac:dyDescent="0.3">
      <c r="A2630" t="str">
        <f t="shared" si="82"/>
        <v>LEITE UHTITAMBÉ</v>
      </c>
      <c r="B2630" t="str">
        <f t="shared" si="83"/>
        <v>5318875LEITE UHTITAMBÉ</v>
      </c>
      <c r="C2630" s="5" t="s">
        <v>226</v>
      </c>
      <c r="D2630" s="5" t="s">
        <v>727</v>
      </c>
      <c r="E2630" s="5" t="s">
        <v>730</v>
      </c>
      <c r="F2630" s="5">
        <v>5318875</v>
      </c>
      <c r="G2630" s="5" t="s">
        <v>731</v>
      </c>
      <c r="H2630" s="5" t="s">
        <v>25</v>
      </c>
      <c r="I2630" s="5" t="s">
        <v>27</v>
      </c>
      <c r="J2630" s="5" t="s">
        <v>156</v>
      </c>
      <c r="K2630" s="6">
        <v>0</v>
      </c>
      <c r="L2630" s="7">
        <v>0</v>
      </c>
      <c r="M2630" s="8">
        <v>220</v>
      </c>
      <c r="N2630" s="8">
        <v>84</v>
      </c>
      <c r="O2630" s="8">
        <v>0</v>
      </c>
      <c r="P2630" s="8">
        <v>154.5</v>
      </c>
      <c r="Q2630" s="8">
        <v>1103.9999999999998</v>
      </c>
      <c r="R2630" s="8">
        <v>32.96</v>
      </c>
      <c r="S2630" s="8">
        <v>0</v>
      </c>
      <c r="T2630" s="5">
        <v>0</v>
      </c>
      <c r="U2630" s="5">
        <v>0</v>
      </c>
      <c r="V2630" s="5">
        <f>VLOOKUP(A2630,Planilha1!B:E,4,0)</f>
        <v>-0.14425288609148015</v>
      </c>
    </row>
    <row r="2631" spans="1:22" x14ac:dyDescent="0.3">
      <c r="A2631" t="str">
        <f t="shared" si="82"/>
        <v>IOGURTESLACTALIS</v>
      </c>
      <c r="B2631" t="str">
        <f t="shared" si="83"/>
        <v>5319562IOGURTESLACTALIS</v>
      </c>
      <c r="C2631" s="5" t="s">
        <v>226</v>
      </c>
      <c r="D2631" s="5" t="s">
        <v>227</v>
      </c>
      <c r="E2631" s="5" t="s">
        <v>1722</v>
      </c>
      <c r="F2631" s="5">
        <v>5319562</v>
      </c>
      <c r="G2631" s="5" t="s">
        <v>1336</v>
      </c>
      <c r="H2631" s="5" t="s">
        <v>30</v>
      </c>
      <c r="I2631" s="5" t="s">
        <v>22</v>
      </c>
      <c r="J2631" s="5" t="s">
        <v>153</v>
      </c>
      <c r="K2631" s="6">
        <v>0</v>
      </c>
      <c r="L2631" s="7">
        <v>0</v>
      </c>
      <c r="M2631" s="8">
        <v>10</v>
      </c>
      <c r="N2631" s="8">
        <v>15.999999999999998</v>
      </c>
      <c r="O2631" s="8">
        <v>0</v>
      </c>
      <c r="P2631" s="8">
        <v>0</v>
      </c>
      <c r="Q2631" s="8">
        <v>4.8</v>
      </c>
      <c r="R2631" s="8">
        <v>0</v>
      </c>
      <c r="S2631" s="8">
        <v>0</v>
      </c>
      <c r="T2631" s="5">
        <v>0</v>
      </c>
      <c r="U2631" s="5">
        <v>0</v>
      </c>
      <c r="V2631" s="5">
        <f>VLOOKUP(A2631,Planilha1!B:E,4,0)</f>
        <v>3.0503167986984403</v>
      </c>
    </row>
    <row r="2632" spans="1:22" x14ac:dyDescent="0.3">
      <c r="A2632" t="str">
        <f t="shared" si="82"/>
        <v>IOGURTESITAMBÉ</v>
      </c>
      <c r="B2632" t="str">
        <f t="shared" si="83"/>
        <v>5320070IOGURTESITAMBÉ</v>
      </c>
      <c r="C2632" s="5" t="s">
        <v>226</v>
      </c>
      <c r="D2632" s="5" t="s">
        <v>752</v>
      </c>
      <c r="E2632" s="5" t="s">
        <v>767</v>
      </c>
      <c r="F2632" s="5">
        <v>5320070</v>
      </c>
      <c r="G2632" s="5" t="s">
        <v>1041</v>
      </c>
      <c r="H2632" s="5" t="s">
        <v>154</v>
      </c>
      <c r="I2632" s="5" t="s">
        <v>27</v>
      </c>
      <c r="J2632" s="5" t="s">
        <v>153</v>
      </c>
      <c r="K2632" s="6">
        <v>0</v>
      </c>
      <c r="L2632" s="7">
        <v>0</v>
      </c>
      <c r="M2632" s="8">
        <v>2677.9666666666667</v>
      </c>
      <c r="N2632" s="8">
        <v>5012.333333333333</v>
      </c>
      <c r="O2632" s="8">
        <v>0</v>
      </c>
      <c r="P2632" s="8">
        <v>0</v>
      </c>
      <c r="Q2632" s="8">
        <v>1021.2</v>
      </c>
      <c r="R2632" s="8">
        <v>0</v>
      </c>
      <c r="S2632" s="8">
        <v>0</v>
      </c>
      <c r="T2632" s="5">
        <v>0</v>
      </c>
      <c r="U2632" s="5">
        <v>0</v>
      </c>
      <c r="V2632" s="5">
        <f>VLOOKUP(A2632,Planilha1!B:E,4,0)</f>
        <v>3.2554443184120534</v>
      </c>
    </row>
    <row r="2633" spans="1:22" x14ac:dyDescent="0.3">
      <c r="A2633" t="str">
        <f t="shared" si="82"/>
        <v>QUEIJOSLACTALIS</v>
      </c>
      <c r="B2633" t="str">
        <f t="shared" si="83"/>
        <v>5286846QUEIJOSLACTALIS</v>
      </c>
      <c r="C2633" s="5" t="s">
        <v>226</v>
      </c>
      <c r="D2633" s="5" t="s">
        <v>227</v>
      </c>
      <c r="E2633" s="5" t="s">
        <v>1722</v>
      </c>
      <c r="F2633" s="5">
        <v>5286846</v>
      </c>
      <c r="G2633" s="5" t="s">
        <v>630</v>
      </c>
      <c r="H2633" s="5" t="s">
        <v>30</v>
      </c>
      <c r="I2633" s="5" t="s">
        <v>22</v>
      </c>
      <c r="J2633" s="5" t="s">
        <v>63</v>
      </c>
      <c r="K2633" s="6">
        <v>0</v>
      </c>
      <c r="L2633" s="7">
        <v>21.580000000000002</v>
      </c>
      <c r="M2633" s="8">
        <v>16.734999999999999</v>
      </c>
      <c r="N2633" s="8">
        <v>16.059999999999999</v>
      </c>
      <c r="O2633" s="8">
        <v>11.516624551979351</v>
      </c>
      <c r="P2633" s="8">
        <v>0</v>
      </c>
      <c r="Q2633" s="8">
        <v>0</v>
      </c>
      <c r="R2633" s="8">
        <v>0</v>
      </c>
      <c r="S2633" s="8">
        <v>0</v>
      </c>
      <c r="T2633" s="5">
        <v>0</v>
      </c>
      <c r="U2633" s="5">
        <v>0</v>
      </c>
      <c r="V2633" s="5">
        <f>VLOOKUP(A2633,Planilha1!B:E,4,0)</f>
        <v>-1.9171310037550682</v>
      </c>
    </row>
    <row r="2634" spans="1:22" x14ac:dyDescent="0.3">
      <c r="A2634" t="str">
        <f t="shared" si="82"/>
        <v>LEITE CONDENSADOLACTALIS</v>
      </c>
      <c r="B2634" t="str">
        <f t="shared" si="83"/>
        <v>5286846LEITE CONDENSADOLACTALIS</v>
      </c>
      <c r="C2634" s="5" t="s">
        <v>226</v>
      </c>
      <c r="D2634" s="5" t="s">
        <v>227</v>
      </c>
      <c r="E2634" s="5" t="s">
        <v>1722</v>
      </c>
      <c r="F2634" s="5">
        <v>5286846</v>
      </c>
      <c r="G2634" s="5" t="s">
        <v>630</v>
      </c>
      <c r="H2634" s="5" t="s">
        <v>30</v>
      </c>
      <c r="I2634" s="5" t="s">
        <v>22</v>
      </c>
      <c r="J2634" s="5" t="s">
        <v>33</v>
      </c>
      <c r="K2634" s="6">
        <v>0</v>
      </c>
      <c r="L2634" s="7">
        <v>0</v>
      </c>
      <c r="M2634" s="8">
        <v>2.3333333333333335</v>
      </c>
      <c r="N2634" s="8">
        <v>4.666666666666667</v>
      </c>
      <c r="O2634" s="8">
        <v>14</v>
      </c>
      <c r="P2634" s="8">
        <v>0</v>
      </c>
      <c r="Q2634" s="8">
        <v>0</v>
      </c>
      <c r="R2634" s="8">
        <v>0</v>
      </c>
      <c r="S2634" s="8">
        <v>0</v>
      </c>
      <c r="T2634" s="5">
        <v>0</v>
      </c>
      <c r="U2634" s="5">
        <v>0</v>
      </c>
      <c r="V2634" s="5">
        <f>VLOOKUP(A2634,Planilha1!B:E,4,0)</f>
        <v>1.8665071822970765</v>
      </c>
    </row>
    <row r="2635" spans="1:22" x14ac:dyDescent="0.3">
      <c r="A2635" t="str">
        <f t="shared" si="82"/>
        <v>LEITE EM PÓLACTALIS</v>
      </c>
      <c r="B2635" t="str">
        <f t="shared" si="83"/>
        <v>5286858LEITE EM PÓLACTALIS</v>
      </c>
      <c r="C2635" s="5" t="s">
        <v>226</v>
      </c>
      <c r="D2635" s="5" t="s">
        <v>227</v>
      </c>
      <c r="E2635" s="5" t="s">
        <v>1722</v>
      </c>
      <c r="F2635" s="5">
        <v>5286858</v>
      </c>
      <c r="G2635" s="5" t="s">
        <v>458</v>
      </c>
      <c r="H2635" s="5" t="s">
        <v>30</v>
      </c>
      <c r="I2635" s="5" t="s">
        <v>22</v>
      </c>
      <c r="J2635" s="5" t="s">
        <v>84</v>
      </c>
      <c r="K2635" s="6">
        <v>0</v>
      </c>
      <c r="L2635" s="7">
        <v>0</v>
      </c>
      <c r="M2635" s="8">
        <v>1.5</v>
      </c>
      <c r="N2635" s="8">
        <v>3</v>
      </c>
      <c r="O2635" s="8">
        <v>0</v>
      </c>
      <c r="P2635" s="8">
        <v>0</v>
      </c>
      <c r="Q2635" s="8">
        <v>0</v>
      </c>
      <c r="R2635" s="8">
        <v>0</v>
      </c>
      <c r="S2635" s="8">
        <v>0</v>
      </c>
      <c r="T2635" s="5">
        <v>0</v>
      </c>
      <c r="U2635" s="5">
        <v>0</v>
      </c>
      <c r="V2635" s="5">
        <f>VLOOKUP(A2635,Planilha1!B:E,4,0)</f>
        <v>-2.8055507108797499</v>
      </c>
    </row>
    <row r="2636" spans="1:22" x14ac:dyDescent="0.3">
      <c r="A2636" t="str">
        <f t="shared" si="82"/>
        <v>IOGURTESLACTALIS</v>
      </c>
      <c r="B2636" t="str">
        <f t="shared" si="83"/>
        <v>5287152IOGURTESLACTALIS</v>
      </c>
      <c r="C2636" s="5" t="s">
        <v>226</v>
      </c>
      <c r="D2636" s="5" t="s">
        <v>227</v>
      </c>
      <c r="E2636" s="5" t="s">
        <v>1722</v>
      </c>
      <c r="F2636" s="5">
        <v>5287152</v>
      </c>
      <c r="G2636" s="5" t="s">
        <v>459</v>
      </c>
      <c r="H2636" s="5" t="s">
        <v>30</v>
      </c>
      <c r="I2636" s="5" t="s">
        <v>22</v>
      </c>
      <c r="J2636" s="5" t="s">
        <v>153</v>
      </c>
      <c r="K2636" s="6">
        <v>0</v>
      </c>
      <c r="L2636" s="7">
        <v>43.2</v>
      </c>
      <c r="M2636" s="8">
        <v>18.899999999999999</v>
      </c>
      <c r="N2636" s="8">
        <v>16.2</v>
      </c>
      <c r="O2636" s="8">
        <v>18.337703022399584</v>
      </c>
      <c r="P2636" s="8">
        <v>0</v>
      </c>
      <c r="Q2636" s="8">
        <v>0</v>
      </c>
      <c r="R2636" s="8">
        <v>0</v>
      </c>
      <c r="S2636" s="8">
        <v>0</v>
      </c>
      <c r="T2636" s="5">
        <v>0</v>
      </c>
      <c r="U2636" s="5">
        <v>0</v>
      </c>
      <c r="V2636" s="5">
        <f>VLOOKUP(A2636,Planilha1!B:E,4,0)</f>
        <v>3.0503167986984403</v>
      </c>
    </row>
    <row r="2637" spans="1:22" x14ac:dyDescent="0.3">
      <c r="A2637" t="str">
        <f t="shared" si="82"/>
        <v>QUEIJOSLACTALIS</v>
      </c>
      <c r="B2637" t="str">
        <f t="shared" si="83"/>
        <v>5287152QUEIJOSLACTALIS</v>
      </c>
      <c r="C2637" s="5" t="s">
        <v>226</v>
      </c>
      <c r="D2637" s="5" t="s">
        <v>227</v>
      </c>
      <c r="E2637" s="5" t="s">
        <v>1722</v>
      </c>
      <c r="F2637" s="5">
        <v>5287152</v>
      </c>
      <c r="G2637" s="5" t="s">
        <v>459</v>
      </c>
      <c r="H2637" s="5" t="s">
        <v>30</v>
      </c>
      <c r="I2637" s="5" t="s">
        <v>22</v>
      </c>
      <c r="J2637" s="5" t="s">
        <v>63</v>
      </c>
      <c r="K2637" s="6">
        <v>0</v>
      </c>
      <c r="L2637" s="7">
        <v>14.4</v>
      </c>
      <c r="M2637" s="8">
        <v>8.7999999999999989</v>
      </c>
      <c r="N2637" s="8">
        <v>6.3999999999999995</v>
      </c>
      <c r="O2637" s="8">
        <v>8.1488239036766323</v>
      </c>
      <c r="P2637" s="8">
        <v>0</v>
      </c>
      <c r="Q2637" s="8">
        <v>0</v>
      </c>
      <c r="R2637" s="8">
        <v>0</v>
      </c>
      <c r="S2637" s="8">
        <v>0</v>
      </c>
      <c r="T2637" s="5">
        <v>0</v>
      </c>
      <c r="U2637" s="5">
        <v>0</v>
      </c>
      <c r="V2637" s="5">
        <f>VLOOKUP(A2637,Planilha1!B:E,4,0)</f>
        <v>-1.9171310037550682</v>
      </c>
    </row>
    <row r="2638" spans="1:22" x14ac:dyDescent="0.3">
      <c r="A2638" t="str">
        <f t="shared" si="82"/>
        <v>IOGURTESLACTALIS</v>
      </c>
      <c r="B2638" t="str">
        <f t="shared" si="83"/>
        <v>5288228IOGURTESLACTALIS</v>
      </c>
      <c r="C2638" s="5" t="s">
        <v>226</v>
      </c>
      <c r="D2638" s="5" t="s">
        <v>227</v>
      </c>
      <c r="E2638" s="5" t="s">
        <v>1722</v>
      </c>
      <c r="F2638" s="5">
        <v>5288228</v>
      </c>
      <c r="G2638" s="5" t="s">
        <v>631</v>
      </c>
      <c r="H2638" s="5" t="s">
        <v>30</v>
      </c>
      <c r="I2638" s="5" t="s">
        <v>22</v>
      </c>
      <c r="J2638" s="5" t="s">
        <v>153</v>
      </c>
      <c r="K2638" s="6">
        <v>0</v>
      </c>
      <c r="L2638" s="7">
        <v>0</v>
      </c>
      <c r="M2638" s="8">
        <v>9.879999999999999</v>
      </c>
      <c r="N2638" s="8">
        <v>3.0666666666666664</v>
      </c>
      <c r="O2638" s="8">
        <v>2.2850897799820484</v>
      </c>
      <c r="P2638" s="8">
        <v>0</v>
      </c>
      <c r="Q2638" s="8">
        <v>0</v>
      </c>
      <c r="R2638" s="8">
        <v>0</v>
      </c>
      <c r="S2638" s="8">
        <v>0</v>
      </c>
      <c r="T2638" s="5">
        <v>0</v>
      </c>
      <c r="U2638" s="5">
        <v>0</v>
      </c>
      <c r="V2638" s="5">
        <f>VLOOKUP(A2638,Planilha1!B:E,4,0)</f>
        <v>3.0503167986984403</v>
      </c>
    </row>
    <row r="2639" spans="1:22" x14ac:dyDescent="0.3">
      <c r="A2639" t="str">
        <f t="shared" si="82"/>
        <v>SPREADSLACTALIS</v>
      </c>
      <c r="B2639" t="str">
        <f t="shared" si="83"/>
        <v>5288228SPREADSLACTALIS</v>
      </c>
      <c r="C2639" s="5" t="s">
        <v>226</v>
      </c>
      <c r="D2639" s="5" t="s">
        <v>227</v>
      </c>
      <c r="E2639" s="5" t="s">
        <v>1722</v>
      </c>
      <c r="F2639" s="5">
        <v>5288228</v>
      </c>
      <c r="G2639" s="5" t="s">
        <v>631</v>
      </c>
      <c r="H2639" s="5" t="s">
        <v>30</v>
      </c>
      <c r="I2639" s="5" t="s">
        <v>22</v>
      </c>
      <c r="J2639" s="5" t="s">
        <v>945</v>
      </c>
      <c r="K2639" s="6">
        <v>0</v>
      </c>
      <c r="L2639" s="7">
        <v>70.7</v>
      </c>
      <c r="M2639" s="8">
        <v>92.45</v>
      </c>
      <c r="N2639" s="8">
        <v>73.333333333333329</v>
      </c>
      <c r="O2639" s="8">
        <v>80.371337298919755</v>
      </c>
      <c r="P2639" s="8">
        <v>0</v>
      </c>
      <c r="Q2639" s="8">
        <v>36</v>
      </c>
      <c r="R2639" s="8">
        <v>0</v>
      </c>
      <c r="S2639" s="8">
        <v>0</v>
      </c>
      <c r="T2639" s="5">
        <v>0</v>
      </c>
      <c r="U2639" s="5">
        <v>0</v>
      </c>
      <c r="V2639" s="5">
        <f>VLOOKUP(A2639,Planilha1!B:E,4,0)</f>
        <v>13.599044988219518</v>
      </c>
    </row>
    <row r="2640" spans="1:22" x14ac:dyDescent="0.3">
      <c r="A2640" t="str">
        <f t="shared" si="82"/>
        <v>QUEIJOSLACTALIS</v>
      </c>
      <c r="B2640" t="str">
        <f t="shared" si="83"/>
        <v>5291412QUEIJOSLACTALIS</v>
      </c>
      <c r="C2640" s="5" t="s">
        <v>226</v>
      </c>
      <c r="D2640" s="5" t="s">
        <v>227</v>
      </c>
      <c r="E2640" s="5" t="s">
        <v>1722</v>
      </c>
      <c r="F2640" s="5">
        <v>5291412</v>
      </c>
      <c r="G2640" s="5" t="s">
        <v>635</v>
      </c>
      <c r="H2640" s="5" t="s">
        <v>30</v>
      </c>
      <c r="I2640" s="5" t="s">
        <v>22</v>
      </c>
      <c r="J2640" s="5" t="s">
        <v>63</v>
      </c>
      <c r="K2640" s="6">
        <v>0</v>
      </c>
      <c r="L2640" s="7">
        <v>0</v>
      </c>
      <c r="M2640" s="8">
        <v>1.1666666666666667</v>
      </c>
      <c r="N2640" s="8">
        <v>0.33333333333333331</v>
      </c>
      <c r="O2640" s="8">
        <v>1.6810510850242006</v>
      </c>
      <c r="P2640" s="8">
        <v>0</v>
      </c>
      <c r="Q2640" s="8">
        <v>0</v>
      </c>
      <c r="R2640" s="8">
        <v>0</v>
      </c>
      <c r="S2640" s="8">
        <v>0</v>
      </c>
      <c r="T2640" s="5">
        <v>0</v>
      </c>
      <c r="U2640" s="5">
        <v>0</v>
      </c>
      <c r="V2640" s="5">
        <f>VLOOKUP(A2640,Planilha1!B:E,4,0)</f>
        <v>-1.9171310037550682</v>
      </c>
    </row>
    <row r="2641" spans="1:22" x14ac:dyDescent="0.3">
      <c r="A2641" t="str">
        <f t="shared" si="82"/>
        <v>LEITE UHTLACTALIS</v>
      </c>
      <c r="B2641" t="str">
        <f t="shared" si="83"/>
        <v>5291412LEITE UHTLACTALIS</v>
      </c>
      <c r="C2641" s="5" t="s">
        <v>226</v>
      </c>
      <c r="D2641" s="5" t="s">
        <v>227</v>
      </c>
      <c r="E2641" s="5" t="s">
        <v>1722</v>
      </c>
      <c r="F2641" s="5">
        <v>5291412</v>
      </c>
      <c r="G2641" s="5" t="s">
        <v>635</v>
      </c>
      <c r="H2641" s="5" t="s">
        <v>30</v>
      </c>
      <c r="I2641" s="5" t="s">
        <v>22</v>
      </c>
      <c r="J2641" s="5" t="s">
        <v>156</v>
      </c>
      <c r="K2641" s="6">
        <v>0</v>
      </c>
      <c r="L2641" s="7">
        <v>0</v>
      </c>
      <c r="M2641" s="8">
        <v>28</v>
      </c>
      <c r="N2641" s="8">
        <v>36</v>
      </c>
      <c r="O2641" s="8">
        <v>0</v>
      </c>
      <c r="P2641" s="8">
        <v>0</v>
      </c>
      <c r="Q2641" s="8">
        <v>36</v>
      </c>
      <c r="R2641" s="8">
        <v>0</v>
      </c>
      <c r="S2641" s="8">
        <v>0</v>
      </c>
      <c r="T2641" s="5">
        <v>0</v>
      </c>
      <c r="U2641" s="5">
        <v>0</v>
      </c>
      <c r="V2641" s="5">
        <f>VLOOKUP(A2641,Planilha1!B:E,4,0)</f>
        <v>0.37177548115779385</v>
      </c>
    </row>
    <row r="2642" spans="1:22" x14ac:dyDescent="0.3">
      <c r="A2642" t="str">
        <f t="shared" si="82"/>
        <v>LEITE EM PÓLACTALIS</v>
      </c>
      <c r="B2642" t="str">
        <f t="shared" si="83"/>
        <v>5291412LEITE EM PÓLACTALIS</v>
      </c>
      <c r="C2642" s="5" t="s">
        <v>226</v>
      </c>
      <c r="D2642" s="5" t="s">
        <v>227</v>
      </c>
      <c r="E2642" s="5" t="s">
        <v>1722</v>
      </c>
      <c r="F2642" s="5">
        <v>5291412</v>
      </c>
      <c r="G2642" s="5" t="s">
        <v>635</v>
      </c>
      <c r="H2642" s="5" t="s">
        <v>30</v>
      </c>
      <c r="I2642" s="5" t="s">
        <v>22</v>
      </c>
      <c r="J2642" s="5" t="s">
        <v>84</v>
      </c>
      <c r="K2642" s="6">
        <v>0</v>
      </c>
      <c r="L2642" s="7">
        <v>0</v>
      </c>
      <c r="M2642" s="8">
        <v>9.8333333333333339</v>
      </c>
      <c r="N2642" s="8">
        <v>10</v>
      </c>
      <c r="O2642" s="8">
        <v>5.322378689534248</v>
      </c>
      <c r="P2642" s="8">
        <v>0</v>
      </c>
      <c r="Q2642" s="8">
        <v>10</v>
      </c>
      <c r="R2642" s="8">
        <v>0</v>
      </c>
      <c r="S2642" s="8">
        <v>0</v>
      </c>
      <c r="T2642" s="5">
        <v>0</v>
      </c>
      <c r="U2642" s="5">
        <v>0</v>
      </c>
      <c r="V2642" s="5">
        <f>VLOOKUP(A2642,Planilha1!B:E,4,0)</f>
        <v>-2.8055507108797499</v>
      </c>
    </row>
    <row r="2643" spans="1:22" x14ac:dyDescent="0.3">
      <c r="A2643" t="str">
        <f t="shared" si="82"/>
        <v>CREME UHTLACTALIS</v>
      </c>
      <c r="B2643" t="str">
        <f t="shared" si="83"/>
        <v>5291635CREME UHTLACTALIS</v>
      </c>
      <c r="C2643" s="5" t="s">
        <v>226</v>
      </c>
      <c r="D2643" s="5" t="s">
        <v>227</v>
      </c>
      <c r="E2643" s="5" t="s">
        <v>1722</v>
      </c>
      <c r="F2643" s="5">
        <v>5291635</v>
      </c>
      <c r="G2643" s="5" t="s">
        <v>1090</v>
      </c>
      <c r="H2643" s="5" t="s">
        <v>30</v>
      </c>
      <c r="I2643" s="5" t="s">
        <v>22</v>
      </c>
      <c r="J2643" s="5" t="s">
        <v>34</v>
      </c>
      <c r="K2643" s="6">
        <v>0</v>
      </c>
      <c r="L2643" s="7">
        <v>0</v>
      </c>
      <c r="M2643" s="8">
        <v>0.9</v>
      </c>
      <c r="N2643" s="8">
        <v>1.8</v>
      </c>
      <c r="O2643" s="8">
        <v>5.4</v>
      </c>
      <c r="P2643" s="8">
        <v>0</v>
      </c>
      <c r="Q2643" s="8">
        <v>0</v>
      </c>
      <c r="R2643" s="8">
        <v>0</v>
      </c>
      <c r="S2643" s="8">
        <v>0</v>
      </c>
      <c r="T2643" s="5">
        <v>0</v>
      </c>
      <c r="U2643" s="5">
        <v>0</v>
      </c>
      <c r="V2643" s="5">
        <f>VLOOKUP(A2643,Planilha1!B:E,4,0)</f>
        <v>-1.4094522863012933</v>
      </c>
    </row>
    <row r="2644" spans="1:22" x14ac:dyDescent="0.3">
      <c r="A2644" t="str">
        <f t="shared" si="82"/>
        <v>SPREADSLACTALIS</v>
      </c>
      <c r="B2644" t="str">
        <f t="shared" si="83"/>
        <v>5291635SPREADSLACTALIS</v>
      </c>
      <c r="C2644" s="5" t="s">
        <v>226</v>
      </c>
      <c r="D2644" s="5" t="s">
        <v>227</v>
      </c>
      <c r="E2644" s="5" t="s">
        <v>1722</v>
      </c>
      <c r="F2644" s="5">
        <v>5291635</v>
      </c>
      <c r="G2644" s="5" t="s">
        <v>1090</v>
      </c>
      <c r="H2644" s="5" t="s">
        <v>30</v>
      </c>
      <c r="I2644" s="5" t="s">
        <v>22</v>
      </c>
      <c r="J2644" s="5" t="s">
        <v>945</v>
      </c>
      <c r="K2644" s="6">
        <v>0</v>
      </c>
      <c r="L2644" s="7">
        <v>0</v>
      </c>
      <c r="M2644" s="8">
        <v>1.0999999999999999</v>
      </c>
      <c r="N2644" s="8">
        <v>2.1999999999999997</v>
      </c>
      <c r="O2644" s="8">
        <v>0</v>
      </c>
      <c r="P2644" s="8">
        <v>0</v>
      </c>
      <c r="Q2644" s="8">
        <v>0</v>
      </c>
      <c r="R2644" s="8">
        <v>0</v>
      </c>
      <c r="S2644" s="8">
        <v>0</v>
      </c>
      <c r="T2644" s="5">
        <v>0</v>
      </c>
      <c r="U2644" s="5">
        <v>0</v>
      </c>
      <c r="V2644" s="5">
        <f>VLOOKUP(A2644,Planilha1!B:E,4,0)</f>
        <v>13.599044988219518</v>
      </c>
    </row>
    <row r="2645" spans="1:22" x14ac:dyDescent="0.3">
      <c r="A2645" t="str">
        <f t="shared" si="82"/>
        <v>SPREADSLACTALIS</v>
      </c>
      <c r="B2645" t="str">
        <f t="shared" si="83"/>
        <v>5291710SPREADSLACTALIS</v>
      </c>
      <c r="C2645" s="5" t="s">
        <v>226</v>
      </c>
      <c r="D2645" s="5" t="s">
        <v>227</v>
      </c>
      <c r="E2645" s="5" t="s">
        <v>1722</v>
      </c>
      <c r="F2645" s="5">
        <v>5291710</v>
      </c>
      <c r="G2645" s="5" t="s">
        <v>1337</v>
      </c>
      <c r="H2645" s="5" t="s">
        <v>30</v>
      </c>
      <c r="I2645" s="5" t="s">
        <v>22</v>
      </c>
      <c r="J2645" s="5" t="s">
        <v>945</v>
      </c>
      <c r="K2645" s="6">
        <v>0</v>
      </c>
      <c r="L2645" s="7">
        <v>8</v>
      </c>
      <c r="M2645" s="8">
        <v>10</v>
      </c>
      <c r="N2645" s="8">
        <v>10.666666666666666</v>
      </c>
      <c r="O2645" s="8">
        <v>10.092004988399523</v>
      </c>
      <c r="P2645" s="8">
        <v>0</v>
      </c>
      <c r="Q2645" s="8">
        <v>4</v>
      </c>
      <c r="R2645" s="8">
        <v>0</v>
      </c>
      <c r="S2645" s="8">
        <v>0</v>
      </c>
      <c r="T2645" s="5">
        <v>0</v>
      </c>
      <c r="U2645" s="5">
        <v>0</v>
      </c>
      <c r="V2645" s="5">
        <f>VLOOKUP(A2645,Planilha1!B:E,4,0)</f>
        <v>13.599044988219518</v>
      </c>
    </row>
    <row r="2646" spans="1:22" x14ac:dyDescent="0.3">
      <c r="A2646" t="str">
        <f t="shared" si="82"/>
        <v>LEITE UHTLACTALIS</v>
      </c>
      <c r="B2646" t="str">
        <f t="shared" si="83"/>
        <v>5291816LEITE UHTLACTALIS</v>
      </c>
      <c r="C2646" s="5" t="s">
        <v>226</v>
      </c>
      <c r="D2646" s="5" t="s">
        <v>227</v>
      </c>
      <c r="E2646" s="5" t="s">
        <v>1722</v>
      </c>
      <c r="F2646" s="5">
        <v>5291816</v>
      </c>
      <c r="G2646" s="5" t="s">
        <v>1338</v>
      </c>
      <c r="H2646" s="5" t="s">
        <v>30</v>
      </c>
      <c r="I2646" s="5" t="s">
        <v>22</v>
      </c>
      <c r="J2646" s="5" t="s">
        <v>156</v>
      </c>
      <c r="K2646" s="6">
        <v>0</v>
      </c>
      <c r="L2646" s="7">
        <v>0</v>
      </c>
      <c r="M2646" s="8">
        <v>6</v>
      </c>
      <c r="N2646" s="8">
        <v>12</v>
      </c>
      <c r="O2646" s="8">
        <v>0</v>
      </c>
      <c r="P2646" s="8">
        <v>0</v>
      </c>
      <c r="Q2646" s="8">
        <v>0</v>
      </c>
      <c r="R2646" s="8">
        <v>0</v>
      </c>
      <c r="S2646" s="8">
        <v>0</v>
      </c>
      <c r="T2646" s="5">
        <v>0</v>
      </c>
      <c r="U2646" s="5">
        <v>0</v>
      </c>
      <c r="V2646" s="5">
        <f>VLOOKUP(A2646,Planilha1!B:E,4,0)</f>
        <v>0.37177548115779385</v>
      </c>
    </row>
    <row r="2647" spans="1:22" x14ac:dyDescent="0.3">
      <c r="A2647" t="str">
        <f t="shared" si="82"/>
        <v>QUEIJOSLACTALIS</v>
      </c>
      <c r="B2647" t="str">
        <f t="shared" si="83"/>
        <v>5291816QUEIJOSLACTALIS</v>
      </c>
      <c r="C2647" s="5" t="s">
        <v>226</v>
      </c>
      <c r="D2647" s="5" t="s">
        <v>227</v>
      </c>
      <c r="E2647" s="5" t="s">
        <v>1722</v>
      </c>
      <c r="F2647" s="5">
        <v>5291816</v>
      </c>
      <c r="G2647" s="5" t="s">
        <v>1338</v>
      </c>
      <c r="H2647" s="5" t="s">
        <v>30</v>
      </c>
      <c r="I2647" s="5" t="s">
        <v>22</v>
      </c>
      <c r="J2647" s="5" t="s">
        <v>63</v>
      </c>
      <c r="K2647" s="6">
        <v>0</v>
      </c>
      <c r="L2647" s="7">
        <v>0</v>
      </c>
      <c r="M2647" s="8">
        <v>7.7883333333333331</v>
      </c>
      <c r="N2647" s="8">
        <v>15.576666666666666</v>
      </c>
      <c r="O2647" s="8">
        <v>0</v>
      </c>
      <c r="P2647" s="8">
        <v>0</v>
      </c>
      <c r="Q2647" s="8">
        <v>0</v>
      </c>
      <c r="R2647" s="8">
        <v>0</v>
      </c>
      <c r="S2647" s="8">
        <v>0</v>
      </c>
      <c r="T2647" s="5">
        <v>0</v>
      </c>
      <c r="U2647" s="5">
        <v>0</v>
      </c>
      <c r="V2647" s="5">
        <f>VLOOKUP(A2647,Planilha1!B:E,4,0)</f>
        <v>-1.9171310037550682</v>
      </c>
    </row>
    <row r="2648" spans="1:22" x14ac:dyDescent="0.3">
      <c r="A2648" t="str">
        <f t="shared" si="82"/>
        <v>MERC + AROMLACTALIS</v>
      </c>
      <c r="B2648" t="str">
        <f t="shared" si="83"/>
        <v>5292048MERC + AROMLACTALIS</v>
      </c>
      <c r="C2648" s="5" t="s">
        <v>226</v>
      </c>
      <c r="D2648" s="5" t="s">
        <v>227</v>
      </c>
      <c r="E2648" s="5" t="s">
        <v>1722</v>
      </c>
      <c r="F2648" s="5">
        <v>5292048</v>
      </c>
      <c r="G2648" s="5" t="s">
        <v>323</v>
      </c>
      <c r="H2648" s="5" t="s">
        <v>30</v>
      </c>
      <c r="I2648" s="5" t="s">
        <v>22</v>
      </c>
      <c r="J2648" s="5" t="s">
        <v>230</v>
      </c>
      <c r="K2648" s="6">
        <v>0</v>
      </c>
      <c r="L2648" s="7">
        <v>5.4</v>
      </c>
      <c r="M2648" s="8">
        <v>2.7</v>
      </c>
      <c r="N2648" s="8">
        <v>3.6</v>
      </c>
      <c r="O2648" s="8">
        <v>3.0429873878065186</v>
      </c>
      <c r="P2648" s="8">
        <v>0</v>
      </c>
      <c r="Q2648" s="8">
        <v>0</v>
      </c>
      <c r="R2648" s="8">
        <v>0</v>
      </c>
      <c r="S2648" s="8">
        <v>0</v>
      </c>
      <c r="T2648" s="5">
        <v>0</v>
      </c>
      <c r="U2648" s="5">
        <v>0</v>
      </c>
      <c r="V2648" s="5">
        <f>VLOOKUP(A2648,Planilha1!B:E,4,0)</f>
        <v>0.86907188046232187</v>
      </c>
    </row>
    <row r="2649" spans="1:22" x14ac:dyDescent="0.3">
      <c r="A2649" t="str">
        <f t="shared" si="82"/>
        <v>IOGURTESLACTALIS</v>
      </c>
      <c r="B2649" t="str">
        <f t="shared" si="83"/>
        <v>5292048IOGURTESLACTALIS</v>
      </c>
      <c r="C2649" s="5" t="s">
        <v>226</v>
      </c>
      <c r="D2649" s="5" t="s">
        <v>227</v>
      </c>
      <c r="E2649" s="5" t="s">
        <v>1722</v>
      </c>
      <c r="F2649" s="5">
        <v>5292048</v>
      </c>
      <c r="G2649" s="5" t="s">
        <v>323</v>
      </c>
      <c r="H2649" s="5" t="s">
        <v>30</v>
      </c>
      <c r="I2649" s="5" t="s">
        <v>22</v>
      </c>
      <c r="J2649" s="5" t="s">
        <v>153</v>
      </c>
      <c r="K2649" s="6">
        <v>0</v>
      </c>
      <c r="L2649" s="7">
        <v>4.08</v>
      </c>
      <c r="M2649" s="8">
        <v>1.36</v>
      </c>
      <c r="N2649" s="8">
        <v>1.36</v>
      </c>
      <c r="O2649" s="8">
        <v>3.45327782211751</v>
      </c>
      <c r="P2649" s="8">
        <v>0</v>
      </c>
      <c r="Q2649" s="8">
        <v>0</v>
      </c>
      <c r="R2649" s="8">
        <v>0</v>
      </c>
      <c r="S2649" s="8">
        <v>0</v>
      </c>
      <c r="T2649" s="5">
        <v>0</v>
      </c>
      <c r="U2649" s="5">
        <v>0</v>
      </c>
      <c r="V2649" s="5">
        <f>VLOOKUP(A2649,Planilha1!B:E,4,0)</f>
        <v>3.0503167986984403</v>
      </c>
    </row>
    <row r="2650" spans="1:22" x14ac:dyDescent="0.3">
      <c r="A2650" t="str">
        <f t="shared" si="82"/>
        <v>LEITE EM PÓLACTALIS</v>
      </c>
      <c r="B2650" t="str">
        <f t="shared" si="83"/>
        <v>5292294LEITE EM PÓLACTALIS</v>
      </c>
      <c r="C2650" s="5" t="s">
        <v>226</v>
      </c>
      <c r="D2650" s="5" t="s">
        <v>227</v>
      </c>
      <c r="E2650" s="5" t="s">
        <v>1722</v>
      </c>
      <c r="F2650" s="5">
        <v>5292294</v>
      </c>
      <c r="G2650" s="5" t="s">
        <v>326</v>
      </c>
      <c r="H2650" s="5" t="s">
        <v>30</v>
      </c>
      <c r="I2650" s="5" t="s">
        <v>22</v>
      </c>
      <c r="J2650" s="5" t="s">
        <v>84</v>
      </c>
      <c r="K2650" s="6">
        <v>0</v>
      </c>
      <c r="L2650" s="7">
        <v>0</v>
      </c>
      <c r="M2650" s="8">
        <v>1.5</v>
      </c>
      <c r="N2650" s="8">
        <v>3</v>
      </c>
      <c r="O2650" s="8">
        <v>2.8207467358880653</v>
      </c>
      <c r="P2650" s="8">
        <v>0</v>
      </c>
      <c r="Q2650" s="8">
        <v>0</v>
      </c>
      <c r="R2650" s="8">
        <v>0</v>
      </c>
      <c r="S2650" s="8">
        <v>0</v>
      </c>
      <c r="T2650" s="5">
        <v>0</v>
      </c>
      <c r="U2650" s="5">
        <v>0</v>
      </c>
      <c r="V2650" s="5">
        <f>VLOOKUP(A2650,Planilha1!B:E,4,0)</f>
        <v>-2.8055507108797499</v>
      </c>
    </row>
    <row r="2651" spans="1:22" x14ac:dyDescent="0.3">
      <c r="A2651" t="str">
        <f t="shared" si="82"/>
        <v>QUEIJOSLACTALIS</v>
      </c>
      <c r="B2651" t="str">
        <f t="shared" si="83"/>
        <v>5292313QUEIJOSLACTALIS</v>
      </c>
      <c r="C2651" s="5" t="s">
        <v>16</v>
      </c>
      <c r="D2651" s="5" t="s">
        <v>17</v>
      </c>
      <c r="E2651" s="5" t="s">
        <v>44</v>
      </c>
      <c r="F2651" s="5">
        <v>5292313</v>
      </c>
      <c r="G2651" s="5" t="s">
        <v>1339</v>
      </c>
      <c r="H2651" s="5" t="s">
        <v>25</v>
      </c>
      <c r="I2651" s="5" t="s">
        <v>22</v>
      </c>
      <c r="J2651" s="5" t="s">
        <v>63</v>
      </c>
      <c r="K2651" s="6">
        <v>0</v>
      </c>
      <c r="L2651" s="7">
        <v>0</v>
      </c>
      <c r="M2651" s="8">
        <v>714.86566666666658</v>
      </c>
      <c r="N2651" s="8">
        <v>1429.7313333333334</v>
      </c>
      <c r="O2651" s="8">
        <v>0</v>
      </c>
      <c r="P2651" s="8">
        <v>0</v>
      </c>
      <c r="Q2651" s="8">
        <v>380</v>
      </c>
      <c r="R2651" s="8">
        <v>0</v>
      </c>
      <c r="S2651" s="8">
        <v>0</v>
      </c>
      <c r="T2651" s="5">
        <v>0</v>
      </c>
      <c r="U2651" s="5">
        <v>0</v>
      </c>
      <c r="V2651" s="5">
        <f>VLOOKUP(A2651,Planilha1!B:E,4,0)</f>
        <v>-1.9171310037550682</v>
      </c>
    </row>
    <row r="2652" spans="1:22" x14ac:dyDescent="0.3">
      <c r="A2652" t="str">
        <f t="shared" si="82"/>
        <v>CREME UHTLACTALIS</v>
      </c>
      <c r="B2652" t="str">
        <f t="shared" si="83"/>
        <v>5294345CREME UHTLACTALIS</v>
      </c>
      <c r="C2652" s="5" t="s">
        <v>226</v>
      </c>
      <c r="D2652" s="5" t="s">
        <v>227</v>
      </c>
      <c r="E2652" s="5" t="s">
        <v>1722</v>
      </c>
      <c r="F2652" s="5">
        <v>5294345</v>
      </c>
      <c r="G2652" s="5" t="s">
        <v>329</v>
      </c>
      <c r="H2652" s="5" t="s">
        <v>30</v>
      </c>
      <c r="I2652" s="5" t="s">
        <v>22</v>
      </c>
      <c r="J2652" s="5" t="s">
        <v>34</v>
      </c>
      <c r="K2652" s="6">
        <v>0</v>
      </c>
      <c r="L2652" s="7">
        <v>0</v>
      </c>
      <c r="M2652" s="8">
        <v>1.8</v>
      </c>
      <c r="N2652" s="8">
        <v>1.8</v>
      </c>
      <c r="O2652" s="8">
        <v>5.4</v>
      </c>
      <c r="P2652" s="8">
        <v>0</v>
      </c>
      <c r="Q2652" s="8">
        <v>0</v>
      </c>
      <c r="R2652" s="8">
        <v>0</v>
      </c>
      <c r="S2652" s="8">
        <v>0</v>
      </c>
      <c r="T2652" s="5">
        <v>0</v>
      </c>
      <c r="U2652" s="5">
        <v>0</v>
      </c>
      <c r="V2652" s="5">
        <f>VLOOKUP(A2652,Planilha1!B:E,4,0)</f>
        <v>-1.4094522863012933</v>
      </c>
    </row>
    <row r="2653" spans="1:22" x14ac:dyDescent="0.3">
      <c r="A2653" t="str">
        <f t="shared" si="82"/>
        <v>IOGURTESLACTALIS</v>
      </c>
      <c r="B2653" t="str">
        <f t="shared" si="83"/>
        <v>5321719IOGURTESLACTALIS</v>
      </c>
      <c r="C2653" s="5" t="s">
        <v>226</v>
      </c>
      <c r="D2653" s="5" t="s">
        <v>227</v>
      </c>
      <c r="E2653" s="5" t="s">
        <v>1722</v>
      </c>
      <c r="F2653" s="5">
        <v>5321719</v>
      </c>
      <c r="G2653" s="5" t="s">
        <v>521</v>
      </c>
      <c r="H2653" s="5" t="s">
        <v>30</v>
      </c>
      <c r="I2653" s="5" t="s">
        <v>22</v>
      </c>
      <c r="J2653" s="5" t="s">
        <v>153</v>
      </c>
      <c r="K2653" s="6">
        <v>0</v>
      </c>
      <c r="L2653" s="7">
        <v>73.44</v>
      </c>
      <c r="M2653" s="8">
        <v>116.96000000000001</v>
      </c>
      <c r="N2653" s="8">
        <v>107.44000000000001</v>
      </c>
      <c r="O2653" s="8">
        <v>72.154131656191268</v>
      </c>
      <c r="P2653" s="8">
        <v>0</v>
      </c>
      <c r="Q2653" s="8">
        <v>78.239999999999995</v>
      </c>
      <c r="R2653" s="8">
        <v>0</v>
      </c>
      <c r="S2653" s="8">
        <v>0</v>
      </c>
      <c r="T2653" s="5">
        <v>0</v>
      </c>
      <c r="U2653" s="5">
        <v>0</v>
      </c>
      <c r="V2653" s="5">
        <f>VLOOKUP(A2653,Planilha1!B:E,4,0)</f>
        <v>3.0503167986984403</v>
      </c>
    </row>
    <row r="2654" spans="1:22" x14ac:dyDescent="0.3">
      <c r="A2654" t="str">
        <f t="shared" si="82"/>
        <v>LEITE CONDENSADOLACTALIS</v>
      </c>
      <c r="B2654" t="str">
        <f t="shared" si="83"/>
        <v>5294345LEITE CONDENSADOLACTALIS</v>
      </c>
      <c r="C2654" s="5" t="s">
        <v>226</v>
      </c>
      <c r="D2654" s="5" t="s">
        <v>227</v>
      </c>
      <c r="E2654" s="5" t="s">
        <v>1722</v>
      </c>
      <c r="F2654" s="5">
        <v>5294345</v>
      </c>
      <c r="G2654" s="5" t="s">
        <v>329</v>
      </c>
      <c r="H2654" s="5" t="s">
        <v>30</v>
      </c>
      <c r="I2654" s="5" t="s">
        <v>22</v>
      </c>
      <c r="J2654" s="5" t="s">
        <v>33</v>
      </c>
      <c r="K2654" s="6">
        <v>0</v>
      </c>
      <c r="L2654" s="7">
        <v>0</v>
      </c>
      <c r="M2654" s="8">
        <v>3.3574999999999999</v>
      </c>
      <c r="N2654" s="8">
        <v>3.16</v>
      </c>
      <c r="O2654" s="8">
        <v>9.48</v>
      </c>
      <c r="P2654" s="8">
        <v>0</v>
      </c>
      <c r="Q2654" s="8">
        <v>0</v>
      </c>
      <c r="R2654" s="8">
        <v>0</v>
      </c>
      <c r="S2654" s="8">
        <v>0</v>
      </c>
      <c r="T2654" s="5">
        <v>0</v>
      </c>
      <c r="U2654" s="5">
        <v>0</v>
      </c>
      <c r="V2654" s="5">
        <f>VLOOKUP(A2654,Planilha1!B:E,4,0)</f>
        <v>1.8665071822970765</v>
      </c>
    </row>
    <row r="2655" spans="1:22" x14ac:dyDescent="0.3">
      <c r="A2655" t="str">
        <f t="shared" si="82"/>
        <v>IOGURTESLACTALIS</v>
      </c>
      <c r="B2655" t="str">
        <f t="shared" si="83"/>
        <v>5321723IOGURTESLACTALIS</v>
      </c>
      <c r="C2655" s="5" t="s">
        <v>226</v>
      </c>
      <c r="D2655" s="5" t="s">
        <v>227</v>
      </c>
      <c r="E2655" s="5" t="s">
        <v>1722</v>
      </c>
      <c r="F2655" s="5">
        <v>5321723</v>
      </c>
      <c r="G2655" s="5" t="s">
        <v>522</v>
      </c>
      <c r="H2655" s="5" t="s">
        <v>30</v>
      </c>
      <c r="I2655" s="5" t="s">
        <v>22</v>
      </c>
      <c r="J2655" s="5" t="s">
        <v>153</v>
      </c>
      <c r="K2655" s="6">
        <v>0</v>
      </c>
      <c r="L2655" s="7">
        <v>61.199999999999996</v>
      </c>
      <c r="M2655" s="8">
        <v>89.946666666666687</v>
      </c>
      <c r="N2655" s="8">
        <v>74.12</v>
      </c>
      <c r="O2655" s="8">
        <v>100.53255336270152</v>
      </c>
      <c r="P2655" s="8">
        <v>0</v>
      </c>
      <c r="Q2655" s="8">
        <v>54.2</v>
      </c>
      <c r="R2655" s="8">
        <v>0</v>
      </c>
      <c r="S2655" s="8">
        <v>0</v>
      </c>
      <c r="T2655" s="5">
        <v>0</v>
      </c>
      <c r="U2655" s="5">
        <v>0</v>
      </c>
      <c r="V2655" s="5">
        <f>VLOOKUP(A2655,Planilha1!B:E,4,0)</f>
        <v>3.0503167986984403</v>
      </c>
    </row>
    <row r="2656" spans="1:22" x14ac:dyDescent="0.3">
      <c r="A2656" t="str">
        <f t="shared" si="82"/>
        <v>CREME UHTLACTALIS</v>
      </c>
      <c r="B2656" t="str">
        <f t="shared" si="83"/>
        <v>5130053CREME UHTLACTALIS</v>
      </c>
      <c r="C2656" s="5" t="s">
        <v>16</v>
      </c>
      <c r="D2656" s="5" t="s">
        <v>17</v>
      </c>
      <c r="E2656" s="5" t="s">
        <v>17</v>
      </c>
      <c r="F2656" s="5">
        <v>5130053</v>
      </c>
      <c r="G2656" s="5" t="s">
        <v>87</v>
      </c>
      <c r="H2656" s="5" t="s">
        <v>88</v>
      </c>
      <c r="I2656" s="5" t="s">
        <v>22</v>
      </c>
      <c r="J2656" s="5" t="s">
        <v>34</v>
      </c>
      <c r="K2656" s="6">
        <v>0</v>
      </c>
      <c r="L2656" s="7">
        <v>0</v>
      </c>
      <c r="M2656" s="7">
        <v>0</v>
      </c>
      <c r="N2656" s="7">
        <v>0</v>
      </c>
      <c r="O2656" s="7">
        <v>0</v>
      </c>
      <c r="P2656" s="8">
        <v>0</v>
      </c>
      <c r="Q2656" s="8">
        <v>0</v>
      </c>
      <c r="R2656" s="8">
        <v>0</v>
      </c>
      <c r="S2656" s="8">
        <v>0</v>
      </c>
      <c r="T2656" s="5">
        <v>0</v>
      </c>
      <c r="U2656" s="5">
        <v>0</v>
      </c>
      <c r="V2656" s="5">
        <f>VLOOKUP(A2656,Planilha1!B:E,4,0)</f>
        <v>-1.4094522863012933</v>
      </c>
    </row>
    <row r="2657" spans="1:22" x14ac:dyDescent="0.3">
      <c r="A2657" t="str">
        <f t="shared" si="82"/>
        <v>QUEIJOSLACTALIS</v>
      </c>
      <c r="B2657" t="str">
        <f t="shared" si="83"/>
        <v>5296014QUEIJOSLACTALIS</v>
      </c>
      <c r="C2657" s="5" t="s">
        <v>226</v>
      </c>
      <c r="D2657" s="5" t="s">
        <v>227</v>
      </c>
      <c r="E2657" s="5" t="s">
        <v>1722</v>
      </c>
      <c r="F2657" s="5">
        <v>5296014</v>
      </c>
      <c r="G2657" s="5" t="s">
        <v>1340</v>
      </c>
      <c r="H2657" s="5" t="s">
        <v>30</v>
      </c>
      <c r="I2657" s="5" t="s">
        <v>22</v>
      </c>
      <c r="J2657" s="5" t="s">
        <v>63</v>
      </c>
      <c r="K2657" s="6">
        <v>0</v>
      </c>
      <c r="L2657" s="7">
        <v>9</v>
      </c>
      <c r="M2657" s="8">
        <v>3.5</v>
      </c>
      <c r="N2657" s="8">
        <v>2</v>
      </c>
      <c r="O2657" s="8">
        <v>9.2942180327948165</v>
      </c>
      <c r="P2657" s="8">
        <v>0</v>
      </c>
      <c r="Q2657" s="8">
        <v>0</v>
      </c>
      <c r="R2657" s="8">
        <v>0</v>
      </c>
      <c r="S2657" s="8">
        <v>0</v>
      </c>
      <c r="T2657" s="5">
        <v>0</v>
      </c>
      <c r="U2657" s="5">
        <v>0</v>
      </c>
      <c r="V2657" s="5">
        <f>VLOOKUP(A2657,Planilha1!B:E,4,0)</f>
        <v>-1.9171310037550682</v>
      </c>
    </row>
    <row r="2658" spans="1:22" x14ac:dyDescent="0.3">
      <c r="A2658" t="str">
        <f t="shared" si="82"/>
        <v>LEITE EM PÓLACTALIS</v>
      </c>
      <c r="B2658" t="str">
        <f t="shared" si="83"/>
        <v>5296842LEITE EM PÓLACTALIS</v>
      </c>
      <c r="C2658" s="5" t="s">
        <v>226</v>
      </c>
      <c r="D2658" s="5" t="s">
        <v>227</v>
      </c>
      <c r="E2658" s="5" t="s">
        <v>1722</v>
      </c>
      <c r="F2658" s="5">
        <v>5296842</v>
      </c>
      <c r="G2658" s="5" t="s">
        <v>463</v>
      </c>
      <c r="H2658" s="5" t="s">
        <v>30</v>
      </c>
      <c r="I2658" s="5" t="s">
        <v>22</v>
      </c>
      <c r="J2658" s="5" t="s">
        <v>84</v>
      </c>
      <c r="K2658" s="6">
        <v>0</v>
      </c>
      <c r="L2658" s="7">
        <v>0</v>
      </c>
      <c r="M2658" s="8">
        <v>1.5</v>
      </c>
      <c r="N2658" s="8">
        <v>3</v>
      </c>
      <c r="O2658" s="8">
        <v>0</v>
      </c>
      <c r="P2658" s="8">
        <v>0</v>
      </c>
      <c r="Q2658" s="8">
        <v>0</v>
      </c>
      <c r="R2658" s="8">
        <v>0</v>
      </c>
      <c r="S2658" s="8">
        <v>0</v>
      </c>
      <c r="T2658" s="5">
        <v>0</v>
      </c>
      <c r="U2658" s="5">
        <v>0</v>
      </c>
      <c r="V2658" s="5">
        <f>VLOOKUP(A2658,Planilha1!B:E,4,0)</f>
        <v>-2.8055507108797499</v>
      </c>
    </row>
    <row r="2659" spans="1:22" x14ac:dyDescent="0.3">
      <c r="A2659" t="str">
        <f t="shared" si="82"/>
        <v>IOGURTESLACTALIS</v>
      </c>
      <c r="B2659" t="str">
        <f t="shared" si="83"/>
        <v>5321724IOGURTESLACTALIS</v>
      </c>
      <c r="C2659" s="5" t="s">
        <v>226</v>
      </c>
      <c r="D2659" s="5" t="s">
        <v>227</v>
      </c>
      <c r="E2659" s="5" t="s">
        <v>1722</v>
      </c>
      <c r="F2659" s="5">
        <v>5321724</v>
      </c>
      <c r="G2659" s="5" t="s">
        <v>523</v>
      </c>
      <c r="H2659" s="5" t="s">
        <v>30</v>
      </c>
      <c r="I2659" s="5" t="s">
        <v>22</v>
      </c>
      <c r="J2659" s="5" t="s">
        <v>153</v>
      </c>
      <c r="K2659" s="6">
        <v>0</v>
      </c>
      <c r="L2659" s="7">
        <v>136.68</v>
      </c>
      <c r="M2659" s="8">
        <v>75.14</v>
      </c>
      <c r="N2659" s="8">
        <v>57.8</v>
      </c>
      <c r="O2659" s="8">
        <v>33.791976048113582</v>
      </c>
      <c r="P2659" s="8">
        <v>0</v>
      </c>
      <c r="Q2659" s="8">
        <v>31.36</v>
      </c>
      <c r="R2659" s="8">
        <v>0</v>
      </c>
      <c r="S2659" s="8">
        <v>0</v>
      </c>
      <c r="T2659" s="5">
        <v>0</v>
      </c>
      <c r="U2659" s="5">
        <v>0</v>
      </c>
      <c r="V2659" s="5">
        <f>VLOOKUP(A2659,Planilha1!B:E,4,0)</f>
        <v>3.0503167986984403</v>
      </c>
    </row>
    <row r="2660" spans="1:22" x14ac:dyDescent="0.3">
      <c r="A2660" t="str">
        <f t="shared" si="82"/>
        <v>QUEIJOSLACTALIS</v>
      </c>
      <c r="B2660" t="str">
        <f t="shared" si="83"/>
        <v>5296842QUEIJOSLACTALIS</v>
      </c>
      <c r="C2660" s="5" t="s">
        <v>226</v>
      </c>
      <c r="D2660" s="5" t="s">
        <v>227</v>
      </c>
      <c r="E2660" s="5" t="s">
        <v>1722</v>
      </c>
      <c r="F2660" s="5">
        <v>5296842</v>
      </c>
      <c r="G2660" s="5" t="s">
        <v>463</v>
      </c>
      <c r="H2660" s="5" t="s">
        <v>30</v>
      </c>
      <c r="I2660" s="5" t="s">
        <v>22</v>
      </c>
      <c r="J2660" s="5" t="s">
        <v>63</v>
      </c>
      <c r="K2660" s="6">
        <v>0</v>
      </c>
      <c r="L2660" s="7">
        <v>0</v>
      </c>
      <c r="M2660" s="8">
        <v>11.693333333333333</v>
      </c>
      <c r="N2660" s="8">
        <v>11.69</v>
      </c>
      <c r="O2660" s="8">
        <v>0</v>
      </c>
      <c r="P2660" s="8">
        <v>0</v>
      </c>
      <c r="Q2660" s="8">
        <v>0</v>
      </c>
      <c r="R2660" s="8">
        <v>0</v>
      </c>
      <c r="S2660" s="8">
        <v>0</v>
      </c>
      <c r="T2660" s="5">
        <v>0</v>
      </c>
      <c r="U2660" s="5">
        <v>0</v>
      </c>
      <c r="V2660" s="5">
        <f>VLOOKUP(A2660,Planilha1!B:E,4,0)</f>
        <v>-1.9171310037550682</v>
      </c>
    </row>
    <row r="2661" spans="1:22" x14ac:dyDescent="0.3">
      <c r="A2661" t="str">
        <f t="shared" si="82"/>
        <v>QUEIJOSLACTALIS</v>
      </c>
      <c r="B2661" t="str">
        <f t="shared" si="83"/>
        <v>5298021QUEIJOSLACTALIS</v>
      </c>
      <c r="C2661" s="5" t="s">
        <v>226</v>
      </c>
      <c r="D2661" s="5" t="s">
        <v>227</v>
      </c>
      <c r="E2661" s="5" t="s">
        <v>1722</v>
      </c>
      <c r="F2661" s="5">
        <v>5298021</v>
      </c>
      <c r="G2661" s="5" t="s">
        <v>333</v>
      </c>
      <c r="H2661" s="5" t="s">
        <v>30</v>
      </c>
      <c r="I2661" s="5" t="s">
        <v>22</v>
      </c>
      <c r="J2661" s="5" t="s">
        <v>63</v>
      </c>
      <c r="K2661" s="6">
        <v>0</v>
      </c>
      <c r="L2661" s="7">
        <v>0</v>
      </c>
      <c r="M2661" s="8">
        <v>37.994</v>
      </c>
      <c r="N2661" s="8">
        <v>40.974666666666664</v>
      </c>
      <c r="O2661" s="8">
        <v>29.301575183709964</v>
      </c>
      <c r="P2661" s="8">
        <v>0</v>
      </c>
      <c r="Q2661" s="8">
        <v>0</v>
      </c>
      <c r="R2661" s="8">
        <v>0</v>
      </c>
      <c r="S2661" s="8">
        <v>0</v>
      </c>
      <c r="T2661" s="5">
        <v>0</v>
      </c>
      <c r="U2661" s="5">
        <v>0</v>
      </c>
      <c r="V2661" s="5">
        <f>VLOOKUP(A2661,Planilha1!B:E,4,0)</f>
        <v>-1.9171310037550682</v>
      </c>
    </row>
    <row r="2662" spans="1:22" x14ac:dyDescent="0.3">
      <c r="A2662" t="str">
        <f t="shared" si="82"/>
        <v>PARMESÃOLACTALIS</v>
      </c>
      <c r="B2662" t="str">
        <f t="shared" si="83"/>
        <v>5300112PARMESÃOLACTALIS</v>
      </c>
      <c r="C2662" s="5" t="s">
        <v>226</v>
      </c>
      <c r="D2662" s="5" t="s">
        <v>227</v>
      </c>
      <c r="E2662" s="5" t="s">
        <v>1722</v>
      </c>
      <c r="F2662" s="5">
        <v>5300112</v>
      </c>
      <c r="G2662" s="5" t="s">
        <v>1119</v>
      </c>
      <c r="H2662" s="5" t="s">
        <v>30</v>
      </c>
      <c r="I2662" s="5" t="s">
        <v>22</v>
      </c>
      <c r="J2662" s="5" t="s">
        <v>195</v>
      </c>
      <c r="K2662" s="6">
        <v>0</v>
      </c>
      <c r="L2662" s="7">
        <v>0</v>
      </c>
      <c r="M2662" s="8">
        <v>16.400833333333331</v>
      </c>
      <c r="N2662" s="8">
        <v>28.448333333333334</v>
      </c>
      <c r="O2662" s="8">
        <v>0</v>
      </c>
      <c r="P2662" s="8">
        <v>0</v>
      </c>
      <c r="Q2662" s="8">
        <v>0</v>
      </c>
      <c r="R2662" s="8">
        <v>0</v>
      </c>
      <c r="S2662" s="8">
        <v>0</v>
      </c>
      <c r="T2662" s="5">
        <v>0</v>
      </c>
      <c r="U2662" s="5">
        <v>0</v>
      </c>
      <c r="V2662" s="5">
        <f>VLOOKUP(A2662,Planilha1!B:E,4,0)</f>
        <v>6.310326960724681</v>
      </c>
    </row>
    <row r="2663" spans="1:22" x14ac:dyDescent="0.3">
      <c r="A2663" t="str">
        <f t="shared" si="82"/>
        <v>IOGURTESLACTALIS</v>
      </c>
      <c r="B2663" t="str">
        <f t="shared" si="83"/>
        <v>5321728IOGURTESLACTALIS</v>
      </c>
      <c r="C2663" s="5" t="s">
        <v>226</v>
      </c>
      <c r="D2663" s="5" t="s">
        <v>227</v>
      </c>
      <c r="E2663" s="5" t="s">
        <v>1722</v>
      </c>
      <c r="F2663" s="5">
        <v>5321728</v>
      </c>
      <c r="G2663" s="5" t="s">
        <v>524</v>
      </c>
      <c r="H2663" s="5" t="s">
        <v>30</v>
      </c>
      <c r="I2663" s="5" t="s">
        <v>22</v>
      </c>
      <c r="J2663" s="5" t="s">
        <v>153</v>
      </c>
      <c r="K2663" s="6">
        <v>0</v>
      </c>
      <c r="L2663" s="7">
        <v>28.56</v>
      </c>
      <c r="M2663" s="8">
        <v>52.359999999999992</v>
      </c>
      <c r="N2663" s="8">
        <v>51</v>
      </c>
      <c r="O2663" s="8">
        <v>42.379582777372804</v>
      </c>
      <c r="P2663" s="8">
        <v>0</v>
      </c>
      <c r="Q2663" s="8">
        <v>48.080000000000005</v>
      </c>
      <c r="R2663" s="8">
        <v>0</v>
      </c>
      <c r="S2663" s="8">
        <v>0</v>
      </c>
      <c r="T2663" s="5">
        <v>0</v>
      </c>
      <c r="U2663" s="5">
        <v>0</v>
      </c>
      <c r="V2663" s="5">
        <f>VLOOKUP(A2663,Planilha1!B:E,4,0)</f>
        <v>3.0503167986984403</v>
      </c>
    </row>
    <row r="2664" spans="1:22" x14ac:dyDescent="0.3">
      <c r="A2664" t="str">
        <f t="shared" si="82"/>
        <v>IOGURTESLACTALIS</v>
      </c>
      <c r="B2664" t="str">
        <f t="shared" si="83"/>
        <v>5326107IOGURTESLACTALIS</v>
      </c>
      <c r="C2664" s="5" t="s">
        <v>226</v>
      </c>
      <c r="D2664" s="5" t="s">
        <v>227</v>
      </c>
      <c r="E2664" s="5" t="s">
        <v>1722</v>
      </c>
      <c r="F2664" s="5">
        <v>5326107</v>
      </c>
      <c r="G2664" s="5" t="s">
        <v>660</v>
      </c>
      <c r="H2664" s="5" t="s">
        <v>30</v>
      </c>
      <c r="I2664" s="5" t="s">
        <v>22</v>
      </c>
      <c r="J2664" s="5" t="s">
        <v>153</v>
      </c>
      <c r="K2664" s="6">
        <v>0</v>
      </c>
      <c r="L2664" s="7">
        <v>4.8</v>
      </c>
      <c r="M2664" s="8">
        <v>14.493333333333332</v>
      </c>
      <c r="N2664" s="8">
        <v>4.32</v>
      </c>
      <c r="O2664" s="8">
        <v>8.6160991205308157</v>
      </c>
      <c r="P2664" s="8">
        <v>0</v>
      </c>
      <c r="Q2664" s="8">
        <v>8.9600000000000009</v>
      </c>
      <c r="R2664" s="8">
        <v>0</v>
      </c>
      <c r="S2664" s="8">
        <v>0</v>
      </c>
      <c r="T2664" s="5">
        <v>0</v>
      </c>
      <c r="U2664" s="5">
        <v>0</v>
      </c>
      <c r="V2664" s="5">
        <f>VLOOKUP(A2664,Planilha1!B:E,4,0)</f>
        <v>3.0503167986984403</v>
      </c>
    </row>
    <row r="2665" spans="1:22" x14ac:dyDescent="0.3">
      <c r="A2665" t="str">
        <f t="shared" si="82"/>
        <v>IOGURTESLACTALIS</v>
      </c>
      <c r="B2665" t="str">
        <f t="shared" si="83"/>
        <v>5326437IOGURTESLACTALIS</v>
      </c>
      <c r="C2665" s="5" t="s">
        <v>226</v>
      </c>
      <c r="D2665" s="5" t="s">
        <v>227</v>
      </c>
      <c r="E2665" s="5" t="s">
        <v>1722</v>
      </c>
      <c r="F2665" s="5">
        <v>5326437</v>
      </c>
      <c r="G2665" s="5" t="s">
        <v>347</v>
      </c>
      <c r="H2665" s="5" t="s">
        <v>30</v>
      </c>
      <c r="I2665" s="5" t="s">
        <v>22</v>
      </c>
      <c r="J2665" s="5" t="s">
        <v>153</v>
      </c>
      <c r="K2665" s="6">
        <v>0</v>
      </c>
      <c r="L2665" s="7">
        <v>79.56</v>
      </c>
      <c r="M2665" s="8">
        <v>357.0866666666667</v>
      </c>
      <c r="N2665" s="8">
        <v>298.01333333333332</v>
      </c>
      <c r="O2665" s="8">
        <v>27.603428663922806</v>
      </c>
      <c r="P2665" s="8">
        <v>0</v>
      </c>
      <c r="Q2665" s="8">
        <v>59.16</v>
      </c>
      <c r="R2665" s="8">
        <v>0</v>
      </c>
      <c r="S2665" s="8">
        <v>0</v>
      </c>
      <c r="T2665" s="5">
        <v>0</v>
      </c>
      <c r="U2665" s="5">
        <v>0</v>
      </c>
      <c r="V2665" s="5">
        <f>VLOOKUP(A2665,Planilha1!B:E,4,0)</f>
        <v>3.0503167986984403</v>
      </c>
    </row>
    <row r="2666" spans="1:22" x14ac:dyDescent="0.3">
      <c r="A2666" t="str">
        <f t="shared" si="82"/>
        <v>IOGURTESLACTALIS</v>
      </c>
      <c r="B2666" t="str">
        <f t="shared" si="83"/>
        <v>5301955IOGURTESLACTALIS</v>
      </c>
      <c r="C2666" s="5" t="s">
        <v>226</v>
      </c>
      <c r="D2666" s="5" t="s">
        <v>227</v>
      </c>
      <c r="E2666" s="5" t="s">
        <v>1722</v>
      </c>
      <c r="F2666" s="5">
        <v>5301955</v>
      </c>
      <c r="G2666" s="5" t="s">
        <v>1341</v>
      </c>
      <c r="H2666" s="5" t="s">
        <v>30</v>
      </c>
      <c r="I2666" s="5" t="s">
        <v>22</v>
      </c>
      <c r="J2666" s="5" t="s">
        <v>153</v>
      </c>
      <c r="K2666" s="6">
        <v>0</v>
      </c>
      <c r="L2666" s="7">
        <v>12</v>
      </c>
      <c r="M2666" s="8">
        <v>18.8</v>
      </c>
      <c r="N2666" s="8">
        <v>24.8</v>
      </c>
      <c r="O2666" s="8">
        <v>13.528187375754074</v>
      </c>
      <c r="P2666" s="8">
        <v>0</v>
      </c>
      <c r="Q2666" s="8">
        <v>14.4</v>
      </c>
      <c r="R2666" s="8">
        <v>0</v>
      </c>
      <c r="S2666" s="8">
        <v>0</v>
      </c>
      <c r="T2666" s="5">
        <v>0</v>
      </c>
      <c r="U2666" s="5">
        <v>0</v>
      </c>
      <c r="V2666" s="5">
        <f>VLOOKUP(A2666,Planilha1!B:E,4,0)</f>
        <v>3.0503167986984403</v>
      </c>
    </row>
    <row r="2667" spans="1:22" x14ac:dyDescent="0.3">
      <c r="A2667" t="str">
        <f t="shared" si="82"/>
        <v>QUEIJOSLACTALIS</v>
      </c>
      <c r="B2667" t="str">
        <f t="shared" si="83"/>
        <v>5302653QUEIJOSLACTALIS</v>
      </c>
      <c r="C2667" s="5" t="s">
        <v>226</v>
      </c>
      <c r="D2667" s="5" t="s">
        <v>227</v>
      </c>
      <c r="E2667" s="5" t="s">
        <v>1722</v>
      </c>
      <c r="F2667" s="5">
        <v>5302653</v>
      </c>
      <c r="G2667" s="5" t="s">
        <v>336</v>
      </c>
      <c r="H2667" s="5" t="s">
        <v>30</v>
      </c>
      <c r="I2667" s="5" t="s">
        <v>22</v>
      </c>
      <c r="J2667" s="5" t="s">
        <v>63</v>
      </c>
      <c r="K2667" s="6">
        <v>0</v>
      </c>
      <c r="L2667" s="7">
        <v>0</v>
      </c>
      <c r="M2667" s="8">
        <v>8.2200000000000006</v>
      </c>
      <c r="N2667" s="8">
        <v>8.8266666666666662</v>
      </c>
      <c r="O2667" s="8">
        <v>4.0630149953296772</v>
      </c>
      <c r="P2667" s="8">
        <v>0</v>
      </c>
      <c r="Q2667" s="8">
        <v>8.44</v>
      </c>
      <c r="R2667" s="8">
        <v>0</v>
      </c>
      <c r="S2667" s="8">
        <v>0</v>
      </c>
      <c r="T2667" s="5">
        <v>0</v>
      </c>
      <c r="U2667" s="5">
        <v>0</v>
      </c>
      <c r="V2667" s="5">
        <f>VLOOKUP(A2667,Planilha1!B:E,4,0)</f>
        <v>-1.9171310037550682</v>
      </c>
    </row>
    <row r="2668" spans="1:22" x14ac:dyDescent="0.3">
      <c r="A2668" t="str">
        <f t="shared" si="82"/>
        <v>MANTEIGA 5KGLACTALIS</v>
      </c>
      <c r="B2668" t="str">
        <f t="shared" si="83"/>
        <v>5303069MANTEIGA 5KGLACTALIS</v>
      </c>
      <c r="C2668" s="5" t="s">
        <v>226</v>
      </c>
      <c r="D2668" s="5" t="s">
        <v>227</v>
      </c>
      <c r="E2668" s="5" t="s">
        <v>1722</v>
      </c>
      <c r="F2668" s="5">
        <v>5303069</v>
      </c>
      <c r="G2668" s="5" t="s">
        <v>1342</v>
      </c>
      <c r="H2668" s="5" t="s">
        <v>30</v>
      </c>
      <c r="I2668" s="5" t="s">
        <v>22</v>
      </c>
      <c r="J2668" s="5" t="s">
        <v>60</v>
      </c>
      <c r="K2668" s="6">
        <v>0</v>
      </c>
      <c r="L2668" s="7">
        <v>0</v>
      </c>
      <c r="M2668" s="8">
        <v>3.3333333333333335</v>
      </c>
      <c r="N2668" s="8">
        <v>6.666666666666667</v>
      </c>
      <c r="O2668" s="8">
        <v>0</v>
      </c>
      <c r="P2668" s="8">
        <v>0</v>
      </c>
      <c r="Q2668" s="8">
        <v>0</v>
      </c>
      <c r="R2668" s="8">
        <v>0</v>
      </c>
      <c r="S2668" s="8">
        <v>0</v>
      </c>
      <c r="T2668" s="5">
        <v>0</v>
      </c>
      <c r="U2668" s="5">
        <v>0</v>
      </c>
      <c r="V2668" s="5">
        <f>VLOOKUP(A2668,Planilha1!B:E,4,0)</f>
        <v>11.476197020267191</v>
      </c>
    </row>
    <row r="2669" spans="1:22" x14ac:dyDescent="0.3">
      <c r="A2669" t="str">
        <f t="shared" si="82"/>
        <v>IOGURTESLACTALIS</v>
      </c>
      <c r="B2669" t="str">
        <f t="shared" si="83"/>
        <v>5307746IOGURTESLACTALIS</v>
      </c>
      <c r="C2669" s="5" t="s">
        <v>226</v>
      </c>
      <c r="D2669" s="5" t="s">
        <v>227</v>
      </c>
      <c r="E2669" s="5" t="s">
        <v>1722</v>
      </c>
      <c r="F2669" s="5">
        <v>5307746</v>
      </c>
      <c r="G2669" s="5" t="s">
        <v>464</v>
      </c>
      <c r="H2669" s="5" t="s">
        <v>30</v>
      </c>
      <c r="I2669" s="5" t="s">
        <v>22</v>
      </c>
      <c r="J2669" s="5" t="s">
        <v>153</v>
      </c>
      <c r="K2669" s="6">
        <v>0</v>
      </c>
      <c r="L2669" s="7">
        <v>70.48</v>
      </c>
      <c r="M2669" s="8">
        <v>69.306666666666672</v>
      </c>
      <c r="N2669" s="8">
        <v>55.519999999999996</v>
      </c>
      <c r="O2669" s="8">
        <v>61.007908190742668</v>
      </c>
      <c r="P2669" s="8">
        <v>0</v>
      </c>
      <c r="Q2669" s="8">
        <v>0</v>
      </c>
      <c r="R2669" s="8">
        <v>0</v>
      </c>
      <c r="S2669" s="8">
        <v>0</v>
      </c>
      <c r="T2669" s="5">
        <v>0</v>
      </c>
      <c r="U2669" s="5">
        <v>0</v>
      </c>
      <c r="V2669" s="5">
        <f>VLOOKUP(A2669,Planilha1!B:E,4,0)</f>
        <v>3.0503167986984403</v>
      </c>
    </row>
    <row r="2670" spans="1:22" x14ac:dyDescent="0.3">
      <c r="A2670" t="str">
        <f t="shared" si="82"/>
        <v>IOGURTESLACTALIS</v>
      </c>
      <c r="B2670" t="str">
        <f t="shared" si="83"/>
        <v>5309442IOGURTESLACTALIS</v>
      </c>
      <c r="C2670" s="5" t="s">
        <v>226</v>
      </c>
      <c r="D2670" s="5" t="s">
        <v>227</v>
      </c>
      <c r="E2670" s="5" t="s">
        <v>1722</v>
      </c>
      <c r="F2670" s="5">
        <v>5309442</v>
      </c>
      <c r="G2670" s="5" t="s">
        <v>1343</v>
      </c>
      <c r="H2670" s="5" t="s">
        <v>30</v>
      </c>
      <c r="I2670" s="5" t="s">
        <v>22</v>
      </c>
      <c r="J2670" s="5" t="s">
        <v>153</v>
      </c>
      <c r="K2670" s="6">
        <v>0</v>
      </c>
      <c r="L2670" s="7">
        <v>0</v>
      </c>
      <c r="M2670" s="8">
        <v>2.88</v>
      </c>
      <c r="N2670" s="8">
        <v>2.88</v>
      </c>
      <c r="O2670" s="8">
        <v>1.6297647807353264</v>
      </c>
      <c r="P2670" s="8">
        <v>0</v>
      </c>
      <c r="Q2670" s="8">
        <v>0</v>
      </c>
      <c r="R2670" s="8">
        <v>0</v>
      </c>
      <c r="S2670" s="8">
        <v>0</v>
      </c>
      <c r="T2670" s="5">
        <v>0</v>
      </c>
      <c r="U2670" s="5">
        <v>0</v>
      </c>
      <c r="V2670" s="5">
        <f>VLOOKUP(A2670,Planilha1!B:E,4,0)</f>
        <v>3.0503167986984403</v>
      </c>
    </row>
    <row r="2671" spans="1:22" x14ac:dyDescent="0.3">
      <c r="A2671" t="str">
        <f t="shared" si="82"/>
        <v>MERC + AROMLACTALIS</v>
      </c>
      <c r="B2671" t="str">
        <f t="shared" si="83"/>
        <v>5309442MERC + AROMLACTALIS</v>
      </c>
      <c r="C2671" s="5" t="s">
        <v>226</v>
      </c>
      <c r="D2671" s="5" t="s">
        <v>227</v>
      </c>
      <c r="E2671" s="5" t="s">
        <v>1722</v>
      </c>
      <c r="F2671" s="5">
        <v>5309442</v>
      </c>
      <c r="G2671" s="5" t="s">
        <v>1343</v>
      </c>
      <c r="H2671" s="5" t="s">
        <v>30</v>
      </c>
      <c r="I2671" s="5" t="s">
        <v>22</v>
      </c>
      <c r="J2671" s="5" t="s">
        <v>230</v>
      </c>
      <c r="K2671" s="6">
        <v>0</v>
      </c>
      <c r="L2671" s="7">
        <v>0</v>
      </c>
      <c r="M2671" s="8">
        <v>1.5</v>
      </c>
      <c r="N2671" s="8">
        <v>1.5</v>
      </c>
      <c r="O2671" s="8">
        <v>1.2764591289675287</v>
      </c>
      <c r="P2671" s="8">
        <v>0</v>
      </c>
      <c r="Q2671" s="8">
        <v>0</v>
      </c>
      <c r="R2671" s="8">
        <v>0</v>
      </c>
      <c r="S2671" s="8">
        <v>0</v>
      </c>
      <c r="T2671" s="5">
        <v>0</v>
      </c>
      <c r="U2671" s="5">
        <v>0</v>
      </c>
      <c r="V2671" s="5">
        <f>VLOOKUP(A2671,Planilha1!B:E,4,0)</f>
        <v>0.86907188046232187</v>
      </c>
    </row>
    <row r="2672" spans="1:22" x14ac:dyDescent="0.3">
      <c r="A2672" t="str">
        <f t="shared" si="82"/>
        <v>LEITE UHTLACTALIS</v>
      </c>
      <c r="B2672" t="str">
        <f t="shared" si="83"/>
        <v>5327252LEITE UHTLACTALIS</v>
      </c>
      <c r="C2672" s="5" t="s">
        <v>226</v>
      </c>
      <c r="D2672" s="5" t="s">
        <v>227</v>
      </c>
      <c r="E2672" s="5" t="s">
        <v>1722</v>
      </c>
      <c r="F2672" s="5">
        <v>5327252</v>
      </c>
      <c r="G2672" s="5" t="s">
        <v>661</v>
      </c>
      <c r="H2672" s="5" t="s">
        <v>30</v>
      </c>
      <c r="I2672" s="5" t="s">
        <v>22</v>
      </c>
      <c r="J2672" s="5" t="s">
        <v>156</v>
      </c>
      <c r="K2672" s="6">
        <v>0</v>
      </c>
      <c r="L2672" s="7">
        <v>0</v>
      </c>
      <c r="M2672" s="8">
        <v>12</v>
      </c>
      <c r="N2672" s="8">
        <v>24</v>
      </c>
      <c r="O2672" s="8">
        <v>0</v>
      </c>
      <c r="P2672" s="8">
        <v>0</v>
      </c>
      <c r="Q2672" s="8">
        <v>12</v>
      </c>
      <c r="R2672" s="8">
        <v>0</v>
      </c>
      <c r="S2672" s="8">
        <v>0</v>
      </c>
      <c r="T2672" s="5">
        <v>0</v>
      </c>
      <c r="U2672" s="5">
        <v>0</v>
      </c>
      <c r="V2672" s="5">
        <f>VLOOKUP(A2672,Planilha1!B:E,4,0)</f>
        <v>0.37177548115779385</v>
      </c>
    </row>
    <row r="2673" spans="1:22" x14ac:dyDescent="0.3">
      <c r="A2673" t="str">
        <f t="shared" si="82"/>
        <v>QUEIJOSLACTALIS</v>
      </c>
      <c r="B2673" t="str">
        <f t="shared" si="83"/>
        <v>5311373QUEIJOSLACTALIS</v>
      </c>
      <c r="C2673" s="5" t="s">
        <v>226</v>
      </c>
      <c r="D2673" s="5" t="s">
        <v>227</v>
      </c>
      <c r="E2673" s="5" t="s">
        <v>1722</v>
      </c>
      <c r="F2673" s="5">
        <v>5311373</v>
      </c>
      <c r="G2673" s="5" t="s">
        <v>246</v>
      </c>
      <c r="H2673" s="5" t="s">
        <v>30</v>
      </c>
      <c r="I2673" s="5" t="s">
        <v>22</v>
      </c>
      <c r="J2673" s="5" t="s">
        <v>63</v>
      </c>
      <c r="K2673" s="6">
        <v>0</v>
      </c>
      <c r="L2673" s="7">
        <v>2900.5610000000001</v>
      </c>
      <c r="M2673" s="8">
        <v>547.255</v>
      </c>
      <c r="N2673" s="8">
        <v>624.82000000000005</v>
      </c>
      <c r="O2673" s="8">
        <v>640.50325730723762</v>
      </c>
      <c r="P2673" s="8">
        <v>0</v>
      </c>
      <c r="Q2673" s="8">
        <v>0</v>
      </c>
      <c r="R2673" s="8">
        <v>0</v>
      </c>
      <c r="S2673" s="8">
        <v>0</v>
      </c>
      <c r="T2673" s="5">
        <v>0</v>
      </c>
      <c r="U2673" s="5">
        <v>0</v>
      </c>
      <c r="V2673" s="5">
        <f>VLOOKUP(A2673,Planilha1!B:E,4,0)</f>
        <v>-1.9171310037550682</v>
      </c>
    </row>
    <row r="2674" spans="1:22" x14ac:dyDescent="0.3">
      <c r="A2674" t="str">
        <f t="shared" si="82"/>
        <v>QUEIJOSLACTALIS</v>
      </c>
      <c r="B2674" t="str">
        <f t="shared" si="83"/>
        <v>5327731QUEIJOSLACTALIS</v>
      </c>
      <c r="C2674" s="5" t="s">
        <v>226</v>
      </c>
      <c r="D2674" s="5" t="s">
        <v>227</v>
      </c>
      <c r="E2674" s="5" t="s">
        <v>1722</v>
      </c>
      <c r="F2674" s="5">
        <v>5327731</v>
      </c>
      <c r="G2674" s="5" t="s">
        <v>348</v>
      </c>
      <c r="H2674" s="5" t="s">
        <v>30</v>
      </c>
      <c r="I2674" s="5" t="s">
        <v>22</v>
      </c>
      <c r="J2674" s="5" t="s">
        <v>63</v>
      </c>
      <c r="K2674" s="6">
        <v>0</v>
      </c>
      <c r="L2674" s="7">
        <v>2.4</v>
      </c>
      <c r="M2674" s="8">
        <v>5.8133333333333326</v>
      </c>
      <c r="N2674" s="8">
        <v>6.2666666666666675</v>
      </c>
      <c r="O2674" s="8">
        <v>3.7837895608680308</v>
      </c>
      <c r="P2674" s="8">
        <v>0</v>
      </c>
      <c r="Q2674" s="8">
        <v>0</v>
      </c>
      <c r="R2674" s="8">
        <v>0</v>
      </c>
      <c r="S2674" s="8">
        <v>0</v>
      </c>
      <c r="T2674" s="5">
        <v>0</v>
      </c>
      <c r="U2674" s="5">
        <v>0</v>
      </c>
      <c r="V2674" s="5">
        <f>VLOOKUP(A2674,Planilha1!B:E,4,0)</f>
        <v>-1.9171310037550682</v>
      </c>
    </row>
    <row r="2675" spans="1:22" x14ac:dyDescent="0.3">
      <c r="A2675" t="str">
        <f t="shared" si="82"/>
        <v>LEITE UHTLACTALIS</v>
      </c>
      <c r="B2675" t="str">
        <f t="shared" si="83"/>
        <v>5312073LEITE UHTLACTALIS</v>
      </c>
      <c r="C2675" s="5" t="s">
        <v>226</v>
      </c>
      <c r="D2675" s="5" t="s">
        <v>227</v>
      </c>
      <c r="E2675" s="5" t="s">
        <v>1722</v>
      </c>
      <c r="F2675" s="5">
        <v>5312073</v>
      </c>
      <c r="G2675" s="5" t="s">
        <v>1344</v>
      </c>
      <c r="H2675" s="5" t="s">
        <v>30</v>
      </c>
      <c r="I2675" s="5" t="s">
        <v>22</v>
      </c>
      <c r="J2675" s="5" t="s">
        <v>156</v>
      </c>
      <c r="K2675" s="6">
        <v>0</v>
      </c>
      <c r="L2675" s="7">
        <v>0</v>
      </c>
      <c r="M2675" s="8">
        <v>230</v>
      </c>
      <c r="N2675" s="8">
        <v>180</v>
      </c>
      <c r="O2675" s="8">
        <v>0</v>
      </c>
      <c r="P2675" s="8">
        <v>0</v>
      </c>
      <c r="Q2675" s="8">
        <v>300</v>
      </c>
      <c r="R2675" s="8">
        <v>0</v>
      </c>
      <c r="S2675" s="8">
        <v>0</v>
      </c>
      <c r="T2675" s="5">
        <v>0</v>
      </c>
      <c r="U2675" s="5">
        <v>0</v>
      </c>
      <c r="V2675" s="5">
        <f>VLOOKUP(A2675,Planilha1!B:E,4,0)</f>
        <v>0.37177548115779385</v>
      </c>
    </row>
    <row r="2676" spans="1:22" x14ac:dyDescent="0.3">
      <c r="A2676" t="str">
        <f t="shared" si="82"/>
        <v>SPREADSLACTALIS</v>
      </c>
      <c r="B2676" t="str">
        <f t="shared" si="83"/>
        <v>5312815SPREADSLACTALIS</v>
      </c>
      <c r="C2676" s="5" t="s">
        <v>226</v>
      </c>
      <c r="D2676" s="5" t="s">
        <v>227</v>
      </c>
      <c r="E2676" s="5" t="s">
        <v>1722</v>
      </c>
      <c r="F2676" s="5">
        <v>5312815</v>
      </c>
      <c r="G2676" s="5" t="s">
        <v>466</v>
      </c>
      <c r="H2676" s="5" t="s">
        <v>30</v>
      </c>
      <c r="I2676" s="5" t="s">
        <v>22</v>
      </c>
      <c r="J2676" s="5" t="s">
        <v>945</v>
      </c>
      <c r="K2676" s="6">
        <v>0</v>
      </c>
      <c r="L2676" s="7">
        <v>0</v>
      </c>
      <c r="M2676" s="8">
        <v>1.3333333333333333</v>
      </c>
      <c r="N2676" s="8">
        <v>1.3333333333333333</v>
      </c>
      <c r="O2676" s="8">
        <v>2.2622958669647715</v>
      </c>
      <c r="P2676" s="8">
        <v>0</v>
      </c>
      <c r="Q2676" s="8">
        <v>0</v>
      </c>
      <c r="R2676" s="8">
        <v>0</v>
      </c>
      <c r="S2676" s="8">
        <v>0</v>
      </c>
      <c r="T2676" s="5">
        <v>0</v>
      </c>
      <c r="U2676" s="5">
        <v>0</v>
      </c>
      <c r="V2676" s="5">
        <f>VLOOKUP(A2676,Planilha1!B:E,4,0)</f>
        <v>13.599044988219518</v>
      </c>
    </row>
    <row r="2677" spans="1:22" x14ac:dyDescent="0.3">
      <c r="A2677" t="str">
        <f t="shared" si="82"/>
        <v>IOGURTESLACTALIS</v>
      </c>
      <c r="B2677" t="str">
        <f t="shared" si="83"/>
        <v>5329531IOGURTESLACTALIS</v>
      </c>
      <c r="C2677" s="5" t="s">
        <v>226</v>
      </c>
      <c r="D2677" s="5" t="s">
        <v>227</v>
      </c>
      <c r="E2677" s="5" t="s">
        <v>1722</v>
      </c>
      <c r="F2677" s="5">
        <v>5329531</v>
      </c>
      <c r="G2677" s="5" t="s">
        <v>526</v>
      </c>
      <c r="H2677" s="5" t="s">
        <v>30</v>
      </c>
      <c r="I2677" s="5" t="s">
        <v>22</v>
      </c>
      <c r="J2677" s="5" t="s">
        <v>153</v>
      </c>
      <c r="K2677" s="6">
        <v>0</v>
      </c>
      <c r="L2677" s="7">
        <v>0</v>
      </c>
      <c r="M2677" s="8">
        <v>43.946666666666658</v>
      </c>
      <c r="N2677" s="8">
        <v>61.333333333333343</v>
      </c>
      <c r="O2677" s="8">
        <v>6.0232915148155248</v>
      </c>
      <c r="P2677" s="8">
        <v>0</v>
      </c>
      <c r="Q2677" s="8">
        <v>18.399999999999999</v>
      </c>
      <c r="R2677" s="8">
        <v>0</v>
      </c>
      <c r="S2677" s="8">
        <v>0</v>
      </c>
      <c r="T2677" s="5">
        <v>0</v>
      </c>
      <c r="U2677" s="5">
        <v>0</v>
      </c>
      <c r="V2677" s="5">
        <f>VLOOKUP(A2677,Planilha1!B:E,4,0)</f>
        <v>3.0503167986984403</v>
      </c>
    </row>
    <row r="2678" spans="1:22" x14ac:dyDescent="0.3">
      <c r="A2678" t="str">
        <f t="shared" si="82"/>
        <v>IOGURTESLACTALIS</v>
      </c>
      <c r="B2678" t="str">
        <f t="shared" si="83"/>
        <v>5314523IOGURTESLACTALIS</v>
      </c>
      <c r="C2678" s="5" t="s">
        <v>226</v>
      </c>
      <c r="D2678" s="5" t="s">
        <v>227</v>
      </c>
      <c r="E2678" s="5" t="s">
        <v>1722</v>
      </c>
      <c r="F2678" s="5">
        <v>5314523</v>
      </c>
      <c r="G2678" s="5" t="s">
        <v>517</v>
      </c>
      <c r="H2678" s="5" t="s">
        <v>30</v>
      </c>
      <c r="I2678" s="5" t="s">
        <v>22</v>
      </c>
      <c r="J2678" s="5" t="s">
        <v>153</v>
      </c>
      <c r="K2678" s="6">
        <v>0</v>
      </c>
      <c r="L2678" s="7">
        <v>0</v>
      </c>
      <c r="M2678" s="8">
        <v>1.36</v>
      </c>
      <c r="N2678" s="8">
        <v>2.72</v>
      </c>
      <c r="O2678" s="8">
        <v>0</v>
      </c>
      <c r="P2678" s="8">
        <v>0</v>
      </c>
      <c r="Q2678" s="8">
        <v>0</v>
      </c>
      <c r="R2678" s="8">
        <v>0</v>
      </c>
      <c r="S2678" s="8">
        <v>0</v>
      </c>
      <c r="T2678" s="5">
        <v>0</v>
      </c>
      <c r="U2678" s="5">
        <v>0</v>
      </c>
      <c r="V2678" s="5">
        <f>VLOOKUP(A2678,Planilha1!B:E,4,0)</f>
        <v>3.0503167986984403</v>
      </c>
    </row>
    <row r="2679" spans="1:22" x14ac:dyDescent="0.3">
      <c r="A2679" t="str">
        <f t="shared" si="82"/>
        <v>SPREADSLACTALIS</v>
      </c>
      <c r="B2679" t="str">
        <f t="shared" si="83"/>
        <v>5314523SPREADSLACTALIS</v>
      </c>
      <c r="C2679" s="5" t="s">
        <v>226</v>
      </c>
      <c r="D2679" s="5" t="s">
        <v>227</v>
      </c>
      <c r="E2679" s="5" t="s">
        <v>1722</v>
      </c>
      <c r="F2679" s="5">
        <v>5314523</v>
      </c>
      <c r="G2679" s="5" t="s">
        <v>517</v>
      </c>
      <c r="H2679" s="5" t="s">
        <v>30</v>
      </c>
      <c r="I2679" s="5" t="s">
        <v>22</v>
      </c>
      <c r="J2679" s="5" t="s">
        <v>945</v>
      </c>
      <c r="K2679" s="6">
        <v>0</v>
      </c>
      <c r="L2679" s="7">
        <v>0</v>
      </c>
      <c r="M2679" s="8">
        <v>3.4666666666666663</v>
      </c>
      <c r="N2679" s="8">
        <v>6.9333333333333327</v>
      </c>
      <c r="O2679" s="8">
        <v>0</v>
      </c>
      <c r="P2679" s="8">
        <v>0</v>
      </c>
      <c r="Q2679" s="8">
        <v>0</v>
      </c>
      <c r="R2679" s="8">
        <v>0</v>
      </c>
      <c r="S2679" s="8">
        <v>0</v>
      </c>
      <c r="T2679" s="5">
        <v>0</v>
      </c>
      <c r="U2679" s="5">
        <v>0</v>
      </c>
      <c r="V2679" s="5">
        <f>VLOOKUP(A2679,Planilha1!B:E,4,0)</f>
        <v>13.599044988219518</v>
      </c>
    </row>
    <row r="2680" spans="1:22" x14ac:dyDescent="0.3">
      <c r="A2680" t="str">
        <f t="shared" si="82"/>
        <v>PARMESÃOLACTALIS</v>
      </c>
      <c r="B2680" t="str">
        <f t="shared" si="83"/>
        <v>5315264PARMESÃOLACTALIS</v>
      </c>
      <c r="C2680" s="5" t="s">
        <v>226</v>
      </c>
      <c r="D2680" s="5" t="s">
        <v>227</v>
      </c>
      <c r="E2680" s="5" t="s">
        <v>1722</v>
      </c>
      <c r="F2680" s="5">
        <v>5315264</v>
      </c>
      <c r="G2680" s="5" t="s">
        <v>1121</v>
      </c>
      <c r="H2680" s="5" t="s">
        <v>30</v>
      </c>
      <c r="I2680" s="5" t="s">
        <v>22</v>
      </c>
      <c r="J2680" s="5" t="s">
        <v>195</v>
      </c>
      <c r="K2680" s="6">
        <v>0</v>
      </c>
      <c r="L2680" s="7">
        <v>0</v>
      </c>
      <c r="M2680" s="8">
        <v>31.434166666666666</v>
      </c>
      <c r="N2680" s="8">
        <v>58.31</v>
      </c>
      <c r="O2680" s="8">
        <v>0</v>
      </c>
      <c r="P2680" s="8">
        <v>0</v>
      </c>
      <c r="Q2680" s="8">
        <v>0</v>
      </c>
      <c r="R2680" s="8">
        <v>0</v>
      </c>
      <c r="S2680" s="8">
        <v>30</v>
      </c>
      <c r="T2680" s="5">
        <v>30</v>
      </c>
      <c r="U2680" s="5">
        <v>15</v>
      </c>
      <c r="V2680" s="5">
        <f>VLOOKUP(A2680,Planilha1!B:E,4,0)</f>
        <v>6.310326960724681</v>
      </c>
    </row>
    <row r="2681" spans="1:22" x14ac:dyDescent="0.3">
      <c r="A2681" t="str">
        <f t="shared" si="82"/>
        <v>IOGURTESLACTALIS</v>
      </c>
      <c r="B2681" t="str">
        <f t="shared" si="83"/>
        <v>5315264IOGURTESLACTALIS</v>
      </c>
      <c r="C2681" s="5" t="s">
        <v>226</v>
      </c>
      <c r="D2681" s="5" t="s">
        <v>227</v>
      </c>
      <c r="E2681" s="5" t="s">
        <v>1722</v>
      </c>
      <c r="F2681" s="5">
        <v>5315264</v>
      </c>
      <c r="G2681" s="5" t="s">
        <v>1121</v>
      </c>
      <c r="H2681" s="5" t="s">
        <v>30</v>
      </c>
      <c r="I2681" s="5" t="s">
        <v>22</v>
      </c>
      <c r="J2681" s="5" t="s">
        <v>153</v>
      </c>
      <c r="K2681" s="6">
        <v>0</v>
      </c>
      <c r="L2681" s="7">
        <v>16.2</v>
      </c>
      <c r="M2681" s="8">
        <v>17.099999999999998</v>
      </c>
      <c r="N2681" s="8">
        <v>12.6</v>
      </c>
      <c r="O2681" s="8">
        <v>18.337703022399584</v>
      </c>
      <c r="P2681" s="8">
        <v>0</v>
      </c>
      <c r="Q2681" s="8">
        <v>0</v>
      </c>
      <c r="R2681" s="8">
        <v>0</v>
      </c>
      <c r="S2681" s="8">
        <v>0</v>
      </c>
      <c r="T2681" s="5">
        <v>0</v>
      </c>
      <c r="U2681" s="5">
        <v>0</v>
      </c>
      <c r="V2681" s="5">
        <f>VLOOKUP(A2681,Planilha1!B:E,4,0)</f>
        <v>3.0503167986984403</v>
      </c>
    </row>
    <row r="2682" spans="1:22" x14ac:dyDescent="0.3">
      <c r="A2682" t="str">
        <f t="shared" si="82"/>
        <v>CREME UHTLACTALIS</v>
      </c>
      <c r="B2682" t="str">
        <f t="shared" si="83"/>
        <v>5315289CREME UHTLACTALIS</v>
      </c>
      <c r="C2682" s="5" t="s">
        <v>226</v>
      </c>
      <c r="D2682" s="5" t="s">
        <v>227</v>
      </c>
      <c r="E2682" s="5" t="s">
        <v>1722</v>
      </c>
      <c r="F2682" s="5">
        <v>5315289</v>
      </c>
      <c r="G2682" s="5" t="s">
        <v>1345</v>
      </c>
      <c r="H2682" s="5" t="s">
        <v>30</v>
      </c>
      <c r="I2682" s="5" t="s">
        <v>22</v>
      </c>
      <c r="J2682" s="5" t="s">
        <v>34</v>
      </c>
      <c r="K2682" s="6">
        <v>0</v>
      </c>
      <c r="L2682" s="7">
        <v>0</v>
      </c>
      <c r="M2682" s="8">
        <v>9.9</v>
      </c>
      <c r="N2682" s="8">
        <v>12.6</v>
      </c>
      <c r="O2682" s="8">
        <v>10.8</v>
      </c>
      <c r="P2682" s="8">
        <v>0</v>
      </c>
      <c r="Q2682" s="8">
        <v>10.8</v>
      </c>
      <c r="R2682" s="8">
        <v>0</v>
      </c>
      <c r="S2682" s="8">
        <v>5</v>
      </c>
      <c r="T2682" s="5">
        <v>5</v>
      </c>
      <c r="U2682" s="5">
        <v>5</v>
      </c>
      <c r="V2682" s="5">
        <f>VLOOKUP(A2682,Planilha1!B:E,4,0)</f>
        <v>-1.4094522863012933</v>
      </c>
    </row>
    <row r="2683" spans="1:22" x14ac:dyDescent="0.3">
      <c r="A2683" t="str">
        <f t="shared" si="82"/>
        <v>LEITE UHTLACTALIS</v>
      </c>
      <c r="B2683" t="str">
        <f t="shared" si="83"/>
        <v>5315289LEITE UHTLACTALIS</v>
      </c>
      <c r="C2683" s="5" t="s">
        <v>226</v>
      </c>
      <c r="D2683" s="5" t="s">
        <v>227</v>
      </c>
      <c r="E2683" s="5" t="s">
        <v>1722</v>
      </c>
      <c r="F2683" s="5">
        <v>5315289</v>
      </c>
      <c r="G2683" s="5" t="s">
        <v>1345</v>
      </c>
      <c r="H2683" s="5" t="s">
        <v>30</v>
      </c>
      <c r="I2683" s="5" t="s">
        <v>22</v>
      </c>
      <c r="J2683" s="5" t="s">
        <v>156</v>
      </c>
      <c r="K2683" s="6">
        <v>0</v>
      </c>
      <c r="L2683" s="7">
        <v>0</v>
      </c>
      <c r="M2683" s="8">
        <v>30</v>
      </c>
      <c r="N2683" s="8">
        <v>32</v>
      </c>
      <c r="O2683" s="8">
        <v>0</v>
      </c>
      <c r="P2683" s="8">
        <v>0</v>
      </c>
      <c r="Q2683" s="8">
        <v>48</v>
      </c>
      <c r="R2683" s="8">
        <v>0</v>
      </c>
      <c r="S2683" s="8">
        <v>0</v>
      </c>
      <c r="T2683" s="5">
        <v>0</v>
      </c>
      <c r="U2683" s="5">
        <v>0</v>
      </c>
      <c r="V2683" s="5">
        <f>VLOOKUP(A2683,Planilha1!B:E,4,0)</f>
        <v>0.37177548115779385</v>
      </c>
    </row>
    <row r="2684" spans="1:22" x14ac:dyDescent="0.3">
      <c r="A2684" t="str">
        <f t="shared" si="82"/>
        <v>IOGURTESLACTALIS</v>
      </c>
      <c r="B2684" t="str">
        <f t="shared" si="83"/>
        <v>5329676IOGURTESLACTALIS</v>
      </c>
      <c r="C2684" s="5" t="s">
        <v>226</v>
      </c>
      <c r="D2684" s="5" t="s">
        <v>227</v>
      </c>
      <c r="E2684" s="5" t="s">
        <v>1722</v>
      </c>
      <c r="F2684" s="5">
        <v>5329676</v>
      </c>
      <c r="G2684" s="5" t="s">
        <v>1346</v>
      </c>
      <c r="H2684" s="5" t="s">
        <v>30</v>
      </c>
      <c r="I2684" s="5" t="s">
        <v>22</v>
      </c>
      <c r="J2684" s="5" t="s">
        <v>153</v>
      </c>
      <c r="K2684" s="6">
        <v>0</v>
      </c>
      <c r="L2684" s="7">
        <v>73.599999999999994</v>
      </c>
      <c r="M2684" s="8">
        <v>116.53333333333332</v>
      </c>
      <c r="N2684" s="8">
        <v>98.133333333333326</v>
      </c>
      <c r="O2684" s="8">
        <v>103.30201379430069</v>
      </c>
      <c r="P2684" s="8">
        <v>0</v>
      </c>
      <c r="Q2684" s="8">
        <v>0</v>
      </c>
      <c r="R2684" s="8">
        <v>0</v>
      </c>
      <c r="S2684" s="8">
        <v>0</v>
      </c>
      <c r="T2684" s="5">
        <v>0</v>
      </c>
      <c r="U2684" s="5">
        <v>0</v>
      </c>
      <c r="V2684" s="5">
        <f>VLOOKUP(A2684,Planilha1!B:E,4,0)</f>
        <v>3.0503167986984403</v>
      </c>
    </row>
    <row r="2685" spans="1:22" x14ac:dyDescent="0.3">
      <c r="A2685" t="str">
        <f t="shared" si="82"/>
        <v>IOGURTESLACTALIS</v>
      </c>
      <c r="B2685" t="str">
        <f t="shared" si="83"/>
        <v>5316251IOGURTESLACTALIS</v>
      </c>
      <c r="C2685" s="5" t="s">
        <v>226</v>
      </c>
      <c r="D2685" s="5" t="s">
        <v>227</v>
      </c>
      <c r="E2685" s="5" t="s">
        <v>1722</v>
      </c>
      <c r="F2685" s="5">
        <v>5316251</v>
      </c>
      <c r="G2685" s="5" t="s">
        <v>470</v>
      </c>
      <c r="H2685" s="5" t="s">
        <v>30</v>
      </c>
      <c r="I2685" s="5" t="s">
        <v>22</v>
      </c>
      <c r="J2685" s="5" t="s">
        <v>153</v>
      </c>
      <c r="K2685" s="6">
        <v>0</v>
      </c>
      <c r="L2685" s="7">
        <v>16.2</v>
      </c>
      <c r="M2685" s="8">
        <v>30.18</v>
      </c>
      <c r="N2685" s="8">
        <v>49.84</v>
      </c>
      <c r="O2685" s="8">
        <v>6.108768688630315</v>
      </c>
      <c r="P2685" s="8">
        <v>0</v>
      </c>
      <c r="Q2685" s="8">
        <v>0</v>
      </c>
      <c r="R2685" s="8">
        <v>0</v>
      </c>
      <c r="S2685" s="8">
        <v>0</v>
      </c>
      <c r="T2685" s="5">
        <v>0</v>
      </c>
      <c r="U2685" s="5">
        <v>0</v>
      </c>
      <c r="V2685" s="5">
        <f>VLOOKUP(A2685,Planilha1!B:E,4,0)</f>
        <v>3.0503167986984403</v>
      </c>
    </row>
    <row r="2686" spans="1:22" x14ac:dyDescent="0.3">
      <c r="A2686" t="str">
        <f t="shared" si="82"/>
        <v>IOGURTESLACTALIS</v>
      </c>
      <c r="B2686" t="str">
        <f t="shared" si="83"/>
        <v>5316375IOGURTESLACTALIS</v>
      </c>
      <c r="C2686" s="5" t="s">
        <v>226</v>
      </c>
      <c r="D2686" s="5" t="s">
        <v>227</v>
      </c>
      <c r="E2686" s="5" t="s">
        <v>1722</v>
      </c>
      <c r="F2686" s="5">
        <v>5316375</v>
      </c>
      <c r="G2686" s="5" t="s">
        <v>471</v>
      </c>
      <c r="H2686" s="5" t="s">
        <v>30</v>
      </c>
      <c r="I2686" s="5" t="s">
        <v>22</v>
      </c>
      <c r="J2686" s="5" t="s">
        <v>153</v>
      </c>
      <c r="K2686" s="6">
        <v>0</v>
      </c>
      <c r="L2686" s="7">
        <v>0</v>
      </c>
      <c r="M2686" s="8">
        <v>12.24</v>
      </c>
      <c r="N2686" s="8">
        <v>24.48</v>
      </c>
      <c r="O2686" s="8">
        <v>0</v>
      </c>
      <c r="P2686" s="8">
        <v>0</v>
      </c>
      <c r="Q2686" s="8">
        <v>0</v>
      </c>
      <c r="R2686" s="8">
        <v>0</v>
      </c>
      <c r="S2686" s="8">
        <v>0</v>
      </c>
      <c r="T2686" s="5">
        <v>0</v>
      </c>
      <c r="U2686" s="5">
        <v>0</v>
      </c>
      <c r="V2686" s="5">
        <f>VLOOKUP(A2686,Planilha1!B:E,4,0)</f>
        <v>3.0503167986984403</v>
      </c>
    </row>
    <row r="2687" spans="1:22" x14ac:dyDescent="0.3">
      <c r="A2687" t="str">
        <f t="shared" si="82"/>
        <v>QUEIJOSLACTALIS</v>
      </c>
      <c r="B2687" t="str">
        <f t="shared" si="83"/>
        <v>5316375QUEIJOSLACTALIS</v>
      </c>
      <c r="C2687" s="5" t="s">
        <v>226</v>
      </c>
      <c r="D2687" s="5" t="s">
        <v>227</v>
      </c>
      <c r="E2687" s="5" t="s">
        <v>1722</v>
      </c>
      <c r="F2687" s="5">
        <v>5316375</v>
      </c>
      <c r="G2687" s="5" t="s">
        <v>471</v>
      </c>
      <c r="H2687" s="5" t="s">
        <v>30</v>
      </c>
      <c r="I2687" s="5" t="s">
        <v>22</v>
      </c>
      <c r="J2687" s="5" t="s">
        <v>63</v>
      </c>
      <c r="K2687" s="6">
        <v>0</v>
      </c>
      <c r="L2687" s="7">
        <v>202.08</v>
      </c>
      <c r="M2687" s="8">
        <v>137.72566666666665</v>
      </c>
      <c r="N2687" s="8">
        <v>115.87466666666667</v>
      </c>
      <c r="O2687" s="8">
        <v>26.22439692637753</v>
      </c>
      <c r="P2687" s="8">
        <v>0</v>
      </c>
      <c r="Q2687" s="8">
        <v>72</v>
      </c>
      <c r="R2687" s="8">
        <v>0</v>
      </c>
      <c r="S2687" s="8">
        <v>0</v>
      </c>
      <c r="T2687" s="5">
        <v>0</v>
      </c>
      <c r="U2687" s="5">
        <v>59</v>
      </c>
      <c r="V2687" s="5">
        <f>VLOOKUP(A2687,Planilha1!B:E,4,0)</f>
        <v>-1.9171310037550682</v>
      </c>
    </row>
    <row r="2688" spans="1:22" x14ac:dyDescent="0.3">
      <c r="A2688" t="str">
        <f t="shared" si="82"/>
        <v>QUEIJOSLACTALIS</v>
      </c>
      <c r="B2688" t="str">
        <f t="shared" si="83"/>
        <v>5316731QUEIJOSLACTALIS</v>
      </c>
      <c r="C2688" s="5" t="s">
        <v>226</v>
      </c>
      <c r="D2688" s="5" t="s">
        <v>227</v>
      </c>
      <c r="E2688" s="5" t="s">
        <v>1722</v>
      </c>
      <c r="F2688" s="5">
        <v>5316731</v>
      </c>
      <c r="G2688" s="5" t="s">
        <v>654</v>
      </c>
      <c r="H2688" s="5" t="s">
        <v>30</v>
      </c>
      <c r="I2688" s="5" t="s">
        <v>22</v>
      </c>
      <c r="J2688" s="5" t="s">
        <v>63</v>
      </c>
      <c r="K2688" s="6">
        <v>0</v>
      </c>
      <c r="L2688" s="7">
        <v>6.67</v>
      </c>
      <c r="M2688" s="8">
        <v>3.1833333333333336</v>
      </c>
      <c r="N2688" s="8">
        <v>0.33333333333333331</v>
      </c>
      <c r="O2688" s="8">
        <v>3.2766249962336111</v>
      </c>
      <c r="P2688" s="8">
        <v>0</v>
      </c>
      <c r="Q2688" s="8">
        <v>2</v>
      </c>
      <c r="R2688" s="8">
        <v>0</v>
      </c>
      <c r="S2688" s="8">
        <v>0</v>
      </c>
      <c r="T2688" s="5">
        <v>0</v>
      </c>
      <c r="U2688" s="5">
        <v>0</v>
      </c>
      <c r="V2688" s="5">
        <f>VLOOKUP(A2688,Planilha1!B:E,4,0)</f>
        <v>-1.9171310037550682</v>
      </c>
    </row>
    <row r="2689" spans="1:22" x14ac:dyDescent="0.3">
      <c r="A2689" t="str">
        <f t="shared" si="82"/>
        <v>QUEIJOSLACTALIS</v>
      </c>
      <c r="B2689" t="str">
        <f t="shared" si="83"/>
        <v>5317313QUEIJOSLACTALIS</v>
      </c>
      <c r="C2689" s="5" t="s">
        <v>226</v>
      </c>
      <c r="D2689" s="5" t="s">
        <v>227</v>
      </c>
      <c r="E2689" s="5" t="s">
        <v>1722</v>
      </c>
      <c r="F2689" s="5">
        <v>5317313</v>
      </c>
      <c r="G2689" s="5" t="s">
        <v>519</v>
      </c>
      <c r="H2689" s="5" t="s">
        <v>30</v>
      </c>
      <c r="I2689" s="5" t="s">
        <v>22</v>
      </c>
      <c r="J2689" s="5" t="s">
        <v>63</v>
      </c>
      <c r="K2689" s="6">
        <v>0</v>
      </c>
      <c r="L2689" s="7">
        <v>0</v>
      </c>
      <c r="M2689" s="8">
        <v>90.133166666666654</v>
      </c>
      <c r="N2689" s="8">
        <v>74.079666666666668</v>
      </c>
      <c r="O2689" s="8">
        <v>0</v>
      </c>
      <c r="P2689" s="8">
        <v>0</v>
      </c>
      <c r="Q2689" s="8">
        <v>0</v>
      </c>
      <c r="R2689" s="8">
        <v>0</v>
      </c>
      <c r="S2689" s="8">
        <v>0</v>
      </c>
      <c r="T2689" s="5">
        <v>0</v>
      </c>
      <c r="U2689" s="5">
        <v>0</v>
      </c>
      <c r="V2689" s="5">
        <f>VLOOKUP(A2689,Planilha1!B:E,4,0)</f>
        <v>-1.9171310037550682</v>
      </c>
    </row>
    <row r="2690" spans="1:22" x14ac:dyDescent="0.3">
      <c r="A2690" t="str">
        <f t="shared" ref="A2690:A2753" si="84">J2690&amp;I2690</f>
        <v>IOGURTESLACTALIS</v>
      </c>
      <c r="B2690" t="str">
        <f t="shared" si="83"/>
        <v>5317592IOGURTESLACTALIS</v>
      </c>
      <c r="C2690" s="5" t="s">
        <v>149</v>
      </c>
      <c r="D2690" s="5" t="s">
        <v>150</v>
      </c>
      <c r="E2690" s="5" t="s">
        <v>151</v>
      </c>
      <c r="F2690" s="5">
        <v>5317592</v>
      </c>
      <c r="G2690" s="5" t="s">
        <v>209</v>
      </c>
      <c r="H2690" s="5" t="s">
        <v>30</v>
      </c>
      <c r="I2690" s="5" t="s">
        <v>22</v>
      </c>
      <c r="J2690" s="5" t="s">
        <v>153</v>
      </c>
      <c r="K2690" s="6">
        <v>0</v>
      </c>
      <c r="L2690" s="7">
        <v>0</v>
      </c>
      <c r="M2690" s="8">
        <v>478.38</v>
      </c>
      <c r="N2690" s="8">
        <v>385.56</v>
      </c>
      <c r="O2690" s="8">
        <v>597.82735366064026</v>
      </c>
      <c r="P2690" s="8">
        <v>0</v>
      </c>
      <c r="Q2690" s="8">
        <v>489.6</v>
      </c>
      <c r="R2690" s="8">
        <v>0</v>
      </c>
      <c r="S2690" s="8">
        <v>0</v>
      </c>
      <c r="T2690" s="5">
        <v>0</v>
      </c>
      <c r="U2690" s="5">
        <v>0</v>
      </c>
      <c r="V2690" s="5">
        <f>VLOOKUP(A2690,Planilha1!B:E,4,0)</f>
        <v>3.0503167986984403</v>
      </c>
    </row>
    <row r="2691" spans="1:22" x14ac:dyDescent="0.3">
      <c r="A2691" t="str">
        <f t="shared" si="84"/>
        <v>CREME UHTLACTALIS</v>
      </c>
      <c r="B2691" t="str">
        <f t="shared" ref="B2691:B2754" si="85">F2691&amp;J2691&amp;I2691</f>
        <v>5318686CREME UHTLACTALIS</v>
      </c>
      <c r="C2691" s="5" t="s">
        <v>226</v>
      </c>
      <c r="D2691" s="5" t="s">
        <v>227</v>
      </c>
      <c r="E2691" s="5" t="s">
        <v>1722</v>
      </c>
      <c r="F2691" s="5">
        <v>5318686</v>
      </c>
      <c r="G2691" s="5" t="s">
        <v>1140</v>
      </c>
      <c r="H2691" s="5" t="s">
        <v>30</v>
      </c>
      <c r="I2691" s="5" t="s">
        <v>22</v>
      </c>
      <c r="J2691" s="5" t="s">
        <v>34</v>
      </c>
      <c r="K2691" s="6">
        <v>0</v>
      </c>
      <c r="L2691" s="7">
        <v>0</v>
      </c>
      <c r="M2691" s="8">
        <v>1.8</v>
      </c>
      <c r="N2691" s="8">
        <v>1.8</v>
      </c>
      <c r="O2691" s="8">
        <v>5.4</v>
      </c>
      <c r="P2691" s="8">
        <v>0</v>
      </c>
      <c r="Q2691" s="8">
        <v>0</v>
      </c>
      <c r="R2691" s="8">
        <v>0</v>
      </c>
      <c r="S2691" s="8">
        <v>0</v>
      </c>
      <c r="T2691" s="5">
        <v>0</v>
      </c>
      <c r="U2691" s="5">
        <v>0</v>
      </c>
      <c r="V2691" s="5">
        <f>VLOOKUP(A2691,Planilha1!B:E,4,0)</f>
        <v>-1.4094522863012933</v>
      </c>
    </row>
    <row r="2692" spans="1:22" x14ac:dyDescent="0.3">
      <c r="A2692" t="str">
        <f t="shared" si="84"/>
        <v>MANTEIGA 5KGLACTALIS</v>
      </c>
      <c r="B2692" t="str">
        <f t="shared" si="85"/>
        <v>5318686MANTEIGA 5KGLACTALIS</v>
      </c>
      <c r="C2692" s="5" t="s">
        <v>226</v>
      </c>
      <c r="D2692" s="5" t="s">
        <v>227</v>
      </c>
      <c r="E2692" s="5" t="s">
        <v>1722</v>
      </c>
      <c r="F2692" s="5">
        <v>5318686</v>
      </c>
      <c r="G2692" s="5" t="s">
        <v>1140</v>
      </c>
      <c r="H2692" s="5" t="s">
        <v>30</v>
      </c>
      <c r="I2692" s="5" t="s">
        <v>22</v>
      </c>
      <c r="J2692" s="5" t="s">
        <v>60</v>
      </c>
      <c r="K2692" s="6">
        <v>0</v>
      </c>
      <c r="L2692" s="7">
        <v>0</v>
      </c>
      <c r="M2692" s="8">
        <v>0.83333333333333337</v>
      </c>
      <c r="N2692" s="8">
        <v>1.6666666666666667</v>
      </c>
      <c r="O2692" s="8">
        <v>0</v>
      </c>
      <c r="P2692" s="8">
        <v>0</v>
      </c>
      <c r="Q2692" s="8">
        <v>0</v>
      </c>
      <c r="R2692" s="8">
        <v>0</v>
      </c>
      <c r="S2692" s="8">
        <v>10</v>
      </c>
      <c r="T2692" s="5">
        <v>10</v>
      </c>
      <c r="U2692" s="5">
        <v>5</v>
      </c>
      <c r="V2692" s="5">
        <f>VLOOKUP(A2692,Planilha1!B:E,4,0)</f>
        <v>11.476197020267191</v>
      </c>
    </row>
    <row r="2693" spans="1:22" x14ac:dyDescent="0.3">
      <c r="A2693" t="str">
        <f t="shared" si="84"/>
        <v>LEITE CONDENSADOLACTALIS</v>
      </c>
      <c r="B2693" t="str">
        <f t="shared" si="85"/>
        <v>5318686LEITE CONDENSADOLACTALIS</v>
      </c>
      <c r="C2693" s="5" t="s">
        <v>226</v>
      </c>
      <c r="D2693" s="5" t="s">
        <v>227</v>
      </c>
      <c r="E2693" s="5" t="s">
        <v>1722</v>
      </c>
      <c r="F2693" s="5">
        <v>5318686</v>
      </c>
      <c r="G2693" s="5" t="s">
        <v>1140</v>
      </c>
      <c r="H2693" s="5" t="s">
        <v>30</v>
      </c>
      <c r="I2693" s="5" t="s">
        <v>22</v>
      </c>
      <c r="J2693" s="5" t="s">
        <v>33</v>
      </c>
      <c r="K2693" s="6">
        <v>0</v>
      </c>
      <c r="L2693" s="7">
        <v>0</v>
      </c>
      <c r="M2693" s="8">
        <v>1.58</v>
      </c>
      <c r="N2693" s="8">
        <v>3.16</v>
      </c>
      <c r="O2693" s="8">
        <v>9.48</v>
      </c>
      <c r="P2693" s="8">
        <v>0</v>
      </c>
      <c r="Q2693" s="8">
        <v>0</v>
      </c>
      <c r="R2693" s="8">
        <v>0</v>
      </c>
      <c r="S2693" s="8">
        <v>0</v>
      </c>
      <c r="T2693" s="5">
        <v>0</v>
      </c>
      <c r="U2693" s="5">
        <v>0</v>
      </c>
      <c r="V2693" s="5">
        <f>VLOOKUP(A2693,Planilha1!B:E,4,0)</f>
        <v>1.8665071822970765</v>
      </c>
    </row>
    <row r="2694" spans="1:22" x14ac:dyDescent="0.3">
      <c r="A2694" t="str">
        <f t="shared" si="84"/>
        <v>BLISTERLACTALIS</v>
      </c>
      <c r="B2694" t="str">
        <f t="shared" si="85"/>
        <v>5318961BLISTERLACTALIS</v>
      </c>
      <c r="C2694" s="5" t="s">
        <v>226</v>
      </c>
      <c r="D2694" s="5" t="s">
        <v>227</v>
      </c>
      <c r="E2694" s="5" t="s">
        <v>1722</v>
      </c>
      <c r="F2694" s="5">
        <v>5318961</v>
      </c>
      <c r="G2694" s="5" t="s">
        <v>1172</v>
      </c>
      <c r="H2694" s="5" t="s">
        <v>30</v>
      </c>
      <c r="I2694" s="5" t="s">
        <v>22</v>
      </c>
      <c r="J2694" s="5" t="s">
        <v>199</v>
      </c>
      <c r="K2694" s="6">
        <v>0</v>
      </c>
      <c r="L2694" s="7">
        <v>0</v>
      </c>
      <c r="M2694" s="8">
        <v>0.64</v>
      </c>
      <c r="N2694" s="8">
        <v>0.64</v>
      </c>
      <c r="O2694" s="8">
        <v>0</v>
      </c>
      <c r="P2694" s="8">
        <v>0</v>
      </c>
      <c r="Q2694" s="8">
        <v>0</v>
      </c>
      <c r="R2694" s="8">
        <v>0</v>
      </c>
      <c r="S2694" s="8">
        <v>0</v>
      </c>
      <c r="T2694" s="5">
        <v>0</v>
      </c>
      <c r="U2694" s="5">
        <v>0</v>
      </c>
      <c r="V2694" s="5">
        <f>VLOOKUP(A2694,Planilha1!B:E,4,0)</f>
        <v>13.783871706210666</v>
      </c>
    </row>
    <row r="2695" spans="1:22" x14ac:dyDescent="0.3">
      <c r="A2695" t="str">
        <f t="shared" si="84"/>
        <v>MANTEIGA 5KGLACTALIS</v>
      </c>
      <c r="B2695" t="str">
        <f t="shared" si="85"/>
        <v>5319562MANTEIGA 5KGLACTALIS</v>
      </c>
      <c r="C2695" s="5" t="s">
        <v>226</v>
      </c>
      <c r="D2695" s="5" t="s">
        <v>227</v>
      </c>
      <c r="E2695" s="5" t="s">
        <v>1722</v>
      </c>
      <c r="F2695" s="5">
        <v>5319562</v>
      </c>
      <c r="G2695" s="5" t="s">
        <v>1336</v>
      </c>
      <c r="H2695" s="5" t="s">
        <v>30</v>
      </c>
      <c r="I2695" s="5" t="s">
        <v>22</v>
      </c>
      <c r="J2695" s="5" t="s">
        <v>60</v>
      </c>
      <c r="K2695" s="6">
        <v>0</v>
      </c>
      <c r="L2695" s="7">
        <v>0</v>
      </c>
      <c r="M2695" s="8">
        <v>18.333333333333332</v>
      </c>
      <c r="N2695" s="8">
        <v>11.666666666666666</v>
      </c>
      <c r="O2695" s="8">
        <v>0</v>
      </c>
      <c r="P2695" s="8">
        <v>0</v>
      </c>
      <c r="Q2695" s="8">
        <v>0</v>
      </c>
      <c r="R2695" s="8">
        <v>0</v>
      </c>
      <c r="S2695" s="8">
        <v>25</v>
      </c>
      <c r="T2695" s="5">
        <v>25</v>
      </c>
      <c r="U2695" s="5">
        <v>25</v>
      </c>
      <c r="V2695" s="5">
        <f>VLOOKUP(A2695,Planilha1!B:E,4,0)</f>
        <v>11.476197020267191</v>
      </c>
    </row>
    <row r="2696" spans="1:22" x14ac:dyDescent="0.3">
      <c r="A2696" t="str">
        <f t="shared" si="84"/>
        <v>LEITE UHTLACTALIS</v>
      </c>
      <c r="B2696" t="str">
        <f t="shared" si="85"/>
        <v>5319562LEITE UHTLACTALIS</v>
      </c>
      <c r="C2696" s="5" t="s">
        <v>226</v>
      </c>
      <c r="D2696" s="5" t="s">
        <v>227</v>
      </c>
      <c r="E2696" s="5" t="s">
        <v>1722</v>
      </c>
      <c r="F2696" s="5">
        <v>5319562</v>
      </c>
      <c r="G2696" s="5" t="s">
        <v>1336</v>
      </c>
      <c r="H2696" s="5" t="s">
        <v>30</v>
      </c>
      <c r="I2696" s="5" t="s">
        <v>22</v>
      </c>
      <c r="J2696" s="5" t="s">
        <v>156</v>
      </c>
      <c r="K2696" s="6">
        <v>0</v>
      </c>
      <c r="L2696" s="7">
        <v>0</v>
      </c>
      <c r="M2696" s="8">
        <v>52</v>
      </c>
      <c r="N2696" s="8">
        <v>56</v>
      </c>
      <c r="O2696" s="8">
        <v>0</v>
      </c>
      <c r="P2696" s="8">
        <v>0</v>
      </c>
      <c r="Q2696" s="8">
        <v>24</v>
      </c>
      <c r="R2696" s="8">
        <v>0</v>
      </c>
      <c r="S2696" s="8">
        <v>0</v>
      </c>
      <c r="T2696" s="5">
        <v>0</v>
      </c>
      <c r="U2696" s="5">
        <v>0</v>
      </c>
      <c r="V2696" s="5">
        <f>VLOOKUP(A2696,Planilha1!B:E,4,0)</f>
        <v>0.37177548115779385</v>
      </c>
    </row>
    <row r="2697" spans="1:22" x14ac:dyDescent="0.3">
      <c r="A2697" t="str">
        <f t="shared" si="84"/>
        <v>MANTEIGA 5KGLACTALIS</v>
      </c>
      <c r="B2697" t="str">
        <f t="shared" si="85"/>
        <v>5320058MANTEIGA 5KGLACTALIS</v>
      </c>
      <c r="C2697" s="5" t="s">
        <v>226</v>
      </c>
      <c r="D2697" s="5" t="s">
        <v>227</v>
      </c>
      <c r="E2697" s="5" t="s">
        <v>1722</v>
      </c>
      <c r="F2697" s="5">
        <v>5320058</v>
      </c>
      <c r="G2697" s="5" t="s">
        <v>1347</v>
      </c>
      <c r="H2697" s="5" t="s">
        <v>30</v>
      </c>
      <c r="I2697" s="5" t="s">
        <v>22</v>
      </c>
      <c r="J2697" s="5" t="s">
        <v>60</v>
      </c>
      <c r="K2697" s="6">
        <v>0</v>
      </c>
      <c r="L2697" s="7">
        <v>0</v>
      </c>
      <c r="M2697" s="8">
        <v>2.5</v>
      </c>
      <c r="N2697" s="8">
        <v>5</v>
      </c>
      <c r="O2697" s="8">
        <v>0</v>
      </c>
      <c r="P2697" s="8">
        <v>0</v>
      </c>
      <c r="Q2697" s="8">
        <v>0</v>
      </c>
      <c r="R2697" s="8">
        <v>0</v>
      </c>
      <c r="S2697" s="8">
        <v>10</v>
      </c>
      <c r="T2697" s="5">
        <v>10</v>
      </c>
      <c r="U2697" s="5">
        <v>5</v>
      </c>
      <c r="V2697" s="5">
        <f>VLOOKUP(A2697,Planilha1!B:E,4,0)</f>
        <v>11.476197020267191</v>
      </c>
    </row>
    <row r="2698" spans="1:22" x14ac:dyDescent="0.3">
      <c r="A2698" t="str">
        <f t="shared" si="84"/>
        <v>SPREADSLACTALIS</v>
      </c>
      <c r="B2698" t="str">
        <f t="shared" si="85"/>
        <v>5320370SPREADSLACTALIS</v>
      </c>
      <c r="C2698" s="5" t="s">
        <v>226</v>
      </c>
      <c r="D2698" s="5" t="s">
        <v>227</v>
      </c>
      <c r="E2698" s="5" t="s">
        <v>1722</v>
      </c>
      <c r="F2698" s="5">
        <v>5320370</v>
      </c>
      <c r="G2698" s="5" t="s">
        <v>686</v>
      </c>
      <c r="H2698" s="5" t="s">
        <v>30</v>
      </c>
      <c r="I2698" s="5" t="s">
        <v>22</v>
      </c>
      <c r="J2698" s="5" t="s">
        <v>945</v>
      </c>
      <c r="K2698" s="6">
        <v>0</v>
      </c>
      <c r="L2698" s="7">
        <v>0</v>
      </c>
      <c r="M2698" s="8">
        <v>4</v>
      </c>
      <c r="N2698" s="8">
        <v>2.6666666666666665</v>
      </c>
      <c r="O2698" s="8">
        <v>4.4733054296406687</v>
      </c>
      <c r="P2698" s="8">
        <v>0</v>
      </c>
      <c r="Q2698" s="8">
        <v>0</v>
      </c>
      <c r="R2698" s="8">
        <v>0</v>
      </c>
      <c r="S2698" s="8">
        <v>0</v>
      </c>
      <c r="T2698" s="5">
        <v>0</v>
      </c>
      <c r="U2698" s="5">
        <v>0</v>
      </c>
      <c r="V2698" s="5">
        <f>VLOOKUP(A2698,Planilha1!B:E,4,0)</f>
        <v>13.599044988219518</v>
      </c>
    </row>
    <row r="2699" spans="1:22" x14ac:dyDescent="0.3">
      <c r="A2699" t="str">
        <f t="shared" si="84"/>
        <v>SPREADSLACTALIS</v>
      </c>
      <c r="B2699" t="str">
        <f t="shared" si="85"/>
        <v>5320372SPREADSLACTALIS</v>
      </c>
      <c r="C2699" s="5" t="s">
        <v>226</v>
      </c>
      <c r="D2699" s="5" t="s">
        <v>227</v>
      </c>
      <c r="E2699" s="5" t="s">
        <v>1722</v>
      </c>
      <c r="F2699" s="5">
        <v>5320372</v>
      </c>
      <c r="G2699" s="5" t="s">
        <v>520</v>
      </c>
      <c r="H2699" s="5" t="s">
        <v>30</v>
      </c>
      <c r="I2699" s="5" t="s">
        <v>22</v>
      </c>
      <c r="J2699" s="5" t="s">
        <v>945</v>
      </c>
      <c r="K2699" s="6">
        <v>0</v>
      </c>
      <c r="L2699" s="7">
        <v>0</v>
      </c>
      <c r="M2699" s="8">
        <v>1.5999999999999999</v>
      </c>
      <c r="N2699" s="8">
        <v>3.1999999999999997</v>
      </c>
      <c r="O2699" s="8">
        <v>1.3448408680193602</v>
      </c>
      <c r="P2699" s="8">
        <v>0</v>
      </c>
      <c r="Q2699" s="8">
        <v>0</v>
      </c>
      <c r="R2699" s="8">
        <v>0</v>
      </c>
      <c r="S2699" s="8">
        <v>0</v>
      </c>
      <c r="T2699" s="5">
        <v>0</v>
      </c>
      <c r="U2699" s="5">
        <v>0</v>
      </c>
      <c r="V2699" s="5">
        <f>VLOOKUP(A2699,Planilha1!B:E,4,0)</f>
        <v>13.599044988219518</v>
      </c>
    </row>
    <row r="2700" spans="1:22" x14ac:dyDescent="0.3">
      <c r="A2700" t="str">
        <f t="shared" si="84"/>
        <v>QUEIJOSLACTALIS</v>
      </c>
      <c r="B2700" t="str">
        <f t="shared" si="85"/>
        <v>5320372QUEIJOSLACTALIS</v>
      </c>
      <c r="C2700" s="5" t="s">
        <v>226</v>
      </c>
      <c r="D2700" s="5" t="s">
        <v>227</v>
      </c>
      <c r="E2700" s="5" t="s">
        <v>1722</v>
      </c>
      <c r="F2700" s="5">
        <v>5320372</v>
      </c>
      <c r="G2700" s="5" t="s">
        <v>520</v>
      </c>
      <c r="H2700" s="5" t="s">
        <v>30</v>
      </c>
      <c r="I2700" s="5" t="s">
        <v>22</v>
      </c>
      <c r="J2700" s="5" t="s">
        <v>63</v>
      </c>
      <c r="K2700" s="6">
        <v>0</v>
      </c>
      <c r="L2700" s="7">
        <v>0</v>
      </c>
      <c r="M2700" s="8">
        <v>17.579999999999998</v>
      </c>
      <c r="N2700" s="8">
        <v>24.52</v>
      </c>
      <c r="O2700" s="8">
        <v>19.260856499599313</v>
      </c>
      <c r="P2700" s="8">
        <v>0</v>
      </c>
      <c r="Q2700" s="8">
        <v>6.84</v>
      </c>
      <c r="R2700" s="8">
        <v>0</v>
      </c>
      <c r="S2700" s="8">
        <v>0</v>
      </c>
      <c r="T2700" s="5">
        <v>0</v>
      </c>
      <c r="U2700" s="5">
        <v>0</v>
      </c>
      <c r="V2700" s="5">
        <f>VLOOKUP(A2700,Planilha1!B:E,4,0)</f>
        <v>-1.9171310037550682</v>
      </c>
    </row>
    <row r="2701" spans="1:22" x14ac:dyDescent="0.3">
      <c r="A2701" t="str">
        <f t="shared" si="84"/>
        <v>SPREADSLACTALIS</v>
      </c>
      <c r="B2701" t="str">
        <f t="shared" si="85"/>
        <v>5320542SPREADSLACTALIS</v>
      </c>
      <c r="C2701" s="5" t="s">
        <v>226</v>
      </c>
      <c r="D2701" s="5" t="s">
        <v>227</v>
      </c>
      <c r="E2701" s="5" t="s">
        <v>1722</v>
      </c>
      <c r="F2701" s="5">
        <v>5320542</v>
      </c>
      <c r="G2701" s="5" t="s">
        <v>687</v>
      </c>
      <c r="H2701" s="5" t="s">
        <v>30</v>
      </c>
      <c r="I2701" s="5" t="s">
        <v>22</v>
      </c>
      <c r="J2701" s="5" t="s">
        <v>945</v>
      </c>
      <c r="K2701" s="6">
        <v>0</v>
      </c>
      <c r="L2701" s="7">
        <v>0</v>
      </c>
      <c r="M2701" s="8">
        <v>4</v>
      </c>
      <c r="N2701" s="8">
        <v>2.6666666666666665</v>
      </c>
      <c r="O2701" s="8">
        <v>4.4733054296406687</v>
      </c>
      <c r="P2701" s="8">
        <v>0</v>
      </c>
      <c r="Q2701" s="8">
        <v>0</v>
      </c>
      <c r="R2701" s="8">
        <v>0</v>
      </c>
      <c r="S2701" s="8">
        <v>0</v>
      </c>
      <c r="T2701" s="5">
        <v>0</v>
      </c>
      <c r="U2701" s="5">
        <v>0</v>
      </c>
      <c r="V2701" s="5">
        <f>VLOOKUP(A2701,Planilha1!B:E,4,0)</f>
        <v>13.599044988219518</v>
      </c>
    </row>
    <row r="2702" spans="1:22" x14ac:dyDescent="0.3">
      <c r="A2702" t="str">
        <f t="shared" si="84"/>
        <v>QUEIJOSLACTALIS</v>
      </c>
      <c r="B2702" t="str">
        <f t="shared" si="85"/>
        <v>5330471QUEIJOSLACTALIS</v>
      </c>
      <c r="C2702" s="5" t="s">
        <v>226</v>
      </c>
      <c r="D2702" s="5" t="s">
        <v>227</v>
      </c>
      <c r="E2702" s="5" t="s">
        <v>1722</v>
      </c>
      <c r="F2702" s="5">
        <v>5330471</v>
      </c>
      <c r="G2702" s="5" t="s">
        <v>352</v>
      </c>
      <c r="H2702" s="5" t="s">
        <v>30</v>
      </c>
      <c r="I2702" s="5" t="s">
        <v>22</v>
      </c>
      <c r="J2702" s="5" t="s">
        <v>63</v>
      </c>
      <c r="K2702" s="6">
        <v>0</v>
      </c>
      <c r="L2702" s="7">
        <v>10.5</v>
      </c>
      <c r="M2702" s="8">
        <v>12.06</v>
      </c>
      <c r="N2702" s="8">
        <v>10.06</v>
      </c>
      <c r="O2702" s="8">
        <v>11.471036725944799</v>
      </c>
      <c r="P2702" s="8">
        <v>0</v>
      </c>
      <c r="Q2702" s="8">
        <v>0</v>
      </c>
      <c r="R2702" s="8">
        <v>0</v>
      </c>
      <c r="S2702" s="8">
        <v>0</v>
      </c>
      <c r="T2702" s="5">
        <v>0</v>
      </c>
      <c r="U2702" s="5">
        <v>0</v>
      </c>
      <c r="V2702" s="5">
        <f>VLOOKUP(A2702,Planilha1!B:E,4,0)</f>
        <v>-1.9171310037550682</v>
      </c>
    </row>
    <row r="2703" spans="1:22" x14ac:dyDescent="0.3">
      <c r="A2703" t="str">
        <f t="shared" si="84"/>
        <v>IOGURTESLACTALIS</v>
      </c>
      <c r="B2703" t="str">
        <f t="shared" si="85"/>
        <v>5331503IOGURTESLACTALIS</v>
      </c>
      <c r="C2703" s="5" t="s">
        <v>226</v>
      </c>
      <c r="D2703" s="5" t="s">
        <v>227</v>
      </c>
      <c r="E2703" s="5" t="s">
        <v>1722</v>
      </c>
      <c r="F2703" s="5">
        <v>5331503</v>
      </c>
      <c r="G2703" s="5" t="s">
        <v>1348</v>
      </c>
      <c r="H2703" s="5" t="s">
        <v>30</v>
      </c>
      <c r="I2703" s="5" t="s">
        <v>22</v>
      </c>
      <c r="J2703" s="5" t="s">
        <v>153</v>
      </c>
      <c r="K2703" s="6">
        <v>0</v>
      </c>
      <c r="L2703" s="7">
        <v>0</v>
      </c>
      <c r="M2703" s="8">
        <v>42.000000000000007</v>
      </c>
      <c r="N2703" s="8">
        <v>84.000000000000014</v>
      </c>
      <c r="O2703" s="8">
        <v>0</v>
      </c>
      <c r="P2703" s="8">
        <v>0</v>
      </c>
      <c r="Q2703" s="8">
        <v>0</v>
      </c>
      <c r="R2703" s="8">
        <v>0</v>
      </c>
      <c r="S2703" s="8">
        <v>0</v>
      </c>
      <c r="T2703" s="5">
        <v>0</v>
      </c>
      <c r="U2703" s="5">
        <v>158</v>
      </c>
      <c r="V2703" s="5">
        <f>VLOOKUP(A2703,Planilha1!B:E,4,0)</f>
        <v>3.0503167986984403</v>
      </c>
    </row>
    <row r="2704" spans="1:22" x14ac:dyDescent="0.3">
      <c r="A2704" t="str">
        <f t="shared" si="84"/>
        <v>LEITE UHTLACTALIS</v>
      </c>
      <c r="B2704" t="str">
        <f t="shared" si="85"/>
        <v>5331503LEITE UHTLACTALIS</v>
      </c>
      <c r="C2704" s="5" t="s">
        <v>226</v>
      </c>
      <c r="D2704" s="5" t="s">
        <v>227</v>
      </c>
      <c r="E2704" s="5" t="s">
        <v>1722</v>
      </c>
      <c r="F2704" s="5">
        <v>5331503</v>
      </c>
      <c r="G2704" s="5" t="s">
        <v>1348</v>
      </c>
      <c r="H2704" s="5" t="s">
        <v>30</v>
      </c>
      <c r="I2704" s="5" t="s">
        <v>22</v>
      </c>
      <c r="J2704" s="5" t="s">
        <v>156</v>
      </c>
      <c r="K2704" s="6">
        <v>0</v>
      </c>
      <c r="L2704" s="7">
        <v>0</v>
      </c>
      <c r="M2704" s="8">
        <v>120</v>
      </c>
      <c r="N2704" s="8">
        <v>240</v>
      </c>
      <c r="O2704" s="8">
        <v>0</v>
      </c>
      <c r="P2704" s="8">
        <v>0</v>
      </c>
      <c r="Q2704" s="8">
        <v>0</v>
      </c>
      <c r="R2704" s="8">
        <v>0</v>
      </c>
      <c r="S2704" s="8">
        <v>0</v>
      </c>
      <c r="T2704" s="5">
        <v>0</v>
      </c>
      <c r="U2704" s="5">
        <v>396</v>
      </c>
      <c r="V2704" s="5">
        <f>VLOOKUP(A2704,Planilha1!B:E,4,0)</f>
        <v>0.37177548115779385</v>
      </c>
    </row>
    <row r="2705" spans="1:22" x14ac:dyDescent="0.3">
      <c r="A2705" t="str">
        <f t="shared" si="84"/>
        <v>LEITE CONDENSADOLACTALIS</v>
      </c>
      <c r="B2705" t="str">
        <f t="shared" si="85"/>
        <v>5332358LEITE CONDENSADOLACTALIS</v>
      </c>
      <c r="C2705" s="5" t="s">
        <v>226</v>
      </c>
      <c r="D2705" s="5" t="s">
        <v>227</v>
      </c>
      <c r="E2705" s="5" t="s">
        <v>1722</v>
      </c>
      <c r="F2705" s="5">
        <v>5332358</v>
      </c>
      <c r="G2705" s="5" t="s">
        <v>353</v>
      </c>
      <c r="H2705" s="5" t="s">
        <v>30</v>
      </c>
      <c r="I2705" s="5" t="s">
        <v>22</v>
      </c>
      <c r="J2705" s="5" t="s">
        <v>33</v>
      </c>
      <c r="K2705" s="6">
        <v>0</v>
      </c>
      <c r="L2705" s="7">
        <v>0</v>
      </c>
      <c r="M2705" s="8">
        <v>14.219999999999999</v>
      </c>
      <c r="N2705" s="8">
        <v>28.439999999999998</v>
      </c>
      <c r="O2705" s="8">
        <v>85.32</v>
      </c>
      <c r="P2705" s="8">
        <v>0</v>
      </c>
      <c r="Q2705" s="8">
        <v>0</v>
      </c>
      <c r="R2705" s="8">
        <v>0</v>
      </c>
      <c r="S2705" s="8">
        <v>9</v>
      </c>
      <c r="T2705" s="5">
        <v>85</v>
      </c>
      <c r="U2705" s="5">
        <v>9</v>
      </c>
      <c r="V2705" s="5">
        <f>VLOOKUP(A2705,Planilha1!B:E,4,0)</f>
        <v>1.8665071822970765</v>
      </c>
    </row>
    <row r="2706" spans="1:22" x14ac:dyDescent="0.3">
      <c r="A2706" t="str">
        <f t="shared" si="84"/>
        <v>QUEIJOSLACTALIS</v>
      </c>
      <c r="B2706" t="str">
        <f t="shared" si="85"/>
        <v>5321723QUEIJOSLACTALIS</v>
      </c>
      <c r="C2706" s="5" t="s">
        <v>226</v>
      </c>
      <c r="D2706" s="5" t="s">
        <v>227</v>
      </c>
      <c r="E2706" s="5" t="s">
        <v>1722</v>
      </c>
      <c r="F2706" s="5">
        <v>5321723</v>
      </c>
      <c r="G2706" s="5" t="s">
        <v>522</v>
      </c>
      <c r="H2706" s="5" t="s">
        <v>30</v>
      </c>
      <c r="I2706" s="5" t="s">
        <v>22</v>
      </c>
      <c r="J2706" s="5" t="s">
        <v>63</v>
      </c>
      <c r="K2706" s="6">
        <v>0</v>
      </c>
      <c r="L2706" s="7">
        <v>0</v>
      </c>
      <c r="M2706" s="8">
        <v>1.9749999999999999</v>
      </c>
      <c r="N2706" s="8">
        <v>3.9499999999999997</v>
      </c>
      <c r="O2706" s="8">
        <v>0</v>
      </c>
      <c r="P2706" s="8">
        <v>0</v>
      </c>
      <c r="Q2706" s="8">
        <v>0</v>
      </c>
      <c r="R2706" s="8">
        <v>0</v>
      </c>
      <c r="S2706" s="8">
        <v>0</v>
      </c>
      <c r="T2706" s="5">
        <v>0</v>
      </c>
      <c r="U2706" s="5">
        <v>0</v>
      </c>
      <c r="V2706" s="5">
        <f>VLOOKUP(A2706,Planilha1!B:E,4,0)</f>
        <v>-1.9171310037550682</v>
      </c>
    </row>
    <row r="2707" spans="1:22" x14ac:dyDescent="0.3">
      <c r="A2707" t="str">
        <f t="shared" si="84"/>
        <v>BLISTERLACTALIS</v>
      </c>
      <c r="B2707" t="str">
        <f t="shared" si="85"/>
        <v>5321723BLISTERLACTALIS</v>
      </c>
      <c r="C2707" s="5" t="s">
        <v>226</v>
      </c>
      <c r="D2707" s="5" t="s">
        <v>227</v>
      </c>
      <c r="E2707" s="5" t="s">
        <v>1722</v>
      </c>
      <c r="F2707" s="5">
        <v>5321723</v>
      </c>
      <c r="G2707" s="5" t="s">
        <v>522</v>
      </c>
      <c r="H2707" s="5" t="s">
        <v>30</v>
      </c>
      <c r="I2707" s="5" t="s">
        <v>22</v>
      </c>
      <c r="J2707" s="5" t="s">
        <v>199</v>
      </c>
      <c r="K2707" s="6">
        <v>0</v>
      </c>
      <c r="L2707" s="7">
        <v>0</v>
      </c>
      <c r="M2707" s="8">
        <v>0.72000000000000008</v>
      </c>
      <c r="N2707" s="8">
        <v>1.4400000000000002</v>
      </c>
      <c r="O2707" s="8">
        <v>0</v>
      </c>
      <c r="P2707" s="8">
        <v>0</v>
      </c>
      <c r="Q2707" s="8">
        <v>0</v>
      </c>
      <c r="R2707" s="8">
        <v>0</v>
      </c>
      <c r="S2707" s="8">
        <v>0</v>
      </c>
      <c r="T2707" s="5">
        <v>0</v>
      </c>
      <c r="U2707" s="5">
        <v>0</v>
      </c>
      <c r="V2707" s="5">
        <f>VLOOKUP(A2707,Planilha1!B:E,4,0)</f>
        <v>13.783871706210666</v>
      </c>
    </row>
    <row r="2708" spans="1:22" x14ac:dyDescent="0.3">
      <c r="A2708" t="str">
        <f t="shared" si="84"/>
        <v>IOGURTESLACTALIS</v>
      </c>
      <c r="B2708" t="str">
        <f t="shared" si="85"/>
        <v>5334673IOGURTESLACTALIS</v>
      </c>
      <c r="C2708" s="5" t="s">
        <v>226</v>
      </c>
      <c r="D2708" s="5" t="s">
        <v>227</v>
      </c>
      <c r="E2708" s="5" t="s">
        <v>1722</v>
      </c>
      <c r="F2708" s="5">
        <v>5334673</v>
      </c>
      <c r="G2708" s="5" t="s">
        <v>464</v>
      </c>
      <c r="H2708" s="5" t="s">
        <v>30</v>
      </c>
      <c r="I2708" s="5" t="s">
        <v>22</v>
      </c>
      <c r="J2708" s="5" t="s">
        <v>153</v>
      </c>
      <c r="K2708" s="6">
        <v>0</v>
      </c>
      <c r="L2708" s="7">
        <v>0</v>
      </c>
      <c r="M2708" s="8">
        <v>11.066666666666666</v>
      </c>
      <c r="N2708" s="8">
        <v>16.346666666666664</v>
      </c>
      <c r="O2708" s="8">
        <v>8.9637062940442949</v>
      </c>
      <c r="P2708" s="8">
        <v>0</v>
      </c>
      <c r="Q2708" s="8">
        <v>0</v>
      </c>
      <c r="R2708" s="8">
        <v>0</v>
      </c>
      <c r="S2708" s="8">
        <v>0</v>
      </c>
      <c r="T2708" s="5">
        <v>0</v>
      </c>
      <c r="U2708" s="5">
        <v>0</v>
      </c>
      <c r="V2708" s="5">
        <f>VLOOKUP(A2708,Planilha1!B:E,4,0)</f>
        <v>3.0503167986984403</v>
      </c>
    </row>
    <row r="2709" spans="1:22" x14ac:dyDescent="0.3">
      <c r="A2709" t="str">
        <f t="shared" si="84"/>
        <v>PARMESÃOLACTALIS</v>
      </c>
      <c r="B2709" t="str">
        <f t="shared" si="85"/>
        <v>5321728PARMESÃOLACTALIS</v>
      </c>
      <c r="C2709" s="5" t="s">
        <v>226</v>
      </c>
      <c r="D2709" s="5" t="s">
        <v>227</v>
      </c>
      <c r="E2709" s="5" t="s">
        <v>1722</v>
      </c>
      <c r="F2709" s="5">
        <v>5321728</v>
      </c>
      <c r="G2709" s="5" t="s">
        <v>524</v>
      </c>
      <c r="H2709" s="5" t="s">
        <v>30</v>
      </c>
      <c r="I2709" s="5" t="s">
        <v>22</v>
      </c>
      <c r="J2709" s="5" t="s">
        <v>195</v>
      </c>
      <c r="K2709" s="6">
        <v>0</v>
      </c>
      <c r="L2709" s="7">
        <v>0</v>
      </c>
      <c r="M2709" s="8">
        <v>2.4608333333333334</v>
      </c>
      <c r="N2709" s="8">
        <v>4.9216666666666669</v>
      </c>
      <c r="O2709" s="8">
        <v>0</v>
      </c>
      <c r="P2709" s="8">
        <v>0</v>
      </c>
      <c r="Q2709" s="8">
        <v>0</v>
      </c>
      <c r="R2709" s="8">
        <v>0</v>
      </c>
      <c r="S2709" s="8">
        <v>0</v>
      </c>
      <c r="T2709" s="5">
        <v>0</v>
      </c>
      <c r="U2709" s="5">
        <v>0</v>
      </c>
      <c r="V2709" s="5">
        <f>VLOOKUP(A2709,Planilha1!B:E,4,0)</f>
        <v>6.310326960724681</v>
      </c>
    </row>
    <row r="2710" spans="1:22" x14ac:dyDescent="0.3">
      <c r="A2710" t="str">
        <f t="shared" si="84"/>
        <v>IOGURTESLACTALIS</v>
      </c>
      <c r="B2710" t="str">
        <f t="shared" si="85"/>
        <v>5336921IOGURTESLACTALIS</v>
      </c>
      <c r="C2710" s="5" t="s">
        <v>226</v>
      </c>
      <c r="D2710" s="5" t="s">
        <v>227</v>
      </c>
      <c r="E2710" s="5" t="s">
        <v>1722</v>
      </c>
      <c r="F2710" s="5">
        <v>5336921</v>
      </c>
      <c r="G2710" s="5" t="s">
        <v>1349</v>
      </c>
      <c r="H2710" s="5" t="s">
        <v>30</v>
      </c>
      <c r="I2710" s="5" t="s">
        <v>22</v>
      </c>
      <c r="J2710" s="5" t="s">
        <v>153</v>
      </c>
      <c r="K2710" s="6">
        <v>0</v>
      </c>
      <c r="L2710" s="7">
        <v>0</v>
      </c>
      <c r="M2710" s="8">
        <v>17.059999999999999</v>
      </c>
      <c r="N2710" s="8">
        <v>23.119999999999997</v>
      </c>
      <c r="O2710" s="8">
        <v>4.5815765164727358</v>
      </c>
      <c r="P2710" s="8">
        <v>0</v>
      </c>
      <c r="Q2710" s="8">
        <v>8.9600000000000009</v>
      </c>
      <c r="R2710" s="8">
        <v>0</v>
      </c>
      <c r="S2710" s="8">
        <v>0</v>
      </c>
      <c r="T2710" s="5">
        <v>0</v>
      </c>
      <c r="U2710" s="5">
        <v>0</v>
      </c>
      <c r="V2710" s="5">
        <f>VLOOKUP(A2710,Planilha1!B:E,4,0)</f>
        <v>3.0503167986984403</v>
      </c>
    </row>
    <row r="2711" spans="1:22" x14ac:dyDescent="0.3">
      <c r="A2711" t="str">
        <f t="shared" si="84"/>
        <v>IOGURTESLACTALIS</v>
      </c>
      <c r="B2711" t="str">
        <f t="shared" si="85"/>
        <v>5323094IOGURTESLACTALIS</v>
      </c>
      <c r="C2711" s="5" t="s">
        <v>226</v>
      </c>
      <c r="D2711" s="5" t="s">
        <v>227</v>
      </c>
      <c r="E2711" s="5" t="s">
        <v>1722</v>
      </c>
      <c r="F2711" s="5">
        <v>5323094</v>
      </c>
      <c r="G2711" s="5" t="s">
        <v>1350</v>
      </c>
      <c r="H2711" s="5" t="s">
        <v>30</v>
      </c>
      <c r="I2711" s="5" t="s">
        <v>22</v>
      </c>
      <c r="J2711" s="5" t="s">
        <v>153</v>
      </c>
      <c r="K2711" s="6">
        <v>0</v>
      </c>
      <c r="L2711" s="7">
        <v>0</v>
      </c>
      <c r="M2711" s="8">
        <v>21.599999999999998</v>
      </c>
      <c r="N2711" s="8">
        <v>27</v>
      </c>
      <c r="O2711" s="8">
        <v>4.5245917339295429</v>
      </c>
      <c r="P2711" s="8">
        <v>0</v>
      </c>
      <c r="Q2711" s="8">
        <v>16.2</v>
      </c>
      <c r="R2711" s="8">
        <v>0</v>
      </c>
      <c r="S2711" s="8">
        <v>0</v>
      </c>
      <c r="T2711" s="5">
        <v>0</v>
      </c>
      <c r="U2711" s="5">
        <v>0</v>
      </c>
      <c r="V2711" s="5">
        <f>VLOOKUP(A2711,Planilha1!B:E,4,0)</f>
        <v>3.0503167986984403</v>
      </c>
    </row>
    <row r="2712" spans="1:22" x14ac:dyDescent="0.3">
      <c r="A2712" t="str">
        <f t="shared" si="84"/>
        <v>QUEIJOSLACTALIS</v>
      </c>
      <c r="B2712" t="str">
        <f t="shared" si="85"/>
        <v>5323939QUEIJOSLACTALIS</v>
      </c>
      <c r="C2712" s="5" t="s">
        <v>16</v>
      </c>
      <c r="D2712" s="5" t="s">
        <v>17</v>
      </c>
      <c r="E2712" s="5" t="s">
        <v>66</v>
      </c>
      <c r="F2712" s="5">
        <v>5323939</v>
      </c>
      <c r="G2712" s="5" t="s">
        <v>1351</v>
      </c>
      <c r="H2712" s="5" t="s">
        <v>30</v>
      </c>
      <c r="I2712" s="5" t="s">
        <v>22</v>
      </c>
      <c r="J2712" s="5" t="s">
        <v>63</v>
      </c>
      <c r="K2712" s="6">
        <v>0</v>
      </c>
      <c r="L2712" s="7">
        <v>0</v>
      </c>
      <c r="M2712" s="8">
        <v>8349.4861666666657</v>
      </c>
      <c r="N2712" s="8">
        <v>10027.633</v>
      </c>
      <c r="O2712" s="8">
        <v>0</v>
      </c>
      <c r="P2712" s="8">
        <v>0</v>
      </c>
      <c r="Q2712" s="8">
        <v>0</v>
      </c>
      <c r="R2712" s="8">
        <v>0</v>
      </c>
      <c r="S2712" s="8">
        <v>0</v>
      </c>
      <c r="T2712" s="5">
        <v>0</v>
      </c>
      <c r="U2712" s="5">
        <v>0</v>
      </c>
      <c r="V2712" s="5">
        <f>VLOOKUP(A2712,Planilha1!B:E,4,0)</f>
        <v>-1.9171310037550682</v>
      </c>
    </row>
    <row r="2713" spans="1:22" x14ac:dyDescent="0.3">
      <c r="A2713" t="str">
        <f t="shared" si="84"/>
        <v>LEITE UHTLACTALIS</v>
      </c>
      <c r="B2713" t="str">
        <f t="shared" si="85"/>
        <v>5324423LEITE UHTLACTALIS</v>
      </c>
      <c r="C2713" s="5" t="s">
        <v>226</v>
      </c>
      <c r="D2713" s="5" t="s">
        <v>227</v>
      </c>
      <c r="E2713" s="5" t="s">
        <v>1722</v>
      </c>
      <c r="F2713" s="5">
        <v>5324423</v>
      </c>
      <c r="G2713" s="5" t="s">
        <v>474</v>
      </c>
      <c r="H2713" s="5" t="s">
        <v>30</v>
      </c>
      <c r="I2713" s="5" t="s">
        <v>22</v>
      </c>
      <c r="J2713" s="5" t="s">
        <v>156</v>
      </c>
      <c r="K2713" s="6">
        <v>0</v>
      </c>
      <c r="L2713" s="7">
        <v>0</v>
      </c>
      <c r="M2713" s="8">
        <v>60</v>
      </c>
      <c r="N2713" s="8">
        <v>120</v>
      </c>
      <c r="O2713" s="8">
        <v>0</v>
      </c>
      <c r="P2713" s="8">
        <v>0</v>
      </c>
      <c r="Q2713" s="8">
        <v>0</v>
      </c>
      <c r="R2713" s="8">
        <v>0</v>
      </c>
      <c r="S2713" s="8">
        <v>0</v>
      </c>
      <c r="T2713" s="5">
        <v>0</v>
      </c>
      <c r="U2713" s="5">
        <v>0</v>
      </c>
      <c r="V2713" s="5">
        <f>VLOOKUP(A2713,Planilha1!B:E,4,0)</f>
        <v>0.37177548115779385</v>
      </c>
    </row>
    <row r="2714" spans="1:22" x14ac:dyDescent="0.3">
      <c r="A2714" t="str">
        <f t="shared" si="84"/>
        <v>IOGURTESLACTALIS</v>
      </c>
      <c r="B2714" t="str">
        <f t="shared" si="85"/>
        <v>5325580IOGURTESLACTALIS</v>
      </c>
      <c r="C2714" s="5" t="s">
        <v>226</v>
      </c>
      <c r="D2714" s="5" t="s">
        <v>227</v>
      </c>
      <c r="E2714" s="5" t="s">
        <v>1722</v>
      </c>
      <c r="F2714" s="5">
        <v>5325580</v>
      </c>
      <c r="G2714" s="5" t="s">
        <v>1352</v>
      </c>
      <c r="H2714" s="5" t="s">
        <v>30</v>
      </c>
      <c r="I2714" s="5" t="s">
        <v>22</v>
      </c>
      <c r="J2714" s="5" t="s">
        <v>153</v>
      </c>
      <c r="K2714" s="6">
        <v>0</v>
      </c>
      <c r="L2714" s="7">
        <v>18.399999999999999</v>
      </c>
      <c r="M2714" s="8">
        <v>47.533333333333331</v>
      </c>
      <c r="N2714" s="8">
        <v>61.333333333333336</v>
      </c>
      <c r="O2714" s="8">
        <v>23.335268451437631</v>
      </c>
      <c r="P2714" s="8">
        <v>0</v>
      </c>
      <c r="Q2714" s="8">
        <v>18.399999999999999</v>
      </c>
      <c r="R2714" s="8">
        <v>0</v>
      </c>
      <c r="S2714" s="8">
        <v>0</v>
      </c>
      <c r="T2714" s="5">
        <v>0</v>
      </c>
      <c r="U2714" s="5">
        <v>0</v>
      </c>
      <c r="V2714" s="5">
        <f>VLOOKUP(A2714,Planilha1!B:E,4,0)</f>
        <v>3.0503167986984403</v>
      </c>
    </row>
    <row r="2715" spans="1:22" x14ac:dyDescent="0.3">
      <c r="A2715" t="str">
        <f t="shared" si="84"/>
        <v>LEITE UHTLACTALIS</v>
      </c>
      <c r="B2715" t="str">
        <f t="shared" si="85"/>
        <v>5326437LEITE UHTLACTALIS</v>
      </c>
      <c r="C2715" s="5" t="s">
        <v>226</v>
      </c>
      <c r="D2715" s="5" t="s">
        <v>227</v>
      </c>
      <c r="E2715" s="5" t="s">
        <v>1722</v>
      </c>
      <c r="F2715" s="5">
        <v>5326437</v>
      </c>
      <c r="G2715" s="5" t="s">
        <v>347</v>
      </c>
      <c r="H2715" s="5" t="s">
        <v>30</v>
      </c>
      <c r="I2715" s="5" t="s">
        <v>22</v>
      </c>
      <c r="J2715" s="5" t="s">
        <v>156</v>
      </c>
      <c r="K2715" s="6">
        <v>0</v>
      </c>
      <c r="L2715" s="7">
        <v>0</v>
      </c>
      <c r="M2715" s="8">
        <v>78</v>
      </c>
      <c r="N2715" s="8">
        <v>8</v>
      </c>
      <c r="O2715" s="8">
        <v>0</v>
      </c>
      <c r="P2715" s="8">
        <v>0</v>
      </c>
      <c r="Q2715" s="8">
        <v>0</v>
      </c>
      <c r="R2715" s="8">
        <v>0</v>
      </c>
      <c r="S2715" s="8">
        <v>0</v>
      </c>
      <c r="T2715" s="5">
        <v>0</v>
      </c>
      <c r="U2715" s="5">
        <v>0</v>
      </c>
      <c r="V2715" s="5">
        <f>VLOOKUP(A2715,Planilha1!B:E,4,0)</f>
        <v>0.37177548115779385</v>
      </c>
    </row>
    <row r="2716" spans="1:22" x14ac:dyDescent="0.3">
      <c r="A2716" t="str">
        <f t="shared" si="84"/>
        <v>LEITE EM PÓITAMBÉ</v>
      </c>
      <c r="B2716" t="str">
        <f t="shared" si="85"/>
        <v>5340656LEITE EM PÓITAMBÉ</v>
      </c>
      <c r="C2716" s="5" t="s">
        <v>226</v>
      </c>
      <c r="D2716" s="5" t="s">
        <v>227</v>
      </c>
      <c r="E2716" s="5" t="s">
        <v>703</v>
      </c>
      <c r="F2716" s="5">
        <v>5340656</v>
      </c>
      <c r="G2716" s="5" t="s">
        <v>726</v>
      </c>
      <c r="H2716" s="5" t="s">
        <v>30</v>
      </c>
      <c r="I2716" s="5" t="s">
        <v>27</v>
      </c>
      <c r="J2716" s="5" t="s">
        <v>84</v>
      </c>
      <c r="K2716" s="6">
        <v>0</v>
      </c>
      <c r="L2716" s="7">
        <v>20</v>
      </c>
      <c r="M2716" s="8">
        <v>171.33333333333331</v>
      </c>
      <c r="N2716" s="8">
        <v>269.33333333333331</v>
      </c>
      <c r="O2716" s="8">
        <v>62.987327173490357</v>
      </c>
      <c r="P2716" s="8">
        <v>0</v>
      </c>
      <c r="Q2716" s="8">
        <v>-20</v>
      </c>
      <c r="R2716" s="8">
        <v>0</v>
      </c>
      <c r="S2716" s="8">
        <v>0</v>
      </c>
      <c r="T2716" s="5">
        <v>0</v>
      </c>
      <c r="U2716" s="5">
        <v>0</v>
      </c>
      <c r="V2716" s="5">
        <f>VLOOKUP(A2716,Planilha1!B:E,4,0)</f>
        <v>4.5971522734997743</v>
      </c>
    </row>
    <row r="2717" spans="1:22" x14ac:dyDescent="0.3">
      <c r="A2717" t="str">
        <f t="shared" si="84"/>
        <v>IOGURTESLACTALIS</v>
      </c>
      <c r="B2717" t="str">
        <f t="shared" si="85"/>
        <v>5327252IOGURTESLACTALIS</v>
      </c>
      <c r="C2717" s="5" t="s">
        <v>226</v>
      </c>
      <c r="D2717" s="5" t="s">
        <v>227</v>
      </c>
      <c r="E2717" s="5" t="s">
        <v>1722</v>
      </c>
      <c r="F2717" s="5">
        <v>5327252</v>
      </c>
      <c r="G2717" s="5" t="s">
        <v>661</v>
      </c>
      <c r="H2717" s="5" t="s">
        <v>30</v>
      </c>
      <c r="I2717" s="5" t="s">
        <v>22</v>
      </c>
      <c r="J2717" s="5" t="s">
        <v>153</v>
      </c>
      <c r="K2717" s="6">
        <v>0</v>
      </c>
      <c r="L2717" s="7">
        <v>0</v>
      </c>
      <c r="M2717" s="8">
        <v>5.92</v>
      </c>
      <c r="N2717" s="8">
        <v>5.12</v>
      </c>
      <c r="O2717" s="8">
        <v>0</v>
      </c>
      <c r="P2717" s="8">
        <v>0</v>
      </c>
      <c r="Q2717" s="8">
        <v>12.16</v>
      </c>
      <c r="R2717" s="8">
        <v>0</v>
      </c>
      <c r="S2717" s="8">
        <v>0</v>
      </c>
      <c r="T2717" s="5">
        <v>0</v>
      </c>
      <c r="U2717" s="5">
        <v>0</v>
      </c>
      <c r="V2717" s="5">
        <f>VLOOKUP(A2717,Planilha1!B:E,4,0)</f>
        <v>3.0503167986984403</v>
      </c>
    </row>
    <row r="2718" spans="1:22" x14ac:dyDescent="0.3">
      <c r="A2718" t="str">
        <f t="shared" si="84"/>
        <v>IOGURTESLACTALIS</v>
      </c>
      <c r="B2718" t="str">
        <f t="shared" si="85"/>
        <v>5342210IOGURTESLACTALIS</v>
      </c>
      <c r="C2718" s="5" t="s">
        <v>226</v>
      </c>
      <c r="D2718" s="5" t="s">
        <v>227</v>
      </c>
      <c r="E2718" s="5" t="s">
        <v>1722</v>
      </c>
      <c r="F2718" s="5">
        <v>5342210</v>
      </c>
      <c r="G2718" s="5" t="s">
        <v>531</v>
      </c>
      <c r="H2718" s="5" t="s">
        <v>30</v>
      </c>
      <c r="I2718" s="5" t="s">
        <v>22</v>
      </c>
      <c r="J2718" s="5" t="s">
        <v>153</v>
      </c>
      <c r="K2718" s="6">
        <v>0</v>
      </c>
      <c r="L2718" s="7">
        <v>0</v>
      </c>
      <c r="M2718" s="8">
        <v>7.1466666666666656</v>
      </c>
      <c r="N2718" s="8">
        <v>11.573333333333332</v>
      </c>
      <c r="O2718" s="8">
        <v>4.5815765164727358</v>
      </c>
      <c r="P2718" s="8">
        <v>0</v>
      </c>
      <c r="Q2718" s="8">
        <v>0</v>
      </c>
      <c r="R2718" s="8">
        <v>0</v>
      </c>
      <c r="S2718" s="8">
        <v>0</v>
      </c>
      <c r="T2718" s="5">
        <v>0</v>
      </c>
      <c r="U2718" s="5">
        <v>0</v>
      </c>
      <c r="V2718" s="5">
        <f>VLOOKUP(A2718,Planilha1!B:E,4,0)</f>
        <v>3.0503167986984403</v>
      </c>
    </row>
    <row r="2719" spans="1:22" x14ac:dyDescent="0.3">
      <c r="A2719" t="str">
        <f t="shared" si="84"/>
        <v>IOGURTESLACTALIS</v>
      </c>
      <c r="B2719" t="str">
        <f t="shared" si="85"/>
        <v>5327881IOGURTESLACTALIS</v>
      </c>
      <c r="C2719" s="5" t="s">
        <v>226</v>
      </c>
      <c r="D2719" s="5" t="s">
        <v>227</v>
      </c>
      <c r="E2719" s="5" t="s">
        <v>1722</v>
      </c>
      <c r="F2719" s="5">
        <v>5327881</v>
      </c>
      <c r="G2719" s="5" t="s">
        <v>406</v>
      </c>
      <c r="H2719" s="5" t="s">
        <v>30</v>
      </c>
      <c r="I2719" s="5" t="s">
        <v>22</v>
      </c>
      <c r="J2719" s="5" t="s">
        <v>153</v>
      </c>
      <c r="K2719" s="6">
        <v>0</v>
      </c>
      <c r="L2719" s="7">
        <v>2.4</v>
      </c>
      <c r="M2719" s="8">
        <v>11.2</v>
      </c>
      <c r="N2719" s="8">
        <v>9.6</v>
      </c>
      <c r="O2719" s="8">
        <v>8.1488239036766323</v>
      </c>
      <c r="P2719" s="8">
        <v>0</v>
      </c>
      <c r="Q2719" s="8">
        <v>9.6</v>
      </c>
      <c r="R2719" s="8">
        <v>0</v>
      </c>
      <c r="S2719" s="8">
        <v>0</v>
      </c>
      <c r="T2719" s="5">
        <v>0</v>
      </c>
      <c r="U2719" s="5">
        <v>0</v>
      </c>
      <c r="V2719" s="5">
        <f>VLOOKUP(A2719,Planilha1!B:E,4,0)</f>
        <v>3.0503167986984403</v>
      </c>
    </row>
    <row r="2720" spans="1:22" x14ac:dyDescent="0.3">
      <c r="A2720" t="str">
        <f t="shared" si="84"/>
        <v>MANTEIGA 5KGLACTALIS</v>
      </c>
      <c r="B2720" t="str">
        <f t="shared" si="85"/>
        <v>5328529MANTEIGA 5KGLACTALIS</v>
      </c>
      <c r="C2720" s="5" t="s">
        <v>226</v>
      </c>
      <c r="D2720" s="5" t="s">
        <v>227</v>
      </c>
      <c r="E2720" s="5" t="s">
        <v>1722</v>
      </c>
      <c r="F2720" s="5">
        <v>5328529</v>
      </c>
      <c r="G2720" s="5" t="s">
        <v>1353</v>
      </c>
      <c r="H2720" s="5" t="s">
        <v>30</v>
      </c>
      <c r="I2720" s="5" t="s">
        <v>22</v>
      </c>
      <c r="J2720" s="5" t="s">
        <v>60</v>
      </c>
      <c r="K2720" s="6">
        <v>0</v>
      </c>
      <c r="L2720" s="7">
        <v>0</v>
      </c>
      <c r="M2720" s="8">
        <v>29.166666666666664</v>
      </c>
      <c r="N2720" s="8">
        <v>38.333333333333336</v>
      </c>
      <c r="O2720" s="8">
        <v>0</v>
      </c>
      <c r="P2720" s="8">
        <v>0</v>
      </c>
      <c r="Q2720" s="8">
        <v>0</v>
      </c>
      <c r="R2720" s="8">
        <v>0</v>
      </c>
      <c r="S2720" s="8">
        <v>10</v>
      </c>
      <c r="T2720" s="5">
        <v>10</v>
      </c>
      <c r="U2720" s="5">
        <v>0</v>
      </c>
      <c r="V2720" s="5">
        <f>VLOOKUP(A2720,Planilha1!B:E,4,0)</f>
        <v>11.476197020267191</v>
      </c>
    </row>
    <row r="2721" spans="1:22" x14ac:dyDescent="0.3">
      <c r="A2721" t="str">
        <f t="shared" si="84"/>
        <v>IOGURTESLACTALIS</v>
      </c>
      <c r="B2721" t="str">
        <f t="shared" si="85"/>
        <v>5347474IOGURTESLACTALIS</v>
      </c>
      <c r="C2721" s="5" t="s">
        <v>226</v>
      </c>
      <c r="D2721" s="5" t="s">
        <v>227</v>
      </c>
      <c r="E2721" s="5" t="s">
        <v>1722</v>
      </c>
      <c r="F2721" s="5">
        <v>5347474</v>
      </c>
      <c r="G2721" s="5" t="s">
        <v>1354</v>
      </c>
      <c r="H2721" s="5" t="s">
        <v>30</v>
      </c>
      <c r="I2721" s="5" t="s">
        <v>22</v>
      </c>
      <c r="J2721" s="5" t="s">
        <v>153</v>
      </c>
      <c r="K2721" s="6">
        <v>0</v>
      </c>
      <c r="L2721" s="7">
        <v>0</v>
      </c>
      <c r="M2721" s="8">
        <v>49.86</v>
      </c>
      <c r="N2721" s="8">
        <v>99.72</v>
      </c>
      <c r="O2721" s="8">
        <v>0</v>
      </c>
      <c r="P2721" s="8">
        <v>0</v>
      </c>
      <c r="Q2721" s="8">
        <v>96</v>
      </c>
      <c r="R2721" s="8">
        <v>0</v>
      </c>
      <c r="S2721" s="8">
        <v>0</v>
      </c>
      <c r="T2721" s="5">
        <v>0</v>
      </c>
      <c r="U2721" s="5">
        <v>0</v>
      </c>
      <c r="V2721" s="5">
        <f>VLOOKUP(A2721,Planilha1!B:E,4,0)</f>
        <v>3.0503167986984403</v>
      </c>
    </row>
    <row r="2722" spans="1:22" x14ac:dyDescent="0.3">
      <c r="A2722" t="str">
        <f t="shared" si="84"/>
        <v>SPREADSLACTALIS</v>
      </c>
      <c r="B2722" t="str">
        <f t="shared" si="85"/>
        <v>5347523SPREADSLACTALIS</v>
      </c>
      <c r="C2722" s="5" t="s">
        <v>226</v>
      </c>
      <c r="D2722" s="5" t="s">
        <v>227</v>
      </c>
      <c r="E2722" s="5" t="s">
        <v>1722</v>
      </c>
      <c r="F2722" s="5">
        <v>5347523</v>
      </c>
      <c r="G2722" s="5" t="s">
        <v>517</v>
      </c>
      <c r="H2722" s="5" t="s">
        <v>30</v>
      </c>
      <c r="I2722" s="5" t="s">
        <v>22</v>
      </c>
      <c r="J2722" s="5" t="s">
        <v>945</v>
      </c>
      <c r="K2722" s="6">
        <v>0</v>
      </c>
      <c r="L2722" s="7">
        <v>8</v>
      </c>
      <c r="M2722" s="8">
        <v>12.400000000000002</v>
      </c>
      <c r="N2722" s="8">
        <v>11.2</v>
      </c>
      <c r="O2722" s="8">
        <v>11.676181943100294</v>
      </c>
      <c r="P2722" s="8">
        <v>0</v>
      </c>
      <c r="Q2722" s="8">
        <v>4</v>
      </c>
      <c r="R2722" s="8">
        <v>0</v>
      </c>
      <c r="S2722" s="8">
        <v>0</v>
      </c>
      <c r="T2722" s="5">
        <v>0</v>
      </c>
      <c r="U2722" s="5">
        <v>0</v>
      </c>
      <c r="V2722" s="5">
        <f>VLOOKUP(A2722,Planilha1!B:E,4,0)</f>
        <v>13.599044988219518</v>
      </c>
    </row>
    <row r="2723" spans="1:22" x14ac:dyDescent="0.3">
      <c r="A2723" t="str">
        <f t="shared" si="84"/>
        <v>IOGURTESLACTALIS</v>
      </c>
      <c r="B2723" t="str">
        <f t="shared" si="85"/>
        <v>5347543IOGURTESLACTALIS</v>
      </c>
      <c r="C2723" s="5" t="s">
        <v>226</v>
      </c>
      <c r="D2723" s="5" t="s">
        <v>227</v>
      </c>
      <c r="E2723" s="5" t="s">
        <v>1722</v>
      </c>
      <c r="F2723" s="5">
        <v>5347543</v>
      </c>
      <c r="G2723" s="5" t="s">
        <v>690</v>
      </c>
      <c r="H2723" s="5" t="s">
        <v>30</v>
      </c>
      <c r="I2723" s="5" t="s">
        <v>22</v>
      </c>
      <c r="J2723" s="5" t="s">
        <v>153</v>
      </c>
      <c r="K2723" s="6">
        <v>0</v>
      </c>
      <c r="L2723" s="7">
        <v>68.400000000000006</v>
      </c>
      <c r="M2723" s="8">
        <v>23.653333333333336</v>
      </c>
      <c r="N2723" s="8">
        <v>28.933333333333334</v>
      </c>
      <c r="O2723" s="8">
        <v>25.722930839997428</v>
      </c>
      <c r="P2723" s="8">
        <v>0</v>
      </c>
      <c r="Q2723" s="8">
        <v>0</v>
      </c>
      <c r="R2723" s="8">
        <v>0</v>
      </c>
      <c r="S2723" s="8">
        <v>0</v>
      </c>
      <c r="T2723" s="5">
        <v>0</v>
      </c>
      <c r="U2723" s="5">
        <v>0</v>
      </c>
      <c r="V2723" s="5">
        <f>VLOOKUP(A2723,Planilha1!B:E,4,0)</f>
        <v>3.0503167986984403</v>
      </c>
    </row>
    <row r="2724" spans="1:22" x14ac:dyDescent="0.3">
      <c r="A2724" t="str">
        <f t="shared" si="84"/>
        <v>BLISTERLACTALIS</v>
      </c>
      <c r="B2724" t="str">
        <f t="shared" si="85"/>
        <v>5348324BLISTERLACTALIS</v>
      </c>
      <c r="C2724" s="5" t="s">
        <v>226</v>
      </c>
      <c r="D2724" s="5" t="s">
        <v>833</v>
      </c>
      <c r="E2724" s="5" t="s">
        <v>753</v>
      </c>
      <c r="F2724" s="5">
        <v>5348324</v>
      </c>
      <c r="G2724" s="5" t="s">
        <v>1355</v>
      </c>
      <c r="H2724" s="5" t="s">
        <v>40</v>
      </c>
      <c r="I2724" s="5" t="s">
        <v>22</v>
      </c>
      <c r="J2724" s="5" t="s">
        <v>199</v>
      </c>
      <c r="K2724" s="6">
        <v>0</v>
      </c>
      <c r="L2724" s="7">
        <v>0</v>
      </c>
      <c r="M2724" s="8">
        <v>60.48</v>
      </c>
      <c r="N2724" s="8">
        <v>121</v>
      </c>
      <c r="O2724" s="8">
        <v>0</v>
      </c>
      <c r="P2724" s="8">
        <v>0</v>
      </c>
      <c r="Q2724" s="8">
        <v>0</v>
      </c>
      <c r="R2724" s="8">
        <v>0</v>
      </c>
      <c r="S2724" s="8">
        <v>121</v>
      </c>
      <c r="T2724" s="5">
        <v>121</v>
      </c>
      <c r="U2724" s="5">
        <v>121</v>
      </c>
      <c r="V2724" s="5">
        <f>VLOOKUP(A2724,Planilha1!B:E,4,0)</f>
        <v>13.783871706210666</v>
      </c>
    </row>
    <row r="2725" spans="1:22" x14ac:dyDescent="0.3">
      <c r="A2725" t="str">
        <f t="shared" si="84"/>
        <v>CREME UHTLACTALIS</v>
      </c>
      <c r="B2725" t="str">
        <f t="shared" si="85"/>
        <v>5348324CREME UHTLACTALIS</v>
      </c>
      <c r="C2725" s="5" t="s">
        <v>226</v>
      </c>
      <c r="D2725" s="5" t="s">
        <v>833</v>
      </c>
      <c r="E2725" s="5" t="s">
        <v>753</v>
      </c>
      <c r="F2725" s="5">
        <v>5348324</v>
      </c>
      <c r="G2725" s="5" t="s">
        <v>1355</v>
      </c>
      <c r="H2725" s="5" t="s">
        <v>40</v>
      </c>
      <c r="I2725" s="5" t="s">
        <v>22</v>
      </c>
      <c r="J2725" s="5" t="s">
        <v>34</v>
      </c>
      <c r="K2725" s="6">
        <v>0</v>
      </c>
      <c r="L2725" s="7">
        <v>0</v>
      </c>
      <c r="M2725" s="8">
        <v>686.80000000000007</v>
      </c>
      <c r="N2725" s="8">
        <v>1373.6666666666665</v>
      </c>
      <c r="O2725" s="8">
        <v>0</v>
      </c>
      <c r="P2725" s="8">
        <v>0</v>
      </c>
      <c r="Q2725" s="8">
        <v>0</v>
      </c>
      <c r="R2725" s="8">
        <v>0</v>
      </c>
      <c r="S2725" s="8">
        <v>1374</v>
      </c>
      <c r="T2725" s="5">
        <v>1374</v>
      </c>
      <c r="U2725" s="5">
        <v>1374</v>
      </c>
      <c r="V2725" s="5">
        <f>VLOOKUP(A2725,Planilha1!B:E,4,0)</f>
        <v>-1.4094522863012933</v>
      </c>
    </row>
    <row r="2726" spans="1:22" x14ac:dyDescent="0.3">
      <c r="A2726" t="str">
        <f t="shared" si="84"/>
        <v>MANTEIGA 5KGLACTALIS</v>
      </c>
      <c r="B2726" t="str">
        <f t="shared" si="85"/>
        <v>5331617MANTEIGA 5KGLACTALIS</v>
      </c>
      <c r="C2726" s="5" t="s">
        <v>226</v>
      </c>
      <c r="D2726" s="5" t="s">
        <v>227</v>
      </c>
      <c r="E2726" s="5" t="s">
        <v>1722</v>
      </c>
      <c r="F2726" s="5">
        <v>5331617</v>
      </c>
      <c r="G2726" s="5" t="s">
        <v>1356</v>
      </c>
      <c r="H2726" s="5" t="s">
        <v>30</v>
      </c>
      <c r="I2726" s="5" t="s">
        <v>22</v>
      </c>
      <c r="J2726" s="5" t="s">
        <v>60</v>
      </c>
      <c r="K2726" s="6">
        <v>0</v>
      </c>
      <c r="L2726" s="7">
        <v>0</v>
      </c>
      <c r="M2726" s="8">
        <v>14.166666666666666</v>
      </c>
      <c r="N2726" s="8">
        <v>18.333333333333332</v>
      </c>
      <c r="O2726" s="8">
        <v>0</v>
      </c>
      <c r="P2726" s="8">
        <v>0</v>
      </c>
      <c r="Q2726" s="8">
        <v>0</v>
      </c>
      <c r="R2726" s="8">
        <v>0</v>
      </c>
      <c r="S2726" s="8">
        <v>10</v>
      </c>
      <c r="T2726" s="5">
        <v>10</v>
      </c>
      <c r="U2726" s="5">
        <v>10</v>
      </c>
      <c r="V2726" s="5">
        <f>VLOOKUP(A2726,Planilha1!B:E,4,0)</f>
        <v>11.476197020267191</v>
      </c>
    </row>
    <row r="2727" spans="1:22" x14ac:dyDescent="0.3">
      <c r="A2727" t="str">
        <f t="shared" si="84"/>
        <v>SPREADSLACTALIS</v>
      </c>
      <c r="B2727" t="str">
        <f t="shared" si="85"/>
        <v>5332357SPREADSLACTALIS</v>
      </c>
      <c r="C2727" s="5" t="s">
        <v>226</v>
      </c>
      <c r="D2727" s="5" t="s">
        <v>227</v>
      </c>
      <c r="E2727" s="5" t="s">
        <v>1722</v>
      </c>
      <c r="F2727" s="5">
        <v>5332357</v>
      </c>
      <c r="G2727" s="5" t="s">
        <v>1357</v>
      </c>
      <c r="H2727" s="5" t="s">
        <v>30</v>
      </c>
      <c r="I2727" s="5" t="s">
        <v>22</v>
      </c>
      <c r="J2727" s="5" t="s">
        <v>945</v>
      </c>
      <c r="K2727" s="6">
        <v>0</v>
      </c>
      <c r="L2727" s="7">
        <v>0</v>
      </c>
      <c r="M2727" s="8">
        <v>26.666666666666668</v>
      </c>
      <c r="N2727" s="8">
        <v>25.333333333333332</v>
      </c>
      <c r="O2727" s="8">
        <v>9.0149925983331691</v>
      </c>
      <c r="P2727" s="8">
        <v>0</v>
      </c>
      <c r="Q2727" s="8">
        <v>0</v>
      </c>
      <c r="R2727" s="8">
        <v>0</v>
      </c>
      <c r="S2727" s="8">
        <v>0</v>
      </c>
      <c r="T2727" s="5">
        <v>0</v>
      </c>
      <c r="U2727" s="5">
        <v>0</v>
      </c>
      <c r="V2727" s="5">
        <f>VLOOKUP(A2727,Planilha1!B:E,4,0)</f>
        <v>13.599044988219518</v>
      </c>
    </row>
    <row r="2728" spans="1:22" x14ac:dyDescent="0.3">
      <c r="A2728" t="str">
        <f t="shared" si="84"/>
        <v>CREME UHTLACTALIS</v>
      </c>
      <c r="B2728" t="str">
        <f t="shared" si="85"/>
        <v>5332358CREME UHTLACTALIS</v>
      </c>
      <c r="C2728" s="5" t="s">
        <v>226</v>
      </c>
      <c r="D2728" s="5" t="s">
        <v>227</v>
      </c>
      <c r="E2728" s="5" t="s">
        <v>1722</v>
      </c>
      <c r="F2728" s="5">
        <v>5332358</v>
      </c>
      <c r="G2728" s="5" t="s">
        <v>353</v>
      </c>
      <c r="H2728" s="5" t="s">
        <v>30</v>
      </c>
      <c r="I2728" s="5" t="s">
        <v>22</v>
      </c>
      <c r="J2728" s="5" t="s">
        <v>34</v>
      </c>
      <c r="K2728" s="6">
        <v>0</v>
      </c>
      <c r="L2728" s="7">
        <v>0</v>
      </c>
      <c r="M2728" s="8">
        <v>7.2</v>
      </c>
      <c r="N2728" s="8">
        <v>14.4</v>
      </c>
      <c r="O2728" s="8">
        <v>43.2</v>
      </c>
      <c r="P2728" s="8">
        <v>0</v>
      </c>
      <c r="Q2728" s="8">
        <v>0</v>
      </c>
      <c r="R2728" s="8">
        <v>0</v>
      </c>
      <c r="S2728" s="8">
        <v>5</v>
      </c>
      <c r="T2728" s="5">
        <v>45</v>
      </c>
      <c r="U2728" s="5">
        <v>5</v>
      </c>
      <c r="V2728" s="5">
        <f>VLOOKUP(A2728,Planilha1!B:E,4,0)</f>
        <v>-1.4094522863012933</v>
      </c>
    </row>
    <row r="2729" spans="1:22" x14ac:dyDescent="0.3">
      <c r="A2729" t="str">
        <f t="shared" si="84"/>
        <v>LEITE CONDENSADOLACTALIS</v>
      </c>
      <c r="B2729" t="str">
        <f t="shared" si="85"/>
        <v>5348324LEITE CONDENSADOLACTALIS</v>
      </c>
      <c r="C2729" s="5" t="s">
        <v>226</v>
      </c>
      <c r="D2729" s="5" t="s">
        <v>833</v>
      </c>
      <c r="E2729" s="5" t="s">
        <v>753</v>
      </c>
      <c r="F2729" s="5">
        <v>5348324</v>
      </c>
      <c r="G2729" s="5" t="s">
        <v>1355</v>
      </c>
      <c r="H2729" s="5" t="s">
        <v>40</v>
      </c>
      <c r="I2729" s="5" t="s">
        <v>22</v>
      </c>
      <c r="J2729" s="5" t="s">
        <v>33</v>
      </c>
      <c r="K2729" s="6">
        <v>0</v>
      </c>
      <c r="L2729" s="7">
        <v>0</v>
      </c>
      <c r="M2729" s="8">
        <v>461.64166666666665</v>
      </c>
      <c r="N2729" s="8">
        <v>923.33333333333326</v>
      </c>
      <c r="O2729" s="8">
        <v>0</v>
      </c>
      <c r="P2729" s="8">
        <v>0</v>
      </c>
      <c r="Q2729" s="8">
        <v>0</v>
      </c>
      <c r="R2729" s="8">
        <v>0</v>
      </c>
      <c r="S2729" s="8">
        <v>923</v>
      </c>
      <c r="T2729" s="5">
        <v>923</v>
      </c>
      <c r="U2729" s="5">
        <v>923</v>
      </c>
      <c r="V2729" s="5">
        <f>VLOOKUP(A2729,Planilha1!B:E,4,0)</f>
        <v>1.8665071822970765</v>
      </c>
    </row>
    <row r="2730" spans="1:22" x14ac:dyDescent="0.3">
      <c r="A2730" t="str">
        <f t="shared" si="84"/>
        <v>LEITE UHTLACTALIS</v>
      </c>
      <c r="B2730" t="str">
        <f t="shared" si="85"/>
        <v>5332941LEITE UHTLACTALIS</v>
      </c>
      <c r="C2730" s="5" t="s">
        <v>226</v>
      </c>
      <c r="D2730" s="5" t="s">
        <v>227</v>
      </c>
      <c r="E2730" s="5" t="s">
        <v>1722</v>
      </c>
      <c r="F2730" s="5">
        <v>5332941</v>
      </c>
      <c r="G2730" s="5" t="s">
        <v>1358</v>
      </c>
      <c r="H2730" s="5" t="s">
        <v>30</v>
      </c>
      <c r="I2730" s="5" t="s">
        <v>22</v>
      </c>
      <c r="J2730" s="5" t="s">
        <v>156</v>
      </c>
      <c r="K2730" s="6">
        <v>0</v>
      </c>
      <c r="L2730" s="7">
        <v>0</v>
      </c>
      <c r="M2730" s="8">
        <v>20</v>
      </c>
      <c r="N2730" s="8">
        <v>40</v>
      </c>
      <c r="O2730" s="8">
        <v>0</v>
      </c>
      <c r="P2730" s="8">
        <v>0</v>
      </c>
      <c r="Q2730" s="8">
        <v>0</v>
      </c>
      <c r="R2730" s="8">
        <v>0</v>
      </c>
      <c r="S2730" s="8">
        <v>0</v>
      </c>
      <c r="T2730" s="5">
        <v>0</v>
      </c>
      <c r="U2730" s="5">
        <v>0</v>
      </c>
      <c r="V2730" s="5">
        <f>VLOOKUP(A2730,Planilha1!B:E,4,0)</f>
        <v>0.37177548115779385</v>
      </c>
    </row>
    <row r="2731" spans="1:22" x14ac:dyDescent="0.3">
      <c r="A2731" t="str">
        <f t="shared" si="84"/>
        <v>LEITE UHTLACTALIS</v>
      </c>
      <c r="B2731" t="str">
        <f t="shared" si="85"/>
        <v>5332942LEITE UHTLACTALIS</v>
      </c>
      <c r="C2731" s="5" t="s">
        <v>226</v>
      </c>
      <c r="D2731" s="5" t="s">
        <v>227</v>
      </c>
      <c r="E2731" s="5" t="s">
        <v>1722</v>
      </c>
      <c r="F2731" s="5">
        <v>5332942</v>
      </c>
      <c r="G2731" s="5" t="s">
        <v>1359</v>
      </c>
      <c r="H2731" s="5" t="s">
        <v>30</v>
      </c>
      <c r="I2731" s="5" t="s">
        <v>22</v>
      </c>
      <c r="J2731" s="5" t="s">
        <v>156</v>
      </c>
      <c r="K2731" s="6">
        <v>0</v>
      </c>
      <c r="L2731" s="7">
        <v>0</v>
      </c>
      <c r="M2731" s="8">
        <v>20</v>
      </c>
      <c r="N2731" s="8">
        <v>40</v>
      </c>
      <c r="O2731" s="8">
        <v>0</v>
      </c>
      <c r="P2731" s="8">
        <v>0</v>
      </c>
      <c r="Q2731" s="8">
        <v>0</v>
      </c>
      <c r="R2731" s="8">
        <v>0</v>
      </c>
      <c r="S2731" s="8">
        <v>0</v>
      </c>
      <c r="T2731" s="5">
        <v>0</v>
      </c>
      <c r="U2731" s="5">
        <v>0</v>
      </c>
      <c r="V2731" s="5">
        <f>VLOOKUP(A2731,Planilha1!B:E,4,0)</f>
        <v>0.37177548115779385</v>
      </c>
    </row>
    <row r="2732" spans="1:22" x14ac:dyDescent="0.3">
      <c r="A2732" t="str">
        <f t="shared" si="84"/>
        <v>LEITE UHTLACTALIS</v>
      </c>
      <c r="B2732" t="str">
        <f t="shared" si="85"/>
        <v>5332943LEITE UHTLACTALIS</v>
      </c>
      <c r="C2732" s="5" t="s">
        <v>226</v>
      </c>
      <c r="D2732" s="5" t="s">
        <v>227</v>
      </c>
      <c r="E2732" s="5" t="s">
        <v>1722</v>
      </c>
      <c r="F2732" s="5">
        <v>5332943</v>
      </c>
      <c r="G2732" s="5" t="s">
        <v>1360</v>
      </c>
      <c r="H2732" s="5" t="s">
        <v>30</v>
      </c>
      <c r="I2732" s="5" t="s">
        <v>22</v>
      </c>
      <c r="J2732" s="5" t="s">
        <v>156</v>
      </c>
      <c r="K2732" s="6">
        <v>0</v>
      </c>
      <c r="L2732" s="7">
        <v>0</v>
      </c>
      <c r="M2732" s="8">
        <v>20</v>
      </c>
      <c r="N2732" s="8">
        <v>40</v>
      </c>
      <c r="O2732" s="8">
        <v>0</v>
      </c>
      <c r="P2732" s="8">
        <v>0</v>
      </c>
      <c r="Q2732" s="8">
        <v>0</v>
      </c>
      <c r="R2732" s="8">
        <v>0</v>
      </c>
      <c r="S2732" s="8">
        <v>0</v>
      </c>
      <c r="T2732" s="5">
        <v>0</v>
      </c>
      <c r="U2732" s="5">
        <v>0</v>
      </c>
      <c r="V2732" s="5">
        <f>VLOOKUP(A2732,Planilha1!B:E,4,0)</f>
        <v>0.37177548115779385</v>
      </c>
    </row>
    <row r="2733" spans="1:22" x14ac:dyDescent="0.3">
      <c r="A2733" t="str">
        <f t="shared" si="84"/>
        <v>LEITE UHTLACTALIS</v>
      </c>
      <c r="B2733" t="str">
        <f t="shared" si="85"/>
        <v>5332949LEITE UHTLACTALIS</v>
      </c>
      <c r="C2733" s="5" t="s">
        <v>226</v>
      </c>
      <c r="D2733" s="5" t="s">
        <v>227</v>
      </c>
      <c r="E2733" s="5" t="s">
        <v>1722</v>
      </c>
      <c r="F2733" s="5">
        <v>5332949</v>
      </c>
      <c r="G2733" s="5" t="s">
        <v>1361</v>
      </c>
      <c r="H2733" s="5" t="s">
        <v>30</v>
      </c>
      <c r="I2733" s="5" t="s">
        <v>22</v>
      </c>
      <c r="J2733" s="5" t="s">
        <v>156</v>
      </c>
      <c r="K2733" s="6">
        <v>0</v>
      </c>
      <c r="L2733" s="7">
        <v>0</v>
      </c>
      <c r="M2733" s="8">
        <v>20</v>
      </c>
      <c r="N2733" s="8">
        <v>40</v>
      </c>
      <c r="O2733" s="8">
        <v>0</v>
      </c>
      <c r="P2733" s="8">
        <v>0</v>
      </c>
      <c r="Q2733" s="8">
        <v>0</v>
      </c>
      <c r="R2733" s="8">
        <v>0</v>
      </c>
      <c r="S2733" s="8">
        <v>0</v>
      </c>
      <c r="T2733" s="5">
        <v>0</v>
      </c>
      <c r="U2733" s="5">
        <v>0</v>
      </c>
      <c r="V2733" s="5">
        <f>VLOOKUP(A2733,Planilha1!B:E,4,0)</f>
        <v>0.37177548115779385</v>
      </c>
    </row>
    <row r="2734" spans="1:22" x14ac:dyDescent="0.3">
      <c r="A2734" t="str">
        <f t="shared" si="84"/>
        <v>SPREADSLACTALIS</v>
      </c>
      <c r="B2734" t="str">
        <f t="shared" si="85"/>
        <v>5333984SPREADSLACTALIS</v>
      </c>
      <c r="C2734" s="5" t="s">
        <v>226</v>
      </c>
      <c r="D2734" s="5" t="s">
        <v>227</v>
      </c>
      <c r="E2734" s="5" t="s">
        <v>1722</v>
      </c>
      <c r="F2734" s="5">
        <v>5333984</v>
      </c>
      <c r="G2734" s="5" t="s">
        <v>477</v>
      </c>
      <c r="H2734" s="5" t="s">
        <v>30</v>
      </c>
      <c r="I2734" s="5" t="s">
        <v>22</v>
      </c>
      <c r="J2734" s="5" t="s">
        <v>945</v>
      </c>
      <c r="K2734" s="6">
        <v>0</v>
      </c>
      <c r="L2734" s="7">
        <v>0</v>
      </c>
      <c r="M2734" s="8">
        <v>1.3333333333333333</v>
      </c>
      <c r="N2734" s="8">
        <v>1.3333333333333333</v>
      </c>
      <c r="O2734" s="8">
        <v>0</v>
      </c>
      <c r="P2734" s="8">
        <v>0</v>
      </c>
      <c r="Q2734" s="8">
        <v>0</v>
      </c>
      <c r="R2734" s="8">
        <v>0</v>
      </c>
      <c r="S2734" s="8">
        <v>0</v>
      </c>
      <c r="T2734" s="5">
        <v>0</v>
      </c>
      <c r="U2734" s="5">
        <v>0</v>
      </c>
      <c r="V2734" s="5">
        <f>VLOOKUP(A2734,Planilha1!B:E,4,0)</f>
        <v>13.599044988219518</v>
      </c>
    </row>
    <row r="2735" spans="1:22" x14ac:dyDescent="0.3">
      <c r="A2735" t="str">
        <f t="shared" si="84"/>
        <v>IOGURTESLACTALIS</v>
      </c>
      <c r="B2735" t="str">
        <f t="shared" si="85"/>
        <v>5334170IOGURTESLACTALIS</v>
      </c>
      <c r="C2735" s="5" t="s">
        <v>226</v>
      </c>
      <c r="D2735" s="5" t="s">
        <v>227</v>
      </c>
      <c r="E2735" s="5" t="s">
        <v>1722</v>
      </c>
      <c r="F2735" s="5">
        <v>5334170</v>
      </c>
      <c r="G2735" s="5" t="s">
        <v>1123</v>
      </c>
      <c r="H2735" s="5" t="s">
        <v>30</v>
      </c>
      <c r="I2735" s="5" t="s">
        <v>22</v>
      </c>
      <c r="J2735" s="5" t="s">
        <v>153</v>
      </c>
      <c r="K2735" s="6">
        <v>0</v>
      </c>
      <c r="L2735" s="7">
        <v>0</v>
      </c>
      <c r="M2735" s="8">
        <v>29.919999999999998</v>
      </c>
      <c r="N2735" s="8">
        <v>12.24</v>
      </c>
      <c r="O2735" s="8">
        <v>56.574492108882247</v>
      </c>
      <c r="P2735" s="8">
        <v>0</v>
      </c>
      <c r="Q2735" s="8">
        <v>0</v>
      </c>
      <c r="R2735" s="8">
        <v>0</v>
      </c>
      <c r="S2735" s="8">
        <v>0</v>
      </c>
      <c r="T2735" s="5">
        <v>0</v>
      </c>
      <c r="U2735" s="5">
        <v>0</v>
      </c>
      <c r="V2735" s="5">
        <f>VLOOKUP(A2735,Planilha1!B:E,4,0)</f>
        <v>3.0503167986984403</v>
      </c>
    </row>
    <row r="2736" spans="1:22" x14ac:dyDescent="0.3">
      <c r="A2736" t="str">
        <f t="shared" si="84"/>
        <v>QUEIJOSLACTALIS</v>
      </c>
      <c r="B2736" t="str">
        <f t="shared" si="85"/>
        <v>5334202QUEIJOSLACTALIS</v>
      </c>
      <c r="C2736" s="5" t="s">
        <v>226</v>
      </c>
      <c r="D2736" s="5" t="s">
        <v>227</v>
      </c>
      <c r="E2736" s="5" t="s">
        <v>1722</v>
      </c>
      <c r="F2736" s="5">
        <v>5334202</v>
      </c>
      <c r="G2736" s="5" t="s">
        <v>357</v>
      </c>
      <c r="H2736" s="5" t="s">
        <v>30</v>
      </c>
      <c r="I2736" s="5" t="s">
        <v>22</v>
      </c>
      <c r="J2736" s="5" t="s">
        <v>63</v>
      </c>
      <c r="K2736" s="6">
        <v>0</v>
      </c>
      <c r="L2736" s="7">
        <v>0</v>
      </c>
      <c r="M2736" s="8">
        <v>2.4916666666666663</v>
      </c>
      <c r="N2736" s="8">
        <v>1</v>
      </c>
      <c r="O2736" s="8">
        <v>0</v>
      </c>
      <c r="P2736" s="8">
        <v>0</v>
      </c>
      <c r="Q2736" s="8">
        <v>0</v>
      </c>
      <c r="R2736" s="8">
        <v>0</v>
      </c>
      <c r="S2736" s="8">
        <v>0</v>
      </c>
      <c r="T2736" s="5">
        <v>0</v>
      </c>
      <c r="U2736" s="5">
        <v>0</v>
      </c>
      <c r="V2736" s="5">
        <f>VLOOKUP(A2736,Planilha1!B:E,4,0)</f>
        <v>-1.9171310037550682</v>
      </c>
    </row>
    <row r="2737" spans="1:22" x14ac:dyDescent="0.3">
      <c r="A2737" t="str">
        <f t="shared" si="84"/>
        <v>LEITE EM PÓLACTALIS</v>
      </c>
      <c r="B2737" t="str">
        <f t="shared" si="85"/>
        <v>5334673LEITE EM PÓLACTALIS</v>
      </c>
      <c r="C2737" s="5" t="s">
        <v>226</v>
      </c>
      <c r="D2737" s="5" t="s">
        <v>227</v>
      </c>
      <c r="E2737" s="5" t="s">
        <v>1722</v>
      </c>
      <c r="F2737" s="5">
        <v>5334673</v>
      </c>
      <c r="G2737" s="5" t="s">
        <v>464</v>
      </c>
      <c r="H2737" s="5" t="s">
        <v>30</v>
      </c>
      <c r="I2737" s="5" t="s">
        <v>22</v>
      </c>
      <c r="J2737" s="5" t="s">
        <v>84</v>
      </c>
      <c r="K2737" s="6">
        <v>0</v>
      </c>
      <c r="L2737" s="7">
        <v>0</v>
      </c>
      <c r="M2737" s="8">
        <v>21.666666666666664</v>
      </c>
      <c r="N2737" s="8">
        <v>16.666666666666668</v>
      </c>
      <c r="O2737" s="8">
        <v>2.8321436923967038</v>
      </c>
      <c r="P2737" s="8">
        <v>0</v>
      </c>
      <c r="Q2737" s="8">
        <v>0</v>
      </c>
      <c r="R2737" s="8">
        <v>0</v>
      </c>
      <c r="S2737" s="8">
        <v>0</v>
      </c>
      <c r="T2737" s="5">
        <v>0</v>
      </c>
      <c r="U2737" s="5">
        <v>0</v>
      </c>
      <c r="V2737" s="5">
        <f>VLOOKUP(A2737,Planilha1!B:E,4,0)</f>
        <v>-2.8055507108797499</v>
      </c>
    </row>
    <row r="2738" spans="1:22" x14ac:dyDescent="0.3">
      <c r="A2738" t="str">
        <f t="shared" si="84"/>
        <v>LEITE EM PÓLACTALIS</v>
      </c>
      <c r="B2738" t="str">
        <f t="shared" si="85"/>
        <v>5334685LEITE EM PÓLACTALIS</v>
      </c>
      <c r="C2738" s="5" t="s">
        <v>226</v>
      </c>
      <c r="D2738" s="5" t="s">
        <v>227</v>
      </c>
      <c r="E2738" s="5" t="s">
        <v>1722</v>
      </c>
      <c r="F2738" s="5">
        <v>5334685</v>
      </c>
      <c r="G2738" s="5" t="s">
        <v>1362</v>
      </c>
      <c r="H2738" s="5" t="s">
        <v>30</v>
      </c>
      <c r="I2738" s="5" t="s">
        <v>22</v>
      </c>
      <c r="J2738" s="5" t="s">
        <v>84</v>
      </c>
      <c r="K2738" s="6">
        <v>0</v>
      </c>
      <c r="L2738" s="7">
        <v>0</v>
      </c>
      <c r="M2738" s="8">
        <v>1.5</v>
      </c>
      <c r="N2738" s="8">
        <v>3</v>
      </c>
      <c r="O2738" s="8">
        <v>0</v>
      </c>
      <c r="P2738" s="8">
        <v>0</v>
      </c>
      <c r="Q2738" s="8">
        <v>0</v>
      </c>
      <c r="R2738" s="8">
        <v>0</v>
      </c>
      <c r="S2738" s="8">
        <v>0</v>
      </c>
      <c r="T2738" s="5">
        <v>0</v>
      </c>
      <c r="U2738" s="5">
        <v>0</v>
      </c>
      <c r="V2738" s="5">
        <f>VLOOKUP(A2738,Planilha1!B:E,4,0)</f>
        <v>-2.8055507108797499</v>
      </c>
    </row>
    <row r="2739" spans="1:22" x14ac:dyDescent="0.3">
      <c r="A2739" t="str">
        <f t="shared" si="84"/>
        <v>CREME UHTLACTALIS</v>
      </c>
      <c r="B2739" t="str">
        <f t="shared" si="85"/>
        <v>5334876CREME UHTLACTALIS</v>
      </c>
      <c r="C2739" s="5" t="s">
        <v>226</v>
      </c>
      <c r="D2739" s="5" t="s">
        <v>227</v>
      </c>
      <c r="E2739" s="5" t="s">
        <v>1722</v>
      </c>
      <c r="F2739" s="5">
        <v>5334876</v>
      </c>
      <c r="G2739" s="5" t="s">
        <v>1363</v>
      </c>
      <c r="H2739" s="5" t="s">
        <v>30</v>
      </c>
      <c r="I2739" s="5" t="s">
        <v>22</v>
      </c>
      <c r="J2739" s="5" t="s">
        <v>34</v>
      </c>
      <c r="K2739" s="6">
        <v>0</v>
      </c>
      <c r="L2739" s="7">
        <v>0</v>
      </c>
      <c r="M2739" s="8">
        <v>17.099999999999998</v>
      </c>
      <c r="N2739" s="8">
        <v>27</v>
      </c>
      <c r="O2739" s="8">
        <v>10.8</v>
      </c>
      <c r="P2739" s="8">
        <v>0</v>
      </c>
      <c r="Q2739" s="8">
        <v>0</v>
      </c>
      <c r="R2739" s="8">
        <v>0</v>
      </c>
      <c r="S2739" s="8">
        <v>0</v>
      </c>
      <c r="T2739" s="5">
        <v>0</v>
      </c>
      <c r="U2739" s="5">
        <v>0</v>
      </c>
      <c r="V2739" s="5">
        <f>VLOOKUP(A2739,Planilha1!B:E,4,0)</f>
        <v>-1.4094522863012933</v>
      </c>
    </row>
    <row r="2740" spans="1:22" x14ac:dyDescent="0.3">
      <c r="A2740" t="str">
        <f t="shared" si="84"/>
        <v>LEITE CONDENSADOLACTALIS</v>
      </c>
      <c r="B2740" t="str">
        <f t="shared" si="85"/>
        <v>5334876LEITE CONDENSADOLACTALIS</v>
      </c>
      <c r="C2740" s="5" t="s">
        <v>226</v>
      </c>
      <c r="D2740" s="5" t="s">
        <v>227</v>
      </c>
      <c r="E2740" s="5" t="s">
        <v>1722</v>
      </c>
      <c r="F2740" s="5">
        <v>5334876</v>
      </c>
      <c r="G2740" s="5" t="s">
        <v>1363</v>
      </c>
      <c r="H2740" s="5" t="s">
        <v>30</v>
      </c>
      <c r="I2740" s="5" t="s">
        <v>22</v>
      </c>
      <c r="J2740" s="5" t="s">
        <v>33</v>
      </c>
      <c r="K2740" s="6">
        <v>0</v>
      </c>
      <c r="L2740" s="7">
        <v>0</v>
      </c>
      <c r="M2740" s="8">
        <v>13.393333333333334</v>
      </c>
      <c r="N2740" s="8">
        <v>14.146666666666668</v>
      </c>
      <c r="O2740" s="8">
        <v>18.96</v>
      </c>
      <c r="P2740" s="8">
        <v>0</v>
      </c>
      <c r="Q2740" s="8">
        <v>0</v>
      </c>
      <c r="R2740" s="8">
        <v>0</v>
      </c>
      <c r="S2740" s="8">
        <v>0</v>
      </c>
      <c r="T2740" s="5">
        <v>0</v>
      </c>
      <c r="U2740" s="5">
        <v>0</v>
      </c>
      <c r="V2740" s="5">
        <f>VLOOKUP(A2740,Planilha1!B:E,4,0)</f>
        <v>1.8665071822970765</v>
      </c>
    </row>
    <row r="2741" spans="1:22" x14ac:dyDescent="0.3">
      <c r="A2741" t="str">
        <f t="shared" si="84"/>
        <v>SPREADSLACTALIS</v>
      </c>
      <c r="B2741" t="str">
        <f t="shared" si="85"/>
        <v>5335359SPREADSLACTALIS</v>
      </c>
      <c r="C2741" s="5" t="s">
        <v>226</v>
      </c>
      <c r="D2741" s="5" t="s">
        <v>227</v>
      </c>
      <c r="E2741" s="5" t="s">
        <v>1722</v>
      </c>
      <c r="F2741" s="5">
        <v>5335359</v>
      </c>
      <c r="G2741" s="5" t="s">
        <v>358</v>
      </c>
      <c r="H2741" s="5" t="s">
        <v>30</v>
      </c>
      <c r="I2741" s="5" t="s">
        <v>22</v>
      </c>
      <c r="J2741" s="5" t="s">
        <v>945</v>
      </c>
      <c r="K2741" s="6">
        <v>0</v>
      </c>
      <c r="L2741" s="7">
        <v>0</v>
      </c>
      <c r="M2741" s="8">
        <v>1.3333333333333333</v>
      </c>
      <c r="N2741" s="8">
        <v>2.6666666666666665</v>
      </c>
      <c r="O2741" s="8">
        <v>0</v>
      </c>
      <c r="P2741" s="8">
        <v>0</v>
      </c>
      <c r="Q2741" s="8">
        <v>4</v>
      </c>
      <c r="R2741" s="8">
        <v>0</v>
      </c>
      <c r="S2741" s="8">
        <v>0</v>
      </c>
      <c r="T2741" s="5">
        <v>0</v>
      </c>
      <c r="U2741" s="5">
        <v>0</v>
      </c>
      <c r="V2741" s="5">
        <f>VLOOKUP(A2741,Planilha1!B:E,4,0)</f>
        <v>13.599044988219518</v>
      </c>
    </row>
    <row r="2742" spans="1:22" x14ac:dyDescent="0.3">
      <c r="A2742" t="str">
        <f t="shared" si="84"/>
        <v>PARMESÃOLACTALIS</v>
      </c>
      <c r="B2742" t="str">
        <f t="shared" si="85"/>
        <v>5335762PARMESÃOLACTALIS</v>
      </c>
      <c r="C2742" s="5" t="s">
        <v>226</v>
      </c>
      <c r="D2742" s="5" t="s">
        <v>227</v>
      </c>
      <c r="E2742" s="5" t="s">
        <v>1722</v>
      </c>
      <c r="F2742" s="5">
        <v>5335762</v>
      </c>
      <c r="G2742" s="5" t="s">
        <v>1364</v>
      </c>
      <c r="H2742" s="5" t="s">
        <v>30</v>
      </c>
      <c r="I2742" s="5" t="s">
        <v>22</v>
      </c>
      <c r="J2742" s="5" t="s">
        <v>195</v>
      </c>
      <c r="K2742" s="6">
        <v>0</v>
      </c>
      <c r="L2742" s="7">
        <v>0</v>
      </c>
      <c r="M2742" s="8">
        <v>12.199166666666667</v>
      </c>
      <c r="N2742" s="8">
        <v>24.39833333333333</v>
      </c>
      <c r="O2742" s="8">
        <v>0</v>
      </c>
      <c r="P2742" s="8">
        <v>0</v>
      </c>
      <c r="Q2742" s="8">
        <v>14.09</v>
      </c>
      <c r="R2742" s="8">
        <v>0</v>
      </c>
      <c r="S2742" s="8">
        <v>15</v>
      </c>
      <c r="T2742" s="5">
        <v>15</v>
      </c>
      <c r="U2742" s="5">
        <v>0</v>
      </c>
      <c r="V2742" s="5">
        <f>VLOOKUP(A2742,Planilha1!B:E,4,0)</f>
        <v>6.310326960724681</v>
      </c>
    </row>
    <row r="2743" spans="1:22" x14ac:dyDescent="0.3">
      <c r="A2743" t="str">
        <f t="shared" si="84"/>
        <v>MANTEIGA 5KGLACTALIS</v>
      </c>
      <c r="B2743" t="str">
        <f t="shared" si="85"/>
        <v>5335762MANTEIGA 5KGLACTALIS</v>
      </c>
      <c r="C2743" s="5" t="s">
        <v>226</v>
      </c>
      <c r="D2743" s="5" t="s">
        <v>227</v>
      </c>
      <c r="E2743" s="5" t="s">
        <v>1722</v>
      </c>
      <c r="F2743" s="5">
        <v>5335762</v>
      </c>
      <c r="G2743" s="5" t="s">
        <v>1364</v>
      </c>
      <c r="H2743" s="5" t="s">
        <v>30</v>
      </c>
      <c r="I2743" s="5" t="s">
        <v>22</v>
      </c>
      <c r="J2743" s="5" t="s">
        <v>60</v>
      </c>
      <c r="K2743" s="6">
        <v>0</v>
      </c>
      <c r="L2743" s="7">
        <v>0</v>
      </c>
      <c r="M2743" s="8">
        <v>80.833333333333329</v>
      </c>
      <c r="N2743" s="8">
        <v>143.33333333333334</v>
      </c>
      <c r="O2743" s="8">
        <v>0</v>
      </c>
      <c r="P2743" s="8">
        <v>0</v>
      </c>
      <c r="Q2743" s="8">
        <v>50</v>
      </c>
      <c r="R2743" s="8">
        <v>0</v>
      </c>
      <c r="S2743" s="8">
        <v>50</v>
      </c>
      <c r="T2743" s="5">
        <v>50</v>
      </c>
      <c r="U2743" s="5">
        <v>30</v>
      </c>
      <c r="V2743" s="5">
        <f>VLOOKUP(A2743,Planilha1!B:E,4,0)</f>
        <v>11.476197020267191</v>
      </c>
    </row>
    <row r="2744" spans="1:22" x14ac:dyDescent="0.3">
      <c r="A2744" t="str">
        <f t="shared" si="84"/>
        <v>LEITE UHTLACTALIS</v>
      </c>
      <c r="B2744" t="str">
        <f t="shared" si="85"/>
        <v>5336921LEITE UHTLACTALIS</v>
      </c>
      <c r="C2744" s="5" t="s">
        <v>226</v>
      </c>
      <c r="D2744" s="5" t="s">
        <v>227</v>
      </c>
      <c r="E2744" s="5" t="s">
        <v>1722</v>
      </c>
      <c r="F2744" s="5">
        <v>5336921</v>
      </c>
      <c r="G2744" s="5" t="s">
        <v>1349</v>
      </c>
      <c r="H2744" s="5" t="s">
        <v>30</v>
      </c>
      <c r="I2744" s="5" t="s">
        <v>22</v>
      </c>
      <c r="J2744" s="5" t="s">
        <v>156</v>
      </c>
      <c r="K2744" s="6">
        <v>0</v>
      </c>
      <c r="L2744" s="7">
        <v>0</v>
      </c>
      <c r="M2744" s="8">
        <v>30</v>
      </c>
      <c r="N2744" s="8">
        <v>8</v>
      </c>
      <c r="O2744" s="8">
        <v>0</v>
      </c>
      <c r="P2744" s="8">
        <v>0</v>
      </c>
      <c r="Q2744" s="8">
        <v>0</v>
      </c>
      <c r="R2744" s="8">
        <v>0</v>
      </c>
      <c r="S2744" s="8">
        <v>0</v>
      </c>
      <c r="T2744" s="5">
        <v>0</v>
      </c>
      <c r="U2744" s="5">
        <v>0</v>
      </c>
      <c r="V2744" s="5">
        <f>VLOOKUP(A2744,Planilha1!B:E,4,0)</f>
        <v>0.37177548115779385</v>
      </c>
    </row>
    <row r="2745" spans="1:22" x14ac:dyDescent="0.3">
      <c r="A2745" t="str">
        <f t="shared" si="84"/>
        <v>BLISTERLACTALIS</v>
      </c>
      <c r="B2745" t="str">
        <f t="shared" si="85"/>
        <v>5336921BLISTERLACTALIS</v>
      </c>
      <c r="C2745" s="5" t="s">
        <v>226</v>
      </c>
      <c r="D2745" s="5" t="s">
        <v>227</v>
      </c>
      <c r="E2745" s="5" t="s">
        <v>1722</v>
      </c>
      <c r="F2745" s="5">
        <v>5336921</v>
      </c>
      <c r="G2745" s="5" t="s">
        <v>1349</v>
      </c>
      <c r="H2745" s="5" t="s">
        <v>30</v>
      </c>
      <c r="I2745" s="5" t="s">
        <v>22</v>
      </c>
      <c r="J2745" s="5" t="s">
        <v>199</v>
      </c>
      <c r="K2745" s="6">
        <v>0</v>
      </c>
      <c r="L2745" s="7">
        <v>0</v>
      </c>
      <c r="M2745" s="8">
        <v>3.28</v>
      </c>
      <c r="N2745" s="8">
        <v>3.84</v>
      </c>
      <c r="O2745" s="8">
        <v>0</v>
      </c>
      <c r="P2745" s="8">
        <v>0</v>
      </c>
      <c r="Q2745" s="8">
        <v>4.08</v>
      </c>
      <c r="R2745" s="8">
        <v>0</v>
      </c>
      <c r="S2745" s="8">
        <v>2</v>
      </c>
      <c r="T2745" s="5">
        <v>2</v>
      </c>
      <c r="U2745" s="5">
        <v>2</v>
      </c>
      <c r="V2745" s="5">
        <f>VLOOKUP(A2745,Planilha1!B:E,4,0)</f>
        <v>13.783871706210666</v>
      </c>
    </row>
    <row r="2746" spans="1:22" x14ac:dyDescent="0.3">
      <c r="A2746" t="str">
        <f t="shared" si="84"/>
        <v>SPREADSLACTALIS</v>
      </c>
      <c r="B2746" t="str">
        <f t="shared" si="85"/>
        <v>5337773SPREADSLACTALIS</v>
      </c>
      <c r="C2746" s="5" t="s">
        <v>149</v>
      </c>
      <c r="D2746" s="5" t="s">
        <v>150</v>
      </c>
      <c r="E2746" s="5" t="s">
        <v>186</v>
      </c>
      <c r="F2746" s="5">
        <v>5337773</v>
      </c>
      <c r="G2746" s="5" t="s">
        <v>196</v>
      </c>
      <c r="H2746" s="5" t="s">
        <v>30</v>
      </c>
      <c r="I2746" s="5" t="s">
        <v>22</v>
      </c>
      <c r="J2746" s="5" t="s">
        <v>945</v>
      </c>
      <c r="K2746" s="6">
        <v>0</v>
      </c>
      <c r="L2746" s="7">
        <v>0</v>
      </c>
      <c r="M2746" s="8">
        <v>92.8</v>
      </c>
      <c r="N2746" s="8">
        <v>185.6</v>
      </c>
      <c r="O2746" s="8">
        <v>0</v>
      </c>
      <c r="P2746" s="8">
        <v>0</v>
      </c>
      <c r="Q2746" s="8">
        <v>62.4</v>
      </c>
      <c r="R2746" s="8">
        <v>0</v>
      </c>
      <c r="S2746" s="8">
        <v>0</v>
      </c>
      <c r="T2746" s="5">
        <v>0</v>
      </c>
      <c r="U2746" s="5">
        <v>0</v>
      </c>
      <c r="V2746" s="5">
        <f>VLOOKUP(A2746,Planilha1!B:E,4,0)</f>
        <v>13.599044988219518</v>
      </c>
    </row>
    <row r="2747" spans="1:22" x14ac:dyDescent="0.3">
      <c r="A2747" t="str">
        <f t="shared" si="84"/>
        <v>QUEIJOSLACTALIS</v>
      </c>
      <c r="B2747" t="str">
        <f t="shared" si="85"/>
        <v>5337773QUEIJOSLACTALIS</v>
      </c>
      <c r="C2747" s="5" t="s">
        <v>149</v>
      </c>
      <c r="D2747" s="5" t="s">
        <v>150</v>
      </c>
      <c r="E2747" s="5" t="s">
        <v>186</v>
      </c>
      <c r="F2747" s="5">
        <v>5337773</v>
      </c>
      <c r="G2747" s="5" t="s">
        <v>196</v>
      </c>
      <c r="H2747" s="5" t="s">
        <v>30</v>
      </c>
      <c r="I2747" s="5" t="s">
        <v>22</v>
      </c>
      <c r="J2747" s="5" t="s">
        <v>63</v>
      </c>
      <c r="K2747" s="6">
        <v>0</v>
      </c>
      <c r="L2747" s="7">
        <v>0</v>
      </c>
      <c r="M2747" s="8">
        <v>108.8</v>
      </c>
      <c r="N2747" s="8">
        <v>217.60000000000002</v>
      </c>
      <c r="O2747" s="8">
        <v>0</v>
      </c>
      <c r="P2747" s="8">
        <v>0</v>
      </c>
      <c r="Q2747" s="8">
        <v>0</v>
      </c>
      <c r="R2747" s="8">
        <v>0</v>
      </c>
      <c r="S2747" s="8">
        <v>0</v>
      </c>
      <c r="T2747" s="5">
        <v>0</v>
      </c>
      <c r="U2747" s="5">
        <v>0</v>
      </c>
      <c r="V2747" s="5">
        <f>VLOOKUP(A2747,Planilha1!B:E,4,0)</f>
        <v>-1.9171310037550682</v>
      </c>
    </row>
    <row r="2748" spans="1:22" x14ac:dyDescent="0.3">
      <c r="A2748" t="str">
        <f t="shared" si="84"/>
        <v>QUEIJOSLACTALIS</v>
      </c>
      <c r="B2748" t="str">
        <f t="shared" si="85"/>
        <v>5338552QUEIJOSLACTALIS</v>
      </c>
      <c r="C2748" s="5" t="s">
        <v>226</v>
      </c>
      <c r="D2748" s="5" t="s">
        <v>227</v>
      </c>
      <c r="E2748" s="5" t="s">
        <v>1722</v>
      </c>
      <c r="F2748" s="5">
        <v>5338552</v>
      </c>
      <c r="G2748" s="5" t="s">
        <v>480</v>
      </c>
      <c r="H2748" s="5" t="s">
        <v>30</v>
      </c>
      <c r="I2748" s="5" t="s">
        <v>22</v>
      </c>
      <c r="J2748" s="5" t="s">
        <v>63</v>
      </c>
      <c r="K2748" s="6">
        <v>0</v>
      </c>
      <c r="L2748" s="7">
        <v>23.67</v>
      </c>
      <c r="M2748" s="8">
        <v>21.46</v>
      </c>
      <c r="N2748" s="8">
        <v>19.316666666666666</v>
      </c>
      <c r="O2748" s="8">
        <v>9.9153521625156227</v>
      </c>
      <c r="P2748" s="8">
        <v>0</v>
      </c>
      <c r="Q2748" s="8">
        <v>12</v>
      </c>
      <c r="R2748" s="8">
        <v>0</v>
      </c>
      <c r="S2748" s="8">
        <v>0</v>
      </c>
      <c r="T2748" s="5">
        <v>0</v>
      </c>
      <c r="U2748" s="5">
        <v>24</v>
      </c>
      <c r="V2748" s="5">
        <f>VLOOKUP(A2748,Planilha1!B:E,4,0)</f>
        <v>-1.9171310037550682</v>
      </c>
    </row>
    <row r="2749" spans="1:22" x14ac:dyDescent="0.3">
      <c r="A2749" t="str">
        <f t="shared" si="84"/>
        <v>LEITE EM PÓLACTALIS</v>
      </c>
      <c r="B2749" t="str">
        <f t="shared" si="85"/>
        <v>5339146LEITE EM PÓLACTALIS</v>
      </c>
      <c r="C2749" s="5" t="s">
        <v>226</v>
      </c>
      <c r="D2749" s="5" t="s">
        <v>227</v>
      </c>
      <c r="E2749" s="5" t="s">
        <v>1722</v>
      </c>
      <c r="F2749" s="5">
        <v>5339146</v>
      </c>
      <c r="G2749" s="5" t="s">
        <v>1125</v>
      </c>
      <c r="H2749" s="5" t="s">
        <v>30</v>
      </c>
      <c r="I2749" s="5" t="s">
        <v>22</v>
      </c>
      <c r="J2749" s="5" t="s">
        <v>84</v>
      </c>
      <c r="K2749" s="6">
        <v>0</v>
      </c>
      <c r="L2749" s="7">
        <v>0</v>
      </c>
      <c r="M2749" s="8">
        <v>3.166666666666667</v>
      </c>
      <c r="N2749" s="8">
        <v>3</v>
      </c>
      <c r="O2749" s="8">
        <v>0</v>
      </c>
      <c r="P2749" s="8">
        <v>0</v>
      </c>
      <c r="Q2749" s="8">
        <v>0</v>
      </c>
      <c r="R2749" s="8">
        <v>0</v>
      </c>
      <c r="S2749" s="8">
        <v>0</v>
      </c>
      <c r="T2749" s="5">
        <v>0</v>
      </c>
      <c r="U2749" s="5">
        <v>0</v>
      </c>
      <c r="V2749" s="5">
        <f>VLOOKUP(A2749,Planilha1!B:E,4,0)</f>
        <v>-2.8055507108797499</v>
      </c>
    </row>
    <row r="2750" spans="1:22" x14ac:dyDescent="0.3">
      <c r="A2750" t="str">
        <f t="shared" si="84"/>
        <v>CREME UHTLACTALIS</v>
      </c>
      <c r="B2750" t="str">
        <f t="shared" si="85"/>
        <v>5339488CREME UHTLACTALIS</v>
      </c>
      <c r="C2750" s="5" t="s">
        <v>226</v>
      </c>
      <c r="D2750" s="5" t="s">
        <v>227</v>
      </c>
      <c r="E2750" s="5" t="s">
        <v>1722</v>
      </c>
      <c r="F2750" s="5">
        <v>5339488</v>
      </c>
      <c r="G2750" s="5" t="s">
        <v>1365</v>
      </c>
      <c r="H2750" s="5" t="s">
        <v>30</v>
      </c>
      <c r="I2750" s="5" t="s">
        <v>22</v>
      </c>
      <c r="J2750" s="5" t="s">
        <v>34</v>
      </c>
      <c r="K2750" s="6">
        <v>0</v>
      </c>
      <c r="L2750" s="7">
        <v>0</v>
      </c>
      <c r="M2750" s="8">
        <v>4.5</v>
      </c>
      <c r="N2750" s="8">
        <v>3.6</v>
      </c>
      <c r="O2750" s="8">
        <v>10.8</v>
      </c>
      <c r="P2750" s="8">
        <v>0</v>
      </c>
      <c r="Q2750" s="8">
        <v>0</v>
      </c>
      <c r="R2750" s="8">
        <v>0</v>
      </c>
      <c r="S2750" s="8">
        <v>0</v>
      </c>
      <c r="T2750" s="5">
        <v>0</v>
      </c>
      <c r="U2750" s="5">
        <v>0</v>
      </c>
      <c r="V2750" s="5">
        <f>VLOOKUP(A2750,Planilha1!B:E,4,0)</f>
        <v>-1.4094522863012933</v>
      </c>
    </row>
    <row r="2751" spans="1:22" x14ac:dyDescent="0.3">
      <c r="A2751" t="str">
        <f t="shared" si="84"/>
        <v>LEITE CONDENSADOLACTALIS</v>
      </c>
      <c r="B2751" t="str">
        <f t="shared" si="85"/>
        <v>5339488LEITE CONDENSADOLACTALIS</v>
      </c>
      <c r="C2751" s="5" t="s">
        <v>226</v>
      </c>
      <c r="D2751" s="5" t="s">
        <v>227</v>
      </c>
      <c r="E2751" s="5" t="s">
        <v>1722</v>
      </c>
      <c r="F2751" s="5">
        <v>5339488</v>
      </c>
      <c r="G2751" s="5" t="s">
        <v>1365</v>
      </c>
      <c r="H2751" s="5" t="s">
        <v>30</v>
      </c>
      <c r="I2751" s="5" t="s">
        <v>22</v>
      </c>
      <c r="J2751" s="5" t="s">
        <v>33</v>
      </c>
      <c r="K2751" s="6">
        <v>0</v>
      </c>
      <c r="L2751" s="7">
        <v>0</v>
      </c>
      <c r="M2751" s="8">
        <v>11.06</v>
      </c>
      <c r="N2751" s="8">
        <v>6.32</v>
      </c>
      <c r="O2751" s="8">
        <v>18.96</v>
      </c>
      <c r="P2751" s="8">
        <v>0</v>
      </c>
      <c r="Q2751" s="8">
        <v>0</v>
      </c>
      <c r="R2751" s="8">
        <v>0</v>
      </c>
      <c r="S2751" s="8">
        <v>0</v>
      </c>
      <c r="T2751" s="5">
        <v>0</v>
      </c>
      <c r="U2751" s="5">
        <v>0</v>
      </c>
      <c r="V2751" s="5">
        <f>VLOOKUP(A2751,Planilha1!B:E,4,0)</f>
        <v>1.8665071822970765</v>
      </c>
    </row>
    <row r="2752" spans="1:22" x14ac:dyDescent="0.3">
      <c r="A2752" t="str">
        <f t="shared" si="84"/>
        <v>QUEIJOSLACTALIS</v>
      </c>
      <c r="B2752" t="str">
        <f t="shared" si="85"/>
        <v>5339674QUEIJOSLACTALIS</v>
      </c>
      <c r="C2752" s="5" t="s">
        <v>226</v>
      </c>
      <c r="D2752" s="5" t="s">
        <v>227</v>
      </c>
      <c r="E2752" s="5" t="s">
        <v>703</v>
      </c>
      <c r="F2752" s="5">
        <v>5339674</v>
      </c>
      <c r="G2752" s="5" t="s">
        <v>725</v>
      </c>
      <c r="H2752" s="5" t="s">
        <v>30</v>
      </c>
      <c r="I2752" s="5" t="s">
        <v>22</v>
      </c>
      <c r="J2752" s="5" t="s">
        <v>63</v>
      </c>
      <c r="K2752" s="6">
        <v>0</v>
      </c>
      <c r="L2752" s="7">
        <v>0</v>
      </c>
      <c r="M2752" s="8">
        <v>13.725000000000001</v>
      </c>
      <c r="N2752" s="8">
        <v>11.726666666666667</v>
      </c>
      <c r="O2752" s="8">
        <v>3.3905945613199977</v>
      </c>
      <c r="P2752" s="8">
        <v>0</v>
      </c>
      <c r="Q2752" s="8">
        <v>0</v>
      </c>
      <c r="R2752" s="8">
        <v>0</v>
      </c>
      <c r="S2752" s="8">
        <v>0</v>
      </c>
      <c r="T2752" s="5">
        <v>0</v>
      </c>
      <c r="U2752" s="5">
        <v>0</v>
      </c>
      <c r="V2752" s="5">
        <f>VLOOKUP(A2752,Planilha1!B:E,4,0)</f>
        <v>-1.9171310037550682</v>
      </c>
    </row>
    <row r="2753" spans="1:22" x14ac:dyDescent="0.3">
      <c r="A2753" t="str">
        <f t="shared" si="84"/>
        <v>LEITE UHTLACTALIS</v>
      </c>
      <c r="B2753" t="str">
        <f t="shared" si="85"/>
        <v>5341970LEITE UHTLACTALIS</v>
      </c>
      <c r="C2753" s="5" t="s">
        <v>226</v>
      </c>
      <c r="D2753" s="5" t="s">
        <v>227</v>
      </c>
      <c r="E2753" s="5" t="s">
        <v>1722</v>
      </c>
      <c r="F2753" s="5">
        <v>5341970</v>
      </c>
      <c r="G2753" s="5" t="s">
        <v>1366</v>
      </c>
      <c r="H2753" s="5" t="s">
        <v>30</v>
      </c>
      <c r="I2753" s="5" t="s">
        <v>22</v>
      </c>
      <c r="J2753" s="5" t="s">
        <v>156</v>
      </c>
      <c r="K2753" s="6">
        <v>0</v>
      </c>
      <c r="L2753" s="7">
        <v>0</v>
      </c>
      <c r="M2753" s="8">
        <v>100</v>
      </c>
      <c r="N2753" s="8">
        <v>160</v>
      </c>
      <c r="O2753" s="8">
        <v>0</v>
      </c>
      <c r="P2753" s="8">
        <v>0</v>
      </c>
      <c r="Q2753" s="8">
        <v>0</v>
      </c>
      <c r="R2753" s="8">
        <v>0</v>
      </c>
      <c r="S2753" s="8">
        <v>0</v>
      </c>
      <c r="T2753" s="5">
        <v>0</v>
      </c>
      <c r="U2753" s="5">
        <v>0</v>
      </c>
      <c r="V2753" s="5">
        <f>VLOOKUP(A2753,Planilha1!B:E,4,0)</f>
        <v>0.37177548115779385</v>
      </c>
    </row>
    <row r="2754" spans="1:22" x14ac:dyDescent="0.3">
      <c r="A2754" t="str">
        <f t="shared" ref="A2754:A2817" si="86">J2754&amp;I2754</f>
        <v>IOGURTESLACTALIS</v>
      </c>
      <c r="B2754" t="str">
        <f t="shared" si="85"/>
        <v>5342187IOGURTESLACTALIS</v>
      </c>
      <c r="C2754" s="5" t="s">
        <v>226</v>
      </c>
      <c r="D2754" s="5" t="s">
        <v>227</v>
      </c>
      <c r="E2754" s="5" t="s">
        <v>1722</v>
      </c>
      <c r="F2754" s="5">
        <v>5342187</v>
      </c>
      <c r="G2754" s="5" t="s">
        <v>530</v>
      </c>
      <c r="H2754" s="5" t="s">
        <v>30</v>
      </c>
      <c r="I2754" s="5" t="s">
        <v>22</v>
      </c>
      <c r="J2754" s="5" t="s">
        <v>153</v>
      </c>
      <c r="K2754" s="6">
        <v>0</v>
      </c>
      <c r="L2754" s="7">
        <v>0</v>
      </c>
      <c r="M2754" s="8">
        <v>8.9066666666666663</v>
      </c>
      <c r="N2754" s="8">
        <v>6.9333333333333336</v>
      </c>
      <c r="O2754" s="8">
        <v>12.599335420300024</v>
      </c>
      <c r="P2754" s="8">
        <v>0</v>
      </c>
      <c r="Q2754" s="8">
        <v>8.9600000000000009</v>
      </c>
      <c r="R2754" s="8">
        <v>0</v>
      </c>
      <c r="S2754" s="8">
        <v>0</v>
      </c>
      <c r="T2754" s="5">
        <v>0</v>
      </c>
      <c r="U2754" s="5">
        <v>0</v>
      </c>
      <c r="V2754" s="5">
        <f>VLOOKUP(A2754,Planilha1!B:E,4,0)</f>
        <v>3.0503167986984403</v>
      </c>
    </row>
    <row r="2755" spans="1:22" x14ac:dyDescent="0.3">
      <c r="A2755" t="str">
        <f t="shared" si="86"/>
        <v>LEITE EM PÓITAMBÉ</v>
      </c>
      <c r="B2755" t="str">
        <f t="shared" ref="B2755:B2818" si="87">F2755&amp;J2755&amp;I2755</f>
        <v>5349287LEITE EM PÓITAMBÉ</v>
      </c>
      <c r="C2755" s="5" t="s">
        <v>226</v>
      </c>
      <c r="D2755" s="5" t="s">
        <v>727</v>
      </c>
      <c r="E2755" s="5" t="s">
        <v>733</v>
      </c>
      <c r="F2755" s="5">
        <v>5349287</v>
      </c>
      <c r="G2755" s="5" t="s">
        <v>750</v>
      </c>
      <c r="H2755" s="5" t="s">
        <v>25</v>
      </c>
      <c r="I2755" s="5" t="s">
        <v>27</v>
      </c>
      <c r="J2755" s="5" t="s">
        <v>84</v>
      </c>
      <c r="K2755" s="6">
        <v>0</v>
      </c>
      <c r="L2755" s="7">
        <v>0</v>
      </c>
      <c r="M2755" s="8">
        <v>2446.6</v>
      </c>
      <c r="N2755" s="8">
        <v>2826</v>
      </c>
      <c r="O2755" s="8">
        <v>2146.5681181187902</v>
      </c>
      <c r="P2755" s="8">
        <v>0</v>
      </c>
      <c r="Q2755" s="8">
        <v>2300</v>
      </c>
      <c r="R2755" s="8">
        <v>0</v>
      </c>
      <c r="S2755" s="8">
        <v>0</v>
      </c>
      <c r="T2755" s="5">
        <v>0</v>
      </c>
      <c r="U2755" s="5">
        <v>0</v>
      </c>
      <c r="V2755" s="5">
        <f>VLOOKUP(A2755,Planilha1!B:E,4,0)</f>
        <v>4.5971522734997743</v>
      </c>
    </row>
    <row r="2756" spans="1:22" x14ac:dyDescent="0.3">
      <c r="A2756" t="str">
        <f t="shared" si="86"/>
        <v>QUEIJOSLACTALIS</v>
      </c>
      <c r="B2756" t="str">
        <f t="shared" si="87"/>
        <v>5349292QUEIJOSLACTALIS</v>
      </c>
      <c r="C2756" s="5" t="s">
        <v>226</v>
      </c>
      <c r="D2756" s="5" t="s">
        <v>227</v>
      </c>
      <c r="E2756" s="5" t="s">
        <v>1722</v>
      </c>
      <c r="F2756" s="5">
        <v>5349292</v>
      </c>
      <c r="G2756" s="5" t="s">
        <v>489</v>
      </c>
      <c r="H2756" s="5" t="s">
        <v>30</v>
      </c>
      <c r="I2756" s="5" t="s">
        <v>22</v>
      </c>
      <c r="J2756" s="5" t="s">
        <v>63</v>
      </c>
      <c r="K2756" s="6">
        <v>0</v>
      </c>
      <c r="L2756" s="7">
        <v>0</v>
      </c>
      <c r="M2756" s="8">
        <v>17.206666666666667</v>
      </c>
      <c r="N2756" s="8">
        <v>21.183333333333334</v>
      </c>
      <c r="O2756" s="8">
        <v>4.9861684725294078</v>
      </c>
      <c r="P2756" s="8">
        <v>0</v>
      </c>
      <c r="Q2756" s="8">
        <v>12</v>
      </c>
      <c r="R2756" s="8">
        <v>0</v>
      </c>
      <c r="S2756" s="8">
        <v>0</v>
      </c>
      <c r="T2756" s="5">
        <v>0</v>
      </c>
      <c r="U2756" s="5">
        <v>18</v>
      </c>
      <c r="V2756" s="5">
        <f>VLOOKUP(A2756,Planilha1!B:E,4,0)</f>
        <v>-1.9171310037550682</v>
      </c>
    </row>
    <row r="2757" spans="1:22" x14ac:dyDescent="0.3">
      <c r="A2757" t="str">
        <f t="shared" si="86"/>
        <v>QUEIJOSLACTALIS</v>
      </c>
      <c r="B2757" t="str">
        <f t="shared" si="87"/>
        <v>5342732QUEIJOSLACTALIS</v>
      </c>
      <c r="C2757" s="5" t="s">
        <v>226</v>
      </c>
      <c r="D2757" s="5" t="s">
        <v>227</v>
      </c>
      <c r="E2757" s="5" t="s">
        <v>1722</v>
      </c>
      <c r="F2757" s="5">
        <v>5342732</v>
      </c>
      <c r="G2757" s="5" t="s">
        <v>379</v>
      </c>
      <c r="H2757" s="5" t="s">
        <v>30</v>
      </c>
      <c r="I2757" s="5" t="s">
        <v>22</v>
      </c>
      <c r="J2757" s="5" t="s">
        <v>63</v>
      </c>
      <c r="K2757" s="6">
        <v>0</v>
      </c>
      <c r="L2757" s="7">
        <v>0</v>
      </c>
      <c r="M2757" s="8">
        <v>2.0166666666666666</v>
      </c>
      <c r="N2757" s="8">
        <v>4.0333333333333332</v>
      </c>
      <c r="O2757" s="8">
        <v>0</v>
      </c>
      <c r="P2757" s="8">
        <v>0</v>
      </c>
      <c r="Q2757" s="8">
        <v>0</v>
      </c>
      <c r="R2757" s="8">
        <v>0</v>
      </c>
      <c r="S2757" s="8">
        <v>0</v>
      </c>
      <c r="T2757" s="5">
        <v>0</v>
      </c>
      <c r="U2757" s="5">
        <v>0</v>
      </c>
      <c r="V2757" s="5">
        <f>VLOOKUP(A2757,Planilha1!B:E,4,0)</f>
        <v>-1.9171310037550682</v>
      </c>
    </row>
    <row r="2758" spans="1:22" x14ac:dyDescent="0.3">
      <c r="A2758" t="str">
        <f t="shared" si="86"/>
        <v>LEITE CONDENSADOLACTALIS</v>
      </c>
      <c r="B2758" t="str">
        <f t="shared" si="87"/>
        <v>5342732LEITE CONDENSADOLACTALIS</v>
      </c>
      <c r="C2758" s="5" t="s">
        <v>226</v>
      </c>
      <c r="D2758" s="5" t="s">
        <v>227</v>
      </c>
      <c r="E2758" s="5" t="s">
        <v>1722</v>
      </c>
      <c r="F2758" s="5">
        <v>5342732</v>
      </c>
      <c r="G2758" s="5" t="s">
        <v>379</v>
      </c>
      <c r="H2758" s="5" t="s">
        <v>30</v>
      </c>
      <c r="I2758" s="5" t="s">
        <v>22</v>
      </c>
      <c r="J2758" s="5" t="s">
        <v>33</v>
      </c>
      <c r="K2758" s="6">
        <v>0</v>
      </c>
      <c r="L2758" s="7">
        <v>0</v>
      </c>
      <c r="M2758" s="8">
        <v>7</v>
      </c>
      <c r="N2758" s="8">
        <v>14</v>
      </c>
      <c r="O2758" s="8">
        <v>42</v>
      </c>
      <c r="P2758" s="8">
        <v>0</v>
      </c>
      <c r="Q2758" s="8">
        <v>0</v>
      </c>
      <c r="R2758" s="8">
        <v>0</v>
      </c>
      <c r="S2758" s="8">
        <v>112</v>
      </c>
      <c r="T2758" s="5">
        <v>112</v>
      </c>
      <c r="U2758" s="5">
        <v>70</v>
      </c>
      <c r="V2758" s="5">
        <f>VLOOKUP(A2758,Planilha1!B:E,4,0)</f>
        <v>1.8665071822970765</v>
      </c>
    </row>
    <row r="2759" spans="1:22" x14ac:dyDescent="0.3">
      <c r="A2759" t="str">
        <f t="shared" si="86"/>
        <v>QUEIJOSLACTALIS</v>
      </c>
      <c r="B2759" t="str">
        <f t="shared" si="87"/>
        <v>5342972QUEIJOSLACTALIS</v>
      </c>
      <c r="C2759" s="5" t="s">
        <v>226</v>
      </c>
      <c r="D2759" s="5" t="s">
        <v>227</v>
      </c>
      <c r="E2759" s="5" t="s">
        <v>1722</v>
      </c>
      <c r="F2759" s="5">
        <v>5342972</v>
      </c>
      <c r="G2759" s="5" t="s">
        <v>366</v>
      </c>
      <c r="H2759" s="5" t="s">
        <v>30</v>
      </c>
      <c r="I2759" s="5" t="s">
        <v>22</v>
      </c>
      <c r="J2759" s="5" t="s">
        <v>63</v>
      </c>
      <c r="K2759" s="6">
        <v>0</v>
      </c>
      <c r="L2759" s="7">
        <v>17.46</v>
      </c>
      <c r="M2759" s="8">
        <v>3.5966666666666667</v>
      </c>
      <c r="N2759" s="8">
        <v>3.8366666666666664</v>
      </c>
      <c r="O2759" s="8">
        <v>3.0600828225694769</v>
      </c>
      <c r="P2759" s="8">
        <v>0</v>
      </c>
      <c r="Q2759" s="8">
        <v>0</v>
      </c>
      <c r="R2759" s="8">
        <v>0</v>
      </c>
      <c r="S2759" s="8">
        <v>0</v>
      </c>
      <c r="T2759" s="5">
        <v>0</v>
      </c>
      <c r="U2759" s="5">
        <v>0</v>
      </c>
      <c r="V2759" s="5">
        <f>VLOOKUP(A2759,Planilha1!B:E,4,0)</f>
        <v>-1.9171310037550682</v>
      </c>
    </row>
    <row r="2760" spans="1:22" x14ac:dyDescent="0.3">
      <c r="A2760" t="str">
        <f t="shared" si="86"/>
        <v>IOGURTESLACTALIS</v>
      </c>
      <c r="B2760" t="str">
        <f t="shared" si="87"/>
        <v>5347317IOGURTESLACTALIS</v>
      </c>
      <c r="C2760" s="5" t="s">
        <v>226</v>
      </c>
      <c r="D2760" s="5" t="s">
        <v>227</v>
      </c>
      <c r="E2760" s="5" t="s">
        <v>1722</v>
      </c>
      <c r="F2760" s="5">
        <v>5347317</v>
      </c>
      <c r="G2760" s="5" t="s">
        <v>1130</v>
      </c>
      <c r="H2760" s="5" t="s">
        <v>30</v>
      </c>
      <c r="I2760" s="5" t="s">
        <v>22</v>
      </c>
      <c r="J2760" s="5" t="s">
        <v>153</v>
      </c>
      <c r="K2760" s="6">
        <v>0</v>
      </c>
      <c r="L2760" s="7">
        <v>21.6</v>
      </c>
      <c r="M2760" s="8">
        <v>7.1999999999999993</v>
      </c>
      <c r="N2760" s="8">
        <v>14.4</v>
      </c>
      <c r="O2760" s="8">
        <v>0</v>
      </c>
      <c r="P2760" s="8">
        <v>0</v>
      </c>
      <c r="Q2760" s="8">
        <v>0</v>
      </c>
      <c r="R2760" s="8">
        <v>0</v>
      </c>
      <c r="S2760" s="8">
        <v>0</v>
      </c>
      <c r="T2760" s="5">
        <v>0</v>
      </c>
      <c r="U2760" s="5">
        <v>0</v>
      </c>
      <c r="V2760" s="5">
        <f>VLOOKUP(A2760,Planilha1!B:E,4,0)</f>
        <v>3.0503167986984403</v>
      </c>
    </row>
    <row r="2761" spans="1:22" x14ac:dyDescent="0.3">
      <c r="A2761" t="str">
        <f t="shared" si="86"/>
        <v>QUEIJOSLACTALIS</v>
      </c>
      <c r="B2761" t="str">
        <f t="shared" si="87"/>
        <v>5347317QUEIJOSLACTALIS</v>
      </c>
      <c r="C2761" s="5" t="s">
        <v>226</v>
      </c>
      <c r="D2761" s="5" t="s">
        <v>227</v>
      </c>
      <c r="E2761" s="5" t="s">
        <v>1722</v>
      </c>
      <c r="F2761" s="5">
        <v>5347317</v>
      </c>
      <c r="G2761" s="5" t="s">
        <v>1130</v>
      </c>
      <c r="H2761" s="5" t="s">
        <v>30</v>
      </c>
      <c r="I2761" s="5" t="s">
        <v>22</v>
      </c>
      <c r="J2761" s="5" t="s">
        <v>63</v>
      </c>
      <c r="K2761" s="6">
        <v>0</v>
      </c>
      <c r="L2761" s="7">
        <v>4.8</v>
      </c>
      <c r="M2761" s="8">
        <v>8.7999999999999989</v>
      </c>
      <c r="N2761" s="8">
        <v>7.9999999999999991</v>
      </c>
      <c r="O2761" s="8">
        <v>5.4363482546206345</v>
      </c>
      <c r="P2761" s="8">
        <v>0</v>
      </c>
      <c r="Q2761" s="8">
        <v>0</v>
      </c>
      <c r="R2761" s="8">
        <v>0</v>
      </c>
      <c r="S2761" s="8">
        <v>0</v>
      </c>
      <c r="T2761" s="5">
        <v>0</v>
      </c>
      <c r="U2761" s="5">
        <v>0</v>
      </c>
      <c r="V2761" s="5">
        <f>VLOOKUP(A2761,Planilha1!B:E,4,0)</f>
        <v>-1.9171310037550682</v>
      </c>
    </row>
    <row r="2762" spans="1:22" x14ac:dyDescent="0.3">
      <c r="A2762" t="str">
        <f t="shared" si="86"/>
        <v>SPREADSLACTALIS</v>
      </c>
      <c r="B2762" t="str">
        <f t="shared" si="87"/>
        <v>5349623SPREADSLACTALIS</v>
      </c>
      <c r="C2762" s="5" t="s">
        <v>226</v>
      </c>
      <c r="D2762" s="5" t="s">
        <v>227</v>
      </c>
      <c r="E2762" s="5" t="s">
        <v>1722</v>
      </c>
      <c r="F2762" s="5">
        <v>5349623</v>
      </c>
      <c r="G2762" s="5" t="s">
        <v>1367</v>
      </c>
      <c r="H2762" s="5" t="s">
        <v>30</v>
      </c>
      <c r="I2762" s="5" t="s">
        <v>22</v>
      </c>
      <c r="J2762" s="5" t="s">
        <v>945</v>
      </c>
      <c r="K2762" s="6">
        <v>0</v>
      </c>
      <c r="L2762" s="7">
        <v>0</v>
      </c>
      <c r="M2762" s="8">
        <v>82.266666666666666</v>
      </c>
      <c r="N2762" s="8">
        <v>92.533333333333331</v>
      </c>
      <c r="O2762" s="8">
        <v>58.03900102024231</v>
      </c>
      <c r="P2762" s="8">
        <v>0</v>
      </c>
      <c r="Q2762" s="8">
        <v>0</v>
      </c>
      <c r="R2762" s="8">
        <v>0</v>
      </c>
      <c r="S2762" s="8">
        <v>0</v>
      </c>
      <c r="T2762" s="5">
        <v>0</v>
      </c>
      <c r="U2762" s="5">
        <v>24</v>
      </c>
      <c r="V2762" s="5">
        <f>VLOOKUP(A2762,Planilha1!B:E,4,0)</f>
        <v>13.599044988219518</v>
      </c>
    </row>
    <row r="2763" spans="1:22" x14ac:dyDescent="0.3">
      <c r="A2763" t="str">
        <f t="shared" si="86"/>
        <v>IOGURTESLACTALIS</v>
      </c>
      <c r="B2763" t="str">
        <f t="shared" si="87"/>
        <v>5347523IOGURTESLACTALIS</v>
      </c>
      <c r="C2763" s="5" t="s">
        <v>226</v>
      </c>
      <c r="D2763" s="5" t="s">
        <v>227</v>
      </c>
      <c r="E2763" s="5" t="s">
        <v>1722</v>
      </c>
      <c r="F2763" s="5">
        <v>5347523</v>
      </c>
      <c r="G2763" s="5" t="s">
        <v>517</v>
      </c>
      <c r="H2763" s="5" t="s">
        <v>30</v>
      </c>
      <c r="I2763" s="5" t="s">
        <v>22</v>
      </c>
      <c r="J2763" s="5" t="s">
        <v>153</v>
      </c>
      <c r="K2763" s="6">
        <v>0</v>
      </c>
      <c r="L2763" s="7">
        <v>0</v>
      </c>
      <c r="M2763" s="8">
        <v>4.76</v>
      </c>
      <c r="N2763" s="8">
        <v>4.08</v>
      </c>
      <c r="O2763" s="8">
        <v>3.4361823873545521</v>
      </c>
      <c r="P2763" s="8">
        <v>0</v>
      </c>
      <c r="Q2763" s="8">
        <v>0</v>
      </c>
      <c r="R2763" s="8">
        <v>0</v>
      </c>
      <c r="S2763" s="8">
        <v>0</v>
      </c>
      <c r="T2763" s="5">
        <v>0</v>
      </c>
      <c r="U2763" s="5">
        <v>0</v>
      </c>
      <c r="V2763" s="5">
        <f>VLOOKUP(A2763,Planilha1!B:E,4,0)</f>
        <v>3.0503167986984403</v>
      </c>
    </row>
    <row r="2764" spans="1:22" x14ac:dyDescent="0.3">
      <c r="A2764" t="str">
        <f t="shared" si="86"/>
        <v>IOGURTESLACTALIS</v>
      </c>
      <c r="B2764" t="str">
        <f t="shared" si="87"/>
        <v>5350396IOGURTESLACTALIS</v>
      </c>
      <c r="C2764" s="5" t="s">
        <v>226</v>
      </c>
      <c r="D2764" s="5" t="s">
        <v>227</v>
      </c>
      <c r="E2764" s="5" t="s">
        <v>1722</v>
      </c>
      <c r="F2764" s="5">
        <v>5350396</v>
      </c>
      <c r="G2764" s="5" t="s">
        <v>538</v>
      </c>
      <c r="H2764" s="5" t="s">
        <v>30</v>
      </c>
      <c r="I2764" s="5" t="s">
        <v>22</v>
      </c>
      <c r="J2764" s="5" t="s">
        <v>153</v>
      </c>
      <c r="K2764" s="6">
        <v>0</v>
      </c>
      <c r="L2764" s="7">
        <v>0</v>
      </c>
      <c r="M2764" s="8">
        <v>225.24</v>
      </c>
      <c r="N2764" s="8">
        <v>244.48000000000002</v>
      </c>
      <c r="O2764" s="8">
        <v>178.12303327351341</v>
      </c>
      <c r="P2764" s="8">
        <v>0</v>
      </c>
      <c r="Q2764" s="8">
        <v>26.88</v>
      </c>
      <c r="R2764" s="8">
        <v>0</v>
      </c>
      <c r="S2764" s="8">
        <v>0</v>
      </c>
      <c r="T2764" s="5">
        <v>0</v>
      </c>
      <c r="U2764" s="5">
        <v>0</v>
      </c>
      <c r="V2764" s="5">
        <f>VLOOKUP(A2764,Planilha1!B:E,4,0)</f>
        <v>3.0503167986984403</v>
      </c>
    </row>
    <row r="2765" spans="1:22" x14ac:dyDescent="0.3">
      <c r="A2765" t="str">
        <f t="shared" si="86"/>
        <v>IOGURTESLACTALIS</v>
      </c>
      <c r="B2765" t="str">
        <f t="shared" si="87"/>
        <v>5350398IOGURTESLACTALIS</v>
      </c>
      <c r="C2765" s="5" t="s">
        <v>226</v>
      </c>
      <c r="D2765" s="5" t="s">
        <v>227</v>
      </c>
      <c r="E2765" s="5" t="s">
        <v>1722</v>
      </c>
      <c r="F2765" s="5">
        <v>5350398</v>
      </c>
      <c r="G2765" s="5" t="s">
        <v>539</v>
      </c>
      <c r="H2765" s="5" t="s">
        <v>30</v>
      </c>
      <c r="I2765" s="5" t="s">
        <v>22</v>
      </c>
      <c r="J2765" s="5" t="s">
        <v>153</v>
      </c>
      <c r="K2765" s="6">
        <v>0</v>
      </c>
      <c r="L2765" s="7">
        <v>0</v>
      </c>
      <c r="M2765" s="8">
        <v>116.96</v>
      </c>
      <c r="N2765" s="8">
        <v>122.4</v>
      </c>
      <c r="O2765" s="8">
        <v>68.091116660861601</v>
      </c>
      <c r="P2765" s="8">
        <v>0</v>
      </c>
      <c r="Q2765" s="8">
        <v>24.48</v>
      </c>
      <c r="R2765" s="8">
        <v>0</v>
      </c>
      <c r="S2765" s="8">
        <v>0</v>
      </c>
      <c r="T2765" s="5">
        <v>0</v>
      </c>
      <c r="U2765" s="5">
        <v>0</v>
      </c>
      <c r="V2765" s="5">
        <f>VLOOKUP(A2765,Planilha1!B:E,4,0)</f>
        <v>3.0503167986984403</v>
      </c>
    </row>
    <row r="2766" spans="1:22" x14ac:dyDescent="0.3">
      <c r="A2766" t="str">
        <f t="shared" si="86"/>
        <v>LEITE UHTLACTALIS</v>
      </c>
      <c r="B2766" t="str">
        <f t="shared" si="87"/>
        <v>5348161LEITE UHTLACTALIS</v>
      </c>
      <c r="C2766" s="5" t="s">
        <v>226</v>
      </c>
      <c r="D2766" s="5" t="s">
        <v>227</v>
      </c>
      <c r="E2766" s="5" t="s">
        <v>1722</v>
      </c>
      <c r="F2766" s="5">
        <v>5348161</v>
      </c>
      <c r="G2766" s="5" t="s">
        <v>1368</v>
      </c>
      <c r="H2766" s="5" t="s">
        <v>30</v>
      </c>
      <c r="I2766" s="5" t="s">
        <v>22</v>
      </c>
      <c r="J2766" s="5" t="s">
        <v>156</v>
      </c>
      <c r="K2766" s="6">
        <v>0</v>
      </c>
      <c r="L2766" s="7">
        <v>0</v>
      </c>
      <c r="M2766" s="8">
        <v>4</v>
      </c>
      <c r="N2766" s="8">
        <v>8</v>
      </c>
      <c r="O2766" s="8">
        <v>0</v>
      </c>
      <c r="P2766" s="8">
        <v>0</v>
      </c>
      <c r="Q2766" s="8">
        <v>24</v>
      </c>
      <c r="R2766" s="8">
        <v>0</v>
      </c>
      <c r="S2766" s="8">
        <v>0</v>
      </c>
      <c r="T2766" s="5">
        <v>0</v>
      </c>
      <c r="U2766" s="5">
        <v>0</v>
      </c>
      <c r="V2766" s="5">
        <f>VLOOKUP(A2766,Planilha1!B:E,4,0)</f>
        <v>0.37177548115779385</v>
      </c>
    </row>
    <row r="2767" spans="1:22" x14ac:dyDescent="0.3">
      <c r="A2767" t="str">
        <f t="shared" si="86"/>
        <v>MANTEIGA 5KGLACTALIS</v>
      </c>
      <c r="B2767" t="str">
        <f t="shared" si="87"/>
        <v>5348161MANTEIGA 5KGLACTALIS</v>
      </c>
      <c r="C2767" s="5" t="s">
        <v>226</v>
      </c>
      <c r="D2767" s="5" t="s">
        <v>227</v>
      </c>
      <c r="E2767" s="5" t="s">
        <v>1722</v>
      </c>
      <c r="F2767" s="5">
        <v>5348161</v>
      </c>
      <c r="G2767" s="5" t="s">
        <v>1368</v>
      </c>
      <c r="H2767" s="5" t="s">
        <v>30</v>
      </c>
      <c r="I2767" s="5" t="s">
        <v>22</v>
      </c>
      <c r="J2767" s="5" t="s">
        <v>60</v>
      </c>
      <c r="K2767" s="6">
        <v>0</v>
      </c>
      <c r="L2767" s="7">
        <v>0</v>
      </c>
      <c r="M2767" s="8">
        <v>36.666666666666664</v>
      </c>
      <c r="N2767" s="8">
        <v>73.333333333333329</v>
      </c>
      <c r="O2767" s="8">
        <v>0</v>
      </c>
      <c r="P2767" s="8">
        <v>0</v>
      </c>
      <c r="Q2767" s="8">
        <v>70</v>
      </c>
      <c r="R2767" s="8">
        <v>0</v>
      </c>
      <c r="S2767" s="8">
        <v>200</v>
      </c>
      <c r="T2767" s="5">
        <v>200</v>
      </c>
      <c r="U2767" s="5">
        <v>130</v>
      </c>
      <c r="V2767" s="5">
        <f>VLOOKUP(A2767,Planilha1!B:E,4,0)</f>
        <v>11.476197020267191</v>
      </c>
    </row>
    <row r="2768" spans="1:22" x14ac:dyDescent="0.3">
      <c r="A2768" t="str">
        <f t="shared" si="86"/>
        <v>SPREADSITAMBÉ</v>
      </c>
      <c r="B2768" t="str">
        <f t="shared" si="87"/>
        <v>5350810SPREADSITAMBÉ</v>
      </c>
      <c r="C2768" s="5" t="s">
        <v>226</v>
      </c>
      <c r="D2768" s="5" t="s">
        <v>752</v>
      </c>
      <c r="E2768" s="5" t="s">
        <v>1216</v>
      </c>
      <c r="F2768" s="5">
        <v>5350810</v>
      </c>
      <c r="G2768" s="5" t="s">
        <v>1234</v>
      </c>
      <c r="H2768" s="5" t="s">
        <v>154</v>
      </c>
      <c r="I2768" s="5" t="s">
        <v>27</v>
      </c>
      <c r="J2768" s="5" t="s">
        <v>945</v>
      </c>
      <c r="K2768" s="6">
        <v>0</v>
      </c>
      <c r="L2768" s="7">
        <v>0</v>
      </c>
      <c r="M2768" s="8">
        <v>3.5999999999999996</v>
      </c>
      <c r="N2768" s="8">
        <v>7.3333333333333339</v>
      </c>
      <c r="O2768" s="8">
        <v>0</v>
      </c>
      <c r="P2768" s="8">
        <v>0</v>
      </c>
      <c r="Q2768" s="8">
        <v>0</v>
      </c>
      <c r="R2768" s="8">
        <v>0</v>
      </c>
      <c r="S2768" s="8">
        <v>0</v>
      </c>
      <c r="T2768" s="5">
        <v>0</v>
      </c>
      <c r="U2768" s="5">
        <v>0</v>
      </c>
      <c r="V2768" s="5">
        <f>VLOOKUP(A2768,Planilha1!B:E,4,0)</f>
        <v>9.2962610783648607</v>
      </c>
    </row>
    <row r="2769" spans="1:22" x14ac:dyDescent="0.3">
      <c r="A2769" t="str">
        <f t="shared" si="86"/>
        <v>LEITE UHTLACTALIS</v>
      </c>
      <c r="B2769" t="str">
        <f t="shared" si="87"/>
        <v>5352914LEITE UHTLACTALIS</v>
      </c>
      <c r="C2769" s="5" t="s">
        <v>226</v>
      </c>
      <c r="D2769" s="5" t="s">
        <v>227</v>
      </c>
      <c r="E2769" s="5" t="s">
        <v>1722</v>
      </c>
      <c r="F2769" s="5">
        <v>5352914</v>
      </c>
      <c r="G2769" s="5" t="s">
        <v>1369</v>
      </c>
      <c r="H2769" s="5" t="s">
        <v>30</v>
      </c>
      <c r="I2769" s="5" t="s">
        <v>22</v>
      </c>
      <c r="J2769" s="5" t="s">
        <v>156</v>
      </c>
      <c r="K2769" s="6">
        <v>0</v>
      </c>
      <c r="L2769" s="7">
        <v>0</v>
      </c>
      <c r="M2769" s="8">
        <v>292</v>
      </c>
      <c r="N2769" s="8">
        <v>296</v>
      </c>
      <c r="O2769" s="8">
        <v>0</v>
      </c>
      <c r="P2769" s="8">
        <v>0</v>
      </c>
      <c r="Q2769" s="8">
        <v>180</v>
      </c>
      <c r="R2769" s="8">
        <v>0</v>
      </c>
      <c r="S2769" s="8">
        <v>0</v>
      </c>
      <c r="T2769" s="5">
        <v>0</v>
      </c>
      <c r="U2769" s="5">
        <v>0</v>
      </c>
      <c r="V2769" s="5">
        <f>VLOOKUP(A2769,Planilha1!B:E,4,0)</f>
        <v>0.37177548115779385</v>
      </c>
    </row>
    <row r="2770" spans="1:22" x14ac:dyDescent="0.3">
      <c r="A2770" t="str">
        <f t="shared" si="86"/>
        <v>SPREADSLACTALIS</v>
      </c>
      <c r="B2770" t="str">
        <f t="shared" si="87"/>
        <v>5353757SPREADSLACTALIS</v>
      </c>
      <c r="C2770" s="5" t="s">
        <v>226</v>
      </c>
      <c r="D2770" s="5" t="s">
        <v>227</v>
      </c>
      <c r="E2770" s="5" t="s">
        <v>1722</v>
      </c>
      <c r="F2770" s="5">
        <v>5353757</v>
      </c>
      <c r="G2770" s="5" t="s">
        <v>555</v>
      </c>
      <c r="H2770" s="5" t="s">
        <v>30</v>
      </c>
      <c r="I2770" s="5" t="s">
        <v>22</v>
      </c>
      <c r="J2770" s="5" t="s">
        <v>945</v>
      </c>
      <c r="K2770" s="6">
        <v>0</v>
      </c>
      <c r="L2770" s="7">
        <v>0</v>
      </c>
      <c r="M2770" s="8">
        <v>12.666666666666666</v>
      </c>
      <c r="N2770" s="8">
        <v>7.333333333333333</v>
      </c>
      <c r="O2770" s="8">
        <v>8.382461512103724</v>
      </c>
      <c r="P2770" s="8">
        <v>0</v>
      </c>
      <c r="Q2770" s="8">
        <v>6</v>
      </c>
      <c r="R2770" s="8">
        <v>0</v>
      </c>
      <c r="S2770" s="8">
        <v>0</v>
      </c>
      <c r="T2770" s="5">
        <v>0</v>
      </c>
      <c r="U2770" s="5">
        <v>0</v>
      </c>
      <c r="V2770" s="5">
        <f>VLOOKUP(A2770,Planilha1!B:E,4,0)</f>
        <v>13.599044988219518</v>
      </c>
    </row>
    <row r="2771" spans="1:22" x14ac:dyDescent="0.3">
      <c r="A2771" t="str">
        <f t="shared" si="86"/>
        <v>LEITE UHTLACTALIS</v>
      </c>
      <c r="B2771" t="str">
        <f t="shared" si="87"/>
        <v>5353769LEITE UHTLACTALIS</v>
      </c>
      <c r="C2771" s="5" t="s">
        <v>226</v>
      </c>
      <c r="D2771" s="5" t="s">
        <v>227</v>
      </c>
      <c r="E2771" s="5" t="s">
        <v>1722</v>
      </c>
      <c r="F2771" s="5">
        <v>5353769</v>
      </c>
      <c r="G2771" s="5" t="s">
        <v>679</v>
      </c>
      <c r="H2771" s="5" t="s">
        <v>30</v>
      </c>
      <c r="I2771" s="5" t="s">
        <v>22</v>
      </c>
      <c r="J2771" s="5" t="s">
        <v>156</v>
      </c>
      <c r="K2771" s="6">
        <v>0</v>
      </c>
      <c r="L2771" s="7">
        <v>0</v>
      </c>
      <c r="M2771" s="8">
        <v>38</v>
      </c>
      <c r="N2771" s="8">
        <v>56</v>
      </c>
      <c r="O2771" s="8">
        <v>0</v>
      </c>
      <c r="P2771" s="8">
        <v>0</v>
      </c>
      <c r="Q2771" s="8">
        <v>36</v>
      </c>
      <c r="R2771" s="8">
        <v>0</v>
      </c>
      <c r="S2771" s="8">
        <v>0</v>
      </c>
      <c r="T2771" s="5">
        <v>0</v>
      </c>
      <c r="U2771" s="5">
        <v>0</v>
      </c>
      <c r="V2771" s="5">
        <f>VLOOKUP(A2771,Planilha1!B:E,4,0)</f>
        <v>0.37177548115779385</v>
      </c>
    </row>
    <row r="2772" spans="1:22" x14ac:dyDescent="0.3">
      <c r="A2772" t="str">
        <f t="shared" si="86"/>
        <v>PARMESÃOLACTALIS</v>
      </c>
      <c r="B2772" t="str">
        <f t="shared" si="87"/>
        <v>5348489PARMESÃOLACTALIS</v>
      </c>
      <c r="C2772" s="5" t="s">
        <v>226</v>
      </c>
      <c r="D2772" s="5" t="s">
        <v>227</v>
      </c>
      <c r="E2772" s="5" t="s">
        <v>1722</v>
      </c>
      <c r="F2772" s="5">
        <v>5348489</v>
      </c>
      <c r="G2772" s="5" t="s">
        <v>1370</v>
      </c>
      <c r="H2772" s="5" t="s">
        <v>30</v>
      </c>
      <c r="I2772" s="5" t="s">
        <v>22</v>
      </c>
      <c r="J2772" s="5" t="s">
        <v>195</v>
      </c>
      <c r="K2772" s="6">
        <v>0</v>
      </c>
      <c r="L2772" s="7">
        <v>0</v>
      </c>
      <c r="M2772" s="8">
        <v>23.433833333333332</v>
      </c>
      <c r="N2772" s="8">
        <v>46.867666666666672</v>
      </c>
      <c r="O2772" s="8">
        <v>0</v>
      </c>
      <c r="P2772" s="8">
        <v>0</v>
      </c>
      <c r="Q2772" s="8">
        <v>0</v>
      </c>
      <c r="R2772" s="8">
        <v>0</v>
      </c>
      <c r="S2772" s="8">
        <v>73</v>
      </c>
      <c r="T2772" s="5">
        <v>73</v>
      </c>
      <c r="U2772" s="5">
        <v>44</v>
      </c>
      <c r="V2772" s="5">
        <f>VLOOKUP(A2772,Planilha1!B:E,4,0)</f>
        <v>6.310326960724681</v>
      </c>
    </row>
    <row r="2773" spans="1:22" x14ac:dyDescent="0.3">
      <c r="A2773" t="str">
        <f t="shared" si="86"/>
        <v>LEITE UHTLACTALIS</v>
      </c>
      <c r="B2773" t="str">
        <f t="shared" si="87"/>
        <v>5348489LEITE UHTLACTALIS</v>
      </c>
      <c r="C2773" s="5" t="s">
        <v>226</v>
      </c>
      <c r="D2773" s="5" t="s">
        <v>227</v>
      </c>
      <c r="E2773" s="5" t="s">
        <v>1722</v>
      </c>
      <c r="F2773" s="5">
        <v>5348489</v>
      </c>
      <c r="G2773" s="5" t="s">
        <v>1370</v>
      </c>
      <c r="H2773" s="5" t="s">
        <v>30</v>
      </c>
      <c r="I2773" s="5" t="s">
        <v>22</v>
      </c>
      <c r="J2773" s="5" t="s">
        <v>156</v>
      </c>
      <c r="K2773" s="6">
        <v>0</v>
      </c>
      <c r="L2773" s="7">
        <v>0</v>
      </c>
      <c r="M2773" s="8">
        <v>4</v>
      </c>
      <c r="N2773" s="8">
        <v>8</v>
      </c>
      <c r="O2773" s="8">
        <v>0</v>
      </c>
      <c r="P2773" s="8">
        <v>0</v>
      </c>
      <c r="Q2773" s="8">
        <v>0</v>
      </c>
      <c r="R2773" s="8">
        <v>0</v>
      </c>
      <c r="S2773" s="8">
        <v>0</v>
      </c>
      <c r="T2773" s="5">
        <v>0</v>
      </c>
      <c r="U2773" s="5">
        <v>0</v>
      </c>
      <c r="V2773" s="5">
        <f>VLOOKUP(A2773,Planilha1!B:E,4,0)</f>
        <v>0.37177548115779385</v>
      </c>
    </row>
    <row r="2774" spans="1:22" x14ac:dyDescent="0.3">
      <c r="A2774" t="str">
        <f t="shared" si="86"/>
        <v>MANTEIGA 5KGLACTALIS</v>
      </c>
      <c r="B2774" t="str">
        <f t="shared" si="87"/>
        <v>5348489MANTEIGA 5KGLACTALIS</v>
      </c>
      <c r="C2774" s="5" t="s">
        <v>226</v>
      </c>
      <c r="D2774" s="5" t="s">
        <v>227</v>
      </c>
      <c r="E2774" s="5" t="s">
        <v>1722</v>
      </c>
      <c r="F2774" s="5">
        <v>5348489</v>
      </c>
      <c r="G2774" s="5" t="s">
        <v>1370</v>
      </c>
      <c r="H2774" s="5" t="s">
        <v>30</v>
      </c>
      <c r="I2774" s="5" t="s">
        <v>22</v>
      </c>
      <c r="J2774" s="5" t="s">
        <v>60</v>
      </c>
      <c r="K2774" s="6">
        <v>0</v>
      </c>
      <c r="L2774" s="7">
        <v>0</v>
      </c>
      <c r="M2774" s="8">
        <v>86.666666666666671</v>
      </c>
      <c r="N2774" s="8">
        <v>173.33333333333334</v>
      </c>
      <c r="O2774" s="8">
        <v>0</v>
      </c>
      <c r="P2774" s="8">
        <v>0</v>
      </c>
      <c r="Q2774" s="8">
        <v>180</v>
      </c>
      <c r="R2774" s="8">
        <v>0</v>
      </c>
      <c r="S2774" s="8">
        <v>210</v>
      </c>
      <c r="T2774" s="5">
        <v>210</v>
      </c>
      <c r="U2774" s="5">
        <v>150</v>
      </c>
      <c r="V2774" s="5">
        <f>VLOOKUP(A2774,Planilha1!B:E,4,0)</f>
        <v>11.476197020267191</v>
      </c>
    </row>
    <row r="2775" spans="1:22" x14ac:dyDescent="0.3">
      <c r="A2775" t="str">
        <f t="shared" si="86"/>
        <v>MANTEIGA 5KGLACTALIS</v>
      </c>
      <c r="B2775" t="str">
        <f t="shared" si="87"/>
        <v>5348593MANTEIGA 5KGLACTALIS</v>
      </c>
      <c r="C2775" s="5" t="s">
        <v>226</v>
      </c>
      <c r="D2775" s="5" t="s">
        <v>227</v>
      </c>
      <c r="E2775" s="5" t="s">
        <v>1722</v>
      </c>
      <c r="F2775" s="5">
        <v>5348593</v>
      </c>
      <c r="G2775" s="5" t="s">
        <v>1371</v>
      </c>
      <c r="H2775" s="5" t="s">
        <v>30</v>
      </c>
      <c r="I2775" s="5" t="s">
        <v>22</v>
      </c>
      <c r="J2775" s="5" t="s">
        <v>60</v>
      </c>
      <c r="K2775" s="6">
        <v>0</v>
      </c>
      <c r="L2775" s="7">
        <v>0</v>
      </c>
      <c r="M2775" s="8">
        <v>11.666666666666668</v>
      </c>
      <c r="N2775" s="8">
        <v>15</v>
      </c>
      <c r="O2775" s="8">
        <v>0</v>
      </c>
      <c r="P2775" s="8">
        <v>0</v>
      </c>
      <c r="Q2775" s="8">
        <v>0</v>
      </c>
      <c r="R2775" s="8">
        <v>0</v>
      </c>
      <c r="S2775" s="8">
        <v>20</v>
      </c>
      <c r="T2775" s="5">
        <v>20</v>
      </c>
      <c r="U2775" s="5">
        <v>20</v>
      </c>
      <c r="V2775" s="5">
        <f>VLOOKUP(A2775,Planilha1!B:E,4,0)</f>
        <v>11.476197020267191</v>
      </c>
    </row>
    <row r="2776" spans="1:22" x14ac:dyDescent="0.3">
      <c r="A2776" t="str">
        <f t="shared" si="86"/>
        <v>DOCE DE LEITEITAMBÉ</v>
      </c>
      <c r="B2776" t="str">
        <f t="shared" si="87"/>
        <v>5353848DOCE DE LEITEITAMBÉ</v>
      </c>
      <c r="C2776" s="5" t="s">
        <v>226</v>
      </c>
      <c r="D2776" s="5" t="s">
        <v>797</v>
      </c>
      <c r="E2776" s="5" t="s">
        <v>812</v>
      </c>
      <c r="F2776" s="5">
        <v>5353848</v>
      </c>
      <c r="G2776" s="5" t="s">
        <v>813</v>
      </c>
      <c r="H2776" s="5" t="s">
        <v>814</v>
      </c>
      <c r="I2776" s="5" t="s">
        <v>27</v>
      </c>
      <c r="J2776" s="5" t="s">
        <v>46</v>
      </c>
      <c r="K2776" s="6">
        <v>0</v>
      </c>
      <c r="L2776" s="7">
        <v>0</v>
      </c>
      <c r="M2776" s="8">
        <v>571.66666666666663</v>
      </c>
      <c r="N2776" s="8">
        <v>840</v>
      </c>
      <c r="O2776" s="8">
        <v>0</v>
      </c>
      <c r="P2776" s="8">
        <v>0</v>
      </c>
      <c r="Q2776" s="8">
        <v>0</v>
      </c>
      <c r="R2776" s="8">
        <v>0</v>
      </c>
      <c r="S2776" s="8">
        <v>0</v>
      </c>
      <c r="T2776" s="5">
        <v>0</v>
      </c>
      <c r="U2776" s="5">
        <v>0</v>
      </c>
      <c r="V2776" s="5">
        <f>VLOOKUP(A2776,Planilha1!B:E,4,0)</f>
        <v>5.8210743907543439</v>
      </c>
    </row>
    <row r="2777" spans="1:22" x14ac:dyDescent="0.3">
      <c r="A2777" t="str">
        <f t="shared" si="86"/>
        <v>DOCE DE LEITELACTALIS</v>
      </c>
      <c r="B2777" t="str">
        <f t="shared" si="87"/>
        <v>5349292DOCE DE LEITELACTALIS</v>
      </c>
      <c r="C2777" s="5" t="s">
        <v>226</v>
      </c>
      <c r="D2777" s="5" t="s">
        <v>227</v>
      </c>
      <c r="E2777" s="5" t="s">
        <v>1722</v>
      </c>
      <c r="F2777" s="5">
        <v>5349292</v>
      </c>
      <c r="G2777" s="5" t="s">
        <v>489</v>
      </c>
      <c r="H2777" s="5" t="s">
        <v>30</v>
      </c>
      <c r="I2777" s="5" t="s">
        <v>22</v>
      </c>
      <c r="J2777" s="5" t="s">
        <v>46</v>
      </c>
      <c r="K2777" s="6">
        <v>0</v>
      </c>
      <c r="L2777" s="7">
        <v>0</v>
      </c>
      <c r="M2777" s="8">
        <v>3.6500000000000004</v>
      </c>
      <c r="N2777" s="8">
        <v>4.5</v>
      </c>
      <c r="O2777" s="8">
        <v>0</v>
      </c>
      <c r="P2777" s="8">
        <v>0</v>
      </c>
      <c r="Q2777" s="8">
        <v>0</v>
      </c>
      <c r="R2777" s="8">
        <v>0</v>
      </c>
      <c r="S2777" s="8">
        <v>9</v>
      </c>
      <c r="T2777" s="5">
        <v>9</v>
      </c>
      <c r="U2777" s="5">
        <v>0</v>
      </c>
      <c r="V2777" s="5">
        <f>VLOOKUP(A2777,Planilha1!B:E,4,0)</f>
        <v>5.6473514327668077</v>
      </c>
    </row>
    <row r="2778" spans="1:22" x14ac:dyDescent="0.3">
      <c r="A2778" t="str">
        <f t="shared" si="86"/>
        <v>IOGURTESLACTALIS</v>
      </c>
      <c r="B2778" t="str">
        <f t="shared" si="87"/>
        <v>5356234IOGURTESLACTALIS</v>
      </c>
      <c r="C2778" s="5" t="s">
        <v>226</v>
      </c>
      <c r="D2778" s="5" t="s">
        <v>227</v>
      </c>
      <c r="E2778" s="5" t="s">
        <v>1722</v>
      </c>
      <c r="F2778" s="5">
        <v>5356234</v>
      </c>
      <c r="G2778" s="5" t="s">
        <v>1372</v>
      </c>
      <c r="H2778" s="5" t="s">
        <v>30</v>
      </c>
      <c r="I2778" s="5" t="s">
        <v>22</v>
      </c>
      <c r="J2778" s="5" t="s">
        <v>153</v>
      </c>
      <c r="K2778" s="6">
        <v>0</v>
      </c>
      <c r="L2778" s="7">
        <v>0</v>
      </c>
      <c r="M2778" s="8">
        <v>82.800000000000011</v>
      </c>
      <c r="N2778" s="8">
        <v>85.6</v>
      </c>
      <c r="O2778" s="8">
        <v>14.753360200432727</v>
      </c>
      <c r="P2778" s="8">
        <v>0</v>
      </c>
      <c r="Q2778" s="8">
        <v>33.6</v>
      </c>
      <c r="R2778" s="8">
        <v>0</v>
      </c>
      <c r="S2778" s="8">
        <v>0</v>
      </c>
      <c r="T2778" s="5">
        <v>0</v>
      </c>
      <c r="U2778" s="5">
        <v>62</v>
      </c>
      <c r="V2778" s="5">
        <f>VLOOKUP(A2778,Planilha1!B:E,4,0)</f>
        <v>3.0503167986984403</v>
      </c>
    </row>
    <row r="2779" spans="1:22" x14ac:dyDescent="0.3">
      <c r="A2779" t="str">
        <f t="shared" si="86"/>
        <v>CREME UHTLACTALIS</v>
      </c>
      <c r="B2779" t="str">
        <f t="shared" si="87"/>
        <v>5349798CREME UHTLACTALIS</v>
      </c>
      <c r="C2779" s="5" t="s">
        <v>226</v>
      </c>
      <c r="D2779" s="5" t="s">
        <v>227</v>
      </c>
      <c r="E2779" s="5" t="s">
        <v>1722</v>
      </c>
      <c r="F2779" s="5">
        <v>5349798</v>
      </c>
      <c r="G2779" s="5" t="s">
        <v>533</v>
      </c>
      <c r="H2779" s="5" t="s">
        <v>30</v>
      </c>
      <c r="I2779" s="5" t="s">
        <v>22</v>
      </c>
      <c r="J2779" s="5" t="s">
        <v>34</v>
      </c>
      <c r="K2779" s="6">
        <v>0</v>
      </c>
      <c r="L2779" s="7">
        <v>0</v>
      </c>
      <c r="M2779" s="8">
        <v>13.499999999999998</v>
      </c>
      <c r="N2779" s="8">
        <v>12.6</v>
      </c>
      <c r="O2779" s="8">
        <v>16.2</v>
      </c>
      <c r="P2779" s="8">
        <v>0</v>
      </c>
      <c r="Q2779" s="8">
        <v>16.2</v>
      </c>
      <c r="R2779" s="8">
        <v>0</v>
      </c>
      <c r="S2779" s="8">
        <v>16</v>
      </c>
      <c r="T2779" s="5">
        <v>16</v>
      </c>
      <c r="U2779" s="5">
        <v>0</v>
      </c>
      <c r="V2779" s="5">
        <f>VLOOKUP(A2779,Planilha1!B:E,4,0)</f>
        <v>-1.4094522863012933</v>
      </c>
    </row>
    <row r="2780" spans="1:22" x14ac:dyDescent="0.3">
      <c r="A2780" t="str">
        <f t="shared" si="86"/>
        <v>IOGURTESLACTALIS</v>
      </c>
      <c r="B2780" t="str">
        <f t="shared" si="87"/>
        <v>5356544IOGURTESLACTALIS</v>
      </c>
      <c r="C2780" s="5" t="s">
        <v>226</v>
      </c>
      <c r="D2780" s="5" t="s">
        <v>227</v>
      </c>
      <c r="E2780" s="5" t="s">
        <v>1722</v>
      </c>
      <c r="F2780" s="5">
        <v>5356544</v>
      </c>
      <c r="G2780" s="5" t="s">
        <v>1373</v>
      </c>
      <c r="H2780" s="5" t="s">
        <v>30</v>
      </c>
      <c r="I2780" s="5" t="s">
        <v>22</v>
      </c>
      <c r="J2780" s="5" t="s">
        <v>153</v>
      </c>
      <c r="K2780" s="6">
        <v>0</v>
      </c>
      <c r="L2780" s="7">
        <v>0</v>
      </c>
      <c r="M2780" s="8">
        <v>28.4</v>
      </c>
      <c r="N2780" s="8">
        <v>30.400000000000002</v>
      </c>
      <c r="O2780" s="8">
        <v>2.6782847795300824</v>
      </c>
      <c r="P2780" s="8">
        <v>0</v>
      </c>
      <c r="Q2780" s="8">
        <v>16.8</v>
      </c>
      <c r="R2780" s="8">
        <v>0</v>
      </c>
      <c r="S2780" s="8">
        <v>0</v>
      </c>
      <c r="T2780" s="5">
        <v>0</v>
      </c>
      <c r="U2780" s="5">
        <v>10</v>
      </c>
      <c r="V2780" s="5">
        <f>VLOOKUP(A2780,Planilha1!B:E,4,0)</f>
        <v>3.0503167986984403</v>
      </c>
    </row>
    <row r="2781" spans="1:22" x14ac:dyDescent="0.3">
      <c r="A2781" t="str">
        <f t="shared" si="86"/>
        <v>LEITE UHTLACTALIS</v>
      </c>
      <c r="B2781" t="str">
        <f t="shared" si="87"/>
        <v>5356800LEITE UHTLACTALIS</v>
      </c>
      <c r="C2781" s="5" t="s">
        <v>226</v>
      </c>
      <c r="D2781" s="5" t="s">
        <v>227</v>
      </c>
      <c r="E2781" s="5" t="s">
        <v>1722</v>
      </c>
      <c r="F2781" s="5">
        <v>5356800</v>
      </c>
      <c r="G2781" s="5" t="s">
        <v>561</v>
      </c>
      <c r="H2781" s="5" t="s">
        <v>30</v>
      </c>
      <c r="I2781" s="5" t="s">
        <v>22</v>
      </c>
      <c r="J2781" s="5" t="s">
        <v>156</v>
      </c>
      <c r="K2781" s="6">
        <v>0</v>
      </c>
      <c r="L2781" s="7">
        <v>0</v>
      </c>
      <c r="M2781" s="8">
        <v>18</v>
      </c>
      <c r="N2781" s="8">
        <v>16</v>
      </c>
      <c r="O2781" s="8">
        <v>0</v>
      </c>
      <c r="P2781" s="8">
        <v>0</v>
      </c>
      <c r="Q2781" s="8">
        <v>0</v>
      </c>
      <c r="R2781" s="8">
        <v>0</v>
      </c>
      <c r="S2781" s="8">
        <v>0</v>
      </c>
      <c r="T2781" s="5">
        <v>0</v>
      </c>
      <c r="U2781" s="5">
        <v>0</v>
      </c>
      <c r="V2781" s="5">
        <f>VLOOKUP(A2781,Planilha1!B:E,4,0)</f>
        <v>0.37177548115779385</v>
      </c>
    </row>
    <row r="2782" spans="1:22" x14ac:dyDescent="0.3">
      <c r="A2782" t="str">
        <f t="shared" si="86"/>
        <v>DOCE DE LEITELACTALIS</v>
      </c>
      <c r="B2782" t="str">
        <f t="shared" si="87"/>
        <v>5351024DOCE DE LEITELACTALIS</v>
      </c>
      <c r="C2782" s="5" t="s">
        <v>226</v>
      </c>
      <c r="D2782" s="5" t="s">
        <v>227</v>
      </c>
      <c r="E2782" s="5" t="s">
        <v>1722</v>
      </c>
      <c r="F2782" s="5">
        <v>5351024</v>
      </c>
      <c r="G2782" s="5" t="s">
        <v>1374</v>
      </c>
      <c r="H2782" s="5" t="s">
        <v>30</v>
      </c>
      <c r="I2782" s="5" t="s">
        <v>22</v>
      </c>
      <c r="J2782" s="5" t="s">
        <v>46</v>
      </c>
      <c r="K2782" s="6">
        <v>0</v>
      </c>
      <c r="L2782" s="7">
        <v>0</v>
      </c>
      <c r="M2782" s="8">
        <v>7.5</v>
      </c>
      <c r="N2782" s="8">
        <v>9</v>
      </c>
      <c r="O2782" s="8">
        <v>0</v>
      </c>
      <c r="P2782" s="8">
        <v>0</v>
      </c>
      <c r="Q2782" s="8">
        <v>18</v>
      </c>
      <c r="R2782" s="8">
        <v>0</v>
      </c>
      <c r="S2782" s="8">
        <v>0</v>
      </c>
      <c r="T2782" s="5">
        <v>0</v>
      </c>
      <c r="U2782" s="5">
        <v>0</v>
      </c>
      <c r="V2782" s="5">
        <f>VLOOKUP(A2782,Planilha1!B:E,4,0)</f>
        <v>5.6473514327668077</v>
      </c>
    </row>
    <row r="2783" spans="1:22" x14ac:dyDescent="0.3">
      <c r="A2783" t="str">
        <f t="shared" si="86"/>
        <v>DOCE DE LEITELACTALIS</v>
      </c>
      <c r="B2783" t="str">
        <f t="shared" si="87"/>
        <v>5351026DOCE DE LEITELACTALIS</v>
      </c>
      <c r="C2783" s="5" t="s">
        <v>226</v>
      </c>
      <c r="D2783" s="5" t="s">
        <v>227</v>
      </c>
      <c r="E2783" s="5" t="s">
        <v>1722</v>
      </c>
      <c r="F2783" s="5">
        <v>5351026</v>
      </c>
      <c r="G2783" s="5" t="s">
        <v>1375</v>
      </c>
      <c r="H2783" s="5" t="s">
        <v>30</v>
      </c>
      <c r="I2783" s="5" t="s">
        <v>22</v>
      </c>
      <c r="J2783" s="5" t="s">
        <v>46</v>
      </c>
      <c r="K2783" s="6">
        <v>0</v>
      </c>
      <c r="L2783" s="7">
        <v>0</v>
      </c>
      <c r="M2783" s="8">
        <v>19</v>
      </c>
      <c r="N2783" s="8">
        <v>21</v>
      </c>
      <c r="O2783" s="8">
        <v>0</v>
      </c>
      <c r="P2783" s="8">
        <v>0</v>
      </c>
      <c r="Q2783" s="8">
        <v>18</v>
      </c>
      <c r="R2783" s="8">
        <v>0</v>
      </c>
      <c r="S2783" s="8">
        <v>0</v>
      </c>
      <c r="T2783" s="5">
        <v>0</v>
      </c>
      <c r="U2783" s="5">
        <v>0</v>
      </c>
      <c r="V2783" s="5">
        <f>VLOOKUP(A2783,Planilha1!B:E,4,0)</f>
        <v>5.6473514327668077</v>
      </c>
    </row>
    <row r="2784" spans="1:22" x14ac:dyDescent="0.3">
      <c r="A2784" t="str">
        <f t="shared" si="86"/>
        <v>LEITE UHTLACTALIS</v>
      </c>
      <c r="B2784" t="str">
        <f t="shared" si="87"/>
        <v>5351315LEITE UHTLACTALIS</v>
      </c>
      <c r="C2784" s="5" t="s">
        <v>226</v>
      </c>
      <c r="D2784" s="5" t="s">
        <v>227</v>
      </c>
      <c r="E2784" s="5" t="s">
        <v>1722</v>
      </c>
      <c r="F2784" s="5">
        <v>5351315</v>
      </c>
      <c r="G2784" s="5" t="s">
        <v>1376</v>
      </c>
      <c r="H2784" s="5" t="s">
        <v>30</v>
      </c>
      <c r="I2784" s="5" t="s">
        <v>22</v>
      </c>
      <c r="J2784" s="5" t="s">
        <v>156</v>
      </c>
      <c r="K2784" s="6">
        <v>0</v>
      </c>
      <c r="L2784" s="7">
        <v>0</v>
      </c>
      <c r="M2784" s="8">
        <v>30</v>
      </c>
      <c r="N2784" s="8">
        <v>20</v>
      </c>
      <c r="O2784" s="8">
        <v>0</v>
      </c>
      <c r="P2784" s="8">
        <v>0</v>
      </c>
      <c r="Q2784" s="8">
        <v>0</v>
      </c>
      <c r="R2784" s="8">
        <v>0</v>
      </c>
      <c r="S2784" s="8">
        <v>0</v>
      </c>
      <c r="T2784" s="5">
        <v>0</v>
      </c>
      <c r="U2784" s="5">
        <v>0</v>
      </c>
      <c r="V2784" s="5">
        <f>VLOOKUP(A2784,Planilha1!B:E,4,0)</f>
        <v>0.37177548115779385</v>
      </c>
    </row>
    <row r="2785" spans="1:22" x14ac:dyDescent="0.3">
      <c r="A2785" t="str">
        <f t="shared" si="86"/>
        <v>LEITE UHTLACTALIS</v>
      </c>
      <c r="B2785" t="str">
        <f t="shared" si="87"/>
        <v>5351379LEITE UHTLACTALIS</v>
      </c>
      <c r="C2785" s="5" t="s">
        <v>226</v>
      </c>
      <c r="D2785" s="5" t="s">
        <v>227</v>
      </c>
      <c r="E2785" s="5" t="s">
        <v>1722</v>
      </c>
      <c r="F2785" s="5">
        <v>5351379</v>
      </c>
      <c r="G2785" s="5" t="s">
        <v>1377</v>
      </c>
      <c r="H2785" s="5" t="s">
        <v>30</v>
      </c>
      <c r="I2785" s="5" t="s">
        <v>22</v>
      </c>
      <c r="J2785" s="5" t="s">
        <v>156</v>
      </c>
      <c r="K2785" s="6">
        <v>0</v>
      </c>
      <c r="L2785" s="7">
        <v>0</v>
      </c>
      <c r="M2785" s="8">
        <v>10</v>
      </c>
      <c r="N2785" s="8">
        <v>20</v>
      </c>
      <c r="O2785" s="8">
        <v>0</v>
      </c>
      <c r="P2785" s="8">
        <v>0</v>
      </c>
      <c r="Q2785" s="8">
        <v>0</v>
      </c>
      <c r="R2785" s="8">
        <v>0</v>
      </c>
      <c r="S2785" s="8">
        <v>0</v>
      </c>
      <c r="T2785" s="5">
        <v>0</v>
      </c>
      <c r="U2785" s="5">
        <v>0</v>
      </c>
      <c r="V2785" s="5">
        <f>VLOOKUP(A2785,Planilha1!B:E,4,0)</f>
        <v>0.37177548115779385</v>
      </c>
    </row>
    <row r="2786" spans="1:22" x14ac:dyDescent="0.3">
      <c r="A2786" t="str">
        <f t="shared" si="86"/>
        <v>SPREADSLACTALIS</v>
      </c>
      <c r="B2786" t="str">
        <f t="shared" si="87"/>
        <v>5351380SPREADSLACTALIS</v>
      </c>
      <c r="C2786" s="5" t="s">
        <v>226</v>
      </c>
      <c r="D2786" s="5" t="s">
        <v>227</v>
      </c>
      <c r="E2786" s="5" t="s">
        <v>1722</v>
      </c>
      <c r="F2786" s="5">
        <v>5351380</v>
      </c>
      <c r="G2786" s="5" t="s">
        <v>491</v>
      </c>
      <c r="H2786" s="5" t="s">
        <v>30</v>
      </c>
      <c r="I2786" s="5" t="s">
        <v>22</v>
      </c>
      <c r="J2786" s="5" t="s">
        <v>945</v>
      </c>
      <c r="K2786" s="6">
        <v>0</v>
      </c>
      <c r="L2786" s="7">
        <v>0</v>
      </c>
      <c r="M2786" s="8">
        <v>3.333333333333333</v>
      </c>
      <c r="N2786" s="8">
        <v>4</v>
      </c>
      <c r="O2786" s="8">
        <v>4.5302902121838624</v>
      </c>
      <c r="P2786" s="8">
        <v>0</v>
      </c>
      <c r="Q2786" s="8">
        <v>0</v>
      </c>
      <c r="R2786" s="8">
        <v>0</v>
      </c>
      <c r="S2786" s="8">
        <v>0</v>
      </c>
      <c r="T2786" s="5">
        <v>0</v>
      </c>
      <c r="U2786" s="5">
        <v>0</v>
      </c>
      <c r="V2786" s="5">
        <f>VLOOKUP(A2786,Planilha1!B:E,4,0)</f>
        <v>13.599044988219518</v>
      </c>
    </row>
    <row r="2787" spans="1:22" x14ac:dyDescent="0.3">
      <c r="A2787" t="str">
        <f t="shared" si="86"/>
        <v>QUEIJOSLACTALIS</v>
      </c>
      <c r="B2787" t="str">
        <f t="shared" si="87"/>
        <v>5351380QUEIJOSLACTALIS</v>
      </c>
      <c r="C2787" s="5" t="s">
        <v>226</v>
      </c>
      <c r="D2787" s="5" t="s">
        <v>227</v>
      </c>
      <c r="E2787" s="5" t="s">
        <v>1722</v>
      </c>
      <c r="F2787" s="5">
        <v>5351380</v>
      </c>
      <c r="G2787" s="5" t="s">
        <v>491</v>
      </c>
      <c r="H2787" s="5" t="s">
        <v>30</v>
      </c>
      <c r="I2787" s="5" t="s">
        <v>22</v>
      </c>
      <c r="J2787" s="5" t="s">
        <v>63</v>
      </c>
      <c r="K2787" s="6">
        <v>0</v>
      </c>
      <c r="L2787" s="7">
        <v>0</v>
      </c>
      <c r="M2787" s="8">
        <v>4.3333333333333339</v>
      </c>
      <c r="N2787" s="8">
        <v>4.666666666666667</v>
      </c>
      <c r="O2787" s="8">
        <v>5.0944395593614749</v>
      </c>
      <c r="P2787" s="8">
        <v>0</v>
      </c>
      <c r="Q2787" s="8">
        <v>0</v>
      </c>
      <c r="R2787" s="8">
        <v>0</v>
      </c>
      <c r="S2787" s="8">
        <v>0</v>
      </c>
      <c r="T2787" s="5">
        <v>0</v>
      </c>
      <c r="U2787" s="5">
        <v>0</v>
      </c>
      <c r="V2787" s="5">
        <f>VLOOKUP(A2787,Planilha1!B:E,4,0)</f>
        <v>-1.9171310037550682</v>
      </c>
    </row>
    <row r="2788" spans="1:22" x14ac:dyDescent="0.3">
      <c r="A2788" t="str">
        <f t="shared" si="86"/>
        <v>CREME UHTLACTALIS</v>
      </c>
      <c r="B2788" t="str">
        <f t="shared" si="87"/>
        <v>5352384CREME UHTLACTALIS</v>
      </c>
      <c r="C2788" s="5" t="s">
        <v>226</v>
      </c>
      <c r="D2788" s="5" t="s">
        <v>227</v>
      </c>
      <c r="E2788" s="5" t="s">
        <v>1722</v>
      </c>
      <c r="F2788" s="5">
        <v>5352384</v>
      </c>
      <c r="G2788" s="5" t="s">
        <v>545</v>
      </c>
      <c r="H2788" s="5" t="s">
        <v>30</v>
      </c>
      <c r="I2788" s="5" t="s">
        <v>22</v>
      </c>
      <c r="J2788" s="5" t="s">
        <v>34</v>
      </c>
      <c r="K2788" s="6">
        <v>0</v>
      </c>
      <c r="L2788" s="7">
        <v>0</v>
      </c>
      <c r="M2788" s="8">
        <v>4.5</v>
      </c>
      <c r="N2788" s="8">
        <v>3.6</v>
      </c>
      <c r="O2788" s="8">
        <v>10.8</v>
      </c>
      <c r="P2788" s="8">
        <v>0</v>
      </c>
      <c r="Q2788" s="8">
        <v>0</v>
      </c>
      <c r="R2788" s="8">
        <v>0</v>
      </c>
      <c r="S2788" s="8">
        <v>0</v>
      </c>
      <c r="T2788" s="5">
        <v>0</v>
      </c>
      <c r="U2788" s="5">
        <v>0</v>
      </c>
      <c r="V2788" s="5">
        <f>VLOOKUP(A2788,Planilha1!B:E,4,0)</f>
        <v>-1.4094522863012933</v>
      </c>
    </row>
    <row r="2789" spans="1:22" x14ac:dyDescent="0.3">
      <c r="A2789" t="str">
        <f t="shared" si="86"/>
        <v>IOGURTESLACTALIS</v>
      </c>
      <c r="B2789" t="str">
        <f t="shared" si="87"/>
        <v>5352384IOGURTESLACTALIS</v>
      </c>
      <c r="C2789" s="5" t="s">
        <v>226</v>
      </c>
      <c r="D2789" s="5" t="s">
        <v>227</v>
      </c>
      <c r="E2789" s="5" t="s">
        <v>1722</v>
      </c>
      <c r="F2789" s="5">
        <v>5352384</v>
      </c>
      <c r="G2789" s="5" t="s">
        <v>545</v>
      </c>
      <c r="H2789" s="5" t="s">
        <v>30</v>
      </c>
      <c r="I2789" s="5" t="s">
        <v>22</v>
      </c>
      <c r="J2789" s="5" t="s">
        <v>153</v>
      </c>
      <c r="K2789" s="6">
        <v>0</v>
      </c>
      <c r="L2789" s="7">
        <v>0</v>
      </c>
      <c r="M2789" s="8">
        <v>2.04</v>
      </c>
      <c r="N2789" s="8">
        <v>1.36</v>
      </c>
      <c r="O2789" s="8">
        <v>1.1453941291181839</v>
      </c>
      <c r="P2789" s="8">
        <v>0</v>
      </c>
      <c r="Q2789" s="8">
        <v>4.4800000000000004</v>
      </c>
      <c r="R2789" s="8">
        <v>0</v>
      </c>
      <c r="S2789" s="8">
        <v>0</v>
      </c>
      <c r="T2789" s="5">
        <v>0</v>
      </c>
      <c r="U2789" s="5">
        <v>0</v>
      </c>
      <c r="V2789" s="5">
        <f>VLOOKUP(A2789,Planilha1!B:E,4,0)</f>
        <v>3.0503167986984403</v>
      </c>
    </row>
    <row r="2790" spans="1:22" x14ac:dyDescent="0.3">
      <c r="A2790" t="str">
        <f t="shared" si="86"/>
        <v>SPREADSLACTALIS</v>
      </c>
      <c r="B2790" t="str">
        <f t="shared" si="87"/>
        <v>5352384SPREADSLACTALIS</v>
      </c>
      <c r="C2790" s="5" t="s">
        <v>226</v>
      </c>
      <c r="D2790" s="5" t="s">
        <v>227</v>
      </c>
      <c r="E2790" s="5" t="s">
        <v>1722</v>
      </c>
      <c r="F2790" s="5">
        <v>5352384</v>
      </c>
      <c r="G2790" s="5" t="s">
        <v>545</v>
      </c>
      <c r="H2790" s="5" t="s">
        <v>30</v>
      </c>
      <c r="I2790" s="5" t="s">
        <v>22</v>
      </c>
      <c r="J2790" s="5" t="s">
        <v>945</v>
      </c>
      <c r="K2790" s="6">
        <v>0</v>
      </c>
      <c r="L2790" s="7">
        <v>0</v>
      </c>
      <c r="M2790" s="8">
        <v>0.66666666666666663</v>
      </c>
      <c r="N2790" s="8">
        <v>1.3333333333333333</v>
      </c>
      <c r="O2790" s="8">
        <v>0</v>
      </c>
      <c r="P2790" s="8">
        <v>0</v>
      </c>
      <c r="Q2790" s="8">
        <v>0</v>
      </c>
      <c r="R2790" s="8">
        <v>0</v>
      </c>
      <c r="S2790" s="8">
        <v>0</v>
      </c>
      <c r="T2790" s="5">
        <v>0</v>
      </c>
      <c r="U2790" s="5">
        <v>0</v>
      </c>
      <c r="V2790" s="5">
        <f>VLOOKUP(A2790,Planilha1!B:E,4,0)</f>
        <v>13.599044988219518</v>
      </c>
    </row>
    <row r="2791" spans="1:22" x14ac:dyDescent="0.3">
      <c r="A2791" t="str">
        <f t="shared" si="86"/>
        <v>LEITE CONDENSADOLACTALIS</v>
      </c>
      <c r="B2791" t="str">
        <f t="shared" si="87"/>
        <v>5352384LEITE CONDENSADOLACTALIS</v>
      </c>
      <c r="C2791" s="5" t="s">
        <v>226</v>
      </c>
      <c r="D2791" s="5" t="s">
        <v>227</v>
      </c>
      <c r="E2791" s="5" t="s">
        <v>1722</v>
      </c>
      <c r="F2791" s="5">
        <v>5352384</v>
      </c>
      <c r="G2791" s="5" t="s">
        <v>545</v>
      </c>
      <c r="H2791" s="5" t="s">
        <v>30</v>
      </c>
      <c r="I2791" s="5" t="s">
        <v>22</v>
      </c>
      <c r="J2791" s="5" t="s">
        <v>33</v>
      </c>
      <c r="K2791" s="6">
        <v>0</v>
      </c>
      <c r="L2791" s="7">
        <v>0</v>
      </c>
      <c r="M2791" s="8">
        <v>11.06</v>
      </c>
      <c r="N2791" s="8">
        <v>6.32</v>
      </c>
      <c r="O2791" s="8">
        <v>18.96</v>
      </c>
      <c r="P2791" s="8">
        <v>0</v>
      </c>
      <c r="Q2791" s="8">
        <v>0</v>
      </c>
      <c r="R2791" s="8">
        <v>0</v>
      </c>
      <c r="S2791" s="8">
        <v>19</v>
      </c>
      <c r="T2791" s="5">
        <v>19</v>
      </c>
      <c r="U2791" s="5">
        <v>19</v>
      </c>
      <c r="V2791" s="5">
        <f>VLOOKUP(A2791,Planilha1!B:E,4,0)</f>
        <v>1.8665071822970765</v>
      </c>
    </row>
    <row r="2792" spans="1:22" x14ac:dyDescent="0.3">
      <c r="A2792" t="str">
        <f t="shared" si="86"/>
        <v>IOGURTESLACTALIS</v>
      </c>
      <c r="B2792" t="str">
        <f t="shared" si="87"/>
        <v>5352467IOGURTESLACTALIS</v>
      </c>
      <c r="C2792" s="5" t="s">
        <v>226</v>
      </c>
      <c r="D2792" s="5" t="s">
        <v>227</v>
      </c>
      <c r="E2792" s="5" t="s">
        <v>1722</v>
      </c>
      <c r="F2792" s="5">
        <v>5352467</v>
      </c>
      <c r="G2792" s="5" t="s">
        <v>1378</v>
      </c>
      <c r="H2792" s="5" t="s">
        <v>30</v>
      </c>
      <c r="I2792" s="5" t="s">
        <v>22</v>
      </c>
      <c r="J2792" s="5" t="s">
        <v>153</v>
      </c>
      <c r="K2792" s="6">
        <v>0</v>
      </c>
      <c r="L2792" s="7">
        <v>0</v>
      </c>
      <c r="M2792" s="8">
        <v>22.5</v>
      </c>
      <c r="N2792" s="8">
        <v>19.8</v>
      </c>
      <c r="O2792" s="8">
        <v>15.095268895691888</v>
      </c>
      <c r="P2792" s="8">
        <v>0</v>
      </c>
      <c r="Q2792" s="8">
        <v>16.2</v>
      </c>
      <c r="R2792" s="8">
        <v>0</v>
      </c>
      <c r="S2792" s="8">
        <v>0</v>
      </c>
      <c r="T2792" s="5">
        <v>0</v>
      </c>
      <c r="U2792" s="5">
        <v>0</v>
      </c>
      <c r="V2792" s="5">
        <f>VLOOKUP(A2792,Planilha1!B:E,4,0)</f>
        <v>3.0503167986984403</v>
      </c>
    </row>
    <row r="2793" spans="1:22" x14ac:dyDescent="0.3">
      <c r="A2793" t="str">
        <f t="shared" si="86"/>
        <v>IOGURTESLACTALIS</v>
      </c>
      <c r="B2793" t="str">
        <f t="shared" si="87"/>
        <v>5352468IOGURTESLACTALIS</v>
      </c>
      <c r="C2793" s="5" t="s">
        <v>226</v>
      </c>
      <c r="D2793" s="5" t="s">
        <v>227</v>
      </c>
      <c r="E2793" s="5" t="s">
        <v>1722</v>
      </c>
      <c r="F2793" s="5">
        <v>5352468</v>
      </c>
      <c r="G2793" s="5" t="s">
        <v>1379</v>
      </c>
      <c r="H2793" s="5" t="s">
        <v>30</v>
      </c>
      <c r="I2793" s="5" t="s">
        <v>22</v>
      </c>
      <c r="J2793" s="5" t="s">
        <v>153</v>
      </c>
      <c r="K2793" s="6">
        <v>0</v>
      </c>
      <c r="L2793" s="7">
        <v>0</v>
      </c>
      <c r="M2793" s="8">
        <v>29.699999999999996</v>
      </c>
      <c r="N2793" s="8">
        <v>27</v>
      </c>
      <c r="O2793" s="8">
        <v>9.0605804243677248</v>
      </c>
      <c r="P2793" s="8">
        <v>0</v>
      </c>
      <c r="Q2793" s="8">
        <v>16.2</v>
      </c>
      <c r="R2793" s="8">
        <v>0</v>
      </c>
      <c r="S2793" s="8">
        <v>0</v>
      </c>
      <c r="T2793" s="5">
        <v>0</v>
      </c>
      <c r="U2793" s="5">
        <v>0</v>
      </c>
      <c r="V2793" s="5">
        <f>VLOOKUP(A2793,Planilha1!B:E,4,0)</f>
        <v>3.0503167986984403</v>
      </c>
    </row>
    <row r="2794" spans="1:22" x14ac:dyDescent="0.3">
      <c r="A2794" t="str">
        <f t="shared" si="86"/>
        <v>IOGURTESLACTALIS</v>
      </c>
      <c r="B2794" t="str">
        <f t="shared" si="87"/>
        <v>5352570IOGURTESLACTALIS</v>
      </c>
      <c r="C2794" s="5" t="s">
        <v>226</v>
      </c>
      <c r="D2794" s="5" t="s">
        <v>227</v>
      </c>
      <c r="E2794" s="5" t="s">
        <v>1722</v>
      </c>
      <c r="F2794" s="5">
        <v>5352570</v>
      </c>
      <c r="G2794" s="5" t="s">
        <v>1380</v>
      </c>
      <c r="H2794" s="5" t="s">
        <v>30</v>
      </c>
      <c r="I2794" s="5" t="s">
        <v>22</v>
      </c>
      <c r="J2794" s="5" t="s">
        <v>153</v>
      </c>
      <c r="K2794" s="6">
        <v>0</v>
      </c>
      <c r="L2794" s="7">
        <v>0</v>
      </c>
      <c r="M2794" s="8">
        <v>18</v>
      </c>
      <c r="N2794" s="8">
        <v>18</v>
      </c>
      <c r="O2794" s="8">
        <v>13.585172158297267</v>
      </c>
      <c r="P2794" s="8">
        <v>0</v>
      </c>
      <c r="Q2794" s="8">
        <v>10.8</v>
      </c>
      <c r="R2794" s="8">
        <v>0</v>
      </c>
      <c r="S2794" s="8">
        <v>0</v>
      </c>
      <c r="T2794" s="5">
        <v>0</v>
      </c>
      <c r="U2794" s="5">
        <v>0</v>
      </c>
      <c r="V2794" s="5">
        <f>VLOOKUP(A2794,Planilha1!B:E,4,0)</f>
        <v>3.0503167986984403</v>
      </c>
    </row>
    <row r="2795" spans="1:22" x14ac:dyDescent="0.3">
      <c r="A2795" t="str">
        <f t="shared" si="86"/>
        <v>IOGURTESLACTALIS</v>
      </c>
      <c r="B2795" t="str">
        <f t="shared" si="87"/>
        <v>5352573IOGURTESLACTALIS</v>
      </c>
      <c r="C2795" s="5" t="s">
        <v>226</v>
      </c>
      <c r="D2795" s="5" t="s">
        <v>227</v>
      </c>
      <c r="E2795" s="5" t="s">
        <v>1722</v>
      </c>
      <c r="F2795" s="5">
        <v>5352573</v>
      </c>
      <c r="G2795" s="5" t="s">
        <v>1381</v>
      </c>
      <c r="H2795" s="5" t="s">
        <v>30</v>
      </c>
      <c r="I2795" s="5" t="s">
        <v>22</v>
      </c>
      <c r="J2795" s="5" t="s">
        <v>153</v>
      </c>
      <c r="K2795" s="6">
        <v>0</v>
      </c>
      <c r="L2795" s="7">
        <v>0</v>
      </c>
      <c r="M2795" s="8">
        <v>18.899999999999999</v>
      </c>
      <c r="N2795" s="8">
        <v>18</v>
      </c>
      <c r="O2795" s="8">
        <v>19.619860629621432</v>
      </c>
      <c r="P2795" s="8">
        <v>0</v>
      </c>
      <c r="Q2795" s="8">
        <v>10.8</v>
      </c>
      <c r="R2795" s="8">
        <v>0</v>
      </c>
      <c r="S2795" s="8">
        <v>0</v>
      </c>
      <c r="T2795" s="5">
        <v>0</v>
      </c>
      <c r="U2795" s="5">
        <v>0</v>
      </c>
      <c r="V2795" s="5">
        <f>VLOOKUP(A2795,Planilha1!B:E,4,0)</f>
        <v>3.0503167986984403</v>
      </c>
    </row>
    <row r="2796" spans="1:22" x14ac:dyDescent="0.3">
      <c r="A2796" t="str">
        <f t="shared" si="86"/>
        <v>LEITE EM PÓLACTALIS</v>
      </c>
      <c r="B2796" t="str">
        <f t="shared" si="87"/>
        <v>5352824LEITE EM PÓLACTALIS</v>
      </c>
      <c r="C2796" s="5" t="s">
        <v>226</v>
      </c>
      <c r="D2796" s="5" t="s">
        <v>227</v>
      </c>
      <c r="E2796" s="5" t="s">
        <v>1722</v>
      </c>
      <c r="F2796" s="5">
        <v>5352824</v>
      </c>
      <c r="G2796" s="5" t="s">
        <v>1382</v>
      </c>
      <c r="H2796" s="5" t="s">
        <v>30</v>
      </c>
      <c r="I2796" s="5" t="s">
        <v>22</v>
      </c>
      <c r="J2796" s="5" t="s">
        <v>84</v>
      </c>
      <c r="K2796" s="6">
        <v>0</v>
      </c>
      <c r="L2796" s="7">
        <v>0</v>
      </c>
      <c r="M2796" s="8">
        <v>3.166666666666667</v>
      </c>
      <c r="N2796" s="8">
        <v>3</v>
      </c>
      <c r="O2796" s="8">
        <v>5.3109817330256099</v>
      </c>
      <c r="P2796" s="8">
        <v>0</v>
      </c>
      <c r="Q2796" s="8">
        <v>10</v>
      </c>
      <c r="R2796" s="8">
        <v>0</v>
      </c>
      <c r="S2796" s="8">
        <v>0</v>
      </c>
      <c r="T2796" s="5">
        <v>0</v>
      </c>
      <c r="U2796" s="5">
        <v>0</v>
      </c>
      <c r="V2796" s="5">
        <f>VLOOKUP(A2796,Planilha1!B:E,4,0)</f>
        <v>-2.8055507108797499</v>
      </c>
    </row>
    <row r="2797" spans="1:22" x14ac:dyDescent="0.3">
      <c r="A2797" t="str">
        <f t="shared" si="86"/>
        <v>LEITE CONDENSADOLACTALIS</v>
      </c>
      <c r="B2797" t="str">
        <f t="shared" si="87"/>
        <v>5352824LEITE CONDENSADOLACTALIS</v>
      </c>
      <c r="C2797" s="5" t="s">
        <v>226</v>
      </c>
      <c r="D2797" s="5" t="s">
        <v>227</v>
      </c>
      <c r="E2797" s="5" t="s">
        <v>1722</v>
      </c>
      <c r="F2797" s="5">
        <v>5352824</v>
      </c>
      <c r="G2797" s="5" t="s">
        <v>1382</v>
      </c>
      <c r="H2797" s="5" t="s">
        <v>30</v>
      </c>
      <c r="I2797" s="5" t="s">
        <v>22</v>
      </c>
      <c r="J2797" s="5" t="s">
        <v>33</v>
      </c>
      <c r="K2797" s="6">
        <v>0</v>
      </c>
      <c r="L2797" s="7">
        <v>0</v>
      </c>
      <c r="M2797" s="8">
        <v>9.48</v>
      </c>
      <c r="N2797" s="8">
        <v>6.32</v>
      </c>
      <c r="O2797" s="8">
        <v>18.96</v>
      </c>
      <c r="P2797" s="8">
        <v>0</v>
      </c>
      <c r="Q2797" s="8">
        <v>0</v>
      </c>
      <c r="R2797" s="8">
        <v>0</v>
      </c>
      <c r="S2797" s="8">
        <v>0</v>
      </c>
      <c r="T2797" s="5">
        <v>19</v>
      </c>
      <c r="U2797" s="5">
        <v>0</v>
      </c>
      <c r="V2797" s="5">
        <f>VLOOKUP(A2797,Planilha1!B:E,4,0)</f>
        <v>1.8665071822970765</v>
      </c>
    </row>
    <row r="2798" spans="1:22" x14ac:dyDescent="0.3">
      <c r="A2798" t="str">
        <f t="shared" si="86"/>
        <v>CREME UHTITAMBÉ</v>
      </c>
      <c r="B2798" t="str">
        <f t="shared" si="87"/>
        <v>5357324CREME UHTITAMBÉ</v>
      </c>
      <c r="C2798" s="5" t="s">
        <v>226</v>
      </c>
      <c r="D2798" s="5" t="s">
        <v>797</v>
      </c>
      <c r="E2798" s="5" t="s">
        <v>753</v>
      </c>
      <c r="F2798" s="5">
        <v>5357324</v>
      </c>
      <c r="G2798" s="5" t="s">
        <v>1227</v>
      </c>
      <c r="H2798" s="5" t="s">
        <v>1228</v>
      </c>
      <c r="I2798" s="5" t="s">
        <v>27</v>
      </c>
      <c r="J2798" s="5" t="s">
        <v>34</v>
      </c>
      <c r="K2798" s="6">
        <v>0</v>
      </c>
      <c r="L2798" s="7">
        <v>0</v>
      </c>
      <c r="M2798" s="8">
        <v>352.19833333333332</v>
      </c>
      <c r="N2798" s="8">
        <v>704.33333333333326</v>
      </c>
      <c r="O2798" s="8">
        <v>0</v>
      </c>
      <c r="P2798" s="8">
        <v>0</v>
      </c>
      <c r="Q2798" s="8">
        <v>0</v>
      </c>
      <c r="R2798" s="8">
        <v>0</v>
      </c>
      <c r="S2798" s="8">
        <v>1000</v>
      </c>
      <c r="T2798" s="5">
        <v>1000</v>
      </c>
      <c r="U2798" s="5">
        <v>0</v>
      </c>
      <c r="V2798" s="5">
        <f>VLOOKUP(A2798,Planilha1!B:E,4,0)</f>
        <v>1.2362540170747773</v>
      </c>
    </row>
    <row r="2799" spans="1:22" x14ac:dyDescent="0.3">
      <c r="A2799" t="str">
        <f t="shared" si="86"/>
        <v>LEITE CONDENSADOLACTALIS</v>
      </c>
      <c r="B2799" t="str">
        <f t="shared" si="87"/>
        <v>5353525LEITE CONDENSADOLACTALIS</v>
      </c>
      <c r="C2799" s="5" t="s">
        <v>226</v>
      </c>
      <c r="D2799" s="5" t="s">
        <v>227</v>
      </c>
      <c r="E2799" s="5" t="s">
        <v>1722</v>
      </c>
      <c r="F2799" s="5">
        <v>5353525</v>
      </c>
      <c r="G2799" s="5" t="s">
        <v>495</v>
      </c>
      <c r="H2799" s="5" t="s">
        <v>30</v>
      </c>
      <c r="I2799" s="5" t="s">
        <v>22</v>
      </c>
      <c r="J2799" s="5" t="s">
        <v>33</v>
      </c>
      <c r="K2799" s="6">
        <v>0</v>
      </c>
      <c r="L2799" s="7">
        <v>0</v>
      </c>
      <c r="M2799" s="8">
        <v>39.5</v>
      </c>
      <c r="N2799" s="8">
        <v>79</v>
      </c>
      <c r="O2799" s="8">
        <v>189.6</v>
      </c>
      <c r="P2799" s="8">
        <v>0</v>
      </c>
      <c r="Q2799" s="8">
        <v>94.8</v>
      </c>
      <c r="R2799" s="8">
        <v>0</v>
      </c>
      <c r="S2799" s="8">
        <v>95</v>
      </c>
      <c r="T2799" s="5">
        <v>200</v>
      </c>
      <c r="U2799" s="5">
        <v>95</v>
      </c>
      <c r="V2799" s="5">
        <f>VLOOKUP(A2799,Planilha1!B:E,4,0)</f>
        <v>1.8665071822970765</v>
      </c>
    </row>
    <row r="2800" spans="1:22" x14ac:dyDescent="0.3">
      <c r="A2800" t="str">
        <f t="shared" si="86"/>
        <v>IOGURTESLACTALIS</v>
      </c>
      <c r="B2800" t="str">
        <f t="shared" si="87"/>
        <v>5353664IOGURTESLACTALIS</v>
      </c>
      <c r="C2800" s="5" t="s">
        <v>226</v>
      </c>
      <c r="D2800" s="5" t="s">
        <v>227</v>
      </c>
      <c r="E2800" s="5" t="s">
        <v>1722</v>
      </c>
      <c r="F2800" s="5">
        <v>5353664</v>
      </c>
      <c r="G2800" s="5" t="s">
        <v>552</v>
      </c>
      <c r="H2800" s="5" t="s">
        <v>30</v>
      </c>
      <c r="I2800" s="5" t="s">
        <v>22</v>
      </c>
      <c r="J2800" s="5" t="s">
        <v>153</v>
      </c>
      <c r="K2800" s="6">
        <v>0</v>
      </c>
      <c r="L2800" s="7">
        <v>0</v>
      </c>
      <c r="M2800" s="8">
        <v>8.9999999999999982</v>
      </c>
      <c r="N2800" s="8">
        <v>16.2</v>
      </c>
      <c r="O2800" s="8">
        <v>6.0346884713241637</v>
      </c>
      <c r="P2800" s="8">
        <v>0</v>
      </c>
      <c r="Q2800" s="8">
        <v>10.8</v>
      </c>
      <c r="R2800" s="8">
        <v>0</v>
      </c>
      <c r="S2800" s="8">
        <v>0</v>
      </c>
      <c r="T2800" s="5">
        <v>0</v>
      </c>
      <c r="U2800" s="5">
        <v>0</v>
      </c>
      <c r="V2800" s="5">
        <f>VLOOKUP(A2800,Planilha1!B:E,4,0)</f>
        <v>3.0503167986984403</v>
      </c>
    </row>
    <row r="2801" spans="1:22" x14ac:dyDescent="0.3">
      <c r="A2801" t="str">
        <f t="shared" si="86"/>
        <v>MERC + AROMLACTALIS</v>
      </c>
      <c r="B2801" t="str">
        <f t="shared" si="87"/>
        <v>5353717MERC + AROMLACTALIS</v>
      </c>
      <c r="C2801" s="5" t="s">
        <v>226</v>
      </c>
      <c r="D2801" s="5" t="s">
        <v>227</v>
      </c>
      <c r="E2801" s="5" t="s">
        <v>1722</v>
      </c>
      <c r="F2801" s="5">
        <v>5353717</v>
      </c>
      <c r="G2801" s="5" t="s">
        <v>554</v>
      </c>
      <c r="H2801" s="5" t="s">
        <v>30</v>
      </c>
      <c r="I2801" s="5" t="s">
        <v>22</v>
      </c>
      <c r="J2801" s="5" t="s">
        <v>230</v>
      </c>
      <c r="K2801" s="6">
        <v>0</v>
      </c>
      <c r="L2801" s="7">
        <v>0</v>
      </c>
      <c r="M2801" s="8">
        <v>1</v>
      </c>
      <c r="N2801" s="8">
        <v>1</v>
      </c>
      <c r="O2801" s="8">
        <v>1.6753526067698812</v>
      </c>
      <c r="P2801" s="8">
        <v>0</v>
      </c>
      <c r="Q2801" s="8">
        <v>0</v>
      </c>
      <c r="R2801" s="8">
        <v>0</v>
      </c>
      <c r="S2801" s="8">
        <v>0</v>
      </c>
      <c r="T2801" s="5">
        <v>0</v>
      </c>
      <c r="U2801" s="5">
        <v>0</v>
      </c>
      <c r="V2801" s="5">
        <f>VLOOKUP(A2801,Planilha1!B:E,4,0)</f>
        <v>0.86907188046232187</v>
      </c>
    </row>
    <row r="2802" spans="1:22" x14ac:dyDescent="0.3">
      <c r="A2802" t="str">
        <f t="shared" si="86"/>
        <v>BLISTERLACTALIS</v>
      </c>
      <c r="B2802" t="str">
        <f t="shared" si="87"/>
        <v>5353769BLISTERLACTALIS</v>
      </c>
      <c r="C2802" s="5" t="s">
        <v>226</v>
      </c>
      <c r="D2802" s="5" t="s">
        <v>227</v>
      </c>
      <c r="E2802" s="5" t="s">
        <v>1722</v>
      </c>
      <c r="F2802" s="5">
        <v>5353769</v>
      </c>
      <c r="G2802" s="5" t="s">
        <v>679</v>
      </c>
      <c r="H2802" s="5" t="s">
        <v>30</v>
      </c>
      <c r="I2802" s="5" t="s">
        <v>22</v>
      </c>
      <c r="J2802" s="5" t="s">
        <v>199</v>
      </c>
      <c r="K2802" s="6">
        <v>0</v>
      </c>
      <c r="L2802" s="7">
        <v>0</v>
      </c>
      <c r="M2802" s="8">
        <v>0.64</v>
      </c>
      <c r="N2802" s="8">
        <v>0.64</v>
      </c>
      <c r="O2802" s="8">
        <v>0</v>
      </c>
      <c r="P2802" s="8">
        <v>0</v>
      </c>
      <c r="Q2802" s="8">
        <v>1.92</v>
      </c>
      <c r="R2802" s="8">
        <v>0</v>
      </c>
      <c r="S2802" s="8">
        <v>0</v>
      </c>
      <c r="T2802" s="5">
        <v>0</v>
      </c>
      <c r="U2802" s="5">
        <v>0</v>
      </c>
      <c r="V2802" s="5">
        <f>VLOOKUP(A2802,Planilha1!B:E,4,0)</f>
        <v>13.783871706210666</v>
      </c>
    </row>
    <row r="2803" spans="1:22" x14ac:dyDescent="0.3">
      <c r="A2803" t="str">
        <f t="shared" si="86"/>
        <v>QUEIJOSLACTALIS</v>
      </c>
      <c r="B2803" t="str">
        <f t="shared" si="87"/>
        <v>5354456QUEIJOSLACTALIS</v>
      </c>
      <c r="C2803" s="5" t="s">
        <v>226</v>
      </c>
      <c r="D2803" s="5" t="s">
        <v>227</v>
      </c>
      <c r="E2803" s="5" t="s">
        <v>1722</v>
      </c>
      <c r="F2803" s="5">
        <v>5354456</v>
      </c>
      <c r="G2803" s="5" t="s">
        <v>377</v>
      </c>
      <c r="H2803" s="5" t="s">
        <v>30</v>
      </c>
      <c r="I2803" s="5" t="s">
        <v>22</v>
      </c>
      <c r="J2803" s="5" t="s">
        <v>63</v>
      </c>
      <c r="K2803" s="6">
        <v>0</v>
      </c>
      <c r="L2803" s="7">
        <v>0</v>
      </c>
      <c r="M2803" s="8">
        <v>19.221666666666664</v>
      </c>
      <c r="N2803" s="8">
        <v>19.54</v>
      </c>
      <c r="O2803" s="8">
        <v>6.764093687877037</v>
      </c>
      <c r="P2803" s="8">
        <v>0</v>
      </c>
      <c r="Q2803" s="8">
        <v>0</v>
      </c>
      <c r="R2803" s="8">
        <v>0</v>
      </c>
      <c r="S2803" s="8">
        <v>0</v>
      </c>
      <c r="T2803" s="5">
        <v>0</v>
      </c>
      <c r="U2803" s="5">
        <v>0</v>
      </c>
      <c r="V2803" s="5">
        <f>VLOOKUP(A2803,Planilha1!B:E,4,0)</f>
        <v>-1.9171310037550682</v>
      </c>
    </row>
    <row r="2804" spans="1:22" x14ac:dyDescent="0.3">
      <c r="A2804" t="str">
        <f t="shared" si="86"/>
        <v>LEITE UHTLACTALIS</v>
      </c>
      <c r="B2804" t="str">
        <f t="shared" si="87"/>
        <v>5355473LEITE UHTLACTALIS</v>
      </c>
      <c r="C2804" s="5" t="s">
        <v>226</v>
      </c>
      <c r="D2804" s="5" t="s">
        <v>227</v>
      </c>
      <c r="E2804" s="5" t="s">
        <v>1722</v>
      </c>
      <c r="F2804" s="5">
        <v>5355473</v>
      </c>
      <c r="G2804" s="5" t="s">
        <v>1383</v>
      </c>
      <c r="H2804" s="5" t="s">
        <v>30</v>
      </c>
      <c r="I2804" s="5" t="s">
        <v>22</v>
      </c>
      <c r="J2804" s="5" t="s">
        <v>156</v>
      </c>
      <c r="K2804" s="6">
        <v>0</v>
      </c>
      <c r="L2804" s="7">
        <v>0</v>
      </c>
      <c r="M2804" s="8">
        <v>42</v>
      </c>
      <c r="N2804" s="8">
        <v>60</v>
      </c>
      <c r="O2804" s="8">
        <v>0</v>
      </c>
      <c r="P2804" s="8">
        <v>0</v>
      </c>
      <c r="Q2804" s="8">
        <v>0</v>
      </c>
      <c r="R2804" s="8">
        <v>0</v>
      </c>
      <c r="S2804" s="8">
        <v>0</v>
      </c>
      <c r="T2804" s="5">
        <v>0</v>
      </c>
      <c r="U2804" s="5">
        <v>0</v>
      </c>
      <c r="V2804" s="5">
        <f>VLOOKUP(A2804,Planilha1!B:E,4,0)</f>
        <v>0.37177548115779385</v>
      </c>
    </row>
    <row r="2805" spans="1:22" x14ac:dyDescent="0.3">
      <c r="A2805" t="str">
        <f t="shared" si="86"/>
        <v>SPREADSLACTALIS</v>
      </c>
      <c r="B2805" t="str">
        <f t="shared" si="87"/>
        <v>5355771SPREADSLACTALIS</v>
      </c>
      <c r="C2805" s="5" t="s">
        <v>226</v>
      </c>
      <c r="D2805" s="5" t="s">
        <v>227</v>
      </c>
      <c r="E2805" s="5" t="s">
        <v>1722</v>
      </c>
      <c r="F2805" s="5">
        <v>5355771</v>
      </c>
      <c r="G2805" s="5" t="s">
        <v>1384</v>
      </c>
      <c r="H2805" s="5" t="s">
        <v>30</v>
      </c>
      <c r="I2805" s="5" t="s">
        <v>22</v>
      </c>
      <c r="J2805" s="5" t="s">
        <v>945</v>
      </c>
      <c r="K2805" s="6">
        <v>0</v>
      </c>
      <c r="L2805" s="7">
        <v>0</v>
      </c>
      <c r="M2805" s="8">
        <v>13.333333333333334</v>
      </c>
      <c r="N2805" s="8">
        <v>16.666666666666668</v>
      </c>
      <c r="O2805" s="8">
        <v>1.3961271723082345</v>
      </c>
      <c r="P2805" s="8">
        <v>0</v>
      </c>
      <c r="Q2805" s="8">
        <v>5</v>
      </c>
      <c r="R2805" s="8">
        <v>0</v>
      </c>
      <c r="S2805" s="8">
        <v>0</v>
      </c>
      <c r="T2805" s="5">
        <v>0</v>
      </c>
      <c r="U2805" s="5">
        <v>0</v>
      </c>
      <c r="V2805" s="5">
        <f>VLOOKUP(A2805,Planilha1!B:E,4,0)</f>
        <v>13.599044988219518</v>
      </c>
    </row>
    <row r="2806" spans="1:22" x14ac:dyDescent="0.3">
      <c r="A2806" t="str">
        <f t="shared" si="86"/>
        <v>IOGURTESLACTALIS</v>
      </c>
      <c r="B2806" t="str">
        <f t="shared" si="87"/>
        <v>5355771IOGURTESLACTALIS</v>
      </c>
      <c r="C2806" s="5" t="s">
        <v>226</v>
      </c>
      <c r="D2806" s="5" t="s">
        <v>227</v>
      </c>
      <c r="E2806" s="5" t="s">
        <v>1722</v>
      </c>
      <c r="F2806" s="5">
        <v>5355771</v>
      </c>
      <c r="G2806" s="5" t="s">
        <v>1384</v>
      </c>
      <c r="H2806" s="5" t="s">
        <v>30</v>
      </c>
      <c r="I2806" s="5" t="s">
        <v>22</v>
      </c>
      <c r="J2806" s="5" t="s">
        <v>153</v>
      </c>
      <c r="K2806" s="6">
        <v>0</v>
      </c>
      <c r="L2806" s="7">
        <v>0</v>
      </c>
      <c r="M2806" s="8">
        <v>9</v>
      </c>
      <c r="N2806" s="8">
        <v>10.799999999999999</v>
      </c>
      <c r="O2806" s="8">
        <v>1.5100967373946206</v>
      </c>
      <c r="P2806" s="8">
        <v>0</v>
      </c>
      <c r="Q2806" s="8">
        <v>5.4</v>
      </c>
      <c r="R2806" s="8">
        <v>0</v>
      </c>
      <c r="S2806" s="8">
        <v>0</v>
      </c>
      <c r="T2806" s="5">
        <v>0</v>
      </c>
      <c r="U2806" s="5">
        <v>0</v>
      </c>
      <c r="V2806" s="5">
        <f>VLOOKUP(A2806,Planilha1!B:E,4,0)</f>
        <v>3.0503167986984403</v>
      </c>
    </row>
    <row r="2807" spans="1:22" x14ac:dyDescent="0.3">
      <c r="A2807" t="str">
        <f t="shared" si="86"/>
        <v>LEITE EM PÓLACTALIS</v>
      </c>
      <c r="B2807" t="str">
        <f t="shared" si="87"/>
        <v>5355774LEITE EM PÓLACTALIS</v>
      </c>
      <c r="C2807" s="5" t="s">
        <v>226</v>
      </c>
      <c r="D2807" s="5" t="s">
        <v>227</v>
      </c>
      <c r="E2807" s="5" t="s">
        <v>1722</v>
      </c>
      <c r="F2807" s="5">
        <v>5355774</v>
      </c>
      <c r="G2807" s="5" t="s">
        <v>1385</v>
      </c>
      <c r="H2807" s="5" t="s">
        <v>30</v>
      </c>
      <c r="I2807" s="5" t="s">
        <v>22</v>
      </c>
      <c r="J2807" s="5" t="s">
        <v>84</v>
      </c>
      <c r="K2807" s="6">
        <v>0</v>
      </c>
      <c r="L2807" s="7">
        <v>0</v>
      </c>
      <c r="M2807" s="8">
        <v>6.3333333333333339</v>
      </c>
      <c r="N2807" s="8">
        <v>9.3333333333333339</v>
      </c>
      <c r="O2807" s="8">
        <v>2.8321436923967038</v>
      </c>
      <c r="P2807" s="8">
        <v>0</v>
      </c>
      <c r="Q2807" s="8">
        <v>0</v>
      </c>
      <c r="R2807" s="8">
        <v>0</v>
      </c>
      <c r="S2807" s="8">
        <v>0</v>
      </c>
      <c r="T2807" s="5">
        <v>0</v>
      </c>
      <c r="U2807" s="5">
        <v>0</v>
      </c>
      <c r="V2807" s="5">
        <f>VLOOKUP(A2807,Planilha1!B:E,4,0)</f>
        <v>-2.8055507108797499</v>
      </c>
    </row>
    <row r="2808" spans="1:22" x14ac:dyDescent="0.3">
      <c r="A2808" t="str">
        <f t="shared" si="86"/>
        <v>LEITE UHTLACTALIS</v>
      </c>
      <c r="B2808" t="str">
        <f t="shared" si="87"/>
        <v>5355774LEITE UHTLACTALIS</v>
      </c>
      <c r="C2808" s="5" t="s">
        <v>226</v>
      </c>
      <c r="D2808" s="5" t="s">
        <v>227</v>
      </c>
      <c r="E2808" s="5" t="s">
        <v>1722</v>
      </c>
      <c r="F2808" s="5">
        <v>5355774</v>
      </c>
      <c r="G2808" s="5" t="s">
        <v>1385</v>
      </c>
      <c r="H2808" s="5" t="s">
        <v>30</v>
      </c>
      <c r="I2808" s="5" t="s">
        <v>22</v>
      </c>
      <c r="J2808" s="5" t="s">
        <v>156</v>
      </c>
      <c r="K2808" s="6">
        <v>0</v>
      </c>
      <c r="L2808" s="7">
        <v>0</v>
      </c>
      <c r="M2808" s="8">
        <v>60</v>
      </c>
      <c r="N2808" s="8">
        <v>76</v>
      </c>
      <c r="O2808" s="8">
        <v>0</v>
      </c>
      <c r="P2808" s="8">
        <v>0</v>
      </c>
      <c r="Q2808" s="8">
        <v>0</v>
      </c>
      <c r="R2808" s="8">
        <v>0</v>
      </c>
      <c r="S2808" s="8">
        <v>0</v>
      </c>
      <c r="T2808" s="5">
        <v>0</v>
      </c>
      <c r="U2808" s="5">
        <v>0</v>
      </c>
      <c r="V2808" s="5">
        <f>VLOOKUP(A2808,Planilha1!B:E,4,0)</f>
        <v>0.37177548115779385</v>
      </c>
    </row>
    <row r="2809" spans="1:22" x14ac:dyDescent="0.3">
      <c r="A2809" t="str">
        <f t="shared" si="86"/>
        <v>LEITE UHTLACTALIS</v>
      </c>
      <c r="B2809" t="str">
        <f t="shared" si="87"/>
        <v>5356234LEITE UHTLACTALIS</v>
      </c>
      <c r="C2809" s="5" t="s">
        <v>226</v>
      </c>
      <c r="D2809" s="5" t="s">
        <v>227</v>
      </c>
      <c r="E2809" s="5" t="s">
        <v>1722</v>
      </c>
      <c r="F2809" s="5">
        <v>5356234</v>
      </c>
      <c r="G2809" s="5" t="s">
        <v>1372</v>
      </c>
      <c r="H2809" s="5" t="s">
        <v>30</v>
      </c>
      <c r="I2809" s="5" t="s">
        <v>22</v>
      </c>
      <c r="J2809" s="5" t="s">
        <v>156</v>
      </c>
      <c r="K2809" s="6">
        <v>0</v>
      </c>
      <c r="L2809" s="7">
        <v>0</v>
      </c>
      <c r="M2809" s="8">
        <v>12</v>
      </c>
      <c r="N2809" s="8">
        <v>24</v>
      </c>
      <c r="O2809" s="8">
        <v>0</v>
      </c>
      <c r="P2809" s="8">
        <v>0</v>
      </c>
      <c r="Q2809" s="8">
        <v>0</v>
      </c>
      <c r="R2809" s="8">
        <v>0</v>
      </c>
      <c r="S2809" s="8">
        <v>0</v>
      </c>
      <c r="T2809" s="5">
        <v>0</v>
      </c>
      <c r="U2809" s="5">
        <v>0</v>
      </c>
      <c r="V2809" s="5">
        <f>VLOOKUP(A2809,Planilha1!B:E,4,0)</f>
        <v>0.37177548115779385</v>
      </c>
    </row>
    <row r="2810" spans="1:22" x14ac:dyDescent="0.3">
      <c r="A2810" t="str">
        <f t="shared" si="86"/>
        <v>LEITE CONDENSADOITAMBÉ</v>
      </c>
      <c r="B2810" t="str">
        <f t="shared" si="87"/>
        <v>5357324LEITE CONDENSADOITAMBÉ</v>
      </c>
      <c r="C2810" s="5" t="s">
        <v>226</v>
      </c>
      <c r="D2810" s="5" t="s">
        <v>797</v>
      </c>
      <c r="E2810" s="5" t="s">
        <v>753</v>
      </c>
      <c r="F2810" s="5">
        <v>5357324</v>
      </c>
      <c r="G2810" s="5" t="s">
        <v>1227</v>
      </c>
      <c r="H2810" s="5" t="s">
        <v>1228</v>
      </c>
      <c r="I2810" s="5" t="s">
        <v>27</v>
      </c>
      <c r="J2810" s="5" t="s">
        <v>33</v>
      </c>
      <c r="K2810" s="6">
        <v>0</v>
      </c>
      <c r="L2810" s="7">
        <v>0</v>
      </c>
      <c r="M2810" s="8">
        <v>85.715000000000003</v>
      </c>
      <c r="N2810" s="8">
        <v>171.33333333333334</v>
      </c>
      <c r="O2810" s="8">
        <v>0</v>
      </c>
      <c r="P2810" s="8">
        <v>0</v>
      </c>
      <c r="Q2810" s="8">
        <v>0</v>
      </c>
      <c r="R2810" s="8">
        <v>0</v>
      </c>
      <c r="S2810" s="8">
        <v>300</v>
      </c>
      <c r="T2810" s="5">
        <v>200</v>
      </c>
      <c r="U2810" s="5">
        <v>0</v>
      </c>
      <c r="V2810" s="5">
        <f>VLOOKUP(A2810,Planilha1!B:E,4,0)</f>
        <v>1.4766792698630664</v>
      </c>
    </row>
    <row r="2811" spans="1:22" x14ac:dyDescent="0.3">
      <c r="A2811" t="str">
        <f t="shared" si="86"/>
        <v>QUEIJOSLACTALIS</v>
      </c>
      <c r="B2811" t="str">
        <f t="shared" si="87"/>
        <v>5356234QUEIJOSLACTALIS</v>
      </c>
      <c r="C2811" s="5" t="s">
        <v>226</v>
      </c>
      <c r="D2811" s="5" t="s">
        <v>227</v>
      </c>
      <c r="E2811" s="5" t="s">
        <v>1722</v>
      </c>
      <c r="F2811" s="5">
        <v>5356234</v>
      </c>
      <c r="G2811" s="5" t="s">
        <v>1372</v>
      </c>
      <c r="H2811" s="5" t="s">
        <v>30</v>
      </c>
      <c r="I2811" s="5" t="s">
        <v>22</v>
      </c>
      <c r="J2811" s="5" t="s">
        <v>63</v>
      </c>
      <c r="K2811" s="6">
        <v>0</v>
      </c>
      <c r="L2811" s="7">
        <v>0</v>
      </c>
      <c r="M2811" s="8">
        <v>17.531666666666666</v>
      </c>
      <c r="N2811" s="8">
        <v>23.189999999999998</v>
      </c>
      <c r="O2811" s="8">
        <v>0</v>
      </c>
      <c r="P2811" s="8">
        <v>0</v>
      </c>
      <c r="Q2811" s="8">
        <v>0</v>
      </c>
      <c r="R2811" s="8">
        <v>0</v>
      </c>
      <c r="S2811" s="8">
        <v>0</v>
      </c>
      <c r="T2811" s="5">
        <v>0</v>
      </c>
      <c r="U2811" s="5">
        <v>13</v>
      </c>
      <c r="V2811" s="5">
        <f>VLOOKUP(A2811,Planilha1!B:E,4,0)</f>
        <v>-1.9171310037550682</v>
      </c>
    </row>
    <row r="2812" spans="1:22" x14ac:dyDescent="0.3">
      <c r="A2812" t="str">
        <f t="shared" si="86"/>
        <v>SPREADSLACTALIS</v>
      </c>
      <c r="B2812" t="str">
        <f t="shared" si="87"/>
        <v>5356504SPREADSLACTALIS</v>
      </c>
      <c r="C2812" s="5" t="s">
        <v>226</v>
      </c>
      <c r="D2812" s="5" t="s">
        <v>227</v>
      </c>
      <c r="E2812" s="5" t="s">
        <v>1722</v>
      </c>
      <c r="F2812" s="5">
        <v>5356504</v>
      </c>
      <c r="G2812" s="5" t="s">
        <v>1386</v>
      </c>
      <c r="H2812" s="5" t="s">
        <v>30</v>
      </c>
      <c r="I2812" s="5" t="s">
        <v>22</v>
      </c>
      <c r="J2812" s="5" t="s">
        <v>945</v>
      </c>
      <c r="K2812" s="6">
        <v>0</v>
      </c>
      <c r="L2812" s="7">
        <v>0</v>
      </c>
      <c r="M2812" s="8">
        <v>2</v>
      </c>
      <c r="N2812" s="8">
        <v>1.3333333333333333</v>
      </c>
      <c r="O2812" s="8">
        <v>2.250898910456133</v>
      </c>
      <c r="P2812" s="8">
        <v>0</v>
      </c>
      <c r="Q2812" s="8">
        <v>0</v>
      </c>
      <c r="R2812" s="8">
        <v>0</v>
      </c>
      <c r="S2812" s="8">
        <v>0</v>
      </c>
      <c r="T2812" s="5">
        <v>0</v>
      </c>
      <c r="U2812" s="5">
        <v>0</v>
      </c>
      <c r="V2812" s="5">
        <f>VLOOKUP(A2812,Planilha1!B:E,4,0)</f>
        <v>13.599044988219518</v>
      </c>
    </row>
    <row r="2813" spans="1:22" x14ac:dyDescent="0.3">
      <c r="A2813" t="str">
        <f t="shared" si="86"/>
        <v>MANTEIGA 5KGLACTALIS</v>
      </c>
      <c r="B2813" t="str">
        <f t="shared" si="87"/>
        <v>5356504MANTEIGA 5KGLACTALIS</v>
      </c>
      <c r="C2813" s="5" t="s">
        <v>226</v>
      </c>
      <c r="D2813" s="5" t="s">
        <v>227</v>
      </c>
      <c r="E2813" s="5" t="s">
        <v>1722</v>
      </c>
      <c r="F2813" s="5">
        <v>5356504</v>
      </c>
      <c r="G2813" s="5" t="s">
        <v>1386</v>
      </c>
      <c r="H2813" s="5" t="s">
        <v>30</v>
      </c>
      <c r="I2813" s="5" t="s">
        <v>22</v>
      </c>
      <c r="J2813" s="5" t="s">
        <v>60</v>
      </c>
      <c r="K2813" s="6">
        <v>0</v>
      </c>
      <c r="L2813" s="7">
        <v>0</v>
      </c>
      <c r="M2813" s="8">
        <v>1.6666666666666667</v>
      </c>
      <c r="N2813" s="8">
        <v>1.6666666666666667</v>
      </c>
      <c r="O2813" s="8">
        <v>0</v>
      </c>
      <c r="P2813" s="8">
        <v>0</v>
      </c>
      <c r="Q2813" s="8">
        <v>0</v>
      </c>
      <c r="R2813" s="8">
        <v>0</v>
      </c>
      <c r="S2813" s="8">
        <v>0</v>
      </c>
      <c r="T2813" s="5">
        <v>0</v>
      </c>
      <c r="U2813" s="5">
        <v>0</v>
      </c>
      <c r="V2813" s="5">
        <f>VLOOKUP(A2813,Planilha1!B:E,4,0)</f>
        <v>11.476197020267191</v>
      </c>
    </row>
    <row r="2814" spans="1:22" x14ac:dyDescent="0.3">
      <c r="A2814" t="str">
        <f t="shared" si="86"/>
        <v>QUEIJOSLACTALIS</v>
      </c>
      <c r="B2814" t="str">
        <f t="shared" si="87"/>
        <v>5356504QUEIJOSLACTALIS</v>
      </c>
      <c r="C2814" s="5" t="s">
        <v>226</v>
      </c>
      <c r="D2814" s="5" t="s">
        <v>227</v>
      </c>
      <c r="E2814" s="5" t="s">
        <v>1722</v>
      </c>
      <c r="F2814" s="5">
        <v>5356504</v>
      </c>
      <c r="G2814" s="5" t="s">
        <v>1386</v>
      </c>
      <c r="H2814" s="5" t="s">
        <v>30</v>
      </c>
      <c r="I2814" s="5" t="s">
        <v>22</v>
      </c>
      <c r="J2814" s="5" t="s">
        <v>63</v>
      </c>
      <c r="K2814" s="6">
        <v>0</v>
      </c>
      <c r="L2814" s="7">
        <v>0</v>
      </c>
      <c r="M2814" s="8">
        <v>2</v>
      </c>
      <c r="N2814" s="8">
        <v>2</v>
      </c>
      <c r="O2814" s="8">
        <v>0</v>
      </c>
      <c r="P2814" s="8">
        <v>0</v>
      </c>
      <c r="Q2814" s="8">
        <v>0</v>
      </c>
      <c r="R2814" s="8">
        <v>0</v>
      </c>
      <c r="S2814" s="8">
        <v>0</v>
      </c>
      <c r="T2814" s="5">
        <v>0</v>
      </c>
      <c r="U2814" s="5">
        <v>0</v>
      </c>
      <c r="V2814" s="5">
        <f>VLOOKUP(A2814,Planilha1!B:E,4,0)</f>
        <v>-1.9171310037550682</v>
      </c>
    </row>
    <row r="2815" spans="1:22" x14ac:dyDescent="0.3">
      <c r="A2815" t="str">
        <f t="shared" si="86"/>
        <v>CREME UHTLACTALIS</v>
      </c>
      <c r="B2815" t="str">
        <f t="shared" si="87"/>
        <v>5356510CREME UHTLACTALIS</v>
      </c>
      <c r="C2815" s="5" t="s">
        <v>226</v>
      </c>
      <c r="D2815" s="5" t="s">
        <v>227</v>
      </c>
      <c r="E2815" s="5" t="s">
        <v>1722</v>
      </c>
      <c r="F2815" s="5">
        <v>5356510</v>
      </c>
      <c r="G2815" s="5" t="s">
        <v>1387</v>
      </c>
      <c r="H2815" s="5" t="s">
        <v>30</v>
      </c>
      <c r="I2815" s="5" t="s">
        <v>22</v>
      </c>
      <c r="J2815" s="5" t="s">
        <v>34</v>
      </c>
      <c r="K2815" s="6">
        <v>0</v>
      </c>
      <c r="L2815" s="7">
        <v>0</v>
      </c>
      <c r="M2815" s="8">
        <v>15.3</v>
      </c>
      <c r="N2815" s="8">
        <v>19.8</v>
      </c>
      <c r="O2815" s="8">
        <v>37.799999999999997</v>
      </c>
      <c r="P2815" s="8">
        <v>0</v>
      </c>
      <c r="Q2815" s="8">
        <v>0</v>
      </c>
      <c r="R2815" s="8">
        <v>0</v>
      </c>
      <c r="S2815" s="8">
        <v>0</v>
      </c>
      <c r="T2815" s="5">
        <v>0</v>
      </c>
      <c r="U2815" s="5">
        <v>0</v>
      </c>
      <c r="V2815" s="5">
        <f>VLOOKUP(A2815,Planilha1!B:E,4,0)</f>
        <v>-1.4094522863012933</v>
      </c>
    </row>
    <row r="2816" spans="1:22" x14ac:dyDescent="0.3">
      <c r="A2816" t="str">
        <f t="shared" si="86"/>
        <v>LEITE CONDENSADOLACTALIS</v>
      </c>
      <c r="B2816" t="str">
        <f t="shared" si="87"/>
        <v>5356510LEITE CONDENSADOLACTALIS</v>
      </c>
      <c r="C2816" s="5" t="s">
        <v>226</v>
      </c>
      <c r="D2816" s="5" t="s">
        <v>227</v>
      </c>
      <c r="E2816" s="5" t="s">
        <v>1722</v>
      </c>
      <c r="F2816" s="5">
        <v>5356510</v>
      </c>
      <c r="G2816" s="5" t="s">
        <v>1387</v>
      </c>
      <c r="H2816" s="5" t="s">
        <v>30</v>
      </c>
      <c r="I2816" s="5" t="s">
        <v>22</v>
      </c>
      <c r="J2816" s="5" t="s">
        <v>33</v>
      </c>
      <c r="K2816" s="6">
        <v>0</v>
      </c>
      <c r="L2816" s="7">
        <v>0</v>
      </c>
      <c r="M2816" s="8">
        <v>12.64</v>
      </c>
      <c r="N2816" s="8">
        <v>12.64</v>
      </c>
      <c r="O2816" s="8">
        <v>37.92</v>
      </c>
      <c r="P2816" s="8">
        <v>0</v>
      </c>
      <c r="Q2816" s="8">
        <v>0</v>
      </c>
      <c r="R2816" s="8">
        <v>0</v>
      </c>
      <c r="S2816" s="8">
        <v>0</v>
      </c>
      <c r="T2816" s="5">
        <v>0</v>
      </c>
      <c r="U2816" s="5">
        <v>0</v>
      </c>
      <c r="V2816" s="5">
        <f>VLOOKUP(A2816,Planilha1!B:E,4,0)</f>
        <v>1.8665071822970765</v>
      </c>
    </row>
    <row r="2817" spans="1:22" x14ac:dyDescent="0.3">
      <c r="A2817" t="str">
        <f t="shared" si="86"/>
        <v>QUEIJOSLACTALIS</v>
      </c>
      <c r="B2817" t="str">
        <f t="shared" si="87"/>
        <v>5357567QUEIJOSLACTALIS</v>
      </c>
      <c r="C2817" s="5" t="s">
        <v>226</v>
      </c>
      <c r="D2817" s="5" t="s">
        <v>227</v>
      </c>
      <c r="E2817" s="5" t="s">
        <v>1722</v>
      </c>
      <c r="F2817" s="5">
        <v>5357567</v>
      </c>
      <c r="G2817" s="5" t="s">
        <v>1388</v>
      </c>
      <c r="H2817" s="5" t="s">
        <v>30</v>
      </c>
      <c r="I2817" s="5" t="s">
        <v>22</v>
      </c>
      <c r="J2817" s="5" t="s">
        <v>63</v>
      </c>
      <c r="K2817" s="6">
        <v>0</v>
      </c>
      <c r="L2817" s="7">
        <v>0</v>
      </c>
      <c r="M2817" s="8">
        <v>13.6</v>
      </c>
      <c r="N2817" s="8">
        <v>15.333333333333336</v>
      </c>
      <c r="O2817" s="8">
        <v>0</v>
      </c>
      <c r="P2817" s="8">
        <v>0</v>
      </c>
      <c r="Q2817" s="8">
        <v>0</v>
      </c>
      <c r="R2817" s="8">
        <v>0</v>
      </c>
      <c r="S2817" s="8">
        <v>0</v>
      </c>
      <c r="T2817" s="5">
        <v>0</v>
      </c>
      <c r="U2817" s="5">
        <v>9</v>
      </c>
      <c r="V2817" s="5">
        <f>VLOOKUP(A2817,Planilha1!B:E,4,0)</f>
        <v>-1.9171310037550682</v>
      </c>
    </row>
    <row r="2818" spans="1:22" x14ac:dyDescent="0.3">
      <c r="A2818" t="str">
        <f t="shared" ref="A2818:A2881" si="88">J2818&amp;I2818</f>
        <v>CREME 35%LACTALIS</v>
      </c>
      <c r="B2818" t="str">
        <f t="shared" si="87"/>
        <v>5357819CREME 35%LACTALIS</v>
      </c>
      <c r="C2818" s="5" t="s">
        <v>16</v>
      </c>
      <c r="D2818" s="5" t="s">
        <v>53</v>
      </c>
      <c r="E2818" s="5" t="s">
        <v>54</v>
      </c>
      <c r="F2818" s="5">
        <v>5357819</v>
      </c>
      <c r="G2818" s="5" t="s">
        <v>1389</v>
      </c>
      <c r="H2818" s="5" t="s">
        <v>30</v>
      </c>
      <c r="I2818" s="5" t="s">
        <v>22</v>
      </c>
      <c r="J2818" s="5" t="s">
        <v>89</v>
      </c>
      <c r="K2818" s="6">
        <v>0</v>
      </c>
      <c r="L2818" s="7">
        <v>0</v>
      </c>
      <c r="M2818" s="8">
        <v>171.66666666666666</v>
      </c>
      <c r="N2818" s="8">
        <v>343.33333333333331</v>
      </c>
      <c r="O2818" s="8">
        <v>0</v>
      </c>
      <c r="P2818" s="8">
        <v>0</v>
      </c>
      <c r="Q2818" s="8">
        <v>2000</v>
      </c>
      <c r="R2818" s="8">
        <v>0</v>
      </c>
      <c r="S2818" s="8">
        <v>0</v>
      </c>
      <c r="T2818" s="5">
        <v>2000</v>
      </c>
      <c r="U2818" s="5">
        <v>0</v>
      </c>
      <c r="V2818" s="5">
        <f>VLOOKUP(A2818,Planilha1!B:E,4,0)</f>
        <v>6.4420264254159507</v>
      </c>
    </row>
    <row r="2819" spans="1:22" x14ac:dyDescent="0.3">
      <c r="A2819" t="str">
        <f t="shared" si="88"/>
        <v>MANTEIGA 5KGLACTALIS</v>
      </c>
      <c r="B2819" t="str">
        <f t="shared" ref="B2819:B2882" si="89">F2819&amp;J2819&amp;I2819</f>
        <v>5357099MANTEIGA 5KGLACTALIS</v>
      </c>
      <c r="C2819" s="5" t="s">
        <v>226</v>
      </c>
      <c r="D2819" s="5" t="s">
        <v>227</v>
      </c>
      <c r="E2819" s="5" t="s">
        <v>1722</v>
      </c>
      <c r="F2819" s="5">
        <v>5357099</v>
      </c>
      <c r="G2819" s="5" t="s">
        <v>1390</v>
      </c>
      <c r="H2819" s="5" t="s">
        <v>30</v>
      </c>
      <c r="I2819" s="5" t="s">
        <v>22</v>
      </c>
      <c r="J2819" s="5" t="s">
        <v>60</v>
      </c>
      <c r="K2819" s="6">
        <v>0</v>
      </c>
      <c r="L2819" s="7">
        <v>0</v>
      </c>
      <c r="M2819" s="8">
        <v>5.833333333333333</v>
      </c>
      <c r="N2819" s="8">
        <v>6.666666666666667</v>
      </c>
      <c r="O2819" s="8">
        <v>0</v>
      </c>
      <c r="P2819" s="8">
        <v>0</v>
      </c>
      <c r="Q2819" s="8">
        <v>0</v>
      </c>
      <c r="R2819" s="8">
        <v>0</v>
      </c>
      <c r="S2819" s="8">
        <v>5</v>
      </c>
      <c r="T2819" s="5">
        <v>5</v>
      </c>
      <c r="U2819" s="5">
        <v>5</v>
      </c>
      <c r="V2819" s="5">
        <f>VLOOKUP(A2819,Planilha1!B:E,4,0)</f>
        <v>11.476197020267191</v>
      </c>
    </row>
    <row r="2820" spans="1:22" x14ac:dyDescent="0.3">
      <c r="A2820" t="str">
        <f t="shared" si="88"/>
        <v>LEITE UHTLACTALIS</v>
      </c>
      <c r="B2820" t="str">
        <f t="shared" si="89"/>
        <v>5357100LEITE UHTLACTALIS</v>
      </c>
      <c r="C2820" s="5" t="s">
        <v>226</v>
      </c>
      <c r="D2820" s="5" t="s">
        <v>227</v>
      </c>
      <c r="E2820" s="5" t="s">
        <v>1722</v>
      </c>
      <c r="F2820" s="5">
        <v>5357100</v>
      </c>
      <c r="G2820" s="5" t="s">
        <v>1391</v>
      </c>
      <c r="H2820" s="5" t="s">
        <v>30</v>
      </c>
      <c r="I2820" s="5" t="s">
        <v>22</v>
      </c>
      <c r="J2820" s="5" t="s">
        <v>156</v>
      </c>
      <c r="K2820" s="6">
        <v>0</v>
      </c>
      <c r="L2820" s="7">
        <v>0</v>
      </c>
      <c r="M2820" s="8">
        <v>54</v>
      </c>
      <c r="N2820" s="8">
        <v>24</v>
      </c>
      <c r="O2820" s="8">
        <v>0</v>
      </c>
      <c r="P2820" s="8">
        <v>0</v>
      </c>
      <c r="Q2820" s="8">
        <v>0</v>
      </c>
      <c r="R2820" s="8">
        <v>0</v>
      </c>
      <c r="S2820" s="8">
        <v>0</v>
      </c>
      <c r="T2820" s="5">
        <v>0</v>
      </c>
      <c r="U2820" s="5">
        <v>0</v>
      </c>
      <c r="V2820" s="5">
        <f>VLOOKUP(A2820,Planilha1!B:E,4,0)</f>
        <v>0.37177548115779385</v>
      </c>
    </row>
    <row r="2821" spans="1:22" x14ac:dyDescent="0.3">
      <c r="A2821" t="str">
        <f t="shared" si="88"/>
        <v>MANTEIGA 5KGLACTALIS</v>
      </c>
      <c r="B2821" t="str">
        <f t="shared" si="89"/>
        <v>5357111MANTEIGA 5KGLACTALIS</v>
      </c>
      <c r="C2821" s="5" t="s">
        <v>226</v>
      </c>
      <c r="D2821" s="5" t="s">
        <v>227</v>
      </c>
      <c r="E2821" s="5" t="s">
        <v>1722</v>
      </c>
      <c r="F2821" s="5">
        <v>5357111</v>
      </c>
      <c r="G2821" s="5" t="s">
        <v>1392</v>
      </c>
      <c r="H2821" s="5" t="s">
        <v>30</v>
      </c>
      <c r="I2821" s="5" t="s">
        <v>22</v>
      </c>
      <c r="J2821" s="5" t="s">
        <v>60</v>
      </c>
      <c r="K2821" s="6">
        <v>0</v>
      </c>
      <c r="L2821" s="7">
        <v>0</v>
      </c>
      <c r="M2821" s="8">
        <v>5.8333333333333339</v>
      </c>
      <c r="N2821" s="8">
        <v>8.3333333333333339</v>
      </c>
      <c r="O2821" s="8">
        <v>0</v>
      </c>
      <c r="P2821" s="8">
        <v>0</v>
      </c>
      <c r="Q2821" s="8">
        <v>0</v>
      </c>
      <c r="R2821" s="8">
        <v>0</v>
      </c>
      <c r="S2821" s="8">
        <v>15</v>
      </c>
      <c r="T2821" s="5">
        <v>15</v>
      </c>
      <c r="U2821" s="5">
        <v>15</v>
      </c>
      <c r="V2821" s="5">
        <f>VLOOKUP(A2821,Planilha1!B:E,4,0)</f>
        <v>11.476197020267191</v>
      </c>
    </row>
    <row r="2822" spans="1:22" x14ac:dyDescent="0.3">
      <c r="A2822" t="str">
        <f t="shared" si="88"/>
        <v>LEITE CONDENSADOLACTALIS</v>
      </c>
      <c r="B2822" t="str">
        <f t="shared" si="89"/>
        <v>5357220LEITE CONDENSADOLACTALIS</v>
      </c>
      <c r="C2822" s="5" t="s">
        <v>226</v>
      </c>
      <c r="D2822" s="5" t="s">
        <v>227</v>
      </c>
      <c r="E2822" s="5" t="s">
        <v>1722</v>
      </c>
      <c r="F2822" s="5">
        <v>5357220</v>
      </c>
      <c r="G2822" s="5" t="s">
        <v>1393</v>
      </c>
      <c r="H2822" s="5" t="s">
        <v>30</v>
      </c>
      <c r="I2822" s="5" t="s">
        <v>22</v>
      </c>
      <c r="J2822" s="5" t="s">
        <v>33</v>
      </c>
      <c r="K2822" s="6">
        <v>0</v>
      </c>
      <c r="L2822" s="7">
        <v>0</v>
      </c>
      <c r="M2822" s="8">
        <v>22.119999999999997</v>
      </c>
      <c r="N2822" s="8">
        <v>28.439999999999998</v>
      </c>
      <c r="O2822" s="8">
        <v>47.4</v>
      </c>
      <c r="P2822" s="8">
        <v>0</v>
      </c>
      <c r="Q2822" s="8">
        <v>0</v>
      </c>
      <c r="R2822" s="8">
        <v>0</v>
      </c>
      <c r="S2822" s="8">
        <v>38</v>
      </c>
      <c r="T2822" s="5">
        <v>50</v>
      </c>
      <c r="U2822" s="5">
        <v>38</v>
      </c>
      <c r="V2822" s="5">
        <f>VLOOKUP(A2822,Planilha1!B:E,4,0)</f>
        <v>1.8665071822970765</v>
      </c>
    </row>
    <row r="2823" spans="1:22" x14ac:dyDescent="0.3">
      <c r="A2823" t="str">
        <f t="shared" si="88"/>
        <v>MANTEIGA 5KGLACTALIS</v>
      </c>
      <c r="B2823" t="str">
        <f t="shared" si="89"/>
        <v>5357392MANTEIGA 5KGLACTALIS</v>
      </c>
      <c r="C2823" s="5" t="s">
        <v>226</v>
      </c>
      <c r="D2823" s="5" t="s">
        <v>227</v>
      </c>
      <c r="E2823" s="5" t="s">
        <v>1722</v>
      </c>
      <c r="F2823" s="5">
        <v>5357392</v>
      </c>
      <c r="G2823" s="5" t="s">
        <v>1394</v>
      </c>
      <c r="H2823" s="5" t="s">
        <v>30</v>
      </c>
      <c r="I2823" s="5" t="s">
        <v>22</v>
      </c>
      <c r="J2823" s="5" t="s">
        <v>60</v>
      </c>
      <c r="K2823" s="6">
        <v>0</v>
      </c>
      <c r="L2823" s="7">
        <v>0</v>
      </c>
      <c r="M2823" s="8">
        <v>1.6666666666666667</v>
      </c>
      <c r="N2823" s="8">
        <v>3.3333333333333335</v>
      </c>
      <c r="O2823" s="8">
        <v>0</v>
      </c>
      <c r="P2823" s="8">
        <v>0</v>
      </c>
      <c r="Q2823" s="8">
        <v>0</v>
      </c>
      <c r="R2823" s="8">
        <v>0</v>
      </c>
      <c r="S2823" s="8">
        <v>5</v>
      </c>
      <c r="T2823" s="5">
        <v>5</v>
      </c>
      <c r="U2823" s="5">
        <v>5</v>
      </c>
      <c r="V2823" s="5">
        <f>VLOOKUP(A2823,Planilha1!B:E,4,0)</f>
        <v>11.476197020267191</v>
      </c>
    </row>
    <row r="2824" spans="1:22" x14ac:dyDescent="0.3">
      <c r="A2824" t="str">
        <f t="shared" si="88"/>
        <v>QUEIJOSLACTALIS</v>
      </c>
      <c r="B2824" t="str">
        <f t="shared" si="89"/>
        <v>5357531QUEIJOSLACTALIS</v>
      </c>
      <c r="C2824" s="5" t="s">
        <v>226</v>
      </c>
      <c r="D2824" s="5" t="s">
        <v>227</v>
      </c>
      <c r="E2824" s="5" t="s">
        <v>231</v>
      </c>
      <c r="F2824" s="5">
        <v>5357531</v>
      </c>
      <c r="G2824" s="5" t="s">
        <v>1395</v>
      </c>
      <c r="H2824" s="5" t="s">
        <v>30</v>
      </c>
      <c r="I2824" s="5" t="s">
        <v>22</v>
      </c>
      <c r="J2824" s="5" t="s">
        <v>63</v>
      </c>
      <c r="K2824" s="6">
        <v>0</v>
      </c>
      <c r="L2824" s="7">
        <v>0</v>
      </c>
      <c r="M2824" s="8">
        <v>38.978333333333332</v>
      </c>
      <c r="N2824" s="8">
        <v>77.956666666666663</v>
      </c>
      <c r="O2824" s="8">
        <v>0</v>
      </c>
      <c r="P2824" s="8">
        <v>0</v>
      </c>
      <c r="Q2824" s="8">
        <v>0</v>
      </c>
      <c r="R2824" s="8">
        <v>0</v>
      </c>
      <c r="S2824" s="8">
        <v>0</v>
      </c>
      <c r="T2824" s="5">
        <v>0</v>
      </c>
      <c r="U2824" s="5">
        <v>0</v>
      </c>
      <c r="V2824" s="5">
        <f>VLOOKUP(A2824,Planilha1!B:E,4,0)</f>
        <v>-1.9171310037550682</v>
      </c>
    </row>
    <row r="2825" spans="1:22" x14ac:dyDescent="0.3">
      <c r="A2825" t="str">
        <f t="shared" si="88"/>
        <v>LEITE UHTLACTALIS</v>
      </c>
      <c r="B2825" t="str">
        <f t="shared" si="89"/>
        <v>5357534LEITE UHTLACTALIS</v>
      </c>
      <c r="C2825" s="5" t="s">
        <v>226</v>
      </c>
      <c r="D2825" s="5" t="s">
        <v>227</v>
      </c>
      <c r="E2825" s="5" t="s">
        <v>1722</v>
      </c>
      <c r="F2825" s="5">
        <v>5357534</v>
      </c>
      <c r="G2825" s="5" t="s">
        <v>1396</v>
      </c>
      <c r="H2825" s="5" t="s">
        <v>30</v>
      </c>
      <c r="I2825" s="5" t="s">
        <v>22</v>
      </c>
      <c r="J2825" s="5" t="s">
        <v>156</v>
      </c>
      <c r="K2825" s="6">
        <v>0</v>
      </c>
      <c r="L2825" s="7">
        <v>0</v>
      </c>
      <c r="M2825" s="8">
        <v>192</v>
      </c>
      <c r="N2825" s="8">
        <v>384</v>
      </c>
      <c r="O2825" s="8">
        <v>0</v>
      </c>
      <c r="P2825" s="8">
        <v>0</v>
      </c>
      <c r="Q2825" s="8">
        <v>0</v>
      </c>
      <c r="R2825" s="8">
        <v>0</v>
      </c>
      <c r="S2825" s="8">
        <v>0</v>
      </c>
      <c r="T2825" s="5">
        <v>0</v>
      </c>
      <c r="U2825" s="5">
        <v>0</v>
      </c>
      <c r="V2825" s="5">
        <f>VLOOKUP(A2825,Planilha1!B:E,4,0)</f>
        <v>0.37177548115779385</v>
      </c>
    </row>
    <row r="2826" spans="1:22" x14ac:dyDescent="0.3">
      <c r="A2826" t="str">
        <f t="shared" si="88"/>
        <v>COMPOSTOITAMBÉ</v>
      </c>
      <c r="B2826" t="str">
        <f t="shared" si="89"/>
        <v>5358195COMPOSTOITAMBÉ</v>
      </c>
      <c r="C2826" s="5" t="s">
        <v>226</v>
      </c>
      <c r="D2826" s="5" t="s">
        <v>752</v>
      </c>
      <c r="E2826" s="5" t="s">
        <v>774</v>
      </c>
      <c r="F2826" s="5">
        <v>5358195</v>
      </c>
      <c r="G2826" s="5" t="s">
        <v>1233</v>
      </c>
      <c r="H2826" s="5" t="s">
        <v>32</v>
      </c>
      <c r="I2826" s="5" t="s">
        <v>27</v>
      </c>
      <c r="J2826" s="5" t="s">
        <v>26</v>
      </c>
      <c r="K2826" s="6">
        <v>0</v>
      </c>
      <c r="L2826" s="7">
        <v>0</v>
      </c>
      <c r="M2826" s="8">
        <v>336.66666666666669</v>
      </c>
      <c r="N2826" s="8">
        <v>573.33333333333337</v>
      </c>
      <c r="O2826" s="8">
        <v>0</v>
      </c>
      <c r="P2826" s="8">
        <v>0</v>
      </c>
      <c r="Q2826" s="8">
        <v>625</v>
      </c>
      <c r="R2826" s="8">
        <v>0</v>
      </c>
      <c r="S2826" s="8">
        <v>100</v>
      </c>
      <c r="T2826" s="5">
        <v>100</v>
      </c>
      <c r="U2826" s="5">
        <v>337</v>
      </c>
      <c r="V2826" s="5">
        <f>VLOOKUP(A2826,Planilha1!B:E,4,0)</f>
        <v>0.15618217875936719</v>
      </c>
    </row>
    <row r="2827" spans="1:22" x14ac:dyDescent="0.3">
      <c r="A2827" t="str">
        <f t="shared" si="88"/>
        <v>LEITE UHTLACTALIS</v>
      </c>
      <c r="B2827" t="str">
        <f t="shared" si="89"/>
        <v>5357586LEITE UHTLACTALIS</v>
      </c>
      <c r="C2827" s="5" t="s">
        <v>226</v>
      </c>
      <c r="D2827" s="5" t="s">
        <v>227</v>
      </c>
      <c r="E2827" s="5" t="s">
        <v>1722</v>
      </c>
      <c r="F2827" s="5">
        <v>5357586</v>
      </c>
      <c r="G2827" s="5" t="s">
        <v>1397</v>
      </c>
      <c r="H2827" s="5" t="s">
        <v>30</v>
      </c>
      <c r="I2827" s="5" t="s">
        <v>22</v>
      </c>
      <c r="J2827" s="5" t="s">
        <v>156</v>
      </c>
      <c r="K2827" s="6">
        <v>0</v>
      </c>
      <c r="L2827" s="7">
        <v>0</v>
      </c>
      <c r="M2827" s="8">
        <v>14</v>
      </c>
      <c r="N2827" s="8">
        <v>20</v>
      </c>
      <c r="O2827" s="8">
        <v>0</v>
      </c>
      <c r="P2827" s="8">
        <v>0</v>
      </c>
      <c r="Q2827" s="8">
        <v>0</v>
      </c>
      <c r="R2827" s="8">
        <v>0</v>
      </c>
      <c r="S2827" s="8">
        <v>0</v>
      </c>
      <c r="T2827" s="5">
        <v>0</v>
      </c>
      <c r="U2827" s="5">
        <v>0</v>
      </c>
      <c r="V2827" s="5">
        <f>VLOOKUP(A2827,Planilha1!B:E,4,0)</f>
        <v>0.37177548115779385</v>
      </c>
    </row>
    <row r="2828" spans="1:22" x14ac:dyDescent="0.3">
      <c r="A2828" t="str">
        <f t="shared" si="88"/>
        <v>MANTEIGA 5KGLACTALIS</v>
      </c>
      <c r="B2828" t="str">
        <f t="shared" si="89"/>
        <v>5357695MANTEIGA 5KGLACTALIS</v>
      </c>
      <c r="C2828" s="5" t="s">
        <v>226</v>
      </c>
      <c r="D2828" s="5" t="s">
        <v>227</v>
      </c>
      <c r="E2828" s="5" t="s">
        <v>1722</v>
      </c>
      <c r="F2828" s="5">
        <v>5357695</v>
      </c>
      <c r="G2828" s="5" t="s">
        <v>1398</v>
      </c>
      <c r="H2828" s="5" t="s">
        <v>30</v>
      </c>
      <c r="I2828" s="5" t="s">
        <v>22</v>
      </c>
      <c r="J2828" s="5" t="s">
        <v>60</v>
      </c>
      <c r="K2828" s="6">
        <v>0</v>
      </c>
      <c r="L2828" s="7">
        <v>0</v>
      </c>
      <c r="M2828" s="8">
        <v>3.3333333333333335</v>
      </c>
      <c r="N2828" s="8">
        <v>5</v>
      </c>
      <c r="O2828" s="8">
        <v>0</v>
      </c>
      <c r="P2828" s="8">
        <v>0</v>
      </c>
      <c r="Q2828" s="8">
        <v>10</v>
      </c>
      <c r="R2828" s="8">
        <v>0</v>
      </c>
      <c r="S2828" s="8">
        <v>5</v>
      </c>
      <c r="T2828" s="5">
        <v>5</v>
      </c>
      <c r="U2828" s="5">
        <v>5</v>
      </c>
      <c r="V2828" s="5">
        <f>VLOOKUP(A2828,Planilha1!B:E,4,0)</f>
        <v>11.476197020267191</v>
      </c>
    </row>
    <row r="2829" spans="1:22" x14ac:dyDescent="0.3">
      <c r="A2829" t="str">
        <f t="shared" si="88"/>
        <v>MANTEIGA 5KGLACTALIS</v>
      </c>
      <c r="B2829" t="str">
        <f t="shared" si="89"/>
        <v>5358152MANTEIGA 5KGLACTALIS</v>
      </c>
      <c r="C2829" s="5" t="s">
        <v>16</v>
      </c>
      <c r="D2829" s="5" t="s">
        <v>28</v>
      </c>
      <c r="E2829" s="5" t="s">
        <v>28</v>
      </c>
      <c r="F2829" s="5">
        <v>5358152</v>
      </c>
      <c r="G2829" s="5" t="s">
        <v>1399</v>
      </c>
      <c r="H2829" s="5" t="s">
        <v>30</v>
      </c>
      <c r="I2829" s="5" t="s">
        <v>22</v>
      </c>
      <c r="J2829" s="5" t="s">
        <v>60</v>
      </c>
      <c r="K2829" s="6">
        <v>0</v>
      </c>
      <c r="L2829" s="7">
        <v>0</v>
      </c>
      <c r="M2829" s="8">
        <v>100.00000000000001</v>
      </c>
      <c r="N2829" s="8">
        <v>133.33333333333334</v>
      </c>
      <c r="O2829" s="8">
        <v>0</v>
      </c>
      <c r="P2829" s="8">
        <v>0</v>
      </c>
      <c r="Q2829" s="8">
        <v>100</v>
      </c>
      <c r="R2829" s="8">
        <v>0</v>
      </c>
      <c r="S2829" s="8">
        <v>0</v>
      </c>
      <c r="T2829" s="5">
        <v>100</v>
      </c>
      <c r="U2829" s="5">
        <v>0</v>
      </c>
      <c r="V2829" s="5">
        <f>VLOOKUP(A2829,Planilha1!B:E,4,0)</f>
        <v>11.476197020267191</v>
      </c>
    </row>
    <row r="2830" spans="1:22" x14ac:dyDescent="0.3">
      <c r="A2830" t="str">
        <f t="shared" si="88"/>
        <v>LEITE UHTLACTALIS</v>
      </c>
      <c r="B2830" t="str">
        <f t="shared" si="89"/>
        <v>5358334LEITE UHTLACTALIS</v>
      </c>
      <c r="C2830" s="5" t="s">
        <v>226</v>
      </c>
      <c r="D2830" s="5" t="s">
        <v>227</v>
      </c>
      <c r="E2830" s="5" t="s">
        <v>1722</v>
      </c>
      <c r="F2830" s="5">
        <v>5358334</v>
      </c>
      <c r="G2830" s="5" t="s">
        <v>1400</v>
      </c>
      <c r="H2830" s="5" t="s">
        <v>30</v>
      </c>
      <c r="I2830" s="5" t="s">
        <v>22</v>
      </c>
      <c r="J2830" s="5" t="s">
        <v>156</v>
      </c>
      <c r="K2830" s="6">
        <v>0</v>
      </c>
      <c r="L2830" s="7">
        <v>0</v>
      </c>
      <c r="M2830" s="8">
        <v>85</v>
      </c>
      <c r="N2830" s="8">
        <v>40</v>
      </c>
      <c r="O2830" s="8">
        <v>0</v>
      </c>
      <c r="P2830" s="8">
        <v>0</v>
      </c>
      <c r="Q2830" s="8">
        <v>0</v>
      </c>
      <c r="R2830" s="8">
        <v>0</v>
      </c>
      <c r="S2830" s="8">
        <v>0</v>
      </c>
      <c r="T2830" s="5">
        <v>0</v>
      </c>
      <c r="U2830" s="5">
        <v>0</v>
      </c>
      <c r="V2830" s="5">
        <f>VLOOKUP(A2830,Planilha1!B:E,4,0)</f>
        <v>0.37177548115779385</v>
      </c>
    </row>
    <row r="2831" spans="1:22" x14ac:dyDescent="0.3">
      <c r="A2831" t="str">
        <f t="shared" si="88"/>
        <v>IOGURTESLACTALIS</v>
      </c>
      <c r="B2831" t="str">
        <f t="shared" si="89"/>
        <v>5358488IOGURTESLACTALIS</v>
      </c>
      <c r="C2831" s="5" t="s">
        <v>226</v>
      </c>
      <c r="D2831" s="5" t="s">
        <v>227</v>
      </c>
      <c r="E2831" s="5" t="s">
        <v>1722</v>
      </c>
      <c r="F2831" s="5">
        <v>5358488</v>
      </c>
      <c r="G2831" s="5" t="s">
        <v>1401</v>
      </c>
      <c r="H2831" s="5" t="s">
        <v>30</v>
      </c>
      <c r="I2831" s="5" t="s">
        <v>22</v>
      </c>
      <c r="J2831" s="5" t="s">
        <v>153</v>
      </c>
      <c r="K2831" s="6">
        <v>0</v>
      </c>
      <c r="L2831" s="7">
        <v>0</v>
      </c>
      <c r="M2831" s="8">
        <v>97.639999999999986</v>
      </c>
      <c r="N2831" s="8">
        <v>143.12</v>
      </c>
      <c r="O2831" s="8">
        <v>0</v>
      </c>
      <c r="P2831" s="8">
        <v>0</v>
      </c>
      <c r="Q2831" s="8">
        <v>37.92</v>
      </c>
      <c r="R2831" s="8">
        <v>0</v>
      </c>
      <c r="S2831" s="8">
        <v>0</v>
      </c>
      <c r="T2831" s="5">
        <v>0</v>
      </c>
      <c r="U2831" s="5">
        <v>0</v>
      </c>
      <c r="V2831" s="5">
        <f>VLOOKUP(A2831,Planilha1!B:E,4,0)</f>
        <v>3.0503167986984403</v>
      </c>
    </row>
    <row r="2832" spans="1:22" x14ac:dyDescent="0.3">
      <c r="A2832" t="str">
        <f t="shared" si="88"/>
        <v>IOGURTESLACTALIS</v>
      </c>
      <c r="B2832" t="str">
        <f t="shared" si="89"/>
        <v>5358596IOGURTESLACTALIS</v>
      </c>
      <c r="C2832" s="5" t="s">
        <v>226</v>
      </c>
      <c r="D2832" s="5" t="s">
        <v>227</v>
      </c>
      <c r="E2832" s="5" t="s">
        <v>1722</v>
      </c>
      <c r="F2832" s="5">
        <v>5358596</v>
      </c>
      <c r="G2832" s="5" t="s">
        <v>1402</v>
      </c>
      <c r="H2832" s="5" t="s">
        <v>30</v>
      </c>
      <c r="I2832" s="5" t="s">
        <v>22</v>
      </c>
      <c r="J2832" s="5" t="s">
        <v>153</v>
      </c>
      <c r="K2832" s="6">
        <v>0</v>
      </c>
      <c r="L2832" s="7">
        <v>0</v>
      </c>
      <c r="M2832" s="8">
        <v>18.699999999999996</v>
      </c>
      <c r="N2832" s="8">
        <v>24.479999999999997</v>
      </c>
      <c r="O2832" s="8">
        <v>0</v>
      </c>
      <c r="P2832" s="8">
        <v>0</v>
      </c>
      <c r="Q2832" s="8">
        <v>0</v>
      </c>
      <c r="R2832" s="8">
        <v>0</v>
      </c>
      <c r="S2832" s="8">
        <v>0</v>
      </c>
      <c r="T2832" s="5">
        <v>0</v>
      </c>
      <c r="U2832" s="5">
        <v>0</v>
      </c>
      <c r="V2832" s="5">
        <f>VLOOKUP(A2832,Planilha1!B:E,4,0)</f>
        <v>3.0503167986984403</v>
      </c>
    </row>
    <row r="2833" spans="1:22" x14ac:dyDescent="0.3">
      <c r="A2833" t="str">
        <f t="shared" si="88"/>
        <v>BLISTERLACTALIS</v>
      </c>
      <c r="B2833" t="str">
        <f t="shared" si="89"/>
        <v>5358671BLISTERLACTALIS</v>
      </c>
      <c r="C2833" s="5" t="s">
        <v>149</v>
      </c>
      <c r="D2833" s="5" t="s">
        <v>150</v>
      </c>
      <c r="E2833" s="5" t="s">
        <v>186</v>
      </c>
      <c r="F2833" s="5">
        <v>5358671</v>
      </c>
      <c r="G2833" s="5" t="s">
        <v>1403</v>
      </c>
      <c r="H2833" s="5" t="s">
        <v>30</v>
      </c>
      <c r="I2833" s="5" t="s">
        <v>22</v>
      </c>
      <c r="J2833" s="5" t="s">
        <v>199</v>
      </c>
      <c r="K2833" s="6">
        <v>0</v>
      </c>
      <c r="L2833" s="7">
        <v>0</v>
      </c>
      <c r="M2833" s="8">
        <v>79.680000000000007</v>
      </c>
      <c r="N2833" s="8">
        <v>154.88</v>
      </c>
      <c r="O2833" s="8">
        <v>0</v>
      </c>
      <c r="P2833" s="8">
        <v>0</v>
      </c>
      <c r="Q2833" s="8">
        <v>115.2</v>
      </c>
      <c r="R2833" s="8">
        <v>0</v>
      </c>
      <c r="S2833" s="8">
        <v>230</v>
      </c>
      <c r="T2833" s="5">
        <v>230</v>
      </c>
      <c r="U2833" s="5">
        <v>115</v>
      </c>
      <c r="V2833" s="5">
        <f>VLOOKUP(A2833,Planilha1!B:E,4,0)</f>
        <v>13.783871706210666</v>
      </c>
    </row>
    <row r="2834" spans="1:22" x14ac:dyDescent="0.3">
      <c r="A2834" t="str">
        <f t="shared" si="88"/>
        <v>SPREADSLACTALIS</v>
      </c>
      <c r="B2834" t="str">
        <f t="shared" si="89"/>
        <v>5358671SPREADSLACTALIS</v>
      </c>
      <c r="C2834" s="5" t="s">
        <v>149</v>
      </c>
      <c r="D2834" s="5" t="s">
        <v>150</v>
      </c>
      <c r="E2834" s="5" t="s">
        <v>186</v>
      </c>
      <c r="F2834" s="5">
        <v>5358671</v>
      </c>
      <c r="G2834" s="5" t="s">
        <v>1403</v>
      </c>
      <c r="H2834" s="5" t="s">
        <v>30</v>
      </c>
      <c r="I2834" s="5" t="s">
        <v>22</v>
      </c>
      <c r="J2834" s="5" t="s">
        <v>945</v>
      </c>
      <c r="K2834" s="6">
        <v>0</v>
      </c>
      <c r="L2834" s="7">
        <v>0</v>
      </c>
      <c r="M2834" s="8">
        <v>179.2</v>
      </c>
      <c r="N2834" s="8">
        <v>347.2</v>
      </c>
      <c r="O2834" s="8">
        <v>0</v>
      </c>
      <c r="P2834" s="8">
        <v>0</v>
      </c>
      <c r="Q2834" s="8">
        <v>288</v>
      </c>
      <c r="R2834" s="8">
        <v>0</v>
      </c>
      <c r="S2834" s="8">
        <v>0</v>
      </c>
      <c r="T2834" s="5">
        <v>0</v>
      </c>
      <c r="U2834" s="5">
        <v>0</v>
      </c>
      <c r="V2834" s="5">
        <f>VLOOKUP(A2834,Planilha1!B:E,4,0)</f>
        <v>13.599044988219518</v>
      </c>
    </row>
    <row r="2835" spans="1:22" x14ac:dyDescent="0.3">
      <c r="A2835" t="str">
        <f t="shared" si="88"/>
        <v>LEITE UHTLACTALIS</v>
      </c>
      <c r="B2835" t="str">
        <f t="shared" si="89"/>
        <v>5358671LEITE UHTLACTALIS</v>
      </c>
      <c r="C2835" s="5" t="s">
        <v>149</v>
      </c>
      <c r="D2835" s="5" t="s">
        <v>150</v>
      </c>
      <c r="E2835" s="5" t="s">
        <v>186</v>
      </c>
      <c r="F2835" s="5">
        <v>5358671</v>
      </c>
      <c r="G2835" s="5" t="s">
        <v>1403</v>
      </c>
      <c r="H2835" s="5" t="s">
        <v>30</v>
      </c>
      <c r="I2835" s="5" t="s">
        <v>22</v>
      </c>
      <c r="J2835" s="5" t="s">
        <v>156</v>
      </c>
      <c r="K2835" s="6">
        <v>0</v>
      </c>
      <c r="L2835" s="7">
        <v>0</v>
      </c>
      <c r="M2835" s="8">
        <v>85062</v>
      </c>
      <c r="N2835" s="8">
        <v>141784</v>
      </c>
      <c r="O2835" s="8">
        <v>0</v>
      </c>
      <c r="P2835" s="8">
        <v>0</v>
      </c>
      <c r="Q2835" s="8">
        <v>-3948</v>
      </c>
      <c r="R2835" s="8">
        <v>0</v>
      </c>
      <c r="S2835" s="8">
        <v>0</v>
      </c>
      <c r="T2835" s="5">
        <v>0</v>
      </c>
      <c r="U2835" s="5">
        <v>0</v>
      </c>
      <c r="V2835" s="5">
        <f>VLOOKUP(A2835,Planilha1!B:E,4,0)</f>
        <v>0.37177548115779385</v>
      </c>
    </row>
    <row r="2836" spans="1:22" x14ac:dyDescent="0.3">
      <c r="A2836" t="str">
        <f t="shared" si="88"/>
        <v>QUEIJOSLACTALIS</v>
      </c>
      <c r="B2836" t="str">
        <f t="shared" si="89"/>
        <v>5358671QUEIJOSLACTALIS</v>
      </c>
      <c r="C2836" s="5" t="s">
        <v>149</v>
      </c>
      <c r="D2836" s="5" t="s">
        <v>150</v>
      </c>
      <c r="E2836" s="5" t="s">
        <v>186</v>
      </c>
      <c r="F2836" s="5">
        <v>5358671</v>
      </c>
      <c r="G2836" s="5" t="s">
        <v>1403</v>
      </c>
      <c r="H2836" s="5" t="s">
        <v>30</v>
      </c>
      <c r="I2836" s="5" t="s">
        <v>22</v>
      </c>
      <c r="J2836" s="5" t="s">
        <v>63</v>
      </c>
      <c r="K2836" s="6">
        <v>0</v>
      </c>
      <c r="L2836" s="7">
        <v>0</v>
      </c>
      <c r="M2836" s="8">
        <v>218.4</v>
      </c>
      <c r="N2836" s="8">
        <v>425.59999999999997</v>
      </c>
      <c r="O2836" s="8">
        <v>0</v>
      </c>
      <c r="P2836" s="8">
        <v>0</v>
      </c>
      <c r="Q2836" s="8">
        <v>576</v>
      </c>
      <c r="R2836" s="8">
        <v>0</v>
      </c>
      <c r="S2836" s="8">
        <v>0</v>
      </c>
      <c r="T2836" s="5">
        <v>0</v>
      </c>
      <c r="U2836" s="5">
        <v>0</v>
      </c>
      <c r="V2836" s="5">
        <f>VLOOKUP(A2836,Planilha1!B:E,4,0)</f>
        <v>-1.9171310037550682</v>
      </c>
    </row>
    <row r="2837" spans="1:22" x14ac:dyDescent="0.3">
      <c r="A2837" t="str">
        <f t="shared" si="88"/>
        <v>LEITE UHTLACTALIS</v>
      </c>
      <c r="B2837" t="str">
        <f t="shared" si="89"/>
        <v>5359647LEITE UHTLACTALIS</v>
      </c>
      <c r="C2837" s="5" t="s">
        <v>226</v>
      </c>
      <c r="D2837" s="5" t="s">
        <v>227</v>
      </c>
      <c r="E2837" s="5" t="s">
        <v>1722</v>
      </c>
      <c r="F2837" s="5">
        <v>5359647</v>
      </c>
      <c r="G2837" s="5" t="s">
        <v>1404</v>
      </c>
      <c r="H2837" s="5" t="s">
        <v>30</v>
      </c>
      <c r="I2837" s="5" t="s">
        <v>22</v>
      </c>
      <c r="J2837" s="5" t="s">
        <v>156</v>
      </c>
      <c r="K2837" s="6">
        <v>0</v>
      </c>
      <c r="L2837" s="7">
        <v>0</v>
      </c>
      <c r="M2837" s="8">
        <v>92</v>
      </c>
      <c r="N2837" s="8">
        <v>136</v>
      </c>
      <c r="O2837" s="8">
        <v>0</v>
      </c>
      <c r="P2837" s="8">
        <v>0</v>
      </c>
      <c r="Q2837" s="8">
        <v>48</v>
      </c>
      <c r="R2837" s="8">
        <v>0</v>
      </c>
      <c r="S2837" s="8">
        <v>0</v>
      </c>
      <c r="T2837" s="5">
        <v>0</v>
      </c>
      <c r="U2837" s="5">
        <v>0</v>
      </c>
      <c r="V2837" s="5">
        <f>VLOOKUP(A2837,Planilha1!B:E,4,0)</f>
        <v>0.37177548115779385</v>
      </c>
    </row>
    <row r="2838" spans="1:22" x14ac:dyDescent="0.3">
      <c r="A2838" t="str">
        <f t="shared" si="88"/>
        <v>MANTEIGA 5KGLACTALIS</v>
      </c>
      <c r="B2838" t="str">
        <f t="shared" si="89"/>
        <v>5359018MANTEIGA 5KGLACTALIS</v>
      </c>
      <c r="C2838" s="5" t="s">
        <v>226</v>
      </c>
      <c r="D2838" s="5" t="s">
        <v>227</v>
      </c>
      <c r="E2838" s="5" t="s">
        <v>1722</v>
      </c>
      <c r="F2838" s="5">
        <v>5359018</v>
      </c>
      <c r="G2838" s="5" t="s">
        <v>1405</v>
      </c>
      <c r="H2838" s="5" t="s">
        <v>30</v>
      </c>
      <c r="I2838" s="5" t="s">
        <v>22</v>
      </c>
      <c r="J2838" s="5" t="s">
        <v>60</v>
      </c>
      <c r="K2838" s="6">
        <v>0</v>
      </c>
      <c r="L2838" s="7">
        <v>0</v>
      </c>
      <c r="M2838" s="8">
        <v>11.666666666666668</v>
      </c>
      <c r="N2838" s="8">
        <v>16.666666666666668</v>
      </c>
      <c r="O2838" s="8">
        <v>0</v>
      </c>
      <c r="P2838" s="8">
        <v>0</v>
      </c>
      <c r="Q2838" s="8">
        <v>15</v>
      </c>
      <c r="R2838" s="8">
        <v>0</v>
      </c>
      <c r="S2838" s="8">
        <v>15</v>
      </c>
      <c r="T2838" s="5">
        <v>15</v>
      </c>
      <c r="U2838" s="5">
        <v>15</v>
      </c>
      <c r="V2838" s="5">
        <f>VLOOKUP(A2838,Planilha1!B:E,4,0)</f>
        <v>11.476197020267191</v>
      </c>
    </row>
    <row r="2839" spans="1:22" x14ac:dyDescent="0.3">
      <c r="A2839" t="str">
        <f t="shared" si="88"/>
        <v>LEITE UHTLACTALIS</v>
      </c>
      <c r="B2839" t="str">
        <f t="shared" si="89"/>
        <v>5359027LEITE UHTLACTALIS</v>
      </c>
      <c r="C2839" s="5" t="s">
        <v>226</v>
      </c>
      <c r="D2839" s="5" t="s">
        <v>227</v>
      </c>
      <c r="E2839" s="5" t="s">
        <v>1722</v>
      </c>
      <c r="F2839" s="5">
        <v>5359027</v>
      </c>
      <c r="G2839" s="5" t="s">
        <v>1406</v>
      </c>
      <c r="H2839" s="5" t="s">
        <v>30</v>
      </c>
      <c r="I2839" s="5" t="s">
        <v>22</v>
      </c>
      <c r="J2839" s="5" t="s">
        <v>156</v>
      </c>
      <c r="K2839" s="6">
        <v>0</v>
      </c>
      <c r="L2839" s="7">
        <v>0</v>
      </c>
      <c r="M2839" s="8">
        <v>52</v>
      </c>
      <c r="N2839" s="8">
        <v>64</v>
      </c>
      <c r="O2839" s="8">
        <v>0</v>
      </c>
      <c r="P2839" s="8">
        <v>0</v>
      </c>
      <c r="Q2839" s="8">
        <v>0</v>
      </c>
      <c r="R2839" s="8">
        <v>0</v>
      </c>
      <c r="S2839" s="8">
        <v>0</v>
      </c>
      <c r="T2839" s="5">
        <v>0</v>
      </c>
      <c r="U2839" s="5">
        <v>0</v>
      </c>
      <c r="V2839" s="5">
        <f>VLOOKUP(A2839,Planilha1!B:E,4,0)</f>
        <v>0.37177548115779385</v>
      </c>
    </row>
    <row r="2840" spans="1:22" x14ac:dyDescent="0.3">
      <c r="A2840" t="str">
        <f t="shared" si="88"/>
        <v>LEITE EM PÓLACTALIS</v>
      </c>
      <c r="B2840" t="str">
        <f t="shared" si="89"/>
        <v>5359245LEITE EM PÓLACTALIS</v>
      </c>
      <c r="C2840" s="5" t="s">
        <v>226</v>
      </c>
      <c r="D2840" s="5" t="s">
        <v>227</v>
      </c>
      <c r="E2840" s="5" t="s">
        <v>1722</v>
      </c>
      <c r="F2840" s="5">
        <v>5359245</v>
      </c>
      <c r="G2840" s="5" t="s">
        <v>1407</v>
      </c>
      <c r="H2840" s="5" t="s">
        <v>30</v>
      </c>
      <c r="I2840" s="5" t="s">
        <v>22</v>
      </c>
      <c r="J2840" s="5" t="s">
        <v>84</v>
      </c>
      <c r="K2840" s="6">
        <v>0</v>
      </c>
      <c r="L2840" s="7">
        <v>0</v>
      </c>
      <c r="M2840" s="8">
        <v>12.166666666666666</v>
      </c>
      <c r="N2840" s="8">
        <v>24.333333333333332</v>
      </c>
      <c r="O2840" s="8">
        <v>0</v>
      </c>
      <c r="P2840" s="8">
        <v>0</v>
      </c>
      <c r="Q2840" s="8">
        <v>10</v>
      </c>
      <c r="R2840" s="8">
        <v>0</v>
      </c>
      <c r="S2840" s="8">
        <v>0</v>
      </c>
      <c r="T2840" s="5">
        <v>0</v>
      </c>
      <c r="U2840" s="5">
        <v>0</v>
      </c>
      <c r="V2840" s="5">
        <f>VLOOKUP(A2840,Planilha1!B:E,4,0)</f>
        <v>-2.8055507108797499</v>
      </c>
    </row>
    <row r="2841" spans="1:22" x14ac:dyDescent="0.3">
      <c r="A2841" t="str">
        <f t="shared" si="88"/>
        <v>LEITE CONDENSADOLACTALIS</v>
      </c>
      <c r="B2841" t="str">
        <f t="shared" si="89"/>
        <v>5359245LEITE CONDENSADOLACTALIS</v>
      </c>
      <c r="C2841" s="5" t="s">
        <v>226</v>
      </c>
      <c r="D2841" s="5" t="s">
        <v>227</v>
      </c>
      <c r="E2841" s="5" t="s">
        <v>1722</v>
      </c>
      <c r="F2841" s="5">
        <v>5359245</v>
      </c>
      <c r="G2841" s="5" t="s">
        <v>1407</v>
      </c>
      <c r="H2841" s="5" t="s">
        <v>30</v>
      </c>
      <c r="I2841" s="5" t="s">
        <v>22</v>
      </c>
      <c r="J2841" s="5" t="s">
        <v>33</v>
      </c>
      <c r="K2841" s="6">
        <v>0</v>
      </c>
      <c r="L2841" s="7">
        <v>0</v>
      </c>
      <c r="M2841" s="8">
        <v>30.7</v>
      </c>
      <c r="N2841" s="8">
        <v>45.599999999999994</v>
      </c>
      <c r="O2841" s="8">
        <v>56.88</v>
      </c>
      <c r="P2841" s="8">
        <v>0</v>
      </c>
      <c r="Q2841" s="8">
        <v>56.88</v>
      </c>
      <c r="R2841" s="8">
        <v>0</v>
      </c>
      <c r="S2841" s="8">
        <v>57</v>
      </c>
      <c r="T2841" s="5">
        <v>57</v>
      </c>
      <c r="U2841" s="5">
        <v>0</v>
      </c>
      <c r="V2841" s="5">
        <f>VLOOKUP(A2841,Planilha1!B:E,4,0)</f>
        <v>1.8665071822970765</v>
      </c>
    </row>
    <row r="2842" spans="1:22" x14ac:dyDescent="0.3">
      <c r="A2842" t="str">
        <f t="shared" si="88"/>
        <v>SPREADSLACTALIS</v>
      </c>
      <c r="B2842" t="str">
        <f t="shared" si="89"/>
        <v>5359323SPREADSLACTALIS</v>
      </c>
      <c r="C2842" s="5" t="s">
        <v>226</v>
      </c>
      <c r="D2842" s="5" t="s">
        <v>227</v>
      </c>
      <c r="E2842" s="5" t="s">
        <v>1722</v>
      </c>
      <c r="F2842" s="5">
        <v>5359323</v>
      </c>
      <c r="G2842" s="5" t="s">
        <v>1408</v>
      </c>
      <c r="H2842" s="5" t="s">
        <v>30</v>
      </c>
      <c r="I2842" s="5" t="s">
        <v>22</v>
      </c>
      <c r="J2842" s="5" t="s">
        <v>945</v>
      </c>
      <c r="K2842" s="6">
        <v>0</v>
      </c>
      <c r="L2842" s="7">
        <v>0</v>
      </c>
      <c r="M2842" s="8">
        <v>1</v>
      </c>
      <c r="N2842" s="8">
        <v>2</v>
      </c>
      <c r="O2842" s="8">
        <v>0</v>
      </c>
      <c r="P2842" s="8">
        <v>0</v>
      </c>
      <c r="Q2842" s="8">
        <v>0</v>
      </c>
      <c r="R2842" s="8">
        <v>0</v>
      </c>
      <c r="S2842" s="8">
        <v>0</v>
      </c>
      <c r="T2842" s="5">
        <v>0</v>
      </c>
      <c r="U2842" s="5">
        <v>0</v>
      </c>
      <c r="V2842" s="5">
        <f>VLOOKUP(A2842,Planilha1!B:E,4,0)</f>
        <v>13.599044988219518</v>
      </c>
    </row>
    <row r="2843" spans="1:22" x14ac:dyDescent="0.3">
      <c r="A2843" t="str">
        <f t="shared" si="88"/>
        <v>MANTEIGA 5KGLACTALIS</v>
      </c>
      <c r="B2843" t="str">
        <f t="shared" si="89"/>
        <v>5359323MANTEIGA 5KGLACTALIS</v>
      </c>
      <c r="C2843" s="5" t="s">
        <v>226</v>
      </c>
      <c r="D2843" s="5" t="s">
        <v>227</v>
      </c>
      <c r="E2843" s="5" t="s">
        <v>1722</v>
      </c>
      <c r="F2843" s="5">
        <v>5359323</v>
      </c>
      <c r="G2843" s="5" t="s">
        <v>1408</v>
      </c>
      <c r="H2843" s="5" t="s">
        <v>30</v>
      </c>
      <c r="I2843" s="5" t="s">
        <v>22</v>
      </c>
      <c r="J2843" s="5" t="s">
        <v>60</v>
      </c>
      <c r="K2843" s="6">
        <v>0</v>
      </c>
      <c r="L2843" s="7">
        <v>0</v>
      </c>
      <c r="M2843" s="8">
        <v>25.833333333333336</v>
      </c>
      <c r="N2843" s="8">
        <v>41.666666666666664</v>
      </c>
      <c r="O2843" s="8">
        <v>0</v>
      </c>
      <c r="P2843" s="8">
        <v>0</v>
      </c>
      <c r="Q2843" s="8">
        <v>20</v>
      </c>
      <c r="R2843" s="8">
        <v>0</v>
      </c>
      <c r="S2843" s="8">
        <v>0</v>
      </c>
      <c r="T2843" s="5">
        <v>0</v>
      </c>
      <c r="U2843" s="5">
        <v>0</v>
      </c>
      <c r="V2843" s="5">
        <f>VLOOKUP(A2843,Planilha1!B:E,4,0)</f>
        <v>11.476197020267191</v>
      </c>
    </row>
    <row r="2844" spans="1:22" x14ac:dyDescent="0.3">
      <c r="A2844" t="str">
        <f t="shared" si="88"/>
        <v>LEITE CONDENSADOLACTALIS</v>
      </c>
      <c r="B2844" t="str">
        <f t="shared" si="89"/>
        <v>5359640LEITE CONDENSADOLACTALIS</v>
      </c>
      <c r="C2844" s="5" t="s">
        <v>226</v>
      </c>
      <c r="D2844" s="5" t="s">
        <v>227</v>
      </c>
      <c r="E2844" s="5" t="s">
        <v>1722</v>
      </c>
      <c r="F2844" s="5">
        <v>5359640</v>
      </c>
      <c r="G2844" s="5" t="s">
        <v>1409</v>
      </c>
      <c r="H2844" s="5" t="s">
        <v>30</v>
      </c>
      <c r="I2844" s="5" t="s">
        <v>22</v>
      </c>
      <c r="J2844" s="5" t="s">
        <v>33</v>
      </c>
      <c r="K2844" s="6">
        <v>0</v>
      </c>
      <c r="L2844" s="7">
        <v>0</v>
      </c>
      <c r="M2844" s="8">
        <v>42.000000000000007</v>
      </c>
      <c r="N2844" s="8">
        <v>70</v>
      </c>
      <c r="O2844" s="8">
        <v>56</v>
      </c>
      <c r="P2844" s="8">
        <v>0</v>
      </c>
      <c r="Q2844" s="8">
        <v>56</v>
      </c>
      <c r="R2844" s="8">
        <v>0</v>
      </c>
      <c r="S2844" s="8">
        <v>28</v>
      </c>
      <c r="T2844" s="5">
        <v>56</v>
      </c>
      <c r="U2844" s="5">
        <v>56</v>
      </c>
      <c r="V2844" s="5">
        <f>VLOOKUP(A2844,Planilha1!B:E,4,0)</f>
        <v>1.8665071822970765</v>
      </c>
    </row>
    <row r="2845" spans="1:22" x14ac:dyDescent="0.3">
      <c r="A2845" t="str">
        <f t="shared" si="88"/>
        <v>LEITE UHTLACTALIS</v>
      </c>
      <c r="B2845" t="str">
        <f t="shared" si="89"/>
        <v>5359749LEITE UHTLACTALIS</v>
      </c>
      <c r="C2845" s="5" t="s">
        <v>226</v>
      </c>
      <c r="D2845" s="5" t="s">
        <v>227</v>
      </c>
      <c r="E2845" s="5" t="s">
        <v>1722</v>
      </c>
      <c r="F2845" s="5">
        <v>5359749</v>
      </c>
      <c r="G2845" s="5" t="s">
        <v>1410</v>
      </c>
      <c r="H2845" s="5" t="s">
        <v>30</v>
      </c>
      <c r="I2845" s="5" t="s">
        <v>22</v>
      </c>
      <c r="J2845" s="5" t="s">
        <v>156</v>
      </c>
      <c r="K2845" s="6">
        <v>0</v>
      </c>
      <c r="L2845" s="7">
        <v>0</v>
      </c>
      <c r="M2845" s="8">
        <v>76</v>
      </c>
      <c r="N2845" s="8">
        <v>112</v>
      </c>
      <c r="O2845" s="8">
        <v>0</v>
      </c>
      <c r="P2845" s="8">
        <v>0</v>
      </c>
      <c r="Q2845" s="8">
        <v>0</v>
      </c>
      <c r="R2845" s="8">
        <v>0</v>
      </c>
      <c r="S2845" s="8">
        <v>0</v>
      </c>
      <c r="T2845" s="5">
        <v>0</v>
      </c>
      <c r="U2845" s="5">
        <v>0</v>
      </c>
      <c r="V2845" s="5">
        <f>VLOOKUP(A2845,Planilha1!B:E,4,0)</f>
        <v>0.37177548115779385</v>
      </c>
    </row>
    <row r="2846" spans="1:22" x14ac:dyDescent="0.3">
      <c r="A2846" t="str">
        <f t="shared" si="88"/>
        <v>LEITE UHTLACTALIS</v>
      </c>
      <c r="B2846" t="str">
        <f t="shared" si="89"/>
        <v>5359924LEITE UHTLACTALIS</v>
      </c>
      <c r="C2846" s="5" t="s">
        <v>226</v>
      </c>
      <c r="D2846" s="5" t="s">
        <v>227</v>
      </c>
      <c r="E2846" s="5" t="s">
        <v>1722</v>
      </c>
      <c r="F2846" s="5">
        <v>5359924</v>
      </c>
      <c r="G2846" s="5" t="s">
        <v>1411</v>
      </c>
      <c r="H2846" s="5" t="s">
        <v>30</v>
      </c>
      <c r="I2846" s="5" t="s">
        <v>22</v>
      </c>
      <c r="J2846" s="5" t="s">
        <v>156</v>
      </c>
      <c r="K2846" s="6">
        <v>0</v>
      </c>
      <c r="L2846" s="7">
        <v>0</v>
      </c>
      <c r="M2846" s="8">
        <v>20</v>
      </c>
      <c r="N2846" s="8">
        <v>40</v>
      </c>
      <c r="O2846" s="8">
        <v>0</v>
      </c>
      <c r="P2846" s="8">
        <v>0</v>
      </c>
      <c r="Q2846" s="8">
        <v>0</v>
      </c>
      <c r="R2846" s="8">
        <v>0</v>
      </c>
      <c r="S2846" s="8">
        <v>0</v>
      </c>
      <c r="T2846" s="5">
        <v>0</v>
      </c>
      <c r="U2846" s="5">
        <v>0</v>
      </c>
      <c r="V2846" s="5">
        <f>VLOOKUP(A2846,Planilha1!B:E,4,0)</f>
        <v>0.37177548115779385</v>
      </c>
    </row>
    <row r="2847" spans="1:22" x14ac:dyDescent="0.3">
      <c r="A2847" t="str">
        <f t="shared" si="88"/>
        <v>PARMESÃOLACTALIS</v>
      </c>
      <c r="B2847" t="str">
        <f t="shared" si="89"/>
        <v>5359805PARMESÃOLACTALIS</v>
      </c>
      <c r="C2847" s="5" t="s">
        <v>226</v>
      </c>
      <c r="D2847" s="5" t="s">
        <v>815</v>
      </c>
      <c r="E2847" s="5" t="s">
        <v>816</v>
      </c>
      <c r="F2847" s="5">
        <v>5359805</v>
      </c>
      <c r="G2847" s="5" t="s">
        <v>1412</v>
      </c>
      <c r="H2847" s="5" t="s">
        <v>30</v>
      </c>
      <c r="I2847" s="5" t="s">
        <v>22</v>
      </c>
      <c r="J2847" s="5" t="s">
        <v>195</v>
      </c>
      <c r="K2847" s="6">
        <v>0</v>
      </c>
      <c r="L2847" s="7">
        <v>0</v>
      </c>
      <c r="M2847" s="8">
        <v>33.56583333333333</v>
      </c>
      <c r="N2847" s="8">
        <v>67.131666666666675</v>
      </c>
      <c r="O2847" s="8">
        <v>0</v>
      </c>
      <c r="P2847" s="8">
        <v>0</v>
      </c>
      <c r="Q2847" s="8">
        <v>0</v>
      </c>
      <c r="R2847" s="8">
        <v>0</v>
      </c>
      <c r="S2847" s="8">
        <v>0</v>
      </c>
      <c r="T2847" s="5">
        <v>450</v>
      </c>
      <c r="U2847" s="5">
        <v>0</v>
      </c>
      <c r="V2847" s="5">
        <f>VLOOKUP(A2847,Planilha1!B:E,4,0)</f>
        <v>6.310326960724681</v>
      </c>
    </row>
    <row r="2848" spans="1:22" x14ac:dyDescent="0.3">
      <c r="A2848" t="str">
        <f t="shared" si="88"/>
        <v>PARMESÃOLACTALIS</v>
      </c>
      <c r="B2848" t="str">
        <f t="shared" si="89"/>
        <v>5359895PARMESÃOLACTALIS</v>
      </c>
      <c r="C2848" s="5" t="s">
        <v>226</v>
      </c>
      <c r="D2848" s="5" t="s">
        <v>227</v>
      </c>
      <c r="E2848" s="5" t="s">
        <v>1722</v>
      </c>
      <c r="F2848" s="5">
        <v>5359895</v>
      </c>
      <c r="G2848" s="5" t="s">
        <v>1413</v>
      </c>
      <c r="H2848" s="5" t="s">
        <v>30</v>
      </c>
      <c r="I2848" s="5" t="s">
        <v>22</v>
      </c>
      <c r="J2848" s="5" t="s">
        <v>195</v>
      </c>
      <c r="K2848" s="6">
        <v>0</v>
      </c>
      <c r="L2848" s="7">
        <v>0</v>
      </c>
      <c r="M2848" s="8">
        <v>2.3325</v>
      </c>
      <c r="N2848" s="8">
        <v>4.665</v>
      </c>
      <c r="O2848" s="8">
        <v>0</v>
      </c>
      <c r="P2848" s="8">
        <v>0</v>
      </c>
      <c r="Q2848" s="8">
        <v>0</v>
      </c>
      <c r="R2848" s="8">
        <v>0</v>
      </c>
      <c r="S2848" s="8">
        <v>0</v>
      </c>
      <c r="T2848" s="5">
        <v>0</v>
      </c>
      <c r="U2848" s="5">
        <v>0</v>
      </c>
      <c r="V2848" s="5">
        <f>VLOOKUP(A2848,Planilha1!B:E,4,0)</f>
        <v>6.310326960724681</v>
      </c>
    </row>
    <row r="2849" spans="1:22" x14ac:dyDescent="0.3">
      <c r="A2849" t="str">
        <f t="shared" si="88"/>
        <v>MANTEIGA 5KGLACTALIS</v>
      </c>
      <c r="B2849" t="str">
        <f t="shared" si="89"/>
        <v>5359895MANTEIGA 5KGLACTALIS</v>
      </c>
      <c r="C2849" s="5" t="s">
        <v>226</v>
      </c>
      <c r="D2849" s="5" t="s">
        <v>227</v>
      </c>
      <c r="E2849" s="5" t="s">
        <v>1722</v>
      </c>
      <c r="F2849" s="5">
        <v>5359895</v>
      </c>
      <c r="G2849" s="5" t="s">
        <v>1413</v>
      </c>
      <c r="H2849" s="5" t="s">
        <v>30</v>
      </c>
      <c r="I2849" s="5" t="s">
        <v>22</v>
      </c>
      <c r="J2849" s="5" t="s">
        <v>60</v>
      </c>
      <c r="K2849" s="6">
        <v>0</v>
      </c>
      <c r="L2849" s="7">
        <v>0</v>
      </c>
      <c r="M2849" s="8">
        <v>22.5</v>
      </c>
      <c r="N2849" s="8">
        <v>41.666666666666664</v>
      </c>
      <c r="O2849" s="8">
        <v>0</v>
      </c>
      <c r="P2849" s="8">
        <v>0</v>
      </c>
      <c r="Q2849" s="8">
        <v>20</v>
      </c>
      <c r="R2849" s="8">
        <v>0</v>
      </c>
      <c r="S2849" s="8">
        <v>45</v>
      </c>
      <c r="T2849" s="5">
        <v>45</v>
      </c>
      <c r="U2849" s="5">
        <v>45</v>
      </c>
      <c r="V2849" s="5">
        <f>VLOOKUP(A2849,Planilha1!B:E,4,0)</f>
        <v>11.476197020267191</v>
      </c>
    </row>
    <row r="2850" spans="1:22" x14ac:dyDescent="0.3">
      <c r="A2850" t="str">
        <f t="shared" si="88"/>
        <v>LEITE UHTLACTALIS</v>
      </c>
      <c r="B2850" t="str">
        <f t="shared" si="89"/>
        <v>5359916LEITE UHTLACTALIS</v>
      </c>
      <c r="C2850" s="5" t="s">
        <v>226</v>
      </c>
      <c r="D2850" s="5" t="s">
        <v>227</v>
      </c>
      <c r="E2850" s="5" t="s">
        <v>1722</v>
      </c>
      <c r="F2850" s="5">
        <v>5359916</v>
      </c>
      <c r="G2850" s="5" t="s">
        <v>1414</v>
      </c>
      <c r="H2850" s="5" t="s">
        <v>30</v>
      </c>
      <c r="I2850" s="5" t="s">
        <v>22</v>
      </c>
      <c r="J2850" s="5" t="s">
        <v>156</v>
      </c>
      <c r="K2850" s="6">
        <v>0</v>
      </c>
      <c r="L2850" s="7">
        <v>0</v>
      </c>
      <c r="M2850" s="8">
        <v>28</v>
      </c>
      <c r="N2850" s="8">
        <v>56</v>
      </c>
      <c r="O2850" s="8">
        <v>0</v>
      </c>
      <c r="P2850" s="8">
        <v>0</v>
      </c>
      <c r="Q2850" s="8">
        <v>0</v>
      </c>
      <c r="R2850" s="8">
        <v>0</v>
      </c>
      <c r="S2850" s="8">
        <v>0</v>
      </c>
      <c r="T2850" s="5">
        <v>0</v>
      </c>
      <c r="U2850" s="5">
        <v>0</v>
      </c>
      <c r="V2850" s="5">
        <f>VLOOKUP(A2850,Planilha1!B:E,4,0)</f>
        <v>0.37177548115779385</v>
      </c>
    </row>
    <row r="2851" spans="1:22" x14ac:dyDescent="0.3">
      <c r="A2851" t="str">
        <f t="shared" si="88"/>
        <v>LEITE UHTLACTALIS</v>
      </c>
      <c r="B2851" t="str">
        <f t="shared" si="89"/>
        <v>5359917LEITE UHTLACTALIS</v>
      </c>
      <c r="C2851" s="5" t="s">
        <v>226</v>
      </c>
      <c r="D2851" s="5" t="s">
        <v>227</v>
      </c>
      <c r="E2851" s="5" t="s">
        <v>1722</v>
      </c>
      <c r="F2851" s="5">
        <v>5359917</v>
      </c>
      <c r="G2851" s="5" t="s">
        <v>1411</v>
      </c>
      <c r="H2851" s="5" t="s">
        <v>30</v>
      </c>
      <c r="I2851" s="5" t="s">
        <v>22</v>
      </c>
      <c r="J2851" s="5" t="s">
        <v>156</v>
      </c>
      <c r="K2851" s="6">
        <v>0</v>
      </c>
      <c r="L2851" s="7">
        <v>0</v>
      </c>
      <c r="M2851" s="8">
        <v>36</v>
      </c>
      <c r="N2851" s="8">
        <v>72</v>
      </c>
      <c r="O2851" s="8">
        <v>0</v>
      </c>
      <c r="P2851" s="8">
        <v>0</v>
      </c>
      <c r="Q2851" s="8">
        <v>0</v>
      </c>
      <c r="R2851" s="8">
        <v>0</v>
      </c>
      <c r="S2851" s="8">
        <v>0</v>
      </c>
      <c r="T2851" s="5">
        <v>0</v>
      </c>
      <c r="U2851" s="5">
        <v>0</v>
      </c>
      <c r="V2851" s="5">
        <f>VLOOKUP(A2851,Planilha1!B:E,4,0)</f>
        <v>0.37177548115779385</v>
      </c>
    </row>
    <row r="2852" spans="1:22" x14ac:dyDescent="0.3">
      <c r="A2852" t="str">
        <f t="shared" si="88"/>
        <v>LEITE UHTLACTALIS</v>
      </c>
      <c r="B2852" t="str">
        <f t="shared" si="89"/>
        <v>5359926LEITE UHTLACTALIS</v>
      </c>
      <c r="C2852" s="5" t="s">
        <v>226</v>
      </c>
      <c r="D2852" s="5" t="s">
        <v>227</v>
      </c>
      <c r="E2852" s="5" t="s">
        <v>1722</v>
      </c>
      <c r="F2852" s="5">
        <v>5359926</v>
      </c>
      <c r="G2852" s="5" t="s">
        <v>1415</v>
      </c>
      <c r="H2852" s="5" t="s">
        <v>30</v>
      </c>
      <c r="I2852" s="5" t="s">
        <v>22</v>
      </c>
      <c r="J2852" s="5" t="s">
        <v>156</v>
      </c>
      <c r="K2852" s="6">
        <v>0</v>
      </c>
      <c r="L2852" s="7">
        <v>0</v>
      </c>
      <c r="M2852" s="8">
        <v>20</v>
      </c>
      <c r="N2852" s="8">
        <v>40</v>
      </c>
      <c r="O2852" s="8">
        <v>0</v>
      </c>
      <c r="P2852" s="8">
        <v>0</v>
      </c>
      <c r="Q2852" s="8">
        <v>0</v>
      </c>
      <c r="R2852" s="8">
        <v>0</v>
      </c>
      <c r="S2852" s="8">
        <v>0</v>
      </c>
      <c r="T2852" s="5">
        <v>0</v>
      </c>
      <c r="U2852" s="5">
        <v>0</v>
      </c>
      <c r="V2852" s="5">
        <f>VLOOKUP(A2852,Planilha1!B:E,4,0)</f>
        <v>0.37177548115779385</v>
      </c>
    </row>
    <row r="2853" spans="1:22" x14ac:dyDescent="0.3">
      <c r="A2853" t="str">
        <f t="shared" si="88"/>
        <v>LEITE UHTLACTALIS</v>
      </c>
      <c r="B2853" t="str">
        <f t="shared" si="89"/>
        <v>5359925LEITE UHTLACTALIS</v>
      </c>
      <c r="C2853" s="5" t="s">
        <v>226</v>
      </c>
      <c r="D2853" s="5" t="s">
        <v>227</v>
      </c>
      <c r="E2853" s="5" t="s">
        <v>1722</v>
      </c>
      <c r="F2853" s="5">
        <v>5359925</v>
      </c>
      <c r="G2853" s="5" t="s">
        <v>1411</v>
      </c>
      <c r="H2853" s="5" t="s">
        <v>30</v>
      </c>
      <c r="I2853" s="5" t="s">
        <v>22</v>
      </c>
      <c r="J2853" s="5" t="s">
        <v>156</v>
      </c>
      <c r="K2853" s="6">
        <v>0</v>
      </c>
      <c r="L2853" s="7">
        <v>0</v>
      </c>
      <c r="M2853" s="8">
        <v>52</v>
      </c>
      <c r="N2853" s="8">
        <v>104</v>
      </c>
      <c r="O2853" s="8">
        <v>0</v>
      </c>
      <c r="P2853" s="8">
        <v>0</v>
      </c>
      <c r="Q2853" s="8">
        <v>0</v>
      </c>
      <c r="R2853" s="8">
        <v>0</v>
      </c>
      <c r="S2853" s="8">
        <v>0</v>
      </c>
      <c r="T2853" s="5">
        <v>0</v>
      </c>
      <c r="U2853" s="5">
        <v>0</v>
      </c>
      <c r="V2853" s="5">
        <f>VLOOKUP(A2853,Planilha1!B:E,4,0)</f>
        <v>0.37177548115779385</v>
      </c>
    </row>
    <row r="2854" spans="1:22" x14ac:dyDescent="0.3">
      <c r="A2854" t="str">
        <f t="shared" si="88"/>
        <v>LEITE UHTLACTALIS</v>
      </c>
      <c r="B2854" t="str">
        <f t="shared" si="89"/>
        <v>5360067LEITE UHTLACTALIS</v>
      </c>
      <c r="C2854" s="5" t="s">
        <v>226</v>
      </c>
      <c r="D2854" s="5" t="s">
        <v>227</v>
      </c>
      <c r="E2854" s="5" t="s">
        <v>1722</v>
      </c>
      <c r="F2854" s="5">
        <v>5360067</v>
      </c>
      <c r="G2854" s="5" t="s">
        <v>1416</v>
      </c>
      <c r="H2854" s="5" t="s">
        <v>30</v>
      </c>
      <c r="I2854" s="5" t="s">
        <v>22</v>
      </c>
      <c r="J2854" s="5" t="s">
        <v>156</v>
      </c>
      <c r="K2854" s="6">
        <v>0</v>
      </c>
      <c r="L2854" s="7">
        <v>0</v>
      </c>
      <c r="M2854" s="8">
        <v>20</v>
      </c>
      <c r="N2854" s="8">
        <v>40</v>
      </c>
      <c r="O2854" s="8">
        <v>0</v>
      </c>
      <c r="P2854" s="8">
        <v>0</v>
      </c>
      <c r="Q2854" s="8">
        <v>0</v>
      </c>
      <c r="R2854" s="8">
        <v>0</v>
      </c>
      <c r="S2854" s="8">
        <v>0</v>
      </c>
      <c r="T2854" s="5">
        <v>0</v>
      </c>
      <c r="U2854" s="5">
        <v>0</v>
      </c>
      <c r="V2854" s="5">
        <f>VLOOKUP(A2854,Planilha1!B:E,4,0)</f>
        <v>0.37177548115779385</v>
      </c>
    </row>
    <row r="2855" spans="1:22" x14ac:dyDescent="0.3">
      <c r="A2855" t="str">
        <f t="shared" si="88"/>
        <v>IOGURTESLACTALIS</v>
      </c>
      <c r="B2855" t="str">
        <f t="shared" si="89"/>
        <v>5360547IOGURTESLACTALIS</v>
      </c>
      <c r="C2855" s="5" t="s">
        <v>226</v>
      </c>
      <c r="D2855" s="5" t="s">
        <v>227</v>
      </c>
      <c r="E2855" s="5" t="s">
        <v>1722</v>
      </c>
      <c r="F2855" s="5">
        <v>5360547</v>
      </c>
      <c r="G2855" s="5" t="s">
        <v>1417</v>
      </c>
      <c r="H2855" s="5" t="s">
        <v>30</v>
      </c>
      <c r="I2855" s="5" t="s">
        <v>22</v>
      </c>
      <c r="J2855" s="5" t="s">
        <v>153</v>
      </c>
      <c r="K2855" s="6">
        <v>0</v>
      </c>
      <c r="L2855" s="7">
        <v>0</v>
      </c>
      <c r="M2855" s="8">
        <v>46.986666666666657</v>
      </c>
      <c r="N2855" s="8">
        <v>93.973333333333343</v>
      </c>
      <c r="O2855" s="8">
        <v>0</v>
      </c>
      <c r="P2855" s="8">
        <v>0</v>
      </c>
      <c r="Q2855" s="8">
        <v>0</v>
      </c>
      <c r="R2855" s="8">
        <v>0</v>
      </c>
      <c r="S2855" s="8">
        <v>0</v>
      </c>
      <c r="T2855" s="5">
        <v>0</v>
      </c>
      <c r="U2855" s="5">
        <v>0</v>
      </c>
      <c r="V2855" s="5">
        <f>VLOOKUP(A2855,Planilha1!B:E,4,0)</f>
        <v>3.0503167986984403</v>
      </c>
    </row>
    <row r="2856" spans="1:22" x14ac:dyDescent="0.3">
      <c r="A2856" t="str">
        <f t="shared" si="88"/>
        <v>LEITE UHTLACTALIS</v>
      </c>
      <c r="B2856" t="str">
        <f t="shared" si="89"/>
        <v>5360075LEITE UHTLACTALIS</v>
      </c>
      <c r="C2856" s="5" t="s">
        <v>226</v>
      </c>
      <c r="D2856" s="5" t="s">
        <v>227</v>
      </c>
      <c r="E2856" s="5" t="s">
        <v>1722</v>
      </c>
      <c r="F2856" s="5">
        <v>5360075</v>
      </c>
      <c r="G2856" s="5" t="s">
        <v>1416</v>
      </c>
      <c r="H2856" s="5" t="s">
        <v>30</v>
      </c>
      <c r="I2856" s="5" t="s">
        <v>22</v>
      </c>
      <c r="J2856" s="5" t="s">
        <v>156</v>
      </c>
      <c r="K2856" s="6">
        <v>0</v>
      </c>
      <c r="L2856" s="7">
        <v>0</v>
      </c>
      <c r="M2856" s="8">
        <v>14</v>
      </c>
      <c r="N2856" s="8">
        <v>28</v>
      </c>
      <c r="O2856" s="8">
        <v>0</v>
      </c>
      <c r="P2856" s="8">
        <v>0</v>
      </c>
      <c r="Q2856" s="8">
        <v>0</v>
      </c>
      <c r="R2856" s="8">
        <v>0</v>
      </c>
      <c r="S2856" s="8">
        <v>0</v>
      </c>
      <c r="T2856" s="5">
        <v>0</v>
      </c>
      <c r="U2856" s="5">
        <v>0</v>
      </c>
      <c r="V2856" s="5">
        <f>VLOOKUP(A2856,Planilha1!B:E,4,0)</f>
        <v>0.37177548115779385</v>
      </c>
    </row>
    <row r="2857" spans="1:22" x14ac:dyDescent="0.3">
      <c r="A2857" t="str">
        <f t="shared" si="88"/>
        <v>PARMESÃOLACTALIS</v>
      </c>
      <c r="B2857" t="str">
        <f t="shared" si="89"/>
        <v>5360087PARMESÃOLACTALIS</v>
      </c>
      <c r="C2857" s="5" t="s">
        <v>226</v>
      </c>
      <c r="D2857" s="5" t="s">
        <v>227</v>
      </c>
      <c r="E2857" s="5" t="s">
        <v>1722</v>
      </c>
      <c r="F2857" s="5">
        <v>5360087</v>
      </c>
      <c r="G2857" s="5" t="s">
        <v>1418</v>
      </c>
      <c r="H2857" s="5" t="s">
        <v>30</v>
      </c>
      <c r="I2857" s="5" t="s">
        <v>22</v>
      </c>
      <c r="J2857" s="5" t="s">
        <v>195</v>
      </c>
      <c r="K2857" s="6">
        <v>0</v>
      </c>
      <c r="L2857" s="7">
        <v>0</v>
      </c>
      <c r="M2857" s="8">
        <v>7.2316666666666656</v>
      </c>
      <c r="N2857" s="8">
        <v>9.3133333333333344</v>
      </c>
      <c r="O2857" s="8">
        <v>0</v>
      </c>
      <c r="P2857" s="8">
        <v>0</v>
      </c>
      <c r="Q2857" s="8">
        <v>0</v>
      </c>
      <c r="R2857" s="8">
        <v>0</v>
      </c>
      <c r="S2857" s="8">
        <v>0</v>
      </c>
      <c r="T2857" s="5">
        <v>0</v>
      </c>
      <c r="U2857" s="5">
        <v>15</v>
      </c>
      <c r="V2857" s="5">
        <f>VLOOKUP(A2857,Planilha1!B:E,4,0)</f>
        <v>6.310326960724681</v>
      </c>
    </row>
    <row r="2858" spans="1:22" x14ac:dyDescent="0.3">
      <c r="A2858" t="str">
        <f t="shared" si="88"/>
        <v>MANTEIGA 5KGLACTALIS</v>
      </c>
      <c r="B2858" t="str">
        <f t="shared" si="89"/>
        <v>5360185MANTEIGA 5KGLACTALIS</v>
      </c>
      <c r="C2858" s="5" t="s">
        <v>226</v>
      </c>
      <c r="D2858" s="5" t="s">
        <v>227</v>
      </c>
      <c r="E2858" s="5" t="s">
        <v>1722</v>
      </c>
      <c r="F2858" s="5">
        <v>5360185</v>
      </c>
      <c r="G2858" s="5" t="s">
        <v>1419</v>
      </c>
      <c r="H2858" s="5" t="s">
        <v>30</v>
      </c>
      <c r="I2858" s="5" t="s">
        <v>22</v>
      </c>
      <c r="J2858" s="5" t="s">
        <v>60</v>
      </c>
      <c r="K2858" s="6">
        <v>0</v>
      </c>
      <c r="L2858" s="7">
        <v>0</v>
      </c>
      <c r="M2858" s="8">
        <v>14.166666666666668</v>
      </c>
      <c r="N2858" s="8">
        <v>28.333333333333332</v>
      </c>
      <c r="O2858" s="8">
        <v>0</v>
      </c>
      <c r="P2858" s="8">
        <v>0</v>
      </c>
      <c r="Q2858" s="8">
        <v>0</v>
      </c>
      <c r="R2858" s="8">
        <v>0</v>
      </c>
      <c r="S2858" s="8">
        <v>40</v>
      </c>
      <c r="T2858" s="5">
        <v>40</v>
      </c>
      <c r="U2858" s="5">
        <v>40</v>
      </c>
      <c r="V2858" s="5">
        <f>VLOOKUP(A2858,Planilha1!B:E,4,0)</f>
        <v>11.476197020267191</v>
      </c>
    </row>
    <row r="2859" spans="1:22" x14ac:dyDescent="0.3">
      <c r="A2859" t="str">
        <f t="shared" si="88"/>
        <v>MANTEIGA 5KGLACTALIS</v>
      </c>
      <c r="B2859" t="str">
        <f t="shared" si="89"/>
        <v>5360416MANTEIGA 5KGLACTALIS</v>
      </c>
      <c r="C2859" s="5" t="s">
        <v>226</v>
      </c>
      <c r="D2859" s="5" t="s">
        <v>227</v>
      </c>
      <c r="E2859" s="5" t="s">
        <v>1722</v>
      </c>
      <c r="F2859" s="5">
        <v>5360416</v>
      </c>
      <c r="G2859" s="5" t="s">
        <v>1420</v>
      </c>
      <c r="H2859" s="5" t="s">
        <v>30</v>
      </c>
      <c r="I2859" s="5" t="s">
        <v>22</v>
      </c>
      <c r="J2859" s="5" t="s">
        <v>60</v>
      </c>
      <c r="K2859" s="6">
        <v>0</v>
      </c>
      <c r="L2859" s="7">
        <v>0</v>
      </c>
      <c r="M2859" s="8">
        <v>9.1666666666666679</v>
      </c>
      <c r="N2859" s="8">
        <v>18.333333333333332</v>
      </c>
      <c r="O2859" s="8">
        <v>0</v>
      </c>
      <c r="P2859" s="8">
        <v>0</v>
      </c>
      <c r="Q2859" s="8">
        <v>0</v>
      </c>
      <c r="R2859" s="8">
        <v>0</v>
      </c>
      <c r="S2859" s="8">
        <v>20</v>
      </c>
      <c r="T2859" s="5">
        <v>20</v>
      </c>
      <c r="U2859" s="5">
        <v>20</v>
      </c>
      <c r="V2859" s="5">
        <f>VLOOKUP(A2859,Planilha1!B:E,4,0)</f>
        <v>11.476197020267191</v>
      </c>
    </row>
    <row r="2860" spans="1:22" x14ac:dyDescent="0.3">
      <c r="A2860" t="str">
        <f t="shared" si="88"/>
        <v>CREME UHTLACTALIS</v>
      </c>
      <c r="B2860" t="str">
        <f t="shared" si="89"/>
        <v>5360546CREME UHTLACTALIS</v>
      </c>
      <c r="C2860" s="5" t="s">
        <v>226</v>
      </c>
      <c r="D2860" s="5" t="s">
        <v>227</v>
      </c>
      <c r="E2860" s="5" t="s">
        <v>1722</v>
      </c>
      <c r="F2860" s="5">
        <v>5360546</v>
      </c>
      <c r="G2860" s="5" t="s">
        <v>1421</v>
      </c>
      <c r="H2860" s="5" t="s">
        <v>30</v>
      </c>
      <c r="I2860" s="5" t="s">
        <v>22</v>
      </c>
      <c r="J2860" s="5" t="s">
        <v>34</v>
      </c>
      <c r="K2860" s="6">
        <v>0</v>
      </c>
      <c r="L2860" s="7">
        <v>0</v>
      </c>
      <c r="M2860" s="8">
        <v>45</v>
      </c>
      <c r="N2860" s="8">
        <v>90</v>
      </c>
      <c r="O2860" s="8">
        <v>108</v>
      </c>
      <c r="P2860" s="8">
        <v>0</v>
      </c>
      <c r="Q2860" s="8">
        <v>0</v>
      </c>
      <c r="R2860" s="8">
        <v>0</v>
      </c>
      <c r="S2860" s="8">
        <v>108</v>
      </c>
      <c r="T2860" s="5">
        <v>108</v>
      </c>
      <c r="U2860" s="5">
        <v>27</v>
      </c>
      <c r="V2860" s="5">
        <f>VLOOKUP(A2860,Planilha1!B:E,4,0)</f>
        <v>-1.4094522863012933</v>
      </c>
    </row>
    <row r="2861" spans="1:22" x14ac:dyDescent="0.3">
      <c r="A2861" t="str">
        <f t="shared" si="88"/>
        <v>LEITE UHTLACTALIS</v>
      </c>
      <c r="B2861" t="str">
        <f t="shared" si="89"/>
        <v>5360546LEITE UHTLACTALIS</v>
      </c>
      <c r="C2861" s="5" t="s">
        <v>226</v>
      </c>
      <c r="D2861" s="5" t="s">
        <v>227</v>
      </c>
      <c r="E2861" s="5" t="s">
        <v>1722</v>
      </c>
      <c r="F2861" s="5">
        <v>5360546</v>
      </c>
      <c r="G2861" s="5" t="s">
        <v>1421</v>
      </c>
      <c r="H2861" s="5" t="s">
        <v>30</v>
      </c>
      <c r="I2861" s="5" t="s">
        <v>22</v>
      </c>
      <c r="J2861" s="5" t="s">
        <v>156</v>
      </c>
      <c r="K2861" s="6">
        <v>0</v>
      </c>
      <c r="L2861" s="7">
        <v>0</v>
      </c>
      <c r="M2861" s="8">
        <v>40</v>
      </c>
      <c r="N2861" s="8">
        <v>80</v>
      </c>
      <c r="O2861" s="8">
        <v>0</v>
      </c>
      <c r="P2861" s="8">
        <v>0</v>
      </c>
      <c r="Q2861" s="8">
        <v>0</v>
      </c>
      <c r="R2861" s="8">
        <v>0</v>
      </c>
      <c r="S2861" s="8">
        <v>0</v>
      </c>
      <c r="T2861" s="5">
        <v>0</v>
      </c>
      <c r="U2861" s="5">
        <v>0</v>
      </c>
      <c r="V2861" s="5">
        <f>VLOOKUP(A2861,Planilha1!B:E,4,0)</f>
        <v>0.37177548115779385</v>
      </c>
    </row>
    <row r="2862" spans="1:22" x14ac:dyDescent="0.3">
      <c r="A2862" t="str">
        <f t="shared" si="88"/>
        <v>LEITE UHTLACTALIS</v>
      </c>
      <c r="B2862" t="str">
        <f t="shared" si="89"/>
        <v>5360547LEITE UHTLACTALIS</v>
      </c>
      <c r="C2862" s="5" t="s">
        <v>226</v>
      </c>
      <c r="D2862" s="5" t="s">
        <v>227</v>
      </c>
      <c r="E2862" s="5" t="s">
        <v>1722</v>
      </c>
      <c r="F2862" s="5">
        <v>5360547</v>
      </c>
      <c r="G2862" s="5" t="s">
        <v>1417</v>
      </c>
      <c r="H2862" s="5" t="s">
        <v>30</v>
      </c>
      <c r="I2862" s="5" t="s">
        <v>22</v>
      </c>
      <c r="J2862" s="5" t="s">
        <v>156</v>
      </c>
      <c r="K2862" s="6">
        <v>0</v>
      </c>
      <c r="L2862" s="7">
        <v>0</v>
      </c>
      <c r="M2862" s="8">
        <v>48</v>
      </c>
      <c r="N2862" s="8">
        <v>96</v>
      </c>
      <c r="O2862" s="8">
        <v>0</v>
      </c>
      <c r="P2862" s="8">
        <v>0</v>
      </c>
      <c r="Q2862" s="8">
        <v>84</v>
      </c>
      <c r="R2862" s="8">
        <v>0</v>
      </c>
      <c r="S2862" s="8">
        <v>0</v>
      </c>
      <c r="T2862" s="5">
        <v>0</v>
      </c>
      <c r="U2862" s="5">
        <v>0</v>
      </c>
      <c r="V2862" s="5">
        <f>VLOOKUP(A2862,Planilha1!B:E,4,0)</f>
        <v>0.37177548115779385</v>
      </c>
    </row>
    <row r="2863" spans="1:22" x14ac:dyDescent="0.3">
      <c r="A2863" t="str">
        <f t="shared" si="88"/>
        <v>QUEIJOSLACTALIS</v>
      </c>
      <c r="B2863" t="str">
        <f t="shared" si="89"/>
        <v>5360547QUEIJOSLACTALIS</v>
      </c>
      <c r="C2863" s="5" t="s">
        <v>226</v>
      </c>
      <c r="D2863" s="5" t="s">
        <v>227</v>
      </c>
      <c r="E2863" s="5" t="s">
        <v>1722</v>
      </c>
      <c r="F2863" s="5">
        <v>5360547</v>
      </c>
      <c r="G2863" s="5" t="s">
        <v>1417</v>
      </c>
      <c r="H2863" s="5" t="s">
        <v>30</v>
      </c>
      <c r="I2863" s="5" t="s">
        <v>22</v>
      </c>
      <c r="J2863" s="5" t="s">
        <v>63</v>
      </c>
      <c r="K2863" s="6">
        <v>0</v>
      </c>
      <c r="L2863" s="7">
        <v>0</v>
      </c>
      <c r="M2863" s="8">
        <v>5.8500000000000005</v>
      </c>
      <c r="N2863" s="8">
        <v>11.700000000000001</v>
      </c>
      <c r="O2863" s="8">
        <v>0</v>
      </c>
      <c r="P2863" s="8">
        <v>0</v>
      </c>
      <c r="Q2863" s="8">
        <v>0</v>
      </c>
      <c r="R2863" s="8">
        <v>0</v>
      </c>
      <c r="S2863" s="8">
        <v>0</v>
      </c>
      <c r="T2863" s="5">
        <v>0</v>
      </c>
      <c r="U2863" s="5">
        <v>0</v>
      </c>
      <c r="V2863" s="5">
        <f>VLOOKUP(A2863,Planilha1!B:E,4,0)</f>
        <v>-1.9171310037550682</v>
      </c>
    </row>
    <row r="2864" spans="1:22" x14ac:dyDescent="0.3">
      <c r="A2864" t="str">
        <f t="shared" si="88"/>
        <v>CREME UHTITAMBÉ</v>
      </c>
      <c r="B2864" t="str">
        <f t="shared" si="89"/>
        <v>5361277CREME UHTITAMBÉ</v>
      </c>
      <c r="C2864" s="5" t="s">
        <v>226</v>
      </c>
      <c r="D2864" s="5" t="s">
        <v>727</v>
      </c>
      <c r="E2864" s="5" t="s">
        <v>733</v>
      </c>
      <c r="F2864" s="5">
        <v>5361277</v>
      </c>
      <c r="G2864" s="5" t="s">
        <v>1239</v>
      </c>
      <c r="H2864" s="5" t="s">
        <v>25</v>
      </c>
      <c r="I2864" s="5" t="s">
        <v>27</v>
      </c>
      <c r="J2864" s="5" t="s">
        <v>34</v>
      </c>
      <c r="K2864" s="6">
        <v>0</v>
      </c>
      <c r="L2864" s="7">
        <v>0</v>
      </c>
      <c r="M2864" s="8">
        <v>8.98</v>
      </c>
      <c r="N2864" s="8">
        <v>17.666666666666668</v>
      </c>
      <c r="O2864" s="8">
        <v>0</v>
      </c>
      <c r="P2864" s="8">
        <v>0</v>
      </c>
      <c r="Q2864" s="8">
        <v>0</v>
      </c>
      <c r="R2864" s="8">
        <v>0</v>
      </c>
      <c r="S2864" s="8">
        <v>0</v>
      </c>
      <c r="T2864" s="5">
        <v>0</v>
      </c>
      <c r="U2864" s="5">
        <v>0</v>
      </c>
      <c r="V2864" s="5">
        <f>VLOOKUP(A2864,Planilha1!B:E,4,0)</f>
        <v>1.2362540170747773</v>
      </c>
    </row>
    <row r="2865" spans="1:22" x14ac:dyDescent="0.3">
      <c r="A2865" t="str">
        <f t="shared" si="88"/>
        <v>LEITE UHTLACTALIS</v>
      </c>
      <c r="B2865" t="str">
        <f t="shared" si="89"/>
        <v>5360703LEITE UHTLACTALIS</v>
      </c>
      <c r="C2865" s="5" t="s">
        <v>226</v>
      </c>
      <c r="D2865" s="5" t="s">
        <v>227</v>
      </c>
      <c r="E2865" s="5" t="s">
        <v>1722</v>
      </c>
      <c r="F2865" s="5">
        <v>5360703</v>
      </c>
      <c r="G2865" s="5" t="s">
        <v>1422</v>
      </c>
      <c r="H2865" s="5" t="s">
        <v>30</v>
      </c>
      <c r="I2865" s="5" t="s">
        <v>22</v>
      </c>
      <c r="J2865" s="5" t="s">
        <v>156</v>
      </c>
      <c r="K2865" s="6">
        <v>0</v>
      </c>
      <c r="L2865" s="7">
        <v>0</v>
      </c>
      <c r="M2865" s="8">
        <v>80</v>
      </c>
      <c r="N2865" s="8">
        <v>160</v>
      </c>
      <c r="O2865" s="8">
        <v>0</v>
      </c>
      <c r="P2865" s="8">
        <v>0</v>
      </c>
      <c r="Q2865" s="8">
        <v>0</v>
      </c>
      <c r="R2865" s="8">
        <v>0</v>
      </c>
      <c r="S2865" s="8">
        <v>0</v>
      </c>
      <c r="T2865" s="5">
        <v>0</v>
      </c>
      <c r="U2865" s="5">
        <v>0</v>
      </c>
      <c r="V2865" s="5">
        <f>VLOOKUP(A2865,Planilha1!B:E,4,0)</f>
        <v>0.37177548115779385</v>
      </c>
    </row>
    <row r="2866" spans="1:22" x14ac:dyDescent="0.3">
      <c r="A2866" t="str">
        <f t="shared" si="88"/>
        <v>BLISTERLACTALIS</v>
      </c>
      <c r="B2866" t="str">
        <f t="shared" si="89"/>
        <v>5360703BLISTERLACTALIS</v>
      </c>
      <c r="C2866" s="5" t="s">
        <v>226</v>
      </c>
      <c r="D2866" s="5" t="s">
        <v>227</v>
      </c>
      <c r="E2866" s="5" t="s">
        <v>1722</v>
      </c>
      <c r="F2866" s="5">
        <v>5360703</v>
      </c>
      <c r="G2866" s="5" t="s">
        <v>1422</v>
      </c>
      <c r="H2866" s="5" t="s">
        <v>30</v>
      </c>
      <c r="I2866" s="5" t="s">
        <v>22</v>
      </c>
      <c r="J2866" s="5" t="s">
        <v>199</v>
      </c>
      <c r="K2866" s="6">
        <v>0</v>
      </c>
      <c r="L2866" s="7">
        <v>0</v>
      </c>
      <c r="M2866" s="8">
        <v>4.4799999999999995</v>
      </c>
      <c r="N2866" s="8">
        <v>8.9599999999999991</v>
      </c>
      <c r="O2866" s="8">
        <v>0</v>
      </c>
      <c r="P2866" s="8">
        <v>0</v>
      </c>
      <c r="Q2866" s="8">
        <v>13.44</v>
      </c>
      <c r="R2866" s="8">
        <v>0</v>
      </c>
      <c r="S2866" s="8">
        <v>13</v>
      </c>
      <c r="T2866" s="5">
        <v>13</v>
      </c>
      <c r="U2866" s="5">
        <v>13</v>
      </c>
      <c r="V2866" s="5">
        <f>VLOOKUP(A2866,Planilha1!B:E,4,0)</f>
        <v>13.783871706210666</v>
      </c>
    </row>
    <row r="2867" spans="1:22" x14ac:dyDescent="0.3">
      <c r="A2867" t="str">
        <f t="shared" si="88"/>
        <v>LPI 25KGLACTALIS</v>
      </c>
      <c r="B2867" t="str">
        <f t="shared" si="89"/>
        <v>5360740LPI 25KGLACTALIS</v>
      </c>
      <c r="C2867" s="5" t="s">
        <v>16</v>
      </c>
      <c r="D2867" s="5" t="s">
        <v>17</v>
      </c>
      <c r="E2867" s="5" t="s">
        <v>66</v>
      </c>
      <c r="F2867" s="5">
        <v>5360740</v>
      </c>
      <c r="G2867" s="5" t="s">
        <v>1423</v>
      </c>
      <c r="H2867" s="5" t="s">
        <v>96</v>
      </c>
      <c r="I2867" s="5" t="s">
        <v>22</v>
      </c>
      <c r="J2867" s="5" t="s">
        <v>21</v>
      </c>
      <c r="K2867" s="6">
        <v>0</v>
      </c>
      <c r="L2867" s="7">
        <v>0</v>
      </c>
      <c r="M2867" s="8">
        <v>12441.666666666668</v>
      </c>
      <c r="N2867" s="8">
        <v>24883.333333333336</v>
      </c>
      <c r="O2867" s="8">
        <v>0</v>
      </c>
      <c r="P2867" s="8">
        <v>0</v>
      </c>
      <c r="Q2867" s="8">
        <v>0</v>
      </c>
      <c r="R2867" s="8">
        <v>0</v>
      </c>
      <c r="S2867" s="8">
        <v>0</v>
      </c>
      <c r="T2867" s="5">
        <v>0</v>
      </c>
      <c r="U2867" s="5">
        <v>0</v>
      </c>
      <c r="V2867" s="5">
        <f>VLOOKUP(A2867,Planilha1!B:E,4,0)</f>
        <v>-4.3046759024811481</v>
      </c>
    </row>
    <row r="2868" spans="1:22" x14ac:dyDescent="0.3">
      <c r="A2868" t="str">
        <f t="shared" si="88"/>
        <v>MANTEIGA 5KGLACTALIS</v>
      </c>
      <c r="B2868" t="str">
        <f t="shared" si="89"/>
        <v>5360779MANTEIGA 5KGLACTALIS</v>
      </c>
      <c r="C2868" s="5" t="s">
        <v>226</v>
      </c>
      <c r="D2868" s="5" t="s">
        <v>227</v>
      </c>
      <c r="E2868" s="5" t="s">
        <v>1722</v>
      </c>
      <c r="F2868" s="5">
        <v>5360779</v>
      </c>
      <c r="G2868" s="5" t="s">
        <v>1424</v>
      </c>
      <c r="H2868" s="5" t="s">
        <v>30</v>
      </c>
      <c r="I2868" s="5" t="s">
        <v>22</v>
      </c>
      <c r="J2868" s="5" t="s">
        <v>60</v>
      </c>
      <c r="K2868" s="6">
        <v>0</v>
      </c>
      <c r="L2868" s="7">
        <v>0</v>
      </c>
      <c r="M2868" s="8">
        <v>24.166666666666664</v>
      </c>
      <c r="N2868" s="8">
        <v>48.333333333333336</v>
      </c>
      <c r="O2868" s="8">
        <v>0</v>
      </c>
      <c r="P2868" s="8">
        <v>0</v>
      </c>
      <c r="Q2868" s="8">
        <v>20</v>
      </c>
      <c r="R2868" s="8">
        <v>0</v>
      </c>
      <c r="S2868" s="8">
        <v>40</v>
      </c>
      <c r="T2868" s="5">
        <v>40</v>
      </c>
      <c r="U2868" s="5">
        <v>40</v>
      </c>
      <c r="V2868" s="5">
        <f>VLOOKUP(A2868,Planilha1!B:E,4,0)</f>
        <v>11.476197020267191</v>
      </c>
    </row>
    <row r="2869" spans="1:22" x14ac:dyDescent="0.3">
      <c r="A2869" t="str">
        <f t="shared" si="88"/>
        <v>QUEIJOSLACTALIS</v>
      </c>
      <c r="B2869" t="str">
        <f t="shared" si="89"/>
        <v>5360955QUEIJOSLACTALIS</v>
      </c>
      <c r="C2869" s="5" t="s">
        <v>226</v>
      </c>
      <c r="D2869" s="5" t="s">
        <v>227</v>
      </c>
      <c r="E2869" s="5" t="s">
        <v>1722</v>
      </c>
      <c r="F2869" s="5">
        <v>5360955</v>
      </c>
      <c r="G2869" s="5" t="s">
        <v>1425</v>
      </c>
      <c r="H2869" s="5" t="s">
        <v>30</v>
      </c>
      <c r="I2869" s="5" t="s">
        <v>22</v>
      </c>
      <c r="J2869" s="5" t="s">
        <v>63</v>
      </c>
      <c r="K2869" s="6">
        <v>0</v>
      </c>
      <c r="L2869" s="7">
        <v>0</v>
      </c>
      <c r="M2869" s="8">
        <v>5.793333333333333</v>
      </c>
      <c r="N2869" s="8">
        <v>11.586666666666666</v>
      </c>
      <c r="O2869" s="8">
        <v>0</v>
      </c>
      <c r="P2869" s="8">
        <v>0</v>
      </c>
      <c r="Q2869" s="8">
        <v>0</v>
      </c>
      <c r="R2869" s="8">
        <v>0</v>
      </c>
      <c r="S2869" s="8">
        <v>0</v>
      </c>
      <c r="T2869" s="5">
        <v>0</v>
      </c>
      <c r="U2869" s="5">
        <v>0</v>
      </c>
      <c r="V2869" s="5">
        <f>VLOOKUP(A2869,Planilha1!B:E,4,0)</f>
        <v>-1.9171310037550682</v>
      </c>
    </row>
    <row r="2870" spans="1:22" x14ac:dyDescent="0.3">
      <c r="A2870" t="str">
        <f t="shared" si="88"/>
        <v>LEITE UHTLACTALIS</v>
      </c>
      <c r="B2870" t="str">
        <f t="shared" si="89"/>
        <v>5361155LEITE UHTLACTALIS</v>
      </c>
      <c r="C2870" s="5" t="s">
        <v>226</v>
      </c>
      <c r="D2870" s="5" t="s">
        <v>227</v>
      </c>
      <c r="E2870" s="5" t="s">
        <v>1722</v>
      </c>
      <c r="F2870" s="5">
        <v>5361155</v>
      </c>
      <c r="G2870" s="5" t="s">
        <v>1426</v>
      </c>
      <c r="H2870" s="5" t="s">
        <v>30</v>
      </c>
      <c r="I2870" s="5" t="s">
        <v>22</v>
      </c>
      <c r="J2870" s="5" t="s">
        <v>156</v>
      </c>
      <c r="K2870" s="6">
        <v>0</v>
      </c>
      <c r="L2870" s="7">
        <v>0</v>
      </c>
      <c r="M2870" s="8">
        <v>280</v>
      </c>
      <c r="N2870" s="8">
        <v>560</v>
      </c>
      <c r="O2870" s="8">
        <v>0</v>
      </c>
      <c r="P2870" s="8">
        <v>0</v>
      </c>
      <c r="Q2870" s="8">
        <v>0</v>
      </c>
      <c r="R2870" s="8">
        <v>0</v>
      </c>
      <c r="S2870" s="8">
        <v>0</v>
      </c>
      <c r="T2870" s="5">
        <v>0</v>
      </c>
      <c r="U2870" s="5">
        <v>0</v>
      </c>
      <c r="V2870" s="5">
        <f>VLOOKUP(A2870,Planilha1!B:E,4,0)</f>
        <v>0.37177548115779385</v>
      </c>
    </row>
    <row r="2871" spans="1:22" x14ac:dyDescent="0.3">
      <c r="A2871" t="str">
        <f t="shared" si="88"/>
        <v>LPI 25KGLACTALIS</v>
      </c>
      <c r="B2871" t="str">
        <f t="shared" si="89"/>
        <v>5361431LPI 25KGLACTALIS</v>
      </c>
      <c r="C2871" s="5" t="s">
        <v>16</v>
      </c>
      <c r="D2871" s="5" t="s">
        <v>53</v>
      </c>
      <c r="E2871" s="5" t="s">
        <v>54</v>
      </c>
      <c r="F2871" s="5">
        <v>5361431</v>
      </c>
      <c r="G2871" s="5" t="s">
        <v>1427</v>
      </c>
      <c r="H2871" s="5" t="s">
        <v>113</v>
      </c>
      <c r="I2871" s="5" t="s">
        <v>22</v>
      </c>
      <c r="J2871" s="5" t="s">
        <v>21</v>
      </c>
      <c r="K2871" s="6">
        <v>0</v>
      </c>
      <c r="L2871" s="7">
        <v>0</v>
      </c>
      <c r="M2871" s="8">
        <v>208.33333333333331</v>
      </c>
      <c r="N2871" s="8">
        <v>416.66666666666669</v>
      </c>
      <c r="O2871" s="8">
        <v>0</v>
      </c>
      <c r="P2871" s="8">
        <v>0</v>
      </c>
      <c r="Q2871" s="8">
        <v>0</v>
      </c>
      <c r="R2871" s="8">
        <v>0</v>
      </c>
      <c r="S2871" s="8">
        <v>0</v>
      </c>
      <c r="T2871" s="5">
        <v>0</v>
      </c>
      <c r="U2871" s="5">
        <v>0</v>
      </c>
      <c r="V2871" s="5">
        <f>VLOOKUP(A2871,Planilha1!B:E,4,0)</f>
        <v>-4.3046759024811481</v>
      </c>
    </row>
    <row r="2872" spans="1:22" x14ac:dyDescent="0.3">
      <c r="A2872" t="str">
        <f t="shared" si="88"/>
        <v>LEITE UHTLACTALIS</v>
      </c>
      <c r="B2872" t="str">
        <f t="shared" si="89"/>
        <v>5361484LEITE UHTLACTALIS</v>
      </c>
      <c r="C2872" s="5" t="s">
        <v>226</v>
      </c>
      <c r="D2872" s="5" t="s">
        <v>227</v>
      </c>
      <c r="E2872" s="5" t="s">
        <v>1722</v>
      </c>
      <c r="F2872" s="5">
        <v>5361484</v>
      </c>
      <c r="G2872" s="5" t="s">
        <v>1428</v>
      </c>
      <c r="H2872" s="5" t="s">
        <v>30</v>
      </c>
      <c r="I2872" s="5" t="s">
        <v>22</v>
      </c>
      <c r="J2872" s="5" t="s">
        <v>156</v>
      </c>
      <c r="K2872" s="6">
        <v>0</v>
      </c>
      <c r="L2872" s="7">
        <v>0</v>
      </c>
      <c r="M2872" s="8">
        <v>10</v>
      </c>
      <c r="N2872" s="8">
        <v>20</v>
      </c>
      <c r="O2872" s="8">
        <v>0</v>
      </c>
      <c r="P2872" s="8">
        <v>0</v>
      </c>
      <c r="Q2872" s="8">
        <v>0</v>
      </c>
      <c r="R2872" s="8">
        <v>0</v>
      </c>
      <c r="S2872" s="8">
        <v>0</v>
      </c>
      <c r="T2872" s="5">
        <v>0</v>
      </c>
      <c r="U2872" s="5">
        <v>0</v>
      </c>
      <c r="V2872" s="5">
        <f>VLOOKUP(A2872,Planilha1!B:E,4,0)</f>
        <v>0.37177548115779385</v>
      </c>
    </row>
    <row r="2873" spans="1:22" x14ac:dyDescent="0.3">
      <c r="A2873" t="str">
        <f t="shared" si="88"/>
        <v>IOGURTESLACTALIS</v>
      </c>
      <c r="B2873" t="str">
        <f t="shared" si="89"/>
        <v>5361542IOGURTESLACTALIS</v>
      </c>
      <c r="C2873" s="5" t="s">
        <v>226</v>
      </c>
      <c r="D2873" s="5" t="s">
        <v>227</v>
      </c>
      <c r="E2873" s="5" t="s">
        <v>1722</v>
      </c>
      <c r="F2873" s="5">
        <v>5361542</v>
      </c>
      <c r="G2873" s="5" t="s">
        <v>1429</v>
      </c>
      <c r="H2873" s="5" t="s">
        <v>30</v>
      </c>
      <c r="I2873" s="5" t="s">
        <v>22</v>
      </c>
      <c r="J2873" s="5" t="s">
        <v>153</v>
      </c>
      <c r="K2873" s="6">
        <v>0</v>
      </c>
      <c r="L2873" s="7">
        <v>0</v>
      </c>
      <c r="M2873" s="8">
        <v>2.04</v>
      </c>
      <c r="N2873" s="8">
        <v>4.08</v>
      </c>
      <c r="O2873" s="8">
        <v>0</v>
      </c>
      <c r="P2873" s="8">
        <v>0</v>
      </c>
      <c r="Q2873" s="8">
        <v>0</v>
      </c>
      <c r="R2873" s="8">
        <v>0</v>
      </c>
      <c r="S2873" s="8">
        <v>0</v>
      </c>
      <c r="T2873" s="5">
        <v>0</v>
      </c>
      <c r="U2873" s="5">
        <v>0</v>
      </c>
      <c r="V2873" s="5">
        <f>VLOOKUP(A2873,Planilha1!B:E,4,0)</f>
        <v>3.0503167986984403</v>
      </c>
    </row>
    <row r="2874" spans="1:22" x14ac:dyDescent="0.3">
      <c r="A2874" t="str">
        <f t="shared" si="88"/>
        <v>LEITE UHTLACTALIS</v>
      </c>
      <c r="B2874" t="str">
        <f t="shared" si="89"/>
        <v>5361542LEITE UHTLACTALIS</v>
      </c>
      <c r="C2874" s="5" t="s">
        <v>226</v>
      </c>
      <c r="D2874" s="5" t="s">
        <v>227</v>
      </c>
      <c r="E2874" s="5" t="s">
        <v>1722</v>
      </c>
      <c r="F2874" s="5">
        <v>5361542</v>
      </c>
      <c r="G2874" s="5" t="s">
        <v>1429</v>
      </c>
      <c r="H2874" s="5" t="s">
        <v>30</v>
      </c>
      <c r="I2874" s="5" t="s">
        <v>22</v>
      </c>
      <c r="J2874" s="5" t="s">
        <v>156</v>
      </c>
      <c r="K2874" s="6">
        <v>0</v>
      </c>
      <c r="L2874" s="7">
        <v>0</v>
      </c>
      <c r="M2874" s="8">
        <v>4</v>
      </c>
      <c r="N2874" s="8">
        <v>8</v>
      </c>
      <c r="O2874" s="8">
        <v>0</v>
      </c>
      <c r="P2874" s="8">
        <v>0</v>
      </c>
      <c r="Q2874" s="8">
        <v>0</v>
      </c>
      <c r="R2874" s="8">
        <v>0</v>
      </c>
      <c r="S2874" s="8">
        <v>0</v>
      </c>
      <c r="T2874" s="5">
        <v>0</v>
      </c>
      <c r="U2874" s="5">
        <v>0</v>
      </c>
      <c r="V2874" s="5">
        <f>VLOOKUP(A2874,Planilha1!B:E,4,0)</f>
        <v>0.37177548115779385</v>
      </c>
    </row>
    <row r="2875" spans="1:22" x14ac:dyDescent="0.3">
      <c r="A2875" t="str">
        <f t="shared" si="88"/>
        <v>LEITE UHTLACTALIS</v>
      </c>
      <c r="B2875" t="str">
        <f t="shared" si="89"/>
        <v>5361618LEITE UHTLACTALIS</v>
      </c>
      <c r="C2875" s="5" t="s">
        <v>226</v>
      </c>
      <c r="D2875" s="5" t="s">
        <v>227</v>
      </c>
      <c r="E2875" s="5" t="s">
        <v>1722</v>
      </c>
      <c r="F2875" s="5">
        <v>5361618</v>
      </c>
      <c r="G2875" s="5" t="s">
        <v>1430</v>
      </c>
      <c r="H2875" s="5" t="s">
        <v>30</v>
      </c>
      <c r="I2875" s="5" t="s">
        <v>22</v>
      </c>
      <c r="J2875" s="5" t="s">
        <v>156</v>
      </c>
      <c r="K2875" s="6">
        <v>0</v>
      </c>
      <c r="L2875" s="7">
        <v>0</v>
      </c>
      <c r="M2875" s="8">
        <v>100</v>
      </c>
      <c r="N2875" s="8">
        <v>200</v>
      </c>
      <c r="O2875" s="8">
        <v>0</v>
      </c>
      <c r="P2875" s="8">
        <v>0</v>
      </c>
      <c r="Q2875" s="8">
        <v>0</v>
      </c>
      <c r="R2875" s="8">
        <v>0</v>
      </c>
      <c r="S2875" s="8">
        <v>0</v>
      </c>
      <c r="T2875" s="5">
        <v>0</v>
      </c>
      <c r="U2875" s="5">
        <v>0</v>
      </c>
      <c r="V2875" s="5">
        <f>VLOOKUP(A2875,Planilha1!B:E,4,0)</f>
        <v>0.37177548115779385</v>
      </c>
    </row>
    <row r="2876" spans="1:22" x14ac:dyDescent="0.3">
      <c r="A2876" t="str">
        <f t="shared" si="88"/>
        <v>LEITE UHTLACTALIS</v>
      </c>
      <c r="B2876" t="str">
        <f t="shared" si="89"/>
        <v>5361822LEITE UHTLACTALIS</v>
      </c>
      <c r="C2876" s="5" t="s">
        <v>226</v>
      </c>
      <c r="D2876" s="5" t="s">
        <v>227</v>
      </c>
      <c r="E2876" s="5" t="s">
        <v>1722</v>
      </c>
      <c r="F2876" s="5">
        <v>5361822</v>
      </c>
      <c r="G2876" s="5" t="s">
        <v>1431</v>
      </c>
      <c r="H2876" s="5" t="s">
        <v>30</v>
      </c>
      <c r="I2876" s="5" t="s">
        <v>22</v>
      </c>
      <c r="J2876" s="5" t="s">
        <v>156</v>
      </c>
      <c r="K2876" s="6">
        <v>0</v>
      </c>
      <c r="L2876" s="7">
        <v>0</v>
      </c>
      <c r="M2876" s="8">
        <v>10</v>
      </c>
      <c r="N2876" s="8">
        <v>20</v>
      </c>
      <c r="O2876" s="8">
        <v>0</v>
      </c>
      <c r="P2876" s="8">
        <v>0</v>
      </c>
      <c r="Q2876" s="8">
        <v>60</v>
      </c>
      <c r="R2876" s="8">
        <v>0</v>
      </c>
      <c r="S2876" s="8">
        <v>0</v>
      </c>
      <c r="T2876" s="5">
        <v>0</v>
      </c>
      <c r="U2876" s="5">
        <v>0</v>
      </c>
      <c r="V2876" s="5">
        <f>VLOOKUP(A2876,Planilha1!B:E,4,0)</f>
        <v>0.37177548115779385</v>
      </c>
    </row>
    <row r="2877" spans="1:22" x14ac:dyDescent="0.3">
      <c r="A2877" t="str">
        <f t="shared" si="88"/>
        <v>MANTEIGA 5KGLACTALIS</v>
      </c>
      <c r="B2877" t="str">
        <f t="shared" si="89"/>
        <v>5361874MANTEIGA 5KGLACTALIS</v>
      </c>
      <c r="C2877" s="5" t="s">
        <v>226</v>
      </c>
      <c r="D2877" s="5" t="s">
        <v>227</v>
      </c>
      <c r="E2877" s="5" t="s">
        <v>1722</v>
      </c>
      <c r="F2877" s="5">
        <v>5361874</v>
      </c>
      <c r="G2877" s="5" t="s">
        <v>1432</v>
      </c>
      <c r="H2877" s="5" t="s">
        <v>30</v>
      </c>
      <c r="I2877" s="5" t="s">
        <v>22</v>
      </c>
      <c r="J2877" s="5" t="s">
        <v>60</v>
      </c>
      <c r="K2877" s="6">
        <v>0</v>
      </c>
      <c r="L2877" s="7">
        <v>0</v>
      </c>
      <c r="M2877" s="8">
        <v>27.5</v>
      </c>
      <c r="N2877" s="8">
        <v>55</v>
      </c>
      <c r="O2877" s="8">
        <v>0</v>
      </c>
      <c r="P2877" s="8">
        <v>0</v>
      </c>
      <c r="Q2877" s="8">
        <v>100</v>
      </c>
      <c r="R2877" s="8">
        <v>0</v>
      </c>
      <c r="S2877" s="8">
        <v>90</v>
      </c>
      <c r="T2877" s="5">
        <v>90</v>
      </c>
      <c r="U2877" s="5">
        <v>45</v>
      </c>
      <c r="V2877" s="5">
        <f>VLOOKUP(A2877,Planilha1!B:E,4,0)</f>
        <v>11.476197020267191</v>
      </c>
    </row>
    <row r="2878" spans="1:22" x14ac:dyDescent="0.3">
      <c r="A2878" t="str">
        <f t="shared" si="88"/>
        <v>IOGURTESLACTALIS</v>
      </c>
      <c r="B2878" t="str">
        <f t="shared" si="89"/>
        <v>5361875IOGURTESLACTALIS</v>
      </c>
      <c r="C2878" s="5" t="s">
        <v>226</v>
      </c>
      <c r="D2878" s="5" t="s">
        <v>227</v>
      </c>
      <c r="E2878" s="5" t="s">
        <v>1722</v>
      </c>
      <c r="F2878" s="5">
        <v>5361875</v>
      </c>
      <c r="G2878" s="5" t="s">
        <v>321</v>
      </c>
      <c r="H2878" s="5" t="s">
        <v>30</v>
      </c>
      <c r="I2878" s="5" t="s">
        <v>22</v>
      </c>
      <c r="J2878" s="5" t="s">
        <v>153</v>
      </c>
      <c r="K2878" s="6">
        <v>0</v>
      </c>
      <c r="L2878" s="7">
        <v>0</v>
      </c>
      <c r="M2878" s="8">
        <v>9.1999999999999993</v>
      </c>
      <c r="N2878" s="8">
        <v>18.399999999999999</v>
      </c>
      <c r="O2878" s="8">
        <v>0</v>
      </c>
      <c r="P2878" s="8">
        <v>0</v>
      </c>
      <c r="Q2878" s="8">
        <v>0</v>
      </c>
      <c r="R2878" s="8">
        <v>0</v>
      </c>
      <c r="S2878" s="8">
        <v>0</v>
      </c>
      <c r="T2878" s="5">
        <v>0</v>
      </c>
      <c r="U2878" s="5">
        <v>0</v>
      </c>
      <c r="V2878" s="5">
        <f>VLOOKUP(A2878,Planilha1!B:E,4,0)</f>
        <v>3.0503167986984403</v>
      </c>
    </row>
    <row r="2879" spans="1:22" x14ac:dyDescent="0.3">
      <c r="A2879" t="str">
        <f t="shared" si="88"/>
        <v>LEITE UHTLACTALIS</v>
      </c>
      <c r="B2879" t="str">
        <f t="shared" si="89"/>
        <v>5361875LEITE UHTLACTALIS</v>
      </c>
      <c r="C2879" s="5" t="s">
        <v>226</v>
      </c>
      <c r="D2879" s="5" t="s">
        <v>227</v>
      </c>
      <c r="E2879" s="5" t="s">
        <v>1722</v>
      </c>
      <c r="F2879" s="5">
        <v>5361875</v>
      </c>
      <c r="G2879" s="5" t="s">
        <v>321</v>
      </c>
      <c r="H2879" s="5" t="s">
        <v>30</v>
      </c>
      <c r="I2879" s="5" t="s">
        <v>22</v>
      </c>
      <c r="J2879" s="5" t="s">
        <v>156</v>
      </c>
      <c r="K2879" s="6">
        <v>0</v>
      </c>
      <c r="L2879" s="7">
        <v>0</v>
      </c>
      <c r="M2879" s="8">
        <v>70</v>
      </c>
      <c r="N2879" s="8">
        <v>140</v>
      </c>
      <c r="O2879" s="8">
        <v>0</v>
      </c>
      <c r="P2879" s="8">
        <v>0</v>
      </c>
      <c r="Q2879" s="8">
        <v>0</v>
      </c>
      <c r="R2879" s="8">
        <v>0</v>
      </c>
      <c r="S2879" s="8">
        <v>0</v>
      </c>
      <c r="T2879" s="5">
        <v>0</v>
      </c>
      <c r="U2879" s="5">
        <v>0</v>
      </c>
      <c r="V2879" s="5">
        <f>VLOOKUP(A2879,Planilha1!B:E,4,0)</f>
        <v>0.37177548115779385</v>
      </c>
    </row>
    <row r="2880" spans="1:22" x14ac:dyDescent="0.3">
      <c r="A2880" t="str">
        <f t="shared" si="88"/>
        <v>LEITE UHTLACTALIS</v>
      </c>
      <c r="B2880" t="str">
        <f t="shared" si="89"/>
        <v>5362010LEITE UHTLACTALIS</v>
      </c>
      <c r="C2880" s="5" t="s">
        <v>226</v>
      </c>
      <c r="D2880" s="5" t="s">
        <v>227</v>
      </c>
      <c r="E2880" s="5" t="s">
        <v>1722</v>
      </c>
      <c r="F2880" s="5">
        <v>5362010</v>
      </c>
      <c r="G2880" s="5" t="s">
        <v>1433</v>
      </c>
      <c r="H2880" s="5" t="s">
        <v>30</v>
      </c>
      <c r="I2880" s="5" t="s">
        <v>22</v>
      </c>
      <c r="J2880" s="5" t="s">
        <v>156</v>
      </c>
      <c r="K2880" s="6">
        <v>0</v>
      </c>
      <c r="L2880" s="7">
        <v>0</v>
      </c>
      <c r="M2880" s="8">
        <v>10</v>
      </c>
      <c r="N2880" s="8">
        <v>20</v>
      </c>
      <c r="O2880" s="8">
        <v>0</v>
      </c>
      <c r="P2880" s="8">
        <v>0</v>
      </c>
      <c r="Q2880" s="8">
        <v>0</v>
      </c>
      <c r="R2880" s="8">
        <v>0</v>
      </c>
      <c r="S2880" s="8">
        <v>0</v>
      </c>
      <c r="T2880" s="5">
        <v>0</v>
      </c>
      <c r="U2880" s="5">
        <v>0</v>
      </c>
      <c r="V2880" s="5">
        <f>VLOOKUP(A2880,Planilha1!B:E,4,0)</f>
        <v>0.37177548115779385</v>
      </c>
    </row>
    <row r="2881" spans="1:22" x14ac:dyDescent="0.3">
      <c r="A2881" t="str">
        <f t="shared" si="88"/>
        <v>CREME 35%LACTALIS</v>
      </c>
      <c r="B2881" t="str">
        <f t="shared" si="89"/>
        <v>5362145CREME 35%LACTALIS</v>
      </c>
      <c r="C2881" s="5" t="s">
        <v>226</v>
      </c>
      <c r="D2881" s="5" t="s">
        <v>227</v>
      </c>
      <c r="E2881" s="5" t="s">
        <v>1722</v>
      </c>
      <c r="F2881" s="5">
        <v>5362145</v>
      </c>
      <c r="G2881" s="5" t="s">
        <v>1434</v>
      </c>
      <c r="H2881" s="5" t="s">
        <v>30</v>
      </c>
      <c r="I2881" s="5" t="s">
        <v>22</v>
      </c>
      <c r="J2881" s="5" t="s">
        <v>89</v>
      </c>
      <c r="K2881" s="6">
        <v>0</v>
      </c>
      <c r="L2881" s="7">
        <v>0</v>
      </c>
      <c r="M2881" s="8">
        <v>36.666666666666664</v>
      </c>
      <c r="N2881" s="8">
        <v>73.333333333333329</v>
      </c>
      <c r="O2881" s="8">
        <v>0</v>
      </c>
      <c r="P2881" s="8">
        <v>0</v>
      </c>
      <c r="Q2881" s="8">
        <v>120</v>
      </c>
      <c r="R2881" s="8">
        <v>0</v>
      </c>
      <c r="S2881" s="8">
        <v>0</v>
      </c>
      <c r="T2881" s="5">
        <v>0</v>
      </c>
      <c r="U2881" s="5">
        <v>0</v>
      </c>
      <c r="V2881" s="5">
        <f>VLOOKUP(A2881,Planilha1!B:E,4,0)</f>
        <v>6.4420264254159507</v>
      </c>
    </row>
    <row r="2882" spans="1:22" x14ac:dyDescent="0.3">
      <c r="A2882" t="str">
        <f t="shared" ref="A2882:A2945" si="90">J2882&amp;I2882</f>
        <v>LEITE UHTLACTALIS</v>
      </c>
      <c r="B2882" t="str">
        <f t="shared" si="89"/>
        <v>5362145LEITE UHTLACTALIS</v>
      </c>
      <c r="C2882" s="5" t="s">
        <v>226</v>
      </c>
      <c r="D2882" s="5" t="s">
        <v>227</v>
      </c>
      <c r="E2882" s="5" t="s">
        <v>1722</v>
      </c>
      <c r="F2882" s="5">
        <v>5362145</v>
      </c>
      <c r="G2882" s="5" t="s">
        <v>1434</v>
      </c>
      <c r="H2882" s="5" t="s">
        <v>30</v>
      </c>
      <c r="I2882" s="5" t="s">
        <v>22</v>
      </c>
      <c r="J2882" s="5" t="s">
        <v>156</v>
      </c>
      <c r="K2882" s="6">
        <v>0</v>
      </c>
      <c r="L2882" s="7">
        <v>0</v>
      </c>
      <c r="M2882" s="8">
        <v>12</v>
      </c>
      <c r="N2882" s="8">
        <v>24</v>
      </c>
      <c r="O2882" s="8">
        <v>0</v>
      </c>
      <c r="P2882" s="8">
        <v>0</v>
      </c>
      <c r="Q2882" s="8">
        <v>0</v>
      </c>
      <c r="R2882" s="8">
        <v>0</v>
      </c>
      <c r="S2882" s="8">
        <v>0</v>
      </c>
      <c r="T2882" s="5">
        <v>0</v>
      </c>
      <c r="U2882" s="5">
        <v>0</v>
      </c>
      <c r="V2882" s="5">
        <f>VLOOKUP(A2882,Planilha1!B:E,4,0)</f>
        <v>0.37177548115779385</v>
      </c>
    </row>
    <row r="2883" spans="1:22" x14ac:dyDescent="0.3">
      <c r="A2883" t="str">
        <f t="shared" si="90"/>
        <v>MANTEIGA 5KGLACTALIS</v>
      </c>
      <c r="B2883" t="str">
        <f t="shared" ref="B2883:B2946" si="91">F2883&amp;J2883&amp;I2883</f>
        <v>5362375MANTEIGA 5KGLACTALIS</v>
      </c>
      <c r="C2883" s="5" t="s">
        <v>226</v>
      </c>
      <c r="D2883" s="5" t="s">
        <v>227</v>
      </c>
      <c r="E2883" s="5" t="s">
        <v>1722</v>
      </c>
      <c r="F2883" s="5">
        <v>5362375</v>
      </c>
      <c r="G2883" s="5" t="s">
        <v>1435</v>
      </c>
      <c r="H2883" s="5" t="s">
        <v>30</v>
      </c>
      <c r="I2883" s="5" t="s">
        <v>22</v>
      </c>
      <c r="J2883" s="5" t="s">
        <v>60</v>
      </c>
      <c r="K2883" s="6">
        <v>0</v>
      </c>
      <c r="L2883" s="7">
        <v>0</v>
      </c>
      <c r="M2883" s="8">
        <v>1.6666666666666667</v>
      </c>
      <c r="N2883" s="8">
        <v>3.3333333333333335</v>
      </c>
      <c r="O2883" s="8">
        <v>0</v>
      </c>
      <c r="P2883" s="8">
        <v>0</v>
      </c>
      <c r="Q2883" s="8">
        <v>10</v>
      </c>
      <c r="R2883" s="8">
        <v>0</v>
      </c>
      <c r="S2883" s="8">
        <v>10</v>
      </c>
      <c r="T2883" s="5">
        <v>10</v>
      </c>
      <c r="U2883" s="5">
        <v>0</v>
      </c>
      <c r="V2883" s="5">
        <f>VLOOKUP(A2883,Planilha1!B:E,4,0)</f>
        <v>11.476197020267191</v>
      </c>
    </row>
    <row r="2884" spans="1:22" x14ac:dyDescent="0.3">
      <c r="A2884" t="str">
        <f t="shared" si="90"/>
        <v>IOGURTESLACTALIS</v>
      </c>
      <c r="B2884" t="str">
        <f t="shared" si="91"/>
        <v>5362684IOGURTESLACTALIS</v>
      </c>
      <c r="C2884" s="5" t="s">
        <v>226</v>
      </c>
      <c r="D2884" s="5" t="s">
        <v>227</v>
      </c>
      <c r="E2884" s="5" t="s">
        <v>1722</v>
      </c>
      <c r="F2884" s="5">
        <v>5362684</v>
      </c>
      <c r="G2884" s="5" t="s">
        <v>1436</v>
      </c>
      <c r="H2884" s="5" t="s">
        <v>30</v>
      </c>
      <c r="I2884" s="5" t="s">
        <v>22</v>
      </c>
      <c r="J2884" s="5" t="s">
        <v>153</v>
      </c>
      <c r="K2884" s="6">
        <v>0</v>
      </c>
      <c r="L2884" s="7">
        <v>0</v>
      </c>
      <c r="M2884" s="8">
        <v>0.68</v>
      </c>
      <c r="N2884" s="8">
        <v>1.36</v>
      </c>
      <c r="O2884" s="8">
        <v>0</v>
      </c>
      <c r="P2884" s="8">
        <v>0</v>
      </c>
      <c r="Q2884" s="8">
        <v>4.08</v>
      </c>
      <c r="R2884" s="8">
        <v>0</v>
      </c>
      <c r="S2884" s="8">
        <v>0</v>
      </c>
      <c r="T2884" s="5">
        <v>0</v>
      </c>
      <c r="U2884" s="5">
        <v>0</v>
      </c>
      <c r="V2884" s="5">
        <f>VLOOKUP(A2884,Planilha1!B:E,4,0)</f>
        <v>3.0503167986984403</v>
      </c>
    </row>
    <row r="2885" spans="1:22" x14ac:dyDescent="0.3">
      <c r="A2885" t="str">
        <f t="shared" si="90"/>
        <v>MERC + AROMLACTALIS</v>
      </c>
      <c r="B2885" t="str">
        <f t="shared" si="91"/>
        <v>5362684MERC + AROMLACTALIS</v>
      </c>
      <c r="C2885" s="5" t="s">
        <v>226</v>
      </c>
      <c r="D2885" s="5" t="s">
        <v>227</v>
      </c>
      <c r="E2885" s="5" t="s">
        <v>1722</v>
      </c>
      <c r="F2885" s="5">
        <v>5362684</v>
      </c>
      <c r="G2885" s="5" t="s">
        <v>1436</v>
      </c>
      <c r="H2885" s="5" t="s">
        <v>30</v>
      </c>
      <c r="I2885" s="5" t="s">
        <v>22</v>
      </c>
      <c r="J2885" s="5" t="s">
        <v>230</v>
      </c>
      <c r="K2885" s="6">
        <v>0</v>
      </c>
      <c r="L2885" s="7">
        <v>0</v>
      </c>
      <c r="M2885" s="8">
        <v>4</v>
      </c>
      <c r="N2885" s="8">
        <v>8</v>
      </c>
      <c r="O2885" s="8">
        <v>0</v>
      </c>
      <c r="P2885" s="8">
        <v>0</v>
      </c>
      <c r="Q2885" s="8">
        <v>12</v>
      </c>
      <c r="R2885" s="8">
        <v>0</v>
      </c>
      <c r="S2885" s="8">
        <v>0</v>
      </c>
      <c r="T2885" s="5">
        <v>0</v>
      </c>
      <c r="U2885" s="5">
        <v>0</v>
      </c>
      <c r="V2885" s="5">
        <f>VLOOKUP(A2885,Planilha1!B:E,4,0)</f>
        <v>0.86907188046232187</v>
      </c>
    </row>
    <row r="2886" spans="1:22" x14ac:dyDescent="0.3">
      <c r="A2886" t="str">
        <f t="shared" si="90"/>
        <v>QUEIJOSLACTALIS</v>
      </c>
      <c r="B2886" t="str">
        <f t="shared" si="91"/>
        <v>5362684QUEIJOSLACTALIS</v>
      </c>
      <c r="C2886" s="5" t="s">
        <v>226</v>
      </c>
      <c r="D2886" s="5" t="s">
        <v>227</v>
      </c>
      <c r="E2886" s="5" t="s">
        <v>1722</v>
      </c>
      <c r="F2886" s="5">
        <v>5362684</v>
      </c>
      <c r="G2886" s="5" t="s">
        <v>1436</v>
      </c>
      <c r="H2886" s="5" t="s">
        <v>30</v>
      </c>
      <c r="I2886" s="5" t="s">
        <v>22</v>
      </c>
      <c r="J2886" s="5" t="s">
        <v>63</v>
      </c>
      <c r="K2886" s="6">
        <v>0</v>
      </c>
      <c r="L2886" s="7">
        <v>0</v>
      </c>
      <c r="M2886" s="8">
        <v>0.16666666666666666</v>
      </c>
      <c r="N2886" s="8">
        <v>0.33333333333333331</v>
      </c>
      <c r="O2886" s="8">
        <v>0</v>
      </c>
      <c r="P2886" s="8">
        <v>0</v>
      </c>
      <c r="Q2886" s="8">
        <v>0</v>
      </c>
      <c r="R2886" s="8">
        <v>0</v>
      </c>
      <c r="S2886" s="8">
        <v>0</v>
      </c>
      <c r="T2886" s="5">
        <v>0</v>
      </c>
      <c r="U2886" s="5">
        <v>0</v>
      </c>
      <c r="V2886" s="5">
        <f>VLOOKUP(A2886,Planilha1!B:E,4,0)</f>
        <v>-1.9171310037550682</v>
      </c>
    </row>
    <row r="2887" spans="1:22" x14ac:dyDescent="0.3">
      <c r="A2887" t="str">
        <f t="shared" si="90"/>
        <v>LEITE UHTLACTALIS</v>
      </c>
      <c r="B2887" t="str">
        <f t="shared" si="91"/>
        <v>5362684LEITE UHTLACTALIS</v>
      </c>
      <c r="C2887" s="5" t="s">
        <v>226</v>
      </c>
      <c r="D2887" s="5" t="s">
        <v>227</v>
      </c>
      <c r="E2887" s="5" t="s">
        <v>1722</v>
      </c>
      <c r="F2887" s="5">
        <v>5362684</v>
      </c>
      <c r="G2887" s="5" t="s">
        <v>1436</v>
      </c>
      <c r="H2887" s="5" t="s">
        <v>30</v>
      </c>
      <c r="I2887" s="5" t="s">
        <v>22</v>
      </c>
      <c r="J2887" s="5" t="s">
        <v>156</v>
      </c>
      <c r="K2887" s="6">
        <v>0</v>
      </c>
      <c r="L2887" s="7">
        <v>0</v>
      </c>
      <c r="M2887" s="8">
        <v>14</v>
      </c>
      <c r="N2887" s="8">
        <v>28</v>
      </c>
      <c r="O2887" s="8">
        <v>0</v>
      </c>
      <c r="P2887" s="8">
        <v>0</v>
      </c>
      <c r="Q2887" s="8">
        <v>0</v>
      </c>
      <c r="R2887" s="8">
        <v>0</v>
      </c>
      <c r="S2887" s="8">
        <v>0</v>
      </c>
      <c r="T2887" s="5">
        <v>0</v>
      </c>
      <c r="U2887" s="5">
        <v>0</v>
      </c>
      <c r="V2887" s="5">
        <f>VLOOKUP(A2887,Planilha1!B:E,4,0)</f>
        <v>0.37177548115779385</v>
      </c>
    </row>
    <row r="2888" spans="1:22" x14ac:dyDescent="0.3">
      <c r="A2888" t="str">
        <f t="shared" si="90"/>
        <v>LEITE UHTLACTALIS</v>
      </c>
      <c r="B2888" t="str">
        <f t="shared" si="91"/>
        <v>5362800LEITE UHTLACTALIS</v>
      </c>
      <c r="C2888" s="5" t="s">
        <v>226</v>
      </c>
      <c r="D2888" s="5" t="s">
        <v>227</v>
      </c>
      <c r="E2888" s="5" t="s">
        <v>1722</v>
      </c>
      <c r="F2888" s="5">
        <v>5362800</v>
      </c>
      <c r="G2888" s="5" t="s">
        <v>1437</v>
      </c>
      <c r="H2888" s="5" t="s">
        <v>30</v>
      </c>
      <c r="I2888" s="5" t="s">
        <v>22</v>
      </c>
      <c r="J2888" s="5" t="s">
        <v>156</v>
      </c>
      <c r="K2888" s="6">
        <v>0</v>
      </c>
      <c r="L2888" s="7">
        <v>0</v>
      </c>
      <c r="M2888" s="8">
        <v>12</v>
      </c>
      <c r="N2888" s="8">
        <v>24</v>
      </c>
      <c r="O2888" s="8">
        <v>0</v>
      </c>
      <c r="P2888" s="8">
        <v>0</v>
      </c>
      <c r="Q2888" s="8">
        <v>0</v>
      </c>
      <c r="R2888" s="8">
        <v>0</v>
      </c>
      <c r="S2888" s="8">
        <v>0</v>
      </c>
      <c r="T2888" s="5">
        <v>0</v>
      </c>
      <c r="U2888" s="5">
        <v>0</v>
      </c>
      <c r="V2888" s="5">
        <f>VLOOKUP(A2888,Planilha1!B:E,4,0)</f>
        <v>0.37177548115779385</v>
      </c>
    </row>
    <row r="2889" spans="1:22" x14ac:dyDescent="0.3">
      <c r="A2889" t="str">
        <f t="shared" si="90"/>
        <v>MANTEIGA 5KGLACTALIS</v>
      </c>
      <c r="B2889" t="str">
        <f t="shared" si="91"/>
        <v>5362922MANTEIGA 5KGLACTALIS</v>
      </c>
      <c r="C2889" s="5" t="s">
        <v>226</v>
      </c>
      <c r="D2889" s="5" t="s">
        <v>227</v>
      </c>
      <c r="E2889" s="5" t="s">
        <v>1722</v>
      </c>
      <c r="F2889" s="5">
        <v>5362922</v>
      </c>
      <c r="G2889" s="5" t="s">
        <v>1438</v>
      </c>
      <c r="H2889" s="5" t="s">
        <v>30</v>
      </c>
      <c r="I2889" s="5" t="s">
        <v>22</v>
      </c>
      <c r="J2889" s="5" t="s">
        <v>60</v>
      </c>
      <c r="K2889" s="6">
        <v>0</v>
      </c>
      <c r="L2889" s="7">
        <v>0</v>
      </c>
      <c r="M2889" s="8">
        <v>3.3333333333333335</v>
      </c>
      <c r="N2889" s="8">
        <v>6.666666666666667</v>
      </c>
      <c r="O2889" s="8">
        <v>0</v>
      </c>
      <c r="P2889" s="8">
        <v>0</v>
      </c>
      <c r="Q2889" s="8">
        <v>0</v>
      </c>
      <c r="R2889" s="8">
        <v>0</v>
      </c>
      <c r="S2889" s="8">
        <v>20</v>
      </c>
      <c r="T2889" s="5">
        <v>20</v>
      </c>
      <c r="U2889" s="5">
        <v>10</v>
      </c>
      <c r="V2889" s="5">
        <f>VLOOKUP(A2889,Planilha1!B:E,4,0)</f>
        <v>11.476197020267191</v>
      </c>
    </row>
    <row r="2890" spans="1:22" x14ac:dyDescent="0.3">
      <c r="A2890" t="str">
        <f t="shared" si="90"/>
        <v>MANTEIGA 5KGLACTALIS</v>
      </c>
      <c r="B2890" t="str">
        <f t="shared" si="91"/>
        <v>5363097MANTEIGA 5KGLACTALIS</v>
      </c>
      <c r="C2890" s="5" t="s">
        <v>226</v>
      </c>
      <c r="D2890" s="5" t="s">
        <v>227</v>
      </c>
      <c r="E2890" s="5" t="s">
        <v>1722</v>
      </c>
      <c r="F2890" s="5">
        <v>5363097</v>
      </c>
      <c r="G2890" s="5" t="s">
        <v>1439</v>
      </c>
      <c r="H2890" s="5" t="s">
        <v>30</v>
      </c>
      <c r="I2890" s="5" t="s">
        <v>22</v>
      </c>
      <c r="J2890" s="5" t="s">
        <v>60</v>
      </c>
      <c r="K2890" s="6">
        <v>0</v>
      </c>
      <c r="L2890" s="7">
        <v>0</v>
      </c>
      <c r="M2890" s="8">
        <v>2.5</v>
      </c>
      <c r="N2890" s="8">
        <v>5</v>
      </c>
      <c r="O2890" s="8">
        <v>0</v>
      </c>
      <c r="P2890" s="8">
        <v>0</v>
      </c>
      <c r="Q2890" s="8">
        <v>50</v>
      </c>
      <c r="R2890" s="8">
        <v>0</v>
      </c>
      <c r="S2890" s="8">
        <v>75</v>
      </c>
      <c r="T2890" s="5">
        <v>75</v>
      </c>
      <c r="U2890" s="5">
        <v>45</v>
      </c>
      <c r="V2890" s="5">
        <f>VLOOKUP(A2890,Planilha1!B:E,4,0)</f>
        <v>11.476197020267191</v>
      </c>
    </row>
    <row r="2891" spans="1:22" x14ac:dyDescent="0.3">
      <c r="A2891" t="str">
        <f t="shared" si="90"/>
        <v>IOGURTESLACTALIS</v>
      </c>
      <c r="B2891" t="str">
        <f t="shared" si="91"/>
        <v>5363252IOGURTESLACTALIS</v>
      </c>
      <c r="C2891" s="5" t="s">
        <v>226</v>
      </c>
      <c r="D2891" s="5" t="s">
        <v>227</v>
      </c>
      <c r="E2891" s="5" t="s">
        <v>1722</v>
      </c>
      <c r="F2891" s="5">
        <v>5363252</v>
      </c>
      <c r="G2891" s="5" t="s">
        <v>1440</v>
      </c>
      <c r="H2891" s="5" t="s">
        <v>30</v>
      </c>
      <c r="I2891" s="5" t="s">
        <v>22</v>
      </c>
      <c r="J2891" s="5" t="s">
        <v>153</v>
      </c>
      <c r="K2891" s="6">
        <v>0</v>
      </c>
      <c r="L2891" s="7">
        <v>0</v>
      </c>
      <c r="M2891" s="8">
        <v>1.5999999999999999</v>
      </c>
      <c r="N2891" s="8">
        <v>3.1999999999999997</v>
      </c>
      <c r="O2891" s="8">
        <v>0</v>
      </c>
      <c r="P2891" s="8">
        <v>0</v>
      </c>
      <c r="Q2891" s="8">
        <v>0</v>
      </c>
      <c r="R2891" s="8">
        <v>0</v>
      </c>
      <c r="S2891" s="8">
        <v>0</v>
      </c>
      <c r="T2891" s="5">
        <v>0</v>
      </c>
      <c r="U2891" s="5">
        <v>0</v>
      </c>
      <c r="V2891" s="5">
        <f>VLOOKUP(A2891,Planilha1!B:E,4,0)</f>
        <v>3.0503167986984403</v>
      </c>
    </row>
    <row r="2892" spans="1:22" x14ac:dyDescent="0.3">
      <c r="A2892" t="str">
        <f t="shared" si="90"/>
        <v>MANTEIGA 5KGLACTALIS</v>
      </c>
      <c r="B2892" t="str">
        <f t="shared" si="91"/>
        <v>5363352MANTEIGA 5KGLACTALIS</v>
      </c>
      <c r="C2892" s="5" t="s">
        <v>226</v>
      </c>
      <c r="D2892" s="5" t="s">
        <v>227</v>
      </c>
      <c r="E2892" s="5" t="s">
        <v>1722</v>
      </c>
      <c r="F2892" s="5">
        <v>5363352</v>
      </c>
      <c r="G2892" s="5" t="s">
        <v>1441</v>
      </c>
      <c r="H2892" s="5" t="s">
        <v>30</v>
      </c>
      <c r="I2892" s="5" t="s">
        <v>22</v>
      </c>
      <c r="J2892" s="5" t="s">
        <v>60</v>
      </c>
      <c r="K2892" s="6">
        <v>0</v>
      </c>
      <c r="L2892" s="7">
        <v>0</v>
      </c>
      <c r="M2892" s="8">
        <v>5.833333333333333</v>
      </c>
      <c r="N2892" s="8">
        <v>11.666666666666666</v>
      </c>
      <c r="O2892" s="8">
        <v>0</v>
      </c>
      <c r="P2892" s="8">
        <v>0</v>
      </c>
      <c r="Q2892" s="8">
        <v>30</v>
      </c>
      <c r="R2892" s="8">
        <v>0</v>
      </c>
      <c r="S2892" s="8">
        <v>25</v>
      </c>
      <c r="T2892" s="5">
        <v>25</v>
      </c>
      <c r="U2892" s="5">
        <v>25</v>
      </c>
      <c r="V2892" s="5">
        <f>VLOOKUP(A2892,Planilha1!B:E,4,0)</f>
        <v>11.476197020267191</v>
      </c>
    </row>
    <row r="2893" spans="1:22" x14ac:dyDescent="0.3">
      <c r="A2893" t="str">
        <f t="shared" si="90"/>
        <v>CREME UHTLACTALIS</v>
      </c>
      <c r="B2893" t="str">
        <f t="shared" si="91"/>
        <v>5363410CREME UHTLACTALIS</v>
      </c>
      <c r="C2893" s="5" t="s">
        <v>226</v>
      </c>
      <c r="D2893" s="5" t="s">
        <v>227</v>
      </c>
      <c r="E2893" s="5" t="s">
        <v>1722</v>
      </c>
      <c r="F2893" s="5">
        <v>5363410</v>
      </c>
      <c r="G2893" s="5" t="s">
        <v>1442</v>
      </c>
      <c r="H2893" s="5" t="s">
        <v>30</v>
      </c>
      <c r="I2893" s="5" t="s">
        <v>22</v>
      </c>
      <c r="J2893" s="5" t="s">
        <v>34</v>
      </c>
      <c r="K2893" s="6">
        <v>0</v>
      </c>
      <c r="L2893" s="7">
        <v>0</v>
      </c>
      <c r="M2893" s="8">
        <v>5.3999999999999995</v>
      </c>
      <c r="N2893" s="8">
        <v>10.799999999999999</v>
      </c>
      <c r="O2893" s="8">
        <v>32.4</v>
      </c>
      <c r="P2893" s="8">
        <v>0</v>
      </c>
      <c r="Q2893" s="8">
        <v>0</v>
      </c>
      <c r="R2893" s="8">
        <v>0</v>
      </c>
      <c r="S2893" s="8">
        <v>0</v>
      </c>
      <c r="T2893" s="5">
        <v>0</v>
      </c>
      <c r="U2893" s="5">
        <v>0</v>
      </c>
      <c r="V2893" s="5">
        <f>VLOOKUP(A2893,Planilha1!B:E,4,0)</f>
        <v>-1.4094522863012933</v>
      </c>
    </row>
    <row r="2894" spans="1:22" x14ac:dyDescent="0.3">
      <c r="A2894" t="str">
        <f t="shared" si="90"/>
        <v>LEITE UHTLACTALIS</v>
      </c>
      <c r="B2894" t="str">
        <f t="shared" si="91"/>
        <v>5363410LEITE UHTLACTALIS</v>
      </c>
      <c r="C2894" s="5" t="s">
        <v>226</v>
      </c>
      <c r="D2894" s="5" t="s">
        <v>227</v>
      </c>
      <c r="E2894" s="5" t="s">
        <v>1722</v>
      </c>
      <c r="F2894" s="5">
        <v>5363410</v>
      </c>
      <c r="G2894" s="5" t="s">
        <v>1442</v>
      </c>
      <c r="H2894" s="5" t="s">
        <v>30</v>
      </c>
      <c r="I2894" s="5" t="s">
        <v>22</v>
      </c>
      <c r="J2894" s="5" t="s">
        <v>156</v>
      </c>
      <c r="K2894" s="6">
        <v>0</v>
      </c>
      <c r="L2894" s="7">
        <v>0</v>
      </c>
      <c r="M2894" s="8">
        <v>12</v>
      </c>
      <c r="N2894" s="8">
        <v>24</v>
      </c>
      <c r="O2894" s="8">
        <v>0</v>
      </c>
      <c r="P2894" s="8">
        <v>0</v>
      </c>
      <c r="Q2894" s="8">
        <v>0</v>
      </c>
      <c r="R2894" s="8">
        <v>0</v>
      </c>
      <c r="S2894" s="8">
        <v>0</v>
      </c>
      <c r="T2894" s="5">
        <v>0</v>
      </c>
      <c r="U2894" s="5">
        <v>0</v>
      </c>
      <c r="V2894" s="5">
        <f>VLOOKUP(A2894,Planilha1!B:E,4,0)</f>
        <v>0.37177548115779385</v>
      </c>
    </row>
    <row r="2895" spans="1:22" x14ac:dyDescent="0.3">
      <c r="A2895" t="str">
        <f t="shared" si="90"/>
        <v>LEITE CONDENSADOLACTALIS</v>
      </c>
      <c r="B2895" t="str">
        <f t="shared" si="91"/>
        <v>5363410LEITE CONDENSADOLACTALIS</v>
      </c>
      <c r="C2895" s="5" t="s">
        <v>226</v>
      </c>
      <c r="D2895" s="5" t="s">
        <v>227</v>
      </c>
      <c r="E2895" s="5" t="s">
        <v>1722</v>
      </c>
      <c r="F2895" s="5">
        <v>5363410</v>
      </c>
      <c r="G2895" s="5" t="s">
        <v>1442</v>
      </c>
      <c r="H2895" s="5" t="s">
        <v>30</v>
      </c>
      <c r="I2895" s="5" t="s">
        <v>22</v>
      </c>
      <c r="J2895" s="5" t="s">
        <v>33</v>
      </c>
      <c r="K2895" s="6">
        <v>0</v>
      </c>
      <c r="L2895" s="7">
        <v>0</v>
      </c>
      <c r="M2895" s="8">
        <v>4.74</v>
      </c>
      <c r="N2895" s="8">
        <v>9.48</v>
      </c>
      <c r="O2895" s="8">
        <v>28.44</v>
      </c>
      <c r="P2895" s="8">
        <v>0</v>
      </c>
      <c r="Q2895" s="8">
        <v>0</v>
      </c>
      <c r="R2895" s="8">
        <v>0</v>
      </c>
      <c r="S2895" s="8">
        <v>0</v>
      </c>
      <c r="T2895" s="5">
        <v>0</v>
      </c>
      <c r="U2895" s="5">
        <v>0</v>
      </c>
      <c r="V2895" s="5">
        <f>VLOOKUP(A2895,Planilha1!B:E,4,0)</f>
        <v>1.8665071822970765</v>
      </c>
    </row>
    <row r="2896" spans="1:22" x14ac:dyDescent="0.3">
      <c r="A2896" t="str">
        <f t="shared" si="90"/>
        <v>COMPOSTOLACTALIS</v>
      </c>
      <c r="B2896" t="str">
        <f t="shared" si="91"/>
        <v>5363421COMPOSTOLACTALIS</v>
      </c>
      <c r="C2896" s="5" t="s">
        <v>16</v>
      </c>
      <c r="D2896" s="5" t="s">
        <v>53</v>
      </c>
      <c r="E2896" s="5" t="s">
        <v>54</v>
      </c>
      <c r="F2896" s="5">
        <v>5363421</v>
      </c>
      <c r="G2896" s="5" t="s">
        <v>1443</v>
      </c>
      <c r="H2896" s="5" t="s">
        <v>88</v>
      </c>
      <c r="I2896" s="5" t="s">
        <v>22</v>
      </c>
      <c r="J2896" s="5" t="s">
        <v>26</v>
      </c>
      <c r="K2896" s="6">
        <v>0</v>
      </c>
      <c r="L2896" s="7">
        <v>0</v>
      </c>
      <c r="M2896" s="8">
        <v>16.666666666666668</v>
      </c>
      <c r="N2896" s="8">
        <v>33.333333333333336</v>
      </c>
      <c r="O2896" s="8">
        <v>0</v>
      </c>
      <c r="P2896" s="8">
        <v>0</v>
      </c>
      <c r="Q2896" s="8">
        <v>0</v>
      </c>
      <c r="R2896" s="8">
        <v>0</v>
      </c>
      <c r="S2896" s="8">
        <v>0</v>
      </c>
      <c r="T2896" s="5">
        <v>0</v>
      </c>
      <c r="U2896" s="5">
        <v>0</v>
      </c>
      <c r="V2896" s="5">
        <f>VLOOKUP(A2896,Planilha1!B:E,4,0)</f>
        <v>7.7134687735139194</v>
      </c>
    </row>
    <row r="2897" spans="1:22" x14ac:dyDescent="0.3">
      <c r="A2897" t="str">
        <f t="shared" si="90"/>
        <v>BLISTERITAMBÉ</v>
      </c>
      <c r="B2897" t="str">
        <f t="shared" si="91"/>
        <v>5008636BLISTERITAMBÉ</v>
      </c>
      <c r="C2897" s="5" t="s">
        <v>149</v>
      </c>
      <c r="D2897" s="5" t="s">
        <v>150</v>
      </c>
      <c r="E2897" s="5" t="s">
        <v>151</v>
      </c>
      <c r="F2897" s="5">
        <v>5008636</v>
      </c>
      <c r="G2897" s="5" t="s">
        <v>200</v>
      </c>
      <c r="H2897" s="5" t="s">
        <v>154</v>
      </c>
      <c r="I2897" s="5" t="s">
        <v>27</v>
      </c>
      <c r="J2897" s="5" t="s">
        <v>199</v>
      </c>
      <c r="K2897" s="6">
        <v>0</v>
      </c>
      <c r="L2897" s="7">
        <v>0</v>
      </c>
      <c r="M2897" s="7">
        <v>0</v>
      </c>
      <c r="N2897" s="8">
        <v>-256</v>
      </c>
      <c r="O2897" s="8">
        <v>0</v>
      </c>
      <c r="P2897" s="8">
        <v>0</v>
      </c>
      <c r="Q2897" s="8">
        <v>0</v>
      </c>
      <c r="R2897" s="8">
        <v>0</v>
      </c>
      <c r="S2897" s="8">
        <v>0</v>
      </c>
      <c r="T2897" s="5">
        <v>0</v>
      </c>
      <c r="U2897" s="5">
        <v>0</v>
      </c>
      <c r="V2897" s="5">
        <f>VLOOKUP(A2897,Planilha1!B:E,4,0)</f>
        <v>10.339882680976428</v>
      </c>
    </row>
    <row r="2898" spans="1:22" x14ac:dyDescent="0.3">
      <c r="A2898" t="str">
        <f t="shared" si="90"/>
        <v>BLISTERITAMBÉ</v>
      </c>
      <c r="B2898" t="str">
        <f t="shared" si="91"/>
        <v>5009122BLISTERITAMBÉ</v>
      </c>
      <c r="C2898" s="5" t="s">
        <v>226</v>
      </c>
      <c r="D2898" s="5" t="s">
        <v>903</v>
      </c>
      <c r="E2898" s="5" t="s">
        <v>904</v>
      </c>
      <c r="F2898" s="5">
        <v>5009122</v>
      </c>
      <c r="G2898" s="5" t="s">
        <v>905</v>
      </c>
      <c r="H2898" s="5" t="s">
        <v>113</v>
      </c>
      <c r="I2898" s="5" t="s">
        <v>27</v>
      </c>
      <c r="J2898" s="5" t="s">
        <v>199</v>
      </c>
      <c r="K2898" s="6">
        <v>0</v>
      </c>
      <c r="L2898" s="7">
        <v>0</v>
      </c>
      <c r="M2898" s="7">
        <v>0</v>
      </c>
      <c r="N2898" s="8">
        <v>0</v>
      </c>
      <c r="O2898" s="8">
        <v>0</v>
      </c>
      <c r="P2898" s="8">
        <v>0</v>
      </c>
      <c r="Q2898" s="8">
        <v>0</v>
      </c>
      <c r="R2898" s="8">
        <v>0</v>
      </c>
      <c r="S2898" s="8">
        <v>115</v>
      </c>
      <c r="T2898" s="5">
        <v>115</v>
      </c>
      <c r="U2898" s="5">
        <v>115</v>
      </c>
      <c r="V2898" s="5">
        <f>VLOOKUP(A2898,Planilha1!B:E,4,0)</f>
        <v>10.339882680976428</v>
      </c>
    </row>
    <row r="2899" spans="1:22" x14ac:dyDescent="0.3">
      <c r="A2899" t="str">
        <f t="shared" si="90"/>
        <v>BLISTERITAMBÉ</v>
      </c>
      <c r="B2899" t="str">
        <f t="shared" si="91"/>
        <v>5058881BLISTERITAMBÉ</v>
      </c>
      <c r="C2899" s="5" t="s">
        <v>149</v>
      </c>
      <c r="D2899" s="5" t="s">
        <v>150</v>
      </c>
      <c r="E2899" s="5" t="s">
        <v>151</v>
      </c>
      <c r="F2899" s="5">
        <v>5058881</v>
      </c>
      <c r="G2899" s="5" t="s">
        <v>200</v>
      </c>
      <c r="H2899" s="5" t="s">
        <v>30</v>
      </c>
      <c r="I2899" s="5" t="s">
        <v>27</v>
      </c>
      <c r="J2899" s="5" t="s">
        <v>199</v>
      </c>
      <c r="K2899" s="6">
        <v>0</v>
      </c>
      <c r="L2899" s="7">
        <v>0</v>
      </c>
      <c r="M2899" s="7">
        <v>0</v>
      </c>
      <c r="N2899" s="8">
        <v>153.66666666666666</v>
      </c>
      <c r="O2899" s="8">
        <v>0</v>
      </c>
      <c r="P2899" s="8">
        <v>0</v>
      </c>
      <c r="Q2899" s="8">
        <v>0</v>
      </c>
      <c r="R2899" s="8">
        <v>0</v>
      </c>
      <c r="S2899" s="8">
        <v>0</v>
      </c>
      <c r="T2899" s="5">
        <v>0</v>
      </c>
      <c r="U2899" s="5">
        <v>0</v>
      </c>
      <c r="V2899" s="5">
        <f>VLOOKUP(A2899,Planilha1!B:E,4,0)</f>
        <v>10.339882680976428</v>
      </c>
    </row>
    <row r="2900" spans="1:22" x14ac:dyDescent="0.3">
      <c r="A2900" t="str">
        <f t="shared" si="90"/>
        <v>BLISTERITAMBÉ</v>
      </c>
      <c r="B2900" t="str">
        <f t="shared" si="91"/>
        <v>5162285BLISTERITAMBÉ</v>
      </c>
      <c r="C2900" s="5" t="s">
        <v>226</v>
      </c>
      <c r="D2900" s="5" t="s">
        <v>903</v>
      </c>
      <c r="E2900" s="5" t="s">
        <v>904</v>
      </c>
      <c r="F2900" s="5">
        <v>5162285</v>
      </c>
      <c r="G2900" s="5" t="s">
        <v>919</v>
      </c>
      <c r="H2900" s="5" t="s">
        <v>113</v>
      </c>
      <c r="I2900" s="5" t="s">
        <v>27</v>
      </c>
      <c r="J2900" s="5" t="s">
        <v>199</v>
      </c>
      <c r="K2900" s="6">
        <v>0</v>
      </c>
      <c r="L2900" s="7">
        <v>0</v>
      </c>
      <c r="M2900" s="7">
        <v>0</v>
      </c>
      <c r="N2900" s="8">
        <v>270</v>
      </c>
      <c r="O2900" s="8">
        <v>0</v>
      </c>
      <c r="P2900" s="8">
        <v>0</v>
      </c>
      <c r="Q2900" s="8">
        <v>0</v>
      </c>
      <c r="R2900" s="8">
        <v>0</v>
      </c>
      <c r="S2900" s="8">
        <v>270</v>
      </c>
      <c r="T2900" s="5">
        <v>270</v>
      </c>
      <c r="U2900" s="5">
        <v>270</v>
      </c>
      <c r="V2900" s="5">
        <f>VLOOKUP(A2900,Planilha1!B:E,4,0)</f>
        <v>10.339882680976428</v>
      </c>
    </row>
    <row r="2901" spans="1:22" x14ac:dyDescent="0.3">
      <c r="A2901" t="str">
        <f t="shared" si="90"/>
        <v>BLISTERITAMBÉ</v>
      </c>
      <c r="B2901" t="str">
        <f t="shared" si="91"/>
        <v>5355986BLISTERITAMBÉ</v>
      </c>
      <c r="C2901" s="5" t="s">
        <v>226</v>
      </c>
      <c r="D2901" s="5" t="s">
        <v>815</v>
      </c>
      <c r="E2901" s="5" t="s">
        <v>816</v>
      </c>
      <c r="F2901" s="5">
        <v>5355986</v>
      </c>
      <c r="G2901" s="5" t="s">
        <v>828</v>
      </c>
      <c r="H2901" s="5" t="s">
        <v>30</v>
      </c>
      <c r="I2901" s="5" t="s">
        <v>27</v>
      </c>
      <c r="J2901" s="5" t="s">
        <v>199</v>
      </c>
      <c r="K2901" s="6">
        <v>0</v>
      </c>
      <c r="L2901" s="7">
        <v>0</v>
      </c>
      <c r="M2901" s="7">
        <v>0</v>
      </c>
      <c r="N2901" s="8">
        <v>0.66666666666666663</v>
      </c>
      <c r="O2901" s="8">
        <v>0</v>
      </c>
      <c r="P2901" s="8">
        <v>0</v>
      </c>
      <c r="Q2901" s="8">
        <v>0</v>
      </c>
      <c r="R2901" s="8">
        <v>0</v>
      </c>
      <c r="S2901" s="8">
        <v>0</v>
      </c>
      <c r="T2901" s="5">
        <v>0</v>
      </c>
      <c r="U2901" s="5">
        <v>0</v>
      </c>
      <c r="V2901" s="5">
        <f>VLOOKUP(A2901,Planilha1!B:E,4,0)</f>
        <v>10.339882680976428</v>
      </c>
    </row>
    <row r="2902" spans="1:22" x14ac:dyDescent="0.3">
      <c r="A2902" t="str">
        <f t="shared" si="90"/>
        <v>BLISTERITAMBÉ</v>
      </c>
      <c r="B2902" t="str">
        <f t="shared" si="91"/>
        <v>5359623BLISTERITAMBÉ</v>
      </c>
      <c r="C2902" s="5" t="s">
        <v>226</v>
      </c>
      <c r="D2902" s="5" t="s">
        <v>797</v>
      </c>
      <c r="E2902" s="5" t="s">
        <v>753</v>
      </c>
      <c r="F2902" s="5">
        <v>5359623</v>
      </c>
      <c r="G2902" s="5" t="s">
        <v>1444</v>
      </c>
      <c r="H2902" s="5" t="s">
        <v>20</v>
      </c>
      <c r="I2902" s="5" t="s">
        <v>27</v>
      </c>
      <c r="J2902" s="5" t="s">
        <v>199</v>
      </c>
      <c r="K2902" s="6">
        <v>0</v>
      </c>
      <c r="L2902" s="7">
        <v>0</v>
      </c>
      <c r="M2902" s="7">
        <v>0</v>
      </c>
      <c r="N2902" s="8">
        <v>35.333333333333336</v>
      </c>
      <c r="O2902" s="8">
        <v>0</v>
      </c>
      <c r="P2902" s="8">
        <v>0</v>
      </c>
      <c r="Q2902" s="8">
        <v>0</v>
      </c>
      <c r="R2902" s="8">
        <v>0</v>
      </c>
      <c r="S2902" s="8">
        <v>0</v>
      </c>
      <c r="T2902" s="5">
        <v>0</v>
      </c>
      <c r="U2902" s="5">
        <v>0</v>
      </c>
      <c r="V2902" s="5">
        <f>VLOOKUP(A2902,Planilha1!B:E,4,0)</f>
        <v>10.339882680976428</v>
      </c>
    </row>
    <row r="2903" spans="1:22" x14ac:dyDescent="0.3">
      <c r="A2903" t="str">
        <f t="shared" si="90"/>
        <v>BLISTERLACTALIS</v>
      </c>
      <c r="B2903" t="str">
        <f t="shared" si="91"/>
        <v>5182536BLISTERLACTALIS</v>
      </c>
      <c r="C2903" s="5" t="s">
        <v>226</v>
      </c>
      <c r="D2903" s="5" t="s">
        <v>752</v>
      </c>
      <c r="E2903" s="5" t="s">
        <v>756</v>
      </c>
      <c r="F2903" s="5">
        <v>5182536</v>
      </c>
      <c r="G2903" s="5" t="s">
        <v>1445</v>
      </c>
      <c r="H2903" s="5" t="s">
        <v>154</v>
      </c>
      <c r="I2903" s="5" t="s">
        <v>22</v>
      </c>
      <c r="J2903" s="5" t="s">
        <v>199</v>
      </c>
      <c r="K2903" s="6">
        <v>0</v>
      </c>
      <c r="L2903" s="7">
        <v>0</v>
      </c>
      <c r="M2903" s="7">
        <v>0</v>
      </c>
      <c r="N2903" s="8">
        <v>260.64</v>
      </c>
      <c r="O2903" s="8">
        <v>0</v>
      </c>
      <c r="P2903" s="8">
        <v>0</v>
      </c>
      <c r="Q2903" s="8">
        <v>0</v>
      </c>
      <c r="R2903" s="8">
        <v>0</v>
      </c>
      <c r="S2903" s="8">
        <v>0</v>
      </c>
      <c r="T2903" s="5">
        <v>0</v>
      </c>
      <c r="U2903" s="5">
        <v>0</v>
      </c>
      <c r="V2903" s="5">
        <f>VLOOKUP(A2903,Planilha1!B:E,4,0)</f>
        <v>13.783871706210666</v>
      </c>
    </row>
    <row r="2904" spans="1:22" x14ac:dyDescent="0.3">
      <c r="A2904" t="str">
        <f t="shared" si="90"/>
        <v>BLISTERLACTALIS</v>
      </c>
      <c r="B2904" t="str">
        <f t="shared" si="91"/>
        <v>5262293BLISTERLACTALIS</v>
      </c>
      <c r="C2904" s="5" t="s">
        <v>226</v>
      </c>
      <c r="D2904" s="5" t="s">
        <v>227</v>
      </c>
      <c r="E2904" s="5" t="s">
        <v>1722</v>
      </c>
      <c r="F2904" s="5">
        <v>5262293</v>
      </c>
      <c r="G2904" s="5" t="s">
        <v>597</v>
      </c>
      <c r="H2904" s="5" t="s">
        <v>30</v>
      </c>
      <c r="I2904" s="5" t="s">
        <v>22</v>
      </c>
      <c r="J2904" s="5" t="s">
        <v>199</v>
      </c>
      <c r="K2904" s="6">
        <v>0</v>
      </c>
      <c r="L2904" s="7">
        <v>0</v>
      </c>
      <c r="M2904" s="7">
        <v>0</v>
      </c>
      <c r="N2904" s="8">
        <v>1.36</v>
      </c>
      <c r="O2904" s="8">
        <v>0</v>
      </c>
      <c r="P2904" s="8">
        <v>0</v>
      </c>
      <c r="Q2904" s="8">
        <v>0</v>
      </c>
      <c r="R2904" s="8">
        <v>0</v>
      </c>
      <c r="S2904" s="8">
        <v>0</v>
      </c>
      <c r="T2904" s="5">
        <v>0</v>
      </c>
      <c r="U2904" s="5">
        <v>0</v>
      </c>
      <c r="V2904" s="5">
        <f>VLOOKUP(A2904,Planilha1!B:E,4,0)</f>
        <v>13.783871706210666</v>
      </c>
    </row>
    <row r="2905" spans="1:22" x14ac:dyDescent="0.3">
      <c r="A2905" t="str">
        <f t="shared" si="90"/>
        <v>BLISTERLACTALIS</v>
      </c>
      <c r="B2905" t="str">
        <f t="shared" si="91"/>
        <v>5263654BLISTERLACTALIS</v>
      </c>
      <c r="C2905" s="5" t="s">
        <v>226</v>
      </c>
      <c r="D2905" s="5" t="s">
        <v>227</v>
      </c>
      <c r="E2905" s="5" t="s">
        <v>1722</v>
      </c>
      <c r="F2905" s="5">
        <v>5263654</v>
      </c>
      <c r="G2905" s="5" t="s">
        <v>1446</v>
      </c>
      <c r="H2905" s="5" t="s">
        <v>30</v>
      </c>
      <c r="I2905" s="5" t="s">
        <v>22</v>
      </c>
      <c r="J2905" s="5" t="s">
        <v>199</v>
      </c>
      <c r="K2905" s="6">
        <v>0</v>
      </c>
      <c r="L2905" s="7">
        <v>0</v>
      </c>
      <c r="M2905" s="7">
        <v>0</v>
      </c>
      <c r="N2905" s="8">
        <v>1.28</v>
      </c>
      <c r="O2905" s="8">
        <v>0</v>
      </c>
      <c r="P2905" s="8">
        <v>0</v>
      </c>
      <c r="Q2905" s="8">
        <v>0</v>
      </c>
      <c r="R2905" s="8">
        <v>0</v>
      </c>
      <c r="S2905" s="8">
        <v>0</v>
      </c>
      <c r="T2905" s="5">
        <v>0</v>
      </c>
      <c r="U2905" s="5">
        <v>0</v>
      </c>
      <c r="V2905" s="5">
        <f>VLOOKUP(A2905,Planilha1!B:E,4,0)</f>
        <v>13.783871706210666</v>
      </c>
    </row>
    <row r="2906" spans="1:22" x14ac:dyDescent="0.3">
      <c r="A2906" t="str">
        <f t="shared" si="90"/>
        <v>BLISTERLACTALIS</v>
      </c>
      <c r="B2906" t="str">
        <f t="shared" si="91"/>
        <v>5264990BLISTERLACTALIS</v>
      </c>
      <c r="C2906" s="5" t="s">
        <v>226</v>
      </c>
      <c r="D2906" s="5" t="s">
        <v>227</v>
      </c>
      <c r="E2906" s="5" t="s">
        <v>1722</v>
      </c>
      <c r="F2906" s="5">
        <v>5264990</v>
      </c>
      <c r="G2906" s="5" t="s">
        <v>297</v>
      </c>
      <c r="H2906" s="5" t="s">
        <v>30</v>
      </c>
      <c r="I2906" s="5" t="s">
        <v>22</v>
      </c>
      <c r="J2906" s="5" t="s">
        <v>199</v>
      </c>
      <c r="K2906" s="6">
        <v>0</v>
      </c>
      <c r="L2906" s="7">
        <v>0</v>
      </c>
      <c r="M2906" s="7">
        <v>0</v>
      </c>
      <c r="N2906" s="8">
        <v>0.64</v>
      </c>
      <c r="O2906" s="8">
        <v>0</v>
      </c>
      <c r="P2906" s="8">
        <v>0</v>
      </c>
      <c r="Q2906" s="8">
        <v>0</v>
      </c>
      <c r="R2906" s="8">
        <v>0</v>
      </c>
      <c r="S2906" s="8">
        <v>0</v>
      </c>
      <c r="T2906" s="5">
        <v>0</v>
      </c>
      <c r="U2906" s="5">
        <v>0</v>
      </c>
      <c r="V2906" s="5">
        <f>VLOOKUP(A2906,Planilha1!B:E,4,0)</f>
        <v>13.783871706210666</v>
      </c>
    </row>
    <row r="2907" spans="1:22" x14ac:dyDescent="0.3">
      <c r="A2907" t="str">
        <f t="shared" si="90"/>
        <v>BLISTERLACTALIS</v>
      </c>
      <c r="B2907" t="str">
        <f t="shared" si="91"/>
        <v>5266351BLISTERLACTALIS</v>
      </c>
      <c r="C2907" s="5" t="s">
        <v>226</v>
      </c>
      <c r="D2907" s="5" t="s">
        <v>227</v>
      </c>
      <c r="E2907" s="5" t="s">
        <v>1722</v>
      </c>
      <c r="F2907" s="5">
        <v>5266351</v>
      </c>
      <c r="G2907" s="5" t="s">
        <v>432</v>
      </c>
      <c r="H2907" s="5" t="s">
        <v>30</v>
      </c>
      <c r="I2907" s="5" t="s">
        <v>22</v>
      </c>
      <c r="J2907" s="5" t="s">
        <v>199</v>
      </c>
      <c r="K2907" s="6">
        <v>0</v>
      </c>
      <c r="L2907" s="7">
        <v>0</v>
      </c>
      <c r="M2907" s="7">
        <v>0</v>
      </c>
      <c r="N2907" s="8">
        <v>0</v>
      </c>
      <c r="O2907" s="8">
        <v>0</v>
      </c>
      <c r="P2907" s="8">
        <v>0</v>
      </c>
      <c r="Q2907" s="8">
        <v>0</v>
      </c>
      <c r="R2907" s="8">
        <v>0</v>
      </c>
      <c r="S2907" s="8">
        <v>2</v>
      </c>
      <c r="T2907" s="5">
        <v>2</v>
      </c>
      <c r="U2907" s="5">
        <v>2</v>
      </c>
      <c r="V2907" s="5">
        <f>VLOOKUP(A2907,Planilha1!B:E,4,0)</f>
        <v>13.783871706210666</v>
      </c>
    </row>
    <row r="2908" spans="1:22" x14ac:dyDescent="0.3">
      <c r="A2908" t="str">
        <f t="shared" si="90"/>
        <v>BLISTERLACTALIS</v>
      </c>
      <c r="B2908" t="str">
        <f t="shared" si="91"/>
        <v>5266491BLISTERLACTALIS</v>
      </c>
      <c r="C2908" s="5" t="s">
        <v>226</v>
      </c>
      <c r="D2908" s="5" t="s">
        <v>227</v>
      </c>
      <c r="E2908" s="5" t="s">
        <v>1722</v>
      </c>
      <c r="F2908" s="5">
        <v>5266491</v>
      </c>
      <c r="G2908" s="5" t="s">
        <v>433</v>
      </c>
      <c r="H2908" s="5" t="s">
        <v>30</v>
      </c>
      <c r="I2908" s="5" t="s">
        <v>22</v>
      </c>
      <c r="J2908" s="5" t="s">
        <v>199</v>
      </c>
      <c r="K2908" s="6">
        <v>0</v>
      </c>
      <c r="L2908" s="7">
        <v>0</v>
      </c>
      <c r="M2908" s="7">
        <v>0</v>
      </c>
      <c r="N2908" s="8">
        <v>0.64</v>
      </c>
      <c r="O2908" s="8">
        <v>0</v>
      </c>
      <c r="P2908" s="8">
        <v>0</v>
      </c>
      <c r="Q2908" s="8">
        <v>3.84</v>
      </c>
      <c r="R2908" s="8">
        <v>0</v>
      </c>
      <c r="S2908" s="8">
        <v>0</v>
      </c>
      <c r="T2908" s="5">
        <v>0</v>
      </c>
      <c r="U2908" s="5">
        <v>0</v>
      </c>
      <c r="V2908" s="5">
        <f>VLOOKUP(A2908,Planilha1!B:E,4,0)</f>
        <v>13.783871706210666</v>
      </c>
    </row>
    <row r="2909" spans="1:22" x14ac:dyDescent="0.3">
      <c r="A2909" t="str">
        <f t="shared" si="90"/>
        <v>BLISTERLACTALIS</v>
      </c>
      <c r="B2909" t="str">
        <f t="shared" si="91"/>
        <v>5278586BLISTERLACTALIS</v>
      </c>
      <c r="C2909" s="5" t="s">
        <v>226</v>
      </c>
      <c r="D2909" s="5" t="s">
        <v>227</v>
      </c>
      <c r="E2909" s="5" t="s">
        <v>1722</v>
      </c>
      <c r="F2909" s="5">
        <v>5278586</v>
      </c>
      <c r="G2909" s="5" t="s">
        <v>1447</v>
      </c>
      <c r="H2909" s="5" t="s">
        <v>30</v>
      </c>
      <c r="I2909" s="5" t="s">
        <v>22</v>
      </c>
      <c r="J2909" s="5" t="s">
        <v>199</v>
      </c>
      <c r="K2909" s="6">
        <v>0</v>
      </c>
      <c r="L2909" s="7">
        <v>0</v>
      </c>
      <c r="M2909" s="7">
        <v>0</v>
      </c>
      <c r="N2909" s="8">
        <v>0.64</v>
      </c>
      <c r="O2909" s="8">
        <v>0</v>
      </c>
      <c r="P2909" s="8">
        <v>0</v>
      </c>
      <c r="Q2909" s="8">
        <v>0</v>
      </c>
      <c r="R2909" s="8">
        <v>0</v>
      </c>
      <c r="S2909" s="8">
        <v>0</v>
      </c>
      <c r="T2909" s="5">
        <v>0</v>
      </c>
      <c r="U2909" s="5">
        <v>0</v>
      </c>
      <c r="V2909" s="5">
        <f>VLOOKUP(A2909,Planilha1!B:E,4,0)</f>
        <v>13.783871706210666</v>
      </c>
    </row>
    <row r="2910" spans="1:22" x14ac:dyDescent="0.3">
      <c r="A2910" t="str">
        <f t="shared" si="90"/>
        <v>BLISTERLACTALIS</v>
      </c>
      <c r="B2910" t="str">
        <f t="shared" si="91"/>
        <v>5279284BLISTERLACTALIS</v>
      </c>
      <c r="C2910" s="5" t="s">
        <v>226</v>
      </c>
      <c r="D2910" s="5" t="s">
        <v>227</v>
      </c>
      <c r="E2910" s="5" t="s">
        <v>1722</v>
      </c>
      <c r="F2910" s="5">
        <v>5279284</v>
      </c>
      <c r="G2910" s="5" t="s">
        <v>1325</v>
      </c>
      <c r="H2910" s="5" t="s">
        <v>30</v>
      </c>
      <c r="I2910" s="5" t="s">
        <v>22</v>
      </c>
      <c r="J2910" s="5" t="s">
        <v>199</v>
      </c>
      <c r="K2910" s="6">
        <v>0</v>
      </c>
      <c r="L2910" s="7">
        <v>0</v>
      </c>
      <c r="M2910" s="7">
        <v>0</v>
      </c>
      <c r="N2910" s="8">
        <v>0.64</v>
      </c>
      <c r="O2910" s="8">
        <v>0</v>
      </c>
      <c r="P2910" s="8">
        <v>0</v>
      </c>
      <c r="Q2910" s="8">
        <v>0</v>
      </c>
      <c r="R2910" s="8">
        <v>0</v>
      </c>
      <c r="S2910" s="8">
        <v>0</v>
      </c>
      <c r="T2910" s="5">
        <v>0</v>
      </c>
      <c r="U2910" s="5">
        <v>0</v>
      </c>
      <c r="V2910" s="5">
        <f>VLOOKUP(A2910,Planilha1!B:E,4,0)</f>
        <v>13.783871706210666</v>
      </c>
    </row>
    <row r="2911" spans="1:22" x14ac:dyDescent="0.3">
      <c r="A2911" t="str">
        <f t="shared" si="90"/>
        <v>BLISTERLACTALIS</v>
      </c>
      <c r="B2911" t="str">
        <f t="shared" si="91"/>
        <v>5289019BLISTERLACTALIS</v>
      </c>
      <c r="C2911" s="5" t="s">
        <v>226</v>
      </c>
      <c r="D2911" s="5" t="s">
        <v>227</v>
      </c>
      <c r="E2911" s="5" t="s">
        <v>1722</v>
      </c>
      <c r="F2911" s="5">
        <v>5289019</v>
      </c>
      <c r="G2911" s="5" t="s">
        <v>460</v>
      </c>
      <c r="H2911" s="5" t="s">
        <v>30</v>
      </c>
      <c r="I2911" s="5" t="s">
        <v>22</v>
      </c>
      <c r="J2911" s="5" t="s">
        <v>199</v>
      </c>
      <c r="K2911" s="6">
        <v>0</v>
      </c>
      <c r="L2911" s="7">
        <v>0</v>
      </c>
      <c r="M2911" s="7">
        <v>0</v>
      </c>
      <c r="N2911" s="8">
        <v>0.64</v>
      </c>
      <c r="O2911" s="8">
        <v>0</v>
      </c>
      <c r="P2911" s="8">
        <v>0</v>
      </c>
      <c r="Q2911" s="8">
        <v>0</v>
      </c>
      <c r="R2911" s="8">
        <v>0</v>
      </c>
      <c r="S2911" s="8">
        <v>0</v>
      </c>
      <c r="T2911" s="5">
        <v>0</v>
      </c>
      <c r="U2911" s="5">
        <v>0</v>
      </c>
      <c r="V2911" s="5">
        <f>VLOOKUP(A2911,Planilha1!B:E,4,0)</f>
        <v>13.783871706210666</v>
      </c>
    </row>
    <row r="2912" spans="1:22" x14ac:dyDescent="0.3">
      <c r="A2912" t="str">
        <f t="shared" si="90"/>
        <v>BLISTERLACTALIS</v>
      </c>
      <c r="B2912" t="str">
        <f t="shared" si="91"/>
        <v>5321058BLISTERLACTALIS</v>
      </c>
      <c r="C2912" s="5" t="s">
        <v>226</v>
      </c>
      <c r="D2912" s="5" t="s">
        <v>227</v>
      </c>
      <c r="E2912" s="5" t="s">
        <v>1722</v>
      </c>
      <c r="F2912" s="5">
        <v>5321058</v>
      </c>
      <c r="G2912" s="5" t="s">
        <v>657</v>
      </c>
      <c r="H2912" s="5" t="s">
        <v>30</v>
      </c>
      <c r="I2912" s="5" t="s">
        <v>22</v>
      </c>
      <c r="J2912" s="5" t="s">
        <v>199</v>
      </c>
      <c r="K2912" s="6">
        <v>0</v>
      </c>
      <c r="L2912" s="7">
        <v>0</v>
      </c>
      <c r="M2912" s="7">
        <v>0</v>
      </c>
      <c r="N2912" s="8">
        <v>0.64</v>
      </c>
      <c r="O2912" s="8">
        <v>0</v>
      </c>
      <c r="P2912" s="8">
        <v>0</v>
      </c>
      <c r="Q2912" s="8">
        <v>0</v>
      </c>
      <c r="R2912" s="8">
        <v>0</v>
      </c>
      <c r="S2912" s="8">
        <v>0</v>
      </c>
      <c r="T2912" s="5">
        <v>0</v>
      </c>
      <c r="U2912" s="5">
        <v>0</v>
      </c>
      <c r="V2912" s="5">
        <f>VLOOKUP(A2912,Planilha1!B:E,4,0)</f>
        <v>13.783871706210666</v>
      </c>
    </row>
    <row r="2913" spans="1:22" x14ac:dyDescent="0.3">
      <c r="A2913" t="str">
        <f t="shared" si="90"/>
        <v>BLISTERLACTALIS</v>
      </c>
      <c r="B2913" t="str">
        <f t="shared" si="91"/>
        <v>5337773BLISTERLACTALIS</v>
      </c>
      <c r="C2913" s="5" t="s">
        <v>149</v>
      </c>
      <c r="D2913" s="5" t="s">
        <v>150</v>
      </c>
      <c r="E2913" s="5" t="s">
        <v>186</v>
      </c>
      <c r="F2913" s="5">
        <v>5337773</v>
      </c>
      <c r="G2913" s="5" t="s">
        <v>196</v>
      </c>
      <c r="H2913" s="5" t="s">
        <v>30</v>
      </c>
      <c r="I2913" s="5" t="s">
        <v>22</v>
      </c>
      <c r="J2913" s="5" t="s">
        <v>199</v>
      </c>
      <c r="K2913" s="6">
        <v>0</v>
      </c>
      <c r="L2913" s="7">
        <v>0</v>
      </c>
      <c r="M2913" s="7">
        <v>0</v>
      </c>
      <c r="N2913" s="8">
        <v>42.24</v>
      </c>
      <c r="O2913" s="8">
        <v>0</v>
      </c>
      <c r="P2913" s="8">
        <v>0</v>
      </c>
      <c r="Q2913" s="8">
        <v>0</v>
      </c>
      <c r="R2913" s="8">
        <v>0</v>
      </c>
      <c r="S2913" s="8">
        <v>150</v>
      </c>
      <c r="T2913" s="5">
        <v>150</v>
      </c>
      <c r="U2913" s="5">
        <v>121</v>
      </c>
      <c r="V2913" s="5">
        <f>VLOOKUP(A2913,Planilha1!B:E,4,0)</f>
        <v>13.783871706210666</v>
      </c>
    </row>
    <row r="2914" spans="1:22" x14ac:dyDescent="0.3">
      <c r="A2914" t="str">
        <f t="shared" si="90"/>
        <v>BLISTERLACTALIS</v>
      </c>
      <c r="B2914" t="str">
        <f t="shared" si="91"/>
        <v>5345440BLISTERLACTALIS</v>
      </c>
      <c r="C2914" s="5" t="s">
        <v>226</v>
      </c>
      <c r="D2914" s="5" t="s">
        <v>893</v>
      </c>
      <c r="E2914" s="5" t="s">
        <v>231</v>
      </c>
      <c r="F2914" s="5">
        <v>5345440</v>
      </c>
      <c r="G2914" s="5" t="s">
        <v>1448</v>
      </c>
      <c r="H2914" s="5" t="s">
        <v>30</v>
      </c>
      <c r="I2914" s="5" t="s">
        <v>22</v>
      </c>
      <c r="J2914" s="5" t="s">
        <v>199</v>
      </c>
      <c r="K2914" s="6">
        <v>0</v>
      </c>
      <c r="L2914" s="7">
        <v>0</v>
      </c>
      <c r="M2914" s="7">
        <v>0</v>
      </c>
      <c r="N2914" s="8">
        <v>6.3999999999999995</v>
      </c>
      <c r="O2914" s="8">
        <v>0</v>
      </c>
      <c r="P2914" s="8">
        <v>0</v>
      </c>
      <c r="Q2914" s="8">
        <v>0</v>
      </c>
      <c r="R2914" s="8">
        <v>0</v>
      </c>
      <c r="S2914" s="8">
        <v>0</v>
      </c>
      <c r="T2914" s="5">
        <v>0</v>
      </c>
      <c r="U2914" s="5">
        <v>0</v>
      </c>
      <c r="V2914" s="5">
        <f>VLOOKUP(A2914,Planilha1!B:E,4,0)</f>
        <v>13.783871706210666</v>
      </c>
    </row>
    <row r="2915" spans="1:22" x14ac:dyDescent="0.3">
      <c r="A2915" t="str">
        <f t="shared" si="90"/>
        <v>BLISTERLACTALIS</v>
      </c>
      <c r="B2915" t="str">
        <f t="shared" si="91"/>
        <v>5356234BLISTERLACTALIS</v>
      </c>
      <c r="C2915" s="5" t="s">
        <v>226</v>
      </c>
      <c r="D2915" s="5" t="s">
        <v>227</v>
      </c>
      <c r="E2915" s="5" t="s">
        <v>1722</v>
      </c>
      <c r="F2915" s="5">
        <v>5356234</v>
      </c>
      <c r="G2915" s="5" t="s">
        <v>1372</v>
      </c>
      <c r="H2915" s="5" t="s">
        <v>30</v>
      </c>
      <c r="I2915" s="5" t="s">
        <v>22</v>
      </c>
      <c r="J2915" s="5" t="s">
        <v>199</v>
      </c>
      <c r="K2915" s="6">
        <v>0</v>
      </c>
      <c r="L2915" s="7">
        <v>0</v>
      </c>
      <c r="M2915" s="7">
        <v>0</v>
      </c>
      <c r="N2915" s="8">
        <v>5.12</v>
      </c>
      <c r="O2915" s="8">
        <v>0</v>
      </c>
      <c r="P2915" s="8">
        <v>0</v>
      </c>
      <c r="Q2915" s="8">
        <v>19.2</v>
      </c>
      <c r="R2915" s="8">
        <v>0</v>
      </c>
      <c r="S2915" s="8">
        <v>8</v>
      </c>
      <c r="T2915" s="5">
        <v>8</v>
      </c>
      <c r="U2915" s="5">
        <v>8</v>
      </c>
      <c r="V2915" s="5">
        <f>VLOOKUP(A2915,Planilha1!B:E,4,0)</f>
        <v>13.783871706210666</v>
      </c>
    </row>
    <row r="2916" spans="1:22" x14ac:dyDescent="0.3">
      <c r="A2916" t="str">
        <f t="shared" si="90"/>
        <v>BLISTERLACTALIS</v>
      </c>
      <c r="B2916" t="str">
        <f t="shared" si="91"/>
        <v>5357101BLISTERLACTALIS</v>
      </c>
      <c r="C2916" s="5" t="s">
        <v>226</v>
      </c>
      <c r="D2916" s="5" t="s">
        <v>227</v>
      </c>
      <c r="E2916" s="5" t="s">
        <v>1722</v>
      </c>
      <c r="F2916" s="5">
        <v>5357101</v>
      </c>
      <c r="G2916" s="5" t="s">
        <v>1449</v>
      </c>
      <c r="H2916" s="5" t="s">
        <v>30</v>
      </c>
      <c r="I2916" s="5" t="s">
        <v>22</v>
      </c>
      <c r="J2916" s="5" t="s">
        <v>199</v>
      </c>
      <c r="K2916" s="6">
        <v>0</v>
      </c>
      <c r="L2916" s="7">
        <v>0</v>
      </c>
      <c r="M2916" s="7">
        <v>0</v>
      </c>
      <c r="N2916" s="8">
        <v>39.68</v>
      </c>
      <c r="O2916" s="8">
        <v>0</v>
      </c>
      <c r="P2916" s="8">
        <v>0</v>
      </c>
      <c r="Q2916" s="8">
        <v>0</v>
      </c>
      <c r="R2916" s="8">
        <v>0</v>
      </c>
      <c r="S2916" s="8">
        <v>0</v>
      </c>
      <c r="T2916" s="5">
        <v>13</v>
      </c>
      <c r="U2916" s="5">
        <v>0</v>
      </c>
      <c r="V2916" s="5">
        <f>VLOOKUP(A2916,Planilha1!B:E,4,0)</f>
        <v>13.783871706210666</v>
      </c>
    </row>
    <row r="2917" spans="1:22" x14ac:dyDescent="0.3">
      <c r="A2917" t="str">
        <f t="shared" si="90"/>
        <v>BLISTERLACTALIS</v>
      </c>
      <c r="B2917" t="str">
        <f t="shared" si="91"/>
        <v>5358594BLISTERLACTALIS</v>
      </c>
      <c r="C2917" s="5" t="s">
        <v>226</v>
      </c>
      <c r="D2917" s="5" t="s">
        <v>227</v>
      </c>
      <c r="E2917" s="5" t="s">
        <v>1722</v>
      </c>
      <c r="F2917" s="5">
        <v>5358594</v>
      </c>
      <c r="G2917" s="5" t="s">
        <v>1450</v>
      </c>
      <c r="H2917" s="5" t="s">
        <v>30</v>
      </c>
      <c r="I2917" s="5" t="s">
        <v>22</v>
      </c>
      <c r="J2917" s="5" t="s">
        <v>199</v>
      </c>
      <c r="K2917" s="6">
        <v>0</v>
      </c>
      <c r="L2917" s="7">
        <v>0</v>
      </c>
      <c r="M2917" s="7">
        <v>0</v>
      </c>
      <c r="N2917" s="8">
        <v>5.12</v>
      </c>
      <c r="O2917" s="8">
        <v>0</v>
      </c>
      <c r="P2917" s="8">
        <v>0</v>
      </c>
      <c r="Q2917" s="8">
        <v>4.08</v>
      </c>
      <c r="R2917" s="8">
        <v>0</v>
      </c>
      <c r="S2917" s="8">
        <v>8</v>
      </c>
      <c r="T2917" s="5">
        <v>8</v>
      </c>
      <c r="U2917" s="5">
        <v>4</v>
      </c>
      <c r="V2917" s="5">
        <f>VLOOKUP(A2917,Planilha1!B:E,4,0)</f>
        <v>13.783871706210666</v>
      </c>
    </row>
    <row r="2918" spans="1:22" x14ac:dyDescent="0.3">
      <c r="A2918" t="str">
        <f t="shared" si="90"/>
        <v>BLISTERLACTALIS</v>
      </c>
      <c r="B2918" t="str">
        <f t="shared" si="91"/>
        <v>5358596BLISTERLACTALIS</v>
      </c>
      <c r="C2918" s="5" t="s">
        <v>226</v>
      </c>
      <c r="D2918" s="5" t="s">
        <v>227</v>
      </c>
      <c r="E2918" s="5" t="s">
        <v>1722</v>
      </c>
      <c r="F2918" s="5">
        <v>5358596</v>
      </c>
      <c r="G2918" s="5" t="s">
        <v>1402</v>
      </c>
      <c r="H2918" s="5" t="s">
        <v>30</v>
      </c>
      <c r="I2918" s="5" t="s">
        <v>22</v>
      </c>
      <c r="J2918" s="5" t="s">
        <v>199</v>
      </c>
      <c r="K2918" s="6">
        <v>0</v>
      </c>
      <c r="L2918" s="7">
        <v>0</v>
      </c>
      <c r="M2918" s="7">
        <v>0</v>
      </c>
      <c r="N2918" s="8">
        <v>0.64</v>
      </c>
      <c r="O2918" s="8">
        <v>0</v>
      </c>
      <c r="P2918" s="8">
        <v>0</v>
      </c>
      <c r="Q2918" s="8">
        <v>0</v>
      </c>
      <c r="R2918" s="8">
        <v>0</v>
      </c>
      <c r="S2918" s="8">
        <v>0</v>
      </c>
      <c r="T2918" s="5">
        <v>0</v>
      </c>
      <c r="U2918" s="5">
        <v>0</v>
      </c>
      <c r="V2918" s="5">
        <f>VLOOKUP(A2918,Planilha1!B:E,4,0)</f>
        <v>13.783871706210666</v>
      </c>
    </row>
    <row r="2919" spans="1:22" x14ac:dyDescent="0.3">
      <c r="A2919" t="str">
        <f t="shared" si="90"/>
        <v>BLISTERLACTALIS</v>
      </c>
      <c r="B2919" t="str">
        <f t="shared" si="91"/>
        <v>5361087BLISTERLACTALIS</v>
      </c>
      <c r="C2919" s="5" t="s">
        <v>226</v>
      </c>
      <c r="D2919" s="5" t="s">
        <v>227</v>
      </c>
      <c r="E2919" s="5" t="s">
        <v>1722</v>
      </c>
      <c r="F2919" s="5">
        <v>5361087</v>
      </c>
      <c r="G2919" s="5" t="s">
        <v>1451</v>
      </c>
      <c r="H2919" s="5" t="s">
        <v>30</v>
      </c>
      <c r="I2919" s="5" t="s">
        <v>22</v>
      </c>
      <c r="J2919" s="5" t="s">
        <v>199</v>
      </c>
      <c r="K2919" s="6">
        <v>0</v>
      </c>
      <c r="L2919" s="7">
        <v>0</v>
      </c>
      <c r="M2919" s="7">
        <v>0</v>
      </c>
      <c r="N2919" s="8">
        <v>26.88</v>
      </c>
      <c r="O2919" s="8">
        <v>0</v>
      </c>
      <c r="P2919" s="8">
        <v>0</v>
      </c>
      <c r="Q2919" s="8">
        <v>0</v>
      </c>
      <c r="R2919" s="8">
        <v>0</v>
      </c>
      <c r="S2919" s="8">
        <v>0</v>
      </c>
      <c r="T2919" s="5">
        <v>9</v>
      </c>
      <c r="U2919" s="5">
        <v>0</v>
      </c>
      <c r="V2919" s="5">
        <f>VLOOKUP(A2919,Planilha1!B:E,4,0)</f>
        <v>13.783871706210666</v>
      </c>
    </row>
    <row r="2920" spans="1:22" x14ac:dyDescent="0.3">
      <c r="A2920" t="str">
        <f t="shared" si="90"/>
        <v>COMPOSTOITAMBÉ</v>
      </c>
      <c r="B2920" t="str">
        <f t="shared" si="91"/>
        <v>5110498COMPOSTOITAMBÉ</v>
      </c>
      <c r="C2920" s="5" t="s">
        <v>226</v>
      </c>
      <c r="D2920" s="5" t="s">
        <v>752</v>
      </c>
      <c r="E2920" s="5" t="s">
        <v>774</v>
      </c>
      <c r="F2920" s="5">
        <v>5110498</v>
      </c>
      <c r="G2920" s="5" t="s">
        <v>782</v>
      </c>
      <c r="H2920" s="5" t="s">
        <v>32</v>
      </c>
      <c r="I2920" s="5" t="s">
        <v>27</v>
      </c>
      <c r="J2920" s="5" t="s">
        <v>26</v>
      </c>
      <c r="K2920" s="6">
        <v>0</v>
      </c>
      <c r="L2920" s="7">
        <v>0</v>
      </c>
      <c r="M2920" s="7">
        <v>0</v>
      </c>
      <c r="N2920" s="8">
        <v>33.333333333333336</v>
      </c>
      <c r="O2920" s="8">
        <v>0</v>
      </c>
      <c r="P2920" s="8">
        <v>0</v>
      </c>
      <c r="Q2920" s="8">
        <v>0</v>
      </c>
      <c r="R2920" s="8">
        <v>0</v>
      </c>
      <c r="S2920" s="8">
        <v>100</v>
      </c>
      <c r="T2920" s="5">
        <v>100</v>
      </c>
      <c r="U2920" s="5">
        <v>0</v>
      </c>
      <c r="V2920" s="5">
        <f>VLOOKUP(A2920,Planilha1!B:E,4,0)</f>
        <v>0.15618217875936719</v>
      </c>
    </row>
    <row r="2921" spans="1:22" x14ac:dyDescent="0.3">
      <c r="A2921" t="str">
        <f t="shared" si="90"/>
        <v>COMPOSTOITAMBÉ</v>
      </c>
      <c r="B2921" t="str">
        <f t="shared" si="91"/>
        <v>5142874COMPOSTOITAMBÉ</v>
      </c>
      <c r="C2921" s="5" t="s">
        <v>226</v>
      </c>
      <c r="D2921" s="5" t="s">
        <v>833</v>
      </c>
      <c r="E2921" s="5" t="s">
        <v>875</v>
      </c>
      <c r="F2921" s="5">
        <v>5142874</v>
      </c>
      <c r="G2921" s="5" t="s">
        <v>1452</v>
      </c>
      <c r="H2921" s="5" t="s">
        <v>91</v>
      </c>
      <c r="I2921" s="5" t="s">
        <v>27</v>
      </c>
      <c r="J2921" s="5" t="s">
        <v>26</v>
      </c>
      <c r="K2921" s="6">
        <v>0</v>
      </c>
      <c r="L2921" s="7">
        <v>0</v>
      </c>
      <c r="M2921" s="7">
        <v>0</v>
      </c>
      <c r="N2921" s="8">
        <v>6533.333333333333</v>
      </c>
      <c r="O2921" s="8">
        <v>0</v>
      </c>
      <c r="P2921" s="8">
        <v>0</v>
      </c>
      <c r="Q2921" s="8">
        <v>0</v>
      </c>
      <c r="R2921" s="8">
        <v>0</v>
      </c>
      <c r="S2921" s="8">
        <v>6533.333333333333</v>
      </c>
      <c r="T2921" s="5">
        <v>6533.333333333333</v>
      </c>
      <c r="U2921" s="5">
        <v>6533.333333333333</v>
      </c>
      <c r="V2921" s="5">
        <f>VLOOKUP(A2921,Planilha1!B:E,4,0)</f>
        <v>0.15618217875936719</v>
      </c>
    </row>
    <row r="2922" spans="1:22" x14ac:dyDescent="0.3">
      <c r="A2922" t="str">
        <f t="shared" si="90"/>
        <v>COMPOSTOITAMBÉ</v>
      </c>
      <c r="B2922" t="str">
        <f t="shared" si="91"/>
        <v>5161386COMPOSTOITAMBÉ</v>
      </c>
      <c r="C2922" s="5" t="s">
        <v>226</v>
      </c>
      <c r="D2922" s="5" t="s">
        <v>752</v>
      </c>
      <c r="E2922" s="5" t="s">
        <v>756</v>
      </c>
      <c r="F2922" s="5">
        <v>5161386</v>
      </c>
      <c r="G2922" s="5" t="s">
        <v>758</v>
      </c>
      <c r="H2922" s="5" t="s">
        <v>154</v>
      </c>
      <c r="I2922" s="5" t="s">
        <v>27</v>
      </c>
      <c r="J2922" s="5" t="s">
        <v>26</v>
      </c>
      <c r="K2922" s="6">
        <v>0</v>
      </c>
      <c r="L2922" s="7">
        <v>0</v>
      </c>
      <c r="M2922" s="7">
        <v>0</v>
      </c>
      <c r="N2922" s="8">
        <v>66.666666666666671</v>
      </c>
      <c r="O2922" s="8">
        <v>0</v>
      </c>
      <c r="P2922" s="8">
        <v>0</v>
      </c>
      <c r="Q2922" s="8">
        <v>0</v>
      </c>
      <c r="R2922" s="8">
        <v>0</v>
      </c>
      <c r="S2922" s="8">
        <v>0</v>
      </c>
      <c r="T2922" s="5">
        <v>0</v>
      </c>
      <c r="U2922" s="5">
        <v>0</v>
      </c>
      <c r="V2922" s="5">
        <f>VLOOKUP(A2922,Planilha1!B:E,4,0)</f>
        <v>0.15618217875936719</v>
      </c>
    </row>
    <row r="2923" spans="1:22" x14ac:dyDescent="0.3">
      <c r="A2923" t="str">
        <f t="shared" si="90"/>
        <v>COMPOSTOITAMBÉ</v>
      </c>
      <c r="B2923" t="str">
        <f t="shared" si="91"/>
        <v>5183807COMPOSTOITAMBÉ</v>
      </c>
      <c r="C2923" s="5" t="s">
        <v>226</v>
      </c>
      <c r="D2923" s="5" t="s">
        <v>727</v>
      </c>
      <c r="E2923" s="5" t="s">
        <v>733</v>
      </c>
      <c r="F2923" s="5">
        <v>5183807</v>
      </c>
      <c r="G2923" s="5" t="s">
        <v>1453</v>
      </c>
      <c r="H2923" s="5" t="s">
        <v>25</v>
      </c>
      <c r="I2923" s="5" t="s">
        <v>27</v>
      </c>
      <c r="J2923" s="5" t="s">
        <v>26</v>
      </c>
      <c r="K2923" s="6">
        <v>0</v>
      </c>
      <c r="L2923" s="7">
        <v>0</v>
      </c>
      <c r="M2923" s="7">
        <v>0</v>
      </c>
      <c r="N2923" s="8">
        <v>166.66666666666666</v>
      </c>
      <c r="O2923" s="8">
        <v>0</v>
      </c>
      <c r="P2923" s="8">
        <v>0</v>
      </c>
      <c r="Q2923" s="8">
        <v>0</v>
      </c>
      <c r="R2923" s="8">
        <v>0</v>
      </c>
      <c r="S2923" s="8">
        <v>300</v>
      </c>
      <c r="T2923" s="5">
        <v>300</v>
      </c>
      <c r="U2923" s="5">
        <v>0</v>
      </c>
      <c r="V2923" s="5">
        <f>VLOOKUP(A2923,Planilha1!B:E,4,0)</f>
        <v>0.15618217875936719</v>
      </c>
    </row>
    <row r="2924" spans="1:22" x14ac:dyDescent="0.3">
      <c r="A2924" t="str">
        <f t="shared" si="90"/>
        <v>COMPOSTOITAMBÉ</v>
      </c>
      <c r="B2924" t="str">
        <f t="shared" si="91"/>
        <v>5184917COMPOSTOITAMBÉ</v>
      </c>
      <c r="C2924" s="5" t="s">
        <v>16</v>
      </c>
      <c r="D2924" s="5" t="s">
        <v>53</v>
      </c>
      <c r="E2924" s="5" t="s">
        <v>23</v>
      </c>
      <c r="F2924" s="5">
        <v>5184917</v>
      </c>
      <c r="G2924" s="5" t="s">
        <v>1454</v>
      </c>
      <c r="H2924" s="5" t="s">
        <v>30</v>
      </c>
      <c r="I2924" s="5" t="s">
        <v>27</v>
      </c>
      <c r="J2924" s="5" t="s">
        <v>26</v>
      </c>
      <c r="K2924" s="6">
        <v>0</v>
      </c>
      <c r="L2924" s="7">
        <v>0</v>
      </c>
      <c r="M2924" s="7">
        <v>0</v>
      </c>
      <c r="N2924" s="8">
        <v>125</v>
      </c>
      <c r="O2924" s="8">
        <v>0</v>
      </c>
      <c r="P2924" s="8">
        <v>0</v>
      </c>
      <c r="Q2924" s="8">
        <v>0</v>
      </c>
      <c r="R2924" s="8">
        <v>0</v>
      </c>
      <c r="S2924" s="8">
        <v>0</v>
      </c>
      <c r="T2924" s="5">
        <v>0</v>
      </c>
      <c r="U2924" s="5">
        <v>0</v>
      </c>
      <c r="V2924" s="5">
        <f>VLOOKUP(A2924,Planilha1!B:E,4,0)</f>
        <v>0.15618217875936719</v>
      </c>
    </row>
    <row r="2925" spans="1:22" x14ac:dyDescent="0.3">
      <c r="A2925" t="str">
        <f t="shared" si="90"/>
        <v>COMPOSTOITAMBÉ</v>
      </c>
      <c r="B2925" t="str">
        <f t="shared" si="91"/>
        <v>5194511COMPOSTOITAMBÉ</v>
      </c>
      <c r="C2925" s="5" t="s">
        <v>16</v>
      </c>
      <c r="D2925" s="5" t="s">
        <v>53</v>
      </c>
      <c r="E2925" s="5" t="s">
        <v>23</v>
      </c>
      <c r="F2925" s="5">
        <v>5194511</v>
      </c>
      <c r="G2925" s="5" t="s">
        <v>1455</v>
      </c>
      <c r="H2925" s="5" t="s">
        <v>110</v>
      </c>
      <c r="I2925" s="5" t="s">
        <v>27</v>
      </c>
      <c r="J2925" s="5" t="s">
        <v>26</v>
      </c>
      <c r="K2925" s="6">
        <v>0</v>
      </c>
      <c r="L2925" s="7">
        <v>0</v>
      </c>
      <c r="M2925" s="7">
        <v>0</v>
      </c>
      <c r="N2925" s="8">
        <v>1250</v>
      </c>
      <c r="O2925" s="8">
        <v>0</v>
      </c>
      <c r="P2925" s="8">
        <v>0</v>
      </c>
      <c r="Q2925" s="8">
        <v>0</v>
      </c>
      <c r="R2925" s="8">
        <v>0</v>
      </c>
      <c r="S2925" s="8">
        <v>0</v>
      </c>
      <c r="T2925" s="5">
        <v>0</v>
      </c>
      <c r="U2925" s="5">
        <v>0</v>
      </c>
      <c r="V2925" s="5">
        <f>VLOOKUP(A2925,Planilha1!B:E,4,0)</f>
        <v>0.15618217875936719</v>
      </c>
    </row>
    <row r="2926" spans="1:22" x14ac:dyDescent="0.3">
      <c r="A2926" t="str">
        <f t="shared" si="90"/>
        <v>COMPOSTOITAMBÉ</v>
      </c>
      <c r="B2926" t="str">
        <f t="shared" si="91"/>
        <v>5207523COMPOSTOITAMBÉ</v>
      </c>
      <c r="C2926" s="5" t="s">
        <v>226</v>
      </c>
      <c r="D2926" s="5" t="s">
        <v>727</v>
      </c>
      <c r="E2926" s="5" t="s">
        <v>733</v>
      </c>
      <c r="F2926" s="5">
        <v>5207523</v>
      </c>
      <c r="G2926" s="5" t="s">
        <v>1456</v>
      </c>
      <c r="H2926" s="5" t="s">
        <v>25</v>
      </c>
      <c r="I2926" s="5" t="s">
        <v>27</v>
      </c>
      <c r="J2926" s="5" t="s">
        <v>26</v>
      </c>
      <c r="K2926" s="6">
        <v>0</v>
      </c>
      <c r="L2926" s="7">
        <v>0</v>
      </c>
      <c r="M2926" s="7">
        <v>0</v>
      </c>
      <c r="N2926" s="8">
        <v>16.666666666666668</v>
      </c>
      <c r="O2926" s="8">
        <v>0</v>
      </c>
      <c r="P2926" s="8">
        <v>0</v>
      </c>
      <c r="Q2926" s="8">
        <v>0</v>
      </c>
      <c r="R2926" s="8">
        <v>0</v>
      </c>
      <c r="S2926" s="8">
        <v>0</v>
      </c>
      <c r="T2926" s="5">
        <v>0</v>
      </c>
      <c r="U2926" s="5">
        <v>0</v>
      </c>
      <c r="V2926" s="5">
        <f>VLOOKUP(A2926,Planilha1!B:E,4,0)</f>
        <v>0.15618217875936719</v>
      </c>
    </row>
    <row r="2927" spans="1:22" x14ac:dyDescent="0.3">
      <c r="A2927" t="str">
        <f t="shared" si="90"/>
        <v>COMPOSTOITAMBÉ</v>
      </c>
      <c r="B2927" t="str">
        <f t="shared" si="91"/>
        <v>5226129COMPOSTOITAMBÉ</v>
      </c>
      <c r="C2927" s="5" t="s">
        <v>226</v>
      </c>
      <c r="D2927" s="5" t="s">
        <v>752</v>
      </c>
      <c r="E2927" s="5" t="s">
        <v>774</v>
      </c>
      <c r="F2927" s="5">
        <v>5226129</v>
      </c>
      <c r="G2927" s="5" t="s">
        <v>1457</v>
      </c>
      <c r="H2927" s="5" t="s">
        <v>32</v>
      </c>
      <c r="I2927" s="5" t="s">
        <v>27</v>
      </c>
      <c r="J2927" s="5" t="s">
        <v>26</v>
      </c>
      <c r="K2927" s="6">
        <v>0</v>
      </c>
      <c r="L2927" s="7">
        <v>0</v>
      </c>
      <c r="M2927" s="7">
        <v>0</v>
      </c>
      <c r="N2927" s="8">
        <v>33.333333333333336</v>
      </c>
      <c r="O2927" s="8">
        <v>0</v>
      </c>
      <c r="P2927" s="8">
        <v>0</v>
      </c>
      <c r="Q2927" s="8">
        <v>0</v>
      </c>
      <c r="R2927" s="8">
        <v>0</v>
      </c>
      <c r="S2927" s="8">
        <v>0</v>
      </c>
      <c r="T2927" s="5">
        <v>0</v>
      </c>
      <c r="U2927" s="5">
        <v>0</v>
      </c>
      <c r="V2927" s="5">
        <f>VLOOKUP(A2927,Planilha1!B:E,4,0)</f>
        <v>0.15618217875936719</v>
      </c>
    </row>
    <row r="2928" spans="1:22" x14ac:dyDescent="0.3">
      <c r="A2928" t="str">
        <f t="shared" si="90"/>
        <v>COMPOSTOITAMBÉ</v>
      </c>
      <c r="B2928" t="str">
        <f t="shared" si="91"/>
        <v>5227772COMPOSTOITAMBÉ</v>
      </c>
      <c r="C2928" s="5" t="s">
        <v>16</v>
      </c>
      <c r="D2928" s="5" t="s">
        <v>28</v>
      </c>
      <c r="E2928" s="5" t="s">
        <v>28</v>
      </c>
      <c r="F2928" s="5">
        <v>5227772</v>
      </c>
      <c r="G2928" s="5" t="s">
        <v>177</v>
      </c>
      <c r="H2928" s="5" t="s">
        <v>154</v>
      </c>
      <c r="I2928" s="5" t="s">
        <v>27</v>
      </c>
      <c r="J2928" s="5" t="s">
        <v>26</v>
      </c>
      <c r="K2928" s="6">
        <v>0</v>
      </c>
      <c r="L2928" s="7">
        <v>0</v>
      </c>
      <c r="M2928" s="7">
        <v>0</v>
      </c>
      <c r="N2928" s="8">
        <v>20</v>
      </c>
      <c r="O2928" s="8">
        <v>0</v>
      </c>
      <c r="P2928" s="8">
        <v>0</v>
      </c>
      <c r="Q2928" s="8">
        <v>10</v>
      </c>
      <c r="R2928" s="8">
        <v>0</v>
      </c>
      <c r="S2928" s="8">
        <v>0</v>
      </c>
      <c r="T2928" s="5">
        <v>40</v>
      </c>
      <c r="U2928" s="5">
        <v>0</v>
      </c>
      <c r="V2928" s="5">
        <f>VLOOKUP(A2928,Planilha1!B:E,4,0)</f>
        <v>0.15618217875936719</v>
      </c>
    </row>
    <row r="2929" spans="1:22" x14ac:dyDescent="0.3">
      <c r="A2929" t="str">
        <f t="shared" si="90"/>
        <v>COMPOSTOITAMBÉ</v>
      </c>
      <c r="B2929" t="str">
        <f t="shared" si="91"/>
        <v>5229831COMPOSTOITAMBÉ</v>
      </c>
      <c r="C2929" s="5" t="s">
        <v>16</v>
      </c>
      <c r="D2929" s="5" t="s">
        <v>28</v>
      </c>
      <c r="E2929" s="5" t="s">
        <v>28</v>
      </c>
      <c r="F2929" s="5">
        <v>5229831</v>
      </c>
      <c r="G2929" s="5" t="s">
        <v>178</v>
      </c>
      <c r="H2929" s="5" t="s">
        <v>154</v>
      </c>
      <c r="I2929" s="5" t="s">
        <v>27</v>
      </c>
      <c r="J2929" s="5" t="s">
        <v>26</v>
      </c>
      <c r="K2929" s="6">
        <v>0</v>
      </c>
      <c r="L2929" s="7">
        <v>0</v>
      </c>
      <c r="M2929" s="7">
        <v>0</v>
      </c>
      <c r="N2929" s="8">
        <v>20</v>
      </c>
      <c r="O2929" s="8">
        <v>0</v>
      </c>
      <c r="P2929" s="8">
        <v>0</v>
      </c>
      <c r="Q2929" s="8">
        <v>20</v>
      </c>
      <c r="R2929" s="8">
        <v>0</v>
      </c>
      <c r="S2929" s="8">
        <v>0</v>
      </c>
      <c r="T2929" s="5">
        <v>40</v>
      </c>
      <c r="U2929" s="5">
        <v>0</v>
      </c>
      <c r="V2929" s="5">
        <f>VLOOKUP(A2929,Planilha1!B:E,4,0)</f>
        <v>0.15618217875936719</v>
      </c>
    </row>
    <row r="2930" spans="1:22" x14ac:dyDescent="0.3">
      <c r="A2930" t="str">
        <f t="shared" si="90"/>
        <v>COMPOSTOITAMBÉ</v>
      </c>
      <c r="B2930" t="str">
        <f t="shared" si="91"/>
        <v>5292367COMPOSTOITAMBÉ</v>
      </c>
      <c r="C2930" s="5" t="s">
        <v>226</v>
      </c>
      <c r="D2930" s="5" t="s">
        <v>903</v>
      </c>
      <c r="E2930" s="5" t="s">
        <v>904</v>
      </c>
      <c r="F2930" s="5">
        <v>5292367</v>
      </c>
      <c r="G2930" s="5" t="s">
        <v>932</v>
      </c>
      <c r="H2930" s="5" t="s">
        <v>88</v>
      </c>
      <c r="I2930" s="5" t="s">
        <v>27</v>
      </c>
      <c r="J2930" s="5" t="s">
        <v>26</v>
      </c>
      <c r="K2930" s="6">
        <v>0</v>
      </c>
      <c r="L2930" s="7">
        <v>0</v>
      </c>
      <c r="M2930" s="7">
        <v>0</v>
      </c>
      <c r="N2930" s="8">
        <v>260</v>
      </c>
      <c r="O2930" s="8">
        <v>0</v>
      </c>
      <c r="P2930" s="8">
        <v>0</v>
      </c>
      <c r="Q2930" s="8">
        <v>0</v>
      </c>
      <c r="R2930" s="8">
        <v>0</v>
      </c>
      <c r="S2930" s="8">
        <v>0</v>
      </c>
      <c r="T2930" s="5">
        <v>0</v>
      </c>
      <c r="U2930" s="5">
        <v>260</v>
      </c>
      <c r="V2930" s="5">
        <f>VLOOKUP(A2930,Planilha1!B:E,4,0)</f>
        <v>0.15618217875936719</v>
      </c>
    </row>
    <row r="2931" spans="1:22" x14ac:dyDescent="0.3">
      <c r="A2931" t="str">
        <f t="shared" si="90"/>
        <v>COMPOSTOITAMBÉ</v>
      </c>
      <c r="B2931" t="str">
        <f t="shared" si="91"/>
        <v>5343417COMPOSTOITAMBÉ</v>
      </c>
      <c r="C2931" s="5" t="s">
        <v>16</v>
      </c>
      <c r="D2931" s="5" t="s">
        <v>17</v>
      </c>
      <c r="E2931" s="5" t="s">
        <v>66</v>
      </c>
      <c r="F2931" s="5">
        <v>5343417</v>
      </c>
      <c r="G2931" s="5" t="s">
        <v>1458</v>
      </c>
      <c r="H2931" s="5" t="s">
        <v>101</v>
      </c>
      <c r="I2931" s="5" t="s">
        <v>27</v>
      </c>
      <c r="J2931" s="5" t="s">
        <v>26</v>
      </c>
      <c r="K2931" s="6">
        <v>0</v>
      </c>
      <c r="L2931" s="7">
        <v>0</v>
      </c>
      <c r="M2931" s="7">
        <v>0</v>
      </c>
      <c r="N2931" s="8">
        <v>-2158.3333333333335</v>
      </c>
      <c r="O2931" s="8">
        <v>0</v>
      </c>
      <c r="P2931" s="8">
        <v>0</v>
      </c>
      <c r="Q2931" s="8">
        <v>0</v>
      </c>
      <c r="R2931" s="8">
        <v>0</v>
      </c>
      <c r="S2931" s="8">
        <v>0</v>
      </c>
      <c r="T2931" s="5">
        <v>0</v>
      </c>
      <c r="U2931" s="5">
        <v>0</v>
      </c>
      <c r="V2931" s="5">
        <f>VLOOKUP(A2931,Planilha1!B:E,4,0)</f>
        <v>0.15618217875936719</v>
      </c>
    </row>
    <row r="2932" spans="1:22" x14ac:dyDescent="0.3">
      <c r="A2932" t="str">
        <f t="shared" si="90"/>
        <v>COMPOSTOITAMBÉ</v>
      </c>
      <c r="B2932" t="str">
        <f t="shared" si="91"/>
        <v>5348271COMPOSTOITAMBÉ</v>
      </c>
      <c r="C2932" s="5" t="s">
        <v>226</v>
      </c>
      <c r="D2932" s="5" t="s">
        <v>727</v>
      </c>
      <c r="E2932" s="5" t="s">
        <v>733</v>
      </c>
      <c r="F2932" s="5">
        <v>5348271</v>
      </c>
      <c r="G2932" s="5" t="s">
        <v>749</v>
      </c>
      <c r="H2932" s="5" t="s">
        <v>25</v>
      </c>
      <c r="I2932" s="5" t="s">
        <v>27</v>
      </c>
      <c r="J2932" s="5" t="s">
        <v>26</v>
      </c>
      <c r="K2932" s="6">
        <v>0</v>
      </c>
      <c r="L2932" s="7">
        <v>0</v>
      </c>
      <c r="M2932" s="7">
        <v>0</v>
      </c>
      <c r="N2932" s="8">
        <v>23</v>
      </c>
      <c r="O2932" s="8">
        <v>0</v>
      </c>
      <c r="P2932" s="8">
        <v>0</v>
      </c>
      <c r="Q2932" s="8">
        <v>0</v>
      </c>
      <c r="R2932" s="8">
        <v>0</v>
      </c>
      <c r="S2932" s="8">
        <v>0</v>
      </c>
      <c r="T2932" s="5">
        <v>0</v>
      </c>
      <c r="U2932" s="5">
        <v>0</v>
      </c>
      <c r="V2932" s="5">
        <f>VLOOKUP(A2932,Planilha1!B:E,4,0)</f>
        <v>0.15618217875936719</v>
      </c>
    </row>
    <row r="2933" spans="1:22" x14ac:dyDescent="0.3">
      <c r="A2933" t="str">
        <f t="shared" si="90"/>
        <v>COMPOSTOITAMBÉ</v>
      </c>
      <c r="B2933" t="str">
        <f t="shared" si="91"/>
        <v>5350810COMPOSTOITAMBÉ</v>
      </c>
      <c r="C2933" s="5" t="s">
        <v>226</v>
      </c>
      <c r="D2933" s="5" t="s">
        <v>752</v>
      </c>
      <c r="E2933" s="5" t="s">
        <v>1216</v>
      </c>
      <c r="F2933" s="5">
        <v>5350810</v>
      </c>
      <c r="G2933" s="5" t="s">
        <v>1234</v>
      </c>
      <c r="H2933" s="5" t="s">
        <v>154</v>
      </c>
      <c r="I2933" s="5" t="s">
        <v>27</v>
      </c>
      <c r="J2933" s="5" t="s">
        <v>26</v>
      </c>
      <c r="K2933" s="6">
        <v>0</v>
      </c>
      <c r="L2933" s="7">
        <v>0</v>
      </c>
      <c r="M2933" s="7">
        <v>0</v>
      </c>
      <c r="N2933" s="8">
        <v>16.666666666666668</v>
      </c>
      <c r="O2933" s="8">
        <v>0</v>
      </c>
      <c r="P2933" s="8">
        <v>0</v>
      </c>
      <c r="Q2933" s="8">
        <v>0</v>
      </c>
      <c r="R2933" s="8">
        <v>0</v>
      </c>
      <c r="S2933" s="8">
        <v>0</v>
      </c>
      <c r="T2933" s="5">
        <v>0</v>
      </c>
      <c r="U2933" s="5">
        <v>0</v>
      </c>
      <c r="V2933" s="5">
        <f>VLOOKUP(A2933,Planilha1!B:E,4,0)</f>
        <v>0.15618217875936719</v>
      </c>
    </row>
    <row r="2934" spans="1:22" x14ac:dyDescent="0.3">
      <c r="A2934" t="str">
        <f t="shared" si="90"/>
        <v>COMPOSTOITAMBÉ</v>
      </c>
      <c r="B2934" t="str">
        <f t="shared" si="91"/>
        <v>5351160COMPOSTOITAMBÉ</v>
      </c>
      <c r="C2934" s="5" t="s">
        <v>16</v>
      </c>
      <c r="D2934" s="5" t="s">
        <v>28</v>
      </c>
      <c r="E2934" s="5" t="s">
        <v>23</v>
      </c>
      <c r="F2934" s="5">
        <v>5351160</v>
      </c>
      <c r="G2934" s="5" t="s">
        <v>1459</v>
      </c>
      <c r="H2934" s="5" t="s">
        <v>30</v>
      </c>
      <c r="I2934" s="5" t="s">
        <v>27</v>
      </c>
      <c r="J2934" s="5" t="s">
        <v>26</v>
      </c>
      <c r="K2934" s="6">
        <v>0</v>
      </c>
      <c r="L2934" s="7">
        <v>0</v>
      </c>
      <c r="M2934" s="7">
        <v>0</v>
      </c>
      <c r="N2934" s="8">
        <v>208.33333333333334</v>
      </c>
      <c r="O2934" s="8">
        <v>0</v>
      </c>
      <c r="P2934" s="8">
        <v>0</v>
      </c>
      <c r="Q2934" s="8">
        <v>750</v>
      </c>
      <c r="R2934" s="8">
        <v>0</v>
      </c>
      <c r="S2934" s="8">
        <v>0</v>
      </c>
      <c r="T2934" s="5">
        <v>750</v>
      </c>
      <c r="U2934" s="5">
        <v>0</v>
      </c>
      <c r="V2934" s="5">
        <f>VLOOKUP(A2934,Planilha1!B:E,4,0)</f>
        <v>0.15618217875936719</v>
      </c>
    </row>
    <row r="2935" spans="1:22" x14ac:dyDescent="0.3">
      <c r="A2935" t="str">
        <f t="shared" si="90"/>
        <v>COMPOSTOITAMBÉ</v>
      </c>
      <c r="B2935" t="str">
        <f t="shared" si="91"/>
        <v>5357700COMPOSTOITAMBÉ</v>
      </c>
      <c r="C2935" s="5" t="s">
        <v>226</v>
      </c>
      <c r="D2935" s="5" t="s">
        <v>833</v>
      </c>
      <c r="E2935" s="5" t="s">
        <v>852</v>
      </c>
      <c r="F2935" s="5">
        <v>5357700</v>
      </c>
      <c r="G2935" s="5" t="s">
        <v>1460</v>
      </c>
      <c r="H2935" s="5" t="s">
        <v>40</v>
      </c>
      <c r="I2935" s="5" t="s">
        <v>27</v>
      </c>
      <c r="J2935" s="5" t="s">
        <v>26</v>
      </c>
      <c r="K2935" s="6">
        <v>0</v>
      </c>
      <c r="L2935" s="7">
        <v>0</v>
      </c>
      <c r="M2935" s="7">
        <v>0</v>
      </c>
      <c r="N2935" s="8">
        <v>33.333333333333336</v>
      </c>
      <c r="O2935" s="8">
        <v>0</v>
      </c>
      <c r="P2935" s="8">
        <v>0</v>
      </c>
      <c r="Q2935" s="8">
        <v>0</v>
      </c>
      <c r="R2935" s="8">
        <v>0</v>
      </c>
      <c r="S2935" s="8">
        <v>150</v>
      </c>
      <c r="T2935" s="5">
        <v>150</v>
      </c>
      <c r="U2935" s="5">
        <v>150</v>
      </c>
      <c r="V2935" s="5">
        <f>VLOOKUP(A2935,Planilha1!B:E,4,0)</f>
        <v>0.15618217875936719</v>
      </c>
    </row>
    <row r="2936" spans="1:22" x14ac:dyDescent="0.3">
      <c r="A2936" t="str">
        <f t="shared" si="90"/>
        <v>COMPOSTOITAMBÉ</v>
      </c>
      <c r="B2936" t="str">
        <f t="shared" si="91"/>
        <v>5359414COMPOSTOITAMBÉ</v>
      </c>
      <c r="C2936" s="5" t="s">
        <v>226</v>
      </c>
      <c r="D2936" s="5" t="s">
        <v>727</v>
      </c>
      <c r="E2936" s="5" t="s">
        <v>733</v>
      </c>
      <c r="F2936" s="5">
        <v>5359414</v>
      </c>
      <c r="G2936" s="5" t="s">
        <v>1461</v>
      </c>
      <c r="H2936" s="5" t="s">
        <v>25</v>
      </c>
      <c r="I2936" s="5" t="s">
        <v>27</v>
      </c>
      <c r="J2936" s="5" t="s">
        <v>26</v>
      </c>
      <c r="K2936" s="6">
        <v>0</v>
      </c>
      <c r="L2936" s="7">
        <v>0</v>
      </c>
      <c r="M2936" s="7">
        <v>0</v>
      </c>
      <c r="N2936" s="8">
        <v>41.666666666666664</v>
      </c>
      <c r="O2936" s="8">
        <v>0</v>
      </c>
      <c r="P2936" s="8">
        <v>0</v>
      </c>
      <c r="Q2936" s="8">
        <v>0</v>
      </c>
      <c r="R2936" s="8">
        <v>0</v>
      </c>
      <c r="S2936" s="8">
        <v>0</v>
      </c>
      <c r="T2936" s="5">
        <v>0</v>
      </c>
      <c r="U2936" s="5">
        <v>0</v>
      </c>
      <c r="V2936" s="5">
        <f>VLOOKUP(A2936,Planilha1!B:E,4,0)</f>
        <v>0.15618217875936719</v>
      </c>
    </row>
    <row r="2937" spans="1:22" x14ac:dyDescent="0.3">
      <c r="A2937" t="str">
        <f t="shared" si="90"/>
        <v>COMPOSTOITAMBÉ</v>
      </c>
      <c r="B2937" t="str">
        <f t="shared" si="91"/>
        <v>5359623COMPOSTOITAMBÉ</v>
      </c>
      <c r="C2937" s="5" t="s">
        <v>226</v>
      </c>
      <c r="D2937" s="5" t="s">
        <v>797</v>
      </c>
      <c r="E2937" s="5" t="s">
        <v>753</v>
      </c>
      <c r="F2937" s="5">
        <v>5359623</v>
      </c>
      <c r="G2937" s="5" t="s">
        <v>1444</v>
      </c>
      <c r="H2937" s="5" t="s">
        <v>20</v>
      </c>
      <c r="I2937" s="5" t="s">
        <v>27</v>
      </c>
      <c r="J2937" s="5" t="s">
        <v>26</v>
      </c>
      <c r="K2937" s="6">
        <v>0</v>
      </c>
      <c r="L2937" s="7">
        <v>0</v>
      </c>
      <c r="M2937" s="7">
        <v>0</v>
      </c>
      <c r="N2937" s="8">
        <v>20</v>
      </c>
      <c r="O2937" s="8">
        <v>0</v>
      </c>
      <c r="P2937" s="8">
        <v>0</v>
      </c>
      <c r="Q2937" s="8">
        <v>0</v>
      </c>
      <c r="R2937" s="8">
        <v>0</v>
      </c>
      <c r="S2937" s="8">
        <v>0</v>
      </c>
      <c r="T2937" s="5">
        <v>0</v>
      </c>
      <c r="U2937" s="5">
        <v>0</v>
      </c>
      <c r="V2937" s="5">
        <f>VLOOKUP(A2937,Planilha1!B:E,4,0)</f>
        <v>0.15618217875936719</v>
      </c>
    </row>
    <row r="2938" spans="1:22" x14ac:dyDescent="0.3">
      <c r="A2938" t="str">
        <f t="shared" si="90"/>
        <v>COMPOSTOITAMBÉ</v>
      </c>
      <c r="B2938" t="str">
        <f t="shared" si="91"/>
        <v>5361023COMPOSTOITAMBÉ</v>
      </c>
      <c r="C2938" s="5" t="s">
        <v>16</v>
      </c>
      <c r="D2938" s="5" t="s">
        <v>28</v>
      </c>
      <c r="E2938" s="5" t="s">
        <v>28</v>
      </c>
      <c r="F2938" s="5">
        <v>5361023</v>
      </c>
      <c r="G2938" s="5" t="s">
        <v>1462</v>
      </c>
      <c r="H2938" s="5" t="s">
        <v>30</v>
      </c>
      <c r="I2938" s="5" t="s">
        <v>27</v>
      </c>
      <c r="J2938" s="5" t="s">
        <v>26</v>
      </c>
      <c r="K2938" s="6">
        <v>0</v>
      </c>
      <c r="L2938" s="7">
        <v>0</v>
      </c>
      <c r="M2938" s="7">
        <v>0</v>
      </c>
      <c r="N2938" s="8">
        <v>8.3333333333333339</v>
      </c>
      <c r="O2938" s="8">
        <v>0</v>
      </c>
      <c r="P2938" s="8">
        <v>0</v>
      </c>
      <c r="Q2938" s="8">
        <v>0</v>
      </c>
      <c r="R2938" s="8">
        <v>0</v>
      </c>
      <c r="S2938" s="8">
        <v>0</v>
      </c>
      <c r="T2938" s="5">
        <v>0</v>
      </c>
      <c r="U2938" s="5">
        <v>0</v>
      </c>
      <c r="V2938" s="5">
        <f>VLOOKUP(A2938,Planilha1!B:E,4,0)</f>
        <v>0.15618217875936719</v>
      </c>
    </row>
    <row r="2939" spans="1:22" x14ac:dyDescent="0.3">
      <c r="A2939" t="str">
        <f t="shared" si="90"/>
        <v>COMPOSTOITAMBÉ</v>
      </c>
      <c r="B2939" t="str">
        <f t="shared" si="91"/>
        <v>5362139COMPOSTOITAMBÉ</v>
      </c>
      <c r="C2939" s="5" t="s">
        <v>16</v>
      </c>
      <c r="D2939" s="5" t="s">
        <v>53</v>
      </c>
      <c r="E2939" s="5" t="s">
        <v>54</v>
      </c>
      <c r="F2939" s="5">
        <v>5362139</v>
      </c>
      <c r="G2939" s="5" t="s">
        <v>1463</v>
      </c>
      <c r="H2939" s="5" t="s">
        <v>88</v>
      </c>
      <c r="I2939" s="5" t="s">
        <v>27</v>
      </c>
      <c r="J2939" s="5" t="s">
        <v>26</v>
      </c>
      <c r="K2939" s="6">
        <v>0</v>
      </c>
      <c r="L2939" s="7">
        <v>0</v>
      </c>
      <c r="M2939" s="7">
        <v>0</v>
      </c>
      <c r="N2939" s="8">
        <v>333.33333333333331</v>
      </c>
      <c r="O2939" s="8">
        <v>0</v>
      </c>
      <c r="P2939" s="8">
        <v>0</v>
      </c>
      <c r="Q2939" s="8">
        <v>0</v>
      </c>
      <c r="R2939" s="8">
        <v>0</v>
      </c>
      <c r="S2939" s="8">
        <v>0</v>
      </c>
      <c r="T2939" s="5">
        <v>0</v>
      </c>
      <c r="U2939" s="5">
        <v>0</v>
      </c>
      <c r="V2939" s="5">
        <f>VLOOKUP(A2939,Planilha1!B:E,4,0)</f>
        <v>0.15618217875936719</v>
      </c>
    </row>
    <row r="2940" spans="1:22" x14ac:dyDescent="0.3">
      <c r="A2940" t="str">
        <f t="shared" si="90"/>
        <v>COMPOSTOLACTALIS</v>
      </c>
      <c r="B2940" t="str">
        <f t="shared" si="91"/>
        <v>5178343COMPOSTOLACTALIS</v>
      </c>
      <c r="C2940" s="5" t="s">
        <v>226</v>
      </c>
      <c r="D2940" s="5" t="s">
        <v>797</v>
      </c>
      <c r="E2940" s="5" t="s">
        <v>753</v>
      </c>
      <c r="F2940" s="5">
        <v>5178343</v>
      </c>
      <c r="G2940" s="5" t="s">
        <v>802</v>
      </c>
      <c r="H2940" s="5" t="s">
        <v>36</v>
      </c>
      <c r="I2940" s="5" t="s">
        <v>22</v>
      </c>
      <c r="J2940" s="5" t="s">
        <v>26</v>
      </c>
      <c r="K2940" s="6">
        <v>0</v>
      </c>
      <c r="L2940" s="7">
        <v>0</v>
      </c>
      <c r="M2940" s="7">
        <v>0</v>
      </c>
      <c r="N2940" s="8">
        <v>-21.066666666666666</v>
      </c>
      <c r="O2940" s="8">
        <v>0</v>
      </c>
      <c r="P2940" s="8">
        <v>0</v>
      </c>
      <c r="Q2940" s="8">
        <v>0</v>
      </c>
      <c r="R2940" s="8">
        <v>0</v>
      </c>
      <c r="S2940" s="8">
        <v>0</v>
      </c>
      <c r="T2940" s="5">
        <v>0</v>
      </c>
      <c r="U2940" s="5">
        <v>0</v>
      </c>
      <c r="V2940" s="5">
        <f>VLOOKUP(A2940,Planilha1!B:E,4,0)</f>
        <v>7.7134687735139194</v>
      </c>
    </row>
    <row r="2941" spans="1:22" x14ac:dyDescent="0.3">
      <c r="A2941" t="str">
        <f t="shared" si="90"/>
        <v>CREME UHTITAMBÉ</v>
      </c>
      <c r="B2941" t="str">
        <f t="shared" si="91"/>
        <v>5063322CREME UHTITAMBÉ</v>
      </c>
      <c r="C2941" s="5" t="s">
        <v>226</v>
      </c>
      <c r="D2941" s="5" t="s">
        <v>727</v>
      </c>
      <c r="E2941" s="5" t="s">
        <v>733</v>
      </c>
      <c r="F2941" s="5">
        <v>5063322</v>
      </c>
      <c r="G2941" s="5" t="s">
        <v>1464</v>
      </c>
      <c r="H2941" s="5" t="s">
        <v>25</v>
      </c>
      <c r="I2941" s="5" t="s">
        <v>27</v>
      </c>
      <c r="J2941" s="5" t="s">
        <v>34</v>
      </c>
      <c r="K2941" s="6">
        <v>0</v>
      </c>
      <c r="L2941" s="7">
        <v>0</v>
      </c>
      <c r="M2941" s="7">
        <v>0</v>
      </c>
      <c r="N2941" s="8">
        <v>90</v>
      </c>
      <c r="O2941" s="8">
        <v>0</v>
      </c>
      <c r="P2941" s="8">
        <v>0</v>
      </c>
      <c r="Q2941" s="8">
        <v>0</v>
      </c>
      <c r="R2941" s="8">
        <v>0</v>
      </c>
      <c r="S2941" s="8">
        <v>0</v>
      </c>
      <c r="T2941" s="5">
        <v>0</v>
      </c>
      <c r="U2941" s="5">
        <v>0</v>
      </c>
      <c r="V2941" s="5">
        <f>VLOOKUP(A2941,Planilha1!B:E,4,0)</f>
        <v>1.2362540170747773</v>
      </c>
    </row>
    <row r="2942" spans="1:22" x14ac:dyDescent="0.3">
      <c r="A2942" t="str">
        <f t="shared" si="90"/>
        <v>CREME UHTITAMBÉ</v>
      </c>
      <c r="B2942" t="str">
        <f t="shared" si="91"/>
        <v>5183807CREME UHTITAMBÉ</v>
      </c>
      <c r="C2942" s="5" t="s">
        <v>226</v>
      </c>
      <c r="D2942" s="5" t="s">
        <v>727</v>
      </c>
      <c r="E2942" s="5" t="s">
        <v>733</v>
      </c>
      <c r="F2942" s="5">
        <v>5183807</v>
      </c>
      <c r="G2942" s="5" t="s">
        <v>1453</v>
      </c>
      <c r="H2942" s="5" t="s">
        <v>25</v>
      </c>
      <c r="I2942" s="5" t="s">
        <v>27</v>
      </c>
      <c r="J2942" s="5" t="s">
        <v>34</v>
      </c>
      <c r="K2942" s="6">
        <v>0</v>
      </c>
      <c r="L2942" s="7">
        <v>0</v>
      </c>
      <c r="M2942" s="7">
        <v>0</v>
      </c>
      <c r="N2942" s="8">
        <v>343.33333333333331</v>
      </c>
      <c r="O2942" s="8">
        <v>0</v>
      </c>
      <c r="P2942" s="8">
        <v>0</v>
      </c>
      <c r="Q2942" s="8">
        <v>0</v>
      </c>
      <c r="R2942" s="8">
        <v>0</v>
      </c>
      <c r="S2942" s="8">
        <v>0</v>
      </c>
      <c r="T2942" s="5">
        <v>0</v>
      </c>
      <c r="U2942" s="5">
        <v>0</v>
      </c>
      <c r="V2942" s="5">
        <f>VLOOKUP(A2942,Planilha1!B:E,4,0)</f>
        <v>1.2362540170747773</v>
      </c>
    </row>
    <row r="2943" spans="1:22" x14ac:dyDescent="0.3">
      <c r="A2943" t="str">
        <f t="shared" si="90"/>
        <v>CREME UHTITAMBÉ</v>
      </c>
      <c r="B2943" t="str">
        <f t="shared" si="91"/>
        <v>5195605CREME UHTITAMBÉ</v>
      </c>
      <c r="C2943" s="5" t="s">
        <v>226</v>
      </c>
      <c r="D2943" s="5" t="s">
        <v>227</v>
      </c>
      <c r="E2943" s="5" t="s">
        <v>231</v>
      </c>
      <c r="F2943" s="5">
        <v>5195605</v>
      </c>
      <c r="G2943" s="5" t="s">
        <v>235</v>
      </c>
      <c r="H2943" s="5" t="s">
        <v>30</v>
      </c>
      <c r="I2943" s="5" t="s">
        <v>27</v>
      </c>
      <c r="J2943" s="5" t="s">
        <v>34</v>
      </c>
      <c r="K2943" s="6">
        <v>0</v>
      </c>
      <c r="L2943" s="7">
        <v>0</v>
      </c>
      <c r="M2943" s="7">
        <v>0</v>
      </c>
      <c r="N2943" s="8">
        <v>0</v>
      </c>
      <c r="O2943" s="8">
        <v>0</v>
      </c>
      <c r="P2943" s="8">
        <v>0</v>
      </c>
      <c r="Q2943" s="8">
        <v>0</v>
      </c>
      <c r="R2943" s="8">
        <v>0</v>
      </c>
      <c r="S2943" s="8">
        <v>0</v>
      </c>
      <c r="T2943" s="5">
        <v>0</v>
      </c>
      <c r="U2943" s="5">
        <v>0</v>
      </c>
      <c r="V2943" s="5">
        <f>VLOOKUP(A2943,Planilha1!B:E,4,0)</f>
        <v>1.2362540170747773</v>
      </c>
    </row>
    <row r="2944" spans="1:22" x14ac:dyDescent="0.3">
      <c r="A2944" t="str">
        <f t="shared" si="90"/>
        <v>CREME UHTITAMBÉ</v>
      </c>
      <c r="B2944" t="str">
        <f t="shared" si="91"/>
        <v>5226129CREME UHTITAMBÉ</v>
      </c>
      <c r="C2944" s="5" t="s">
        <v>226</v>
      </c>
      <c r="D2944" s="5" t="s">
        <v>752</v>
      </c>
      <c r="E2944" s="5" t="s">
        <v>774</v>
      </c>
      <c r="F2944" s="5">
        <v>5226129</v>
      </c>
      <c r="G2944" s="5" t="s">
        <v>1457</v>
      </c>
      <c r="H2944" s="5" t="s">
        <v>32</v>
      </c>
      <c r="I2944" s="5" t="s">
        <v>27</v>
      </c>
      <c r="J2944" s="5" t="s">
        <v>34</v>
      </c>
      <c r="K2944" s="6">
        <v>0</v>
      </c>
      <c r="L2944" s="7">
        <v>0</v>
      </c>
      <c r="M2944" s="7">
        <v>0</v>
      </c>
      <c r="N2944" s="8">
        <v>7.3333333333333339</v>
      </c>
      <c r="O2944" s="8">
        <v>0</v>
      </c>
      <c r="P2944" s="8">
        <v>0</v>
      </c>
      <c r="Q2944" s="8">
        <v>0</v>
      </c>
      <c r="R2944" s="8">
        <v>0</v>
      </c>
      <c r="S2944" s="8">
        <v>0</v>
      </c>
      <c r="T2944" s="5">
        <v>0</v>
      </c>
      <c r="U2944" s="5">
        <v>0</v>
      </c>
      <c r="V2944" s="5">
        <f>VLOOKUP(A2944,Planilha1!B:E,4,0)</f>
        <v>1.2362540170747773</v>
      </c>
    </row>
    <row r="2945" spans="1:22" x14ac:dyDescent="0.3">
      <c r="A2945" t="str">
        <f t="shared" si="90"/>
        <v>CREME UHTITAMBÉ</v>
      </c>
      <c r="B2945" t="str">
        <f t="shared" si="91"/>
        <v>5348271CREME UHTITAMBÉ</v>
      </c>
      <c r="C2945" s="5" t="s">
        <v>226</v>
      </c>
      <c r="D2945" s="5" t="s">
        <v>727</v>
      </c>
      <c r="E2945" s="5" t="s">
        <v>733</v>
      </c>
      <c r="F2945" s="5">
        <v>5348271</v>
      </c>
      <c r="G2945" s="5" t="s">
        <v>749</v>
      </c>
      <c r="H2945" s="5" t="s">
        <v>25</v>
      </c>
      <c r="I2945" s="5" t="s">
        <v>27</v>
      </c>
      <c r="J2945" s="5" t="s">
        <v>34</v>
      </c>
      <c r="K2945" s="6">
        <v>0</v>
      </c>
      <c r="L2945" s="7">
        <v>0</v>
      </c>
      <c r="M2945" s="7">
        <v>0</v>
      </c>
      <c r="N2945" s="8">
        <v>1.3333333333333333</v>
      </c>
      <c r="O2945" s="8">
        <v>0</v>
      </c>
      <c r="P2945" s="8">
        <v>0</v>
      </c>
      <c r="Q2945" s="8">
        <v>0</v>
      </c>
      <c r="R2945" s="8">
        <v>0</v>
      </c>
      <c r="S2945" s="8">
        <v>0</v>
      </c>
      <c r="T2945" s="5">
        <v>0</v>
      </c>
      <c r="U2945" s="5">
        <v>0</v>
      </c>
      <c r="V2945" s="5">
        <f>VLOOKUP(A2945,Planilha1!B:E,4,0)</f>
        <v>1.2362540170747773</v>
      </c>
    </row>
    <row r="2946" spans="1:22" x14ac:dyDescent="0.3">
      <c r="A2946" t="str">
        <f t="shared" ref="A2946:A3009" si="92">J2946&amp;I2946</f>
        <v>CREME UHTITAMBÉ</v>
      </c>
      <c r="B2946" t="str">
        <f t="shared" si="91"/>
        <v>5350810CREME UHTITAMBÉ</v>
      </c>
      <c r="C2946" s="5" t="s">
        <v>226</v>
      </c>
      <c r="D2946" s="5" t="s">
        <v>752</v>
      </c>
      <c r="E2946" s="5" t="s">
        <v>1216</v>
      </c>
      <c r="F2946" s="5">
        <v>5350810</v>
      </c>
      <c r="G2946" s="5" t="s">
        <v>1234</v>
      </c>
      <c r="H2946" s="5" t="s">
        <v>154</v>
      </c>
      <c r="I2946" s="5" t="s">
        <v>27</v>
      </c>
      <c r="J2946" s="5" t="s">
        <v>34</v>
      </c>
      <c r="K2946" s="6">
        <v>0</v>
      </c>
      <c r="L2946" s="7">
        <v>0</v>
      </c>
      <c r="M2946" s="7">
        <v>0</v>
      </c>
      <c r="N2946" s="8">
        <v>12</v>
      </c>
      <c r="O2946" s="8">
        <v>0</v>
      </c>
      <c r="P2946" s="8">
        <v>0</v>
      </c>
      <c r="Q2946" s="8">
        <v>0</v>
      </c>
      <c r="R2946" s="8">
        <v>0</v>
      </c>
      <c r="S2946" s="8">
        <v>0</v>
      </c>
      <c r="T2946" s="5">
        <v>0</v>
      </c>
      <c r="U2946" s="5">
        <v>73</v>
      </c>
      <c r="V2946" s="5">
        <f>VLOOKUP(A2946,Planilha1!B:E,4,0)</f>
        <v>1.2362540170747773</v>
      </c>
    </row>
    <row r="2947" spans="1:22" x14ac:dyDescent="0.3">
      <c r="A2947" t="str">
        <f t="shared" si="92"/>
        <v>CREME UHTITAMBÉ</v>
      </c>
      <c r="B2947" t="str">
        <f t="shared" ref="B2947:B3010" si="93">F2947&amp;J2947&amp;I2947</f>
        <v>5359623CREME UHTITAMBÉ</v>
      </c>
      <c r="C2947" s="5" t="s">
        <v>226</v>
      </c>
      <c r="D2947" s="5" t="s">
        <v>797</v>
      </c>
      <c r="E2947" s="5" t="s">
        <v>753</v>
      </c>
      <c r="F2947" s="5">
        <v>5359623</v>
      </c>
      <c r="G2947" s="5" t="s">
        <v>1444</v>
      </c>
      <c r="H2947" s="5" t="s">
        <v>20</v>
      </c>
      <c r="I2947" s="5" t="s">
        <v>27</v>
      </c>
      <c r="J2947" s="5" t="s">
        <v>34</v>
      </c>
      <c r="K2947" s="6">
        <v>0</v>
      </c>
      <c r="L2947" s="7">
        <v>0</v>
      </c>
      <c r="M2947" s="7">
        <v>0</v>
      </c>
      <c r="N2947" s="8">
        <v>52.333333333333336</v>
      </c>
      <c r="O2947" s="8">
        <v>0</v>
      </c>
      <c r="P2947" s="8">
        <v>0</v>
      </c>
      <c r="Q2947" s="8">
        <v>0</v>
      </c>
      <c r="R2947" s="8">
        <v>0</v>
      </c>
      <c r="S2947" s="8">
        <v>0</v>
      </c>
      <c r="T2947" s="5">
        <v>0</v>
      </c>
      <c r="U2947" s="5">
        <v>0</v>
      </c>
      <c r="V2947" s="5">
        <f>VLOOKUP(A2947,Planilha1!B:E,4,0)</f>
        <v>1.2362540170747773</v>
      </c>
    </row>
    <row r="2948" spans="1:22" x14ac:dyDescent="0.3">
      <c r="A2948" t="str">
        <f t="shared" si="92"/>
        <v>CREME UHTITAMBÉ</v>
      </c>
      <c r="B2948" t="str">
        <f t="shared" si="93"/>
        <v>5361020CREME UHTITAMBÉ</v>
      </c>
      <c r="C2948" s="5" t="s">
        <v>226</v>
      </c>
      <c r="D2948" s="5" t="s">
        <v>752</v>
      </c>
      <c r="E2948" s="5" t="s">
        <v>774</v>
      </c>
      <c r="F2948" s="5">
        <v>5361020</v>
      </c>
      <c r="G2948" s="5" t="s">
        <v>1465</v>
      </c>
      <c r="H2948" s="5" t="s">
        <v>32</v>
      </c>
      <c r="I2948" s="5" t="s">
        <v>27</v>
      </c>
      <c r="J2948" s="5" t="s">
        <v>34</v>
      </c>
      <c r="K2948" s="6">
        <v>0</v>
      </c>
      <c r="L2948" s="7">
        <v>0</v>
      </c>
      <c r="M2948" s="7">
        <v>0</v>
      </c>
      <c r="N2948" s="8">
        <v>8</v>
      </c>
      <c r="O2948" s="8">
        <v>0</v>
      </c>
      <c r="P2948" s="8">
        <v>0</v>
      </c>
      <c r="Q2948" s="8">
        <v>0</v>
      </c>
      <c r="R2948" s="8">
        <v>0</v>
      </c>
      <c r="S2948" s="8">
        <v>0</v>
      </c>
      <c r="T2948" s="5">
        <v>0</v>
      </c>
      <c r="U2948" s="5">
        <v>0</v>
      </c>
      <c r="V2948" s="5">
        <f>VLOOKUP(A2948,Planilha1!B:E,4,0)</f>
        <v>1.2362540170747773</v>
      </c>
    </row>
    <row r="2949" spans="1:22" x14ac:dyDescent="0.3">
      <c r="A2949" t="str">
        <f t="shared" si="92"/>
        <v>CREME UHTLACTALIS</v>
      </c>
      <c r="B2949" t="str">
        <f t="shared" si="93"/>
        <v>5009911CREME UHTLACTALIS</v>
      </c>
      <c r="C2949" s="5" t="s">
        <v>226</v>
      </c>
      <c r="D2949" s="5" t="s">
        <v>227</v>
      </c>
      <c r="E2949" s="5" t="s">
        <v>1722</v>
      </c>
      <c r="F2949" s="5">
        <v>5009911</v>
      </c>
      <c r="G2949" s="5" t="s">
        <v>1466</v>
      </c>
      <c r="H2949" s="5" t="s">
        <v>30</v>
      </c>
      <c r="I2949" s="5" t="s">
        <v>22</v>
      </c>
      <c r="J2949" s="5" t="s">
        <v>34</v>
      </c>
      <c r="K2949" s="6">
        <v>0</v>
      </c>
      <c r="L2949" s="7">
        <v>0</v>
      </c>
      <c r="M2949" s="7">
        <v>0</v>
      </c>
      <c r="N2949" s="8">
        <v>360</v>
      </c>
      <c r="O2949" s="8">
        <v>0</v>
      </c>
      <c r="P2949" s="8">
        <v>0</v>
      </c>
      <c r="Q2949" s="8">
        <v>0</v>
      </c>
      <c r="R2949" s="8">
        <v>0</v>
      </c>
      <c r="S2949" s="8">
        <v>0</v>
      </c>
      <c r="T2949" s="5">
        <v>0</v>
      </c>
      <c r="U2949" s="5">
        <v>0</v>
      </c>
      <c r="V2949" s="5">
        <f>VLOOKUP(A2949,Planilha1!B:E,4,0)</f>
        <v>-1.4094522863012933</v>
      </c>
    </row>
    <row r="2950" spans="1:22" x14ac:dyDescent="0.3">
      <c r="A2950" t="str">
        <f t="shared" si="92"/>
        <v>CREME UHTLACTALIS</v>
      </c>
      <c r="B2950" t="str">
        <f t="shared" si="93"/>
        <v>5161553CREME UHTLACTALIS</v>
      </c>
      <c r="C2950" s="5" t="s">
        <v>149</v>
      </c>
      <c r="D2950" s="5" t="s">
        <v>150</v>
      </c>
      <c r="E2950" s="5" t="s">
        <v>151</v>
      </c>
      <c r="F2950" s="5">
        <v>5161553</v>
      </c>
      <c r="G2950" s="5" t="s">
        <v>198</v>
      </c>
      <c r="H2950" s="5" t="s">
        <v>113</v>
      </c>
      <c r="I2950" s="5" t="s">
        <v>22</v>
      </c>
      <c r="J2950" s="5" t="s">
        <v>34</v>
      </c>
      <c r="K2950" s="6">
        <v>0</v>
      </c>
      <c r="L2950" s="7">
        <v>0</v>
      </c>
      <c r="M2950" s="7">
        <v>0</v>
      </c>
      <c r="N2950" s="8">
        <v>118.39999999999999</v>
      </c>
      <c r="O2950" s="8">
        <v>0</v>
      </c>
      <c r="P2950" s="8">
        <v>0</v>
      </c>
      <c r="Q2950" s="8">
        <v>0</v>
      </c>
      <c r="R2950" s="8">
        <v>0</v>
      </c>
      <c r="S2950" s="8">
        <v>150</v>
      </c>
      <c r="T2950" s="5">
        <v>150</v>
      </c>
      <c r="U2950" s="5">
        <v>62</v>
      </c>
      <c r="V2950" s="5">
        <f>VLOOKUP(A2950,Planilha1!B:E,4,0)</f>
        <v>-1.4094522863012933</v>
      </c>
    </row>
    <row r="2951" spans="1:22" x14ac:dyDescent="0.3">
      <c r="A2951" t="str">
        <f t="shared" si="92"/>
        <v>CREME UHTLACTALIS</v>
      </c>
      <c r="B2951" t="str">
        <f t="shared" si="93"/>
        <v>5219247CREME UHTLACTALIS</v>
      </c>
      <c r="C2951" s="5" t="s">
        <v>226</v>
      </c>
      <c r="D2951" s="5" t="s">
        <v>227</v>
      </c>
      <c r="E2951" s="5" t="s">
        <v>1722</v>
      </c>
      <c r="F2951" s="5">
        <v>5219247</v>
      </c>
      <c r="G2951" s="5" t="s">
        <v>1467</v>
      </c>
      <c r="H2951" s="5" t="s">
        <v>30</v>
      </c>
      <c r="I2951" s="5" t="s">
        <v>22</v>
      </c>
      <c r="J2951" s="5" t="s">
        <v>34</v>
      </c>
      <c r="K2951" s="6">
        <v>0</v>
      </c>
      <c r="L2951" s="7">
        <v>0</v>
      </c>
      <c r="M2951" s="7">
        <v>0</v>
      </c>
      <c r="N2951" s="8">
        <v>18</v>
      </c>
      <c r="O2951" s="8">
        <v>0</v>
      </c>
      <c r="P2951" s="8">
        <v>0</v>
      </c>
      <c r="Q2951" s="8">
        <v>0</v>
      </c>
      <c r="R2951" s="8">
        <v>0</v>
      </c>
      <c r="S2951" s="8">
        <v>0</v>
      </c>
      <c r="T2951" s="5">
        <v>0</v>
      </c>
      <c r="U2951" s="5">
        <v>0</v>
      </c>
      <c r="V2951" s="5">
        <f>VLOOKUP(A2951,Planilha1!B:E,4,0)</f>
        <v>-1.4094522863012933</v>
      </c>
    </row>
    <row r="2952" spans="1:22" x14ac:dyDescent="0.3">
      <c r="A2952" t="str">
        <f t="shared" si="92"/>
        <v>CREME UHTLACTALIS</v>
      </c>
      <c r="B2952" t="str">
        <f t="shared" si="93"/>
        <v>5259285CREME UHTLACTALIS</v>
      </c>
      <c r="C2952" s="5" t="s">
        <v>226</v>
      </c>
      <c r="D2952" s="5" t="s">
        <v>227</v>
      </c>
      <c r="E2952" s="5" t="s">
        <v>1722</v>
      </c>
      <c r="F2952" s="5">
        <v>5259285</v>
      </c>
      <c r="G2952" s="5" t="s">
        <v>1468</v>
      </c>
      <c r="H2952" s="5" t="s">
        <v>30</v>
      </c>
      <c r="I2952" s="5" t="s">
        <v>22</v>
      </c>
      <c r="J2952" s="5" t="s">
        <v>34</v>
      </c>
      <c r="K2952" s="6">
        <v>0</v>
      </c>
      <c r="L2952" s="7">
        <v>0</v>
      </c>
      <c r="M2952" s="7">
        <v>0</v>
      </c>
      <c r="N2952" s="8">
        <v>160.20000000000002</v>
      </c>
      <c r="O2952" s="8">
        <v>0</v>
      </c>
      <c r="P2952" s="8">
        <v>0</v>
      </c>
      <c r="Q2952" s="8">
        <v>0</v>
      </c>
      <c r="R2952" s="8">
        <v>0</v>
      </c>
      <c r="S2952" s="8">
        <v>0</v>
      </c>
      <c r="T2952" s="5">
        <v>0</v>
      </c>
      <c r="U2952" s="5">
        <v>0</v>
      </c>
      <c r="V2952" s="5">
        <f>VLOOKUP(A2952,Planilha1!B:E,4,0)</f>
        <v>-1.4094522863012933</v>
      </c>
    </row>
    <row r="2953" spans="1:22" x14ac:dyDescent="0.3">
      <c r="A2953" t="str">
        <f t="shared" si="92"/>
        <v>CREME UHTLACTALIS</v>
      </c>
      <c r="B2953" t="str">
        <f t="shared" si="93"/>
        <v>5263126CREME UHTLACTALIS</v>
      </c>
      <c r="C2953" s="5" t="s">
        <v>226</v>
      </c>
      <c r="D2953" s="5" t="s">
        <v>227</v>
      </c>
      <c r="E2953" s="5" t="s">
        <v>1722</v>
      </c>
      <c r="F2953" s="5">
        <v>5263126</v>
      </c>
      <c r="G2953" s="5" t="s">
        <v>1317</v>
      </c>
      <c r="H2953" s="5" t="s">
        <v>30</v>
      </c>
      <c r="I2953" s="5" t="s">
        <v>22</v>
      </c>
      <c r="J2953" s="5" t="s">
        <v>34</v>
      </c>
      <c r="K2953" s="6">
        <v>0</v>
      </c>
      <c r="L2953" s="7">
        <v>0</v>
      </c>
      <c r="M2953" s="7">
        <v>0</v>
      </c>
      <c r="N2953" s="8">
        <v>1.8</v>
      </c>
      <c r="O2953" s="8">
        <v>0</v>
      </c>
      <c r="P2953" s="8">
        <v>0</v>
      </c>
      <c r="Q2953" s="8">
        <v>0</v>
      </c>
      <c r="R2953" s="8">
        <v>0</v>
      </c>
      <c r="S2953" s="8">
        <v>0</v>
      </c>
      <c r="T2953" s="5">
        <v>0</v>
      </c>
      <c r="U2953" s="5">
        <v>0</v>
      </c>
      <c r="V2953" s="5">
        <f>VLOOKUP(A2953,Planilha1!B:E,4,0)</f>
        <v>-1.4094522863012933</v>
      </c>
    </row>
    <row r="2954" spans="1:22" x14ac:dyDescent="0.3">
      <c r="A2954" t="str">
        <f t="shared" si="92"/>
        <v>CREME UHTLACTALIS</v>
      </c>
      <c r="B2954" t="str">
        <f t="shared" si="93"/>
        <v>5266351CREME UHTLACTALIS</v>
      </c>
      <c r="C2954" s="5" t="s">
        <v>226</v>
      </c>
      <c r="D2954" s="5" t="s">
        <v>227</v>
      </c>
      <c r="E2954" s="5" t="s">
        <v>1722</v>
      </c>
      <c r="F2954" s="5">
        <v>5266351</v>
      </c>
      <c r="G2954" s="5" t="s">
        <v>432</v>
      </c>
      <c r="H2954" s="5" t="s">
        <v>30</v>
      </c>
      <c r="I2954" s="5" t="s">
        <v>22</v>
      </c>
      <c r="J2954" s="5" t="s">
        <v>34</v>
      </c>
      <c r="K2954" s="6">
        <v>0</v>
      </c>
      <c r="L2954" s="7">
        <v>0</v>
      </c>
      <c r="M2954" s="7">
        <v>0</v>
      </c>
      <c r="N2954" s="8">
        <v>1.8</v>
      </c>
      <c r="O2954" s="8">
        <v>0</v>
      </c>
      <c r="P2954" s="8">
        <v>0</v>
      </c>
      <c r="Q2954" s="8">
        <v>0</v>
      </c>
      <c r="R2954" s="8">
        <v>0</v>
      </c>
      <c r="S2954" s="8">
        <v>5</v>
      </c>
      <c r="T2954" s="5">
        <v>5</v>
      </c>
      <c r="U2954" s="5">
        <v>5</v>
      </c>
      <c r="V2954" s="5">
        <f>VLOOKUP(A2954,Planilha1!B:E,4,0)</f>
        <v>-1.4094522863012933</v>
      </c>
    </row>
    <row r="2955" spans="1:22" x14ac:dyDescent="0.3">
      <c r="A2955" t="str">
        <f t="shared" si="92"/>
        <v>CREME UHTLACTALIS</v>
      </c>
      <c r="B2955" t="str">
        <f t="shared" si="93"/>
        <v>5279645CREME UHTLACTALIS</v>
      </c>
      <c r="C2955" s="5" t="s">
        <v>226</v>
      </c>
      <c r="D2955" s="5" t="s">
        <v>227</v>
      </c>
      <c r="E2955" s="5" t="s">
        <v>1722</v>
      </c>
      <c r="F2955" s="5">
        <v>5279645</v>
      </c>
      <c r="G2955" s="5" t="s">
        <v>310</v>
      </c>
      <c r="H2955" s="5" t="s">
        <v>30</v>
      </c>
      <c r="I2955" s="5" t="s">
        <v>22</v>
      </c>
      <c r="J2955" s="5" t="s">
        <v>34</v>
      </c>
      <c r="K2955" s="6">
        <v>0</v>
      </c>
      <c r="L2955" s="7">
        <v>0</v>
      </c>
      <c r="M2955" s="7">
        <v>0</v>
      </c>
      <c r="N2955" s="8">
        <v>12.6</v>
      </c>
      <c r="O2955" s="8">
        <v>0</v>
      </c>
      <c r="P2955" s="8">
        <v>0</v>
      </c>
      <c r="Q2955" s="8">
        <v>0</v>
      </c>
      <c r="R2955" s="8">
        <v>0</v>
      </c>
      <c r="S2955" s="8">
        <v>0</v>
      </c>
      <c r="T2955" s="5">
        <v>0</v>
      </c>
      <c r="U2955" s="5">
        <v>0</v>
      </c>
      <c r="V2955" s="5">
        <f>VLOOKUP(A2955,Planilha1!B:E,4,0)</f>
        <v>-1.4094522863012933</v>
      </c>
    </row>
    <row r="2956" spans="1:22" x14ac:dyDescent="0.3">
      <c r="A2956" t="str">
        <f t="shared" si="92"/>
        <v>CREME UHTLACTALIS</v>
      </c>
      <c r="B2956" t="str">
        <f t="shared" si="93"/>
        <v>5349218CREME UHTLACTALIS</v>
      </c>
      <c r="C2956" s="5" t="s">
        <v>226</v>
      </c>
      <c r="D2956" s="5" t="s">
        <v>227</v>
      </c>
      <c r="E2956" s="5" t="s">
        <v>1722</v>
      </c>
      <c r="F2956" s="5">
        <v>5349218</v>
      </c>
      <c r="G2956" s="5" t="s">
        <v>1469</v>
      </c>
      <c r="H2956" s="5" t="s">
        <v>30</v>
      </c>
      <c r="I2956" s="5" t="s">
        <v>22</v>
      </c>
      <c r="J2956" s="5" t="s">
        <v>34</v>
      </c>
      <c r="K2956" s="6">
        <v>0</v>
      </c>
      <c r="L2956" s="7">
        <v>0</v>
      </c>
      <c r="M2956" s="7">
        <v>0</v>
      </c>
      <c r="N2956" s="8">
        <v>0</v>
      </c>
      <c r="O2956" s="8">
        <v>0</v>
      </c>
      <c r="P2956" s="8">
        <v>0</v>
      </c>
      <c r="Q2956" s="8">
        <v>0</v>
      </c>
      <c r="R2956" s="8">
        <v>0</v>
      </c>
      <c r="S2956" s="8">
        <v>0</v>
      </c>
      <c r="T2956" s="5">
        <v>0</v>
      </c>
      <c r="U2956" s="5">
        <v>11</v>
      </c>
      <c r="V2956" s="5">
        <f>VLOOKUP(A2956,Planilha1!B:E,4,0)</f>
        <v>-1.4094522863012933</v>
      </c>
    </row>
    <row r="2957" spans="1:22" x14ac:dyDescent="0.3">
      <c r="A2957" t="str">
        <f t="shared" si="92"/>
        <v>CREME UHTLACTALIS</v>
      </c>
      <c r="B2957" t="str">
        <f t="shared" si="93"/>
        <v>5350821CREME UHTLACTALIS</v>
      </c>
      <c r="C2957" s="5" t="s">
        <v>226</v>
      </c>
      <c r="D2957" s="5" t="s">
        <v>227</v>
      </c>
      <c r="E2957" s="5" t="s">
        <v>1722</v>
      </c>
      <c r="F2957" s="5">
        <v>5350821</v>
      </c>
      <c r="G2957" s="5" t="s">
        <v>1470</v>
      </c>
      <c r="H2957" s="5" t="s">
        <v>30</v>
      </c>
      <c r="I2957" s="5" t="s">
        <v>22</v>
      </c>
      <c r="J2957" s="5" t="s">
        <v>34</v>
      </c>
      <c r="K2957" s="6">
        <v>0</v>
      </c>
      <c r="L2957" s="7">
        <v>0</v>
      </c>
      <c r="M2957" s="7">
        <v>0</v>
      </c>
      <c r="N2957" s="8">
        <v>10.799999999999999</v>
      </c>
      <c r="O2957" s="8">
        <v>0</v>
      </c>
      <c r="P2957" s="8">
        <v>0</v>
      </c>
      <c r="Q2957" s="8">
        <v>0</v>
      </c>
      <c r="R2957" s="8">
        <v>0</v>
      </c>
      <c r="S2957" s="8">
        <v>0</v>
      </c>
      <c r="T2957" s="5">
        <v>0</v>
      </c>
      <c r="U2957" s="5">
        <v>0</v>
      </c>
      <c r="V2957" s="5">
        <f>VLOOKUP(A2957,Planilha1!B:E,4,0)</f>
        <v>-1.4094522863012933</v>
      </c>
    </row>
    <row r="2958" spans="1:22" x14ac:dyDescent="0.3">
      <c r="A2958" t="str">
        <f t="shared" si="92"/>
        <v>CREME UHTLACTALIS</v>
      </c>
      <c r="B2958" t="str">
        <f t="shared" si="93"/>
        <v>5350822CREME UHTLACTALIS</v>
      </c>
      <c r="C2958" s="5" t="s">
        <v>226</v>
      </c>
      <c r="D2958" s="5" t="s">
        <v>227</v>
      </c>
      <c r="E2958" s="5" t="s">
        <v>1722</v>
      </c>
      <c r="F2958" s="5">
        <v>5350822</v>
      </c>
      <c r="G2958" s="5" t="s">
        <v>1471</v>
      </c>
      <c r="H2958" s="5" t="s">
        <v>30</v>
      </c>
      <c r="I2958" s="5" t="s">
        <v>22</v>
      </c>
      <c r="J2958" s="5" t="s">
        <v>34</v>
      </c>
      <c r="K2958" s="6">
        <v>0</v>
      </c>
      <c r="L2958" s="7">
        <v>0</v>
      </c>
      <c r="M2958" s="7">
        <v>0</v>
      </c>
      <c r="N2958" s="8">
        <v>14.4</v>
      </c>
      <c r="O2958" s="8">
        <v>0</v>
      </c>
      <c r="P2958" s="8">
        <v>0</v>
      </c>
      <c r="Q2958" s="8">
        <v>0</v>
      </c>
      <c r="R2958" s="8">
        <v>0</v>
      </c>
      <c r="S2958" s="8">
        <v>0</v>
      </c>
      <c r="T2958" s="5">
        <v>0</v>
      </c>
      <c r="U2958" s="5">
        <v>0</v>
      </c>
      <c r="V2958" s="5">
        <f>VLOOKUP(A2958,Planilha1!B:E,4,0)</f>
        <v>-1.4094522863012933</v>
      </c>
    </row>
    <row r="2959" spans="1:22" x14ac:dyDescent="0.3">
      <c r="A2959" t="str">
        <f t="shared" si="92"/>
        <v>CREME UHTLACTALIS</v>
      </c>
      <c r="B2959" t="str">
        <f t="shared" si="93"/>
        <v>5350835CREME UHTLACTALIS</v>
      </c>
      <c r="C2959" s="5" t="s">
        <v>226</v>
      </c>
      <c r="D2959" s="5" t="s">
        <v>227</v>
      </c>
      <c r="E2959" s="5" t="s">
        <v>1722</v>
      </c>
      <c r="F2959" s="5">
        <v>5350835</v>
      </c>
      <c r="G2959" s="5" t="s">
        <v>1472</v>
      </c>
      <c r="H2959" s="5" t="s">
        <v>30</v>
      </c>
      <c r="I2959" s="5" t="s">
        <v>22</v>
      </c>
      <c r="J2959" s="5" t="s">
        <v>34</v>
      </c>
      <c r="K2959" s="6">
        <v>0</v>
      </c>
      <c r="L2959" s="7">
        <v>0</v>
      </c>
      <c r="M2959" s="7">
        <v>0</v>
      </c>
      <c r="N2959" s="8">
        <v>14.4</v>
      </c>
      <c r="O2959" s="8">
        <v>0</v>
      </c>
      <c r="P2959" s="8">
        <v>0</v>
      </c>
      <c r="Q2959" s="8">
        <v>0</v>
      </c>
      <c r="R2959" s="8">
        <v>0</v>
      </c>
      <c r="S2959" s="8">
        <v>0</v>
      </c>
      <c r="T2959" s="5">
        <v>0</v>
      </c>
      <c r="U2959" s="5">
        <v>0</v>
      </c>
      <c r="V2959" s="5">
        <f>VLOOKUP(A2959,Planilha1!B:E,4,0)</f>
        <v>-1.4094522863012933</v>
      </c>
    </row>
    <row r="2960" spans="1:22" x14ac:dyDescent="0.3">
      <c r="A2960" t="str">
        <f t="shared" si="92"/>
        <v>CREME UHTLACTALIS</v>
      </c>
      <c r="B2960" t="str">
        <f t="shared" si="93"/>
        <v>5357534CREME UHTLACTALIS</v>
      </c>
      <c r="C2960" s="5" t="s">
        <v>226</v>
      </c>
      <c r="D2960" s="5" t="s">
        <v>227</v>
      </c>
      <c r="E2960" s="5" t="s">
        <v>1722</v>
      </c>
      <c r="F2960" s="5">
        <v>5357534</v>
      </c>
      <c r="G2960" s="5" t="s">
        <v>1396</v>
      </c>
      <c r="H2960" s="5" t="s">
        <v>30</v>
      </c>
      <c r="I2960" s="5" t="s">
        <v>22</v>
      </c>
      <c r="J2960" s="5" t="s">
        <v>34</v>
      </c>
      <c r="K2960" s="6">
        <v>0</v>
      </c>
      <c r="L2960" s="7">
        <v>0</v>
      </c>
      <c r="M2960" s="7">
        <v>0</v>
      </c>
      <c r="N2960" s="8">
        <v>0</v>
      </c>
      <c r="O2960" s="8">
        <v>0</v>
      </c>
      <c r="P2960" s="8">
        <v>0</v>
      </c>
      <c r="Q2960" s="8">
        <v>0</v>
      </c>
      <c r="R2960" s="8">
        <v>0</v>
      </c>
      <c r="S2960" s="8">
        <v>0</v>
      </c>
      <c r="T2960" s="5">
        <v>0</v>
      </c>
      <c r="U2960" s="5">
        <v>0</v>
      </c>
      <c r="V2960" s="5">
        <f>VLOOKUP(A2960,Planilha1!B:E,4,0)</f>
        <v>-1.4094522863012933</v>
      </c>
    </row>
    <row r="2961" spans="1:22" x14ac:dyDescent="0.3">
      <c r="A2961" t="str">
        <f t="shared" si="92"/>
        <v>CREME UHTLACTALIS</v>
      </c>
      <c r="B2961" t="str">
        <f t="shared" si="93"/>
        <v>5358864CREME UHTLACTALIS</v>
      </c>
      <c r="C2961" s="5" t="s">
        <v>226</v>
      </c>
      <c r="D2961" s="5" t="s">
        <v>227</v>
      </c>
      <c r="E2961" s="5" t="s">
        <v>1722</v>
      </c>
      <c r="F2961" s="5">
        <v>5358864</v>
      </c>
      <c r="G2961" s="5" t="s">
        <v>1473</v>
      </c>
      <c r="H2961" s="5" t="s">
        <v>30</v>
      </c>
      <c r="I2961" s="5" t="s">
        <v>22</v>
      </c>
      <c r="J2961" s="5" t="s">
        <v>34</v>
      </c>
      <c r="K2961" s="6">
        <v>0</v>
      </c>
      <c r="L2961" s="7">
        <v>0</v>
      </c>
      <c r="M2961" s="7">
        <v>0</v>
      </c>
      <c r="N2961" s="8">
        <v>1.8</v>
      </c>
      <c r="O2961" s="8">
        <v>0</v>
      </c>
      <c r="P2961" s="8">
        <v>0</v>
      </c>
      <c r="Q2961" s="8">
        <v>0</v>
      </c>
      <c r="R2961" s="8">
        <v>0</v>
      </c>
      <c r="S2961" s="8">
        <v>0</v>
      </c>
      <c r="T2961" s="5">
        <v>0</v>
      </c>
      <c r="U2961" s="5">
        <v>0</v>
      </c>
      <c r="V2961" s="5">
        <f>VLOOKUP(A2961,Planilha1!B:E,4,0)</f>
        <v>-1.4094522863012933</v>
      </c>
    </row>
    <row r="2962" spans="1:22" x14ac:dyDescent="0.3">
      <c r="A2962" t="str">
        <f t="shared" si="92"/>
        <v>CREME UHTLACTALIS</v>
      </c>
      <c r="B2962" t="str">
        <f t="shared" si="93"/>
        <v>5360437CREME UHTLACTALIS</v>
      </c>
      <c r="C2962" s="5" t="s">
        <v>226</v>
      </c>
      <c r="D2962" s="5" t="s">
        <v>227</v>
      </c>
      <c r="E2962" s="5" t="s">
        <v>1722</v>
      </c>
      <c r="F2962" s="5">
        <v>5360437</v>
      </c>
      <c r="G2962" s="5" t="s">
        <v>1474</v>
      </c>
      <c r="H2962" s="5" t="s">
        <v>30</v>
      </c>
      <c r="I2962" s="5" t="s">
        <v>22</v>
      </c>
      <c r="J2962" s="5" t="s">
        <v>34</v>
      </c>
      <c r="K2962" s="6">
        <v>0</v>
      </c>
      <c r="L2962" s="7">
        <v>0</v>
      </c>
      <c r="M2962" s="7">
        <v>0</v>
      </c>
      <c r="N2962" s="8">
        <v>1.8</v>
      </c>
      <c r="O2962" s="8">
        <v>0</v>
      </c>
      <c r="P2962" s="8">
        <v>0</v>
      </c>
      <c r="Q2962" s="8">
        <v>0</v>
      </c>
      <c r="R2962" s="8">
        <v>0</v>
      </c>
      <c r="S2962" s="8">
        <v>0</v>
      </c>
      <c r="T2962" s="5">
        <v>0</v>
      </c>
      <c r="U2962" s="5">
        <v>0</v>
      </c>
      <c r="V2962" s="5">
        <f>VLOOKUP(A2962,Planilha1!B:E,4,0)</f>
        <v>-1.4094522863012933</v>
      </c>
    </row>
    <row r="2963" spans="1:22" x14ac:dyDescent="0.3">
      <c r="A2963" t="str">
        <f t="shared" si="92"/>
        <v>CREME UHTLACTALIS</v>
      </c>
      <c r="B2963" t="str">
        <f t="shared" si="93"/>
        <v>5361542CREME UHTLACTALIS</v>
      </c>
      <c r="C2963" s="5" t="s">
        <v>226</v>
      </c>
      <c r="D2963" s="5" t="s">
        <v>227</v>
      </c>
      <c r="E2963" s="5" t="s">
        <v>1722</v>
      </c>
      <c r="F2963" s="5">
        <v>5361542</v>
      </c>
      <c r="G2963" s="5" t="s">
        <v>1429</v>
      </c>
      <c r="H2963" s="5" t="s">
        <v>30</v>
      </c>
      <c r="I2963" s="5" t="s">
        <v>22</v>
      </c>
      <c r="J2963" s="5" t="s">
        <v>34</v>
      </c>
      <c r="K2963" s="6">
        <v>0</v>
      </c>
      <c r="L2963" s="7">
        <v>0</v>
      </c>
      <c r="M2963" s="7">
        <v>0</v>
      </c>
      <c r="N2963" s="8">
        <v>1.8</v>
      </c>
      <c r="O2963" s="8">
        <v>0</v>
      </c>
      <c r="P2963" s="8">
        <v>0</v>
      </c>
      <c r="Q2963" s="8">
        <v>0</v>
      </c>
      <c r="R2963" s="8">
        <v>0</v>
      </c>
      <c r="S2963" s="8">
        <v>0</v>
      </c>
      <c r="T2963" s="5">
        <v>0</v>
      </c>
      <c r="U2963" s="5">
        <v>0</v>
      </c>
      <c r="V2963" s="5">
        <f>VLOOKUP(A2963,Planilha1!B:E,4,0)</f>
        <v>-1.4094522863012933</v>
      </c>
    </row>
    <row r="2964" spans="1:22" x14ac:dyDescent="0.3">
      <c r="A2964" t="str">
        <f t="shared" si="92"/>
        <v>CREME UHTLACTALIS</v>
      </c>
      <c r="B2964" t="str">
        <f t="shared" si="93"/>
        <v>5361803CREME UHTLACTALIS</v>
      </c>
      <c r="C2964" s="5" t="s">
        <v>226</v>
      </c>
      <c r="D2964" s="5" t="s">
        <v>227</v>
      </c>
      <c r="E2964" s="5" t="s">
        <v>1722</v>
      </c>
      <c r="F2964" s="5">
        <v>5361803</v>
      </c>
      <c r="G2964" s="5" t="s">
        <v>1475</v>
      </c>
      <c r="H2964" s="5" t="s">
        <v>30</v>
      </c>
      <c r="I2964" s="5" t="s">
        <v>22</v>
      </c>
      <c r="J2964" s="5" t="s">
        <v>34</v>
      </c>
      <c r="K2964" s="6">
        <v>0</v>
      </c>
      <c r="L2964" s="7">
        <v>0</v>
      </c>
      <c r="M2964" s="7">
        <v>0</v>
      </c>
      <c r="N2964" s="8">
        <v>3.6</v>
      </c>
      <c r="O2964" s="8">
        <v>0</v>
      </c>
      <c r="P2964" s="8">
        <v>0</v>
      </c>
      <c r="Q2964" s="8">
        <v>0</v>
      </c>
      <c r="R2964" s="8">
        <v>0</v>
      </c>
      <c r="S2964" s="8">
        <v>0</v>
      </c>
      <c r="T2964" s="5">
        <v>0</v>
      </c>
      <c r="U2964" s="5">
        <v>0</v>
      </c>
      <c r="V2964" s="5">
        <f>VLOOKUP(A2964,Planilha1!B:E,4,0)</f>
        <v>-1.4094522863012933</v>
      </c>
    </row>
    <row r="2965" spans="1:22" x14ac:dyDescent="0.3">
      <c r="A2965" t="str">
        <f t="shared" si="92"/>
        <v>DOCE DE LEITEITAMBÉ</v>
      </c>
      <c r="B2965" t="str">
        <f t="shared" si="93"/>
        <v>5028647DOCE DE LEITEITAMBÉ</v>
      </c>
      <c r="C2965" s="5" t="s">
        <v>226</v>
      </c>
      <c r="D2965" s="5" t="s">
        <v>752</v>
      </c>
      <c r="E2965" s="5" t="s">
        <v>774</v>
      </c>
      <c r="F2965" s="5">
        <v>5028647</v>
      </c>
      <c r="G2965" s="5" t="s">
        <v>779</v>
      </c>
      <c r="H2965" s="5" t="s">
        <v>32</v>
      </c>
      <c r="I2965" s="5" t="s">
        <v>27</v>
      </c>
      <c r="J2965" s="5" t="s">
        <v>46</v>
      </c>
      <c r="K2965" s="6">
        <v>0</v>
      </c>
      <c r="L2965" s="7">
        <v>0</v>
      </c>
      <c r="M2965" s="7">
        <v>0</v>
      </c>
      <c r="N2965" s="8">
        <v>9.6666666666666661</v>
      </c>
      <c r="O2965" s="8">
        <v>0</v>
      </c>
      <c r="P2965" s="8">
        <v>0</v>
      </c>
      <c r="Q2965" s="8">
        <v>0</v>
      </c>
      <c r="R2965" s="8">
        <v>0</v>
      </c>
      <c r="S2965" s="8">
        <v>0</v>
      </c>
      <c r="T2965" s="5">
        <v>0</v>
      </c>
      <c r="U2965" s="5">
        <v>0</v>
      </c>
      <c r="V2965" s="5">
        <f>VLOOKUP(A2965,Planilha1!B:E,4,0)</f>
        <v>5.8210743907543439</v>
      </c>
    </row>
    <row r="2966" spans="1:22" x14ac:dyDescent="0.3">
      <c r="A2966" t="str">
        <f t="shared" si="92"/>
        <v>DOCE DE LEITEITAMBÉ</v>
      </c>
      <c r="B2966" t="str">
        <f t="shared" si="93"/>
        <v>5075754DOCE DE LEITEITAMBÉ</v>
      </c>
      <c r="C2966" s="5" t="s">
        <v>226</v>
      </c>
      <c r="D2966" s="5" t="s">
        <v>833</v>
      </c>
      <c r="E2966" s="5" t="s">
        <v>875</v>
      </c>
      <c r="F2966" s="5">
        <v>5075754</v>
      </c>
      <c r="G2966" s="5" t="s">
        <v>878</v>
      </c>
      <c r="H2966" s="5" t="s">
        <v>91</v>
      </c>
      <c r="I2966" s="5" t="s">
        <v>27</v>
      </c>
      <c r="J2966" s="5" t="s">
        <v>46</v>
      </c>
      <c r="K2966" s="6">
        <v>0</v>
      </c>
      <c r="L2966" s="7">
        <v>0</v>
      </c>
      <c r="M2966" s="7">
        <v>0</v>
      </c>
      <c r="N2966" s="8">
        <v>2.6666666666666665</v>
      </c>
      <c r="O2966" s="8">
        <v>0</v>
      </c>
      <c r="P2966" s="8">
        <v>0</v>
      </c>
      <c r="Q2966" s="8">
        <v>0</v>
      </c>
      <c r="R2966" s="8">
        <v>0</v>
      </c>
      <c r="S2966" s="8">
        <v>21</v>
      </c>
      <c r="T2966" s="5">
        <v>21</v>
      </c>
      <c r="U2966" s="5">
        <v>2.6666666666666665</v>
      </c>
      <c r="V2966" s="5">
        <f>VLOOKUP(A2966,Planilha1!B:E,4,0)</f>
        <v>5.8210743907543439</v>
      </c>
    </row>
    <row r="2967" spans="1:22" x14ac:dyDescent="0.3">
      <c r="A2967" t="str">
        <f t="shared" si="92"/>
        <v>DOCE DE LEITEITAMBÉ</v>
      </c>
      <c r="B2967" t="str">
        <f t="shared" si="93"/>
        <v>5122245DOCE DE LEITEITAMBÉ</v>
      </c>
      <c r="C2967" s="5" t="s">
        <v>226</v>
      </c>
      <c r="D2967" s="5" t="s">
        <v>752</v>
      </c>
      <c r="E2967" s="5" t="s">
        <v>1216</v>
      </c>
      <c r="F2967" s="5">
        <v>5122245</v>
      </c>
      <c r="G2967" s="5" t="s">
        <v>1476</v>
      </c>
      <c r="H2967" s="5" t="s">
        <v>154</v>
      </c>
      <c r="I2967" s="5" t="s">
        <v>27</v>
      </c>
      <c r="J2967" s="5" t="s">
        <v>46</v>
      </c>
      <c r="K2967" s="6">
        <v>0</v>
      </c>
      <c r="L2967" s="7">
        <v>0</v>
      </c>
      <c r="M2967" s="7">
        <v>0</v>
      </c>
      <c r="N2967" s="8">
        <v>32.666666666666664</v>
      </c>
      <c r="O2967" s="8">
        <v>0</v>
      </c>
      <c r="P2967" s="8">
        <v>0</v>
      </c>
      <c r="Q2967" s="8">
        <v>10</v>
      </c>
      <c r="R2967" s="8">
        <v>0</v>
      </c>
      <c r="S2967" s="8">
        <v>0</v>
      </c>
      <c r="T2967" s="5">
        <v>0</v>
      </c>
      <c r="U2967" s="5">
        <v>0</v>
      </c>
      <c r="V2967" s="5">
        <f>VLOOKUP(A2967,Planilha1!B:E,4,0)</f>
        <v>5.8210743907543439</v>
      </c>
    </row>
    <row r="2968" spans="1:22" x14ac:dyDescent="0.3">
      <c r="A2968" t="str">
        <f t="shared" si="92"/>
        <v>DOCE DE LEITEITAMBÉ</v>
      </c>
      <c r="B2968" t="str">
        <f t="shared" si="93"/>
        <v>5195605DOCE DE LEITEITAMBÉ</v>
      </c>
      <c r="C2968" s="5" t="s">
        <v>226</v>
      </c>
      <c r="D2968" s="5" t="s">
        <v>227</v>
      </c>
      <c r="E2968" s="5" t="s">
        <v>231</v>
      </c>
      <c r="F2968" s="5">
        <v>5195605</v>
      </c>
      <c r="G2968" s="5" t="s">
        <v>235</v>
      </c>
      <c r="H2968" s="5" t="s">
        <v>30</v>
      </c>
      <c r="I2968" s="5" t="s">
        <v>27</v>
      </c>
      <c r="J2968" s="5" t="s">
        <v>46</v>
      </c>
      <c r="K2968" s="6">
        <v>0</v>
      </c>
      <c r="L2968" s="7">
        <v>0</v>
      </c>
      <c r="M2968" s="7">
        <v>0</v>
      </c>
      <c r="N2968" s="8">
        <v>0</v>
      </c>
      <c r="O2968" s="8">
        <v>0</v>
      </c>
      <c r="P2968" s="8">
        <v>0</v>
      </c>
      <c r="Q2968" s="8">
        <v>0</v>
      </c>
      <c r="R2968" s="8">
        <v>0</v>
      </c>
      <c r="S2968" s="8">
        <v>0</v>
      </c>
      <c r="T2968" s="5">
        <v>0</v>
      </c>
      <c r="U2968" s="5">
        <v>0</v>
      </c>
      <c r="V2968" s="5">
        <f>VLOOKUP(A2968,Planilha1!B:E,4,0)</f>
        <v>5.8210743907543439</v>
      </c>
    </row>
    <row r="2969" spans="1:22" x14ac:dyDescent="0.3">
      <c r="A2969" t="str">
        <f t="shared" si="92"/>
        <v>DOCE DE LEITEITAMBÉ</v>
      </c>
      <c r="B2969" t="str">
        <f t="shared" si="93"/>
        <v>5212486DOCE DE LEITEITAMBÉ</v>
      </c>
      <c r="C2969" s="5" t="s">
        <v>16</v>
      </c>
      <c r="D2969" s="5" t="s">
        <v>17</v>
      </c>
      <c r="E2969" s="5" t="s">
        <v>44</v>
      </c>
      <c r="F2969" s="5">
        <v>5212486</v>
      </c>
      <c r="G2969" s="5" t="s">
        <v>73</v>
      </c>
      <c r="H2969" s="5" t="s">
        <v>25</v>
      </c>
      <c r="I2969" s="5" t="s">
        <v>27</v>
      </c>
      <c r="J2969" s="5" t="s">
        <v>46</v>
      </c>
      <c r="K2969" s="6">
        <v>0</v>
      </c>
      <c r="L2969" s="7">
        <v>0</v>
      </c>
      <c r="M2969" s="7">
        <v>0</v>
      </c>
      <c r="N2969" s="8">
        <v>30</v>
      </c>
      <c r="O2969" s="8">
        <v>0</v>
      </c>
      <c r="P2969" s="8">
        <v>0</v>
      </c>
      <c r="Q2969" s="8">
        <v>0</v>
      </c>
      <c r="R2969" s="8">
        <v>0</v>
      </c>
      <c r="S2969" s="8">
        <v>0</v>
      </c>
      <c r="T2969" s="5">
        <v>0</v>
      </c>
      <c r="U2969" s="5">
        <v>0</v>
      </c>
      <c r="V2969" s="5">
        <f>VLOOKUP(A2969,Planilha1!B:E,4,0)</f>
        <v>5.8210743907543439</v>
      </c>
    </row>
    <row r="2970" spans="1:22" x14ac:dyDescent="0.3">
      <c r="A2970" t="str">
        <f t="shared" si="92"/>
        <v>DOCE DE LEITEITAMBÉ</v>
      </c>
      <c r="B2970" t="str">
        <f t="shared" si="93"/>
        <v>5226129DOCE DE LEITEITAMBÉ</v>
      </c>
      <c r="C2970" s="5" t="s">
        <v>226</v>
      </c>
      <c r="D2970" s="5" t="s">
        <v>752</v>
      </c>
      <c r="E2970" s="5" t="s">
        <v>774</v>
      </c>
      <c r="F2970" s="5">
        <v>5226129</v>
      </c>
      <c r="G2970" s="5" t="s">
        <v>1457</v>
      </c>
      <c r="H2970" s="5" t="s">
        <v>32</v>
      </c>
      <c r="I2970" s="5" t="s">
        <v>27</v>
      </c>
      <c r="J2970" s="5" t="s">
        <v>46</v>
      </c>
      <c r="K2970" s="6">
        <v>0</v>
      </c>
      <c r="L2970" s="7">
        <v>0</v>
      </c>
      <c r="M2970" s="7">
        <v>0</v>
      </c>
      <c r="N2970" s="8">
        <v>24</v>
      </c>
      <c r="O2970" s="8">
        <v>0</v>
      </c>
      <c r="P2970" s="8">
        <v>0</v>
      </c>
      <c r="Q2970" s="8">
        <v>0</v>
      </c>
      <c r="R2970" s="8">
        <v>0</v>
      </c>
      <c r="S2970" s="8">
        <v>0</v>
      </c>
      <c r="T2970" s="5">
        <v>0</v>
      </c>
      <c r="U2970" s="5">
        <v>0</v>
      </c>
      <c r="V2970" s="5">
        <f>VLOOKUP(A2970,Planilha1!B:E,4,0)</f>
        <v>5.8210743907543439</v>
      </c>
    </row>
    <row r="2971" spans="1:22" x14ac:dyDescent="0.3">
      <c r="A2971" t="str">
        <f t="shared" si="92"/>
        <v>DOCE DE LEITEITAMBÉ</v>
      </c>
      <c r="B2971" t="str">
        <f t="shared" si="93"/>
        <v>5234738DOCE DE LEITEITAMBÉ</v>
      </c>
      <c r="C2971" s="5" t="s">
        <v>16</v>
      </c>
      <c r="D2971" s="5" t="s">
        <v>17</v>
      </c>
      <c r="E2971" s="5" t="s">
        <v>44</v>
      </c>
      <c r="F2971" s="5">
        <v>5234738</v>
      </c>
      <c r="G2971" s="5" t="s">
        <v>1477</v>
      </c>
      <c r="H2971" s="5" t="s">
        <v>32</v>
      </c>
      <c r="I2971" s="5" t="s">
        <v>27</v>
      </c>
      <c r="J2971" s="5" t="s">
        <v>46</v>
      </c>
      <c r="K2971" s="6">
        <v>0</v>
      </c>
      <c r="L2971" s="7">
        <v>0</v>
      </c>
      <c r="M2971" s="7">
        <v>0</v>
      </c>
      <c r="N2971" s="8">
        <v>343.33333333333331</v>
      </c>
      <c r="O2971" s="8">
        <v>0</v>
      </c>
      <c r="P2971" s="8">
        <v>0</v>
      </c>
      <c r="Q2971" s="8">
        <v>0</v>
      </c>
      <c r="R2971" s="8">
        <v>0</v>
      </c>
      <c r="S2971" s="8">
        <v>0</v>
      </c>
      <c r="T2971" s="5">
        <v>0</v>
      </c>
      <c r="U2971" s="5">
        <v>0</v>
      </c>
      <c r="V2971" s="5">
        <f>VLOOKUP(A2971,Planilha1!B:E,4,0)</f>
        <v>5.8210743907543439</v>
      </c>
    </row>
    <row r="2972" spans="1:22" x14ac:dyDescent="0.3">
      <c r="A2972" t="str">
        <f t="shared" si="92"/>
        <v>DOCE DE LEITEITAMBÉ</v>
      </c>
      <c r="B2972" t="str">
        <f t="shared" si="93"/>
        <v>5314201DOCE DE LEITEITAMBÉ</v>
      </c>
      <c r="C2972" s="5" t="s">
        <v>226</v>
      </c>
      <c r="D2972" s="5" t="s">
        <v>833</v>
      </c>
      <c r="E2972" s="5" t="s">
        <v>852</v>
      </c>
      <c r="F2972" s="5">
        <v>5314201</v>
      </c>
      <c r="G2972" s="5" t="s">
        <v>1063</v>
      </c>
      <c r="H2972" s="5" t="s">
        <v>40</v>
      </c>
      <c r="I2972" s="5" t="s">
        <v>27</v>
      </c>
      <c r="J2972" s="5" t="s">
        <v>46</v>
      </c>
      <c r="K2972" s="6">
        <v>0</v>
      </c>
      <c r="L2972" s="7">
        <v>0</v>
      </c>
      <c r="M2972" s="7">
        <v>0</v>
      </c>
      <c r="N2972" s="8">
        <v>60</v>
      </c>
      <c r="O2972" s="8">
        <v>0</v>
      </c>
      <c r="P2972" s="8">
        <v>0</v>
      </c>
      <c r="Q2972" s="8">
        <v>0</v>
      </c>
      <c r="R2972" s="8">
        <v>0</v>
      </c>
      <c r="S2972" s="8">
        <v>0</v>
      </c>
      <c r="T2972" s="5">
        <v>0</v>
      </c>
      <c r="U2972" s="5">
        <v>60</v>
      </c>
      <c r="V2972" s="5">
        <f>VLOOKUP(A2972,Planilha1!B:E,4,0)</f>
        <v>5.8210743907543439</v>
      </c>
    </row>
    <row r="2973" spans="1:22" x14ac:dyDescent="0.3">
      <c r="A2973" t="str">
        <f t="shared" si="92"/>
        <v>DOCE DE LEITEITAMBÉ</v>
      </c>
      <c r="B2973" t="str">
        <f t="shared" si="93"/>
        <v>5346808DOCE DE LEITEITAMBÉ</v>
      </c>
      <c r="C2973" s="5" t="s">
        <v>226</v>
      </c>
      <c r="D2973" s="5" t="s">
        <v>903</v>
      </c>
      <c r="E2973" s="5" t="s">
        <v>904</v>
      </c>
      <c r="F2973" s="5">
        <v>5346808</v>
      </c>
      <c r="G2973" s="5" t="s">
        <v>1478</v>
      </c>
      <c r="H2973" s="5" t="s">
        <v>113</v>
      </c>
      <c r="I2973" s="5" t="s">
        <v>27</v>
      </c>
      <c r="J2973" s="5" t="s">
        <v>46</v>
      </c>
      <c r="K2973" s="6">
        <v>0</v>
      </c>
      <c r="L2973" s="7">
        <v>0</v>
      </c>
      <c r="M2973" s="7">
        <v>0</v>
      </c>
      <c r="N2973" s="8">
        <v>52.333333333333336</v>
      </c>
      <c r="O2973" s="8">
        <v>0</v>
      </c>
      <c r="P2973" s="8">
        <v>0</v>
      </c>
      <c r="Q2973" s="8">
        <v>0</v>
      </c>
      <c r="R2973" s="8">
        <v>0</v>
      </c>
      <c r="S2973" s="8">
        <v>157</v>
      </c>
      <c r="T2973" s="5">
        <v>157</v>
      </c>
      <c r="U2973" s="5">
        <v>157</v>
      </c>
      <c r="V2973" s="5">
        <f>VLOOKUP(A2973,Planilha1!B:E,4,0)</f>
        <v>5.8210743907543439</v>
      </c>
    </row>
    <row r="2974" spans="1:22" x14ac:dyDescent="0.3">
      <c r="A2974" t="str">
        <f t="shared" si="92"/>
        <v>DOCE DE LEITEITAMBÉ</v>
      </c>
      <c r="B2974" t="str">
        <f t="shared" si="93"/>
        <v>5359623DOCE DE LEITEITAMBÉ</v>
      </c>
      <c r="C2974" s="5" t="s">
        <v>226</v>
      </c>
      <c r="D2974" s="5" t="s">
        <v>797</v>
      </c>
      <c r="E2974" s="5" t="s">
        <v>753</v>
      </c>
      <c r="F2974" s="5">
        <v>5359623</v>
      </c>
      <c r="G2974" s="5" t="s">
        <v>1444</v>
      </c>
      <c r="H2974" s="5" t="s">
        <v>20</v>
      </c>
      <c r="I2974" s="5" t="s">
        <v>27</v>
      </c>
      <c r="J2974" s="5" t="s">
        <v>46</v>
      </c>
      <c r="K2974" s="6">
        <v>0</v>
      </c>
      <c r="L2974" s="7">
        <v>0</v>
      </c>
      <c r="M2974" s="7">
        <v>0</v>
      </c>
      <c r="N2974" s="8">
        <v>42.666666666666664</v>
      </c>
      <c r="O2974" s="8">
        <v>0</v>
      </c>
      <c r="P2974" s="8">
        <v>0</v>
      </c>
      <c r="Q2974" s="8">
        <v>0</v>
      </c>
      <c r="R2974" s="8">
        <v>0</v>
      </c>
      <c r="S2974" s="8">
        <v>0</v>
      </c>
      <c r="T2974" s="5">
        <v>0</v>
      </c>
      <c r="U2974" s="5">
        <v>0</v>
      </c>
      <c r="V2974" s="5">
        <f>VLOOKUP(A2974,Planilha1!B:E,4,0)</f>
        <v>5.8210743907543439</v>
      </c>
    </row>
    <row r="2975" spans="1:22" x14ac:dyDescent="0.3">
      <c r="A2975" t="str">
        <f t="shared" si="92"/>
        <v>DOCE DE LEITEITAMBÉ</v>
      </c>
      <c r="B2975" t="str">
        <f t="shared" si="93"/>
        <v>5361020DOCE DE LEITEITAMBÉ</v>
      </c>
      <c r="C2975" s="5" t="s">
        <v>226</v>
      </c>
      <c r="D2975" s="5" t="s">
        <v>752</v>
      </c>
      <c r="E2975" s="5" t="s">
        <v>774</v>
      </c>
      <c r="F2975" s="5">
        <v>5361020</v>
      </c>
      <c r="G2975" s="5" t="s">
        <v>1465</v>
      </c>
      <c r="H2975" s="5" t="s">
        <v>32</v>
      </c>
      <c r="I2975" s="5" t="s">
        <v>27</v>
      </c>
      <c r="J2975" s="5" t="s">
        <v>46</v>
      </c>
      <c r="K2975" s="6">
        <v>0</v>
      </c>
      <c r="L2975" s="7">
        <v>0</v>
      </c>
      <c r="M2975" s="7">
        <v>0</v>
      </c>
      <c r="N2975" s="8">
        <v>33.666666666666664</v>
      </c>
      <c r="O2975" s="8">
        <v>0</v>
      </c>
      <c r="P2975" s="8">
        <v>0</v>
      </c>
      <c r="Q2975" s="8">
        <v>0</v>
      </c>
      <c r="R2975" s="8">
        <v>0</v>
      </c>
      <c r="S2975" s="8">
        <v>0</v>
      </c>
      <c r="T2975" s="5">
        <v>0</v>
      </c>
      <c r="U2975" s="5">
        <v>0</v>
      </c>
      <c r="V2975" s="5">
        <f>VLOOKUP(A2975,Planilha1!B:E,4,0)</f>
        <v>5.8210743907543439</v>
      </c>
    </row>
    <row r="2976" spans="1:22" x14ac:dyDescent="0.3">
      <c r="A2976" t="str">
        <f t="shared" si="92"/>
        <v>DOCE DE LEITELACTALIS</v>
      </c>
      <c r="B2976" t="str">
        <f t="shared" si="93"/>
        <v>5158914DOCE DE LEITELACTALIS</v>
      </c>
      <c r="C2976" s="5" t="s">
        <v>226</v>
      </c>
      <c r="D2976" s="5" t="s">
        <v>227</v>
      </c>
      <c r="E2976" s="5" t="s">
        <v>1722</v>
      </c>
      <c r="F2976" s="5">
        <v>5158914</v>
      </c>
      <c r="G2976" s="5" t="s">
        <v>1107</v>
      </c>
      <c r="H2976" s="5" t="s">
        <v>30</v>
      </c>
      <c r="I2976" s="5" t="s">
        <v>22</v>
      </c>
      <c r="J2976" s="5" t="s">
        <v>46</v>
      </c>
      <c r="K2976" s="6">
        <v>0</v>
      </c>
      <c r="L2976" s="7">
        <v>0</v>
      </c>
      <c r="M2976" s="7">
        <v>0</v>
      </c>
      <c r="N2976" s="8">
        <v>16.5</v>
      </c>
      <c r="O2976" s="8">
        <v>0</v>
      </c>
      <c r="P2976" s="8">
        <v>0</v>
      </c>
      <c r="Q2976" s="8">
        <v>0</v>
      </c>
      <c r="R2976" s="8">
        <v>0</v>
      </c>
      <c r="S2976" s="8">
        <v>0</v>
      </c>
      <c r="T2976" s="5">
        <v>0</v>
      </c>
      <c r="U2976" s="5">
        <v>17</v>
      </c>
      <c r="V2976" s="5">
        <f>VLOOKUP(A2976,Planilha1!B:E,4,0)</f>
        <v>5.6473514327668077</v>
      </c>
    </row>
    <row r="2977" spans="1:22" x14ac:dyDescent="0.3">
      <c r="A2977" t="str">
        <f t="shared" si="92"/>
        <v>DOCE DE LEITELACTALIS</v>
      </c>
      <c r="B2977" t="str">
        <f t="shared" si="93"/>
        <v>5180079DOCE DE LEITELACTALIS</v>
      </c>
      <c r="C2977" s="5" t="s">
        <v>226</v>
      </c>
      <c r="D2977" s="5" t="s">
        <v>227</v>
      </c>
      <c r="E2977" s="5" t="s">
        <v>1722</v>
      </c>
      <c r="F2977" s="5">
        <v>5180079</v>
      </c>
      <c r="G2977" s="5" t="s">
        <v>257</v>
      </c>
      <c r="H2977" s="5" t="s">
        <v>30</v>
      </c>
      <c r="I2977" s="5" t="s">
        <v>22</v>
      </c>
      <c r="J2977" s="5" t="s">
        <v>46</v>
      </c>
      <c r="K2977" s="6">
        <v>0</v>
      </c>
      <c r="L2977" s="7">
        <v>0</v>
      </c>
      <c r="M2977" s="7">
        <v>0</v>
      </c>
      <c r="N2977" s="8">
        <v>6</v>
      </c>
      <c r="O2977" s="8">
        <v>0</v>
      </c>
      <c r="P2977" s="8">
        <v>0</v>
      </c>
      <c r="Q2977" s="8">
        <v>0</v>
      </c>
      <c r="R2977" s="8">
        <v>0</v>
      </c>
      <c r="S2977" s="8">
        <v>0</v>
      </c>
      <c r="T2977" s="5">
        <v>0</v>
      </c>
      <c r="U2977" s="5">
        <v>0</v>
      </c>
      <c r="V2977" s="5">
        <f>VLOOKUP(A2977,Planilha1!B:E,4,0)</f>
        <v>5.6473514327668077</v>
      </c>
    </row>
    <row r="2978" spans="1:22" x14ac:dyDescent="0.3">
      <c r="A2978" t="str">
        <f t="shared" si="92"/>
        <v>DOCE DE LEITELACTALIS</v>
      </c>
      <c r="B2978" t="str">
        <f t="shared" si="93"/>
        <v>5209410DOCE DE LEITELACTALIS</v>
      </c>
      <c r="C2978" s="5" t="s">
        <v>226</v>
      </c>
      <c r="D2978" s="5" t="s">
        <v>227</v>
      </c>
      <c r="E2978" s="5" t="s">
        <v>1722</v>
      </c>
      <c r="F2978" s="5">
        <v>5209410</v>
      </c>
      <c r="G2978" s="5" t="s">
        <v>1479</v>
      </c>
      <c r="H2978" s="5" t="s">
        <v>30</v>
      </c>
      <c r="I2978" s="5" t="s">
        <v>22</v>
      </c>
      <c r="J2978" s="5" t="s">
        <v>46</v>
      </c>
      <c r="K2978" s="6">
        <v>0</v>
      </c>
      <c r="L2978" s="7">
        <v>0</v>
      </c>
      <c r="M2978" s="7">
        <v>0</v>
      </c>
      <c r="N2978" s="8">
        <v>3</v>
      </c>
      <c r="O2978" s="8">
        <v>0</v>
      </c>
      <c r="P2978" s="8">
        <v>0</v>
      </c>
      <c r="Q2978" s="8">
        <v>0</v>
      </c>
      <c r="R2978" s="8">
        <v>0</v>
      </c>
      <c r="S2978" s="8">
        <v>0</v>
      </c>
      <c r="T2978" s="5">
        <v>0</v>
      </c>
      <c r="U2978" s="5">
        <v>0</v>
      </c>
      <c r="V2978" s="5">
        <f>VLOOKUP(A2978,Planilha1!B:E,4,0)</f>
        <v>5.6473514327668077</v>
      </c>
    </row>
    <row r="2979" spans="1:22" x14ac:dyDescent="0.3">
      <c r="A2979" t="str">
        <f t="shared" si="92"/>
        <v>DOCE DE LEITELACTALIS</v>
      </c>
      <c r="B2979" t="str">
        <f t="shared" si="93"/>
        <v>5211344DOCE DE LEITELACTALIS</v>
      </c>
      <c r="C2979" s="5" t="s">
        <v>226</v>
      </c>
      <c r="D2979" s="5" t="s">
        <v>815</v>
      </c>
      <c r="E2979" s="5" t="s">
        <v>815</v>
      </c>
      <c r="F2979" s="5">
        <v>5211344</v>
      </c>
      <c r="G2979" s="5" t="s">
        <v>832</v>
      </c>
      <c r="H2979" s="5" t="s">
        <v>30</v>
      </c>
      <c r="I2979" s="5" t="s">
        <v>22</v>
      </c>
      <c r="J2979" s="5" t="s">
        <v>46</v>
      </c>
      <c r="K2979" s="6">
        <v>0</v>
      </c>
      <c r="L2979" s="7">
        <v>0</v>
      </c>
      <c r="M2979" s="7">
        <v>0</v>
      </c>
      <c r="N2979" s="8">
        <v>43.5</v>
      </c>
      <c r="O2979" s="8">
        <v>0</v>
      </c>
      <c r="P2979" s="8">
        <v>0</v>
      </c>
      <c r="Q2979" s="8">
        <v>0</v>
      </c>
      <c r="R2979" s="8">
        <v>0</v>
      </c>
      <c r="S2979" s="8">
        <v>0</v>
      </c>
      <c r="T2979" s="5">
        <v>0</v>
      </c>
      <c r="U2979" s="5">
        <v>0</v>
      </c>
      <c r="V2979" s="5">
        <f>VLOOKUP(A2979,Planilha1!B:E,4,0)</f>
        <v>5.6473514327668077</v>
      </c>
    </row>
    <row r="2980" spans="1:22" x14ac:dyDescent="0.3">
      <c r="A2980" t="str">
        <f t="shared" si="92"/>
        <v>DOCE DE LEITELACTALIS</v>
      </c>
      <c r="B2980" t="str">
        <f t="shared" si="93"/>
        <v>5248711DOCE DE LEITELACTALIS</v>
      </c>
      <c r="C2980" s="5" t="s">
        <v>226</v>
      </c>
      <c r="D2980" s="5" t="s">
        <v>227</v>
      </c>
      <c r="E2980" s="5" t="s">
        <v>1722</v>
      </c>
      <c r="F2980" s="5">
        <v>5248711</v>
      </c>
      <c r="G2980" s="5" t="s">
        <v>272</v>
      </c>
      <c r="H2980" s="5" t="s">
        <v>30</v>
      </c>
      <c r="I2980" s="5" t="s">
        <v>22</v>
      </c>
      <c r="J2980" s="5" t="s">
        <v>46</v>
      </c>
      <c r="K2980" s="6">
        <v>0</v>
      </c>
      <c r="L2980" s="7">
        <v>0</v>
      </c>
      <c r="M2980" s="7">
        <v>0</v>
      </c>
      <c r="N2980" s="8">
        <v>6</v>
      </c>
      <c r="O2980" s="8">
        <v>0</v>
      </c>
      <c r="P2980" s="8">
        <v>0</v>
      </c>
      <c r="Q2980" s="8">
        <v>0</v>
      </c>
      <c r="R2980" s="8">
        <v>0</v>
      </c>
      <c r="S2980" s="8">
        <v>9</v>
      </c>
      <c r="T2980" s="5">
        <v>9</v>
      </c>
      <c r="U2980" s="5">
        <v>9</v>
      </c>
      <c r="V2980" s="5">
        <f>VLOOKUP(A2980,Planilha1!B:E,4,0)</f>
        <v>5.6473514327668077</v>
      </c>
    </row>
    <row r="2981" spans="1:22" x14ac:dyDescent="0.3">
      <c r="A2981" t="str">
        <f t="shared" si="92"/>
        <v>DOCE DE LEITELACTALIS</v>
      </c>
      <c r="B2981" t="str">
        <f t="shared" si="93"/>
        <v>5273106DOCE DE LEITELACTALIS</v>
      </c>
      <c r="C2981" s="5" t="s">
        <v>226</v>
      </c>
      <c r="D2981" s="5" t="s">
        <v>227</v>
      </c>
      <c r="E2981" s="5" t="s">
        <v>1722</v>
      </c>
      <c r="F2981" s="5">
        <v>5273106</v>
      </c>
      <c r="G2981" s="5" t="s">
        <v>1480</v>
      </c>
      <c r="H2981" s="5" t="s">
        <v>30</v>
      </c>
      <c r="I2981" s="5" t="s">
        <v>22</v>
      </c>
      <c r="J2981" s="5" t="s">
        <v>46</v>
      </c>
      <c r="K2981" s="6">
        <v>0</v>
      </c>
      <c r="L2981" s="7">
        <v>0</v>
      </c>
      <c r="M2981" s="7">
        <v>0</v>
      </c>
      <c r="N2981" s="8">
        <v>0</v>
      </c>
      <c r="O2981" s="8">
        <v>0</v>
      </c>
      <c r="P2981" s="8">
        <v>0</v>
      </c>
      <c r="Q2981" s="8">
        <v>0</v>
      </c>
      <c r="R2981" s="8">
        <v>0</v>
      </c>
      <c r="S2981" s="8">
        <v>8</v>
      </c>
      <c r="T2981" s="5">
        <v>8</v>
      </c>
      <c r="U2981" s="5">
        <v>8</v>
      </c>
      <c r="V2981" s="5">
        <f>VLOOKUP(A2981,Planilha1!B:E,4,0)</f>
        <v>5.6473514327668077</v>
      </c>
    </row>
    <row r="2982" spans="1:22" x14ac:dyDescent="0.3">
      <c r="A2982" t="str">
        <f t="shared" si="92"/>
        <v>DOCE DE LEITELACTALIS</v>
      </c>
      <c r="B2982" t="str">
        <f t="shared" si="93"/>
        <v>5324082DOCE DE LEITELACTALIS</v>
      </c>
      <c r="C2982" s="5" t="s">
        <v>226</v>
      </c>
      <c r="D2982" s="5" t="s">
        <v>227</v>
      </c>
      <c r="E2982" s="5" t="s">
        <v>1722</v>
      </c>
      <c r="F2982" s="5">
        <v>5324082</v>
      </c>
      <c r="G2982" s="5" t="s">
        <v>1481</v>
      </c>
      <c r="H2982" s="5" t="s">
        <v>30</v>
      </c>
      <c r="I2982" s="5" t="s">
        <v>22</v>
      </c>
      <c r="J2982" s="5" t="s">
        <v>46</v>
      </c>
      <c r="K2982" s="6">
        <v>0</v>
      </c>
      <c r="L2982" s="7">
        <v>0</v>
      </c>
      <c r="M2982" s="7">
        <v>0</v>
      </c>
      <c r="N2982" s="8">
        <v>0</v>
      </c>
      <c r="O2982" s="8">
        <v>0</v>
      </c>
      <c r="P2982" s="8">
        <v>0</v>
      </c>
      <c r="Q2982" s="8">
        <v>0</v>
      </c>
      <c r="R2982" s="8">
        <v>0</v>
      </c>
      <c r="S2982" s="8">
        <v>0</v>
      </c>
      <c r="T2982" s="5">
        <v>0</v>
      </c>
      <c r="U2982" s="5">
        <v>0</v>
      </c>
      <c r="V2982" s="5">
        <f>VLOOKUP(A2982,Planilha1!B:E,4,0)</f>
        <v>5.6473514327668077</v>
      </c>
    </row>
    <row r="2983" spans="1:22" x14ac:dyDescent="0.3">
      <c r="A2983" t="str">
        <f t="shared" si="92"/>
        <v>DOCE DE LEITELACTALIS</v>
      </c>
      <c r="B2983" t="str">
        <f t="shared" si="93"/>
        <v>5352327DOCE DE LEITELACTALIS</v>
      </c>
      <c r="C2983" s="5" t="s">
        <v>226</v>
      </c>
      <c r="D2983" s="5" t="s">
        <v>227</v>
      </c>
      <c r="E2983" s="5" t="s">
        <v>1722</v>
      </c>
      <c r="F2983" s="5">
        <v>5352327</v>
      </c>
      <c r="G2983" s="5" t="s">
        <v>492</v>
      </c>
      <c r="H2983" s="5" t="s">
        <v>30</v>
      </c>
      <c r="I2983" s="5" t="s">
        <v>22</v>
      </c>
      <c r="J2983" s="5" t="s">
        <v>46</v>
      </c>
      <c r="K2983" s="6">
        <v>0</v>
      </c>
      <c r="L2983" s="7">
        <v>0</v>
      </c>
      <c r="M2983" s="7">
        <v>0</v>
      </c>
      <c r="N2983" s="8">
        <v>1.5</v>
      </c>
      <c r="O2983" s="8">
        <v>0</v>
      </c>
      <c r="P2983" s="8">
        <v>0</v>
      </c>
      <c r="Q2983" s="8">
        <v>0</v>
      </c>
      <c r="R2983" s="8">
        <v>0</v>
      </c>
      <c r="S2983" s="8">
        <v>5</v>
      </c>
      <c r="T2983" s="5">
        <v>5</v>
      </c>
      <c r="U2983" s="5">
        <v>5</v>
      </c>
      <c r="V2983" s="5">
        <f>VLOOKUP(A2983,Planilha1!B:E,4,0)</f>
        <v>5.6473514327668077</v>
      </c>
    </row>
    <row r="2984" spans="1:22" x14ac:dyDescent="0.3">
      <c r="A2984" t="str">
        <f t="shared" si="92"/>
        <v>DOCE DE LEITELACTALIS</v>
      </c>
      <c r="B2984" t="str">
        <f t="shared" si="93"/>
        <v>5358594DOCE DE LEITELACTALIS</v>
      </c>
      <c r="C2984" s="5" t="s">
        <v>226</v>
      </c>
      <c r="D2984" s="5" t="s">
        <v>227</v>
      </c>
      <c r="E2984" s="5" t="s">
        <v>1722</v>
      </c>
      <c r="F2984" s="5">
        <v>5358594</v>
      </c>
      <c r="G2984" s="5" t="s">
        <v>1450</v>
      </c>
      <c r="H2984" s="5" t="s">
        <v>30</v>
      </c>
      <c r="I2984" s="5" t="s">
        <v>22</v>
      </c>
      <c r="J2984" s="5" t="s">
        <v>46</v>
      </c>
      <c r="K2984" s="6">
        <v>0</v>
      </c>
      <c r="L2984" s="7">
        <v>0</v>
      </c>
      <c r="M2984" s="7">
        <v>0</v>
      </c>
      <c r="N2984" s="8">
        <v>10.5</v>
      </c>
      <c r="O2984" s="8">
        <v>0</v>
      </c>
      <c r="P2984" s="8">
        <v>0</v>
      </c>
      <c r="Q2984" s="8">
        <v>9</v>
      </c>
      <c r="R2984" s="8">
        <v>0</v>
      </c>
      <c r="S2984" s="8">
        <v>18</v>
      </c>
      <c r="T2984" s="5">
        <v>18</v>
      </c>
      <c r="U2984" s="5">
        <v>9</v>
      </c>
      <c r="V2984" s="5">
        <f>VLOOKUP(A2984,Planilha1!B:E,4,0)</f>
        <v>5.6473514327668077</v>
      </c>
    </row>
    <row r="2985" spans="1:22" x14ac:dyDescent="0.3">
      <c r="A2985" t="str">
        <f t="shared" si="92"/>
        <v>IOGURTESITAMBÉ</v>
      </c>
      <c r="B2985" t="str">
        <f t="shared" si="93"/>
        <v>5008636IOGURTESITAMBÉ</v>
      </c>
      <c r="C2985" s="5" t="s">
        <v>149</v>
      </c>
      <c r="D2985" s="5" t="s">
        <v>150</v>
      </c>
      <c r="E2985" s="5" t="s">
        <v>151</v>
      </c>
      <c r="F2985" s="5">
        <v>5008636</v>
      </c>
      <c r="G2985" s="5" t="s">
        <v>200</v>
      </c>
      <c r="H2985" s="5" t="s">
        <v>154</v>
      </c>
      <c r="I2985" s="5" t="s">
        <v>27</v>
      </c>
      <c r="J2985" s="5" t="s">
        <v>153</v>
      </c>
      <c r="K2985" s="6">
        <v>0</v>
      </c>
      <c r="L2985" s="7">
        <v>0</v>
      </c>
      <c r="M2985" s="7">
        <v>0</v>
      </c>
      <c r="N2985" s="8">
        <v>20.333333333333332</v>
      </c>
      <c r="O2985" s="8">
        <v>0</v>
      </c>
      <c r="P2985" s="8">
        <v>0</v>
      </c>
      <c r="Q2985" s="8">
        <v>408</v>
      </c>
      <c r="R2985" s="8">
        <v>0</v>
      </c>
      <c r="S2985" s="8">
        <v>0</v>
      </c>
      <c r="T2985" s="5">
        <v>0</v>
      </c>
      <c r="U2985" s="5">
        <v>0</v>
      </c>
      <c r="V2985" s="5">
        <f>VLOOKUP(A2985,Planilha1!B:E,4,0)</f>
        <v>3.2554443184120534</v>
      </c>
    </row>
    <row r="2986" spans="1:22" x14ac:dyDescent="0.3">
      <c r="A2986" t="str">
        <f t="shared" si="92"/>
        <v>IOGURTESITAMBÉ</v>
      </c>
      <c r="B2986" t="str">
        <f t="shared" si="93"/>
        <v>5026399IOGURTESITAMBÉ</v>
      </c>
      <c r="C2986" s="5" t="s">
        <v>226</v>
      </c>
      <c r="D2986" s="5" t="s">
        <v>752</v>
      </c>
      <c r="E2986" s="5" t="s">
        <v>756</v>
      </c>
      <c r="F2986" s="5">
        <v>5026399</v>
      </c>
      <c r="G2986" s="5" t="s">
        <v>757</v>
      </c>
      <c r="H2986" s="5" t="s">
        <v>154</v>
      </c>
      <c r="I2986" s="5" t="s">
        <v>27</v>
      </c>
      <c r="J2986" s="5" t="s">
        <v>153</v>
      </c>
      <c r="K2986" s="6">
        <v>0</v>
      </c>
      <c r="L2986" s="7">
        <v>0</v>
      </c>
      <c r="M2986" s="7">
        <v>0</v>
      </c>
      <c r="N2986" s="8">
        <v>42</v>
      </c>
      <c r="O2986" s="8">
        <v>63.987126017514015</v>
      </c>
      <c r="P2986" s="8">
        <v>0</v>
      </c>
      <c r="Q2986" s="8">
        <v>0</v>
      </c>
      <c r="R2986" s="8">
        <v>0</v>
      </c>
      <c r="S2986" s="8">
        <v>0</v>
      </c>
      <c r="T2986" s="5">
        <v>0</v>
      </c>
      <c r="U2986" s="5">
        <v>0</v>
      </c>
      <c r="V2986" s="5">
        <f>VLOOKUP(A2986,Planilha1!B:E,4,0)</f>
        <v>3.2554443184120534</v>
      </c>
    </row>
    <row r="2987" spans="1:22" x14ac:dyDescent="0.3">
      <c r="A2987" t="str">
        <f t="shared" si="92"/>
        <v>IOGURTESITAMBÉ</v>
      </c>
      <c r="B2987" t="str">
        <f t="shared" si="93"/>
        <v>5104419IOGURTESITAMBÉ</v>
      </c>
      <c r="C2987" s="5" t="s">
        <v>226</v>
      </c>
      <c r="D2987" s="5" t="s">
        <v>815</v>
      </c>
      <c r="E2987" s="5" t="s">
        <v>816</v>
      </c>
      <c r="F2987" s="5">
        <v>5104419</v>
      </c>
      <c r="G2987" s="5" t="s">
        <v>821</v>
      </c>
      <c r="H2987" s="5" t="s">
        <v>30</v>
      </c>
      <c r="I2987" s="5" t="s">
        <v>27</v>
      </c>
      <c r="J2987" s="5" t="s">
        <v>153</v>
      </c>
      <c r="K2987" s="6">
        <v>0</v>
      </c>
      <c r="L2987" s="7">
        <v>1214.4000000000001</v>
      </c>
      <c r="M2987" s="7">
        <v>0</v>
      </c>
      <c r="N2987" s="8">
        <v>552</v>
      </c>
      <c r="O2987" s="8">
        <v>2133.5707331464828</v>
      </c>
      <c r="P2987" s="8">
        <v>0</v>
      </c>
      <c r="Q2987" s="8">
        <v>0</v>
      </c>
      <c r="R2987" s="8">
        <v>0</v>
      </c>
      <c r="S2987" s="8">
        <v>0</v>
      </c>
      <c r="T2987" s="5">
        <v>0</v>
      </c>
      <c r="U2987" s="5">
        <v>0</v>
      </c>
      <c r="V2987" s="5">
        <f>VLOOKUP(A2987,Planilha1!B:E,4,0)</f>
        <v>3.2554443184120534</v>
      </c>
    </row>
    <row r="2988" spans="1:22" x14ac:dyDescent="0.3">
      <c r="A2988" t="str">
        <f t="shared" si="92"/>
        <v>IOGURTESITAMBÉ</v>
      </c>
      <c r="B2988" t="str">
        <f t="shared" si="93"/>
        <v>5111398IOGURTESITAMBÉ</v>
      </c>
      <c r="C2988" s="5" t="s">
        <v>149</v>
      </c>
      <c r="D2988" s="5" t="s">
        <v>150</v>
      </c>
      <c r="E2988" s="5" t="s">
        <v>186</v>
      </c>
      <c r="F2988" s="5">
        <v>5111398</v>
      </c>
      <c r="G2988" s="5" t="s">
        <v>1482</v>
      </c>
      <c r="H2988" s="5" t="s">
        <v>30</v>
      </c>
      <c r="I2988" s="5" t="s">
        <v>27</v>
      </c>
      <c r="J2988" s="5" t="s">
        <v>153</v>
      </c>
      <c r="K2988" s="6">
        <v>0</v>
      </c>
      <c r="L2988" s="7">
        <v>0</v>
      </c>
      <c r="M2988" s="7">
        <v>0</v>
      </c>
      <c r="N2988" s="8">
        <v>226.66666666666666</v>
      </c>
      <c r="O2988" s="8">
        <v>1651.6676903270804</v>
      </c>
      <c r="P2988" s="8">
        <v>0</v>
      </c>
      <c r="Q2988" s="8">
        <v>0</v>
      </c>
      <c r="R2988" s="8">
        <v>0</v>
      </c>
      <c r="S2988" s="8">
        <v>0</v>
      </c>
      <c r="T2988" s="5">
        <v>0</v>
      </c>
      <c r="U2988" s="5">
        <v>0</v>
      </c>
      <c r="V2988" s="5">
        <f>VLOOKUP(A2988,Planilha1!B:E,4,0)</f>
        <v>3.2554443184120534</v>
      </c>
    </row>
    <row r="2989" spans="1:22" x14ac:dyDescent="0.3">
      <c r="A2989" t="str">
        <f t="shared" si="92"/>
        <v>IOGURTESITAMBÉ</v>
      </c>
      <c r="B2989" t="str">
        <f t="shared" si="93"/>
        <v>5144654IOGURTESITAMBÉ</v>
      </c>
      <c r="C2989" s="5" t="s">
        <v>226</v>
      </c>
      <c r="D2989" s="5" t="s">
        <v>833</v>
      </c>
      <c r="E2989" s="5" t="s">
        <v>852</v>
      </c>
      <c r="F2989" s="5">
        <v>5144654</v>
      </c>
      <c r="G2989" s="5" t="s">
        <v>859</v>
      </c>
      <c r="H2989" s="5" t="s">
        <v>40</v>
      </c>
      <c r="I2989" s="5" t="s">
        <v>27</v>
      </c>
      <c r="J2989" s="5" t="s">
        <v>153</v>
      </c>
      <c r="K2989" s="6">
        <v>0</v>
      </c>
      <c r="L2989" s="7">
        <v>338.64</v>
      </c>
      <c r="M2989" s="7">
        <v>0</v>
      </c>
      <c r="N2989" s="8">
        <v>255.66666666666666</v>
      </c>
      <c r="O2989" s="8">
        <v>0</v>
      </c>
      <c r="P2989" s="8">
        <v>0</v>
      </c>
      <c r="Q2989" s="8">
        <v>971.04</v>
      </c>
      <c r="R2989" s="8">
        <v>0</v>
      </c>
      <c r="S2989" s="8">
        <v>0</v>
      </c>
      <c r="T2989" s="5">
        <v>0</v>
      </c>
      <c r="U2989" s="5">
        <v>0</v>
      </c>
      <c r="V2989" s="5">
        <f>VLOOKUP(A2989,Planilha1!B:E,4,0)</f>
        <v>3.2554443184120534</v>
      </c>
    </row>
    <row r="2990" spans="1:22" x14ac:dyDescent="0.3">
      <c r="A2990" t="str">
        <f t="shared" si="92"/>
        <v>IOGURTESITAMBÉ</v>
      </c>
      <c r="B2990" t="str">
        <f t="shared" si="93"/>
        <v>5275476IOGURTESITAMBÉ</v>
      </c>
      <c r="C2990" s="5" t="s">
        <v>226</v>
      </c>
      <c r="D2990" s="5" t="s">
        <v>752</v>
      </c>
      <c r="E2990" s="5" t="s">
        <v>767</v>
      </c>
      <c r="F2990" s="5">
        <v>5275476</v>
      </c>
      <c r="G2990" s="5" t="s">
        <v>1040</v>
      </c>
      <c r="H2990" s="5" t="s">
        <v>30</v>
      </c>
      <c r="I2990" s="5" t="s">
        <v>27</v>
      </c>
      <c r="J2990" s="5" t="s">
        <v>153</v>
      </c>
      <c r="K2990" s="6">
        <v>0</v>
      </c>
      <c r="L2990" s="7">
        <v>0</v>
      </c>
      <c r="M2990" s="7">
        <v>0</v>
      </c>
      <c r="N2990" s="8">
        <v>125.66666666666667</v>
      </c>
      <c r="O2990" s="8">
        <v>0</v>
      </c>
      <c r="P2990" s="8">
        <v>0</v>
      </c>
      <c r="Q2990" s="8">
        <v>0</v>
      </c>
      <c r="R2990" s="8">
        <v>0</v>
      </c>
      <c r="S2990" s="8">
        <v>0</v>
      </c>
      <c r="T2990" s="5">
        <v>0</v>
      </c>
      <c r="U2990" s="5">
        <v>0</v>
      </c>
      <c r="V2990" s="5">
        <f>VLOOKUP(A2990,Planilha1!B:E,4,0)</f>
        <v>3.2554443184120534</v>
      </c>
    </row>
    <row r="2991" spans="1:22" x14ac:dyDescent="0.3">
      <c r="A2991" t="str">
        <f t="shared" si="92"/>
        <v>IOGURTESITAMBÉ</v>
      </c>
      <c r="B2991" t="str">
        <f t="shared" si="93"/>
        <v>5318875IOGURTESITAMBÉ</v>
      </c>
      <c r="C2991" s="5" t="s">
        <v>226</v>
      </c>
      <c r="D2991" s="5" t="s">
        <v>727</v>
      </c>
      <c r="E2991" s="5" t="s">
        <v>730</v>
      </c>
      <c r="F2991" s="5">
        <v>5318875</v>
      </c>
      <c r="G2991" s="5" t="s">
        <v>731</v>
      </c>
      <c r="H2991" s="5" t="s">
        <v>25</v>
      </c>
      <c r="I2991" s="5" t="s">
        <v>27</v>
      </c>
      <c r="J2991" s="5" t="s">
        <v>153</v>
      </c>
      <c r="K2991" s="6">
        <v>0</v>
      </c>
      <c r="L2991" s="7">
        <v>0</v>
      </c>
      <c r="M2991" s="7">
        <v>0</v>
      </c>
      <c r="N2991" s="8">
        <v>5.333333333333333</v>
      </c>
      <c r="O2991" s="8">
        <v>0</v>
      </c>
      <c r="P2991" s="8">
        <v>0</v>
      </c>
      <c r="Q2991" s="8">
        <v>10.8</v>
      </c>
      <c r="R2991" s="8">
        <v>0</v>
      </c>
      <c r="S2991" s="8">
        <v>0</v>
      </c>
      <c r="T2991" s="5">
        <v>0</v>
      </c>
      <c r="U2991" s="5">
        <v>0</v>
      </c>
      <c r="V2991" s="5">
        <f>VLOOKUP(A2991,Planilha1!B:E,4,0)</f>
        <v>3.2554443184120534</v>
      </c>
    </row>
    <row r="2992" spans="1:22" x14ac:dyDescent="0.3">
      <c r="A2992" t="str">
        <f t="shared" si="92"/>
        <v>IOGURTESLACTALIS</v>
      </c>
      <c r="B2992" t="str">
        <f t="shared" si="93"/>
        <v>5002471IOGURTESLACTALIS</v>
      </c>
      <c r="C2992" s="5" t="s">
        <v>226</v>
      </c>
      <c r="D2992" s="5" t="s">
        <v>227</v>
      </c>
      <c r="E2992" s="5" t="s">
        <v>1722</v>
      </c>
      <c r="F2992" s="5">
        <v>5002471</v>
      </c>
      <c r="G2992" s="5" t="s">
        <v>1133</v>
      </c>
      <c r="H2992" s="5" t="s">
        <v>30</v>
      </c>
      <c r="I2992" s="5" t="s">
        <v>22</v>
      </c>
      <c r="J2992" s="5" t="s">
        <v>153</v>
      </c>
      <c r="K2992" s="6">
        <v>0</v>
      </c>
      <c r="L2992" s="7">
        <v>4.08</v>
      </c>
      <c r="M2992" s="7">
        <v>0</v>
      </c>
      <c r="N2992" s="8">
        <v>40.800000000000004</v>
      </c>
      <c r="O2992" s="8">
        <v>18.896153891322875</v>
      </c>
      <c r="P2992" s="8">
        <v>0</v>
      </c>
      <c r="Q2992" s="8">
        <v>0</v>
      </c>
      <c r="R2992" s="8">
        <v>0</v>
      </c>
      <c r="S2992" s="8">
        <v>0</v>
      </c>
      <c r="T2992" s="5">
        <v>0</v>
      </c>
      <c r="U2992" s="5">
        <v>0</v>
      </c>
      <c r="V2992" s="5">
        <f>VLOOKUP(A2992,Planilha1!B:E,4,0)</f>
        <v>3.0503167986984403</v>
      </c>
    </row>
    <row r="2993" spans="1:22" x14ac:dyDescent="0.3">
      <c r="A2993" t="str">
        <f t="shared" si="92"/>
        <v>IOGURTESLACTALIS</v>
      </c>
      <c r="B2993" t="str">
        <f t="shared" si="93"/>
        <v>5012641IOGURTESLACTALIS</v>
      </c>
      <c r="C2993" s="5" t="s">
        <v>226</v>
      </c>
      <c r="D2993" s="5" t="s">
        <v>227</v>
      </c>
      <c r="E2993" s="5" t="s">
        <v>703</v>
      </c>
      <c r="F2993" s="5">
        <v>5012641</v>
      </c>
      <c r="G2993" s="5" t="s">
        <v>704</v>
      </c>
      <c r="H2993" s="5" t="s">
        <v>30</v>
      </c>
      <c r="I2993" s="5" t="s">
        <v>22</v>
      </c>
      <c r="J2993" s="5" t="s">
        <v>153</v>
      </c>
      <c r="K2993" s="6">
        <v>0</v>
      </c>
      <c r="L2993" s="7">
        <v>0</v>
      </c>
      <c r="M2993" s="7">
        <v>0</v>
      </c>
      <c r="N2993" s="8">
        <v>0</v>
      </c>
      <c r="O2993" s="8">
        <v>0</v>
      </c>
      <c r="P2993" s="8">
        <v>0</v>
      </c>
      <c r="Q2993" s="8">
        <v>0</v>
      </c>
      <c r="R2993" s="8">
        <v>0</v>
      </c>
      <c r="S2993" s="8">
        <v>0</v>
      </c>
      <c r="T2993" s="5">
        <v>0</v>
      </c>
      <c r="U2993" s="5">
        <v>0</v>
      </c>
      <c r="V2993" s="5">
        <f>VLOOKUP(A2993,Planilha1!B:E,4,0)</f>
        <v>3.0503167986984403</v>
      </c>
    </row>
    <row r="2994" spans="1:22" x14ac:dyDescent="0.3">
      <c r="A2994" t="str">
        <f t="shared" si="92"/>
        <v>IOGURTESLACTALIS</v>
      </c>
      <c r="B2994" t="str">
        <f t="shared" si="93"/>
        <v>5029281IOGURTESLACTALIS</v>
      </c>
      <c r="C2994" s="5" t="s">
        <v>226</v>
      </c>
      <c r="D2994" s="5" t="s">
        <v>227</v>
      </c>
      <c r="E2994" s="5" t="s">
        <v>1722</v>
      </c>
      <c r="F2994" s="5">
        <v>5029281</v>
      </c>
      <c r="G2994" s="5" t="s">
        <v>501</v>
      </c>
      <c r="H2994" s="5" t="s">
        <v>30</v>
      </c>
      <c r="I2994" s="5" t="s">
        <v>22</v>
      </c>
      <c r="J2994" s="5" t="s">
        <v>153</v>
      </c>
      <c r="K2994" s="6">
        <v>0</v>
      </c>
      <c r="L2994" s="7">
        <v>0</v>
      </c>
      <c r="M2994" s="7">
        <v>0</v>
      </c>
      <c r="N2994" s="8">
        <v>0</v>
      </c>
      <c r="O2994" s="8">
        <v>0.6724204340096801</v>
      </c>
      <c r="P2994" s="8">
        <v>0</v>
      </c>
      <c r="Q2994" s="8">
        <v>0</v>
      </c>
      <c r="R2994" s="8">
        <v>0</v>
      </c>
      <c r="S2994" s="8">
        <v>0</v>
      </c>
      <c r="T2994" s="5">
        <v>0</v>
      </c>
      <c r="U2994" s="5">
        <v>0</v>
      </c>
      <c r="V2994" s="5">
        <f>VLOOKUP(A2994,Planilha1!B:E,4,0)</f>
        <v>3.0503167986984403</v>
      </c>
    </row>
    <row r="2995" spans="1:22" x14ac:dyDescent="0.3">
      <c r="A2995" t="str">
        <f t="shared" si="92"/>
        <v>IOGURTESLACTALIS</v>
      </c>
      <c r="B2995" t="str">
        <f t="shared" si="93"/>
        <v>5034557IOGURTESLACTALIS</v>
      </c>
      <c r="C2995" s="5" t="s">
        <v>226</v>
      </c>
      <c r="D2995" s="5" t="s">
        <v>227</v>
      </c>
      <c r="E2995" s="5" t="s">
        <v>1722</v>
      </c>
      <c r="F2995" s="5">
        <v>5034557</v>
      </c>
      <c r="G2995" s="5" t="s">
        <v>379</v>
      </c>
      <c r="H2995" s="5" t="s">
        <v>30</v>
      </c>
      <c r="I2995" s="5" t="s">
        <v>22</v>
      </c>
      <c r="J2995" s="5" t="s">
        <v>153</v>
      </c>
      <c r="K2995" s="6">
        <v>0</v>
      </c>
      <c r="L2995" s="7">
        <v>0</v>
      </c>
      <c r="M2995" s="7">
        <v>0</v>
      </c>
      <c r="N2995" s="8">
        <v>0</v>
      </c>
      <c r="O2995" s="8">
        <v>66.968516444760681</v>
      </c>
      <c r="P2995" s="8">
        <v>0</v>
      </c>
      <c r="Q2995" s="8">
        <v>0</v>
      </c>
      <c r="R2995" s="8">
        <v>0</v>
      </c>
      <c r="S2995" s="8">
        <v>0</v>
      </c>
      <c r="T2995" s="5">
        <v>0</v>
      </c>
      <c r="U2995" s="5">
        <v>0</v>
      </c>
      <c r="V2995" s="5">
        <f>VLOOKUP(A2995,Planilha1!B:E,4,0)</f>
        <v>3.0503167986984403</v>
      </c>
    </row>
    <row r="2996" spans="1:22" x14ac:dyDescent="0.3">
      <c r="A2996" t="str">
        <f t="shared" si="92"/>
        <v>IOGURTESLACTALIS</v>
      </c>
      <c r="B2996" t="str">
        <f t="shared" si="93"/>
        <v>5034558IOGURTESLACTALIS</v>
      </c>
      <c r="C2996" s="5" t="s">
        <v>226</v>
      </c>
      <c r="D2996" s="5" t="s">
        <v>227</v>
      </c>
      <c r="E2996" s="5" t="s">
        <v>1722</v>
      </c>
      <c r="F2996" s="5">
        <v>5034558</v>
      </c>
      <c r="G2996" s="5" t="s">
        <v>379</v>
      </c>
      <c r="H2996" s="5" t="s">
        <v>30</v>
      </c>
      <c r="I2996" s="5" t="s">
        <v>22</v>
      </c>
      <c r="J2996" s="5" t="s">
        <v>153</v>
      </c>
      <c r="K2996" s="6">
        <v>0</v>
      </c>
      <c r="L2996" s="7">
        <v>0</v>
      </c>
      <c r="M2996" s="7">
        <v>0</v>
      </c>
      <c r="N2996" s="8">
        <v>0</v>
      </c>
      <c r="O2996" s="8">
        <v>56.568793630627923</v>
      </c>
      <c r="P2996" s="8">
        <v>0</v>
      </c>
      <c r="Q2996" s="8">
        <v>0</v>
      </c>
      <c r="R2996" s="8">
        <v>0</v>
      </c>
      <c r="S2996" s="8">
        <v>0</v>
      </c>
      <c r="T2996" s="5">
        <v>0</v>
      </c>
      <c r="U2996" s="5">
        <v>0</v>
      </c>
      <c r="V2996" s="5">
        <f>VLOOKUP(A2996,Planilha1!B:E,4,0)</f>
        <v>3.0503167986984403</v>
      </c>
    </row>
    <row r="2997" spans="1:22" x14ac:dyDescent="0.3">
      <c r="A2997" t="str">
        <f t="shared" si="92"/>
        <v>IOGURTESLACTALIS</v>
      </c>
      <c r="B2997" t="str">
        <f t="shared" si="93"/>
        <v>5053109IOGURTESLACTALIS</v>
      </c>
      <c r="C2997" s="5" t="s">
        <v>226</v>
      </c>
      <c r="D2997" s="5" t="s">
        <v>227</v>
      </c>
      <c r="E2997" s="5" t="s">
        <v>1722</v>
      </c>
      <c r="F2997" s="5">
        <v>5053109</v>
      </c>
      <c r="G2997" s="5" t="s">
        <v>1483</v>
      </c>
      <c r="H2997" s="5" t="s">
        <v>30</v>
      </c>
      <c r="I2997" s="5" t="s">
        <v>22</v>
      </c>
      <c r="J2997" s="5" t="s">
        <v>153</v>
      </c>
      <c r="K2997" s="6">
        <v>0</v>
      </c>
      <c r="L2997" s="7">
        <v>0</v>
      </c>
      <c r="M2997" s="7">
        <v>0</v>
      </c>
      <c r="N2997" s="8">
        <v>6.8</v>
      </c>
      <c r="O2997" s="8">
        <v>17.209404328044357</v>
      </c>
      <c r="P2997" s="8">
        <v>0</v>
      </c>
      <c r="Q2997" s="8">
        <v>0</v>
      </c>
      <c r="R2997" s="8">
        <v>0</v>
      </c>
      <c r="S2997" s="8">
        <v>0</v>
      </c>
      <c r="T2997" s="5">
        <v>0</v>
      </c>
      <c r="U2997" s="5">
        <v>0</v>
      </c>
      <c r="V2997" s="5">
        <f>VLOOKUP(A2997,Planilha1!B:E,4,0)</f>
        <v>3.0503167986984403</v>
      </c>
    </row>
    <row r="2998" spans="1:22" x14ac:dyDescent="0.3">
      <c r="A2998" t="str">
        <f t="shared" si="92"/>
        <v>IOGURTESLACTALIS</v>
      </c>
      <c r="B2998" t="str">
        <f t="shared" si="93"/>
        <v>5058749IOGURTESLACTALIS</v>
      </c>
      <c r="C2998" s="5" t="s">
        <v>226</v>
      </c>
      <c r="D2998" s="5" t="s">
        <v>227</v>
      </c>
      <c r="E2998" s="5" t="s">
        <v>1722</v>
      </c>
      <c r="F2998" s="5">
        <v>5058749</v>
      </c>
      <c r="G2998" s="5" t="s">
        <v>253</v>
      </c>
      <c r="H2998" s="5" t="s">
        <v>30</v>
      </c>
      <c r="I2998" s="5" t="s">
        <v>22</v>
      </c>
      <c r="J2998" s="5" t="s">
        <v>153</v>
      </c>
      <c r="K2998" s="6">
        <v>0</v>
      </c>
      <c r="L2998" s="7">
        <v>0</v>
      </c>
      <c r="M2998" s="7">
        <v>0</v>
      </c>
      <c r="N2998" s="8">
        <v>0</v>
      </c>
      <c r="O2998" s="8">
        <v>6.0859747756130371</v>
      </c>
      <c r="P2998" s="8">
        <v>0</v>
      </c>
      <c r="Q2998" s="8">
        <v>0</v>
      </c>
      <c r="R2998" s="8">
        <v>0</v>
      </c>
      <c r="S2998" s="8">
        <v>0</v>
      </c>
      <c r="T2998" s="5">
        <v>0</v>
      </c>
      <c r="U2998" s="5">
        <v>0</v>
      </c>
      <c r="V2998" s="5">
        <f>VLOOKUP(A2998,Planilha1!B:E,4,0)</f>
        <v>3.0503167986984403</v>
      </c>
    </row>
    <row r="2999" spans="1:22" x14ac:dyDescent="0.3">
      <c r="A2999" t="str">
        <f t="shared" si="92"/>
        <v>IOGURTESLACTALIS</v>
      </c>
      <c r="B2999" t="str">
        <f t="shared" si="93"/>
        <v>5091134IOGURTESLACTALIS</v>
      </c>
      <c r="C2999" s="5" t="s">
        <v>226</v>
      </c>
      <c r="D2999" s="5" t="s">
        <v>227</v>
      </c>
      <c r="E2999" s="5" t="s">
        <v>1722</v>
      </c>
      <c r="F2999" s="5">
        <v>5091134</v>
      </c>
      <c r="G2999" s="5" t="s">
        <v>1269</v>
      </c>
      <c r="H2999" s="5" t="s">
        <v>30</v>
      </c>
      <c r="I2999" s="5" t="s">
        <v>22</v>
      </c>
      <c r="J2999" s="5" t="s">
        <v>153</v>
      </c>
      <c r="K2999" s="6">
        <v>0</v>
      </c>
      <c r="L2999" s="7">
        <v>1944</v>
      </c>
      <c r="M2999" s="7">
        <v>0</v>
      </c>
      <c r="N2999" s="8">
        <v>1260</v>
      </c>
      <c r="O2999" s="8">
        <v>2452.2261471812344</v>
      </c>
      <c r="P2999" s="8">
        <v>0</v>
      </c>
      <c r="Q2999" s="8">
        <v>324</v>
      </c>
      <c r="R2999" s="8">
        <v>0</v>
      </c>
      <c r="S2999" s="8">
        <v>0</v>
      </c>
      <c r="T2999" s="5">
        <v>0</v>
      </c>
      <c r="U2999" s="5">
        <v>0</v>
      </c>
      <c r="V2999" s="5">
        <f>VLOOKUP(A2999,Planilha1!B:E,4,0)</f>
        <v>3.0503167986984403</v>
      </c>
    </row>
    <row r="3000" spans="1:22" x14ac:dyDescent="0.3">
      <c r="A3000" t="str">
        <f t="shared" si="92"/>
        <v>IOGURTESLACTALIS</v>
      </c>
      <c r="B3000" t="str">
        <f t="shared" si="93"/>
        <v>5109539IOGURTESLACTALIS</v>
      </c>
      <c r="C3000" s="5" t="s">
        <v>226</v>
      </c>
      <c r="D3000" s="5" t="s">
        <v>227</v>
      </c>
      <c r="E3000" s="5" t="s">
        <v>1722</v>
      </c>
      <c r="F3000" s="5">
        <v>5109539</v>
      </c>
      <c r="G3000" s="5" t="s">
        <v>1135</v>
      </c>
      <c r="H3000" s="5" t="s">
        <v>30</v>
      </c>
      <c r="I3000" s="5" t="s">
        <v>22</v>
      </c>
      <c r="J3000" s="5" t="s">
        <v>153</v>
      </c>
      <c r="K3000" s="6">
        <v>0</v>
      </c>
      <c r="L3000" s="7">
        <v>0</v>
      </c>
      <c r="M3000" s="7">
        <v>0</v>
      </c>
      <c r="N3000" s="8">
        <v>54.4</v>
      </c>
      <c r="O3000" s="8">
        <v>45.815765164727367</v>
      </c>
      <c r="P3000" s="8">
        <v>0</v>
      </c>
      <c r="Q3000" s="8">
        <v>0</v>
      </c>
      <c r="R3000" s="8">
        <v>0</v>
      </c>
      <c r="S3000" s="8">
        <v>0</v>
      </c>
      <c r="T3000" s="5">
        <v>0</v>
      </c>
      <c r="U3000" s="5">
        <v>0</v>
      </c>
      <c r="V3000" s="5">
        <f>VLOOKUP(A3000,Planilha1!B:E,4,0)</f>
        <v>3.0503167986984403</v>
      </c>
    </row>
    <row r="3001" spans="1:22" x14ac:dyDescent="0.3">
      <c r="A3001" t="str">
        <f t="shared" si="92"/>
        <v>IOGURTESLACTALIS</v>
      </c>
      <c r="B3001" t="str">
        <f t="shared" si="93"/>
        <v>5111398IOGURTESLACTALIS</v>
      </c>
      <c r="C3001" s="5" t="s">
        <v>149</v>
      </c>
      <c r="D3001" s="5" t="s">
        <v>150</v>
      </c>
      <c r="E3001" s="5" t="s">
        <v>186</v>
      </c>
      <c r="F3001" s="5">
        <v>5111398</v>
      </c>
      <c r="G3001" s="5" t="s">
        <v>1482</v>
      </c>
      <c r="H3001" s="5" t="s">
        <v>30</v>
      </c>
      <c r="I3001" s="5" t="s">
        <v>22</v>
      </c>
      <c r="J3001" s="5" t="s">
        <v>153</v>
      </c>
      <c r="K3001" s="6">
        <v>0</v>
      </c>
      <c r="L3001" s="7">
        <v>0</v>
      </c>
      <c r="M3001" s="7">
        <v>0</v>
      </c>
      <c r="N3001" s="8">
        <v>0</v>
      </c>
      <c r="O3001" s="8">
        <v>226.99318278255592</v>
      </c>
      <c r="P3001" s="8">
        <v>0</v>
      </c>
      <c r="Q3001" s="8">
        <v>0</v>
      </c>
      <c r="R3001" s="8">
        <v>0</v>
      </c>
      <c r="S3001" s="8">
        <v>0</v>
      </c>
      <c r="T3001" s="5">
        <v>0</v>
      </c>
      <c r="U3001" s="5">
        <v>0</v>
      </c>
      <c r="V3001" s="5">
        <f>VLOOKUP(A3001,Planilha1!B:E,4,0)</f>
        <v>3.0503167986984403</v>
      </c>
    </row>
    <row r="3002" spans="1:22" x14ac:dyDescent="0.3">
      <c r="A3002" t="str">
        <f t="shared" si="92"/>
        <v>IOGURTESLACTALIS</v>
      </c>
      <c r="B3002" t="str">
        <f t="shared" si="93"/>
        <v>5135529IOGURTESLACTALIS</v>
      </c>
      <c r="C3002" s="5" t="s">
        <v>226</v>
      </c>
      <c r="D3002" s="5" t="s">
        <v>227</v>
      </c>
      <c r="E3002" s="5" t="s">
        <v>1722</v>
      </c>
      <c r="F3002" s="5">
        <v>5135529</v>
      </c>
      <c r="G3002" s="5" t="s">
        <v>503</v>
      </c>
      <c r="H3002" s="5" t="s">
        <v>30</v>
      </c>
      <c r="I3002" s="5" t="s">
        <v>22</v>
      </c>
      <c r="J3002" s="5" t="s">
        <v>153</v>
      </c>
      <c r="K3002" s="6">
        <v>0</v>
      </c>
      <c r="L3002" s="7">
        <v>0</v>
      </c>
      <c r="M3002" s="7">
        <v>0</v>
      </c>
      <c r="N3002" s="8">
        <v>0</v>
      </c>
      <c r="O3002" s="8">
        <v>70.279332310520218</v>
      </c>
      <c r="P3002" s="8">
        <v>0</v>
      </c>
      <c r="Q3002" s="8">
        <v>0</v>
      </c>
      <c r="R3002" s="8">
        <v>0</v>
      </c>
      <c r="S3002" s="8">
        <v>0</v>
      </c>
      <c r="T3002" s="5">
        <v>0</v>
      </c>
      <c r="U3002" s="5">
        <v>0</v>
      </c>
      <c r="V3002" s="5">
        <f>VLOOKUP(A3002,Planilha1!B:E,4,0)</f>
        <v>3.0503167986984403</v>
      </c>
    </row>
    <row r="3003" spans="1:22" x14ac:dyDescent="0.3">
      <c r="A3003" t="str">
        <f t="shared" si="92"/>
        <v>IOGURTESLACTALIS</v>
      </c>
      <c r="B3003" t="str">
        <f t="shared" si="93"/>
        <v>5137008IOGURTESLACTALIS</v>
      </c>
      <c r="C3003" s="5" t="s">
        <v>149</v>
      </c>
      <c r="D3003" s="5" t="s">
        <v>150</v>
      </c>
      <c r="E3003" s="5" t="s">
        <v>151</v>
      </c>
      <c r="F3003" s="5">
        <v>5137008</v>
      </c>
      <c r="G3003" s="5" t="s">
        <v>203</v>
      </c>
      <c r="H3003" s="5" t="s">
        <v>30</v>
      </c>
      <c r="I3003" s="5" t="s">
        <v>22</v>
      </c>
      <c r="J3003" s="5" t="s">
        <v>153</v>
      </c>
      <c r="K3003" s="6">
        <v>0</v>
      </c>
      <c r="L3003" s="7">
        <v>19.2</v>
      </c>
      <c r="M3003" s="7">
        <v>0</v>
      </c>
      <c r="N3003" s="8">
        <v>0</v>
      </c>
      <c r="O3003" s="8">
        <v>24.281215841654639</v>
      </c>
      <c r="P3003" s="8">
        <v>0</v>
      </c>
      <c r="Q3003" s="8">
        <v>0</v>
      </c>
      <c r="R3003" s="8">
        <v>0</v>
      </c>
      <c r="S3003" s="8">
        <v>0</v>
      </c>
      <c r="T3003" s="5">
        <v>0</v>
      </c>
      <c r="U3003" s="5">
        <v>0</v>
      </c>
      <c r="V3003" s="5">
        <f>VLOOKUP(A3003,Planilha1!B:E,4,0)</f>
        <v>3.0503167986984403</v>
      </c>
    </row>
    <row r="3004" spans="1:22" x14ac:dyDescent="0.3">
      <c r="A3004" t="str">
        <f t="shared" si="92"/>
        <v>IOGURTESLACTALIS</v>
      </c>
      <c r="B3004" t="str">
        <f t="shared" si="93"/>
        <v>5182399IOGURTESLACTALIS</v>
      </c>
      <c r="C3004" s="5" t="s">
        <v>226</v>
      </c>
      <c r="D3004" s="5" t="s">
        <v>227</v>
      </c>
      <c r="E3004" s="5" t="s">
        <v>1722</v>
      </c>
      <c r="F3004" s="5">
        <v>5182399</v>
      </c>
      <c r="G3004" s="5" t="s">
        <v>272</v>
      </c>
      <c r="H3004" s="5" t="s">
        <v>30</v>
      </c>
      <c r="I3004" s="5" t="s">
        <v>22</v>
      </c>
      <c r="J3004" s="5" t="s">
        <v>153</v>
      </c>
      <c r="K3004" s="6">
        <v>0</v>
      </c>
      <c r="L3004" s="7">
        <v>119.60000000000001</v>
      </c>
      <c r="M3004" s="7">
        <v>0</v>
      </c>
      <c r="N3004" s="8">
        <v>18.399999999999999</v>
      </c>
      <c r="O3004" s="8">
        <v>190.03285282504081</v>
      </c>
      <c r="P3004" s="8">
        <v>0</v>
      </c>
      <c r="Q3004" s="8">
        <v>0</v>
      </c>
      <c r="R3004" s="8">
        <v>0</v>
      </c>
      <c r="S3004" s="8">
        <v>0</v>
      </c>
      <c r="T3004" s="5">
        <v>0</v>
      </c>
      <c r="U3004" s="5">
        <v>0</v>
      </c>
      <c r="V3004" s="5">
        <f>VLOOKUP(A3004,Planilha1!B:E,4,0)</f>
        <v>3.0503167986984403</v>
      </c>
    </row>
    <row r="3005" spans="1:22" x14ac:dyDescent="0.3">
      <c r="A3005" t="str">
        <f t="shared" si="92"/>
        <v>IOGURTESLACTALIS</v>
      </c>
      <c r="B3005" t="str">
        <f t="shared" si="93"/>
        <v>5183645IOGURTESLACTALIS</v>
      </c>
      <c r="C3005" s="5" t="s">
        <v>226</v>
      </c>
      <c r="D3005" s="5" t="s">
        <v>227</v>
      </c>
      <c r="E3005" s="5" t="s">
        <v>1722</v>
      </c>
      <c r="F3005" s="5">
        <v>5183645</v>
      </c>
      <c r="G3005" s="5" t="s">
        <v>1484</v>
      </c>
      <c r="H3005" s="5" t="s">
        <v>30</v>
      </c>
      <c r="I3005" s="5" t="s">
        <v>22</v>
      </c>
      <c r="J3005" s="5" t="s">
        <v>153</v>
      </c>
      <c r="K3005" s="6">
        <v>0</v>
      </c>
      <c r="L3005" s="7">
        <v>0</v>
      </c>
      <c r="M3005" s="7">
        <v>0</v>
      </c>
      <c r="N3005" s="8">
        <v>3.76</v>
      </c>
      <c r="O3005" s="8">
        <v>0</v>
      </c>
      <c r="P3005" s="8">
        <v>0</v>
      </c>
      <c r="Q3005" s="8">
        <v>0</v>
      </c>
      <c r="R3005" s="8">
        <v>0</v>
      </c>
      <c r="S3005" s="8">
        <v>0</v>
      </c>
      <c r="T3005" s="5">
        <v>0</v>
      </c>
      <c r="U3005" s="5">
        <v>0</v>
      </c>
      <c r="V3005" s="5">
        <f>VLOOKUP(A3005,Planilha1!B:E,4,0)</f>
        <v>3.0503167986984403</v>
      </c>
    </row>
    <row r="3006" spans="1:22" x14ac:dyDescent="0.3">
      <c r="A3006" t="str">
        <f t="shared" si="92"/>
        <v>IOGURTESLACTALIS</v>
      </c>
      <c r="B3006" t="str">
        <f t="shared" si="93"/>
        <v>5188667IOGURTESLACTALIS</v>
      </c>
      <c r="C3006" s="5" t="s">
        <v>226</v>
      </c>
      <c r="D3006" s="5" t="s">
        <v>227</v>
      </c>
      <c r="E3006" s="5" t="s">
        <v>1722</v>
      </c>
      <c r="F3006" s="5">
        <v>5188667</v>
      </c>
      <c r="G3006" s="5" t="s">
        <v>389</v>
      </c>
      <c r="H3006" s="5" t="s">
        <v>30</v>
      </c>
      <c r="I3006" s="5" t="s">
        <v>22</v>
      </c>
      <c r="J3006" s="5" t="s">
        <v>153</v>
      </c>
      <c r="K3006" s="6">
        <v>0</v>
      </c>
      <c r="L3006" s="7">
        <v>0</v>
      </c>
      <c r="M3006" s="7">
        <v>0</v>
      </c>
      <c r="N3006" s="8">
        <v>29.92</v>
      </c>
      <c r="O3006" s="8">
        <v>0</v>
      </c>
      <c r="P3006" s="8">
        <v>0</v>
      </c>
      <c r="Q3006" s="8">
        <v>0</v>
      </c>
      <c r="R3006" s="8">
        <v>0</v>
      </c>
      <c r="S3006" s="8">
        <v>0</v>
      </c>
      <c r="T3006" s="5">
        <v>0</v>
      </c>
      <c r="U3006" s="5">
        <v>0</v>
      </c>
      <c r="V3006" s="5">
        <f>VLOOKUP(A3006,Planilha1!B:E,4,0)</f>
        <v>3.0503167986984403</v>
      </c>
    </row>
    <row r="3007" spans="1:22" x14ac:dyDescent="0.3">
      <c r="A3007" t="str">
        <f t="shared" si="92"/>
        <v>IOGURTESLACTALIS</v>
      </c>
      <c r="B3007" t="str">
        <f t="shared" si="93"/>
        <v>5211493IOGURTESLACTALIS</v>
      </c>
      <c r="C3007" s="5" t="s">
        <v>226</v>
      </c>
      <c r="D3007" s="5" t="s">
        <v>227</v>
      </c>
      <c r="E3007" s="5" t="s">
        <v>1722</v>
      </c>
      <c r="F3007" s="5">
        <v>5211493</v>
      </c>
      <c r="G3007" s="5" t="s">
        <v>572</v>
      </c>
      <c r="H3007" s="5" t="s">
        <v>30</v>
      </c>
      <c r="I3007" s="5" t="s">
        <v>22</v>
      </c>
      <c r="J3007" s="5" t="s">
        <v>153</v>
      </c>
      <c r="K3007" s="6">
        <v>0</v>
      </c>
      <c r="L3007" s="7">
        <v>7.68</v>
      </c>
      <c r="M3007" s="7">
        <v>0</v>
      </c>
      <c r="N3007" s="8">
        <v>0</v>
      </c>
      <c r="O3007" s="8">
        <v>3.0258919530435606</v>
      </c>
      <c r="P3007" s="8">
        <v>0</v>
      </c>
      <c r="Q3007" s="8">
        <v>8.9600000000000009</v>
      </c>
      <c r="R3007" s="8">
        <v>0</v>
      </c>
      <c r="S3007" s="8">
        <v>0</v>
      </c>
      <c r="T3007" s="5">
        <v>0</v>
      </c>
      <c r="U3007" s="5">
        <v>0</v>
      </c>
      <c r="V3007" s="5">
        <f>VLOOKUP(A3007,Planilha1!B:E,4,0)</f>
        <v>3.0503167986984403</v>
      </c>
    </row>
    <row r="3008" spans="1:22" x14ac:dyDescent="0.3">
      <c r="A3008" t="str">
        <f t="shared" si="92"/>
        <v>IOGURTESLACTALIS</v>
      </c>
      <c r="B3008" t="str">
        <f t="shared" si="93"/>
        <v>5215067IOGURTESLACTALIS</v>
      </c>
      <c r="C3008" s="5" t="s">
        <v>226</v>
      </c>
      <c r="D3008" s="5" t="s">
        <v>227</v>
      </c>
      <c r="E3008" s="5" t="s">
        <v>1722</v>
      </c>
      <c r="F3008" s="5">
        <v>5215067</v>
      </c>
      <c r="G3008" s="5" t="s">
        <v>258</v>
      </c>
      <c r="H3008" s="5" t="s">
        <v>30</v>
      </c>
      <c r="I3008" s="5" t="s">
        <v>22</v>
      </c>
      <c r="J3008" s="5" t="s">
        <v>153</v>
      </c>
      <c r="K3008" s="6">
        <v>0</v>
      </c>
      <c r="L3008" s="7">
        <v>0</v>
      </c>
      <c r="M3008" s="7">
        <v>0</v>
      </c>
      <c r="N3008" s="8">
        <v>1.36</v>
      </c>
      <c r="O3008" s="8">
        <v>0</v>
      </c>
      <c r="P3008" s="8">
        <v>0</v>
      </c>
      <c r="Q3008" s="8">
        <v>0</v>
      </c>
      <c r="R3008" s="8">
        <v>0</v>
      </c>
      <c r="S3008" s="8">
        <v>0</v>
      </c>
      <c r="T3008" s="5">
        <v>0</v>
      </c>
      <c r="U3008" s="5">
        <v>0</v>
      </c>
      <c r="V3008" s="5">
        <f>VLOOKUP(A3008,Planilha1!B:E,4,0)</f>
        <v>3.0503167986984403</v>
      </c>
    </row>
    <row r="3009" spans="1:22" x14ac:dyDescent="0.3">
      <c r="A3009" t="str">
        <f t="shared" si="92"/>
        <v>IOGURTESLACTALIS</v>
      </c>
      <c r="B3009" t="str">
        <f t="shared" si="93"/>
        <v>5223799IOGURTESLACTALIS</v>
      </c>
      <c r="C3009" s="5" t="s">
        <v>226</v>
      </c>
      <c r="D3009" s="5" t="s">
        <v>227</v>
      </c>
      <c r="E3009" s="5" t="s">
        <v>1722</v>
      </c>
      <c r="F3009" s="5">
        <v>5223799</v>
      </c>
      <c r="G3009" s="5" t="s">
        <v>508</v>
      </c>
      <c r="H3009" s="5" t="s">
        <v>30</v>
      </c>
      <c r="I3009" s="5" t="s">
        <v>22</v>
      </c>
      <c r="J3009" s="5" t="s">
        <v>153</v>
      </c>
      <c r="K3009" s="6">
        <v>0</v>
      </c>
      <c r="L3009" s="7">
        <v>0</v>
      </c>
      <c r="M3009" s="7">
        <v>0</v>
      </c>
      <c r="N3009" s="8">
        <v>0</v>
      </c>
      <c r="O3009" s="8">
        <v>38.943400390018255</v>
      </c>
      <c r="P3009" s="8">
        <v>0</v>
      </c>
      <c r="Q3009" s="8">
        <v>0</v>
      </c>
      <c r="R3009" s="8">
        <v>0</v>
      </c>
      <c r="S3009" s="8">
        <v>0</v>
      </c>
      <c r="T3009" s="5">
        <v>0</v>
      </c>
      <c r="U3009" s="5">
        <v>0</v>
      </c>
      <c r="V3009" s="5">
        <f>VLOOKUP(A3009,Planilha1!B:E,4,0)</f>
        <v>3.0503167986984403</v>
      </c>
    </row>
    <row r="3010" spans="1:22" x14ac:dyDescent="0.3">
      <c r="A3010" t="str">
        <f t="shared" ref="A3010:A3073" si="94">J3010&amp;I3010</f>
        <v>IOGURTESLACTALIS</v>
      </c>
      <c r="B3010" t="str">
        <f t="shared" si="93"/>
        <v>5224751IOGURTESLACTALIS</v>
      </c>
      <c r="C3010" s="5" t="s">
        <v>226</v>
      </c>
      <c r="D3010" s="5" t="s">
        <v>227</v>
      </c>
      <c r="E3010" s="5" t="s">
        <v>1722</v>
      </c>
      <c r="F3010" s="5">
        <v>5224751</v>
      </c>
      <c r="G3010" s="5" t="s">
        <v>1485</v>
      </c>
      <c r="H3010" s="5" t="s">
        <v>30</v>
      </c>
      <c r="I3010" s="5" t="s">
        <v>22</v>
      </c>
      <c r="J3010" s="5" t="s">
        <v>153</v>
      </c>
      <c r="K3010" s="6">
        <v>0</v>
      </c>
      <c r="L3010" s="7">
        <v>0</v>
      </c>
      <c r="M3010" s="7">
        <v>0</v>
      </c>
      <c r="N3010" s="8">
        <v>7.9066666666666672</v>
      </c>
      <c r="O3010" s="8">
        <v>0</v>
      </c>
      <c r="P3010" s="8">
        <v>0</v>
      </c>
      <c r="Q3010" s="8">
        <v>0</v>
      </c>
      <c r="R3010" s="8">
        <v>0</v>
      </c>
      <c r="S3010" s="8">
        <v>0</v>
      </c>
      <c r="T3010" s="5">
        <v>0</v>
      </c>
      <c r="U3010" s="5">
        <v>0</v>
      </c>
      <c r="V3010" s="5">
        <f>VLOOKUP(A3010,Planilha1!B:E,4,0)</f>
        <v>3.0503167986984403</v>
      </c>
    </row>
    <row r="3011" spans="1:22" x14ac:dyDescent="0.3">
      <c r="A3011" t="str">
        <f t="shared" si="94"/>
        <v>IOGURTESLACTALIS</v>
      </c>
      <c r="B3011" t="str">
        <f t="shared" ref="B3011:B3074" si="95">F3011&amp;J3011&amp;I3011</f>
        <v>5226985IOGURTESLACTALIS</v>
      </c>
      <c r="C3011" s="5" t="s">
        <v>226</v>
      </c>
      <c r="D3011" s="5" t="s">
        <v>815</v>
      </c>
      <c r="E3011" s="5" t="s">
        <v>815</v>
      </c>
      <c r="F3011" s="5">
        <v>5226985</v>
      </c>
      <c r="G3011" s="5" t="s">
        <v>830</v>
      </c>
      <c r="H3011" s="5" t="s">
        <v>30</v>
      </c>
      <c r="I3011" s="5" t="s">
        <v>22</v>
      </c>
      <c r="J3011" s="5" t="s">
        <v>153</v>
      </c>
      <c r="K3011" s="6">
        <v>0</v>
      </c>
      <c r="L3011" s="7">
        <v>0</v>
      </c>
      <c r="M3011" s="7">
        <v>0</v>
      </c>
      <c r="N3011" s="8">
        <v>0</v>
      </c>
      <c r="O3011" s="8">
        <v>5.5104284719267858</v>
      </c>
      <c r="P3011" s="8">
        <v>0</v>
      </c>
      <c r="Q3011" s="8">
        <v>0</v>
      </c>
      <c r="R3011" s="8">
        <v>0</v>
      </c>
      <c r="S3011" s="8">
        <v>0</v>
      </c>
      <c r="T3011" s="5">
        <v>0</v>
      </c>
      <c r="U3011" s="5">
        <v>0</v>
      </c>
      <c r="V3011" s="5">
        <f>VLOOKUP(A3011,Planilha1!B:E,4,0)</f>
        <v>3.0503167986984403</v>
      </c>
    </row>
    <row r="3012" spans="1:22" x14ac:dyDescent="0.3">
      <c r="A3012" t="str">
        <f t="shared" si="94"/>
        <v>IOGURTESLACTALIS</v>
      </c>
      <c r="B3012" t="str">
        <f t="shared" si="95"/>
        <v>5228459IOGURTESLACTALIS</v>
      </c>
      <c r="C3012" s="5" t="s">
        <v>226</v>
      </c>
      <c r="D3012" s="5" t="s">
        <v>227</v>
      </c>
      <c r="E3012" s="5" t="s">
        <v>1722</v>
      </c>
      <c r="F3012" s="5">
        <v>5228459</v>
      </c>
      <c r="G3012" s="5" t="s">
        <v>259</v>
      </c>
      <c r="H3012" s="5" t="s">
        <v>30</v>
      </c>
      <c r="I3012" s="5" t="s">
        <v>22</v>
      </c>
      <c r="J3012" s="5" t="s">
        <v>153</v>
      </c>
      <c r="K3012" s="6">
        <v>0</v>
      </c>
      <c r="L3012" s="7">
        <v>0</v>
      </c>
      <c r="M3012" s="7">
        <v>0</v>
      </c>
      <c r="N3012" s="8">
        <v>15.64</v>
      </c>
      <c r="O3012" s="8">
        <v>73.897866002012989</v>
      </c>
      <c r="P3012" s="8">
        <v>0</v>
      </c>
      <c r="Q3012" s="8">
        <v>57.480000000000004</v>
      </c>
      <c r="R3012" s="8">
        <v>0</v>
      </c>
      <c r="S3012" s="8">
        <v>0</v>
      </c>
      <c r="T3012" s="5">
        <v>0</v>
      </c>
      <c r="U3012" s="5">
        <v>0</v>
      </c>
      <c r="V3012" s="5">
        <f>VLOOKUP(A3012,Planilha1!B:E,4,0)</f>
        <v>3.0503167986984403</v>
      </c>
    </row>
    <row r="3013" spans="1:22" x14ac:dyDescent="0.3">
      <c r="A3013" t="str">
        <f t="shared" si="94"/>
        <v>IOGURTESLACTALIS</v>
      </c>
      <c r="B3013" t="str">
        <f t="shared" si="95"/>
        <v>5230076IOGURTESLACTALIS</v>
      </c>
      <c r="C3013" s="5" t="s">
        <v>226</v>
      </c>
      <c r="D3013" s="5" t="s">
        <v>227</v>
      </c>
      <c r="E3013" s="5" t="s">
        <v>1722</v>
      </c>
      <c r="F3013" s="5">
        <v>5230076</v>
      </c>
      <c r="G3013" s="5" t="s">
        <v>261</v>
      </c>
      <c r="H3013" s="5" t="s">
        <v>30</v>
      </c>
      <c r="I3013" s="5" t="s">
        <v>22</v>
      </c>
      <c r="J3013" s="5" t="s">
        <v>153</v>
      </c>
      <c r="K3013" s="6">
        <v>0</v>
      </c>
      <c r="L3013" s="7">
        <v>4.08</v>
      </c>
      <c r="M3013" s="7">
        <v>0</v>
      </c>
      <c r="N3013" s="8">
        <v>0</v>
      </c>
      <c r="O3013" s="8">
        <v>1.1510926073725034</v>
      </c>
      <c r="P3013" s="8">
        <v>0</v>
      </c>
      <c r="Q3013" s="8">
        <v>0</v>
      </c>
      <c r="R3013" s="8">
        <v>0</v>
      </c>
      <c r="S3013" s="8">
        <v>0</v>
      </c>
      <c r="T3013" s="5">
        <v>0</v>
      </c>
      <c r="U3013" s="5">
        <v>0</v>
      </c>
      <c r="V3013" s="5">
        <f>VLOOKUP(A3013,Planilha1!B:E,4,0)</f>
        <v>3.0503167986984403</v>
      </c>
    </row>
    <row r="3014" spans="1:22" x14ac:dyDescent="0.3">
      <c r="A3014" t="str">
        <f t="shared" si="94"/>
        <v>IOGURTESLACTALIS</v>
      </c>
      <c r="B3014" t="str">
        <f t="shared" si="95"/>
        <v>5230504IOGURTESLACTALIS</v>
      </c>
      <c r="C3014" s="5" t="s">
        <v>226</v>
      </c>
      <c r="D3014" s="5" t="s">
        <v>227</v>
      </c>
      <c r="E3014" s="5" t="s">
        <v>1722</v>
      </c>
      <c r="F3014" s="5">
        <v>5230504</v>
      </c>
      <c r="G3014" s="5" t="s">
        <v>1147</v>
      </c>
      <c r="H3014" s="5" t="s">
        <v>30</v>
      </c>
      <c r="I3014" s="5" t="s">
        <v>22</v>
      </c>
      <c r="J3014" s="5" t="s">
        <v>153</v>
      </c>
      <c r="K3014" s="6">
        <v>0</v>
      </c>
      <c r="L3014" s="7">
        <v>0</v>
      </c>
      <c r="M3014" s="7">
        <v>0</v>
      </c>
      <c r="N3014" s="8">
        <v>0</v>
      </c>
      <c r="O3014" s="8">
        <v>0.6724204340096801</v>
      </c>
      <c r="P3014" s="8">
        <v>0</v>
      </c>
      <c r="Q3014" s="8">
        <v>0</v>
      </c>
      <c r="R3014" s="8">
        <v>0</v>
      </c>
      <c r="S3014" s="8">
        <v>0</v>
      </c>
      <c r="T3014" s="5">
        <v>0</v>
      </c>
      <c r="U3014" s="5">
        <v>0</v>
      </c>
      <c r="V3014" s="5">
        <f>VLOOKUP(A3014,Planilha1!B:E,4,0)</f>
        <v>3.0503167986984403</v>
      </c>
    </row>
    <row r="3015" spans="1:22" x14ac:dyDescent="0.3">
      <c r="A3015" t="str">
        <f t="shared" si="94"/>
        <v>IOGURTESLACTALIS</v>
      </c>
      <c r="B3015" t="str">
        <f t="shared" si="95"/>
        <v>5234380IOGURTESLACTALIS</v>
      </c>
      <c r="C3015" s="5" t="s">
        <v>226</v>
      </c>
      <c r="D3015" s="5" t="s">
        <v>227</v>
      </c>
      <c r="E3015" s="5" t="s">
        <v>1722</v>
      </c>
      <c r="F3015" s="5">
        <v>5234380</v>
      </c>
      <c r="G3015" s="5" t="s">
        <v>511</v>
      </c>
      <c r="H3015" s="5" t="s">
        <v>30</v>
      </c>
      <c r="I3015" s="5" t="s">
        <v>22</v>
      </c>
      <c r="J3015" s="5" t="s">
        <v>153</v>
      </c>
      <c r="K3015" s="6">
        <v>0</v>
      </c>
      <c r="L3015" s="7">
        <v>0</v>
      </c>
      <c r="M3015" s="7">
        <v>0</v>
      </c>
      <c r="N3015" s="8">
        <v>2.72</v>
      </c>
      <c r="O3015" s="8">
        <v>3.4361823873545521</v>
      </c>
      <c r="P3015" s="8">
        <v>0</v>
      </c>
      <c r="Q3015" s="8">
        <v>0</v>
      </c>
      <c r="R3015" s="8">
        <v>0</v>
      </c>
      <c r="S3015" s="8">
        <v>0</v>
      </c>
      <c r="T3015" s="5">
        <v>0</v>
      </c>
      <c r="U3015" s="5">
        <v>0</v>
      </c>
      <c r="V3015" s="5">
        <f>VLOOKUP(A3015,Planilha1!B:E,4,0)</f>
        <v>3.0503167986984403</v>
      </c>
    </row>
    <row r="3016" spans="1:22" x14ac:dyDescent="0.3">
      <c r="A3016" t="str">
        <f t="shared" si="94"/>
        <v>IOGURTESLACTALIS</v>
      </c>
      <c r="B3016" t="str">
        <f t="shared" si="95"/>
        <v>5248697IOGURTESLACTALIS</v>
      </c>
      <c r="C3016" s="5" t="s">
        <v>226</v>
      </c>
      <c r="D3016" s="5" t="s">
        <v>227</v>
      </c>
      <c r="E3016" s="5" t="s">
        <v>1722</v>
      </c>
      <c r="F3016" s="5">
        <v>5248697</v>
      </c>
      <c r="G3016" s="5" t="s">
        <v>1303</v>
      </c>
      <c r="H3016" s="5" t="s">
        <v>30</v>
      </c>
      <c r="I3016" s="5" t="s">
        <v>22</v>
      </c>
      <c r="J3016" s="5" t="s">
        <v>153</v>
      </c>
      <c r="K3016" s="6">
        <v>0</v>
      </c>
      <c r="L3016" s="7">
        <v>4.08</v>
      </c>
      <c r="M3016" s="7">
        <v>0</v>
      </c>
      <c r="N3016" s="8">
        <v>2.72</v>
      </c>
      <c r="O3016" s="8">
        <v>5.7497645586081978</v>
      </c>
      <c r="P3016" s="8">
        <v>0</v>
      </c>
      <c r="Q3016" s="8">
        <v>0</v>
      </c>
      <c r="R3016" s="8">
        <v>0</v>
      </c>
      <c r="S3016" s="8">
        <v>0</v>
      </c>
      <c r="T3016" s="5">
        <v>0</v>
      </c>
      <c r="U3016" s="5">
        <v>0</v>
      </c>
      <c r="V3016" s="5">
        <f>VLOOKUP(A3016,Planilha1!B:E,4,0)</f>
        <v>3.0503167986984403</v>
      </c>
    </row>
    <row r="3017" spans="1:22" x14ac:dyDescent="0.3">
      <c r="A3017" t="str">
        <f t="shared" si="94"/>
        <v>IOGURTESLACTALIS</v>
      </c>
      <c r="B3017" t="str">
        <f t="shared" si="95"/>
        <v>5248870IOGURTESLACTALIS</v>
      </c>
      <c r="C3017" s="5" t="s">
        <v>226</v>
      </c>
      <c r="D3017" s="5" t="s">
        <v>227</v>
      </c>
      <c r="E3017" s="5" t="s">
        <v>1722</v>
      </c>
      <c r="F3017" s="5">
        <v>5248870</v>
      </c>
      <c r="G3017" s="5" t="s">
        <v>578</v>
      </c>
      <c r="H3017" s="5" t="s">
        <v>30</v>
      </c>
      <c r="I3017" s="5" t="s">
        <v>22</v>
      </c>
      <c r="J3017" s="5" t="s">
        <v>153</v>
      </c>
      <c r="K3017" s="6">
        <v>0</v>
      </c>
      <c r="L3017" s="7">
        <v>82.800000000000011</v>
      </c>
      <c r="M3017" s="7">
        <v>0</v>
      </c>
      <c r="N3017" s="8">
        <v>76.666666666666671</v>
      </c>
      <c r="O3017" s="8">
        <v>65.595183185469736</v>
      </c>
      <c r="P3017" s="8">
        <v>0</v>
      </c>
      <c r="Q3017" s="8">
        <v>0</v>
      </c>
      <c r="R3017" s="8">
        <v>0</v>
      </c>
      <c r="S3017" s="8">
        <v>0</v>
      </c>
      <c r="T3017" s="5">
        <v>0</v>
      </c>
      <c r="U3017" s="5">
        <v>0</v>
      </c>
      <c r="V3017" s="5">
        <f>VLOOKUP(A3017,Planilha1!B:E,4,0)</f>
        <v>3.0503167986984403</v>
      </c>
    </row>
    <row r="3018" spans="1:22" x14ac:dyDescent="0.3">
      <c r="A3018" t="str">
        <f t="shared" si="94"/>
        <v>IOGURTESLACTALIS</v>
      </c>
      <c r="B3018" t="str">
        <f t="shared" si="95"/>
        <v>5252388IOGURTESLACTALIS</v>
      </c>
      <c r="C3018" s="5" t="s">
        <v>226</v>
      </c>
      <c r="D3018" s="5" t="s">
        <v>227</v>
      </c>
      <c r="E3018" s="5" t="s">
        <v>1722</v>
      </c>
      <c r="F3018" s="5">
        <v>5252388</v>
      </c>
      <c r="G3018" s="5" t="s">
        <v>272</v>
      </c>
      <c r="H3018" s="5" t="s">
        <v>30</v>
      </c>
      <c r="I3018" s="5" t="s">
        <v>22</v>
      </c>
      <c r="J3018" s="5" t="s">
        <v>153</v>
      </c>
      <c r="K3018" s="6">
        <v>0</v>
      </c>
      <c r="L3018" s="7">
        <v>55.2</v>
      </c>
      <c r="M3018" s="7">
        <v>0</v>
      </c>
      <c r="N3018" s="8">
        <v>0</v>
      </c>
      <c r="O3018" s="8">
        <v>36.305004958268412</v>
      </c>
      <c r="P3018" s="8">
        <v>0</v>
      </c>
      <c r="Q3018" s="8">
        <v>0</v>
      </c>
      <c r="R3018" s="8">
        <v>0</v>
      </c>
      <c r="S3018" s="8">
        <v>0</v>
      </c>
      <c r="T3018" s="5">
        <v>0</v>
      </c>
      <c r="U3018" s="5">
        <v>0</v>
      </c>
      <c r="V3018" s="5">
        <f>VLOOKUP(A3018,Planilha1!B:E,4,0)</f>
        <v>3.0503167986984403</v>
      </c>
    </row>
    <row r="3019" spans="1:22" x14ac:dyDescent="0.3">
      <c r="A3019" t="str">
        <f t="shared" si="94"/>
        <v>IOGURTESLACTALIS</v>
      </c>
      <c r="B3019" t="str">
        <f t="shared" si="95"/>
        <v>5252843IOGURTESLACTALIS</v>
      </c>
      <c r="C3019" s="5" t="s">
        <v>226</v>
      </c>
      <c r="D3019" s="5" t="s">
        <v>227</v>
      </c>
      <c r="E3019" s="5" t="s">
        <v>1722</v>
      </c>
      <c r="F3019" s="5">
        <v>5252843</v>
      </c>
      <c r="G3019" s="5" t="s">
        <v>272</v>
      </c>
      <c r="H3019" s="5" t="s">
        <v>30</v>
      </c>
      <c r="I3019" s="5" t="s">
        <v>22</v>
      </c>
      <c r="J3019" s="5" t="s">
        <v>153</v>
      </c>
      <c r="K3019" s="6">
        <v>0</v>
      </c>
      <c r="L3019" s="7">
        <v>62.319999999999993</v>
      </c>
      <c r="M3019" s="7">
        <v>0</v>
      </c>
      <c r="N3019" s="8">
        <v>0</v>
      </c>
      <c r="O3019" s="8">
        <v>27.193138229611812</v>
      </c>
      <c r="P3019" s="8">
        <v>0</v>
      </c>
      <c r="Q3019" s="8">
        <v>0</v>
      </c>
      <c r="R3019" s="8">
        <v>0</v>
      </c>
      <c r="S3019" s="8">
        <v>0</v>
      </c>
      <c r="T3019" s="5">
        <v>0</v>
      </c>
      <c r="U3019" s="5">
        <v>0</v>
      </c>
      <c r="V3019" s="5">
        <f>VLOOKUP(A3019,Planilha1!B:E,4,0)</f>
        <v>3.0503167986984403</v>
      </c>
    </row>
    <row r="3020" spans="1:22" x14ac:dyDescent="0.3">
      <c r="A3020" t="str">
        <f t="shared" si="94"/>
        <v>IOGURTESLACTALIS</v>
      </c>
      <c r="B3020" t="str">
        <f t="shared" si="95"/>
        <v>5252890IOGURTESLACTALIS</v>
      </c>
      <c r="C3020" s="5" t="s">
        <v>226</v>
      </c>
      <c r="D3020" s="5" t="s">
        <v>227</v>
      </c>
      <c r="E3020" s="5" t="s">
        <v>1722</v>
      </c>
      <c r="F3020" s="5">
        <v>5252890</v>
      </c>
      <c r="G3020" s="5" t="s">
        <v>402</v>
      </c>
      <c r="H3020" s="5" t="s">
        <v>30</v>
      </c>
      <c r="I3020" s="5" t="s">
        <v>22</v>
      </c>
      <c r="J3020" s="5" t="s">
        <v>153</v>
      </c>
      <c r="K3020" s="6">
        <v>0</v>
      </c>
      <c r="L3020" s="7">
        <v>0</v>
      </c>
      <c r="M3020" s="7">
        <v>0</v>
      </c>
      <c r="N3020" s="8">
        <v>4.08</v>
      </c>
      <c r="O3020" s="8">
        <v>3.4646747786261489</v>
      </c>
      <c r="P3020" s="8">
        <v>0</v>
      </c>
      <c r="Q3020" s="8">
        <v>8.9600000000000009</v>
      </c>
      <c r="R3020" s="8">
        <v>0</v>
      </c>
      <c r="S3020" s="8">
        <v>0</v>
      </c>
      <c r="T3020" s="5">
        <v>0</v>
      </c>
      <c r="U3020" s="5">
        <v>0</v>
      </c>
      <c r="V3020" s="5">
        <f>VLOOKUP(A3020,Planilha1!B:E,4,0)</f>
        <v>3.0503167986984403</v>
      </c>
    </row>
    <row r="3021" spans="1:22" x14ac:dyDescent="0.3">
      <c r="A3021" t="str">
        <f t="shared" si="94"/>
        <v>IOGURTESLACTALIS</v>
      </c>
      <c r="B3021" t="str">
        <f t="shared" si="95"/>
        <v>5253561IOGURTESLACTALIS</v>
      </c>
      <c r="C3021" s="5" t="s">
        <v>226</v>
      </c>
      <c r="D3021" s="5" t="s">
        <v>227</v>
      </c>
      <c r="E3021" s="5" t="s">
        <v>1722</v>
      </c>
      <c r="F3021" s="5">
        <v>5253561</v>
      </c>
      <c r="G3021" s="5" t="s">
        <v>1486</v>
      </c>
      <c r="H3021" s="5" t="s">
        <v>30</v>
      </c>
      <c r="I3021" s="5" t="s">
        <v>22</v>
      </c>
      <c r="J3021" s="5" t="s">
        <v>153</v>
      </c>
      <c r="K3021" s="6">
        <v>0</v>
      </c>
      <c r="L3021" s="7">
        <v>86.72</v>
      </c>
      <c r="M3021" s="7">
        <v>0</v>
      </c>
      <c r="N3021" s="8">
        <v>0</v>
      </c>
      <c r="O3021" s="8">
        <v>40.687134735839969</v>
      </c>
      <c r="P3021" s="8">
        <v>0</v>
      </c>
      <c r="Q3021" s="8">
        <v>0</v>
      </c>
      <c r="R3021" s="8">
        <v>0</v>
      </c>
      <c r="S3021" s="8">
        <v>0</v>
      </c>
      <c r="T3021" s="5">
        <v>0</v>
      </c>
      <c r="U3021" s="5">
        <v>0</v>
      </c>
      <c r="V3021" s="5">
        <f>VLOOKUP(A3021,Planilha1!B:E,4,0)</f>
        <v>3.0503167986984403</v>
      </c>
    </row>
    <row r="3022" spans="1:22" x14ac:dyDescent="0.3">
      <c r="A3022" t="str">
        <f t="shared" si="94"/>
        <v>IOGURTESLACTALIS</v>
      </c>
      <c r="B3022" t="str">
        <f t="shared" si="95"/>
        <v>5253709IOGURTESLACTALIS</v>
      </c>
      <c r="C3022" s="5" t="s">
        <v>226</v>
      </c>
      <c r="D3022" s="5" t="s">
        <v>227</v>
      </c>
      <c r="E3022" s="5" t="s">
        <v>1722</v>
      </c>
      <c r="F3022" s="5">
        <v>5253709</v>
      </c>
      <c r="G3022" s="5" t="s">
        <v>1081</v>
      </c>
      <c r="H3022" s="5" t="s">
        <v>30</v>
      </c>
      <c r="I3022" s="5" t="s">
        <v>22</v>
      </c>
      <c r="J3022" s="5" t="s">
        <v>153</v>
      </c>
      <c r="K3022" s="6">
        <v>0</v>
      </c>
      <c r="L3022" s="7">
        <v>177.48</v>
      </c>
      <c r="M3022" s="7">
        <v>0</v>
      </c>
      <c r="N3022" s="8">
        <v>0</v>
      </c>
      <c r="O3022" s="8">
        <v>8.0576482516075245</v>
      </c>
      <c r="P3022" s="8">
        <v>0</v>
      </c>
      <c r="Q3022" s="8">
        <v>0</v>
      </c>
      <c r="R3022" s="8">
        <v>0</v>
      </c>
      <c r="S3022" s="8">
        <v>0</v>
      </c>
      <c r="T3022" s="5">
        <v>0</v>
      </c>
      <c r="U3022" s="5">
        <v>0</v>
      </c>
      <c r="V3022" s="5">
        <f>VLOOKUP(A3022,Planilha1!B:E,4,0)</f>
        <v>3.0503167986984403</v>
      </c>
    </row>
    <row r="3023" spans="1:22" x14ac:dyDescent="0.3">
      <c r="A3023" t="str">
        <f t="shared" si="94"/>
        <v>IOGURTESLACTALIS</v>
      </c>
      <c r="B3023" t="str">
        <f t="shared" si="95"/>
        <v>5254158IOGURTESLACTALIS</v>
      </c>
      <c r="C3023" s="5" t="s">
        <v>226</v>
      </c>
      <c r="D3023" s="5" t="s">
        <v>227</v>
      </c>
      <c r="E3023" s="5" t="s">
        <v>1722</v>
      </c>
      <c r="F3023" s="5">
        <v>5254158</v>
      </c>
      <c r="G3023" s="5" t="s">
        <v>585</v>
      </c>
      <c r="H3023" s="5" t="s">
        <v>30</v>
      </c>
      <c r="I3023" s="5" t="s">
        <v>22</v>
      </c>
      <c r="J3023" s="5" t="s">
        <v>153</v>
      </c>
      <c r="K3023" s="6">
        <v>0</v>
      </c>
      <c r="L3023" s="7">
        <v>11.280000000000001</v>
      </c>
      <c r="M3023" s="7">
        <v>0</v>
      </c>
      <c r="N3023" s="8">
        <v>0</v>
      </c>
      <c r="O3023" s="8">
        <v>13.727634114655251</v>
      </c>
      <c r="P3023" s="8">
        <v>0</v>
      </c>
      <c r="Q3023" s="8">
        <v>0</v>
      </c>
      <c r="R3023" s="8">
        <v>0</v>
      </c>
      <c r="S3023" s="8">
        <v>0</v>
      </c>
      <c r="T3023" s="5">
        <v>0</v>
      </c>
      <c r="U3023" s="5">
        <v>0</v>
      </c>
      <c r="V3023" s="5">
        <f>VLOOKUP(A3023,Planilha1!B:E,4,0)</f>
        <v>3.0503167986984403</v>
      </c>
    </row>
    <row r="3024" spans="1:22" x14ac:dyDescent="0.3">
      <c r="A3024" t="str">
        <f t="shared" si="94"/>
        <v>IOGURTESLACTALIS</v>
      </c>
      <c r="B3024" t="str">
        <f t="shared" si="95"/>
        <v>5255022IOGURTESLACTALIS</v>
      </c>
      <c r="C3024" s="5" t="s">
        <v>226</v>
      </c>
      <c r="D3024" s="5" t="s">
        <v>227</v>
      </c>
      <c r="E3024" s="5" t="s">
        <v>1722</v>
      </c>
      <c r="F3024" s="5">
        <v>5255022</v>
      </c>
      <c r="G3024" s="5" t="s">
        <v>276</v>
      </c>
      <c r="H3024" s="5" t="s">
        <v>30</v>
      </c>
      <c r="I3024" s="5" t="s">
        <v>22</v>
      </c>
      <c r="J3024" s="5" t="s">
        <v>153</v>
      </c>
      <c r="K3024" s="6">
        <v>0</v>
      </c>
      <c r="L3024" s="7">
        <v>0</v>
      </c>
      <c r="M3024" s="7">
        <v>0</v>
      </c>
      <c r="N3024" s="8">
        <v>0</v>
      </c>
      <c r="O3024" s="8">
        <v>4.3365419515370052</v>
      </c>
      <c r="P3024" s="8">
        <v>0</v>
      </c>
      <c r="Q3024" s="8">
        <v>0</v>
      </c>
      <c r="R3024" s="8">
        <v>0</v>
      </c>
      <c r="S3024" s="8">
        <v>0</v>
      </c>
      <c r="T3024" s="5">
        <v>0</v>
      </c>
      <c r="U3024" s="5">
        <v>0</v>
      </c>
      <c r="V3024" s="5">
        <f>VLOOKUP(A3024,Planilha1!B:E,4,0)</f>
        <v>3.0503167986984403</v>
      </c>
    </row>
    <row r="3025" spans="1:22" x14ac:dyDescent="0.3">
      <c r="A3025" t="str">
        <f t="shared" si="94"/>
        <v>IOGURTESLACTALIS</v>
      </c>
      <c r="B3025" t="str">
        <f t="shared" si="95"/>
        <v>5255030IOGURTESLACTALIS</v>
      </c>
      <c r="C3025" s="5" t="s">
        <v>226</v>
      </c>
      <c r="D3025" s="5" t="s">
        <v>227</v>
      </c>
      <c r="E3025" s="5" t="s">
        <v>1722</v>
      </c>
      <c r="F3025" s="5">
        <v>5255030</v>
      </c>
      <c r="G3025" s="5" t="s">
        <v>1151</v>
      </c>
      <c r="H3025" s="5" t="s">
        <v>30</v>
      </c>
      <c r="I3025" s="5" t="s">
        <v>22</v>
      </c>
      <c r="J3025" s="5" t="s">
        <v>153</v>
      </c>
      <c r="K3025" s="6">
        <v>0</v>
      </c>
      <c r="L3025" s="7">
        <v>28.8</v>
      </c>
      <c r="M3025" s="7">
        <v>0</v>
      </c>
      <c r="N3025" s="8">
        <v>35.840000000000003</v>
      </c>
      <c r="O3025" s="8">
        <v>56.984782543193226</v>
      </c>
      <c r="P3025" s="8">
        <v>0</v>
      </c>
      <c r="Q3025" s="8">
        <v>0</v>
      </c>
      <c r="R3025" s="8">
        <v>0</v>
      </c>
      <c r="S3025" s="8">
        <v>0</v>
      </c>
      <c r="T3025" s="5">
        <v>0</v>
      </c>
      <c r="U3025" s="5">
        <v>0</v>
      </c>
      <c r="V3025" s="5">
        <f>VLOOKUP(A3025,Planilha1!B:E,4,0)</f>
        <v>3.0503167986984403</v>
      </c>
    </row>
    <row r="3026" spans="1:22" x14ac:dyDescent="0.3">
      <c r="A3026" t="str">
        <f t="shared" si="94"/>
        <v>IOGURTESLACTALIS</v>
      </c>
      <c r="B3026" t="str">
        <f t="shared" si="95"/>
        <v>5257756IOGURTESLACTALIS</v>
      </c>
      <c r="C3026" s="5" t="s">
        <v>226</v>
      </c>
      <c r="D3026" s="5" t="s">
        <v>227</v>
      </c>
      <c r="E3026" s="5" t="s">
        <v>1722</v>
      </c>
      <c r="F3026" s="5">
        <v>5257756</v>
      </c>
      <c r="G3026" s="5" t="s">
        <v>1152</v>
      </c>
      <c r="H3026" s="5" t="s">
        <v>30</v>
      </c>
      <c r="I3026" s="5" t="s">
        <v>22</v>
      </c>
      <c r="J3026" s="5" t="s">
        <v>153</v>
      </c>
      <c r="K3026" s="6">
        <v>0</v>
      </c>
      <c r="L3026" s="7">
        <v>21.6</v>
      </c>
      <c r="M3026" s="7">
        <v>0</v>
      </c>
      <c r="N3026" s="8">
        <v>0</v>
      </c>
      <c r="O3026" s="8">
        <v>12.109266290428563</v>
      </c>
      <c r="P3026" s="8">
        <v>0</v>
      </c>
      <c r="Q3026" s="8">
        <v>0</v>
      </c>
      <c r="R3026" s="8">
        <v>0</v>
      </c>
      <c r="S3026" s="8">
        <v>0</v>
      </c>
      <c r="T3026" s="5">
        <v>0</v>
      </c>
      <c r="U3026" s="5">
        <v>0</v>
      </c>
      <c r="V3026" s="5">
        <f>VLOOKUP(A3026,Planilha1!B:E,4,0)</f>
        <v>3.0503167986984403</v>
      </c>
    </row>
    <row r="3027" spans="1:22" x14ac:dyDescent="0.3">
      <c r="A3027" t="str">
        <f t="shared" si="94"/>
        <v>IOGURTESLACTALIS</v>
      </c>
      <c r="B3027" t="str">
        <f t="shared" si="95"/>
        <v>5260901IOGURTESLACTALIS</v>
      </c>
      <c r="C3027" s="5" t="s">
        <v>149</v>
      </c>
      <c r="D3027" s="5" t="s">
        <v>150</v>
      </c>
      <c r="E3027" s="5" t="s">
        <v>151</v>
      </c>
      <c r="F3027" s="5">
        <v>5260901</v>
      </c>
      <c r="G3027" s="5" t="s">
        <v>1487</v>
      </c>
      <c r="H3027" s="5" t="s">
        <v>30</v>
      </c>
      <c r="I3027" s="5" t="s">
        <v>22</v>
      </c>
      <c r="J3027" s="5" t="s">
        <v>153</v>
      </c>
      <c r="K3027" s="6">
        <v>0</v>
      </c>
      <c r="L3027" s="7">
        <v>0</v>
      </c>
      <c r="M3027" s="7">
        <v>0</v>
      </c>
      <c r="N3027" s="8">
        <v>0</v>
      </c>
      <c r="O3027" s="8">
        <v>6.4791697751610702</v>
      </c>
      <c r="P3027" s="8">
        <v>0</v>
      </c>
      <c r="Q3027" s="8">
        <v>0</v>
      </c>
      <c r="R3027" s="8">
        <v>0</v>
      </c>
      <c r="S3027" s="8">
        <v>0</v>
      </c>
      <c r="T3027" s="5">
        <v>0</v>
      </c>
      <c r="U3027" s="5">
        <v>0</v>
      </c>
      <c r="V3027" s="5">
        <f>VLOOKUP(A3027,Planilha1!B:E,4,0)</f>
        <v>3.0503167986984403</v>
      </c>
    </row>
    <row r="3028" spans="1:22" x14ac:dyDescent="0.3">
      <c r="A3028" t="str">
        <f t="shared" si="94"/>
        <v>IOGURTESLACTALIS</v>
      </c>
      <c r="B3028" t="str">
        <f t="shared" si="95"/>
        <v>5261411IOGURTESLACTALIS</v>
      </c>
      <c r="C3028" s="5" t="s">
        <v>149</v>
      </c>
      <c r="D3028" s="5" t="s">
        <v>150</v>
      </c>
      <c r="E3028" s="5" t="s">
        <v>151</v>
      </c>
      <c r="F3028" s="5">
        <v>5261411</v>
      </c>
      <c r="G3028" s="5" t="s">
        <v>1488</v>
      </c>
      <c r="H3028" s="5" t="s">
        <v>30</v>
      </c>
      <c r="I3028" s="5" t="s">
        <v>22</v>
      </c>
      <c r="J3028" s="5" t="s">
        <v>153</v>
      </c>
      <c r="K3028" s="6">
        <v>0</v>
      </c>
      <c r="L3028" s="7">
        <v>24</v>
      </c>
      <c r="M3028" s="7">
        <v>0</v>
      </c>
      <c r="N3028" s="8">
        <v>0</v>
      </c>
      <c r="O3028" s="8">
        <v>12.559446072519789</v>
      </c>
      <c r="P3028" s="8">
        <v>0</v>
      </c>
      <c r="Q3028" s="8">
        <v>0</v>
      </c>
      <c r="R3028" s="8">
        <v>0</v>
      </c>
      <c r="S3028" s="8">
        <v>0</v>
      </c>
      <c r="T3028" s="5">
        <v>0</v>
      </c>
      <c r="U3028" s="5">
        <v>0</v>
      </c>
      <c r="V3028" s="5">
        <f>VLOOKUP(A3028,Planilha1!B:E,4,0)</f>
        <v>3.0503167986984403</v>
      </c>
    </row>
    <row r="3029" spans="1:22" x14ac:dyDescent="0.3">
      <c r="A3029" t="str">
        <f t="shared" si="94"/>
        <v>IOGURTESLACTALIS</v>
      </c>
      <c r="B3029" t="str">
        <f t="shared" si="95"/>
        <v>5262129IOGURTESLACTALIS</v>
      </c>
      <c r="C3029" s="5" t="s">
        <v>226</v>
      </c>
      <c r="D3029" s="5" t="s">
        <v>227</v>
      </c>
      <c r="E3029" s="5" t="s">
        <v>1722</v>
      </c>
      <c r="F3029" s="5">
        <v>5262129</v>
      </c>
      <c r="G3029" s="5" t="s">
        <v>595</v>
      </c>
      <c r="H3029" s="5" t="s">
        <v>30</v>
      </c>
      <c r="I3029" s="5" t="s">
        <v>22</v>
      </c>
      <c r="J3029" s="5" t="s">
        <v>153</v>
      </c>
      <c r="K3029" s="6">
        <v>0</v>
      </c>
      <c r="L3029" s="7">
        <v>4.08</v>
      </c>
      <c r="M3029" s="7">
        <v>0</v>
      </c>
      <c r="N3029" s="8">
        <v>1.36</v>
      </c>
      <c r="O3029" s="8">
        <v>4.7810232553739125</v>
      </c>
      <c r="P3029" s="8">
        <v>0</v>
      </c>
      <c r="Q3029" s="8">
        <v>0</v>
      </c>
      <c r="R3029" s="8">
        <v>0</v>
      </c>
      <c r="S3029" s="8">
        <v>0</v>
      </c>
      <c r="T3029" s="5">
        <v>0</v>
      </c>
      <c r="U3029" s="5">
        <v>0</v>
      </c>
      <c r="V3029" s="5">
        <f>VLOOKUP(A3029,Planilha1!B:E,4,0)</f>
        <v>3.0503167986984403</v>
      </c>
    </row>
    <row r="3030" spans="1:22" x14ac:dyDescent="0.3">
      <c r="A3030" t="str">
        <f t="shared" si="94"/>
        <v>IOGURTESLACTALIS</v>
      </c>
      <c r="B3030" t="str">
        <f t="shared" si="95"/>
        <v>5263054IOGURTESLACTALIS</v>
      </c>
      <c r="C3030" s="5" t="s">
        <v>149</v>
      </c>
      <c r="D3030" s="5" t="s">
        <v>150</v>
      </c>
      <c r="E3030" s="5" t="s">
        <v>151</v>
      </c>
      <c r="F3030" s="5">
        <v>5263054</v>
      </c>
      <c r="G3030" s="5" t="s">
        <v>1489</v>
      </c>
      <c r="H3030" s="5" t="s">
        <v>30</v>
      </c>
      <c r="I3030" s="5" t="s">
        <v>22</v>
      </c>
      <c r="J3030" s="5" t="s">
        <v>153</v>
      </c>
      <c r="K3030" s="6">
        <v>0</v>
      </c>
      <c r="L3030" s="7">
        <v>48</v>
      </c>
      <c r="M3030" s="7">
        <v>0</v>
      </c>
      <c r="N3030" s="8">
        <v>32</v>
      </c>
      <c r="O3030" s="8">
        <v>33.495655178888981</v>
      </c>
      <c r="P3030" s="8">
        <v>0</v>
      </c>
      <c r="Q3030" s="8">
        <v>48</v>
      </c>
      <c r="R3030" s="8">
        <v>0</v>
      </c>
      <c r="S3030" s="8">
        <v>0</v>
      </c>
      <c r="T3030" s="5">
        <v>0</v>
      </c>
      <c r="U3030" s="5">
        <v>0</v>
      </c>
      <c r="V3030" s="5">
        <f>VLOOKUP(A3030,Planilha1!B:E,4,0)</f>
        <v>3.0503167986984403</v>
      </c>
    </row>
    <row r="3031" spans="1:22" x14ac:dyDescent="0.3">
      <c r="A3031" t="str">
        <f t="shared" si="94"/>
        <v>IOGURTESLACTALIS</v>
      </c>
      <c r="B3031" t="str">
        <f t="shared" si="95"/>
        <v>5263126IOGURTESLACTALIS</v>
      </c>
      <c r="C3031" s="5" t="s">
        <v>226</v>
      </c>
      <c r="D3031" s="5" t="s">
        <v>227</v>
      </c>
      <c r="E3031" s="5" t="s">
        <v>1722</v>
      </c>
      <c r="F3031" s="5">
        <v>5263126</v>
      </c>
      <c r="G3031" s="5" t="s">
        <v>1317</v>
      </c>
      <c r="H3031" s="5" t="s">
        <v>30</v>
      </c>
      <c r="I3031" s="5" t="s">
        <v>22</v>
      </c>
      <c r="J3031" s="5" t="s">
        <v>153</v>
      </c>
      <c r="K3031" s="6">
        <v>0</v>
      </c>
      <c r="L3031" s="7">
        <v>0</v>
      </c>
      <c r="M3031" s="7">
        <v>0</v>
      </c>
      <c r="N3031" s="8">
        <v>0</v>
      </c>
      <c r="O3031" s="8">
        <v>4.8608019509343823</v>
      </c>
      <c r="P3031" s="8">
        <v>0</v>
      </c>
      <c r="Q3031" s="8">
        <v>0</v>
      </c>
      <c r="R3031" s="8">
        <v>0</v>
      </c>
      <c r="S3031" s="8">
        <v>0</v>
      </c>
      <c r="T3031" s="5">
        <v>0</v>
      </c>
      <c r="U3031" s="5">
        <v>0</v>
      </c>
      <c r="V3031" s="5">
        <f>VLOOKUP(A3031,Planilha1!B:E,4,0)</f>
        <v>3.0503167986984403</v>
      </c>
    </row>
    <row r="3032" spans="1:22" x14ac:dyDescent="0.3">
      <c r="A3032" t="str">
        <f t="shared" si="94"/>
        <v>IOGURTESLACTALIS</v>
      </c>
      <c r="B3032" t="str">
        <f t="shared" si="95"/>
        <v>5263281IOGURTESLACTALIS</v>
      </c>
      <c r="C3032" s="5" t="s">
        <v>226</v>
      </c>
      <c r="D3032" s="5" t="s">
        <v>227</v>
      </c>
      <c r="E3032" s="5" t="s">
        <v>1722</v>
      </c>
      <c r="F3032" s="5">
        <v>5263281</v>
      </c>
      <c r="G3032" s="5" t="s">
        <v>288</v>
      </c>
      <c r="H3032" s="5" t="s">
        <v>30</v>
      </c>
      <c r="I3032" s="5" t="s">
        <v>22</v>
      </c>
      <c r="J3032" s="5" t="s">
        <v>153</v>
      </c>
      <c r="K3032" s="6">
        <v>0</v>
      </c>
      <c r="L3032" s="7">
        <v>0</v>
      </c>
      <c r="M3032" s="7">
        <v>0</v>
      </c>
      <c r="N3032" s="8">
        <v>0</v>
      </c>
      <c r="O3032" s="8">
        <v>19.78511649899669</v>
      </c>
      <c r="P3032" s="8">
        <v>0</v>
      </c>
      <c r="Q3032" s="8">
        <v>48.599999999999994</v>
      </c>
      <c r="R3032" s="8">
        <v>0</v>
      </c>
      <c r="S3032" s="8">
        <v>0</v>
      </c>
      <c r="T3032" s="5">
        <v>0</v>
      </c>
      <c r="U3032" s="5">
        <v>0</v>
      </c>
      <c r="V3032" s="5">
        <f>VLOOKUP(A3032,Planilha1!B:E,4,0)</f>
        <v>3.0503167986984403</v>
      </c>
    </row>
    <row r="3033" spans="1:22" x14ac:dyDescent="0.3">
      <c r="A3033" t="str">
        <f t="shared" si="94"/>
        <v>IOGURTESLACTALIS</v>
      </c>
      <c r="B3033" t="str">
        <f t="shared" si="95"/>
        <v>5263659IOGURTESLACTALIS</v>
      </c>
      <c r="C3033" s="5" t="s">
        <v>226</v>
      </c>
      <c r="D3033" s="5" t="s">
        <v>227</v>
      </c>
      <c r="E3033" s="5" t="s">
        <v>1722</v>
      </c>
      <c r="F3033" s="5">
        <v>5263659</v>
      </c>
      <c r="G3033" s="5" t="s">
        <v>1320</v>
      </c>
      <c r="H3033" s="5" t="s">
        <v>30</v>
      </c>
      <c r="I3033" s="5" t="s">
        <v>22</v>
      </c>
      <c r="J3033" s="5" t="s">
        <v>153</v>
      </c>
      <c r="K3033" s="6">
        <v>0</v>
      </c>
      <c r="L3033" s="7">
        <v>20.399999999999999</v>
      </c>
      <c r="M3033" s="7">
        <v>0</v>
      </c>
      <c r="N3033" s="8">
        <v>24.48</v>
      </c>
      <c r="O3033" s="8">
        <v>38.100025608378999</v>
      </c>
      <c r="P3033" s="8">
        <v>0</v>
      </c>
      <c r="Q3033" s="8">
        <v>0</v>
      </c>
      <c r="R3033" s="8">
        <v>0</v>
      </c>
      <c r="S3033" s="8">
        <v>0</v>
      </c>
      <c r="T3033" s="5">
        <v>0</v>
      </c>
      <c r="U3033" s="5">
        <v>0</v>
      </c>
      <c r="V3033" s="5">
        <f>VLOOKUP(A3033,Planilha1!B:E,4,0)</f>
        <v>3.0503167986984403</v>
      </c>
    </row>
    <row r="3034" spans="1:22" x14ac:dyDescent="0.3">
      <c r="A3034" t="str">
        <f t="shared" si="94"/>
        <v>IOGURTESLACTALIS</v>
      </c>
      <c r="B3034" t="str">
        <f t="shared" si="95"/>
        <v>5264124IOGURTESLACTALIS</v>
      </c>
      <c r="C3034" s="5" t="s">
        <v>226</v>
      </c>
      <c r="D3034" s="5" t="s">
        <v>227</v>
      </c>
      <c r="E3034" s="5" t="s">
        <v>1722</v>
      </c>
      <c r="F3034" s="5">
        <v>5264124</v>
      </c>
      <c r="G3034" s="5" t="s">
        <v>295</v>
      </c>
      <c r="H3034" s="5" t="s">
        <v>30</v>
      </c>
      <c r="I3034" s="5" t="s">
        <v>22</v>
      </c>
      <c r="J3034" s="5" t="s">
        <v>153</v>
      </c>
      <c r="K3034" s="6">
        <v>0</v>
      </c>
      <c r="L3034" s="7">
        <v>0</v>
      </c>
      <c r="M3034" s="7">
        <v>0</v>
      </c>
      <c r="N3034" s="8">
        <v>0</v>
      </c>
      <c r="O3034" s="8">
        <v>41.262681039526221</v>
      </c>
      <c r="P3034" s="8">
        <v>0</v>
      </c>
      <c r="Q3034" s="8">
        <v>0</v>
      </c>
      <c r="R3034" s="8">
        <v>0</v>
      </c>
      <c r="S3034" s="8">
        <v>0</v>
      </c>
      <c r="T3034" s="5">
        <v>0</v>
      </c>
      <c r="U3034" s="5">
        <v>0</v>
      </c>
      <c r="V3034" s="5">
        <f>VLOOKUP(A3034,Planilha1!B:E,4,0)</f>
        <v>3.0503167986984403</v>
      </c>
    </row>
    <row r="3035" spans="1:22" x14ac:dyDescent="0.3">
      <c r="A3035" t="str">
        <f t="shared" si="94"/>
        <v>IOGURTESLACTALIS</v>
      </c>
      <c r="B3035" t="str">
        <f t="shared" si="95"/>
        <v>5264847IOGURTESLACTALIS</v>
      </c>
      <c r="C3035" s="5" t="s">
        <v>226</v>
      </c>
      <c r="D3035" s="5" t="s">
        <v>227</v>
      </c>
      <c r="E3035" s="5" t="s">
        <v>1722</v>
      </c>
      <c r="F3035" s="5">
        <v>5264847</v>
      </c>
      <c r="G3035" s="5" t="s">
        <v>1116</v>
      </c>
      <c r="H3035" s="5" t="s">
        <v>30</v>
      </c>
      <c r="I3035" s="5" t="s">
        <v>22</v>
      </c>
      <c r="J3035" s="5" t="s">
        <v>153</v>
      </c>
      <c r="K3035" s="6">
        <v>0</v>
      </c>
      <c r="L3035" s="7">
        <v>16.32</v>
      </c>
      <c r="M3035" s="7">
        <v>0</v>
      </c>
      <c r="N3035" s="8">
        <v>0</v>
      </c>
      <c r="O3035" s="8">
        <v>2.3078836929993258</v>
      </c>
      <c r="P3035" s="8">
        <v>0</v>
      </c>
      <c r="Q3035" s="8">
        <v>0</v>
      </c>
      <c r="R3035" s="8">
        <v>0</v>
      </c>
      <c r="S3035" s="8">
        <v>0</v>
      </c>
      <c r="T3035" s="5">
        <v>0</v>
      </c>
      <c r="U3035" s="5">
        <v>0</v>
      </c>
      <c r="V3035" s="5">
        <f>VLOOKUP(A3035,Planilha1!B:E,4,0)</f>
        <v>3.0503167986984403</v>
      </c>
    </row>
    <row r="3036" spans="1:22" x14ac:dyDescent="0.3">
      <c r="A3036" t="str">
        <f t="shared" si="94"/>
        <v>IOGURTESLACTALIS</v>
      </c>
      <c r="B3036" t="str">
        <f t="shared" si="95"/>
        <v>5265320IOGURTESLACTALIS</v>
      </c>
      <c r="C3036" s="5" t="s">
        <v>226</v>
      </c>
      <c r="D3036" s="5" t="s">
        <v>227</v>
      </c>
      <c r="E3036" s="5" t="s">
        <v>1722</v>
      </c>
      <c r="F3036" s="5">
        <v>5265320</v>
      </c>
      <c r="G3036" s="5" t="s">
        <v>607</v>
      </c>
      <c r="H3036" s="5" t="s">
        <v>30</v>
      </c>
      <c r="I3036" s="5" t="s">
        <v>22</v>
      </c>
      <c r="J3036" s="5" t="s">
        <v>153</v>
      </c>
      <c r="K3036" s="6">
        <v>0</v>
      </c>
      <c r="L3036" s="7">
        <v>0</v>
      </c>
      <c r="M3036" s="7">
        <v>0</v>
      </c>
      <c r="N3036" s="8">
        <v>0</v>
      </c>
      <c r="O3036" s="8">
        <v>6.0517839060871212</v>
      </c>
      <c r="P3036" s="8">
        <v>0</v>
      </c>
      <c r="Q3036" s="8">
        <v>0</v>
      </c>
      <c r="R3036" s="8">
        <v>0</v>
      </c>
      <c r="S3036" s="8">
        <v>0</v>
      </c>
      <c r="T3036" s="5">
        <v>0</v>
      </c>
      <c r="U3036" s="5">
        <v>0</v>
      </c>
      <c r="V3036" s="5">
        <f>VLOOKUP(A3036,Planilha1!B:E,4,0)</f>
        <v>3.0503167986984403</v>
      </c>
    </row>
    <row r="3037" spans="1:22" x14ac:dyDescent="0.3">
      <c r="A3037" t="str">
        <f t="shared" si="94"/>
        <v>IOGURTESLACTALIS</v>
      </c>
      <c r="B3037" t="str">
        <f t="shared" si="95"/>
        <v>5265511IOGURTESLACTALIS</v>
      </c>
      <c r="C3037" s="5" t="s">
        <v>226</v>
      </c>
      <c r="D3037" s="5" t="s">
        <v>227</v>
      </c>
      <c r="E3037" s="5" t="s">
        <v>1722</v>
      </c>
      <c r="F3037" s="5">
        <v>5265511</v>
      </c>
      <c r="G3037" s="5" t="s">
        <v>423</v>
      </c>
      <c r="H3037" s="5" t="s">
        <v>30</v>
      </c>
      <c r="I3037" s="5" t="s">
        <v>22</v>
      </c>
      <c r="J3037" s="5" t="s">
        <v>153</v>
      </c>
      <c r="K3037" s="6">
        <v>0</v>
      </c>
      <c r="L3037" s="7">
        <v>0</v>
      </c>
      <c r="M3037" s="7">
        <v>0</v>
      </c>
      <c r="N3037" s="8">
        <v>0</v>
      </c>
      <c r="O3037" s="8">
        <v>0.6838173905183188</v>
      </c>
      <c r="P3037" s="8">
        <v>0</v>
      </c>
      <c r="Q3037" s="8">
        <v>0</v>
      </c>
      <c r="R3037" s="8">
        <v>0</v>
      </c>
      <c r="S3037" s="8">
        <v>0</v>
      </c>
      <c r="T3037" s="5">
        <v>0</v>
      </c>
      <c r="U3037" s="5">
        <v>0</v>
      </c>
      <c r="V3037" s="5">
        <f>VLOOKUP(A3037,Planilha1!B:E,4,0)</f>
        <v>3.0503167986984403</v>
      </c>
    </row>
    <row r="3038" spans="1:22" x14ac:dyDescent="0.3">
      <c r="A3038" t="str">
        <f t="shared" si="94"/>
        <v>IOGURTESLACTALIS</v>
      </c>
      <c r="B3038" t="str">
        <f t="shared" si="95"/>
        <v>5265947IOGURTESLACTALIS</v>
      </c>
      <c r="C3038" s="5" t="s">
        <v>226</v>
      </c>
      <c r="D3038" s="5" t="s">
        <v>227</v>
      </c>
      <c r="E3038" s="5" t="s">
        <v>1722</v>
      </c>
      <c r="F3038" s="5">
        <v>5265947</v>
      </c>
      <c r="G3038" s="5" t="s">
        <v>425</v>
      </c>
      <c r="H3038" s="5" t="s">
        <v>30</v>
      </c>
      <c r="I3038" s="5" t="s">
        <v>22</v>
      </c>
      <c r="J3038" s="5" t="s">
        <v>153</v>
      </c>
      <c r="K3038" s="6">
        <v>0</v>
      </c>
      <c r="L3038" s="7">
        <v>81.599999999999994</v>
      </c>
      <c r="M3038" s="7">
        <v>0</v>
      </c>
      <c r="N3038" s="8">
        <v>68</v>
      </c>
      <c r="O3038" s="8">
        <v>92.360935546007596</v>
      </c>
      <c r="P3038" s="8">
        <v>0</v>
      </c>
      <c r="Q3038" s="8">
        <v>0</v>
      </c>
      <c r="R3038" s="8">
        <v>0</v>
      </c>
      <c r="S3038" s="8">
        <v>0</v>
      </c>
      <c r="T3038" s="5">
        <v>0</v>
      </c>
      <c r="U3038" s="5">
        <v>0</v>
      </c>
      <c r="V3038" s="5">
        <f>VLOOKUP(A3038,Planilha1!B:E,4,0)</f>
        <v>3.0503167986984403</v>
      </c>
    </row>
    <row r="3039" spans="1:22" x14ac:dyDescent="0.3">
      <c r="A3039" t="str">
        <f t="shared" si="94"/>
        <v>IOGURTESLACTALIS</v>
      </c>
      <c r="B3039" t="str">
        <f t="shared" si="95"/>
        <v>5266993IOGURTESLACTALIS</v>
      </c>
      <c r="C3039" s="5" t="s">
        <v>226</v>
      </c>
      <c r="D3039" s="5" t="s">
        <v>227</v>
      </c>
      <c r="E3039" s="5" t="s">
        <v>1722</v>
      </c>
      <c r="F3039" s="5">
        <v>5266993</v>
      </c>
      <c r="G3039" s="5" t="s">
        <v>272</v>
      </c>
      <c r="H3039" s="5" t="s">
        <v>30</v>
      </c>
      <c r="I3039" s="5" t="s">
        <v>22</v>
      </c>
      <c r="J3039" s="5" t="s">
        <v>153</v>
      </c>
      <c r="K3039" s="6">
        <v>0</v>
      </c>
      <c r="L3039" s="7">
        <v>0</v>
      </c>
      <c r="M3039" s="7">
        <v>0</v>
      </c>
      <c r="N3039" s="8">
        <v>0</v>
      </c>
      <c r="O3039" s="8">
        <v>30.948435399208247</v>
      </c>
      <c r="P3039" s="8">
        <v>0</v>
      </c>
      <c r="Q3039" s="8">
        <v>0</v>
      </c>
      <c r="R3039" s="8">
        <v>0</v>
      </c>
      <c r="S3039" s="8">
        <v>0</v>
      </c>
      <c r="T3039" s="5">
        <v>0</v>
      </c>
      <c r="U3039" s="5">
        <v>0</v>
      </c>
      <c r="V3039" s="5">
        <f>VLOOKUP(A3039,Planilha1!B:E,4,0)</f>
        <v>3.0503167986984403</v>
      </c>
    </row>
    <row r="3040" spans="1:22" x14ac:dyDescent="0.3">
      <c r="A3040" t="str">
        <f t="shared" si="94"/>
        <v>IOGURTESLACTALIS</v>
      </c>
      <c r="B3040" t="str">
        <f t="shared" si="95"/>
        <v>5267879IOGURTESLACTALIS</v>
      </c>
      <c r="C3040" s="5" t="s">
        <v>149</v>
      </c>
      <c r="D3040" s="5" t="s">
        <v>150</v>
      </c>
      <c r="E3040" s="5" t="s">
        <v>151</v>
      </c>
      <c r="F3040" s="5">
        <v>5267879</v>
      </c>
      <c r="G3040" s="5" t="s">
        <v>1490</v>
      </c>
      <c r="H3040" s="5" t="s">
        <v>30</v>
      </c>
      <c r="I3040" s="5" t="s">
        <v>22</v>
      </c>
      <c r="J3040" s="5" t="s">
        <v>153</v>
      </c>
      <c r="K3040" s="6">
        <v>0</v>
      </c>
      <c r="L3040" s="7">
        <v>19.2</v>
      </c>
      <c r="M3040" s="7">
        <v>0</v>
      </c>
      <c r="N3040" s="8">
        <v>0</v>
      </c>
      <c r="O3040" s="8">
        <v>7.5390867304644651</v>
      </c>
      <c r="P3040" s="8">
        <v>0</v>
      </c>
      <c r="Q3040" s="8">
        <v>0</v>
      </c>
      <c r="R3040" s="8">
        <v>0</v>
      </c>
      <c r="S3040" s="8">
        <v>0</v>
      </c>
      <c r="T3040" s="5">
        <v>0</v>
      </c>
      <c r="U3040" s="5">
        <v>0</v>
      </c>
      <c r="V3040" s="5">
        <f>VLOOKUP(A3040,Planilha1!B:E,4,0)</f>
        <v>3.0503167986984403</v>
      </c>
    </row>
    <row r="3041" spans="1:22" x14ac:dyDescent="0.3">
      <c r="A3041" t="str">
        <f t="shared" si="94"/>
        <v>IOGURTESLACTALIS</v>
      </c>
      <c r="B3041" t="str">
        <f t="shared" si="95"/>
        <v>5270191IOGURTESLACTALIS</v>
      </c>
      <c r="C3041" s="5" t="s">
        <v>226</v>
      </c>
      <c r="D3041" s="5" t="s">
        <v>227</v>
      </c>
      <c r="E3041" s="5" t="s">
        <v>1722</v>
      </c>
      <c r="F3041" s="5">
        <v>5270191</v>
      </c>
      <c r="G3041" s="5" t="s">
        <v>610</v>
      </c>
      <c r="H3041" s="5" t="s">
        <v>30</v>
      </c>
      <c r="I3041" s="5" t="s">
        <v>22</v>
      </c>
      <c r="J3041" s="5" t="s">
        <v>153</v>
      </c>
      <c r="K3041" s="6">
        <v>0</v>
      </c>
      <c r="L3041" s="7">
        <v>0</v>
      </c>
      <c r="M3041" s="7">
        <v>0</v>
      </c>
      <c r="N3041" s="8">
        <v>0</v>
      </c>
      <c r="O3041" s="8">
        <v>126.95069854972589</v>
      </c>
      <c r="P3041" s="8">
        <v>0</v>
      </c>
      <c r="Q3041" s="8">
        <v>0</v>
      </c>
      <c r="R3041" s="8">
        <v>0</v>
      </c>
      <c r="S3041" s="8">
        <v>0</v>
      </c>
      <c r="T3041" s="5">
        <v>0</v>
      </c>
      <c r="U3041" s="5">
        <v>0</v>
      </c>
      <c r="V3041" s="5">
        <f>VLOOKUP(A3041,Planilha1!B:E,4,0)</f>
        <v>3.0503167986984403</v>
      </c>
    </row>
    <row r="3042" spans="1:22" x14ac:dyDescent="0.3">
      <c r="A3042" t="str">
        <f t="shared" si="94"/>
        <v>IOGURTESLACTALIS</v>
      </c>
      <c r="B3042" t="str">
        <f t="shared" si="95"/>
        <v>5278660IOGURTESLACTALIS</v>
      </c>
      <c r="C3042" s="5" t="s">
        <v>226</v>
      </c>
      <c r="D3042" s="5" t="s">
        <v>227</v>
      </c>
      <c r="E3042" s="5" t="s">
        <v>1722</v>
      </c>
      <c r="F3042" s="5">
        <v>5278660</v>
      </c>
      <c r="G3042" s="5" t="s">
        <v>448</v>
      </c>
      <c r="H3042" s="5" t="s">
        <v>30</v>
      </c>
      <c r="I3042" s="5" t="s">
        <v>22</v>
      </c>
      <c r="J3042" s="5" t="s">
        <v>153</v>
      </c>
      <c r="K3042" s="6">
        <v>0</v>
      </c>
      <c r="L3042" s="7">
        <v>0</v>
      </c>
      <c r="M3042" s="7">
        <v>0</v>
      </c>
      <c r="N3042" s="8">
        <v>6.12</v>
      </c>
      <c r="O3042" s="8">
        <v>13.858699114504596</v>
      </c>
      <c r="P3042" s="8">
        <v>0</v>
      </c>
      <c r="Q3042" s="8">
        <v>0</v>
      </c>
      <c r="R3042" s="8">
        <v>0</v>
      </c>
      <c r="S3042" s="8">
        <v>0</v>
      </c>
      <c r="T3042" s="5">
        <v>0</v>
      </c>
      <c r="U3042" s="5">
        <v>0</v>
      </c>
      <c r="V3042" s="5">
        <f>VLOOKUP(A3042,Planilha1!B:E,4,0)</f>
        <v>3.0503167986984403</v>
      </c>
    </row>
    <row r="3043" spans="1:22" x14ac:dyDescent="0.3">
      <c r="A3043" t="str">
        <f t="shared" si="94"/>
        <v>IOGURTESLACTALIS</v>
      </c>
      <c r="B3043" t="str">
        <f t="shared" si="95"/>
        <v>5279013IOGURTESLACTALIS</v>
      </c>
      <c r="C3043" s="5" t="s">
        <v>226</v>
      </c>
      <c r="D3043" s="5" t="s">
        <v>227</v>
      </c>
      <c r="E3043" s="5" t="s">
        <v>1722</v>
      </c>
      <c r="F3043" s="5">
        <v>5279013</v>
      </c>
      <c r="G3043" s="5" t="s">
        <v>1329</v>
      </c>
      <c r="H3043" s="5" t="s">
        <v>30</v>
      </c>
      <c r="I3043" s="5" t="s">
        <v>22</v>
      </c>
      <c r="J3043" s="5" t="s">
        <v>153</v>
      </c>
      <c r="K3043" s="6">
        <v>0</v>
      </c>
      <c r="L3043" s="7">
        <v>0</v>
      </c>
      <c r="M3043" s="7">
        <v>0</v>
      </c>
      <c r="N3043" s="8">
        <v>0.96</v>
      </c>
      <c r="O3043" s="8">
        <v>0</v>
      </c>
      <c r="P3043" s="8">
        <v>0</v>
      </c>
      <c r="Q3043" s="8">
        <v>0</v>
      </c>
      <c r="R3043" s="8">
        <v>0</v>
      </c>
      <c r="S3043" s="8">
        <v>0</v>
      </c>
      <c r="T3043" s="5">
        <v>0</v>
      </c>
      <c r="U3043" s="5">
        <v>0</v>
      </c>
      <c r="V3043" s="5">
        <f>VLOOKUP(A3043,Planilha1!B:E,4,0)</f>
        <v>3.0503167986984403</v>
      </c>
    </row>
    <row r="3044" spans="1:22" x14ac:dyDescent="0.3">
      <c r="A3044" t="str">
        <f t="shared" si="94"/>
        <v>IOGURTESLACTALIS</v>
      </c>
      <c r="B3044" t="str">
        <f t="shared" si="95"/>
        <v>5279914IOGURTESLACTALIS</v>
      </c>
      <c r="C3044" s="5" t="s">
        <v>226</v>
      </c>
      <c r="D3044" s="5" t="s">
        <v>227</v>
      </c>
      <c r="E3044" s="5" t="s">
        <v>1722</v>
      </c>
      <c r="F3044" s="5">
        <v>5279914</v>
      </c>
      <c r="G3044" s="5" t="s">
        <v>311</v>
      </c>
      <c r="H3044" s="5" t="s">
        <v>30</v>
      </c>
      <c r="I3044" s="5" t="s">
        <v>22</v>
      </c>
      <c r="J3044" s="5" t="s">
        <v>153</v>
      </c>
      <c r="K3044" s="6">
        <v>0</v>
      </c>
      <c r="L3044" s="7">
        <v>165.24</v>
      </c>
      <c r="M3044" s="7">
        <v>0</v>
      </c>
      <c r="N3044" s="8">
        <v>48.96</v>
      </c>
      <c r="O3044" s="8">
        <v>94.873964456162426</v>
      </c>
      <c r="P3044" s="8">
        <v>0</v>
      </c>
      <c r="Q3044" s="8">
        <v>36.72</v>
      </c>
      <c r="R3044" s="8">
        <v>0</v>
      </c>
      <c r="S3044" s="8">
        <v>0</v>
      </c>
      <c r="T3044" s="5">
        <v>0</v>
      </c>
      <c r="U3044" s="5">
        <v>0</v>
      </c>
      <c r="V3044" s="5">
        <f>VLOOKUP(A3044,Planilha1!B:E,4,0)</f>
        <v>3.0503167986984403</v>
      </c>
    </row>
    <row r="3045" spans="1:22" x14ac:dyDescent="0.3">
      <c r="A3045" t="str">
        <f t="shared" si="94"/>
        <v>IOGURTESLACTALIS</v>
      </c>
      <c r="B3045" t="str">
        <f t="shared" si="95"/>
        <v>5282722IOGURTESLACTALIS</v>
      </c>
      <c r="C3045" s="5" t="s">
        <v>226</v>
      </c>
      <c r="D3045" s="5" t="s">
        <v>227</v>
      </c>
      <c r="E3045" s="5" t="s">
        <v>1722</v>
      </c>
      <c r="F3045" s="5">
        <v>5282722</v>
      </c>
      <c r="G3045" s="5" t="s">
        <v>624</v>
      </c>
      <c r="H3045" s="5" t="s">
        <v>30</v>
      </c>
      <c r="I3045" s="5" t="s">
        <v>22</v>
      </c>
      <c r="J3045" s="5" t="s">
        <v>153</v>
      </c>
      <c r="K3045" s="6">
        <v>0</v>
      </c>
      <c r="L3045" s="7">
        <v>0</v>
      </c>
      <c r="M3045" s="7">
        <v>0</v>
      </c>
      <c r="N3045" s="8">
        <v>0</v>
      </c>
      <c r="O3045" s="8">
        <v>17.055545415177736</v>
      </c>
      <c r="P3045" s="8">
        <v>0</v>
      </c>
      <c r="Q3045" s="8">
        <v>0</v>
      </c>
      <c r="R3045" s="8">
        <v>0</v>
      </c>
      <c r="S3045" s="8">
        <v>0</v>
      </c>
      <c r="T3045" s="5">
        <v>0</v>
      </c>
      <c r="U3045" s="5">
        <v>0</v>
      </c>
      <c r="V3045" s="5">
        <f>VLOOKUP(A3045,Planilha1!B:E,4,0)</f>
        <v>3.0503167986984403</v>
      </c>
    </row>
    <row r="3046" spans="1:22" x14ac:dyDescent="0.3">
      <c r="A3046" t="str">
        <f t="shared" si="94"/>
        <v>IOGURTESLACTALIS</v>
      </c>
      <c r="B3046" t="str">
        <f t="shared" si="95"/>
        <v>5286570IOGURTESLACTALIS</v>
      </c>
      <c r="C3046" s="5" t="s">
        <v>226</v>
      </c>
      <c r="D3046" s="5" t="s">
        <v>227</v>
      </c>
      <c r="E3046" s="5" t="s">
        <v>1722</v>
      </c>
      <c r="F3046" s="5">
        <v>5286570</v>
      </c>
      <c r="G3046" s="5" t="s">
        <v>1328</v>
      </c>
      <c r="H3046" s="5" t="s">
        <v>30</v>
      </c>
      <c r="I3046" s="5" t="s">
        <v>22</v>
      </c>
      <c r="J3046" s="5" t="s">
        <v>153</v>
      </c>
      <c r="K3046" s="6">
        <v>0</v>
      </c>
      <c r="L3046" s="7">
        <v>0</v>
      </c>
      <c r="M3046" s="7">
        <v>0</v>
      </c>
      <c r="N3046" s="8">
        <v>0</v>
      </c>
      <c r="O3046" s="8">
        <v>2.2850897799820484</v>
      </c>
      <c r="P3046" s="8">
        <v>0</v>
      </c>
      <c r="Q3046" s="8">
        <v>0</v>
      </c>
      <c r="R3046" s="8">
        <v>0</v>
      </c>
      <c r="S3046" s="8">
        <v>0</v>
      </c>
      <c r="T3046" s="5">
        <v>0</v>
      </c>
      <c r="U3046" s="5">
        <v>0</v>
      </c>
      <c r="V3046" s="5">
        <f>VLOOKUP(A3046,Planilha1!B:E,4,0)</f>
        <v>3.0503167986984403</v>
      </c>
    </row>
    <row r="3047" spans="1:22" x14ac:dyDescent="0.3">
      <c r="A3047" t="str">
        <f t="shared" si="94"/>
        <v>IOGURTESLACTALIS</v>
      </c>
      <c r="B3047" t="str">
        <f t="shared" si="95"/>
        <v>5288872IOGURTESLACTALIS</v>
      </c>
      <c r="C3047" s="5" t="s">
        <v>226</v>
      </c>
      <c r="D3047" s="5" t="s">
        <v>227</v>
      </c>
      <c r="E3047" s="5" t="s">
        <v>1722</v>
      </c>
      <c r="F3047" s="5">
        <v>5288872</v>
      </c>
      <c r="G3047" s="5" t="s">
        <v>1158</v>
      </c>
      <c r="H3047" s="5" t="s">
        <v>30</v>
      </c>
      <c r="I3047" s="5" t="s">
        <v>22</v>
      </c>
      <c r="J3047" s="5" t="s">
        <v>153</v>
      </c>
      <c r="K3047" s="6">
        <v>0</v>
      </c>
      <c r="L3047" s="7">
        <v>0</v>
      </c>
      <c r="M3047" s="7">
        <v>0</v>
      </c>
      <c r="N3047" s="8">
        <v>3.6</v>
      </c>
      <c r="O3047" s="8">
        <v>6.0517839060871212</v>
      </c>
      <c r="P3047" s="8">
        <v>0</v>
      </c>
      <c r="Q3047" s="8">
        <v>0</v>
      </c>
      <c r="R3047" s="8">
        <v>0</v>
      </c>
      <c r="S3047" s="8">
        <v>0</v>
      </c>
      <c r="T3047" s="5">
        <v>0</v>
      </c>
      <c r="U3047" s="5">
        <v>0</v>
      </c>
      <c r="V3047" s="5">
        <f>VLOOKUP(A3047,Planilha1!B:E,4,0)</f>
        <v>3.0503167986984403</v>
      </c>
    </row>
    <row r="3048" spans="1:22" x14ac:dyDescent="0.3">
      <c r="A3048" t="str">
        <f t="shared" si="94"/>
        <v>IOGURTESLACTALIS</v>
      </c>
      <c r="B3048" t="str">
        <f t="shared" si="95"/>
        <v>5288963IOGURTESLACTALIS</v>
      </c>
      <c r="C3048" s="5" t="s">
        <v>226</v>
      </c>
      <c r="D3048" s="5" t="s">
        <v>227</v>
      </c>
      <c r="E3048" s="5" t="s">
        <v>1722</v>
      </c>
      <c r="F3048" s="5">
        <v>5288963</v>
      </c>
      <c r="G3048" s="5" t="s">
        <v>321</v>
      </c>
      <c r="H3048" s="5" t="s">
        <v>30</v>
      </c>
      <c r="I3048" s="5" t="s">
        <v>22</v>
      </c>
      <c r="J3048" s="5" t="s">
        <v>153</v>
      </c>
      <c r="K3048" s="6">
        <v>0</v>
      </c>
      <c r="L3048" s="7">
        <v>73.599999999999994</v>
      </c>
      <c r="M3048" s="7">
        <v>0</v>
      </c>
      <c r="N3048" s="8">
        <v>0</v>
      </c>
      <c r="O3048" s="8">
        <v>25.928076057152925</v>
      </c>
      <c r="P3048" s="8">
        <v>0</v>
      </c>
      <c r="Q3048" s="8">
        <v>0</v>
      </c>
      <c r="R3048" s="8">
        <v>0</v>
      </c>
      <c r="S3048" s="8">
        <v>0</v>
      </c>
      <c r="T3048" s="5">
        <v>0</v>
      </c>
      <c r="U3048" s="5">
        <v>0</v>
      </c>
      <c r="V3048" s="5">
        <f>VLOOKUP(A3048,Planilha1!B:E,4,0)</f>
        <v>3.0503167986984403</v>
      </c>
    </row>
    <row r="3049" spans="1:22" x14ac:dyDescent="0.3">
      <c r="A3049" t="str">
        <f t="shared" si="94"/>
        <v>IOGURTESLACTALIS</v>
      </c>
      <c r="B3049" t="str">
        <f t="shared" si="95"/>
        <v>5289224IOGURTESLACTALIS</v>
      </c>
      <c r="C3049" s="5" t="s">
        <v>226</v>
      </c>
      <c r="D3049" s="5" t="s">
        <v>227</v>
      </c>
      <c r="E3049" s="5" t="s">
        <v>1722</v>
      </c>
      <c r="F3049" s="5">
        <v>5289224</v>
      </c>
      <c r="G3049" s="5" t="s">
        <v>1491</v>
      </c>
      <c r="H3049" s="5" t="s">
        <v>30</v>
      </c>
      <c r="I3049" s="5" t="s">
        <v>22</v>
      </c>
      <c r="J3049" s="5" t="s">
        <v>153</v>
      </c>
      <c r="K3049" s="6">
        <v>0</v>
      </c>
      <c r="L3049" s="7">
        <v>0</v>
      </c>
      <c r="M3049" s="7">
        <v>0</v>
      </c>
      <c r="N3049" s="8">
        <v>0</v>
      </c>
      <c r="O3049" s="8">
        <v>10.131894336179755</v>
      </c>
      <c r="P3049" s="8">
        <v>0</v>
      </c>
      <c r="Q3049" s="8">
        <v>0</v>
      </c>
      <c r="R3049" s="8">
        <v>0</v>
      </c>
      <c r="S3049" s="8">
        <v>0</v>
      </c>
      <c r="T3049" s="5">
        <v>0</v>
      </c>
      <c r="U3049" s="5">
        <v>0</v>
      </c>
      <c r="V3049" s="5">
        <f>VLOOKUP(A3049,Planilha1!B:E,4,0)</f>
        <v>3.0503167986984403</v>
      </c>
    </row>
    <row r="3050" spans="1:22" x14ac:dyDescent="0.3">
      <c r="A3050" t="str">
        <f t="shared" si="94"/>
        <v>IOGURTESLACTALIS</v>
      </c>
      <c r="B3050" t="str">
        <f t="shared" si="95"/>
        <v>5292229IOGURTESLACTALIS</v>
      </c>
      <c r="C3050" s="5" t="s">
        <v>226</v>
      </c>
      <c r="D3050" s="5" t="s">
        <v>227</v>
      </c>
      <c r="E3050" s="5" t="s">
        <v>1722</v>
      </c>
      <c r="F3050" s="5">
        <v>5292229</v>
      </c>
      <c r="G3050" s="5" t="s">
        <v>325</v>
      </c>
      <c r="H3050" s="5" t="s">
        <v>30</v>
      </c>
      <c r="I3050" s="5" t="s">
        <v>22</v>
      </c>
      <c r="J3050" s="5" t="s">
        <v>153</v>
      </c>
      <c r="K3050" s="6">
        <v>0</v>
      </c>
      <c r="L3050" s="7">
        <v>0</v>
      </c>
      <c r="M3050" s="7">
        <v>0</v>
      </c>
      <c r="N3050" s="8">
        <v>0</v>
      </c>
      <c r="O3050" s="8">
        <v>1.3562378245279989</v>
      </c>
      <c r="P3050" s="8">
        <v>0</v>
      </c>
      <c r="Q3050" s="8">
        <v>0</v>
      </c>
      <c r="R3050" s="8">
        <v>0</v>
      </c>
      <c r="S3050" s="8">
        <v>0</v>
      </c>
      <c r="T3050" s="5">
        <v>0</v>
      </c>
      <c r="U3050" s="5">
        <v>0</v>
      </c>
      <c r="V3050" s="5">
        <f>VLOOKUP(A3050,Planilha1!B:E,4,0)</f>
        <v>3.0503167986984403</v>
      </c>
    </row>
    <row r="3051" spans="1:22" x14ac:dyDescent="0.3">
      <c r="A3051" t="str">
        <f t="shared" si="94"/>
        <v>IOGURTESLACTALIS</v>
      </c>
      <c r="B3051" t="str">
        <f t="shared" si="95"/>
        <v>5293401IOGURTESLACTALIS</v>
      </c>
      <c r="C3051" s="5" t="s">
        <v>226</v>
      </c>
      <c r="D3051" s="5" t="s">
        <v>227</v>
      </c>
      <c r="E3051" s="5" t="s">
        <v>1722</v>
      </c>
      <c r="F3051" s="5">
        <v>5293401</v>
      </c>
      <c r="G3051" s="5" t="s">
        <v>1492</v>
      </c>
      <c r="H3051" s="5" t="s">
        <v>30</v>
      </c>
      <c r="I3051" s="5" t="s">
        <v>22</v>
      </c>
      <c r="J3051" s="5" t="s">
        <v>153</v>
      </c>
      <c r="K3051" s="6">
        <v>0</v>
      </c>
      <c r="L3051" s="7">
        <v>0</v>
      </c>
      <c r="M3051" s="7">
        <v>0</v>
      </c>
      <c r="N3051" s="8">
        <v>0</v>
      </c>
      <c r="O3051" s="8">
        <v>0</v>
      </c>
      <c r="P3051" s="8">
        <v>0</v>
      </c>
      <c r="Q3051" s="8">
        <v>0</v>
      </c>
      <c r="R3051" s="8">
        <v>0</v>
      </c>
      <c r="S3051" s="8">
        <v>0</v>
      </c>
      <c r="T3051" s="5">
        <v>0</v>
      </c>
      <c r="U3051" s="5">
        <v>0</v>
      </c>
      <c r="V3051" s="5">
        <f>VLOOKUP(A3051,Planilha1!B:E,4,0)</f>
        <v>3.0503167986984403</v>
      </c>
    </row>
    <row r="3052" spans="1:22" x14ac:dyDescent="0.3">
      <c r="A3052" t="str">
        <f t="shared" si="94"/>
        <v>IOGURTESLACTALIS</v>
      </c>
      <c r="B3052" t="str">
        <f t="shared" si="95"/>
        <v>5293612IOGURTESLACTALIS</v>
      </c>
      <c r="C3052" s="5" t="s">
        <v>226</v>
      </c>
      <c r="D3052" s="5" t="s">
        <v>227</v>
      </c>
      <c r="E3052" s="5" t="s">
        <v>1722</v>
      </c>
      <c r="F3052" s="5">
        <v>5293612</v>
      </c>
      <c r="G3052" s="5" t="s">
        <v>328</v>
      </c>
      <c r="H3052" s="5" t="s">
        <v>30</v>
      </c>
      <c r="I3052" s="5" t="s">
        <v>22</v>
      </c>
      <c r="J3052" s="5" t="s">
        <v>153</v>
      </c>
      <c r="K3052" s="6">
        <v>0</v>
      </c>
      <c r="L3052" s="7">
        <v>12.24</v>
      </c>
      <c r="M3052" s="7">
        <v>0</v>
      </c>
      <c r="N3052" s="8">
        <v>8.16</v>
      </c>
      <c r="O3052" s="8">
        <v>6.9008571659807005</v>
      </c>
      <c r="P3052" s="8">
        <v>0</v>
      </c>
      <c r="Q3052" s="8">
        <v>0</v>
      </c>
      <c r="R3052" s="8">
        <v>0</v>
      </c>
      <c r="S3052" s="8">
        <v>0</v>
      </c>
      <c r="T3052" s="5">
        <v>0</v>
      </c>
      <c r="U3052" s="5">
        <v>0</v>
      </c>
      <c r="V3052" s="5">
        <f>VLOOKUP(A3052,Planilha1!B:E,4,0)</f>
        <v>3.0503167986984403</v>
      </c>
    </row>
    <row r="3053" spans="1:22" x14ac:dyDescent="0.3">
      <c r="A3053" t="str">
        <f t="shared" si="94"/>
        <v>IOGURTESLACTALIS</v>
      </c>
      <c r="B3053" t="str">
        <f t="shared" si="95"/>
        <v>5296532IOGURTESLACTALIS</v>
      </c>
      <c r="C3053" s="5" t="s">
        <v>226</v>
      </c>
      <c r="D3053" s="5" t="s">
        <v>227</v>
      </c>
      <c r="E3053" s="5" t="s">
        <v>1722</v>
      </c>
      <c r="F3053" s="5">
        <v>5296532</v>
      </c>
      <c r="G3053" s="5" t="s">
        <v>1493</v>
      </c>
      <c r="H3053" s="5" t="s">
        <v>30</v>
      </c>
      <c r="I3053" s="5" t="s">
        <v>22</v>
      </c>
      <c r="J3053" s="5" t="s">
        <v>153</v>
      </c>
      <c r="K3053" s="6">
        <v>0</v>
      </c>
      <c r="L3053" s="7">
        <v>85.679999999999993</v>
      </c>
      <c r="M3053" s="7">
        <v>0</v>
      </c>
      <c r="N3053" s="8">
        <v>0</v>
      </c>
      <c r="O3053" s="8">
        <v>35.222294089947738</v>
      </c>
      <c r="P3053" s="8">
        <v>0</v>
      </c>
      <c r="Q3053" s="8">
        <v>0</v>
      </c>
      <c r="R3053" s="8">
        <v>0</v>
      </c>
      <c r="S3053" s="8">
        <v>0</v>
      </c>
      <c r="T3053" s="5">
        <v>0</v>
      </c>
      <c r="U3053" s="5">
        <v>0</v>
      </c>
      <c r="V3053" s="5">
        <f>VLOOKUP(A3053,Planilha1!B:E,4,0)</f>
        <v>3.0503167986984403</v>
      </c>
    </row>
    <row r="3054" spans="1:22" x14ac:dyDescent="0.3">
      <c r="A3054" t="str">
        <f t="shared" si="94"/>
        <v>IOGURTESLACTALIS</v>
      </c>
      <c r="B3054" t="str">
        <f t="shared" si="95"/>
        <v>5300119IOGURTESLACTALIS</v>
      </c>
      <c r="C3054" s="5" t="s">
        <v>226</v>
      </c>
      <c r="D3054" s="5" t="s">
        <v>227</v>
      </c>
      <c r="E3054" s="5" t="s">
        <v>1722</v>
      </c>
      <c r="F3054" s="5">
        <v>5300119</v>
      </c>
      <c r="G3054" s="5" t="s">
        <v>638</v>
      </c>
      <c r="H3054" s="5" t="s">
        <v>30</v>
      </c>
      <c r="I3054" s="5" t="s">
        <v>22</v>
      </c>
      <c r="J3054" s="5" t="s">
        <v>153</v>
      </c>
      <c r="K3054" s="6">
        <v>0</v>
      </c>
      <c r="L3054" s="7">
        <v>0</v>
      </c>
      <c r="M3054" s="7">
        <v>0</v>
      </c>
      <c r="N3054" s="8">
        <v>0</v>
      </c>
      <c r="O3054" s="8">
        <v>1.3448408680193602</v>
      </c>
      <c r="P3054" s="8">
        <v>0</v>
      </c>
      <c r="Q3054" s="8">
        <v>0</v>
      </c>
      <c r="R3054" s="8">
        <v>0</v>
      </c>
      <c r="S3054" s="8">
        <v>0</v>
      </c>
      <c r="T3054" s="5">
        <v>0</v>
      </c>
      <c r="U3054" s="5">
        <v>0</v>
      </c>
      <c r="V3054" s="5">
        <f>VLOOKUP(A3054,Planilha1!B:E,4,0)</f>
        <v>3.0503167986984403</v>
      </c>
    </row>
    <row r="3055" spans="1:22" x14ac:dyDescent="0.3">
      <c r="A3055" t="str">
        <f t="shared" si="94"/>
        <v>IOGURTESLACTALIS</v>
      </c>
      <c r="B3055" t="str">
        <f t="shared" si="95"/>
        <v>5301094IOGURTESLACTALIS</v>
      </c>
      <c r="C3055" s="5" t="s">
        <v>149</v>
      </c>
      <c r="D3055" s="5" t="s">
        <v>150</v>
      </c>
      <c r="E3055" s="5" t="s">
        <v>151</v>
      </c>
      <c r="F3055" s="5">
        <v>5301094</v>
      </c>
      <c r="G3055" s="5" t="s">
        <v>1494</v>
      </c>
      <c r="H3055" s="5" t="s">
        <v>30</v>
      </c>
      <c r="I3055" s="5" t="s">
        <v>22</v>
      </c>
      <c r="J3055" s="5" t="s">
        <v>153</v>
      </c>
      <c r="K3055" s="6">
        <v>0</v>
      </c>
      <c r="L3055" s="7">
        <v>0</v>
      </c>
      <c r="M3055" s="7">
        <v>0</v>
      </c>
      <c r="N3055" s="8">
        <v>0</v>
      </c>
      <c r="O3055" s="8">
        <v>12.81017911570984</v>
      </c>
      <c r="P3055" s="8">
        <v>0</v>
      </c>
      <c r="Q3055" s="8">
        <v>0</v>
      </c>
      <c r="R3055" s="8">
        <v>0</v>
      </c>
      <c r="S3055" s="8">
        <v>0</v>
      </c>
      <c r="T3055" s="5">
        <v>0</v>
      </c>
      <c r="U3055" s="5">
        <v>0</v>
      </c>
      <c r="V3055" s="5">
        <f>VLOOKUP(A3055,Planilha1!B:E,4,0)</f>
        <v>3.0503167986984403</v>
      </c>
    </row>
    <row r="3056" spans="1:22" x14ac:dyDescent="0.3">
      <c r="A3056" t="str">
        <f t="shared" si="94"/>
        <v>IOGURTESLACTALIS</v>
      </c>
      <c r="B3056" t="str">
        <f t="shared" si="95"/>
        <v>5301161IOGURTESLACTALIS</v>
      </c>
      <c r="C3056" s="5" t="s">
        <v>149</v>
      </c>
      <c r="D3056" s="5" t="s">
        <v>150</v>
      </c>
      <c r="E3056" s="5" t="s">
        <v>151</v>
      </c>
      <c r="F3056" s="5">
        <v>5301161</v>
      </c>
      <c r="G3056" s="5" t="s">
        <v>1495</v>
      </c>
      <c r="H3056" s="5" t="s">
        <v>30</v>
      </c>
      <c r="I3056" s="5" t="s">
        <v>22</v>
      </c>
      <c r="J3056" s="5" t="s">
        <v>153</v>
      </c>
      <c r="K3056" s="6">
        <v>0</v>
      </c>
      <c r="L3056" s="7">
        <v>24</v>
      </c>
      <c r="M3056" s="7">
        <v>0</v>
      </c>
      <c r="N3056" s="8">
        <v>0</v>
      </c>
      <c r="O3056" s="8">
        <v>8.3710645555950851</v>
      </c>
      <c r="P3056" s="8">
        <v>0</v>
      </c>
      <c r="Q3056" s="8">
        <v>0</v>
      </c>
      <c r="R3056" s="8">
        <v>0</v>
      </c>
      <c r="S3056" s="8">
        <v>0</v>
      </c>
      <c r="T3056" s="5">
        <v>0</v>
      </c>
      <c r="U3056" s="5">
        <v>0</v>
      </c>
      <c r="V3056" s="5">
        <f>VLOOKUP(A3056,Planilha1!B:E,4,0)</f>
        <v>3.0503167986984403</v>
      </c>
    </row>
    <row r="3057" spans="1:22" x14ac:dyDescent="0.3">
      <c r="A3057" t="str">
        <f t="shared" si="94"/>
        <v>IOGURTESLACTALIS</v>
      </c>
      <c r="B3057" t="str">
        <f t="shared" si="95"/>
        <v>5303461IOGURTESLACTALIS</v>
      </c>
      <c r="C3057" s="5" t="s">
        <v>226</v>
      </c>
      <c r="D3057" s="5" t="s">
        <v>227</v>
      </c>
      <c r="E3057" s="5" t="s">
        <v>1722</v>
      </c>
      <c r="F3057" s="5">
        <v>5303461</v>
      </c>
      <c r="G3057" s="5" t="s">
        <v>643</v>
      </c>
      <c r="H3057" s="5" t="s">
        <v>30</v>
      </c>
      <c r="I3057" s="5" t="s">
        <v>22</v>
      </c>
      <c r="J3057" s="5" t="s">
        <v>153</v>
      </c>
      <c r="K3057" s="6">
        <v>0</v>
      </c>
      <c r="L3057" s="7">
        <v>4.08</v>
      </c>
      <c r="M3057" s="7">
        <v>0</v>
      </c>
      <c r="N3057" s="8">
        <v>0</v>
      </c>
      <c r="O3057" s="8">
        <v>1.1453941291181839</v>
      </c>
      <c r="P3057" s="8">
        <v>0</v>
      </c>
      <c r="Q3057" s="8">
        <v>0</v>
      </c>
      <c r="R3057" s="8">
        <v>0</v>
      </c>
      <c r="S3057" s="8">
        <v>0</v>
      </c>
      <c r="T3057" s="5">
        <v>0</v>
      </c>
      <c r="U3057" s="5">
        <v>0</v>
      </c>
      <c r="V3057" s="5">
        <f>VLOOKUP(A3057,Planilha1!B:E,4,0)</f>
        <v>3.0503167986984403</v>
      </c>
    </row>
    <row r="3058" spans="1:22" x14ac:dyDescent="0.3">
      <c r="A3058" t="str">
        <f t="shared" si="94"/>
        <v>IOGURTESLACTALIS</v>
      </c>
      <c r="B3058" t="str">
        <f t="shared" si="95"/>
        <v>5309134IOGURTESLACTALIS</v>
      </c>
      <c r="C3058" s="5" t="s">
        <v>226</v>
      </c>
      <c r="D3058" s="5" t="s">
        <v>227</v>
      </c>
      <c r="E3058" s="5" t="s">
        <v>1722</v>
      </c>
      <c r="F3058" s="5">
        <v>5309134</v>
      </c>
      <c r="G3058" s="5" t="s">
        <v>338</v>
      </c>
      <c r="H3058" s="5" t="s">
        <v>30</v>
      </c>
      <c r="I3058" s="5" t="s">
        <v>22</v>
      </c>
      <c r="J3058" s="5" t="s">
        <v>153</v>
      </c>
      <c r="K3058" s="6">
        <v>0</v>
      </c>
      <c r="L3058" s="7">
        <v>0</v>
      </c>
      <c r="M3058" s="7">
        <v>0</v>
      </c>
      <c r="N3058" s="8">
        <v>0</v>
      </c>
      <c r="O3058" s="8">
        <v>1.1510926073725034</v>
      </c>
      <c r="P3058" s="8">
        <v>0</v>
      </c>
      <c r="Q3058" s="8">
        <v>0</v>
      </c>
      <c r="R3058" s="8">
        <v>0</v>
      </c>
      <c r="S3058" s="8">
        <v>0</v>
      </c>
      <c r="T3058" s="5">
        <v>0</v>
      </c>
      <c r="U3058" s="5">
        <v>0</v>
      </c>
      <c r="V3058" s="5">
        <f>VLOOKUP(A3058,Planilha1!B:E,4,0)</f>
        <v>3.0503167986984403</v>
      </c>
    </row>
    <row r="3059" spans="1:22" x14ac:dyDescent="0.3">
      <c r="A3059" t="str">
        <f t="shared" si="94"/>
        <v>IOGURTESLACTALIS</v>
      </c>
      <c r="B3059" t="str">
        <f t="shared" si="95"/>
        <v>5315284IOGURTESLACTALIS</v>
      </c>
      <c r="C3059" s="5" t="s">
        <v>226</v>
      </c>
      <c r="D3059" s="5" t="s">
        <v>227</v>
      </c>
      <c r="E3059" s="5" t="s">
        <v>1722</v>
      </c>
      <c r="F3059" s="5">
        <v>5315284</v>
      </c>
      <c r="G3059" s="5" t="s">
        <v>1496</v>
      </c>
      <c r="H3059" s="5" t="s">
        <v>30</v>
      </c>
      <c r="I3059" s="5" t="s">
        <v>22</v>
      </c>
      <c r="J3059" s="5" t="s">
        <v>153</v>
      </c>
      <c r="K3059" s="6">
        <v>0</v>
      </c>
      <c r="L3059" s="7">
        <v>0</v>
      </c>
      <c r="M3059" s="7">
        <v>0</v>
      </c>
      <c r="N3059" s="8">
        <v>0</v>
      </c>
      <c r="O3059" s="8">
        <v>69.105445790130432</v>
      </c>
      <c r="P3059" s="8">
        <v>0</v>
      </c>
      <c r="Q3059" s="8">
        <v>0</v>
      </c>
      <c r="R3059" s="8">
        <v>0</v>
      </c>
      <c r="S3059" s="8">
        <v>0</v>
      </c>
      <c r="T3059" s="5">
        <v>0</v>
      </c>
      <c r="U3059" s="5">
        <v>0</v>
      </c>
      <c r="V3059" s="5">
        <f>VLOOKUP(A3059,Planilha1!B:E,4,0)</f>
        <v>3.0503167986984403</v>
      </c>
    </row>
    <row r="3060" spans="1:22" x14ac:dyDescent="0.3">
      <c r="A3060" t="str">
        <f t="shared" si="94"/>
        <v>IOGURTESLACTALIS</v>
      </c>
      <c r="B3060" t="str">
        <f t="shared" si="95"/>
        <v>5316455IOGURTESLACTALIS</v>
      </c>
      <c r="C3060" s="5" t="s">
        <v>226</v>
      </c>
      <c r="D3060" s="5" t="s">
        <v>227</v>
      </c>
      <c r="E3060" s="5" t="s">
        <v>1722</v>
      </c>
      <c r="F3060" s="5">
        <v>5316455</v>
      </c>
      <c r="G3060" s="5" t="s">
        <v>1497</v>
      </c>
      <c r="H3060" s="5" t="s">
        <v>30</v>
      </c>
      <c r="I3060" s="5" t="s">
        <v>22</v>
      </c>
      <c r="J3060" s="5" t="s">
        <v>153</v>
      </c>
      <c r="K3060" s="6">
        <v>0</v>
      </c>
      <c r="L3060" s="7">
        <v>0</v>
      </c>
      <c r="M3060" s="7">
        <v>0</v>
      </c>
      <c r="N3060" s="8">
        <v>0</v>
      </c>
      <c r="O3060" s="8">
        <v>111.92950987134014</v>
      </c>
      <c r="P3060" s="8">
        <v>0</v>
      </c>
      <c r="Q3060" s="8">
        <v>0</v>
      </c>
      <c r="R3060" s="8">
        <v>0</v>
      </c>
      <c r="S3060" s="8">
        <v>0</v>
      </c>
      <c r="T3060" s="5">
        <v>0</v>
      </c>
      <c r="U3060" s="5">
        <v>0</v>
      </c>
      <c r="V3060" s="5">
        <f>VLOOKUP(A3060,Planilha1!B:E,4,0)</f>
        <v>3.0503167986984403</v>
      </c>
    </row>
    <row r="3061" spans="1:22" x14ac:dyDescent="0.3">
      <c r="A3061" t="str">
        <f t="shared" si="94"/>
        <v>IOGURTESLACTALIS</v>
      </c>
      <c r="B3061" t="str">
        <f t="shared" si="95"/>
        <v>5317575IOGURTESLACTALIS</v>
      </c>
      <c r="C3061" s="5" t="s">
        <v>226</v>
      </c>
      <c r="D3061" s="5" t="s">
        <v>227</v>
      </c>
      <c r="E3061" s="5" t="s">
        <v>1722</v>
      </c>
      <c r="F3061" s="5">
        <v>5317575</v>
      </c>
      <c r="G3061" s="5" t="s">
        <v>1498</v>
      </c>
      <c r="H3061" s="5" t="s">
        <v>30</v>
      </c>
      <c r="I3061" s="5" t="s">
        <v>22</v>
      </c>
      <c r="J3061" s="5" t="s">
        <v>153</v>
      </c>
      <c r="K3061" s="6">
        <v>0</v>
      </c>
      <c r="L3061" s="7">
        <v>0</v>
      </c>
      <c r="M3061" s="7">
        <v>0</v>
      </c>
      <c r="N3061" s="8">
        <v>5.92</v>
      </c>
      <c r="O3061" s="8">
        <v>3.0315904312978801</v>
      </c>
      <c r="P3061" s="8">
        <v>0</v>
      </c>
      <c r="Q3061" s="8">
        <v>0</v>
      </c>
      <c r="R3061" s="8">
        <v>0</v>
      </c>
      <c r="S3061" s="8">
        <v>0</v>
      </c>
      <c r="T3061" s="5">
        <v>0</v>
      </c>
      <c r="U3061" s="5">
        <v>0</v>
      </c>
      <c r="V3061" s="5">
        <f>VLOOKUP(A3061,Planilha1!B:E,4,0)</f>
        <v>3.0503167986984403</v>
      </c>
    </row>
    <row r="3062" spans="1:22" x14ac:dyDescent="0.3">
      <c r="A3062" t="str">
        <f t="shared" si="94"/>
        <v>IOGURTESLACTALIS</v>
      </c>
      <c r="B3062" t="str">
        <f t="shared" si="95"/>
        <v>5320372IOGURTESLACTALIS</v>
      </c>
      <c r="C3062" s="5" t="s">
        <v>226</v>
      </c>
      <c r="D3062" s="5" t="s">
        <v>227</v>
      </c>
      <c r="E3062" s="5" t="s">
        <v>1722</v>
      </c>
      <c r="F3062" s="5">
        <v>5320372</v>
      </c>
      <c r="G3062" s="5" t="s">
        <v>520</v>
      </c>
      <c r="H3062" s="5" t="s">
        <v>30</v>
      </c>
      <c r="I3062" s="5" t="s">
        <v>22</v>
      </c>
      <c r="J3062" s="5" t="s">
        <v>153</v>
      </c>
      <c r="K3062" s="6">
        <v>0</v>
      </c>
      <c r="L3062" s="7">
        <v>12.24</v>
      </c>
      <c r="M3062" s="7">
        <v>0</v>
      </c>
      <c r="N3062" s="8">
        <v>13.6</v>
      </c>
      <c r="O3062" s="8">
        <v>11.453941291181842</v>
      </c>
      <c r="P3062" s="8">
        <v>0</v>
      </c>
      <c r="Q3062" s="8">
        <v>13.44</v>
      </c>
      <c r="R3062" s="8">
        <v>0</v>
      </c>
      <c r="S3062" s="8">
        <v>0</v>
      </c>
      <c r="T3062" s="5">
        <v>0</v>
      </c>
      <c r="U3062" s="5">
        <v>0</v>
      </c>
      <c r="V3062" s="5">
        <f>VLOOKUP(A3062,Planilha1!B:E,4,0)</f>
        <v>3.0503167986984403</v>
      </c>
    </row>
    <row r="3063" spans="1:22" x14ac:dyDescent="0.3">
      <c r="A3063" t="str">
        <f t="shared" si="94"/>
        <v>IOGURTESLACTALIS</v>
      </c>
      <c r="B3063" t="str">
        <f t="shared" si="95"/>
        <v>5320673IOGURTESLACTALIS</v>
      </c>
      <c r="C3063" s="5" t="s">
        <v>226</v>
      </c>
      <c r="D3063" s="5" t="s">
        <v>227</v>
      </c>
      <c r="E3063" s="5" t="s">
        <v>1722</v>
      </c>
      <c r="F3063" s="5">
        <v>5320673</v>
      </c>
      <c r="G3063" s="5" t="s">
        <v>1499</v>
      </c>
      <c r="H3063" s="5" t="s">
        <v>30</v>
      </c>
      <c r="I3063" s="5" t="s">
        <v>22</v>
      </c>
      <c r="J3063" s="5" t="s">
        <v>153</v>
      </c>
      <c r="K3063" s="6">
        <v>0</v>
      </c>
      <c r="L3063" s="7">
        <v>16.2</v>
      </c>
      <c r="M3063" s="7">
        <v>0</v>
      </c>
      <c r="N3063" s="8">
        <v>14.879999999999999</v>
      </c>
      <c r="O3063" s="8">
        <v>34.515682786412142</v>
      </c>
      <c r="P3063" s="8">
        <v>0</v>
      </c>
      <c r="Q3063" s="8">
        <v>0</v>
      </c>
      <c r="R3063" s="8">
        <v>0</v>
      </c>
      <c r="S3063" s="8">
        <v>0</v>
      </c>
      <c r="T3063" s="5">
        <v>0</v>
      </c>
      <c r="U3063" s="5">
        <v>0</v>
      </c>
      <c r="V3063" s="5">
        <f>VLOOKUP(A3063,Planilha1!B:E,4,0)</f>
        <v>3.0503167986984403</v>
      </c>
    </row>
    <row r="3064" spans="1:22" x14ac:dyDescent="0.3">
      <c r="A3064" t="str">
        <f t="shared" si="94"/>
        <v>IOGURTESLACTALIS</v>
      </c>
      <c r="B3064" t="str">
        <f t="shared" si="95"/>
        <v>5326106IOGURTESLACTALIS</v>
      </c>
      <c r="C3064" s="5" t="s">
        <v>226</v>
      </c>
      <c r="D3064" s="5" t="s">
        <v>227</v>
      </c>
      <c r="E3064" s="5" t="s">
        <v>1722</v>
      </c>
      <c r="F3064" s="5">
        <v>5326106</v>
      </c>
      <c r="G3064" s="5" t="s">
        <v>1500</v>
      </c>
      <c r="H3064" s="5" t="s">
        <v>30</v>
      </c>
      <c r="I3064" s="5" t="s">
        <v>22</v>
      </c>
      <c r="J3064" s="5" t="s">
        <v>153</v>
      </c>
      <c r="K3064" s="6">
        <v>0</v>
      </c>
      <c r="L3064" s="7">
        <v>0</v>
      </c>
      <c r="M3064" s="7">
        <v>0</v>
      </c>
      <c r="N3064" s="8">
        <v>6.1333333333333329</v>
      </c>
      <c r="O3064" s="8">
        <v>0</v>
      </c>
      <c r="P3064" s="8">
        <v>0</v>
      </c>
      <c r="Q3064" s="8">
        <v>0</v>
      </c>
      <c r="R3064" s="8">
        <v>0</v>
      </c>
      <c r="S3064" s="8">
        <v>0</v>
      </c>
      <c r="T3064" s="5">
        <v>0</v>
      </c>
      <c r="U3064" s="5">
        <v>0</v>
      </c>
      <c r="V3064" s="5">
        <f>VLOOKUP(A3064,Planilha1!B:E,4,0)</f>
        <v>3.0503167986984403</v>
      </c>
    </row>
    <row r="3065" spans="1:22" x14ac:dyDescent="0.3">
      <c r="A3065" t="str">
        <f t="shared" si="94"/>
        <v>IOGURTESLACTALIS</v>
      </c>
      <c r="B3065" t="str">
        <f t="shared" si="95"/>
        <v>5326116IOGURTESLACTALIS</v>
      </c>
      <c r="C3065" s="5" t="s">
        <v>226</v>
      </c>
      <c r="D3065" s="5" t="s">
        <v>227</v>
      </c>
      <c r="E3065" s="5" t="s">
        <v>1722</v>
      </c>
      <c r="F3065" s="5">
        <v>5326116</v>
      </c>
      <c r="G3065" s="5" t="s">
        <v>1501</v>
      </c>
      <c r="H3065" s="5" t="s">
        <v>30</v>
      </c>
      <c r="I3065" s="5" t="s">
        <v>22</v>
      </c>
      <c r="J3065" s="5" t="s">
        <v>153</v>
      </c>
      <c r="K3065" s="6">
        <v>0</v>
      </c>
      <c r="L3065" s="7">
        <v>8.16</v>
      </c>
      <c r="M3065" s="7">
        <v>0</v>
      </c>
      <c r="N3065" s="8">
        <v>4.08</v>
      </c>
      <c r="O3065" s="8">
        <v>9.9267491190242616</v>
      </c>
      <c r="P3065" s="8">
        <v>0</v>
      </c>
      <c r="Q3065" s="8">
        <v>0</v>
      </c>
      <c r="R3065" s="8">
        <v>0</v>
      </c>
      <c r="S3065" s="8">
        <v>0</v>
      </c>
      <c r="T3065" s="5">
        <v>0</v>
      </c>
      <c r="U3065" s="5">
        <v>0</v>
      </c>
      <c r="V3065" s="5">
        <f>VLOOKUP(A3065,Planilha1!B:E,4,0)</f>
        <v>3.0503167986984403</v>
      </c>
    </row>
    <row r="3066" spans="1:22" x14ac:dyDescent="0.3">
      <c r="A3066" t="str">
        <f t="shared" si="94"/>
        <v>IOGURTESLACTALIS</v>
      </c>
      <c r="B3066" t="str">
        <f t="shared" si="95"/>
        <v>5326669IOGURTESLACTALIS</v>
      </c>
      <c r="C3066" s="5" t="s">
        <v>226</v>
      </c>
      <c r="D3066" s="5" t="s">
        <v>227</v>
      </c>
      <c r="E3066" s="5" t="s">
        <v>1722</v>
      </c>
      <c r="F3066" s="5">
        <v>5326669</v>
      </c>
      <c r="G3066" s="5" t="s">
        <v>665</v>
      </c>
      <c r="H3066" s="5" t="s">
        <v>30</v>
      </c>
      <c r="I3066" s="5" t="s">
        <v>22</v>
      </c>
      <c r="J3066" s="5" t="s">
        <v>153</v>
      </c>
      <c r="K3066" s="6">
        <v>0</v>
      </c>
      <c r="L3066" s="7">
        <v>10.8</v>
      </c>
      <c r="M3066" s="7">
        <v>0</v>
      </c>
      <c r="N3066" s="8">
        <v>3.6</v>
      </c>
      <c r="O3066" s="8">
        <v>3.0258919530435606</v>
      </c>
      <c r="P3066" s="8">
        <v>0</v>
      </c>
      <c r="Q3066" s="8">
        <v>0</v>
      </c>
      <c r="R3066" s="8">
        <v>0</v>
      </c>
      <c r="S3066" s="8">
        <v>0</v>
      </c>
      <c r="T3066" s="5">
        <v>0</v>
      </c>
      <c r="U3066" s="5">
        <v>0</v>
      </c>
      <c r="V3066" s="5">
        <f>VLOOKUP(A3066,Planilha1!B:E,4,0)</f>
        <v>3.0503167986984403</v>
      </c>
    </row>
    <row r="3067" spans="1:22" x14ac:dyDescent="0.3">
      <c r="A3067" t="str">
        <f t="shared" si="94"/>
        <v>IOGURTESLACTALIS</v>
      </c>
      <c r="B3067" t="str">
        <f t="shared" si="95"/>
        <v>5328876IOGURTESLACTALIS</v>
      </c>
      <c r="C3067" s="5" t="s">
        <v>226</v>
      </c>
      <c r="D3067" s="5" t="s">
        <v>227</v>
      </c>
      <c r="E3067" s="5" t="s">
        <v>1722</v>
      </c>
      <c r="F3067" s="5">
        <v>5328876</v>
      </c>
      <c r="G3067" s="5" t="s">
        <v>525</v>
      </c>
      <c r="H3067" s="5" t="s">
        <v>30</v>
      </c>
      <c r="I3067" s="5" t="s">
        <v>22</v>
      </c>
      <c r="J3067" s="5" t="s">
        <v>153</v>
      </c>
      <c r="K3067" s="6">
        <v>0</v>
      </c>
      <c r="L3067" s="7">
        <v>0</v>
      </c>
      <c r="M3067" s="7">
        <v>0</v>
      </c>
      <c r="N3067" s="8">
        <v>3.6</v>
      </c>
      <c r="O3067" s="8">
        <v>6.0631808625957602</v>
      </c>
      <c r="P3067" s="8">
        <v>0</v>
      </c>
      <c r="Q3067" s="8">
        <v>0</v>
      </c>
      <c r="R3067" s="8">
        <v>0</v>
      </c>
      <c r="S3067" s="8">
        <v>0</v>
      </c>
      <c r="T3067" s="5">
        <v>0</v>
      </c>
      <c r="U3067" s="5">
        <v>0</v>
      </c>
      <c r="V3067" s="5">
        <f>VLOOKUP(A3067,Planilha1!B:E,4,0)</f>
        <v>3.0503167986984403</v>
      </c>
    </row>
    <row r="3068" spans="1:22" x14ac:dyDescent="0.3">
      <c r="A3068" t="str">
        <f t="shared" si="94"/>
        <v>IOGURTESLACTALIS</v>
      </c>
      <c r="B3068" t="str">
        <f t="shared" si="95"/>
        <v>5330353IOGURTESLACTALIS</v>
      </c>
      <c r="C3068" s="5" t="s">
        <v>226</v>
      </c>
      <c r="D3068" s="5" t="s">
        <v>227</v>
      </c>
      <c r="E3068" s="5" t="s">
        <v>1722</v>
      </c>
      <c r="F3068" s="5">
        <v>5330353</v>
      </c>
      <c r="G3068" s="5" t="s">
        <v>476</v>
      </c>
      <c r="H3068" s="5" t="s">
        <v>30</v>
      </c>
      <c r="I3068" s="5" t="s">
        <v>22</v>
      </c>
      <c r="J3068" s="5" t="s">
        <v>153</v>
      </c>
      <c r="K3068" s="6">
        <v>0</v>
      </c>
      <c r="L3068" s="7">
        <v>0</v>
      </c>
      <c r="M3068" s="7">
        <v>0</v>
      </c>
      <c r="N3068" s="8">
        <v>6.8</v>
      </c>
      <c r="O3068" s="8">
        <v>0</v>
      </c>
      <c r="P3068" s="8">
        <v>0</v>
      </c>
      <c r="Q3068" s="8">
        <v>0</v>
      </c>
      <c r="R3068" s="8">
        <v>0</v>
      </c>
      <c r="S3068" s="8">
        <v>0</v>
      </c>
      <c r="T3068" s="5">
        <v>0</v>
      </c>
      <c r="U3068" s="5">
        <v>0</v>
      </c>
      <c r="V3068" s="5">
        <f>VLOOKUP(A3068,Planilha1!B:E,4,0)</f>
        <v>3.0503167986984403</v>
      </c>
    </row>
    <row r="3069" spans="1:22" x14ac:dyDescent="0.3">
      <c r="A3069" t="str">
        <f t="shared" si="94"/>
        <v>IOGURTESLACTALIS</v>
      </c>
      <c r="B3069" t="str">
        <f t="shared" si="95"/>
        <v>5331644IOGURTESLACTALIS</v>
      </c>
      <c r="C3069" s="5" t="s">
        <v>226</v>
      </c>
      <c r="D3069" s="5" t="s">
        <v>227</v>
      </c>
      <c r="E3069" s="5" t="s">
        <v>1722</v>
      </c>
      <c r="F3069" s="5">
        <v>5331644</v>
      </c>
      <c r="G3069" s="5" t="s">
        <v>595</v>
      </c>
      <c r="H3069" s="5" t="s">
        <v>30</v>
      </c>
      <c r="I3069" s="5" t="s">
        <v>22</v>
      </c>
      <c r="J3069" s="5" t="s">
        <v>153</v>
      </c>
      <c r="K3069" s="6">
        <v>0</v>
      </c>
      <c r="L3069" s="7">
        <v>0</v>
      </c>
      <c r="M3069" s="7">
        <v>0</v>
      </c>
      <c r="N3069" s="8">
        <v>0</v>
      </c>
      <c r="O3069" s="8">
        <v>3.4361823873545521</v>
      </c>
      <c r="P3069" s="8">
        <v>0</v>
      </c>
      <c r="Q3069" s="8">
        <v>0</v>
      </c>
      <c r="R3069" s="8">
        <v>0</v>
      </c>
      <c r="S3069" s="8">
        <v>0</v>
      </c>
      <c r="T3069" s="5">
        <v>0</v>
      </c>
      <c r="U3069" s="5">
        <v>0</v>
      </c>
      <c r="V3069" s="5">
        <f>VLOOKUP(A3069,Planilha1!B:E,4,0)</f>
        <v>3.0503167986984403</v>
      </c>
    </row>
    <row r="3070" spans="1:22" x14ac:dyDescent="0.3">
      <c r="A3070" t="str">
        <f t="shared" si="94"/>
        <v>IOGURTESLACTALIS</v>
      </c>
      <c r="B3070" t="str">
        <f t="shared" si="95"/>
        <v>5333626IOGURTESLACTALIS</v>
      </c>
      <c r="C3070" s="5" t="s">
        <v>226</v>
      </c>
      <c r="D3070" s="5" t="s">
        <v>227</v>
      </c>
      <c r="E3070" s="5" t="s">
        <v>1722</v>
      </c>
      <c r="F3070" s="5">
        <v>5333626</v>
      </c>
      <c r="G3070" s="5" t="s">
        <v>356</v>
      </c>
      <c r="H3070" s="5" t="s">
        <v>30</v>
      </c>
      <c r="I3070" s="5" t="s">
        <v>22</v>
      </c>
      <c r="J3070" s="5" t="s">
        <v>153</v>
      </c>
      <c r="K3070" s="6">
        <v>0</v>
      </c>
      <c r="L3070" s="7">
        <v>4.08</v>
      </c>
      <c r="M3070" s="7">
        <v>0</v>
      </c>
      <c r="N3070" s="8">
        <v>2.72</v>
      </c>
      <c r="O3070" s="8">
        <v>4.5986719512356942</v>
      </c>
      <c r="P3070" s="8">
        <v>0</v>
      </c>
      <c r="Q3070" s="8">
        <v>0</v>
      </c>
      <c r="R3070" s="8">
        <v>0</v>
      </c>
      <c r="S3070" s="8">
        <v>0</v>
      </c>
      <c r="T3070" s="5">
        <v>0</v>
      </c>
      <c r="U3070" s="5">
        <v>0</v>
      </c>
      <c r="V3070" s="5">
        <f>VLOOKUP(A3070,Planilha1!B:E,4,0)</f>
        <v>3.0503167986984403</v>
      </c>
    </row>
    <row r="3071" spans="1:22" x14ac:dyDescent="0.3">
      <c r="A3071" t="str">
        <f t="shared" si="94"/>
        <v>IOGURTESLACTALIS</v>
      </c>
      <c r="B3071" t="str">
        <f t="shared" si="95"/>
        <v>5334685IOGURTESLACTALIS</v>
      </c>
      <c r="C3071" s="5" t="s">
        <v>226</v>
      </c>
      <c r="D3071" s="5" t="s">
        <v>227</v>
      </c>
      <c r="E3071" s="5" t="s">
        <v>1722</v>
      </c>
      <c r="F3071" s="5">
        <v>5334685</v>
      </c>
      <c r="G3071" s="5" t="s">
        <v>1362</v>
      </c>
      <c r="H3071" s="5" t="s">
        <v>30</v>
      </c>
      <c r="I3071" s="5" t="s">
        <v>22</v>
      </c>
      <c r="J3071" s="5" t="s">
        <v>153</v>
      </c>
      <c r="K3071" s="6">
        <v>0</v>
      </c>
      <c r="L3071" s="7">
        <v>0</v>
      </c>
      <c r="M3071" s="7">
        <v>0</v>
      </c>
      <c r="N3071" s="8">
        <v>0</v>
      </c>
      <c r="O3071" s="8">
        <v>2.3078836929993258</v>
      </c>
      <c r="P3071" s="8">
        <v>0</v>
      </c>
      <c r="Q3071" s="8">
        <v>0</v>
      </c>
      <c r="R3071" s="8">
        <v>0</v>
      </c>
      <c r="S3071" s="8">
        <v>0</v>
      </c>
      <c r="T3071" s="5">
        <v>0</v>
      </c>
      <c r="U3071" s="5">
        <v>0</v>
      </c>
      <c r="V3071" s="5">
        <f>VLOOKUP(A3071,Planilha1!B:E,4,0)</f>
        <v>3.0503167986984403</v>
      </c>
    </row>
    <row r="3072" spans="1:22" x14ac:dyDescent="0.3">
      <c r="A3072" t="str">
        <f t="shared" si="94"/>
        <v>IOGURTESLACTALIS</v>
      </c>
      <c r="B3072" t="str">
        <f t="shared" si="95"/>
        <v>5337882IOGURTESLACTALIS</v>
      </c>
      <c r="C3072" s="5" t="s">
        <v>226</v>
      </c>
      <c r="D3072" s="5" t="s">
        <v>227</v>
      </c>
      <c r="E3072" s="5" t="s">
        <v>1722</v>
      </c>
      <c r="F3072" s="5">
        <v>5337882</v>
      </c>
      <c r="G3072" s="5" t="s">
        <v>478</v>
      </c>
      <c r="H3072" s="5" t="s">
        <v>30</v>
      </c>
      <c r="I3072" s="5" t="s">
        <v>22</v>
      </c>
      <c r="J3072" s="5" t="s">
        <v>153</v>
      </c>
      <c r="K3072" s="6">
        <v>0</v>
      </c>
      <c r="L3072" s="7">
        <v>0</v>
      </c>
      <c r="M3072" s="7">
        <v>0</v>
      </c>
      <c r="N3072" s="8">
        <v>0</v>
      </c>
      <c r="O3072" s="8">
        <v>4.0459195605667198</v>
      </c>
      <c r="P3072" s="8">
        <v>0</v>
      </c>
      <c r="Q3072" s="8">
        <v>0</v>
      </c>
      <c r="R3072" s="8">
        <v>0</v>
      </c>
      <c r="S3072" s="8">
        <v>0</v>
      </c>
      <c r="T3072" s="5">
        <v>0</v>
      </c>
      <c r="U3072" s="5">
        <v>0</v>
      </c>
      <c r="V3072" s="5">
        <f>VLOOKUP(A3072,Planilha1!B:E,4,0)</f>
        <v>3.0503167986984403</v>
      </c>
    </row>
    <row r="3073" spans="1:22" x14ac:dyDescent="0.3">
      <c r="A3073" t="str">
        <f t="shared" si="94"/>
        <v>IOGURTESLACTALIS</v>
      </c>
      <c r="B3073" t="str">
        <f t="shared" si="95"/>
        <v>5338692IOGURTESLACTALIS</v>
      </c>
      <c r="C3073" s="5" t="s">
        <v>226</v>
      </c>
      <c r="D3073" s="5" t="s">
        <v>227</v>
      </c>
      <c r="E3073" s="5" t="s">
        <v>1722</v>
      </c>
      <c r="F3073" s="5">
        <v>5338692</v>
      </c>
      <c r="G3073" s="5" t="s">
        <v>500</v>
      </c>
      <c r="H3073" s="5" t="s">
        <v>30</v>
      </c>
      <c r="I3073" s="5" t="s">
        <v>22</v>
      </c>
      <c r="J3073" s="5" t="s">
        <v>153</v>
      </c>
      <c r="K3073" s="6">
        <v>0</v>
      </c>
      <c r="L3073" s="7">
        <v>0</v>
      </c>
      <c r="M3073" s="7">
        <v>0</v>
      </c>
      <c r="N3073" s="8">
        <v>0</v>
      </c>
      <c r="O3073" s="8">
        <v>3.4361823873545521</v>
      </c>
      <c r="P3073" s="8">
        <v>0</v>
      </c>
      <c r="Q3073" s="8">
        <v>0</v>
      </c>
      <c r="R3073" s="8">
        <v>0</v>
      </c>
      <c r="S3073" s="8">
        <v>0</v>
      </c>
      <c r="T3073" s="5">
        <v>0</v>
      </c>
      <c r="U3073" s="5">
        <v>0</v>
      </c>
      <c r="V3073" s="5">
        <f>VLOOKUP(A3073,Planilha1!B:E,4,0)</f>
        <v>3.0503167986984403</v>
      </c>
    </row>
    <row r="3074" spans="1:22" x14ac:dyDescent="0.3">
      <c r="A3074" t="str">
        <f t="shared" ref="A3074:A3137" si="96">J3074&amp;I3074</f>
        <v>IOGURTESLACTALIS</v>
      </c>
      <c r="B3074" t="str">
        <f t="shared" si="95"/>
        <v>5339972IOGURTESLACTALIS</v>
      </c>
      <c r="C3074" s="5" t="s">
        <v>226</v>
      </c>
      <c r="D3074" s="5" t="s">
        <v>227</v>
      </c>
      <c r="E3074" s="5" t="s">
        <v>1722</v>
      </c>
      <c r="F3074" s="5">
        <v>5339972</v>
      </c>
      <c r="G3074" s="5" t="s">
        <v>664</v>
      </c>
      <c r="H3074" s="5" t="s">
        <v>30</v>
      </c>
      <c r="I3074" s="5" t="s">
        <v>22</v>
      </c>
      <c r="J3074" s="5" t="s">
        <v>153</v>
      </c>
      <c r="K3074" s="6">
        <v>0</v>
      </c>
      <c r="L3074" s="7">
        <v>0</v>
      </c>
      <c r="M3074" s="7">
        <v>0</v>
      </c>
      <c r="N3074" s="8">
        <v>0</v>
      </c>
      <c r="O3074" s="8">
        <v>4.5416871686925004</v>
      </c>
      <c r="P3074" s="8">
        <v>0</v>
      </c>
      <c r="Q3074" s="8">
        <v>0</v>
      </c>
      <c r="R3074" s="8">
        <v>0</v>
      </c>
      <c r="S3074" s="8">
        <v>0</v>
      </c>
      <c r="T3074" s="5">
        <v>0</v>
      </c>
      <c r="U3074" s="5">
        <v>0</v>
      </c>
      <c r="V3074" s="5">
        <f>VLOOKUP(A3074,Planilha1!B:E,4,0)</f>
        <v>3.0503167986984403</v>
      </c>
    </row>
    <row r="3075" spans="1:22" x14ac:dyDescent="0.3">
      <c r="A3075" t="str">
        <f t="shared" si="96"/>
        <v>IOGURTESLACTALIS</v>
      </c>
      <c r="B3075" t="str">
        <f t="shared" ref="B3075:B3138" si="97">F3075&amp;J3075&amp;I3075</f>
        <v>5342732IOGURTESLACTALIS</v>
      </c>
      <c r="C3075" s="5" t="s">
        <v>226</v>
      </c>
      <c r="D3075" s="5" t="s">
        <v>227</v>
      </c>
      <c r="E3075" s="5" t="s">
        <v>1722</v>
      </c>
      <c r="F3075" s="5">
        <v>5342732</v>
      </c>
      <c r="G3075" s="5" t="s">
        <v>379</v>
      </c>
      <c r="H3075" s="5" t="s">
        <v>30</v>
      </c>
      <c r="I3075" s="5" t="s">
        <v>22</v>
      </c>
      <c r="J3075" s="5" t="s">
        <v>153</v>
      </c>
      <c r="K3075" s="6">
        <v>0</v>
      </c>
      <c r="L3075" s="7">
        <v>0</v>
      </c>
      <c r="M3075" s="7">
        <v>0</v>
      </c>
      <c r="N3075" s="8">
        <v>9.1999999999999993</v>
      </c>
      <c r="O3075" s="8">
        <v>0</v>
      </c>
      <c r="P3075" s="8">
        <v>0</v>
      </c>
      <c r="Q3075" s="8">
        <v>0</v>
      </c>
      <c r="R3075" s="8">
        <v>0</v>
      </c>
      <c r="S3075" s="8">
        <v>0</v>
      </c>
      <c r="T3075" s="5">
        <v>0</v>
      </c>
      <c r="U3075" s="5">
        <v>0</v>
      </c>
      <c r="V3075" s="5">
        <f>VLOOKUP(A3075,Planilha1!B:E,4,0)</f>
        <v>3.0503167986984403</v>
      </c>
    </row>
    <row r="3076" spans="1:22" x14ac:dyDescent="0.3">
      <c r="A3076" t="str">
        <f t="shared" si="96"/>
        <v>IOGURTESLACTALIS</v>
      </c>
      <c r="B3076" t="str">
        <f t="shared" si="97"/>
        <v>5347470IOGURTESLACTALIS</v>
      </c>
      <c r="C3076" s="5" t="s">
        <v>226</v>
      </c>
      <c r="D3076" s="5" t="s">
        <v>227</v>
      </c>
      <c r="E3076" s="5" t="s">
        <v>1722</v>
      </c>
      <c r="F3076" s="5">
        <v>5347470</v>
      </c>
      <c r="G3076" s="5" t="s">
        <v>1502</v>
      </c>
      <c r="H3076" s="5" t="s">
        <v>30</v>
      </c>
      <c r="I3076" s="5" t="s">
        <v>22</v>
      </c>
      <c r="J3076" s="5" t="s">
        <v>153</v>
      </c>
      <c r="K3076" s="6">
        <v>0</v>
      </c>
      <c r="L3076" s="7">
        <v>0</v>
      </c>
      <c r="M3076" s="7">
        <v>0</v>
      </c>
      <c r="N3076" s="8">
        <v>0</v>
      </c>
      <c r="O3076" s="8">
        <v>95.597671194460972</v>
      </c>
      <c r="P3076" s="8">
        <v>0</v>
      </c>
      <c r="Q3076" s="8">
        <v>0</v>
      </c>
      <c r="R3076" s="8">
        <v>0</v>
      </c>
      <c r="S3076" s="8">
        <v>0</v>
      </c>
      <c r="T3076" s="5">
        <v>0</v>
      </c>
      <c r="U3076" s="5">
        <v>0</v>
      </c>
      <c r="V3076" s="5">
        <f>VLOOKUP(A3076,Planilha1!B:E,4,0)</f>
        <v>3.0503167986984403</v>
      </c>
    </row>
    <row r="3077" spans="1:22" x14ac:dyDescent="0.3">
      <c r="A3077" t="str">
        <f t="shared" si="96"/>
        <v>IOGURTESLACTALIS</v>
      </c>
      <c r="B3077" t="str">
        <f t="shared" si="97"/>
        <v>5349105IOGURTESLACTALIS</v>
      </c>
      <c r="C3077" s="5" t="s">
        <v>226</v>
      </c>
      <c r="D3077" s="5" t="s">
        <v>227</v>
      </c>
      <c r="E3077" s="5" t="s">
        <v>1722</v>
      </c>
      <c r="F3077" s="5">
        <v>5349105</v>
      </c>
      <c r="G3077" s="5" t="s">
        <v>1503</v>
      </c>
      <c r="H3077" s="5" t="s">
        <v>30</v>
      </c>
      <c r="I3077" s="5" t="s">
        <v>22</v>
      </c>
      <c r="J3077" s="5" t="s">
        <v>153</v>
      </c>
      <c r="K3077" s="6">
        <v>0</v>
      </c>
      <c r="L3077" s="7">
        <v>0</v>
      </c>
      <c r="M3077" s="7">
        <v>0</v>
      </c>
      <c r="N3077" s="8">
        <v>0</v>
      </c>
      <c r="O3077" s="8">
        <v>3.0429873878065186</v>
      </c>
      <c r="P3077" s="8">
        <v>0</v>
      </c>
      <c r="Q3077" s="8">
        <v>0</v>
      </c>
      <c r="R3077" s="8">
        <v>0</v>
      </c>
      <c r="S3077" s="8">
        <v>0</v>
      </c>
      <c r="T3077" s="5">
        <v>0</v>
      </c>
      <c r="U3077" s="5">
        <v>0</v>
      </c>
      <c r="V3077" s="5">
        <f>VLOOKUP(A3077,Planilha1!B:E,4,0)</f>
        <v>3.0503167986984403</v>
      </c>
    </row>
    <row r="3078" spans="1:22" x14ac:dyDescent="0.3">
      <c r="A3078" t="str">
        <f t="shared" si="96"/>
        <v>IOGURTESLACTALIS</v>
      </c>
      <c r="B3078" t="str">
        <f t="shared" si="97"/>
        <v>5349879IOGURTESLACTALIS</v>
      </c>
      <c r="C3078" s="5" t="s">
        <v>226</v>
      </c>
      <c r="D3078" s="5" t="s">
        <v>227</v>
      </c>
      <c r="E3078" s="5" t="s">
        <v>1722</v>
      </c>
      <c r="F3078" s="5">
        <v>5349879</v>
      </c>
      <c r="G3078" s="5" t="s">
        <v>534</v>
      </c>
      <c r="H3078" s="5" t="s">
        <v>30</v>
      </c>
      <c r="I3078" s="5" t="s">
        <v>22</v>
      </c>
      <c r="J3078" s="5" t="s">
        <v>153</v>
      </c>
      <c r="K3078" s="6">
        <v>0</v>
      </c>
      <c r="L3078" s="7">
        <v>0</v>
      </c>
      <c r="M3078" s="7">
        <v>0</v>
      </c>
      <c r="N3078" s="8">
        <v>21.466666666666665</v>
      </c>
      <c r="O3078" s="8">
        <v>10.280054770792059</v>
      </c>
      <c r="P3078" s="8">
        <v>0</v>
      </c>
      <c r="Q3078" s="8">
        <v>0</v>
      </c>
      <c r="R3078" s="8">
        <v>0</v>
      </c>
      <c r="S3078" s="8">
        <v>0</v>
      </c>
      <c r="T3078" s="5">
        <v>0</v>
      </c>
      <c r="U3078" s="5">
        <v>0</v>
      </c>
      <c r="V3078" s="5">
        <f>VLOOKUP(A3078,Planilha1!B:E,4,0)</f>
        <v>3.0503167986984403</v>
      </c>
    </row>
    <row r="3079" spans="1:22" x14ac:dyDescent="0.3">
      <c r="A3079" t="str">
        <f t="shared" si="96"/>
        <v>IOGURTESLACTALIS</v>
      </c>
      <c r="B3079" t="str">
        <f t="shared" si="97"/>
        <v>5350280IOGURTESLACTALIS</v>
      </c>
      <c r="C3079" s="5" t="s">
        <v>226</v>
      </c>
      <c r="D3079" s="5" t="s">
        <v>227</v>
      </c>
      <c r="E3079" s="5" t="s">
        <v>1722</v>
      </c>
      <c r="F3079" s="5">
        <v>5350280</v>
      </c>
      <c r="G3079" s="5" t="s">
        <v>1486</v>
      </c>
      <c r="H3079" s="5" t="s">
        <v>30</v>
      </c>
      <c r="I3079" s="5" t="s">
        <v>22</v>
      </c>
      <c r="J3079" s="5" t="s">
        <v>153</v>
      </c>
      <c r="K3079" s="6">
        <v>0</v>
      </c>
      <c r="L3079" s="7">
        <v>0</v>
      </c>
      <c r="M3079" s="7">
        <v>0</v>
      </c>
      <c r="N3079" s="8">
        <v>0</v>
      </c>
      <c r="O3079" s="8">
        <v>23.141520190790771</v>
      </c>
      <c r="P3079" s="8">
        <v>0</v>
      </c>
      <c r="Q3079" s="8">
        <v>0</v>
      </c>
      <c r="R3079" s="8">
        <v>0</v>
      </c>
      <c r="S3079" s="8">
        <v>0</v>
      </c>
      <c r="T3079" s="5">
        <v>0</v>
      </c>
      <c r="U3079" s="5">
        <v>0</v>
      </c>
      <c r="V3079" s="5">
        <f>VLOOKUP(A3079,Planilha1!B:E,4,0)</f>
        <v>3.0503167986984403</v>
      </c>
    </row>
    <row r="3080" spans="1:22" x14ac:dyDescent="0.3">
      <c r="A3080" t="str">
        <f t="shared" si="96"/>
        <v>IOGURTESLACTALIS</v>
      </c>
      <c r="B3080" t="str">
        <f t="shared" si="97"/>
        <v>5350395IOGURTESLACTALIS</v>
      </c>
      <c r="C3080" s="5" t="s">
        <v>226</v>
      </c>
      <c r="D3080" s="5" t="s">
        <v>227</v>
      </c>
      <c r="E3080" s="5" t="s">
        <v>1722</v>
      </c>
      <c r="F3080" s="5">
        <v>5350395</v>
      </c>
      <c r="G3080" s="5" t="s">
        <v>537</v>
      </c>
      <c r="H3080" s="5" t="s">
        <v>30</v>
      </c>
      <c r="I3080" s="5" t="s">
        <v>22</v>
      </c>
      <c r="J3080" s="5" t="s">
        <v>153</v>
      </c>
      <c r="K3080" s="6">
        <v>0</v>
      </c>
      <c r="L3080" s="7">
        <v>0</v>
      </c>
      <c r="M3080" s="7">
        <v>0</v>
      </c>
      <c r="N3080" s="8">
        <v>0</v>
      </c>
      <c r="O3080" s="8">
        <v>90.788155547815464</v>
      </c>
      <c r="P3080" s="8">
        <v>0</v>
      </c>
      <c r="Q3080" s="8">
        <v>0</v>
      </c>
      <c r="R3080" s="8">
        <v>0</v>
      </c>
      <c r="S3080" s="8">
        <v>0</v>
      </c>
      <c r="T3080" s="5">
        <v>0</v>
      </c>
      <c r="U3080" s="5">
        <v>0</v>
      </c>
      <c r="V3080" s="5">
        <f>VLOOKUP(A3080,Planilha1!B:E,4,0)</f>
        <v>3.0503167986984403</v>
      </c>
    </row>
    <row r="3081" spans="1:22" x14ac:dyDescent="0.3">
      <c r="A3081" t="str">
        <f t="shared" si="96"/>
        <v>IOGURTESLACTALIS</v>
      </c>
      <c r="B3081" t="str">
        <f t="shared" si="97"/>
        <v>5351315IOGURTESLACTALIS</v>
      </c>
      <c r="C3081" s="5" t="s">
        <v>226</v>
      </c>
      <c r="D3081" s="5" t="s">
        <v>227</v>
      </c>
      <c r="E3081" s="5" t="s">
        <v>1722</v>
      </c>
      <c r="F3081" s="5">
        <v>5351315</v>
      </c>
      <c r="G3081" s="5" t="s">
        <v>1376</v>
      </c>
      <c r="H3081" s="5" t="s">
        <v>30</v>
      </c>
      <c r="I3081" s="5" t="s">
        <v>22</v>
      </c>
      <c r="J3081" s="5" t="s">
        <v>153</v>
      </c>
      <c r="K3081" s="6">
        <v>0</v>
      </c>
      <c r="L3081" s="7">
        <v>0</v>
      </c>
      <c r="M3081" s="7">
        <v>0</v>
      </c>
      <c r="N3081" s="8">
        <v>4.08</v>
      </c>
      <c r="O3081" s="8">
        <v>13.744729549418208</v>
      </c>
      <c r="P3081" s="8">
        <v>0</v>
      </c>
      <c r="Q3081" s="8">
        <v>0</v>
      </c>
      <c r="R3081" s="8">
        <v>0</v>
      </c>
      <c r="S3081" s="8">
        <v>0</v>
      </c>
      <c r="T3081" s="5">
        <v>0</v>
      </c>
      <c r="U3081" s="5">
        <v>0</v>
      </c>
      <c r="V3081" s="5">
        <f>VLOOKUP(A3081,Planilha1!B:E,4,0)</f>
        <v>3.0503167986984403</v>
      </c>
    </row>
    <row r="3082" spans="1:22" x14ac:dyDescent="0.3">
      <c r="A3082" t="str">
        <f t="shared" si="96"/>
        <v>IOGURTESLACTALIS</v>
      </c>
      <c r="B3082" t="str">
        <f t="shared" si="97"/>
        <v>5352327IOGURTESLACTALIS</v>
      </c>
      <c r="C3082" s="5" t="s">
        <v>226</v>
      </c>
      <c r="D3082" s="5" t="s">
        <v>227</v>
      </c>
      <c r="E3082" s="5" t="s">
        <v>1722</v>
      </c>
      <c r="F3082" s="5">
        <v>5352327</v>
      </c>
      <c r="G3082" s="5" t="s">
        <v>492</v>
      </c>
      <c r="H3082" s="5" t="s">
        <v>30</v>
      </c>
      <c r="I3082" s="5" t="s">
        <v>22</v>
      </c>
      <c r="J3082" s="5" t="s">
        <v>153</v>
      </c>
      <c r="K3082" s="6">
        <v>0</v>
      </c>
      <c r="L3082" s="7">
        <v>0</v>
      </c>
      <c r="M3082" s="7">
        <v>0</v>
      </c>
      <c r="N3082" s="8">
        <v>0</v>
      </c>
      <c r="O3082" s="8">
        <v>3.0543843443151575</v>
      </c>
      <c r="P3082" s="8">
        <v>0</v>
      </c>
      <c r="Q3082" s="8">
        <v>0</v>
      </c>
      <c r="R3082" s="8">
        <v>0</v>
      </c>
      <c r="S3082" s="8">
        <v>0</v>
      </c>
      <c r="T3082" s="5">
        <v>0</v>
      </c>
      <c r="U3082" s="5">
        <v>0</v>
      </c>
      <c r="V3082" s="5">
        <f>VLOOKUP(A3082,Planilha1!B:E,4,0)</f>
        <v>3.0503167986984403</v>
      </c>
    </row>
    <row r="3083" spans="1:22" x14ac:dyDescent="0.3">
      <c r="A3083" t="str">
        <f t="shared" si="96"/>
        <v>IOGURTESLACTALIS</v>
      </c>
      <c r="B3083" t="str">
        <f t="shared" si="97"/>
        <v>5352493IOGURTESLACTALIS</v>
      </c>
      <c r="C3083" s="5" t="s">
        <v>226</v>
      </c>
      <c r="D3083" s="5" t="s">
        <v>227</v>
      </c>
      <c r="E3083" s="5" t="s">
        <v>1722</v>
      </c>
      <c r="F3083" s="5">
        <v>5352493</v>
      </c>
      <c r="G3083" s="5" t="s">
        <v>693</v>
      </c>
      <c r="H3083" s="5" t="s">
        <v>30</v>
      </c>
      <c r="I3083" s="5" t="s">
        <v>22</v>
      </c>
      <c r="J3083" s="5" t="s">
        <v>153</v>
      </c>
      <c r="K3083" s="6">
        <v>0</v>
      </c>
      <c r="L3083" s="7">
        <v>0</v>
      </c>
      <c r="M3083" s="7">
        <v>0</v>
      </c>
      <c r="N3083" s="8">
        <v>0</v>
      </c>
      <c r="O3083" s="8">
        <v>2.2793913017277294</v>
      </c>
      <c r="P3083" s="8">
        <v>0</v>
      </c>
      <c r="Q3083" s="8">
        <v>0</v>
      </c>
      <c r="R3083" s="8">
        <v>0</v>
      </c>
      <c r="S3083" s="8">
        <v>0</v>
      </c>
      <c r="T3083" s="5">
        <v>0</v>
      </c>
      <c r="U3083" s="5">
        <v>0</v>
      </c>
      <c r="V3083" s="5">
        <f>VLOOKUP(A3083,Planilha1!B:E,4,0)</f>
        <v>3.0503167986984403</v>
      </c>
    </row>
    <row r="3084" spans="1:22" x14ac:dyDescent="0.3">
      <c r="A3084" t="str">
        <f t="shared" si="96"/>
        <v>IOGURTESLACTALIS</v>
      </c>
      <c r="B3084" t="str">
        <f t="shared" si="97"/>
        <v>5352541IOGURTESLACTALIS</v>
      </c>
      <c r="C3084" s="5" t="s">
        <v>226</v>
      </c>
      <c r="D3084" s="5" t="s">
        <v>227</v>
      </c>
      <c r="E3084" s="5" t="s">
        <v>1722</v>
      </c>
      <c r="F3084" s="5">
        <v>5352541</v>
      </c>
      <c r="G3084" s="5" t="s">
        <v>493</v>
      </c>
      <c r="H3084" s="5" t="s">
        <v>30</v>
      </c>
      <c r="I3084" s="5" t="s">
        <v>22</v>
      </c>
      <c r="J3084" s="5" t="s">
        <v>153</v>
      </c>
      <c r="K3084" s="6">
        <v>0</v>
      </c>
      <c r="L3084" s="7">
        <v>0</v>
      </c>
      <c r="M3084" s="7">
        <v>0</v>
      </c>
      <c r="N3084" s="8">
        <v>0</v>
      </c>
      <c r="O3084" s="8">
        <v>13.853000636250275</v>
      </c>
      <c r="P3084" s="8">
        <v>0</v>
      </c>
      <c r="Q3084" s="8">
        <v>0</v>
      </c>
      <c r="R3084" s="8">
        <v>0</v>
      </c>
      <c r="S3084" s="8">
        <v>0</v>
      </c>
      <c r="T3084" s="5">
        <v>0</v>
      </c>
      <c r="U3084" s="5">
        <v>0</v>
      </c>
      <c r="V3084" s="5">
        <f>VLOOKUP(A3084,Planilha1!B:E,4,0)</f>
        <v>3.0503167986984403</v>
      </c>
    </row>
    <row r="3085" spans="1:22" x14ac:dyDescent="0.3">
      <c r="A3085" t="str">
        <f t="shared" si="96"/>
        <v>IOGURTESLACTALIS</v>
      </c>
      <c r="B3085" t="str">
        <f t="shared" si="97"/>
        <v>5352581IOGURTESLACTALIS</v>
      </c>
      <c r="C3085" s="5" t="s">
        <v>226</v>
      </c>
      <c r="D3085" s="5" t="s">
        <v>227</v>
      </c>
      <c r="E3085" s="5" t="s">
        <v>1722</v>
      </c>
      <c r="F3085" s="5">
        <v>5352581</v>
      </c>
      <c r="G3085" s="5" t="s">
        <v>1504</v>
      </c>
      <c r="H3085" s="5" t="s">
        <v>30</v>
      </c>
      <c r="I3085" s="5" t="s">
        <v>22</v>
      </c>
      <c r="J3085" s="5" t="s">
        <v>153</v>
      </c>
      <c r="K3085" s="6">
        <v>0</v>
      </c>
      <c r="L3085" s="7">
        <v>0</v>
      </c>
      <c r="M3085" s="7">
        <v>0</v>
      </c>
      <c r="N3085" s="8">
        <v>10.799999999999999</v>
      </c>
      <c r="O3085" s="8">
        <v>7.5447852087187846</v>
      </c>
      <c r="P3085" s="8">
        <v>0</v>
      </c>
      <c r="Q3085" s="8">
        <v>0</v>
      </c>
      <c r="R3085" s="8">
        <v>0</v>
      </c>
      <c r="S3085" s="8">
        <v>0</v>
      </c>
      <c r="T3085" s="5">
        <v>0</v>
      </c>
      <c r="U3085" s="5">
        <v>0</v>
      </c>
      <c r="V3085" s="5">
        <f>VLOOKUP(A3085,Planilha1!B:E,4,0)</f>
        <v>3.0503167986984403</v>
      </c>
    </row>
    <row r="3086" spans="1:22" x14ac:dyDescent="0.3">
      <c r="A3086" t="str">
        <f t="shared" si="96"/>
        <v>IOGURTESLACTALIS</v>
      </c>
      <c r="B3086" t="str">
        <f t="shared" si="97"/>
        <v>5352582IOGURTESLACTALIS</v>
      </c>
      <c r="C3086" s="5" t="s">
        <v>226</v>
      </c>
      <c r="D3086" s="5" t="s">
        <v>227</v>
      </c>
      <c r="E3086" s="5" t="s">
        <v>1722</v>
      </c>
      <c r="F3086" s="5">
        <v>5352582</v>
      </c>
      <c r="G3086" s="5" t="s">
        <v>1505</v>
      </c>
      <c r="H3086" s="5" t="s">
        <v>30</v>
      </c>
      <c r="I3086" s="5" t="s">
        <v>22</v>
      </c>
      <c r="J3086" s="5" t="s">
        <v>153</v>
      </c>
      <c r="K3086" s="6">
        <v>0</v>
      </c>
      <c r="L3086" s="7">
        <v>0</v>
      </c>
      <c r="M3086" s="7">
        <v>0</v>
      </c>
      <c r="N3086" s="8">
        <v>0</v>
      </c>
      <c r="O3086" s="8">
        <v>9.0605804243677248</v>
      </c>
      <c r="P3086" s="8">
        <v>0</v>
      </c>
      <c r="Q3086" s="8">
        <v>0</v>
      </c>
      <c r="R3086" s="8">
        <v>0</v>
      </c>
      <c r="S3086" s="8">
        <v>0</v>
      </c>
      <c r="T3086" s="5">
        <v>0</v>
      </c>
      <c r="U3086" s="5">
        <v>0</v>
      </c>
      <c r="V3086" s="5">
        <f>VLOOKUP(A3086,Planilha1!B:E,4,0)</f>
        <v>3.0503167986984403</v>
      </c>
    </row>
    <row r="3087" spans="1:22" x14ac:dyDescent="0.3">
      <c r="A3087" t="str">
        <f t="shared" si="96"/>
        <v>IOGURTESLACTALIS</v>
      </c>
      <c r="B3087" t="str">
        <f t="shared" si="97"/>
        <v>5353431IOGURTESLACTALIS</v>
      </c>
      <c r="C3087" s="5" t="s">
        <v>226</v>
      </c>
      <c r="D3087" s="5" t="s">
        <v>227</v>
      </c>
      <c r="E3087" s="5" t="s">
        <v>1722</v>
      </c>
      <c r="F3087" s="5">
        <v>5353431</v>
      </c>
      <c r="G3087" s="5" t="s">
        <v>549</v>
      </c>
      <c r="H3087" s="5" t="s">
        <v>30</v>
      </c>
      <c r="I3087" s="5" t="s">
        <v>22</v>
      </c>
      <c r="J3087" s="5" t="s">
        <v>153</v>
      </c>
      <c r="K3087" s="6">
        <v>0</v>
      </c>
      <c r="L3087" s="7">
        <v>0</v>
      </c>
      <c r="M3087" s="7">
        <v>0</v>
      </c>
      <c r="N3087" s="8">
        <v>0</v>
      </c>
      <c r="O3087" s="8">
        <v>4.5587826034554588</v>
      </c>
      <c r="P3087" s="8">
        <v>0</v>
      </c>
      <c r="Q3087" s="8">
        <v>0</v>
      </c>
      <c r="R3087" s="8">
        <v>0</v>
      </c>
      <c r="S3087" s="8">
        <v>0</v>
      </c>
      <c r="T3087" s="5">
        <v>0</v>
      </c>
      <c r="U3087" s="5">
        <v>0</v>
      </c>
      <c r="V3087" s="5">
        <f>VLOOKUP(A3087,Planilha1!B:E,4,0)</f>
        <v>3.0503167986984403</v>
      </c>
    </row>
    <row r="3088" spans="1:22" x14ac:dyDescent="0.3">
      <c r="A3088" t="str">
        <f t="shared" si="96"/>
        <v>IOGURTESLACTALIS</v>
      </c>
      <c r="B3088" t="str">
        <f t="shared" si="97"/>
        <v>5353768IOGURTESLACTALIS</v>
      </c>
      <c r="C3088" s="5" t="s">
        <v>226</v>
      </c>
      <c r="D3088" s="5" t="s">
        <v>227</v>
      </c>
      <c r="E3088" s="5" t="s">
        <v>1722</v>
      </c>
      <c r="F3088" s="5">
        <v>5353768</v>
      </c>
      <c r="G3088" s="5" t="s">
        <v>1506</v>
      </c>
      <c r="H3088" s="5" t="s">
        <v>30</v>
      </c>
      <c r="I3088" s="5" t="s">
        <v>22</v>
      </c>
      <c r="J3088" s="5" t="s">
        <v>153</v>
      </c>
      <c r="K3088" s="6">
        <v>0</v>
      </c>
      <c r="L3088" s="7">
        <v>0</v>
      </c>
      <c r="M3088" s="7">
        <v>0</v>
      </c>
      <c r="N3088" s="8">
        <v>5.44</v>
      </c>
      <c r="O3088" s="8">
        <v>0</v>
      </c>
      <c r="P3088" s="8">
        <v>0</v>
      </c>
      <c r="Q3088" s="8">
        <v>0</v>
      </c>
      <c r="R3088" s="8">
        <v>0</v>
      </c>
      <c r="S3088" s="8">
        <v>0</v>
      </c>
      <c r="T3088" s="5">
        <v>0</v>
      </c>
      <c r="U3088" s="5">
        <v>0</v>
      </c>
      <c r="V3088" s="5">
        <f>VLOOKUP(A3088,Planilha1!B:E,4,0)</f>
        <v>3.0503167986984403</v>
      </c>
    </row>
    <row r="3089" spans="1:22" x14ac:dyDescent="0.3">
      <c r="A3089" t="str">
        <f t="shared" si="96"/>
        <v>IOGURTESLACTALIS</v>
      </c>
      <c r="B3089" t="str">
        <f t="shared" si="97"/>
        <v>5353998IOGURTESLACTALIS</v>
      </c>
      <c r="C3089" s="5" t="s">
        <v>226</v>
      </c>
      <c r="D3089" s="5" t="s">
        <v>227</v>
      </c>
      <c r="E3089" s="5" t="s">
        <v>1722</v>
      </c>
      <c r="F3089" s="5">
        <v>5353998</v>
      </c>
      <c r="G3089" s="5" t="s">
        <v>1507</v>
      </c>
      <c r="H3089" s="5" t="s">
        <v>30</v>
      </c>
      <c r="I3089" s="5" t="s">
        <v>22</v>
      </c>
      <c r="J3089" s="5" t="s">
        <v>153</v>
      </c>
      <c r="K3089" s="6">
        <v>0</v>
      </c>
      <c r="L3089" s="7">
        <v>0</v>
      </c>
      <c r="M3089" s="7">
        <v>0</v>
      </c>
      <c r="N3089" s="8">
        <v>0</v>
      </c>
      <c r="O3089" s="8">
        <v>5.7098752108279616</v>
      </c>
      <c r="P3089" s="8">
        <v>0</v>
      </c>
      <c r="Q3089" s="8">
        <v>0</v>
      </c>
      <c r="R3089" s="8">
        <v>0</v>
      </c>
      <c r="S3089" s="8">
        <v>0</v>
      </c>
      <c r="T3089" s="5">
        <v>0</v>
      </c>
      <c r="U3089" s="5">
        <v>0</v>
      </c>
      <c r="V3089" s="5">
        <f>VLOOKUP(A3089,Planilha1!B:E,4,0)</f>
        <v>3.0503167986984403</v>
      </c>
    </row>
    <row r="3090" spans="1:22" x14ac:dyDescent="0.3">
      <c r="A3090" t="str">
        <f t="shared" si="96"/>
        <v>IOGURTESLACTALIS</v>
      </c>
      <c r="B3090" t="str">
        <f t="shared" si="97"/>
        <v>5355103IOGURTESLACTALIS</v>
      </c>
      <c r="C3090" s="5" t="s">
        <v>226</v>
      </c>
      <c r="D3090" s="5" t="s">
        <v>227</v>
      </c>
      <c r="E3090" s="5" t="s">
        <v>1722</v>
      </c>
      <c r="F3090" s="5">
        <v>5355103</v>
      </c>
      <c r="G3090" s="5" t="s">
        <v>1417</v>
      </c>
      <c r="H3090" s="5" t="s">
        <v>30</v>
      </c>
      <c r="I3090" s="5" t="s">
        <v>22</v>
      </c>
      <c r="J3090" s="5" t="s">
        <v>153</v>
      </c>
      <c r="K3090" s="6">
        <v>0</v>
      </c>
      <c r="L3090" s="7">
        <v>0</v>
      </c>
      <c r="M3090" s="7">
        <v>0</v>
      </c>
      <c r="N3090" s="8">
        <v>49.066666666666663</v>
      </c>
      <c r="O3090" s="8">
        <v>13.015324332865337</v>
      </c>
      <c r="P3090" s="8">
        <v>0</v>
      </c>
      <c r="Q3090" s="8">
        <v>0</v>
      </c>
      <c r="R3090" s="8">
        <v>0</v>
      </c>
      <c r="S3090" s="8">
        <v>0</v>
      </c>
      <c r="T3090" s="5">
        <v>0</v>
      </c>
      <c r="U3090" s="5">
        <v>0</v>
      </c>
      <c r="V3090" s="5">
        <f>VLOOKUP(A3090,Planilha1!B:E,4,0)</f>
        <v>3.0503167986984403</v>
      </c>
    </row>
    <row r="3091" spans="1:22" x14ac:dyDescent="0.3">
      <c r="A3091" t="str">
        <f t="shared" si="96"/>
        <v>IOGURTESLACTALIS</v>
      </c>
      <c r="B3091" t="str">
        <f t="shared" si="97"/>
        <v>5356510IOGURTESLACTALIS</v>
      </c>
      <c r="C3091" s="5" t="s">
        <v>226</v>
      </c>
      <c r="D3091" s="5" t="s">
        <v>227</v>
      </c>
      <c r="E3091" s="5" t="s">
        <v>1722</v>
      </c>
      <c r="F3091" s="5">
        <v>5356510</v>
      </c>
      <c r="G3091" s="5" t="s">
        <v>1387</v>
      </c>
      <c r="H3091" s="5" t="s">
        <v>30</v>
      </c>
      <c r="I3091" s="5" t="s">
        <v>22</v>
      </c>
      <c r="J3091" s="5" t="s">
        <v>153</v>
      </c>
      <c r="K3091" s="6">
        <v>0</v>
      </c>
      <c r="L3091" s="7">
        <v>0</v>
      </c>
      <c r="M3091" s="7">
        <v>0</v>
      </c>
      <c r="N3091" s="8">
        <v>1.36</v>
      </c>
      <c r="O3091" s="8">
        <v>0</v>
      </c>
      <c r="P3091" s="8">
        <v>0</v>
      </c>
      <c r="Q3091" s="8">
        <v>0</v>
      </c>
      <c r="R3091" s="8">
        <v>0</v>
      </c>
      <c r="S3091" s="8">
        <v>0</v>
      </c>
      <c r="T3091" s="5">
        <v>0</v>
      </c>
      <c r="U3091" s="5">
        <v>0</v>
      </c>
      <c r="V3091" s="5">
        <f>VLOOKUP(A3091,Planilha1!B:E,4,0)</f>
        <v>3.0503167986984403</v>
      </c>
    </row>
    <row r="3092" spans="1:22" x14ac:dyDescent="0.3">
      <c r="A3092" t="str">
        <f t="shared" si="96"/>
        <v>IOGURTESLACTALIS</v>
      </c>
      <c r="B3092" t="str">
        <f t="shared" si="97"/>
        <v>5357567IOGURTESLACTALIS</v>
      </c>
      <c r="C3092" s="5" t="s">
        <v>226</v>
      </c>
      <c r="D3092" s="5" t="s">
        <v>227</v>
      </c>
      <c r="E3092" s="5" t="s">
        <v>1722</v>
      </c>
      <c r="F3092" s="5">
        <v>5357567</v>
      </c>
      <c r="G3092" s="5" t="s">
        <v>1388</v>
      </c>
      <c r="H3092" s="5" t="s">
        <v>30</v>
      </c>
      <c r="I3092" s="5" t="s">
        <v>22</v>
      </c>
      <c r="J3092" s="5" t="s">
        <v>153</v>
      </c>
      <c r="K3092" s="6">
        <v>0</v>
      </c>
      <c r="L3092" s="7">
        <v>0</v>
      </c>
      <c r="M3092" s="7">
        <v>0</v>
      </c>
      <c r="N3092" s="8">
        <v>2.8800000000000003</v>
      </c>
      <c r="O3092" s="8">
        <v>0</v>
      </c>
      <c r="P3092" s="8">
        <v>0</v>
      </c>
      <c r="Q3092" s="8">
        <v>0</v>
      </c>
      <c r="R3092" s="8">
        <v>0</v>
      </c>
      <c r="S3092" s="8">
        <v>0</v>
      </c>
      <c r="T3092" s="5">
        <v>0</v>
      </c>
      <c r="U3092" s="5">
        <v>5</v>
      </c>
      <c r="V3092" s="5">
        <f>VLOOKUP(A3092,Planilha1!B:E,4,0)</f>
        <v>3.0503167986984403</v>
      </c>
    </row>
    <row r="3093" spans="1:22" x14ac:dyDescent="0.3">
      <c r="A3093" t="str">
        <f t="shared" si="96"/>
        <v>IOGURTESLACTALIS</v>
      </c>
      <c r="B3093" t="str">
        <f t="shared" si="97"/>
        <v>5359805IOGURTESLACTALIS</v>
      </c>
      <c r="C3093" s="5" t="s">
        <v>226</v>
      </c>
      <c r="D3093" s="5" t="s">
        <v>815</v>
      </c>
      <c r="E3093" s="5" t="s">
        <v>816</v>
      </c>
      <c r="F3093" s="5">
        <v>5359805</v>
      </c>
      <c r="G3093" s="5" t="s">
        <v>1412</v>
      </c>
      <c r="H3093" s="5" t="s">
        <v>30</v>
      </c>
      <c r="I3093" s="5" t="s">
        <v>22</v>
      </c>
      <c r="J3093" s="5" t="s">
        <v>153</v>
      </c>
      <c r="K3093" s="6">
        <v>0</v>
      </c>
      <c r="L3093" s="7">
        <v>0</v>
      </c>
      <c r="M3093" s="7">
        <v>0</v>
      </c>
      <c r="N3093" s="8">
        <v>0.5</v>
      </c>
      <c r="O3093" s="8">
        <v>0</v>
      </c>
      <c r="P3093" s="8">
        <v>0</v>
      </c>
      <c r="Q3093" s="8">
        <v>0</v>
      </c>
      <c r="R3093" s="8">
        <v>0</v>
      </c>
      <c r="S3093" s="8">
        <v>0</v>
      </c>
      <c r="T3093" s="5">
        <v>0</v>
      </c>
      <c r="U3093" s="5">
        <v>0</v>
      </c>
      <c r="V3093" s="5">
        <f>VLOOKUP(A3093,Planilha1!B:E,4,0)</f>
        <v>3.0503167986984403</v>
      </c>
    </row>
    <row r="3094" spans="1:22" x14ac:dyDescent="0.3">
      <c r="A3094" t="str">
        <f t="shared" si="96"/>
        <v>IOGURTESLACTALIS</v>
      </c>
      <c r="B3094" t="str">
        <f t="shared" si="97"/>
        <v>5360029IOGURTESLACTALIS</v>
      </c>
      <c r="C3094" s="5" t="s">
        <v>226</v>
      </c>
      <c r="D3094" s="5" t="s">
        <v>227</v>
      </c>
      <c r="E3094" s="5" t="s">
        <v>1722</v>
      </c>
      <c r="F3094" s="5">
        <v>5360029</v>
      </c>
      <c r="G3094" s="5" t="s">
        <v>1508</v>
      </c>
      <c r="H3094" s="5" t="s">
        <v>30</v>
      </c>
      <c r="I3094" s="5" t="s">
        <v>22</v>
      </c>
      <c r="J3094" s="5" t="s">
        <v>153</v>
      </c>
      <c r="K3094" s="6">
        <v>0</v>
      </c>
      <c r="L3094" s="7">
        <v>0</v>
      </c>
      <c r="M3094" s="7">
        <v>0</v>
      </c>
      <c r="N3094" s="8">
        <v>22.2</v>
      </c>
      <c r="O3094" s="8">
        <v>0</v>
      </c>
      <c r="P3094" s="8">
        <v>0</v>
      </c>
      <c r="Q3094" s="8">
        <v>0</v>
      </c>
      <c r="R3094" s="8">
        <v>0</v>
      </c>
      <c r="S3094" s="8">
        <v>0</v>
      </c>
      <c r="T3094" s="5">
        <v>0</v>
      </c>
      <c r="U3094" s="5">
        <v>0</v>
      </c>
      <c r="V3094" s="5">
        <f>VLOOKUP(A3094,Planilha1!B:E,4,0)</f>
        <v>3.0503167986984403</v>
      </c>
    </row>
    <row r="3095" spans="1:22" x14ac:dyDescent="0.3">
      <c r="A3095" t="str">
        <f t="shared" si="96"/>
        <v>IOGURTESLACTALIS</v>
      </c>
      <c r="B3095" t="str">
        <f t="shared" si="97"/>
        <v>5360087IOGURTESLACTALIS</v>
      </c>
      <c r="C3095" s="5" t="s">
        <v>226</v>
      </c>
      <c r="D3095" s="5" t="s">
        <v>227</v>
      </c>
      <c r="E3095" s="5" t="s">
        <v>1722</v>
      </c>
      <c r="F3095" s="5">
        <v>5360087</v>
      </c>
      <c r="G3095" s="5" t="s">
        <v>1418</v>
      </c>
      <c r="H3095" s="5" t="s">
        <v>30</v>
      </c>
      <c r="I3095" s="5" t="s">
        <v>22</v>
      </c>
      <c r="J3095" s="5" t="s">
        <v>153</v>
      </c>
      <c r="K3095" s="6">
        <v>0</v>
      </c>
      <c r="L3095" s="7">
        <v>0</v>
      </c>
      <c r="M3095" s="7">
        <v>0</v>
      </c>
      <c r="N3095" s="8">
        <v>1.8</v>
      </c>
      <c r="O3095" s="8">
        <v>0</v>
      </c>
      <c r="P3095" s="8">
        <v>0</v>
      </c>
      <c r="Q3095" s="8">
        <v>0</v>
      </c>
      <c r="R3095" s="8">
        <v>0</v>
      </c>
      <c r="S3095" s="8">
        <v>0</v>
      </c>
      <c r="T3095" s="5">
        <v>0</v>
      </c>
      <c r="U3095" s="5">
        <v>0</v>
      </c>
      <c r="V3095" s="5">
        <f>VLOOKUP(A3095,Planilha1!B:E,4,0)</f>
        <v>3.0503167986984403</v>
      </c>
    </row>
    <row r="3096" spans="1:22" x14ac:dyDescent="0.3">
      <c r="A3096" t="str">
        <f t="shared" si="96"/>
        <v>IOGURTESLACTALIS</v>
      </c>
      <c r="B3096" t="str">
        <f t="shared" si="97"/>
        <v>5360437IOGURTESLACTALIS</v>
      </c>
      <c r="C3096" s="5" t="s">
        <v>226</v>
      </c>
      <c r="D3096" s="5" t="s">
        <v>227</v>
      </c>
      <c r="E3096" s="5" t="s">
        <v>1722</v>
      </c>
      <c r="F3096" s="5">
        <v>5360437</v>
      </c>
      <c r="G3096" s="5" t="s">
        <v>1474</v>
      </c>
      <c r="H3096" s="5" t="s">
        <v>30</v>
      </c>
      <c r="I3096" s="5" t="s">
        <v>22</v>
      </c>
      <c r="J3096" s="5" t="s">
        <v>153</v>
      </c>
      <c r="K3096" s="6">
        <v>0</v>
      </c>
      <c r="L3096" s="7">
        <v>0</v>
      </c>
      <c r="M3096" s="7">
        <v>0</v>
      </c>
      <c r="N3096" s="8">
        <v>3.4000000000000004</v>
      </c>
      <c r="O3096" s="8">
        <v>0</v>
      </c>
      <c r="P3096" s="8">
        <v>0</v>
      </c>
      <c r="Q3096" s="8">
        <v>0</v>
      </c>
      <c r="R3096" s="8">
        <v>0</v>
      </c>
      <c r="S3096" s="8">
        <v>0</v>
      </c>
      <c r="T3096" s="5">
        <v>0</v>
      </c>
      <c r="U3096" s="5">
        <v>0</v>
      </c>
      <c r="V3096" s="5">
        <f>VLOOKUP(A3096,Planilha1!B:E,4,0)</f>
        <v>3.0503167986984403</v>
      </c>
    </row>
    <row r="3097" spans="1:22" x14ac:dyDescent="0.3">
      <c r="A3097" t="str">
        <f t="shared" si="96"/>
        <v>IOGURTESLACTALIS</v>
      </c>
      <c r="B3097" t="str">
        <f t="shared" si="97"/>
        <v>5360546IOGURTESLACTALIS</v>
      </c>
      <c r="C3097" s="5" t="s">
        <v>226</v>
      </c>
      <c r="D3097" s="5" t="s">
        <v>227</v>
      </c>
      <c r="E3097" s="5" t="s">
        <v>1722</v>
      </c>
      <c r="F3097" s="5">
        <v>5360546</v>
      </c>
      <c r="G3097" s="5" t="s">
        <v>1421</v>
      </c>
      <c r="H3097" s="5" t="s">
        <v>30</v>
      </c>
      <c r="I3097" s="5" t="s">
        <v>22</v>
      </c>
      <c r="J3097" s="5" t="s">
        <v>153</v>
      </c>
      <c r="K3097" s="6">
        <v>0</v>
      </c>
      <c r="L3097" s="7">
        <v>0</v>
      </c>
      <c r="M3097" s="7">
        <v>0</v>
      </c>
      <c r="N3097" s="8">
        <v>13.280000000000001</v>
      </c>
      <c r="O3097" s="8">
        <v>0</v>
      </c>
      <c r="P3097" s="8">
        <v>0</v>
      </c>
      <c r="Q3097" s="8">
        <v>0</v>
      </c>
      <c r="R3097" s="8">
        <v>0</v>
      </c>
      <c r="S3097" s="8">
        <v>0</v>
      </c>
      <c r="T3097" s="5">
        <v>0</v>
      </c>
      <c r="U3097" s="5">
        <v>0</v>
      </c>
      <c r="V3097" s="5">
        <f>VLOOKUP(A3097,Planilha1!B:E,4,0)</f>
        <v>3.0503167986984403</v>
      </c>
    </row>
    <row r="3098" spans="1:22" x14ac:dyDescent="0.3">
      <c r="A3098" t="str">
        <f t="shared" si="96"/>
        <v>IOGURTESLACTALIS</v>
      </c>
      <c r="B3098" t="str">
        <f t="shared" si="97"/>
        <v>5360902IOGURTESLACTALIS</v>
      </c>
      <c r="C3098" s="5" t="s">
        <v>226</v>
      </c>
      <c r="D3098" s="5" t="s">
        <v>227</v>
      </c>
      <c r="E3098" s="5" t="s">
        <v>1722</v>
      </c>
      <c r="F3098" s="5">
        <v>5360902</v>
      </c>
      <c r="G3098" s="5" t="s">
        <v>1509</v>
      </c>
      <c r="H3098" s="5" t="s">
        <v>30</v>
      </c>
      <c r="I3098" s="5" t="s">
        <v>22</v>
      </c>
      <c r="J3098" s="5" t="s">
        <v>153</v>
      </c>
      <c r="K3098" s="6">
        <v>0</v>
      </c>
      <c r="L3098" s="7">
        <v>0</v>
      </c>
      <c r="M3098" s="7">
        <v>0</v>
      </c>
      <c r="N3098" s="8">
        <v>9.2000000000000011</v>
      </c>
      <c r="O3098" s="8">
        <v>0</v>
      </c>
      <c r="P3098" s="8">
        <v>0</v>
      </c>
      <c r="Q3098" s="8">
        <v>18.399999999999999</v>
      </c>
      <c r="R3098" s="8">
        <v>0</v>
      </c>
      <c r="S3098" s="8">
        <v>0</v>
      </c>
      <c r="T3098" s="5">
        <v>0</v>
      </c>
      <c r="U3098" s="5">
        <v>0</v>
      </c>
      <c r="V3098" s="5">
        <f>VLOOKUP(A3098,Planilha1!B:E,4,0)</f>
        <v>3.0503167986984403</v>
      </c>
    </row>
    <row r="3099" spans="1:22" x14ac:dyDescent="0.3">
      <c r="A3099" t="str">
        <f t="shared" si="96"/>
        <v>IOGURTESLACTALIS</v>
      </c>
      <c r="B3099" t="str">
        <f t="shared" si="97"/>
        <v>5361094IOGURTESLACTALIS</v>
      </c>
      <c r="C3099" s="5" t="s">
        <v>226</v>
      </c>
      <c r="D3099" s="5" t="s">
        <v>227</v>
      </c>
      <c r="E3099" s="5" t="s">
        <v>1722</v>
      </c>
      <c r="F3099" s="5">
        <v>5361094</v>
      </c>
      <c r="G3099" s="5" t="s">
        <v>1510</v>
      </c>
      <c r="H3099" s="5" t="s">
        <v>30</v>
      </c>
      <c r="I3099" s="5" t="s">
        <v>22</v>
      </c>
      <c r="J3099" s="5" t="s">
        <v>153</v>
      </c>
      <c r="K3099" s="6">
        <v>0</v>
      </c>
      <c r="L3099" s="7">
        <v>0</v>
      </c>
      <c r="M3099" s="7">
        <v>0</v>
      </c>
      <c r="N3099" s="8">
        <v>1.36</v>
      </c>
      <c r="O3099" s="8">
        <v>0</v>
      </c>
      <c r="P3099" s="8">
        <v>0</v>
      </c>
      <c r="Q3099" s="8">
        <v>0</v>
      </c>
      <c r="R3099" s="8">
        <v>0</v>
      </c>
      <c r="S3099" s="8">
        <v>0</v>
      </c>
      <c r="T3099" s="5">
        <v>0</v>
      </c>
      <c r="U3099" s="5">
        <v>0</v>
      </c>
      <c r="V3099" s="5">
        <f>VLOOKUP(A3099,Planilha1!B:E,4,0)</f>
        <v>3.0503167986984403</v>
      </c>
    </row>
    <row r="3100" spans="1:22" x14ac:dyDescent="0.3">
      <c r="A3100" t="str">
        <f t="shared" si="96"/>
        <v>IOGURTESLACTALIS</v>
      </c>
      <c r="B3100" t="str">
        <f t="shared" si="97"/>
        <v>5361496IOGURTESLACTALIS</v>
      </c>
      <c r="C3100" s="5" t="s">
        <v>226</v>
      </c>
      <c r="D3100" s="5" t="s">
        <v>227</v>
      </c>
      <c r="E3100" s="5" t="s">
        <v>1722</v>
      </c>
      <c r="F3100" s="5">
        <v>5361496</v>
      </c>
      <c r="G3100" s="5" t="s">
        <v>1511</v>
      </c>
      <c r="H3100" s="5" t="s">
        <v>30</v>
      </c>
      <c r="I3100" s="5" t="s">
        <v>22</v>
      </c>
      <c r="J3100" s="5" t="s">
        <v>153</v>
      </c>
      <c r="K3100" s="6">
        <v>0</v>
      </c>
      <c r="L3100" s="7">
        <v>0</v>
      </c>
      <c r="M3100" s="7">
        <v>0</v>
      </c>
      <c r="N3100" s="8">
        <v>5.44</v>
      </c>
      <c r="O3100" s="8">
        <v>0</v>
      </c>
      <c r="P3100" s="8">
        <v>0</v>
      </c>
      <c r="Q3100" s="8">
        <v>0</v>
      </c>
      <c r="R3100" s="8">
        <v>0</v>
      </c>
      <c r="S3100" s="8">
        <v>0</v>
      </c>
      <c r="T3100" s="5">
        <v>0</v>
      </c>
      <c r="U3100" s="5">
        <v>0</v>
      </c>
      <c r="V3100" s="5">
        <f>VLOOKUP(A3100,Planilha1!B:E,4,0)</f>
        <v>3.0503167986984403</v>
      </c>
    </row>
    <row r="3101" spans="1:22" x14ac:dyDescent="0.3">
      <c r="A3101" t="str">
        <f t="shared" si="96"/>
        <v>IOGURTESLACTALIS</v>
      </c>
      <c r="B3101" t="str">
        <f t="shared" si="97"/>
        <v>5363097IOGURTESLACTALIS</v>
      </c>
      <c r="C3101" s="5" t="s">
        <v>226</v>
      </c>
      <c r="D3101" s="5" t="s">
        <v>227</v>
      </c>
      <c r="E3101" s="5" t="s">
        <v>1722</v>
      </c>
      <c r="F3101" s="5">
        <v>5363097</v>
      </c>
      <c r="G3101" s="5" t="s">
        <v>1439</v>
      </c>
      <c r="H3101" s="5" t="s">
        <v>30</v>
      </c>
      <c r="I3101" s="5" t="s">
        <v>22</v>
      </c>
      <c r="J3101" s="5" t="s">
        <v>153</v>
      </c>
      <c r="K3101" s="6">
        <v>0</v>
      </c>
      <c r="L3101" s="7">
        <v>0</v>
      </c>
      <c r="M3101" s="7">
        <v>0</v>
      </c>
      <c r="N3101" s="8">
        <v>0</v>
      </c>
      <c r="O3101" s="8">
        <v>0</v>
      </c>
      <c r="P3101" s="8">
        <v>0</v>
      </c>
      <c r="Q3101" s="8">
        <v>4.4800000000000004</v>
      </c>
      <c r="R3101" s="8">
        <v>0</v>
      </c>
      <c r="S3101" s="8">
        <v>0</v>
      </c>
      <c r="T3101" s="5">
        <v>0</v>
      </c>
      <c r="U3101" s="5">
        <v>0</v>
      </c>
      <c r="V3101" s="5">
        <f>VLOOKUP(A3101,Planilha1!B:E,4,0)</f>
        <v>3.0503167986984403</v>
      </c>
    </row>
    <row r="3102" spans="1:22" x14ac:dyDescent="0.3">
      <c r="A3102" t="str">
        <f t="shared" si="96"/>
        <v>LEITE CONDENSADOITAMBÉ</v>
      </c>
      <c r="B3102" t="str">
        <f t="shared" si="97"/>
        <v>5063322LEITE CONDENSADOITAMBÉ</v>
      </c>
      <c r="C3102" s="5" t="s">
        <v>226</v>
      </c>
      <c r="D3102" s="5" t="s">
        <v>727</v>
      </c>
      <c r="E3102" s="5" t="s">
        <v>733</v>
      </c>
      <c r="F3102" s="5">
        <v>5063322</v>
      </c>
      <c r="G3102" s="5" t="s">
        <v>1464</v>
      </c>
      <c r="H3102" s="5" t="s">
        <v>25</v>
      </c>
      <c r="I3102" s="5" t="s">
        <v>27</v>
      </c>
      <c r="J3102" s="5" t="s">
        <v>33</v>
      </c>
      <c r="K3102" s="6">
        <v>0</v>
      </c>
      <c r="L3102" s="7">
        <v>0</v>
      </c>
      <c r="M3102" s="7">
        <v>0</v>
      </c>
      <c r="N3102" s="8">
        <v>388.66666666666669</v>
      </c>
      <c r="O3102" s="8">
        <v>0</v>
      </c>
      <c r="P3102" s="8">
        <v>0</v>
      </c>
      <c r="Q3102" s="8">
        <v>0</v>
      </c>
      <c r="R3102" s="8">
        <v>0</v>
      </c>
      <c r="S3102" s="8">
        <v>0</v>
      </c>
      <c r="T3102" s="5">
        <v>0</v>
      </c>
      <c r="U3102" s="5">
        <v>0</v>
      </c>
      <c r="V3102" s="5">
        <f>VLOOKUP(A3102,Planilha1!B:E,4,0)</f>
        <v>1.4766792698630664</v>
      </c>
    </row>
    <row r="3103" spans="1:22" x14ac:dyDescent="0.3">
      <c r="A3103" t="str">
        <f t="shared" si="96"/>
        <v>LEITE CONDENSADOITAMBÉ</v>
      </c>
      <c r="B3103" t="str">
        <f t="shared" si="97"/>
        <v>5078445LEITE CONDENSADOITAMBÉ</v>
      </c>
      <c r="C3103" s="5" t="s">
        <v>226</v>
      </c>
      <c r="D3103" s="5" t="s">
        <v>833</v>
      </c>
      <c r="E3103" s="5" t="s">
        <v>875</v>
      </c>
      <c r="F3103" s="5">
        <v>5078445</v>
      </c>
      <c r="G3103" s="5" t="s">
        <v>1512</v>
      </c>
      <c r="H3103" s="5" t="s">
        <v>91</v>
      </c>
      <c r="I3103" s="5" t="s">
        <v>27</v>
      </c>
      <c r="J3103" s="5" t="s">
        <v>33</v>
      </c>
      <c r="K3103" s="6">
        <v>0</v>
      </c>
      <c r="L3103" s="7">
        <v>0</v>
      </c>
      <c r="M3103" s="7">
        <v>0</v>
      </c>
      <c r="N3103" s="8">
        <v>250</v>
      </c>
      <c r="O3103" s="8">
        <v>0</v>
      </c>
      <c r="P3103" s="8">
        <v>0</v>
      </c>
      <c r="Q3103" s="8">
        <v>0</v>
      </c>
      <c r="R3103" s="8">
        <v>0</v>
      </c>
      <c r="S3103" s="8">
        <v>250</v>
      </c>
      <c r="T3103" s="5">
        <v>250</v>
      </c>
      <c r="U3103" s="5">
        <v>250</v>
      </c>
      <c r="V3103" s="5">
        <f>VLOOKUP(A3103,Planilha1!B:E,4,0)</f>
        <v>1.4766792698630664</v>
      </c>
    </row>
    <row r="3104" spans="1:22" x14ac:dyDescent="0.3">
      <c r="A3104" t="str">
        <f t="shared" si="96"/>
        <v>LEITE CONDENSADOITAMBÉ</v>
      </c>
      <c r="B3104" t="str">
        <f t="shared" si="97"/>
        <v>5111398LEITE CONDENSADOITAMBÉ</v>
      </c>
      <c r="C3104" s="5" t="s">
        <v>149</v>
      </c>
      <c r="D3104" s="5" t="s">
        <v>150</v>
      </c>
      <c r="E3104" s="5" t="s">
        <v>186</v>
      </c>
      <c r="F3104" s="5">
        <v>5111398</v>
      </c>
      <c r="G3104" s="5" t="s">
        <v>1482</v>
      </c>
      <c r="H3104" s="5" t="s">
        <v>30</v>
      </c>
      <c r="I3104" s="5" t="s">
        <v>27</v>
      </c>
      <c r="J3104" s="5" t="s">
        <v>33</v>
      </c>
      <c r="K3104" s="6">
        <v>0</v>
      </c>
      <c r="L3104" s="7">
        <v>0</v>
      </c>
      <c r="M3104" s="7">
        <v>0</v>
      </c>
      <c r="N3104" s="8">
        <v>20</v>
      </c>
      <c r="O3104" s="8">
        <v>0</v>
      </c>
      <c r="P3104" s="8">
        <v>0</v>
      </c>
      <c r="Q3104" s="8">
        <v>0</v>
      </c>
      <c r="R3104" s="8">
        <v>0</v>
      </c>
      <c r="S3104" s="8">
        <v>0</v>
      </c>
      <c r="T3104" s="5">
        <v>0</v>
      </c>
      <c r="U3104" s="5">
        <v>0</v>
      </c>
      <c r="V3104" s="5">
        <f>VLOOKUP(A3104,Planilha1!B:E,4,0)</f>
        <v>1.4766792698630664</v>
      </c>
    </row>
    <row r="3105" spans="1:22" x14ac:dyDescent="0.3">
      <c r="A3105" t="str">
        <f t="shared" si="96"/>
        <v>LEITE CONDENSADOITAMBÉ</v>
      </c>
      <c r="B3105" t="str">
        <f t="shared" si="97"/>
        <v>5122245LEITE CONDENSADOITAMBÉ</v>
      </c>
      <c r="C3105" s="5" t="s">
        <v>226</v>
      </c>
      <c r="D3105" s="5" t="s">
        <v>752</v>
      </c>
      <c r="E3105" s="5" t="s">
        <v>1216</v>
      </c>
      <c r="F3105" s="5">
        <v>5122245</v>
      </c>
      <c r="G3105" s="5" t="s">
        <v>1476</v>
      </c>
      <c r="H3105" s="5" t="s">
        <v>154</v>
      </c>
      <c r="I3105" s="5" t="s">
        <v>27</v>
      </c>
      <c r="J3105" s="5" t="s">
        <v>33</v>
      </c>
      <c r="K3105" s="6">
        <v>0</v>
      </c>
      <c r="L3105" s="7">
        <v>0</v>
      </c>
      <c r="M3105" s="7">
        <v>0</v>
      </c>
      <c r="N3105" s="8">
        <v>161.66666666666666</v>
      </c>
      <c r="O3105" s="8">
        <v>0</v>
      </c>
      <c r="P3105" s="8">
        <v>0</v>
      </c>
      <c r="Q3105" s="8">
        <v>275.25</v>
      </c>
      <c r="R3105" s="8">
        <v>0</v>
      </c>
      <c r="S3105" s="8">
        <v>0</v>
      </c>
      <c r="T3105" s="5">
        <v>0</v>
      </c>
      <c r="U3105" s="5">
        <v>0</v>
      </c>
      <c r="V3105" s="5">
        <f>VLOOKUP(A3105,Planilha1!B:E,4,0)</f>
        <v>1.4766792698630664</v>
      </c>
    </row>
    <row r="3106" spans="1:22" x14ac:dyDescent="0.3">
      <c r="A3106" t="str">
        <f t="shared" si="96"/>
        <v>LEITE CONDENSADOITAMBÉ</v>
      </c>
      <c r="B3106" t="str">
        <f t="shared" si="97"/>
        <v>5131510LEITE CONDENSADOITAMBÉ</v>
      </c>
      <c r="C3106" s="5" t="s">
        <v>226</v>
      </c>
      <c r="D3106" s="5" t="s">
        <v>903</v>
      </c>
      <c r="E3106" s="5" t="s">
        <v>904</v>
      </c>
      <c r="F3106" s="5">
        <v>5131510</v>
      </c>
      <c r="G3106" s="5" t="s">
        <v>1513</v>
      </c>
      <c r="H3106" s="5" t="s">
        <v>113</v>
      </c>
      <c r="I3106" s="5" t="s">
        <v>27</v>
      </c>
      <c r="J3106" s="5" t="s">
        <v>33</v>
      </c>
      <c r="K3106" s="6">
        <v>0</v>
      </c>
      <c r="L3106" s="7">
        <v>0</v>
      </c>
      <c r="M3106" s="7">
        <v>0</v>
      </c>
      <c r="N3106" s="8">
        <v>82.666666666666671</v>
      </c>
      <c r="O3106" s="8">
        <v>0</v>
      </c>
      <c r="P3106" s="8">
        <v>0</v>
      </c>
      <c r="Q3106" s="8">
        <v>50</v>
      </c>
      <c r="R3106" s="8">
        <v>0</v>
      </c>
      <c r="S3106" s="8">
        <v>82.666666666666671</v>
      </c>
      <c r="T3106" s="5">
        <v>82.666666666666671</v>
      </c>
      <c r="U3106" s="5">
        <v>82.666666666666671</v>
      </c>
      <c r="V3106" s="5">
        <f>VLOOKUP(A3106,Planilha1!B:E,4,0)</f>
        <v>1.4766792698630664</v>
      </c>
    </row>
    <row r="3107" spans="1:22" x14ac:dyDescent="0.3">
      <c r="A3107" t="str">
        <f t="shared" si="96"/>
        <v>LEITE CONDENSADOITAMBÉ</v>
      </c>
      <c r="B3107" t="str">
        <f t="shared" si="97"/>
        <v>5161553LEITE CONDENSADOITAMBÉ</v>
      </c>
      <c r="C3107" s="5" t="s">
        <v>149</v>
      </c>
      <c r="D3107" s="5" t="s">
        <v>150</v>
      </c>
      <c r="E3107" s="5" t="s">
        <v>151</v>
      </c>
      <c r="F3107" s="5">
        <v>5161553</v>
      </c>
      <c r="G3107" s="5" t="s">
        <v>198</v>
      </c>
      <c r="H3107" s="5" t="s">
        <v>113</v>
      </c>
      <c r="I3107" s="5" t="s">
        <v>27</v>
      </c>
      <c r="J3107" s="5" t="s">
        <v>33</v>
      </c>
      <c r="K3107" s="6">
        <v>0</v>
      </c>
      <c r="L3107" s="7">
        <v>0</v>
      </c>
      <c r="M3107" s="7">
        <v>0</v>
      </c>
      <c r="N3107" s="8">
        <v>78.333333333333329</v>
      </c>
      <c r="O3107" s="8">
        <v>0</v>
      </c>
      <c r="P3107" s="8">
        <v>0</v>
      </c>
      <c r="Q3107" s="8">
        <v>0</v>
      </c>
      <c r="R3107" s="8">
        <v>0</v>
      </c>
      <c r="S3107" s="8">
        <v>0</v>
      </c>
      <c r="T3107" s="5">
        <v>0</v>
      </c>
      <c r="U3107" s="5">
        <v>0</v>
      </c>
      <c r="V3107" s="5">
        <f>VLOOKUP(A3107,Planilha1!B:E,4,0)</f>
        <v>1.4766792698630664</v>
      </c>
    </row>
    <row r="3108" spans="1:22" x14ac:dyDescent="0.3">
      <c r="A3108" t="str">
        <f t="shared" si="96"/>
        <v>LEITE CONDENSADOITAMBÉ</v>
      </c>
      <c r="B3108" t="str">
        <f t="shared" si="97"/>
        <v>5182318LEITE CONDENSADOITAMBÉ</v>
      </c>
      <c r="C3108" s="5" t="s">
        <v>226</v>
      </c>
      <c r="D3108" s="5" t="s">
        <v>833</v>
      </c>
      <c r="E3108" s="5" t="s">
        <v>875</v>
      </c>
      <c r="F3108" s="5">
        <v>5182318</v>
      </c>
      <c r="G3108" s="5" t="s">
        <v>1514</v>
      </c>
      <c r="H3108" s="5" t="s">
        <v>91</v>
      </c>
      <c r="I3108" s="5" t="s">
        <v>27</v>
      </c>
      <c r="J3108" s="5" t="s">
        <v>33</v>
      </c>
      <c r="K3108" s="6">
        <v>0</v>
      </c>
      <c r="L3108" s="7">
        <v>0</v>
      </c>
      <c r="M3108" s="7">
        <v>0</v>
      </c>
      <c r="N3108" s="8">
        <v>216.66666666666669</v>
      </c>
      <c r="O3108" s="8">
        <v>0</v>
      </c>
      <c r="P3108" s="8">
        <v>0</v>
      </c>
      <c r="Q3108" s="8">
        <v>0</v>
      </c>
      <c r="R3108" s="8">
        <v>0</v>
      </c>
      <c r="S3108" s="8">
        <v>216.66666666666669</v>
      </c>
      <c r="T3108" s="5">
        <v>216.66666666666669</v>
      </c>
      <c r="U3108" s="5">
        <v>216.66666666666669</v>
      </c>
      <c r="V3108" s="5">
        <f>VLOOKUP(A3108,Planilha1!B:E,4,0)</f>
        <v>1.4766792698630664</v>
      </c>
    </row>
    <row r="3109" spans="1:22" x14ac:dyDescent="0.3">
      <c r="A3109" t="str">
        <f t="shared" si="96"/>
        <v>LEITE CONDENSADOITAMBÉ</v>
      </c>
      <c r="B3109" t="str">
        <f t="shared" si="97"/>
        <v>5184155LEITE CONDENSADOITAMBÉ</v>
      </c>
      <c r="C3109" s="5" t="s">
        <v>226</v>
      </c>
      <c r="D3109" s="5" t="s">
        <v>833</v>
      </c>
      <c r="E3109" s="5" t="s">
        <v>875</v>
      </c>
      <c r="F3109" s="5">
        <v>5184155</v>
      </c>
      <c r="G3109" s="5" t="s">
        <v>883</v>
      </c>
      <c r="H3109" s="5" t="s">
        <v>91</v>
      </c>
      <c r="I3109" s="5" t="s">
        <v>27</v>
      </c>
      <c r="J3109" s="5" t="s">
        <v>33</v>
      </c>
      <c r="K3109" s="6">
        <v>0</v>
      </c>
      <c r="L3109" s="7">
        <v>0</v>
      </c>
      <c r="M3109" s="7">
        <v>0</v>
      </c>
      <c r="N3109" s="8">
        <v>710</v>
      </c>
      <c r="O3109" s="8">
        <v>0</v>
      </c>
      <c r="P3109" s="8">
        <v>0</v>
      </c>
      <c r="Q3109" s="8">
        <v>0</v>
      </c>
      <c r="R3109" s="8">
        <v>0</v>
      </c>
      <c r="S3109" s="8">
        <v>0</v>
      </c>
      <c r="T3109" s="5">
        <v>0</v>
      </c>
      <c r="U3109" s="5">
        <v>710</v>
      </c>
      <c r="V3109" s="5">
        <f>VLOOKUP(A3109,Planilha1!B:E,4,0)</f>
        <v>1.4766792698630664</v>
      </c>
    </row>
    <row r="3110" spans="1:22" x14ac:dyDescent="0.3">
      <c r="A3110" t="str">
        <f t="shared" si="96"/>
        <v>LEITE CONDENSADOITAMBÉ</v>
      </c>
      <c r="B3110" t="str">
        <f t="shared" si="97"/>
        <v>5226129LEITE CONDENSADOITAMBÉ</v>
      </c>
      <c r="C3110" s="5" t="s">
        <v>226</v>
      </c>
      <c r="D3110" s="5" t="s">
        <v>752</v>
      </c>
      <c r="E3110" s="5" t="s">
        <v>774</v>
      </c>
      <c r="F3110" s="5">
        <v>5226129</v>
      </c>
      <c r="G3110" s="5" t="s">
        <v>1457</v>
      </c>
      <c r="H3110" s="5" t="s">
        <v>32</v>
      </c>
      <c r="I3110" s="5" t="s">
        <v>27</v>
      </c>
      <c r="J3110" s="5" t="s">
        <v>33</v>
      </c>
      <c r="K3110" s="6">
        <v>0</v>
      </c>
      <c r="L3110" s="7">
        <v>0</v>
      </c>
      <c r="M3110" s="7">
        <v>0</v>
      </c>
      <c r="N3110" s="8">
        <v>40.333333333333336</v>
      </c>
      <c r="O3110" s="8">
        <v>0</v>
      </c>
      <c r="P3110" s="8">
        <v>0</v>
      </c>
      <c r="Q3110" s="8">
        <v>0</v>
      </c>
      <c r="R3110" s="8">
        <v>0</v>
      </c>
      <c r="S3110" s="8">
        <v>300</v>
      </c>
      <c r="T3110" s="5">
        <v>300</v>
      </c>
      <c r="U3110" s="5">
        <v>0</v>
      </c>
      <c r="V3110" s="5">
        <f>VLOOKUP(A3110,Planilha1!B:E,4,0)</f>
        <v>1.4766792698630664</v>
      </c>
    </row>
    <row r="3111" spans="1:22" x14ac:dyDescent="0.3">
      <c r="A3111" t="str">
        <f t="shared" si="96"/>
        <v>LEITE CONDENSADOITAMBÉ</v>
      </c>
      <c r="B3111" t="str">
        <f t="shared" si="97"/>
        <v>5271447LEITE CONDENSADOITAMBÉ</v>
      </c>
      <c r="C3111" s="5" t="s">
        <v>226</v>
      </c>
      <c r="D3111" s="5" t="s">
        <v>752</v>
      </c>
      <c r="E3111" s="5" t="s">
        <v>767</v>
      </c>
      <c r="F3111" s="5">
        <v>5271447</v>
      </c>
      <c r="G3111" s="5" t="s">
        <v>772</v>
      </c>
      <c r="H3111" s="5" t="s">
        <v>32</v>
      </c>
      <c r="I3111" s="5" t="s">
        <v>27</v>
      </c>
      <c r="J3111" s="5" t="s">
        <v>33</v>
      </c>
      <c r="K3111" s="6">
        <v>0</v>
      </c>
      <c r="L3111" s="7">
        <v>0</v>
      </c>
      <c r="M3111" s="7">
        <v>0</v>
      </c>
      <c r="N3111" s="8">
        <v>606.66666666666663</v>
      </c>
      <c r="O3111" s="8">
        <v>0</v>
      </c>
      <c r="P3111" s="8">
        <v>0</v>
      </c>
      <c r="Q3111" s="8">
        <v>0</v>
      </c>
      <c r="R3111" s="8">
        <v>0</v>
      </c>
      <c r="S3111" s="8">
        <v>910</v>
      </c>
      <c r="T3111" s="5">
        <v>910</v>
      </c>
      <c r="U3111" s="5">
        <v>220</v>
      </c>
      <c r="V3111" s="5">
        <f>VLOOKUP(A3111,Planilha1!B:E,4,0)</f>
        <v>1.4766792698630664</v>
      </c>
    </row>
    <row r="3112" spans="1:22" x14ac:dyDescent="0.3">
      <c r="A3112" t="str">
        <f t="shared" si="96"/>
        <v>LEITE CONDENSADOITAMBÉ</v>
      </c>
      <c r="B3112" t="str">
        <f t="shared" si="97"/>
        <v>5275476LEITE CONDENSADOITAMBÉ</v>
      </c>
      <c r="C3112" s="5" t="s">
        <v>226</v>
      </c>
      <c r="D3112" s="5" t="s">
        <v>752</v>
      </c>
      <c r="E3112" s="5" t="s">
        <v>767</v>
      </c>
      <c r="F3112" s="5">
        <v>5275476</v>
      </c>
      <c r="G3112" s="5" t="s">
        <v>1040</v>
      </c>
      <c r="H3112" s="5" t="s">
        <v>30</v>
      </c>
      <c r="I3112" s="5" t="s">
        <v>27</v>
      </c>
      <c r="J3112" s="5" t="s">
        <v>33</v>
      </c>
      <c r="K3112" s="6">
        <v>0</v>
      </c>
      <c r="L3112" s="7">
        <v>0</v>
      </c>
      <c r="M3112" s="7">
        <v>0</v>
      </c>
      <c r="N3112" s="8">
        <v>126.66666666666667</v>
      </c>
      <c r="O3112" s="8">
        <v>0</v>
      </c>
      <c r="P3112" s="8">
        <v>0</v>
      </c>
      <c r="Q3112" s="8">
        <v>0</v>
      </c>
      <c r="R3112" s="8">
        <v>0</v>
      </c>
      <c r="S3112" s="8">
        <v>0</v>
      </c>
      <c r="T3112" s="5">
        <v>0</v>
      </c>
      <c r="U3112" s="5">
        <v>0</v>
      </c>
      <c r="V3112" s="5">
        <f>VLOOKUP(A3112,Planilha1!B:E,4,0)</f>
        <v>1.4766792698630664</v>
      </c>
    </row>
    <row r="3113" spans="1:22" x14ac:dyDescent="0.3">
      <c r="A3113" t="str">
        <f t="shared" si="96"/>
        <v>LEITE CONDENSADOITAMBÉ</v>
      </c>
      <c r="B3113" t="str">
        <f t="shared" si="97"/>
        <v>5320070LEITE CONDENSADOITAMBÉ</v>
      </c>
      <c r="C3113" s="5" t="s">
        <v>226</v>
      </c>
      <c r="D3113" s="5" t="s">
        <v>752</v>
      </c>
      <c r="E3113" s="5" t="s">
        <v>767</v>
      </c>
      <c r="F3113" s="5">
        <v>5320070</v>
      </c>
      <c r="G3113" s="5" t="s">
        <v>1041</v>
      </c>
      <c r="H3113" s="5" t="s">
        <v>154</v>
      </c>
      <c r="I3113" s="5" t="s">
        <v>27</v>
      </c>
      <c r="J3113" s="5" t="s">
        <v>33</v>
      </c>
      <c r="K3113" s="6">
        <v>0</v>
      </c>
      <c r="L3113" s="7">
        <v>0</v>
      </c>
      <c r="M3113" s="7">
        <v>0</v>
      </c>
      <c r="N3113" s="8">
        <v>56.666666666666664</v>
      </c>
      <c r="O3113" s="8">
        <v>0</v>
      </c>
      <c r="P3113" s="8">
        <v>0</v>
      </c>
      <c r="Q3113" s="8">
        <v>0</v>
      </c>
      <c r="R3113" s="8">
        <v>0</v>
      </c>
      <c r="S3113" s="8">
        <v>0</v>
      </c>
      <c r="T3113" s="5">
        <v>0</v>
      </c>
      <c r="U3113" s="5">
        <v>0</v>
      </c>
      <c r="V3113" s="5">
        <f>VLOOKUP(A3113,Planilha1!B:E,4,0)</f>
        <v>1.4766792698630664</v>
      </c>
    </row>
    <row r="3114" spans="1:22" x14ac:dyDescent="0.3">
      <c r="A3114" t="str">
        <f t="shared" si="96"/>
        <v>LEITE CONDENSADOITAMBÉ</v>
      </c>
      <c r="B3114" t="str">
        <f t="shared" si="97"/>
        <v>5355125LEITE CONDENSADOITAMBÉ</v>
      </c>
      <c r="C3114" s="5" t="s">
        <v>16</v>
      </c>
      <c r="D3114" s="5" t="s">
        <v>53</v>
      </c>
      <c r="E3114" s="5" t="s">
        <v>54</v>
      </c>
      <c r="F3114" s="5">
        <v>5355125</v>
      </c>
      <c r="G3114" s="5" t="s">
        <v>1515</v>
      </c>
      <c r="H3114" s="5" t="s">
        <v>113</v>
      </c>
      <c r="I3114" s="5" t="s">
        <v>27</v>
      </c>
      <c r="J3114" s="5" t="s">
        <v>33</v>
      </c>
      <c r="K3114" s="6">
        <v>0</v>
      </c>
      <c r="L3114" s="7">
        <v>0</v>
      </c>
      <c r="M3114" s="7">
        <v>0</v>
      </c>
      <c r="N3114" s="8">
        <v>180</v>
      </c>
      <c r="O3114" s="8">
        <v>0</v>
      </c>
      <c r="P3114" s="8">
        <v>0</v>
      </c>
      <c r="Q3114" s="8">
        <v>0</v>
      </c>
      <c r="R3114" s="8">
        <v>0</v>
      </c>
      <c r="S3114" s="8">
        <v>0</v>
      </c>
      <c r="T3114" s="5">
        <v>0</v>
      </c>
      <c r="U3114" s="5">
        <v>0</v>
      </c>
      <c r="V3114" s="5">
        <f>VLOOKUP(A3114,Planilha1!B:E,4,0)</f>
        <v>1.4766792698630664</v>
      </c>
    </row>
    <row r="3115" spans="1:22" x14ac:dyDescent="0.3">
      <c r="A3115" t="str">
        <f t="shared" si="96"/>
        <v>LEITE CONDENSADOITAMBÉ</v>
      </c>
      <c r="B3115" t="str">
        <f t="shared" si="97"/>
        <v>5357699LEITE CONDENSADOITAMBÉ</v>
      </c>
      <c r="C3115" s="5" t="s">
        <v>16</v>
      </c>
      <c r="D3115" s="5" t="s">
        <v>53</v>
      </c>
      <c r="E3115" s="5" t="s">
        <v>54</v>
      </c>
      <c r="F3115" s="5">
        <v>5357699</v>
      </c>
      <c r="G3115" s="5" t="s">
        <v>1516</v>
      </c>
      <c r="H3115" s="5" t="s">
        <v>113</v>
      </c>
      <c r="I3115" s="5" t="s">
        <v>27</v>
      </c>
      <c r="J3115" s="5" t="s">
        <v>33</v>
      </c>
      <c r="K3115" s="6">
        <v>0</v>
      </c>
      <c r="L3115" s="7">
        <v>0</v>
      </c>
      <c r="M3115" s="7">
        <v>0</v>
      </c>
      <c r="N3115" s="8">
        <v>0</v>
      </c>
      <c r="O3115" s="8">
        <v>0</v>
      </c>
      <c r="P3115" s="8">
        <v>0</v>
      </c>
      <c r="Q3115" s="8">
        <v>0</v>
      </c>
      <c r="R3115" s="8">
        <v>0</v>
      </c>
      <c r="S3115" s="8">
        <v>0</v>
      </c>
      <c r="T3115" s="5">
        <v>0</v>
      </c>
      <c r="U3115" s="5">
        <v>0</v>
      </c>
      <c r="V3115" s="5">
        <f>VLOOKUP(A3115,Planilha1!B:E,4,0)</f>
        <v>1.4766792698630664</v>
      </c>
    </row>
    <row r="3116" spans="1:22" x14ac:dyDescent="0.3">
      <c r="A3116" t="str">
        <f t="shared" si="96"/>
        <v>LEITE CONDENSADOITAMBÉ</v>
      </c>
      <c r="B3116" t="str">
        <f t="shared" si="97"/>
        <v>5357700LEITE CONDENSADOITAMBÉ</v>
      </c>
      <c r="C3116" s="5" t="s">
        <v>226</v>
      </c>
      <c r="D3116" s="5" t="s">
        <v>833</v>
      </c>
      <c r="E3116" s="5" t="s">
        <v>852</v>
      </c>
      <c r="F3116" s="5">
        <v>5357700</v>
      </c>
      <c r="G3116" s="5" t="s">
        <v>1460</v>
      </c>
      <c r="H3116" s="5" t="s">
        <v>40</v>
      </c>
      <c r="I3116" s="5" t="s">
        <v>27</v>
      </c>
      <c r="J3116" s="5" t="s">
        <v>33</v>
      </c>
      <c r="K3116" s="6">
        <v>0</v>
      </c>
      <c r="L3116" s="7">
        <v>0</v>
      </c>
      <c r="M3116" s="7">
        <v>0</v>
      </c>
      <c r="N3116" s="8">
        <v>33.333333333333336</v>
      </c>
      <c r="O3116" s="8">
        <v>0</v>
      </c>
      <c r="P3116" s="8">
        <v>0</v>
      </c>
      <c r="Q3116" s="8">
        <v>0</v>
      </c>
      <c r="R3116" s="8">
        <v>0</v>
      </c>
      <c r="S3116" s="8">
        <v>0</v>
      </c>
      <c r="T3116" s="5">
        <v>0</v>
      </c>
      <c r="U3116" s="5">
        <v>33</v>
      </c>
      <c r="V3116" s="5">
        <f>VLOOKUP(A3116,Planilha1!B:E,4,0)</f>
        <v>1.4766792698630664</v>
      </c>
    </row>
    <row r="3117" spans="1:22" x14ac:dyDescent="0.3">
      <c r="A3117" t="str">
        <f t="shared" si="96"/>
        <v>LEITE CONDENSADOITAMBÉ</v>
      </c>
      <c r="B3117" t="str">
        <f t="shared" si="97"/>
        <v>5359623LEITE CONDENSADOITAMBÉ</v>
      </c>
      <c r="C3117" s="5" t="s">
        <v>226</v>
      </c>
      <c r="D3117" s="5" t="s">
        <v>797</v>
      </c>
      <c r="E3117" s="5" t="s">
        <v>753</v>
      </c>
      <c r="F3117" s="5">
        <v>5359623</v>
      </c>
      <c r="G3117" s="5" t="s">
        <v>1444</v>
      </c>
      <c r="H3117" s="5" t="s">
        <v>20</v>
      </c>
      <c r="I3117" s="5" t="s">
        <v>27</v>
      </c>
      <c r="J3117" s="5" t="s">
        <v>33</v>
      </c>
      <c r="K3117" s="6">
        <v>0</v>
      </c>
      <c r="L3117" s="7">
        <v>0</v>
      </c>
      <c r="M3117" s="7">
        <v>0</v>
      </c>
      <c r="N3117" s="8">
        <v>187.33333333333334</v>
      </c>
      <c r="O3117" s="8">
        <v>0</v>
      </c>
      <c r="P3117" s="8">
        <v>0</v>
      </c>
      <c r="Q3117" s="8">
        <v>0</v>
      </c>
      <c r="R3117" s="8">
        <v>0</v>
      </c>
      <c r="S3117" s="8">
        <v>0</v>
      </c>
      <c r="T3117" s="5">
        <v>0</v>
      </c>
      <c r="U3117" s="5">
        <v>0</v>
      </c>
      <c r="V3117" s="5">
        <f>VLOOKUP(A3117,Planilha1!B:E,4,0)</f>
        <v>1.4766792698630664</v>
      </c>
    </row>
    <row r="3118" spans="1:22" x14ac:dyDescent="0.3">
      <c r="A3118" t="str">
        <f t="shared" si="96"/>
        <v>LEITE CONDENSADOITAMBÉ</v>
      </c>
      <c r="B3118" t="str">
        <f t="shared" si="97"/>
        <v>5361020LEITE CONDENSADOITAMBÉ</v>
      </c>
      <c r="C3118" s="5" t="s">
        <v>226</v>
      </c>
      <c r="D3118" s="5" t="s">
        <v>752</v>
      </c>
      <c r="E3118" s="5" t="s">
        <v>774</v>
      </c>
      <c r="F3118" s="5">
        <v>5361020</v>
      </c>
      <c r="G3118" s="5" t="s">
        <v>1465</v>
      </c>
      <c r="H3118" s="5" t="s">
        <v>32</v>
      </c>
      <c r="I3118" s="5" t="s">
        <v>27</v>
      </c>
      <c r="J3118" s="5" t="s">
        <v>33</v>
      </c>
      <c r="K3118" s="6">
        <v>0</v>
      </c>
      <c r="L3118" s="7">
        <v>0</v>
      </c>
      <c r="M3118" s="7">
        <v>0</v>
      </c>
      <c r="N3118" s="8">
        <v>32.333333333333336</v>
      </c>
      <c r="O3118" s="8">
        <v>0</v>
      </c>
      <c r="P3118" s="8">
        <v>0</v>
      </c>
      <c r="Q3118" s="8">
        <v>0</v>
      </c>
      <c r="R3118" s="8">
        <v>0</v>
      </c>
      <c r="S3118" s="8">
        <v>60</v>
      </c>
      <c r="T3118" s="5">
        <v>60</v>
      </c>
      <c r="U3118" s="5">
        <v>0</v>
      </c>
      <c r="V3118" s="5">
        <f>VLOOKUP(A3118,Planilha1!B:E,4,0)</f>
        <v>1.4766792698630664</v>
      </c>
    </row>
    <row r="3119" spans="1:22" x14ac:dyDescent="0.3">
      <c r="A3119" t="str">
        <f t="shared" si="96"/>
        <v>LEITE CONDENSADOITAMBÉ</v>
      </c>
      <c r="B3119" t="str">
        <f t="shared" si="97"/>
        <v>5361277LEITE CONDENSADOITAMBÉ</v>
      </c>
      <c r="C3119" s="5" t="s">
        <v>226</v>
      </c>
      <c r="D3119" s="5" t="s">
        <v>727</v>
      </c>
      <c r="E3119" s="5" t="s">
        <v>733</v>
      </c>
      <c r="F3119" s="5">
        <v>5361277</v>
      </c>
      <c r="G3119" s="5" t="s">
        <v>1239</v>
      </c>
      <c r="H3119" s="5" t="s">
        <v>25</v>
      </c>
      <c r="I3119" s="5" t="s">
        <v>27</v>
      </c>
      <c r="J3119" s="5" t="s">
        <v>33</v>
      </c>
      <c r="K3119" s="6">
        <v>0</v>
      </c>
      <c r="L3119" s="7">
        <v>0</v>
      </c>
      <c r="M3119" s="7">
        <v>0</v>
      </c>
      <c r="N3119" s="8">
        <v>3</v>
      </c>
      <c r="O3119" s="8">
        <v>0</v>
      </c>
      <c r="P3119" s="8">
        <v>0</v>
      </c>
      <c r="Q3119" s="8">
        <v>0</v>
      </c>
      <c r="R3119" s="8">
        <v>0</v>
      </c>
      <c r="S3119" s="8">
        <v>0</v>
      </c>
      <c r="T3119" s="5">
        <v>0</v>
      </c>
      <c r="U3119" s="5">
        <v>0</v>
      </c>
      <c r="V3119" s="5">
        <f>VLOOKUP(A3119,Planilha1!B:E,4,0)</f>
        <v>1.4766792698630664</v>
      </c>
    </row>
    <row r="3120" spans="1:22" x14ac:dyDescent="0.3">
      <c r="A3120" t="str">
        <f t="shared" si="96"/>
        <v>LEITE CONDENSADOLACTALIS</v>
      </c>
      <c r="B3120" t="str">
        <f t="shared" si="97"/>
        <v>5077482LEITE CONDENSADOLACTALIS</v>
      </c>
      <c r="C3120" s="5" t="s">
        <v>16</v>
      </c>
      <c r="D3120" s="5" t="s">
        <v>28</v>
      </c>
      <c r="E3120" s="5" t="s">
        <v>28</v>
      </c>
      <c r="F3120" s="5">
        <v>5077482</v>
      </c>
      <c r="G3120" s="5" t="s">
        <v>164</v>
      </c>
      <c r="H3120" s="5" t="s">
        <v>30</v>
      </c>
      <c r="I3120" s="5" t="s">
        <v>22</v>
      </c>
      <c r="J3120" s="5" t="s">
        <v>33</v>
      </c>
      <c r="K3120" s="6">
        <v>0</v>
      </c>
      <c r="L3120" s="7">
        <v>0</v>
      </c>
      <c r="M3120" s="7">
        <v>0</v>
      </c>
      <c r="N3120" s="8">
        <v>70</v>
      </c>
      <c r="O3120" s="8">
        <v>0</v>
      </c>
      <c r="P3120" s="8">
        <v>0</v>
      </c>
      <c r="Q3120" s="8">
        <v>70</v>
      </c>
      <c r="R3120" s="8">
        <v>0</v>
      </c>
      <c r="S3120" s="8">
        <v>0</v>
      </c>
      <c r="T3120" s="5">
        <v>0</v>
      </c>
      <c r="U3120" s="5">
        <v>0</v>
      </c>
      <c r="V3120" s="5">
        <f>VLOOKUP(A3120,Planilha1!B:E,4,0)</f>
        <v>1.8665071822970765</v>
      </c>
    </row>
    <row r="3121" spans="1:22" x14ac:dyDescent="0.3">
      <c r="A3121" t="str">
        <f t="shared" si="96"/>
        <v>LEITE CONDENSADOLACTALIS</v>
      </c>
      <c r="B3121" t="str">
        <f t="shared" si="97"/>
        <v>5161553LEITE CONDENSADOLACTALIS</v>
      </c>
      <c r="C3121" s="5" t="s">
        <v>149</v>
      </c>
      <c r="D3121" s="5" t="s">
        <v>150</v>
      </c>
      <c r="E3121" s="5" t="s">
        <v>151</v>
      </c>
      <c r="F3121" s="5">
        <v>5161553</v>
      </c>
      <c r="G3121" s="5" t="s">
        <v>198</v>
      </c>
      <c r="H3121" s="5" t="s">
        <v>113</v>
      </c>
      <c r="I3121" s="5" t="s">
        <v>22</v>
      </c>
      <c r="J3121" s="5" t="s">
        <v>33</v>
      </c>
      <c r="K3121" s="6">
        <v>0</v>
      </c>
      <c r="L3121" s="7">
        <v>0</v>
      </c>
      <c r="M3121" s="7">
        <v>0</v>
      </c>
      <c r="N3121" s="8">
        <v>218.82999999999998</v>
      </c>
      <c r="O3121" s="8">
        <v>0</v>
      </c>
      <c r="P3121" s="8">
        <v>0</v>
      </c>
      <c r="Q3121" s="8">
        <v>0</v>
      </c>
      <c r="R3121" s="8">
        <v>0</v>
      </c>
      <c r="S3121" s="8">
        <v>0</v>
      </c>
      <c r="T3121" s="5">
        <v>0</v>
      </c>
      <c r="U3121" s="5">
        <v>123</v>
      </c>
      <c r="V3121" s="5">
        <f>VLOOKUP(A3121,Planilha1!B:E,4,0)</f>
        <v>1.8665071822970765</v>
      </c>
    </row>
    <row r="3122" spans="1:22" x14ac:dyDescent="0.3">
      <c r="A3122" t="str">
        <f t="shared" si="96"/>
        <v>LEITE CONDENSADOLACTALIS</v>
      </c>
      <c r="B3122" t="str">
        <f t="shared" si="97"/>
        <v>5248655LEITE CONDENSADOLACTALIS</v>
      </c>
      <c r="C3122" s="5" t="s">
        <v>226</v>
      </c>
      <c r="D3122" s="5" t="s">
        <v>227</v>
      </c>
      <c r="E3122" s="5" t="s">
        <v>1722</v>
      </c>
      <c r="F3122" s="5">
        <v>5248655</v>
      </c>
      <c r="G3122" s="5" t="s">
        <v>1074</v>
      </c>
      <c r="H3122" s="5" t="s">
        <v>30</v>
      </c>
      <c r="I3122" s="5" t="s">
        <v>22</v>
      </c>
      <c r="J3122" s="5" t="s">
        <v>33</v>
      </c>
      <c r="K3122" s="6">
        <v>0</v>
      </c>
      <c r="L3122" s="7">
        <v>0</v>
      </c>
      <c r="M3122" s="7">
        <v>0</v>
      </c>
      <c r="N3122" s="8">
        <v>180.12</v>
      </c>
      <c r="O3122" s="8">
        <v>0</v>
      </c>
      <c r="P3122" s="8">
        <v>0</v>
      </c>
      <c r="Q3122" s="8">
        <v>0</v>
      </c>
      <c r="R3122" s="8">
        <v>0</v>
      </c>
      <c r="S3122" s="8">
        <v>0</v>
      </c>
      <c r="T3122" s="5">
        <v>0</v>
      </c>
      <c r="U3122" s="5">
        <v>0</v>
      </c>
      <c r="V3122" s="5">
        <f>VLOOKUP(A3122,Planilha1!B:E,4,0)</f>
        <v>1.8665071822970765</v>
      </c>
    </row>
    <row r="3123" spans="1:22" x14ac:dyDescent="0.3">
      <c r="A3123" t="str">
        <f t="shared" si="96"/>
        <v>LEITE CONDENSADOLACTALIS</v>
      </c>
      <c r="B3123" t="str">
        <f t="shared" si="97"/>
        <v>5320070LEITE CONDENSADOLACTALIS</v>
      </c>
      <c r="C3123" s="5" t="s">
        <v>226</v>
      </c>
      <c r="D3123" s="5" t="s">
        <v>752</v>
      </c>
      <c r="E3123" s="5" t="s">
        <v>767</v>
      </c>
      <c r="F3123" s="5">
        <v>5320070</v>
      </c>
      <c r="G3123" s="5" t="s">
        <v>1041</v>
      </c>
      <c r="H3123" s="5" t="s">
        <v>154</v>
      </c>
      <c r="I3123" s="5" t="s">
        <v>22</v>
      </c>
      <c r="J3123" s="5" t="s">
        <v>33</v>
      </c>
      <c r="K3123" s="6">
        <v>0</v>
      </c>
      <c r="L3123" s="7">
        <v>0</v>
      </c>
      <c r="M3123" s="7">
        <v>0</v>
      </c>
      <c r="N3123" s="8">
        <v>191.33333333333334</v>
      </c>
      <c r="O3123" s="8">
        <v>0</v>
      </c>
      <c r="P3123" s="8">
        <v>0</v>
      </c>
      <c r="Q3123" s="8">
        <v>700</v>
      </c>
      <c r="R3123" s="8">
        <v>0</v>
      </c>
      <c r="S3123" s="8">
        <v>0</v>
      </c>
      <c r="T3123" s="5">
        <v>0</v>
      </c>
      <c r="U3123" s="5">
        <v>0</v>
      </c>
      <c r="V3123" s="5">
        <f>VLOOKUP(A3123,Planilha1!B:E,4,0)</f>
        <v>1.8665071822970765</v>
      </c>
    </row>
    <row r="3124" spans="1:22" x14ac:dyDescent="0.3">
      <c r="A3124" t="str">
        <f t="shared" si="96"/>
        <v>LEITE CONDENSADOLACTALIS</v>
      </c>
      <c r="B3124" t="str">
        <f t="shared" si="97"/>
        <v>5349218LEITE CONDENSADOLACTALIS</v>
      </c>
      <c r="C3124" s="5" t="s">
        <v>226</v>
      </c>
      <c r="D3124" s="5" t="s">
        <v>227</v>
      </c>
      <c r="E3124" s="5" t="s">
        <v>1722</v>
      </c>
      <c r="F3124" s="5">
        <v>5349218</v>
      </c>
      <c r="G3124" s="5" t="s">
        <v>1469</v>
      </c>
      <c r="H3124" s="5" t="s">
        <v>30</v>
      </c>
      <c r="I3124" s="5" t="s">
        <v>22</v>
      </c>
      <c r="J3124" s="5" t="s">
        <v>33</v>
      </c>
      <c r="K3124" s="6">
        <v>0</v>
      </c>
      <c r="L3124" s="7">
        <v>0</v>
      </c>
      <c r="M3124" s="7">
        <v>0</v>
      </c>
      <c r="N3124" s="8">
        <v>0</v>
      </c>
      <c r="O3124" s="8">
        <v>0</v>
      </c>
      <c r="P3124" s="8">
        <v>0</v>
      </c>
      <c r="Q3124" s="8">
        <v>0</v>
      </c>
      <c r="R3124" s="8">
        <v>0</v>
      </c>
      <c r="S3124" s="8">
        <v>0</v>
      </c>
      <c r="T3124" s="5">
        <v>0</v>
      </c>
      <c r="U3124" s="5">
        <v>19</v>
      </c>
      <c r="V3124" s="5">
        <f>VLOOKUP(A3124,Planilha1!B:E,4,0)</f>
        <v>1.8665071822970765</v>
      </c>
    </row>
    <row r="3125" spans="1:22" x14ac:dyDescent="0.3">
      <c r="A3125" t="str">
        <f t="shared" si="96"/>
        <v>LEITE CONDENSADOLACTALIS</v>
      </c>
      <c r="B3125" t="str">
        <f t="shared" si="97"/>
        <v>5349798LEITE CONDENSADOLACTALIS</v>
      </c>
      <c r="C3125" s="5" t="s">
        <v>226</v>
      </c>
      <c r="D3125" s="5" t="s">
        <v>227</v>
      </c>
      <c r="E3125" s="5" t="s">
        <v>1722</v>
      </c>
      <c r="F3125" s="5">
        <v>5349798</v>
      </c>
      <c r="G3125" s="5" t="s">
        <v>533</v>
      </c>
      <c r="H3125" s="5" t="s">
        <v>30</v>
      </c>
      <c r="I3125" s="5" t="s">
        <v>22</v>
      </c>
      <c r="J3125" s="5" t="s">
        <v>33</v>
      </c>
      <c r="K3125" s="6">
        <v>0</v>
      </c>
      <c r="L3125" s="7">
        <v>0</v>
      </c>
      <c r="M3125" s="7">
        <v>0</v>
      </c>
      <c r="N3125" s="8">
        <v>12.64</v>
      </c>
      <c r="O3125" s="8">
        <v>0</v>
      </c>
      <c r="P3125" s="8">
        <v>0</v>
      </c>
      <c r="Q3125" s="8">
        <v>0</v>
      </c>
      <c r="R3125" s="8">
        <v>0</v>
      </c>
      <c r="S3125" s="8">
        <v>47</v>
      </c>
      <c r="T3125" s="5">
        <v>47</v>
      </c>
      <c r="U3125" s="5">
        <v>28</v>
      </c>
      <c r="V3125" s="5">
        <f>VLOOKUP(A3125,Planilha1!B:E,4,0)</f>
        <v>1.8665071822970765</v>
      </c>
    </row>
    <row r="3126" spans="1:22" x14ac:dyDescent="0.3">
      <c r="A3126" t="str">
        <f t="shared" si="96"/>
        <v>LEITE CONDENSADOLACTALIS</v>
      </c>
      <c r="B3126" t="str">
        <f t="shared" si="97"/>
        <v>5352327LEITE CONDENSADOLACTALIS</v>
      </c>
      <c r="C3126" s="5" t="s">
        <v>226</v>
      </c>
      <c r="D3126" s="5" t="s">
        <v>227</v>
      </c>
      <c r="E3126" s="5" t="s">
        <v>1722</v>
      </c>
      <c r="F3126" s="5">
        <v>5352327</v>
      </c>
      <c r="G3126" s="5" t="s">
        <v>492</v>
      </c>
      <c r="H3126" s="5" t="s">
        <v>30</v>
      </c>
      <c r="I3126" s="5" t="s">
        <v>22</v>
      </c>
      <c r="J3126" s="5" t="s">
        <v>33</v>
      </c>
      <c r="K3126" s="6">
        <v>0</v>
      </c>
      <c r="L3126" s="7">
        <v>0</v>
      </c>
      <c r="M3126" s="7">
        <v>0</v>
      </c>
      <c r="N3126" s="8">
        <v>14</v>
      </c>
      <c r="O3126" s="8">
        <v>0</v>
      </c>
      <c r="P3126" s="8">
        <v>0</v>
      </c>
      <c r="Q3126" s="8">
        <v>14</v>
      </c>
      <c r="R3126" s="8">
        <v>0</v>
      </c>
      <c r="S3126" s="8">
        <v>0</v>
      </c>
      <c r="T3126" s="5">
        <v>0</v>
      </c>
      <c r="U3126" s="5">
        <v>0</v>
      </c>
      <c r="V3126" s="5">
        <f>VLOOKUP(A3126,Planilha1!B:E,4,0)</f>
        <v>1.8665071822970765</v>
      </c>
    </row>
    <row r="3127" spans="1:22" x14ac:dyDescent="0.3">
      <c r="A3127" t="str">
        <f t="shared" si="96"/>
        <v>LEITE CONDENSADOLACTALIS</v>
      </c>
      <c r="B3127" t="str">
        <f t="shared" si="97"/>
        <v>5360437LEITE CONDENSADOLACTALIS</v>
      </c>
      <c r="C3127" s="5" t="s">
        <v>226</v>
      </c>
      <c r="D3127" s="5" t="s">
        <v>227</v>
      </c>
      <c r="E3127" s="5" t="s">
        <v>1722</v>
      </c>
      <c r="F3127" s="5">
        <v>5360437</v>
      </c>
      <c r="G3127" s="5" t="s">
        <v>1474</v>
      </c>
      <c r="H3127" s="5" t="s">
        <v>30</v>
      </c>
      <c r="I3127" s="5" t="s">
        <v>22</v>
      </c>
      <c r="J3127" s="5" t="s">
        <v>33</v>
      </c>
      <c r="K3127" s="6">
        <v>0</v>
      </c>
      <c r="L3127" s="7">
        <v>0</v>
      </c>
      <c r="M3127" s="7">
        <v>0</v>
      </c>
      <c r="N3127" s="8">
        <v>3.16</v>
      </c>
      <c r="O3127" s="8">
        <v>0</v>
      </c>
      <c r="P3127" s="8">
        <v>0</v>
      </c>
      <c r="Q3127" s="8">
        <v>0</v>
      </c>
      <c r="R3127" s="8">
        <v>0</v>
      </c>
      <c r="S3127" s="8">
        <v>0</v>
      </c>
      <c r="T3127" s="5">
        <v>0</v>
      </c>
      <c r="U3127" s="5">
        <v>0</v>
      </c>
      <c r="V3127" s="5">
        <f>VLOOKUP(A3127,Planilha1!B:E,4,0)</f>
        <v>1.8665071822970765</v>
      </c>
    </row>
    <row r="3128" spans="1:22" x14ac:dyDescent="0.3">
      <c r="A3128" t="str">
        <f t="shared" si="96"/>
        <v>LEITE CONDENSADOLACTALIS</v>
      </c>
      <c r="B3128" t="str">
        <f t="shared" si="97"/>
        <v>5360546LEITE CONDENSADOLACTALIS</v>
      </c>
      <c r="C3128" s="5" t="s">
        <v>226</v>
      </c>
      <c r="D3128" s="5" t="s">
        <v>227</v>
      </c>
      <c r="E3128" s="5" t="s">
        <v>1722</v>
      </c>
      <c r="F3128" s="5">
        <v>5360546</v>
      </c>
      <c r="G3128" s="5" t="s">
        <v>1421</v>
      </c>
      <c r="H3128" s="5" t="s">
        <v>30</v>
      </c>
      <c r="I3128" s="5" t="s">
        <v>22</v>
      </c>
      <c r="J3128" s="5" t="s">
        <v>33</v>
      </c>
      <c r="K3128" s="6">
        <v>0</v>
      </c>
      <c r="L3128" s="7">
        <v>0</v>
      </c>
      <c r="M3128" s="7">
        <v>0</v>
      </c>
      <c r="N3128" s="8">
        <v>4.666666666666667</v>
      </c>
      <c r="O3128" s="8">
        <v>0</v>
      </c>
      <c r="P3128" s="8">
        <v>0</v>
      </c>
      <c r="Q3128" s="8">
        <v>0</v>
      </c>
      <c r="R3128" s="8">
        <v>0</v>
      </c>
      <c r="S3128" s="8">
        <v>19</v>
      </c>
      <c r="T3128" s="5">
        <v>19</v>
      </c>
      <c r="U3128" s="5">
        <v>0</v>
      </c>
      <c r="V3128" s="5">
        <f>VLOOKUP(A3128,Planilha1!B:E,4,0)</f>
        <v>1.8665071822970765</v>
      </c>
    </row>
    <row r="3129" spans="1:22" x14ac:dyDescent="0.3">
      <c r="A3129" t="str">
        <f t="shared" si="96"/>
        <v>LEITE EM PÓITAMBÉ</v>
      </c>
      <c r="B3129" t="str">
        <f t="shared" si="97"/>
        <v>5008478LEITE EM PÓITAMBÉ</v>
      </c>
      <c r="C3129" s="5" t="s">
        <v>226</v>
      </c>
      <c r="D3129" s="5" t="s">
        <v>815</v>
      </c>
      <c r="E3129" s="5" t="s">
        <v>816</v>
      </c>
      <c r="F3129" s="5">
        <v>5008478</v>
      </c>
      <c r="G3129" s="5" t="s">
        <v>817</v>
      </c>
      <c r="H3129" s="5" t="s">
        <v>30</v>
      </c>
      <c r="I3129" s="5" t="s">
        <v>27</v>
      </c>
      <c r="J3129" s="5" t="s">
        <v>84</v>
      </c>
      <c r="K3129" s="6">
        <v>0</v>
      </c>
      <c r="L3129" s="7">
        <v>0</v>
      </c>
      <c r="M3129" s="7">
        <v>0</v>
      </c>
      <c r="N3129" s="8">
        <v>60</v>
      </c>
      <c r="O3129" s="8">
        <v>39.991953760946259</v>
      </c>
      <c r="P3129" s="8">
        <v>0</v>
      </c>
      <c r="Q3129" s="8">
        <v>72</v>
      </c>
      <c r="R3129" s="8">
        <v>0</v>
      </c>
      <c r="S3129" s="8">
        <v>0</v>
      </c>
      <c r="T3129" s="5">
        <v>0</v>
      </c>
      <c r="U3129" s="5">
        <v>0</v>
      </c>
      <c r="V3129" s="5">
        <f>VLOOKUP(A3129,Planilha1!B:E,4,0)</f>
        <v>4.5971522734997743</v>
      </c>
    </row>
    <row r="3130" spans="1:22" x14ac:dyDescent="0.3">
      <c r="A3130" t="str">
        <f t="shared" si="96"/>
        <v>LEITE EM PÓITAMBÉ</v>
      </c>
      <c r="B3130" t="str">
        <f t="shared" si="97"/>
        <v>5009420LEITE EM PÓITAMBÉ</v>
      </c>
      <c r="C3130" s="5" t="s">
        <v>16</v>
      </c>
      <c r="D3130" s="5" t="s">
        <v>17</v>
      </c>
      <c r="E3130" s="5" t="s">
        <v>44</v>
      </c>
      <c r="F3130" s="5">
        <v>5009420</v>
      </c>
      <c r="G3130" s="5" t="s">
        <v>1517</v>
      </c>
      <c r="H3130" s="5" t="s">
        <v>30</v>
      </c>
      <c r="I3130" s="5" t="s">
        <v>27</v>
      </c>
      <c r="J3130" s="5" t="s">
        <v>84</v>
      </c>
      <c r="K3130" s="6">
        <v>0</v>
      </c>
      <c r="L3130" s="7">
        <v>0</v>
      </c>
      <c r="M3130" s="7">
        <v>0</v>
      </c>
      <c r="N3130" s="8">
        <v>1500</v>
      </c>
      <c r="O3130" s="8">
        <v>628.87347289087995</v>
      </c>
      <c r="P3130" s="8">
        <v>0</v>
      </c>
      <c r="Q3130" s="8">
        <v>0</v>
      </c>
      <c r="R3130" s="8">
        <v>0</v>
      </c>
      <c r="S3130" s="8">
        <v>0</v>
      </c>
      <c r="T3130" s="5">
        <v>0</v>
      </c>
      <c r="U3130" s="5">
        <v>0</v>
      </c>
      <c r="V3130" s="5">
        <f>VLOOKUP(A3130,Planilha1!B:E,4,0)</f>
        <v>4.5971522734997743</v>
      </c>
    </row>
    <row r="3131" spans="1:22" x14ac:dyDescent="0.3">
      <c r="A3131" t="str">
        <f t="shared" si="96"/>
        <v>LEITE EM PÓITAMBÉ</v>
      </c>
      <c r="B3131" t="str">
        <f t="shared" si="97"/>
        <v>5024011LEITE EM PÓITAMBÉ</v>
      </c>
      <c r="C3131" s="5" t="s">
        <v>226</v>
      </c>
      <c r="D3131" s="5" t="s">
        <v>752</v>
      </c>
      <c r="E3131" s="5" t="s">
        <v>774</v>
      </c>
      <c r="F3131" s="5">
        <v>5024011</v>
      </c>
      <c r="G3131" s="5" t="s">
        <v>777</v>
      </c>
      <c r="H3131" s="5" t="s">
        <v>32</v>
      </c>
      <c r="I3131" s="5" t="s">
        <v>27</v>
      </c>
      <c r="J3131" s="5" t="s">
        <v>84</v>
      </c>
      <c r="K3131" s="6">
        <v>0</v>
      </c>
      <c r="L3131" s="7">
        <v>0</v>
      </c>
      <c r="M3131" s="7">
        <v>0</v>
      </c>
      <c r="N3131" s="8">
        <v>6.666666666666667</v>
      </c>
      <c r="O3131" s="8">
        <v>3.9991953760946259</v>
      </c>
      <c r="P3131" s="8">
        <v>0</v>
      </c>
      <c r="Q3131" s="8">
        <v>0</v>
      </c>
      <c r="R3131" s="8">
        <v>0</v>
      </c>
      <c r="S3131" s="8">
        <v>0</v>
      </c>
      <c r="T3131" s="5">
        <v>0</v>
      </c>
      <c r="U3131" s="5">
        <v>0</v>
      </c>
      <c r="V3131" s="5">
        <f>VLOOKUP(A3131,Planilha1!B:E,4,0)</f>
        <v>4.5971522734997743</v>
      </c>
    </row>
    <row r="3132" spans="1:22" x14ac:dyDescent="0.3">
      <c r="A3132" t="str">
        <f t="shared" si="96"/>
        <v>LEITE EM PÓITAMBÉ</v>
      </c>
      <c r="B3132" t="str">
        <f t="shared" si="97"/>
        <v>5032480LEITE EM PÓITAMBÉ</v>
      </c>
      <c r="C3132" s="5" t="s">
        <v>226</v>
      </c>
      <c r="D3132" s="5" t="s">
        <v>752</v>
      </c>
      <c r="E3132" s="5" t="s">
        <v>774</v>
      </c>
      <c r="F3132" s="5">
        <v>5032480</v>
      </c>
      <c r="G3132" s="5" t="s">
        <v>1043</v>
      </c>
      <c r="H3132" s="5" t="s">
        <v>32</v>
      </c>
      <c r="I3132" s="5" t="s">
        <v>27</v>
      </c>
      <c r="J3132" s="5" t="s">
        <v>84</v>
      </c>
      <c r="K3132" s="6">
        <v>0</v>
      </c>
      <c r="L3132" s="7">
        <v>0</v>
      </c>
      <c r="M3132" s="7">
        <v>0</v>
      </c>
      <c r="N3132" s="8">
        <v>36</v>
      </c>
      <c r="O3132" s="8">
        <v>54.988936421301105</v>
      </c>
      <c r="P3132" s="8">
        <v>0</v>
      </c>
      <c r="Q3132" s="8">
        <v>0</v>
      </c>
      <c r="R3132" s="8">
        <v>0</v>
      </c>
      <c r="S3132" s="8">
        <v>0</v>
      </c>
      <c r="T3132" s="5">
        <v>0</v>
      </c>
      <c r="U3132" s="5">
        <v>0</v>
      </c>
      <c r="V3132" s="5">
        <f>VLOOKUP(A3132,Planilha1!B:E,4,0)</f>
        <v>4.5971522734997743</v>
      </c>
    </row>
    <row r="3133" spans="1:22" x14ac:dyDescent="0.3">
      <c r="A3133" t="str">
        <f t="shared" si="96"/>
        <v>LEITE EM PÓITAMBÉ</v>
      </c>
      <c r="B3133" t="str">
        <f t="shared" si="97"/>
        <v>5038591LEITE EM PÓITAMBÉ</v>
      </c>
      <c r="C3133" s="5" t="s">
        <v>226</v>
      </c>
      <c r="D3133" s="5" t="s">
        <v>833</v>
      </c>
      <c r="E3133" s="5" t="s">
        <v>852</v>
      </c>
      <c r="F3133" s="5">
        <v>5038591</v>
      </c>
      <c r="G3133" s="5" t="s">
        <v>855</v>
      </c>
      <c r="H3133" s="5" t="s">
        <v>40</v>
      </c>
      <c r="I3133" s="5" t="s">
        <v>27</v>
      </c>
      <c r="J3133" s="5" t="s">
        <v>84</v>
      </c>
      <c r="K3133" s="6">
        <v>0</v>
      </c>
      <c r="L3133" s="7">
        <v>0</v>
      </c>
      <c r="M3133" s="7">
        <v>0</v>
      </c>
      <c r="N3133" s="8">
        <v>83.333333333333329</v>
      </c>
      <c r="O3133" s="8">
        <v>367.92597460070556</v>
      </c>
      <c r="P3133" s="8">
        <v>0</v>
      </c>
      <c r="Q3133" s="8">
        <v>0</v>
      </c>
      <c r="R3133" s="8">
        <v>0</v>
      </c>
      <c r="S3133" s="8">
        <v>0</v>
      </c>
      <c r="T3133" s="5">
        <v>0</v>
      </c>
      <c r="U3133" s="5">
        <v>0</v>
      </c>
      <c r="V3133" s="5">
        <f>VLOOKUP(A3133,Planilha1!B:E,4,0)</f>
        <v>4.5971522734997743</v>
      </c>
    </row>
    <row r="3134" spans="1:22" x14ac:dyDescent="0.3">
      <c r="A3134" t="str">
        <f t="shared" si="96"/>
        <v>LEITE EM PÓITAMBÉ</v>
      </c>
      <c r="B3134" t="str">
        <f t="shared" si="97"/>
        <v>5043898LEITE EM PÓITAMBÉ</v>
      </c>
      <c r="C3134" s="5" t="s">
        <v>149</v>
      </c>
      <c r="D3134" s="5" t="s">
        <v>150</v>
      </c>
      <c r="E3134" s="5" t="s">
        <v>186</v>
      </c>
      <c r="F3134" s="5">
        <v>5043898</v>
      </c>
      <c r="G3134" s="5" t="s">
        <v>187</v>
      </c>
      <c r="H3134" s="5" t="s">
        <v>113</v>
      </c>
      <c r="I3134" s="5" t="s">
        <v>27</v>
      </c>
      <c r="J3134" s="5" t="s">
        <v>84</v>
      </c>
      <c r="K3134" s="6">
        <v>0</v>
      </c>
      <c r="L3134" s="7">
        <v>0</v>
      </c>
      <c r="M3134" s="7">
        <v>0</v>
      </c>
      <c r="N3134" s="8">
        <v>468.66666666666669</v>
      </c>
      <c r="O3134" s="8">
        <v>471.9050543791659</v>
      </c>
      <c r="P3134" s="8">
        <v>0</v>
      </c>
      <c r="Q3134" s="8">
        <v>0</v>
      </c>
      <c r="R3134" s="8">
        <v>0</v>
      </c>
      <c r="S3134" s="8">
        <v>0</v>
      </c>
      <c r="T3134" s="5">
        <v>0</v>
      </c>
      <c r="U3134" s="5">
        <v>0</v>
      </c>
      <c r="V3134" s="5">
        <f>VLOOKUP(A3134,Planilha1!B:E,4,0)</f>
        <v>4.5971522734997743</v>
      </c>
    </row>
    <row r="3135" spans="1:22" x14ac:dyDescent="0.3">
      <c r="A3135" t="str">
        <f t="shared" si="96"/>
        <v>MANTEIGA 5KGITAMBÉ</v>
      </c>
      <c r="B3135" t="str">
        <f t="shared" si="97"/>
        <v>5133455MANTEIGA 5KGITAMBÉ</v>
      </c>
      <c r="C3135" s="5" t="s">
        <v>16</v>
      </c>
      <c r="D3135" s="5" t="s">
        <v>17</v>
      </c>
      <c r="E3135" s="5" t="s">
        <v>44</v>
      </c>
      <c r="F3135" s="5">
        <v>5133455</v>
      </c>
      <c r="G3135" s="5" t="s">
        <v>52</v>
      </c>
      <c r="H3135" s="5" t="s">
        <v>25</v>
      </c>
      <c r="I3135" s="5" t="s">
        <v>27</v>
      </c>
      <c r="J3135" s="5" t="s">
        <v>60</v>
      </c>
      <c r="K3135" s="6">
        <v>0</v>
      </c>
      <c r="L3135" s="7">
        <v>0</v>
      </c>
      <c r="M3135" s="8">
        <v>0</v>
      </c>
      <c r="N3135" s="8">
        <v>0</v>
      </c>
      <c r="O3135" s="8">
        <v>116.99610012999567</v>
      </c>
      <c r="P3135" s="8">
        <v>0</v>
      </c>
      <c r="Q3135" s="8">
        <v>0</v>
      </c>
      <c r="R3135" s="8">
        <v>0</v>
      </c>
      <c r="S3135" s="8">
        <v>0</v>
      </c>
      <c r="T3135" s="5">
        <v>0</v>
      </c>
      <c r="U3135" s="5">
        <v>0</v>
      </c>
      <c r="V3135" s="5">
        <f>VLOOKUP(A3135,Planilha1!B:E,4,0)</f>
        <v>5.819800475298738</v>
      </c>
    </row>
    <row r="3136" spans="1:22" x14ac:dyDescent="0.3">
      <c r="A3136" t="str">
        <f t="shared" si="96"/>
        <v>LEITE EM PÓITAMBÉ</v>
      </c>
      <c r="B3136" t="str">
        <f t="shared" si="97"/>
        <v>5044784LEITE EM PÓITAMBÉ</v>
      </c>
      <c r="C3136" s="5" t="s">
        <v>226</v>
      </c>
      <c r="D3136" s="5" t="s">
        <v>752</v>
      </c>
      <c r="E3136" s="5" t="s">
        <v>774</v>
      </c>
      <c r="F3136" s="5">
        <v>5044784</v>
      </c>
      <c r="G3136" s="5" t="s">
        <v>781</v>
      </c>
      <c r="H3136" s="5" t="s">
        <v>32</v>
      </c>
      <c r="I3136" s="5" t="s">
        <v>27</v>
      </c>
      <c r="J3136" s="5" t="s">
        <v>84</v>
      </c>
      <c r="K3136" s="6">
        <v>0</v>
      </c>
      <c r="L3136" s="7">
        <v>-10</v>
      </c>
      <c r="M3136" s="7">
        <v>0</v>
      </c>
      <c r="N3136" s="8">
        <v>3.3333333333333335</v>
      </c>
      <c r="O3136" s="8">
        <v>11.997586128283878</v>
      </c>
      <c r="P3136" s="8">
        <v>0</v>
      </c>
      <c r="Q3136" s="8">
        <v>0</v>
      </c>
      <c r="R3136" s="8">
        <v>0</v>
      </c>
      <c r="S3136" s="8">
        <v>0</v>
      </c>
      <c r="T3136" s="5">
        <v>0</v>
      </c>
      <c r="U3136" s="5">
        <v>0</v>
      </c>
      <c r="V3136" s="5">
        <f>VLOOKUP(A3136,Planilha1!B:E,4,0)</f>
        <v>4.5971522734997743</v>
      </c>
    </row>
    <row r="3137" spans="1:22" x14ac:dyDescent="0.3">
      <c r="A3137" t="str">
        <f t="shared" si="96"/>
        <v>LEITE EM PÓITAMBÉ</v>
      </c>
      <c r="B3137" t="str">
        <f t="shared" si="97"/>
        <v>5063322LEITE EM PÓITAMBÉ</v>
      </c>
      <c r="C3137" s="5" t="s">
        <v>226</v>
      </c>
      <c r="D3137" s="5" t="s">
        <v>727</v>
      </c>
      <c r="E3137" s="5" t="s">
        <v>733</v>
      </c>
      <c r="F3137" s="5">
        <v>5063322</v>
      </c>
      <c r="G3137" s="5" t="s">
        <v>1464</v>
      </c>
      <c r="H3137" s="5" t="s">
        <v>25</v>
      </c>
      <c r="I3137" s="5" t="s">
        <v>27</v>
      </c>
      <c r="J3137" s="5" t="s">
        <v>84</v>
      </c>
      <c r="K3137" s="6">
        <v>0</v>
      </c>
      <c r="L3137" s="7">
        <v>0</v>
      </c>
      <c r="M3137" s="7">
        <v>0</v>
      </c>
      <c r="N3137" s="8">
        <v>200</v>
      </c>
      <c r="O3137" s="8">
        <v>0</v>
      </c>
      <c r="P3137" s="8">
        <v>0</v>
      </c>
      <c r="Q3137" s="8">
        <v>0</v>
      </c>
      <c r="R3137" s="8">
        <v>0</v>
      </c>
      <c r="S3137" s="8">
        <v>0</v>
      </c>
      <c r="T3137" s="5">
        <v>0</v>
      </c>
      <c r="U3137" s="5">
        <v>0</v>
      </c>
      <c r="V3137" s="5">
        <f>VLOOKUP(A3137,Planilha1!B:E,4,0)</f>
        <v>4.5971522734997743</v>
      </c>
    </row>
    <row r="3138" spans="1:22" x14ac:dyDescent="0.3">
      <c r="A3138" t="str">
        <f t="shared" ref="A3138:A3201" si="98">J3138&amp;I3138</f>
        <v>LEITE EM PÓITAMBÉ</v>
      </c>
      <c r="B3138" t="str">
        <f t="shared" si="97"/>
        <v>5107112LEITE EM PÓITAMBÉ</v>
      </c>
      <c r="C3138" s="5" t="s">
        <v>226</v>
      </c>
      <c r="D3138" s="5" t="s">
        <v>227</v>
      </c>
      <c r="E3138" s="5" t="s">
        <v>703</v>
      </c>
      <c r="F3138" s="5">
        <v>5107112</v>
      </c>
      <c r="G3138" s="5" t="s">
        <v>710</v>
      </c>
      <c r="H3138" s="5" t="s">
        <v>30</v>
      </c>
      <c r="I3138" s="5" t="s">
        <v>27</v>
      </c>
      <c r="J3138" s="5" t="s">
        <v>84</v>
      </c>
      <c r="K3138" s="6">
        <v>0</v>
      </c>
      <c r="L3138" s="7">
        <v>300</v>
      </c>
      <c r="M3138" s="7">
        <v>0</v>
      </c>
      <c r="N3138" s="8">
        <v>100</v>
      </c>
      <c r="O3138" s="8">
        <v>625.87407635880891</v>
      </c>
      <c r="P3138" s="8">
        <v>0</v>
      </c>
      <c r="Q3138" s="8">
        <v>0</v>
      </c>
      <c r="R3138" s="8">
        <v>0</v>
      </c>
      <c r="S3138" s="8">
        <v>0</v>
      </c>
      <c r="T3138" s="5">
        <v>0</v>
      </c>
      <c r="U3138" s="5">
        <v>0</v>
      </c>
      <c r="V3138" s="5">
        <f>VLOOKUP(A3138,Planilha1!B:E,4,0)</f>
        <v>4.5971522734997743</v>
      </c>
    </row>
    <row r="3139" spans="1:22" x14ac:dyDescent="0.3">
      <c r="A3139" t="str">
        <f t="shared" si="98"/>
        <v>LEITE EM PÓITAMBÉ</v>
      </c>
      <c r="B3139" t="str">
        <f t="shared" ref="B3139:B3202" si="99">F3139&amp;J3139&amp;I3139</f>
        <v>5110910LEITE EM PÓITAMBÉ</v>
      </c>
      <c r="C3139" s="5" t="s">
        <v>226</v>
      </c>
      <c r="D3139" s="5" t="s">
        <v>833</v>
      </c>
      <c r="E3139" s="5" t="s">
        <v>852</v>
      </c>
      <c r="F3139" s="5">
        <v>5110910</v>
      </c>
      <c r="G3139" s="5" t="s">
        <v>1518</v>
      </c>
      <c r="H3139" s="5" t="s">
        <v>40</v>
      </c>
      <c r="I3139" s="5" t="s">
        <v>27</v>
      </c>
      <c r="J3139" s="5" t="s">
        <v>84</v>
      </c>
      <c r="K3139" s="6">
        <v>0</v>
      </c>
      <c r="L3139" s="7">
        <v>0</v>
      </c>
      <c r="M3139" s="7">
        <v>0</v>
      </c>
      <c r="N3139" s="8">
        <v>400</v>
      </c>
      <c r="O3139" s="8">
        <v>95.980689026271023</v>
      </c>
      <c r="P3139" s="8">
        <v>0</v>
      </c>
      <c r="Q3139" s="8">
        <v>0</v>
      </c>
      <c r="R3139" s="8">
        <v>0</v>
      </c>
      <c r="S3139" s="8">
        <v>0</v>
      </c>
      <c r="T3139" s="5">
        <v>0</v>
      </c>
      <c r="U3139" s="5">
        <v>0</v>
      </c>
      <c r="V3139" s="5">
        <f>VLOOKUP(A3139,Planilha1!B:E,4,0)</f>
        <v>4.5971522734997743</v>
      </c>
    </row>
    <row r="3140" spans="1:22" x14ac:dyDescent="0.3">
      <c r="A3140" t="str">
        <f t="shared" si="98"/>
        <v>LEITE EM PÓITAMBÉ</v>
      </c>
      <c r="B3140" t="str">
        <f t="shared" si="99"/>
        <v>5111398LEITE EM PÓITAMBÉ</v>
      </c>
      <c r="C3140" s="5" t="s">
        <v>149</v>
      </c>
      <c r="D3140" s="5" t="s">
        <v>150</v>
      </c>
      <c r="E3140" s="5" t="s">
        <v>186</v>
      </c>
      <c r="F3140" s="5">
        <v>5111398</v>
      </c>
      <c r="G3140" s="5" t="s">
        <v>1482</v>
      </c>
      <c r="H3140" s="5" t="s">
        <v>30</v>
      </c>
      <c r="I3140" s="5" t="s">
        <v>27</v>
      </c>
      <c r="J3140" s="5" t="s">
        <v>84</v>
      </c>
      <c r="K3140" s="6">
        <v>0</v>
      </c>
      <c r="L3140" s="7">
        <v>0</v>
      </c>
      <c r="M3140" s="7">
        <v>0</v>
      </c>
      <c r="N3140" s="8">
        <v>2</v>
      </c>
      <c r="O3140" s="8">
        <v>0</v>
      </c>
      <c r="P3140" s="8">
        <v>0</v>
      </c>
      <c r="Q3140" s="8">
        <v>0</v>
      </c>
      <c r="R3140" s="8">
        <v>0</v>
      </c>
      <c r="S3140" s="8">
        <v>0</v>
      </c>
      <c r="T3140" s="5">
        <v>0</v>
      </c>
      <c r="U3140" s="5">
        <v>0</v>
      </c>
      <c r="V3140" s="5">
        <f>VLOOKUP(A3140,Planilha1!B:E,4,0)</f>
        <v>4.5971522734997743</v>
      </c>
    </row>
    <row r="3141" spans="1:22" x14ac:dyDescent="0.3">
      <c r="A3141" t="str">
        <f t="shared" si="98"/>
        <v>LEITE EM PÓITAMBÉ</v>
      </c>
      <c r="B3141" t="str">
        <f t="shared" si="99"/>
        <v>5114387LEITE EM PÓITAMBÉ</v>
      </c>
      <c r="C3141" s="5" t="s">
        <v>16</v>
      </c>
      <c r="D3141" s="5" t="s">
        <v>17</v>
      </c>
      <c r="E3141" s="5" t="s">
        <v>44</v>
      </c>
      <c r="F3141" s="5">
        <v>5114387</v>
      </c>
      <c r="G3141" s="5" t="s">
        <v>50</v>
      </c>
      <c r="H3141" s="5" t="s">
        <v>30</v>
      </c>
      <c r="I3141" s="5" t="s">
        <v>27</v>
      </c>
      <c r="J3141" s="5" t="s">
        <v>84</v>
      </c>
      <c r="K3141" s="6">
        <v>0</v>
      </c>
      <c r="L3141" s="7">
        <v>0</v>
      </c>
      <c r="M3141" s="7">
        <v>0</v>
      </c>
      <c r="N3141" s="8">
        <v>13.333333333333334</v>
      </c>
      <c r="O3141" s="8">
        <v>0</v>
      </c>
      <c r="P3141" s="8">
        <v>0</v>
      </c>
      <c r="Q3141" s="8">
        <v>0</v>
      </c>
      <c r="R3141" s="8">
        <v>0</v>
      </c>
      <c r="S3141" s="8">
        <v>0</v>
      </c>
      <c r="T3141" s="5">
        <v>0</v>
      </c>
      <c r="U3141" s="5">
        <v>0</v>
      </c>
      <c r="V3141" s="5">
        <f>VLOOKUP(A3141,Planilha1!B:E,4,0)</f>
        <v>4.5971522734997743</v>
      </c>
    </row>
    <row r="3142" spans="1:22" x14ac:dyDescent="0.3">
      <c r="A3142" t="str">
        <f t="shared" si="98"/>
        <v>LEITE EM PÓITAMBÉ</v>
      </c>
      <c r="B3142" t="str">
        <f t="shared" si="99"/>
        <v>5115189LEITE EM PÓITAMBÉ</v>
      </c>
      <c r="C3142" s="5" t="s">
        <v>226</v>
      </c>
      <c r="D3142" s="5" t="s">
        <v>797</v>
      </c>
      <c r="E3142" s="5" t="s">
        <v>810</v>
      </c>
      <c r="F3142" s="5">
        <v>5115189</v>
      </c>
      <c r="G3142" s="5" t="s">
        <v>811</v>
      </c>
      <c r="H3142" s="5" t="s">
        <v>20</v>
      </c>
      <c r="I3142" s="5" t="s">
        <v>27</v>
      </c>
      <c r="J3142" s="5" t="s">
        <v>84</v>
      </c>
      <c r="K3142" s="6">
        <v>0</v>
      </c>
      <c r="L3142" s="7">
        <v>0</v>
      </c>
      <c r="M3142" s="7">
        <v>0</v>
      </c>
      <c r="N3142" s="8">
        <v>937</v>
      </c>
      <c r="O3142" s="8">
        <v>2841.4283147152319</v>
      </c>
      <c r="P3142" s="8">
        <v>573</v>
      </c>
      <c r="Q3142" s="8">
        <v>0</v>
      </c>
      <c r="R3142" s="8">
        <v>955</v>
      </c>
      <c r="S3142" s="8">
        <v>0</v>
      </c>
      <c r="T3142" s="5">
        <v>0</v>
      </c>
      <c r="U3142" s="5">
        <v>0</v>
      </c>
      <c r="V3142" s="5">
        <f>VLOOKUP(A3142,Planilha1!B:E,4,0)</f>
        <v>4.5971522734997743</v>
      </c>
    </row>
    <row r="3143" spans="1:22" x14ac:dyDescent="0.3">
      <c r="A3143" t="str">
        <f t="shared" si="98"/>
        <v>LEITE EM PÓITAMBÉ</v>
      </c>
      <c r="B3143" t="str">
        <f t="shared" si="99"/>
        <v>5122245LEITE EM PÓITAMBÉ</v>
      </c>
      <c r="C3143" s="5" t="s">
        <v>226</v>
      </c>
      <c r="D3143" s="5" t="s">
        <v>752</v>
      </c>
      <c r="E3143" s="5" t="s">
        <v>1216</v>
      </c>
      <c r="F3143" s="5">
        <v>5122245</v>
      </c>
      <c r="G3143" s="5" t="s">
        <v>1476</v>
      </c>
      <c r="H3143" s="5" t="s">
        <v>154</v>
      </c>
      <c r="I3143" s="5" t="s">
        <v>27</v>
      </c>
      <c r="J3143" s="5" t="s">
        <v>84</v>
      </c>
      <c r="K3143" s="6">
        <v>0</v>
      </c>
      <c r="L3143" s="7">
        <v>0</v>
      </c>
      <c r="M3143" s="7">
        <v>0</v>
      </c>
      <c r="N3143" s="8">
        <v>146.66666666666666</v>
      </c>
      <c r="O3143" s="8">
        <v>0</v>
      </c>
      <c r="P3143" s="8">
        <v>0</v>
      </c>
      <c r="Q3143" s="8">
        <v>150</v>
      </c>
      <c r="R3143" s="8">
        <v>0</v>
      </c>
      <c r="S3143" s="8">
        <v>0</v>
      </c>
      <c r="T3143" s="5">
        <v>0</v>
      </c>
      <c r="U3143" s="5">
        <v>0</v>
      </c>
      <c r="V3143" s="5">
        <f>VLOOKUP(A3143,Planilha1!B:E,4,0)</f>
        <v>4.5971522734997743</v>
      </c>
    </row>
    <row r="3144" spans="1:22" x14ac:dyDescent="0.3">
      <c r="A3144" t="str">
        <f t="shared" si="98"/>
        <v>LEITE EM PÓITAMBÉ</v>
      </c>
      <c r="B3144" t="str">
        <f t="shared" si="99"/>
        <v>5131101LEITE EM PÓITAMBÉ</v>
      </c>
      <c r="C3144" s="5" t="s">
        <v>226</v>
      </c>
      <c r="D3144" s="5" t="s">
        <v>815</v>
      </c>
      <c r="E3144" s="5" t="s">
        <v>816</v>
      </c>
      <c r="F3144" s="5">
        <v>5131101</v>
      </c>
      <c r="G3144" s="5" t="s">
        <v>824</v>
      </c>
      <c r="H3144" s="5" t="s">
        <v>30</v>
      </c>
      <c r="I3144" s="5" t="s">
        <v>27</v>
      </c>
      <c r="J3144" s="5" t="s">
        <v>84</v>
      </c>
      <c r="K3144" s="6">
        <v>0</v>
      </c>
      <c r="L3144" s="7">
        <v>100</v>
      </c>
      <c r="M3144" s="7">
        <v>0</v>
      </c>
      <c r="N3144" s="8">
        <v>66.666666666666671</v>
      </c>
      <c r="O3144" s="8">
        <v>184.96278614437645</v>
      </c>
      <c r="P3144" s="8">
        <v>0</v>
      </c>
      <c r="Q3144" s="8">
        <v>0</v>
      </c>
      <c r="R3144" s="8">
        <v>0</v>
      </c>
      <c r="S3144" s="8">
        <v>0</v>
      </c>
      <c r="T3144" s="5">
        <v>0</v>
      </c>
      <c r="U3144" s="5">
        <v>0</v>
      </c>
      <c r="V3144" s="5">
        <f>VLOOKUP(A3144,Planilha1!B:E,4,0)</f>
        <v>4.5971522734997743</v>
      </c>
    </row>
    <row r="3145" spans="1:22" x14ac:dyDescent="0.3">
      <c r="A3145" t="str">
        <f t="shared" si="98"/>
        <v>LEITE EM PÓITAMBÉ</v>
      </c>
      <c r="B3145" t="str">
        <f t="shared" si="99"/>
        <v>5133664LEITE EM PÓITAMBÉ</v>
      </c>
      <c r="C3145" s="5" t="s">
        <v>226</v>
      </c>
      <c r="D3145" s="5" t="s">
        <v>833</v>
      </c>
      <c r="E3145" s="5" t="s">
        <v>753</v>
      </c>
      <c r="F3145" s="5">
        <v>5133664</v>
      </c>
      <c r="G3145" s="5" t="s">
        <v>837</v>
      </c>
      <c r="H3145" s="5" t="s">
        <v>101</v>
      </c>
      <c r="I3145" s="5" t="s">
        <v>27</v>
      </c>
      <c r="J3145" s="5" t="s">
        <v>84</v>
      </c>
      <c r="K3145" s="6">
        <v>0</v>
      </c>
      <c r="L3145" s="7">
        <v>0</v>
      </c>
      <c r="M3145" s="7">
        <v>0</v>
      </c>
      <c r="N3145" s="8">
        <v>233.33333333333334</v>
      </c>
      <c r="O3145" s="8">
        <v>2464.5041505183131</v>
      </c>
      <c r="P3145" s="8">
        <v>33</v>
      </c>
      <c r="Q3145" s="8">
        <v>0</v>
      </c>
      <c r="R3145" s="8">
        <v>1773</v>
      </c>
      <c r="S3145" s="8">
        <v>0</v>
      </c>
      <c r="T3145" s="5">
        <v>0</v>
      </c>
      <c r="U3145" s="5">
        <v>0</v>
      </c>
      <c r="V3145" s="5">
        <f>VLOOKUP(A3145,Planilha1!B:E,4,0)</f>
        <v>4.5971522734997743</v>
      </c>
    </row>
    <row r="3146" spans="1:22" x14ac:dyDescent="0.3">
      <c r="A3146" t="str">
        <f t="shared" si="98"/>
        <v>LEITE EM PÓITAMBÉ</v>
      </c>
      <c r="B3146" t="str">
        <f t="shared" si="99"/>
        <v>5146856LEITE EM PÓITAMBÉ</v>
      </c>
      <c r="C3146" s="5" t="s">
        <v>226</v>
      </c>
      <c r="D3146" s="5" t="s">
        <v>833</v>
      </c>
      <c r="E3146" s="5" t="s">
        <v>852</v>
      </c>
      <c r="F3146" s="5">
        <v>5146856</v>
      </c>
      <c r="G3146" s="5" t="s">
        <v>1519</v>
      </c>
      <c r="H3146" s="5" t="s">
        <v>40</v>
      </c>
      <c r="I3146" s="5" t="s">
        <v>27</v>
      </c>
      <c r="J3146" s="5" t="s">
        <v>84</v>
      </c>
      <c r="K3146" s="6">
        <v>0</v>
      </c>
      <c r="L3146" s="7">
        <v>0</v>
      </c>
      <c r="M3146" s="7">
        <v>0</v>
      </c>
      <c r="N3146" s="8">
        <v>24</v>
      </c>
      <c r="O3146" s="8">
        <v>0</v>
      </c>
      <c r="P3146" s="8">
        <v>0</v>
      </c>
      <c r="Q3146" s="8">
        <v>0</v>
      </c>
      <c r="R3146" s="8">
        <v>0</v>
      </c>
      <c r="S3146" s="8">
        <v>0</v>
      </c>
      <c r="T3146" s="5">
        <v>0</v>
      </c>
      <c r="U3146" s="5">
        <v>0</v>
      </c>
      <c r="V3146" s="5">
        <f>VLOOKUP(A3146,Planilha1!B:E,4,0)</f>
        <v>4.5971522734997743</v>
      </c>
    </row>
    <row r="3147" spans="1:22" x14ac:dyDescent="0.3">
      <c r="A3147" t="str">
        <f t="shared" si="98"/>
        <v>LEITE EM PÓITAMBÉ</v>
      </c>
      <c r="B3147" t="str">
        <f t="shared" si="99"/>
        <v>5164717LEITE EM PÓITAMBÉ</v>
      </c>
      <c r="C3147" s="5" t="s">
        <v>226</v>
      </c>
      <c r="D3147" s="5" t="s">
        <v>227</v>
      </c>
      <c r="E3147" s="5" t="s">
        <v>703</v>
      </c>
      <c r="F3147" s="5">
        <v>5164717</v>
      </c>
      <c r="G3147" s="5" t="s">
        <v>716</v>
      </c>
      <c r="H3147" s="5" t="s">
        <v>30</v>
      </c>
      <c r="I3147" s="5" t="s">
        <v>27</v>
      </c>
      <c r="J3147" s="5" t="s">
        <v>84</v>
      </c>
      <c r="K3147" s="6">
        <v>0</v>
      </c>
      <c r="L3147" s="7">
        <v>0</v>
      </c>
      <c r="M3147" s="7">
        <v>0</v>
      </c>
      <c r="N3147" s="8">
        <v>33.333333333333336</v>
      </c>
      <c r="O3147" s="8">
        <v>148.97002775952481</v>
      </c>
      <c r="P3147" s="8">
        <v>0</v>
      </c>
      <c r="Q3147" s="8">
        <v>0</v>
      </c>
      <c r="R3147" s="8">
        <v>0</v>
      </c>
      <c r="S3147" s="8">
        <v>0</v>
      </c>
      <c r="T3147" s="5">
        <v>0</v>
      </c>
      <c r="U3147" s="5">
        <v>0</v>
      </c>
      <c r="V3147" s="5">
        <f>VLOOKUP(A3147,Planilha1!B:E,4,0)</f>
        <v>4.5971522734997743</v>
      </c>
    </row>
    <row r="3148" spans="1:22" x14ac:dyDescent="0.3">
      <c r="A3148" t="str">
        <f t="shared" si="98"/>
        <v>LEITE EM PÓITAMBÉ</v>
      </c>
      <c r="B3148" t="str">
        <f t="shared" si="99"/>
        <v>5167678LEITE EM PÓITAMBÉ</v>
      </c>
      <c r="C3148" s="5" t="s">
        <v>226</v>
      </c>
      <c r="D3148" s="5" t="s">
        <v>797</v>
      </c>
      <c r="E3148" s="5" t="s">
        <v>753</v>
      </c>
      <c r="F3148" s="5">
        <v>5167678</v>
      </c>
      <c r="G3148" s="5" t="s">
        <v>1049</v>
      </c>
      <c r="H3148" s="5" t="s">
        <v>20</v>
      </c>
      <c r="I3148" s="5" t="s">
        <v>27</v>
      </c>
      <c r="J3148" s="5" t="s">
        <v>84</v>
      </c>
      <c r="K3148" s="6">
        <v>0</v>
      </c>
      <c r="L3148" s="7">
        <v>0</v>
      </c>
      <c r="M3148" s="7">
        <v>0</v>
      </c>
      <c r="N3148" s="8">
        <v>100</v>
      </c>
      <c r="O3148" s="8">
        <v>0</v>
      </c>
      <c r="P3148" s="8">
        <v>0</v>
      </c>
      <c r="Q3148" s="8">
        <v>0</v>
      </c>
      <c r="R3148" s="8">
        <v>0</v>
      </c>
      <c r="S3148" s="8">
        <v>0</v>
      </c>
      <c r="T3148" s="5">
        <v>0</v>
      </c>
      <c r="U3148" s="5">
        <v>0</v>
      </c>
      <c r="V3148" s="5">
        <f>VLOOKUP(A3148,Planilha1!B:E,4,0)</f>
        <v>4.5971522734997743</v>
      </c>
    </row>
    <row r="3149" spans="1:22" x14ac:dyDescent="0.3">
      <c r="A3149" t="str">
        <f t="shared" si="98"/>
        <v>LEITE EM PÓITAMBÉ</v>
      </c>
      <c r="B3149" t="str">
        <f t="shared" si="99"/>
        <v>5182512LEITE EM PÓITAMBÉ</v>
      </c>
      <c r="C3149" s="5" t="s">
        <v>226</v>
      </c>
      <c r="D3149" s="5" t="s">
        <v>833</v>
      </c>
      <c r="E3149" s="5" t="s">
        <v>875</v>
      </c>
      <c r="F3149" s="5">
        <v>5182512</v>
      </c>
      <c r="G3149" s="5" t="s">
        <v>882</v>
      </c>
      <c r="H3149" s="5" t="s">
        <v>91</v>
      </c>
      <c r="I3149" s="5" t="s">
        <v>27</v>
      </c>
      <c r="J3149" s="5" t="s">
        <v>84</v>
      </c>
      <c r="K3149" s="6">
        <v>0</v>
      </c>
      <c r="L3149" s="7">
        <v>0</v>
      </c>
      <c r="M3149" s="7">
        <v>0</v>
      </c>
      <c r="N3149" s="8">
        <v>-3.3333333333333335</v>
      </c>
      <c r="O3149" s="8">
        <v>0</v>
      </c>
      <c r="P3149" s="8">
        <v>0</v>
      </c>
      <c r="Q3149" s="8">
        <v>0</v>
      </c>
      <c r="R3149" s="8">
        <v>0</v>
      </c>
      <c r="S3149" s="8">
        <v>0</v>
      </c>
      <c r="T3149" s="5">
        <v>0</v>
      </c>
      <c r="U3149" s="5">
        <v>0</v>
      </c>
      <c r="V3149" s="5">
        <f>VLOOKUP(A3149,Planilha1!B:E,4,0)</f>
        <v>4.5971522734997743</v>
      </c>
    </row>
    <row r="3150" spans="1:22" x14ac:dyDescent="0.3">
      <c r="A3150" t="str">
        <f t="shared" si="98"/>
        <v>LEITE EM PÓITAMBÉ</v>
      </c>
      <c r="B3150" t="str">
        <f t="shared" si="99"/>
        <v>5182828LEITE EM PÓITAMBÉ</v>
      </c>
      <c r="C3150" s="5" t="s">
        <v>226</v>
      </c>
      <c r="D3150" s="5" t="s">
        <v>797</v>
      </c>
      <c r="E3150" s="5" t="s">
        <v>753</v>
      </c>
      <c r="F3150" s="5">
        <v>5182828</v>
      </c>
      <c r="G3150" s="5" t="s">
        <v>1520</v>
      </c>
      <c r="H3150" s="5" t="s">
        <v>20</v>
      </c>
      <c r="I3150" s="5" t="s">
        <v>27</v>
      </c>
      <c r="J3150" s="5" t="s">
        <v>84</v>
      </c>
      <c r="K3150" s="6">
        <v>0</v>
      </c>
      <c r="L3150" s="7">
        <v>0</v>
      </c>
      <c r="M3150" s="7">
        <v>0</v>
      </c>
      <c r="N3150" s="8">
        <v>233.33333333333334</v>
      </c>
      <c r="O3150" s="8">
        <v>516.89600236023045</v>
      </c>
      <c r="P3150" s="8">
        <v>0</v>
      </c>
      <c r="Q3150" s="8">
        <v>0</v>
      </c>
      <c r="R3150" s="8">
        <v>0</v>
      </c>
      <c r="S3150" s="8">
        <v>0</v>
      </c>
      <c r="T3150" s="5">
        <v>0</v>
      </c>
      <c r="U3150" s="5">
        <v>0</v>
      </c>
      <c r="V3150" s="5">
        <f>VLOOKUP(A3150,Planilha1!B:E,4,0)</f>
        <v>4.5971522734997743</v>
      </c>
    </row>
    <row r="3151" spans="1:22" x14ac:dyDescent="0.3">
      <c r="A3151" t="str">
        <f t="shared" si="98"/>
        <v>LEITE EM PÓITAMBÉ</v>
      </c>
      <c r="B3151" t="str">
        <f t="shared" si="99"/>
        <v>5183807LEITE EM PÓITAMBÉ</v>
      </c>
      <c r="C3151" s="5" t="s">
        <v>226</v>
      </c>
      <c r="D3151" s="5" t="s">
        <v>727</v>
      </c>
      <c r="E3151" s="5" t="s">
        <v>733</v>
      </c>
      <c r="F3151" s="5">
        <v>5183807</v>
      </c>
      <c r="G3151" s="5" t="s">
        <v>1453</v>
      </c>
      <c r="H3151" s="5" t="s">
        <v>25</v>
      </c>
      <c r="I3151" s="5" t="s">
        <v>27</v>
      </c>
      <c r="J3151" s="5" t="s">
        <v>84</v>
      </c>
      <c r="K3151" s="6">
        <v>0</v>
      </c>
      <c r="L3151" s="7">
        <v>0</v>
      </c>
      <c r="M3151" s="7">
        <v>0</v>
      </c>
      <c r="N3151" s="8">
        <v>100</v>
      </c>
      <c r="O3151" s="8">
        <v>0</v>
      </c>
      <c r="P3151" s="8">
        <v>0</v>
      </c>
      <c r="Q3151" s="8">
        <v>0</v>
      </c>
      <c r="R3151" s="8">
        <v>0</v>
      </c>
      <c r="S3151" s="8">
        <v>0</v>
      </c>
      <c r="T3151" s="5">
        <v>0</v>
      </c>
      <c r="U3151" s="5">
        <v>0</v>
      </c>
      <c r="V3151" s="5">
        <f>VLOOKUP(A3151,Planilha1!B:E,4,0)</f>
        <v>4.5971522734997743</v>
      </c>
    </row>
    <row r="3152" spans="1:22" x14ac:dyDescent="0.3">
      <c r="A3152" t="str">
        <f t="shared" si="98"/>
        <v>LEITE EM PÓITAMBÉ</v>
      </c>
      <c r="B3152" t="str">
        <f t="shared" si="99"/>
        <v>5194641LEITE EM PÓITAMBÉ</v>
      </c>
      <c r="C3152" s="5" t="s">
        <v>16</v>
      </c>
      <c r="D3152" s="5" t="s">
        <v>17</v>
      </c>
      <c r="E3152" s="5" t="s">
        <v>44</v>
      </c>
      <c r="F3152" s="5">
        <v>5194641</v>
      </c>
      <c r="G3152" s="5" t="s">
        <v>68</v>
      </c>
      <c r="H3152" s="5" t="s">
        <v>25</v>
      </c>
      <c r="I3152" s="5" t="s">
        <v>27</v>
      </c>
      <c r="J3152" s="5" t="s">
        <v>84</v>
      </c>
      <c r="K3152" s="6">
        <v>0</v>
      </c>
      <c r="L3152" s="7">
        <v>0</v>
      </c>
      <c r="M3152" s="7">
        <v>0</v>
      </c>
      <c r="N3152" s="8">
        <v>133.33333333333334</v>
      </c>
      <c r="O3152" s="8">
        <v>0</v>
      </c>
      <c r="P3152" s="8">
        <v>0</v>
      </c>
      <c r="Q3152" s="8">
        <v>0</v>
      </c>
      <c r="R3152" s="8">
        <v>0</v>
      </c>
      <c r="S3152" s="8">
        <v>0</v>
      </c>
      <c r="T3152" s="5">
        <v>0</v>
      </c>
      <c r="U3152" s="5">
        <v>0</v>
      </c>
      <c r="V3152" s="5">
        <f>VLOOKUP(A3152,Planilha1!B:E,4,0)</f>
        <v>4.5971522734997743</v>
      </c>
    </row>
    <row r="3153" spans="1:22" x14ac:dyDescent="0.3">
      <c r="A3153" t="str">
        <f t="shared" si="98"/>
        <v>LEITE EM PÓITAMBÉ</v>
      </c>
      <c r="B3153" t="str">
        <f t="shared" si="99"/>
        <v>5213484LEITE EM PÓITAMBÉ</v>
      </c>
      <c r="C3153" s="5" t="s">
        <v>226</v>
      </c>
      <c r="D3153" s="5" t="s">
        <v>227</v>
      </c>
      <c r="E3153" s="5" t="s">
        <v>231</v>
      </c>
      <c r="F3153" s="5">
        <v>5213484</v>
      </c>
      <c r="G3153" s="5" t="s">
        <v>236</v>
      </c>
      <c r="H3153" s="5" t="s">
        <v>30</v>
      </c>
      <c r="I3153" s="5" t="s">
        <v>27</v>
      </c>
      <c r="J3153" s="5" t="s">
        <v>84</v>
      </c>
      <c r="K3153" s="6">
        <v>0</v>
      </c>
      <c r="L3153" s="7">
        <v>0</v>
      </c>
      <c r="M3153" s="7">
        <v>0</v>
      </c>
      <c r="N3153" s="8">
        <v>6.666666666666667</v>
      </c>
      <c r="O3153" s="8">
        <v>0</v>
      </c>
      <c r="P3153" s="8">
        <v>0</v>
      </c>
      <c r="Q3153" s="8">
        <v>0</v>
      </c>
      <c r="R3153" s="8">
        <v>0</v>
      </c>
      <c r="S3153" s="8">
        <v>0</v>
      </c>
      <c r="T3153" s="5">
        <v>0</v>
      </c>
      <c r="U3153" s="5">
        <v>0</v>
      </c>
      <c r="V3153" s="5">
        <f>VLOOKUP(A3153,Planilha1!B:E,4,0)</f>
        <v>4.5971522734997743</v>
      </c>
    </row>
    <row r="3154" spans="1:22" x14ac:dyDescent="0.3">
      <c r="A3154" t="str">
        <f t="shared" si="98"/>
        <v>LEITE EM PÓITAMBÉ</v>
      </c>
      <c r="B3154" t="str">
        <f t="shared" si="99"/>
        <v>5214364LEITE EM PÓITAMBÉ</v>
      </c>
      <c r="C3154" s="5" t="s">
        <v>226</v>
      </c>
      <c r="D3154" s="5" t="s">
        <v>727</v>
      </c>
      <c r="E3154" s="5" t="s">
        <v>733</v>
      </c>
      <c r="F3154" s="5">
        <v>5214364</v>
      </c>
      <c r="G3154" s="5" t="s">
        <v>1253</v>
      </c>
      <c r="H3154" s="5" t="s">
        <v>25</v>
      </c>
      <c r="I3154" s="5" t="s">
        <v>27</v>
      </c>
      <c r="J3154" s="5" t="s">
        <v>84</v>
      </c>
      <c r="K3154" s="6">
        <v>0</v>
      </c>
      <c r="L3154" s="7">
        <v>0</v>
      </c>
      <c r="M3154" s="7">
        <v>0</v>
      </c>
      <c r="N3154" s="8">
        <v>0</v>
      </c>
      <c r="O3154" s="8">
        <v>0</v>
      </c>
      <c r="P3154" s="8">
        <v>0</v>
      </c>
      <c r="Q3154" s="8">
        <v>0</v>
      </c>
      <c r="R3154" s="8">
        <v>0</v>
      </c>
      <c r="S3154" s="8">
        <v>0</v>
      </c>
      <c r="T3154" s="5">
        <v>0</v>
      </c>
      <c r="U3154" s="5">
        <v>0</v>
      </c>
      <c r="V3154" s="5">
        <f>VLOOKUP(A3154,Planilha1!B:E,4,0)</f>
        <v>4.5971522734997743</v>
      </c>
    </row>
    <row r="3155" spans="1:22" x14ac:dyDescent="0.3">
      <c r="A3155" t="str">
        <f t="shared" si="98"/>
        <v>LEITE EM PÓITAMBÉ</v>
      </c>
      <c r="B3155" t="str">
        <f t="shared" si="99"/>
        <v>5223419LEITE EM PÓITAMBÉ</v>
      </c>
      <c r="C3155" s="5" t="s">
        <v>226</v>
      </c>
      <c r="D3155" s="5" t="s">
        <v>797</v>
      </c>
      <c r="E3155" s="5" t="s">
        <v>753</v>
      </c>
      <c r="F3155" s="5">
        <v>5223419</v>
      </c>
      <c r="G3155" s="5" t="s">
        <v>731</v>
      </c>
      <c r="H3155" s="5" t="s">
        <v>801</v>
      </c>
      <c r="I3155" s="5" t="s">
        <v>27</v>
      </c>
      <c r="J3155" s="5" t="s">
        <v>84</v>
      </c>
      <c r="K3155" s="6">
        <v>0</v>
      </c>
      <c r="L3155" s="7">
        <v>20</v>
      </c>
      <c r="M3155" s="7">
        <v>0</v>
      </c>
      <c r="N3155" s="8">
        <v>116.33333333333333</v>
      </c>
      <c r="O3155" s="8">
        <v>98.980085558341997</v>
      </c>
      <c r="P3155" s="8">
        <v>49</v>
      </c>
      <c r="Q3155" s="8">
        <v>0</v>
      </c>
      <c r="R3155" s="8">
        <v>13</v>
      </c>
      <c r="S3155" s="8">
        <v>0</v>
      </c>
      <c r="T3155" s="5">
        <v>0</v>
      </c>
      <c r="U3155" s="5">
        <v>0</v>
      </c>
      <c r="V3155" s="5">
        <f>VLOOKUP(A3155,Planilha1!B:E,4,0)</f>
        <v>4.5971522734997743</v>
      </c>
    </row>
    <row r="3156" spans="1:22" x14ac:dyDescent="0.3">
      <c r="A3156" t="str">
        <f t="shared" si="98"/>
        <v>LEITE EM PÓITAMBÉ</v>
      </c>
      <c r="B3156" t="str">
        <f t="shared" si="99"/>
        <v>5229985LEITE EM PÓITAMBÉ</v>
      </c>
      <c r="C3156" s="5" t="s">
        <v>226</v>
      </c>
      <c r="D3156" s="5" t="s">
        <v>833</v>
      </c>
      <c r="E3156" s="5" t="s">
        <v>875</v>
      </c>
      <c r="F3156" s="5">
        <v>5229985</v>
      </c>
      <c r="G3156" s="5" t="s">
        <v>890</v>
      </c>
      <c r="H3156" s="5" t="s">
        <v>91</v>
      </c>
      <c r="I3156" s="5" t="s">
        <v>27</v>
      </c>
      <c r="J3156" s="5" t="s">
        <v>84</v>
      </c>
      <c r="K3156" s="6">
        <v>0</v>
      </c>
      <c r="L3156" s="7">
        <v>0</v>
      </c>
      <c r="M3156" s="7">
        <v>0</v>
      </c>
      <c r="N3156" s="8">
        <v>10</v>
      </c>
      <c r="O3156" s="8">
        <v>0</v>
      </c>
      <c r="P3156" s="8">
        <v>0</v>
      </c>
      <c r="Q3156" s="8">
        <v>0</v>
      </c>
      <c r="R3156" s="8">
        <v>0</v>
      </c>
      <c r="S3156" s="8">
        <v>0</v>
      </c>
      <c r="T3156" s="5">
        <v>0</v>
      </c>
      <c r="U3156" s="5">
        <v>0</v>
      </c>
      <c r="V3156" s="5">
        <f>VLOOKUP(A3156,Planilha1!B:E,4,0)</f>
        <v>4.5971522734997743</v>
      </c>
    </row>
    <row r="3157" spans="1:22" x14ac:dyDescent="0.3">
      <c r="A3157" t="str">
        <f t="shared" si="98"/>
        <v>LEITE EM PÓITAMBÉ</v>
      </c>
      <c r="B3157" t="str">
        <f t="shared" si="99"/>
        <v>5230104LEITE EM PÓITAMBÉ</v>
      </c>
      <c r="C3157" s="5" t="s">
        <v>226</v>
      </c>
      <c r="D3157" s="5" t="s">
        <v>903</v>
      </c>
      <c r="E3157" s="5" t="s">
        <v>904</v>
      </c>
      <c r="F3157" s="5">
        <v>5230104</v>
      </c>
      <c r="G3157" s="5" t="s">
        <v>931</v>
      </c>
      <c r="H3157" s="5" t="s">
        <v>113</v>
      </c>
      <c r="I3157" s="5" t="s">
        <v>27</v>
      </c>
      <c r="J3157" s="5" t="s">
        <v>84</v>
      </c>
      <c r="K3157" s="6">
        <v>0</v>
      </c>
      <c r="L3157" s="7">
        <v>0</v>
      </c>
      <c r="M3157" s="7">
        <v>0</v>
      </c>
      <c r="N3157" s="8">
        <v>3.3333333333333335</v>
      </c>
      <c r="O3157" s="8">
        <v>3.9991953760946259</v>
      </c>
      <c r="P3157" s="8">
        <v>0</v>
      </c>
      <c r="Q3157" s="8">
        <v>0</v>
      </c>
      <c r="R3157" s="8">
        <v>0</v>
      </c>
      <c r="S3157" s="8">
        <v>0</v>
      </c>
      <c r="T3157" s="5">
        <v>0</v>
      </c>
      <c r="U3157" s="5">
        <v>0</v>
      </c>
      <c r="V3157" s="5">
        <f>VLOOKUP(A3157,Planilha1!B:E,4,0)</f>
        <v>4.5971522734997743</v>
      </c>
    </row>
    <row r="3158" spans="1:22" x14ac:dyDescent="0.3">
      <c r="A3158" t="str">
        <f t="shared" si="98"/>
        <v>LEITE EM PÓITAMBÉ</v>
      </c>
      <c r="B3158" t="str">
        <f t="shared" si="99"/>
        <v>5231303LEITE EM PÓITAMBÉ</v>
      </c>
      <c r="C3158" s="5" t="s">
        <v>226</v>
      </c>
      <c r="D3158" s="5" t="s">
        <v>752</v>
      </c>
      <c r="E3158" s="5" t="s">
        <v>767</v>
      </c>
      <c r="F3158" s="5">
        <v>5231303</v>
      </c>
      <c r="G3158" s="5" t="s">
        <v>771</v>
      </c>
      <c r="H3158" s="5" t="s">
        <v>154</v>
      </c>
      <c r="I3158" s="5" t="s">
        <v>27</v>
      </c>
      <c r="J3158" s="5" t="s">
        <v>84</v>
      </c>
      <c r="K3158" s="6">
        <v>0</v>
      </c>
      <c r="L3158" s="7">
        <v>0</v>
      </c>
      <c r="M3158" s="7">
        <v>0</v>
      </c>
      <c r="N3158" s="8">
        <v>466.66666666666669</v>
      </c>
      <c r="O3158" s="8">
        <v>516.89600236023045</v>
      </c>
      <c r="P3158" s="8">
        <v>0</v>
      </c>
      <c r="Q3158" s="8">
        <v>0</v>
      </c>
      <c r="R3158" s="8">
        <v>0</v>
      </c>
      <c r="S3158" s="8">
        <v>0</v>
      </c>
      <c r="T3158" s="5">
        <v>0</v>
      </c>
      <c r="U3158" s="5">
        <v>0</v>
      </c>
      <c r="V3158" s="5">
        <f>VLOOKUP(A3158,Planilha1!B:E,4,0)</f>
        <v>4.5971522734997743</v>
      </c>
    </row>
    <row r="3159" spans="1:22" x14ac:dyDescent="0.3">
      <c r="A3159" t="str">
        <f t="shared" si="98"/>
        <v>LEITE EM PÓITAMBÉ</v>
      </c>
      <c r="B3159" t="str">
        <f t="shared" si="99"/>
        <v>5308411LEITE EM PÓITAMBÉ</v>
      </c>
      <c r="C3159" s="5" t="s">
        <v>226</v>
      </c>
      <c r="D3159" s="5" t="s">
        <v>727</v>
      </c>
      <c r="E3159" s="5" t="s">
        <v>733</v>
      </c>
      <c r="F3159" s="5">
        <v>5308411</v>
      </c>
      <c r="G3159" s="5" t="s">
        <v>748</v>
      </c>
      <c r="H3159" s="5" t="s">
        <v>25</v>
      </c>
      <c r="I3159" s="5" t="s">
        <v>27</v>
      </c>
      <c r="J3159" s="5" t="s">
        <v>84</v>
      </c>
      <c r="K3159" s="6">
        <v>0</v>
      </c>
      <c r="L3159" s="7">
        <v>0</v>
      </c>
      <c r="M3159" s="7">
        <v>0</v>
      </c>
      <c r="N3159" s="8">
        <v>1400</v>
      </c>
      <c r="O3159" s="8">
        <v>1033.7920047204609</v>
      </c>
      <c r="P3159" s="8">
        <v>0</v>
      </c>
      <c r="Q3159" s="8">
        <v>0</v>
      </c>
      <c r="R3159" s="8">
        <v>0</v>
      </c>
      <c r="S3159" s="8">
        <v>0</v>
      </c>
      <c r="T3159" s="5">
        <v>0</v>
      </c>
      <c r="U3159" s="5">
        <v>0</v>
      </c>
      <c r="V3159" s="5">
        <f>VLOOKUP(A3159,Planilha1!B:E,4,0)</f>
        <v>4.5971522734997743</v>
      </c>
    </row>
    <row r="3160" spans="1:22" x14ac:dyDescent="0.3">
      <c r="A3160" t="str">
        <f t="shared" si="98"/>
        <v>LEITE EM PÓITAMBÉ</v>
      </c>
      <c r="B3160" t="str">
        <f t="shared" si="99"/>
        <v>5314201LEITE EM PÓITAMBÉ</v>
      </c>
      <c r="C3160" s="5" t="s">
        <v>226</v>
      </c>
      <c r="D3160" s="5" t="s">
        <v>833</v>
      </c>
      <c r="E3160" s="5" t="s">
        <v>852</v>
      </c>
      <c r="F3160" s="5">
        <v>5314201</v>
      </c>
      <c r="G3160" s="5" t="s">
        <v>1063</v>
      </c>
      <c r="H3160" s="5" t="s">
        <v>40</v>
      </c>
      <c r="I3160" s="5" t="s">
        <v>27</v>
      </c>
      <c r="J3160" s="5" t="s">
        <v>84</v>
      </c>
      <c r="K3160" s="6">
        <v>0</v>
      </c>
      <c r="L3160" s="7">
        <v>0</v>
      </c>
      <c r="M3160" s="7">
        <v>0</v>
      </c>
      <c r="N3160" s="8">
        <v>13.333333333333334</v>
      </c>
      <c r="O3160" s="8">
        <v>0</v>
      </c>
      <c r="P3160" s="8">
        <v>0</v>
      </c>
      <c r="Q3160" s="8">
        <v>0</v>
      </c>
      <c r="R3160" s="8">
        <v>0</v>
      </c>
      <c r="S3160" s="8">
        <v>0</v>
      </c>
      <c r="T3160" s="5">
        <v>0</v>
      </c>
      <c r="U3160" s="5">
        <v>0</v>
      </c>
      <c r="V3160" s="5">
        <f>VLOOKUP(A3160,Planilha1!B:E,4,0)</f>
        <v>4.5971522734997743</v>
      </c>
    </row>
    <row r="3161" spans="1:22" x14ac:dyDescent="0.3">
      <c r="A3161" t="str">
        <f t="shared" si="98"/>
        <v>LEITE EM PÓITAMBÉ</v>
      </c>
      <c r="B3161" t="str">
        <f t="shared" si="99"/>
        <v>5330544LEITE EM PÓITAMBÉ</v>
      </c>
      <c r="C3161" s="5" t="s">
        <v>226</v>
      </c>
      <c r="D3161" s="5" t="s">
        <v>893</v>
      </c>
      <c r="E3161" s="5" t="s">
        <v>231</v>
      </c>
      <c r="F3161" s="5">
        <v>5330544</v>
      </c>
      <c r="G3161" s="5" t="s">
        <v>900</v>
      </c>
      <c r="H3161" s="5" t="s">
        <v>30</v>
      </c>
      <c r="I3161" s="5" t="s">
        <v>27</v>
      </c>
      <c r="J3161" s="5" t="s">
        <v>84</v>
      </c>
      <c r="K3161" s="6">
        <v>0</v>
      </c>
      <c r="L3161" s="7">
        <v>0</v>
      </c>
      <c r="M3161" s="7">
        <v>0</v>
      </c>
      <c r="N3161" s="8">
        <v>233.33333333333334</v>
      </c>
      <c r="O3161" s="8">
        <v>516.89600236023045</v>
      </c>
      <c r="P3161" s="8">
        <v>0</v>
      </c>
      <c r="Q3161" s="8">
        <v>0</v>
      </c>
      <c r="R3161" s="8">
        <v>0</v>
      </c>
      <c r="S3161" s="8">
        <v>0</v>
      </c>
      <c r="T3161" s="5">
        <v>0</v>
      </c>
      <c r="U3161" s="5">
        <v>0</v>
      </c>
      <c r="V3161" s="5">
        <f>VLOOKUP(A3161,Planilha1!B:E,4,0)</f>
        <v>4.5971522734997743</v>
      </c>
    </row>
    <row r="3162" spans="1:22" x14ac:dyDescent="0.3">
      <c r="A3162" t="str">
        <f t="shared" si="98"/>
        <v>LEITE EM PÓITAMBÉ</v>
      </c>
      <c r="B3162" t="str">
        <f t="shared" si="99"/>
        <v>5346808LEITE EM PÓITAMBÉ</v>
      </c>
      <c r="C3162" s="5" t="s">
        <v>226</v>
      </c>
      <c r="D3162" s="5" t="s">
        <v>903</v>
      </c>
      <c r="E3162" s="5" t="s">
        <v>904</v>
      </c>
      <c r="F3162" s="5">
        <v>5346808</v>
      </c>
      <c r="G3162" s="5" t="s">
        <v>1478</v>
      </c>
      <c r="H3162" s="5" t="s">
        <v>113</v>
      </c>
      <c r="I3162" s="5" t="s">
        <v>27</v>
      </c>
      <c r="J3162" s="5" t="s">
        <v>84</v>
      </c>
      <c r="K3162" s="6">
        <v>0</v>
      </c>
      <c r="L3162" s="7">
        <v>288</v>
      </c>
      <c r="M3162" s="7">
        <v>0</v>
      </c>
      <c r="N3162" s="8">
        <v>48</v>
      </c>
      <c r="O3162" s="8">
        <v>134.97284394319362</v>
      </c>
      <c r="P3162" s="8">
        <v>0</v>
      </c>
      <c r="Q3162" s="8">
        <v>0</v>
      </c>
      <c r="R3162" s="8">
        <v>0</v>
      </c>
      <c r="S3162" s="8">
        <v>0</v>
      </c>
      <c r="T3162" s="5">
        <v>0</v>
      </c>
      <c r="U3162" s="5">
        <v>0</v>
      </c>
      <c r="V3162" s="5">
        <f>VLOOKUP(A3162,Planilha1!B:E,4,0)</f>
        <v>4.5971522734997743</v>
      </c>
    </row>
    <row r="3163" spans="1:22" x14ac:dyDescent="0.3">
      <c r="A3163" t="str">
        <f t="shared" si="98"/>
        <v>LEITE EM PÓITAMBÉ</v>
      </c>
      <c r="B3163" t="str">
        <f t="shared" si="99"/>
        <v>5349486LEITE EM PÓITAMBÉ</v>
      </c>
      <c r="C3163" s="5" t="s">
        <v>226</v>
      </c>
      <c r="D3163" s="5" t="s">
        <v>727</v>
      </c>
      <c r="E3163" s="5" t="s">
        <v>733</v>
      </c>
      <c r="F3163" s="5">
        <v>5349486</v>
      </c>
      <c r="G3163" s="5" t="s">
        <v>751</v>
      </c>
      <c r="H3163" s="5" t="s">
        <v>25</v>
      </c>
      <c r="I3163" s="5" t="s">
        <v>27</v>
      </c>
      <c r="J3163" s="5" t="s">
        <v>84</v>
      </c>
      <c r="K3163" s="6">
        <v>0</v>
      </c>
      <c r="L3163" s="7">
        <v>0</v>
      </c>
      <c r="M3163" s="7">
        <v>0</v>
      </c>
      <c r="N3163" s="8">
        <v>433.33333333333331</v>
      </c>
      <c r="O3163" s="8">
        <v>367.92597460070556</v>
      </c>
      <c r="P3163" s="8">
        <v>0</v>
      </c>
      <c r="Q3163" s="8">
        <v>0</v>
      </c>
      <c r="R3163" s="8">
        <v>0</v>
      </c>
      <c r="S3163" s="8">
        <v>0</v>
      </c>
      <c r="T3163" s="5">
        <v>0</v>
      </c>
      <c r="U3163" s="5">
        <v>0</v>
      </c>
      <c r="V3163" s="5">
        <f>VLOOKUP(A3163,Planilha1!B:E,4,0)</f>
        <v>4.5971522734997743</v>
      </c>
    </row>
    <row r="3164" spans="1:22" x14ac:dyDescent="0.3">
      <c r="A3164" t="str">
        <f t="shared" si="98"/>
        <v>LEITE EM PÓITAMBÉ</v>
      </c>
      <c r="B3164" t="str">
        <f t="shared" si="99"/>
        <v>5359623LEITE EM PÓITAMBÉ</v>
      </c>
      <c r="C3164" s="5" t="s">
        <v>226</v>
      </c>
      <c r="D3164" s="5" t="s">
        <v>797</v>
      </c>
      <c r="E3164" s="5" t="s">
        <v>753</v>
      </c>
      <c r="F3164" s="5">
        <v>5359623</v>
      </c>
      <c r="G3164" s="5" t="s">
        <v>1444</v>
      </c>
      <c r="H3164" s="5" t="s">
        <v>20</v>
      </c>
      <c r="I3164" s="5" t="s">
        <v>27</v>
      </c>
      <c r="J3164" s="5" t="s">
        <v>84</v>
      </c>
      <c r="K3164" s="6">
        <v>0</v>
      </c>
      <c r="L3164" s="7">
        <v>0</v>
      </c>
      <c r="M3164" s="7">
        <v>0</v>
      </c>
      <c r="N3164" s="8">
        <v>16.666666666666668</v>
      </c>
      <c r="O3164" s="8">
        <v>0</v>
      </c>
      <c r="P3164" s="8">
        <v>0</v>
      </c>
      <c r="Q3164" s="8">
        <v>0</v>
      </c>
      <c r="R3164" s="8">
        <v>0</v>
      </c>
      <c r="S3164" s="8">
        <v>0</v>
      </c>
      <c r="T3164" s="5">
        <v>0</v>
      </c>
      <c r="U3164" s="5">
        <v>0</v>
      </c>
      <c r="V3164" s="5">
        <f>VLOOKUP(A3164,Planilha1!B:E,4,0)</f>
        <v>4.5971522734997743</v>
      </c>
    </row>
    <row r="3165" spans="1:22" x14ac:dyDescent="0.3">
      <c r="A3165" t="str">
        <f t="shared" si="98"/>
        <v>LEITE EM PÓITAMBÉ</v>
      </c>
      <c r="B3165" t="str">
        <f t="shared" si="99"/>
        <v>5361277LEITE EM PÓITAMBÉ</v>
      </c>
      <c r="C3165" s="5" t="s">
        <v>226</v>
      </c>
      <c r="D3165" s="5" t="s">
        <v>727</v>
      </c>
      <c r="E3165" s="5" t="s">
        <v>733</v>
      </c>
      <c r="F3165" s="5">
        <v>5361277</v>
      </c>
      <c r="G3165" s="5" t="s">
        <v>1239</v>
      </c>
      <c r="H3165" s="5" t="s">
        <v>25</v>
      </c>
      <c r="I3165" s="5" t="s">
        <v>27</v>
      </c>
      <c r="J3165" s="5" t="s">
        <v>84</v>
      </c>
      <c r="K3165" s="6">
        <v>0</v>
      </c>
      <c r="L3165" s="7">
        <v>0</v>
      </c>
      <c r="M3165" s="7">
        <v>0</v>
      </c>
      <c r="N3165" s="8">
        <v>3.3333333333333335</v>
      </c>
      <c r="O3165" s="8">
        <v>0</v>
      </c>
      <c r="P3165" s="8">
        <v>0</v>
      </c>
      <c r="Q3165" s="8">
        <v>0</v>
      </c>
      <c r="R3165" s="8">
        <v>0</v>
      </c>
      <c r="S3165" s="8">
        <v>0</v>
      </c>
      <c r="T3165" s="5">
        <v>0</v>
      </c>
      <c r="U3165" s="5">
        <v>0</v>
      </c>
      <c r="V3165" s="5">
        <f>VLOOKUP(A3165,Planilha1!B:E,4,0)</f>
        <v>4.5971522734997743</v>
      </c>
    </row>
    <row r="3166" spans="1:22" x14ac:dyDescent="0.3">
      <c r="A3166" t="str">
        <f t="shared" si="98"/>
        <v>LEITE EM PÓLACTALIS</v>
      </c>
      <c r="B3166" t="str">
        <f t="shared" si="99"/>
        <v>5008478LEITE EM PÓLACTALIS</v>
      </c>
      <c r="C3166" s="5" t="s">
        <v>226</v>
      </c>
      <c r="D3166" s="5" t="s">
        <v>815</v>
      </c>
      <c r="E3166" s="5" t="s">
        <v>816</v>
      </c>
      <c r="F3166" s="5">
        <v>5008478</v>
      </c>
      <c r="G3166" s="5" t="s">
        <v>817</v>
      </c>
      <c r="H3166" s="5" t="s">
        <v>30</v>
      </c>
      <c r="I3166" s="5" t="s">
        <v>22</v>
      </c>
      <c r="J3166" s="5" t="s">
        <v>84</v>
      </c>
      <c r="K3166" s="6">
        <v>0</v>
      </c>
      <c r="L3166" s="7">
        <v>0</v>
      </c>
      <c r="M3166" s="7">
        <v>0</v>
      </c>
      <c r="N3166" s="8">
        <v>0</v>
      </c>
      <c r="O3166" s="8">
        <v>22.04741236596146</v>
      </c>
      <c r="P3166" s="8">
        <v>0</v>
      </c>
      <c r="Q3166" s="8">
        <v>0</v>
      </c>
      <c r="R3166" s="8">
        <v>0</v>
      </c>
      <c r="S3166" s="8">
        <v>0</v>
      </c>
      <c r="T3166" s="5">
        <v>0</v>
      </c>
      <c r="U3166" s="5">
        <v>0</v>
      </c>
      <c r="V3166" s="5">
        <f>VLOOKUP(A3166,Planilha1!B:E,4,0)</f>
        <v>-2.8055507108797499</v>
      </c>
    </row>
    <row r="3167" spans="1:22" x14ac:dyDescent="0.3">
      <c r="A3167" t="str">
        <f t="shared" si="98"/>
        <v>LEITE EM PÓLACTALIS</v>
      </c>
      <c r="B3167" t="str">
        <f t="shared" si="99"/>
        <v>5026855LEITE EM PÓLACTALIS</v>
      </c>
      <c r="C3167" s="5" t="s">
        <v>16</v>
      </c>
      <c r="D3167" s="5" t="s">
        <v>17</v>
      </c>
      <c r="E3167" s="5" t="s">
        <v>44</v>
      </c>
      <c r="F3167" s="5">
        <v>5026855</v>
      </c>
      <c r="G3167" s="5" t="s">
        <v>47</v>
      </c>
      <c r="H3167" s="5" t="s">
        <v>25</v>
      </c>
      <c r="I3167" s="5" t="s">
        <v>22</v>
      </c>
      <c r="J3167" s="5" t="s">
        <v>84</v>
      </c>
      <c r="K3167" s="6">
        <v>0</v>
      </c>
      <c r="L3167" s="7">
        <v>0</v>
      </c>
      <c r="M3167" s="7">
        <v>0</v>
      </c>
      <c r="N3167" s="8">
        <v>14041.666666666666</v>
      </c>
      <c r="O3167" s="8">
        <v>0</v>
      </c>
      <c r="P3167" s="8">
        <v>0</v>
      </c>
      <c r="Q3167" s="8">
        <v>0</v>
      </c>
      <c r="R3167" s="8">
        <v>0</v>
      </c>
      <c r="S3167" s="8">
        <v>0</v>
      </c>
      <c r="T3167" s="5">
        <v>0</v>
      </c>
      <c r="U3167" s="5">
        <v>0</v>
      </c>
      <c r="V3167" s="5">
        <f>VLOOKUP(A3167,Planilha1!B:E,4,0)</f>
        <v>-2.8055507108797499</v>
      </c>
    </row>
    <row r="3168" spans="1:22" x14ac:dyDescent="0.3">
      <c r="A3168" t="str">
        <f t="shared" si="98"/>
        <v>LEITE EM PÓLACTALIS</v>
      </c>
      <c r="B3168" t="str">
        <f t="shared" si="99"/>
        <v>5034557LEITE EM PÓLACTALIS</v>
      </c>
      <c r="C3168" s="5" t="s">
        <v>226</v>
      </c>
      <c r="D3168" s="5" t="s">
        <v>227</v>
      </c>
      <c r="E3168" s="5" t="s">
        <v>1722</v>
      </c>
      <c r="F3168" s="5">
        <v>5034557</v>
      </c>
      <c r="G3168" s="5" t="s">
        <v>379</v>
      </c>
      <c r="H3168" s="5" t="s">
        <v>30</v>
      </c>
      <c r="I3168" s="5" t="s">
        <v>22</v>
      </c>
      <c r="J3168" s="5" t="s">
        <v>84</v>
      </c>
      <c r="K3168" s="6">
        <v>0</v>
      </c>
      <c r="L3168" s="7">
        <v>0</v>
      </c>
      <c r="M3168" s="7">
        <v>0</v>
      </c>
      <c r="N3168" s="8">
        <v>0</v>
      </c>
      <c r="O3168" s="8">
        <v>1.0143291292688397</v>
      </c>
      <c r="P3168" s="8">
        <v>0</v>
      </c>
      <c r="Q3168" s="8">
        <v>0</v>
      </c>
      <c r="R3168" s="8">
        <v>0</v>
      </c>
      <c r="S3168" s="8">
        <v>0</v>
      </c>
      <c r="T3168" s="5">
        <v>0</v>
      </c>
      <c r="U3168" s="5">
        <v>0</v>
      </c>
      <c r="V3168" s="5">
        <f>VLOOKUP(A3168,Planilha1!B:E,4,0)</f>
        <v>-2.8055507108797499</v>
      </c>
    </row>
    <row r="3169" spans="1:22" x14ac:dyDescent="0.3">
      <c r="A3169" t="str">
        <f t="shared" si="98"/>
        <v>LEITE EM PÓLACTALIS</v>
      </c>
      <c r="B3169" t="str">
        <f t="shared" si="99"/>
        <v>5034558LEITE EM PÓLACTALIS</v>
      </c>
      <c r="C3169" s="5" t="s">
        <v>226</v>
      </c>
      <c r="D3169" s="5" t="s">
        <v>227</v>
      </c>
      <c r="E3169" s="5" t="s">
        <v>1722</v>
      </c>
      <c r="F3169" s="5">
        <v>5034558</v>
      </c>
      <c r="G3169" s="5" t="s">
        <v>379</v>
      </c>
      <c r="H3169" s="5" t="s">
        <v>30</v>
      </c>
      <c r="I3169" s="5" t="s">
        <v>22</v>
      </c>
      <c r="J3169" s="5" t="s">
        <v>84</v>
      </c>
      <c r="K3169" s="6">
        <v>0</v>
      </c>
      <c r="L3169" s="7">
        <v>0</v>
      </c>
      <c r="M3169" s="7">
        <v>0</v>
      </c>
      <c r="N3169" s="8">
        <v>0</v>
      </c>
      <c r="O3169" s="8">
        <v>3.0543843443151575</v>
      </c>
      <c r="P3169" s="8">
        <v>0</v>
      </c>
      <c r="Q3169" s="8">
        <v>0</v>
      </c>
      <c r="R3169" s="8">
        <v>0</v>
      </c>
      <c r="S3169" s="8">
        <v>0</v>
      </c>
      <c r="T3169" s="5">
        <v>0</v>
      </c>
      <c r="U3169" s="5">
        <v>0</v>
      </c>
      <c r="V3169" s="5">
        <f>VLOOKUP(A3169,Planilha1!B:E,4,0)</f>
        <v>-2.8055507108797499</v>
      </c>
    </row>
    <row r="3170" spans="1:22" x14ac:dyDescent="0.3">
      <c r="A3170" t="str">
        <f t="shared" si="98"/>
        <v>LEITE EM PÓLACTALIS</v>
      </c>
      <c r="B3170" t="str">
        <f t="shared" si="99"/>
        <v>5145301LEITE EM PÓLACTALIS</v>
      </c>
      <c r="C3170" s="5" t="s">
        <v>226</v>
      </c>
      <c r="D3170" s="5" t="s">
        <v>227</v>
      </c>
      <c r="E3170" s="5" t="s">
        <v>1722</v>
      </c>
      <c r="F3170" s="5">
        <v>5145301</v>
      </c>
      <c r="G3170" s="5" t="s">
        <v>383</v>
      </c>
      <c r="H3170" s="5" t="s">
        <v>30</v>
      </c>
      <c r="I3170" s="5" t="s">
        <v>22</v>
      </c>
      <c r="J3170" s="5" t="s">
        <v>84</v>
      </c>
      <c r="K3170" s="6">
        <v>0</v>
      </c>
      <c r="L3170" s="7">
        <v>0</v>
      </c>
      <c r="M3170" s="7">
        <v>0</v>
      </c>
      <c r="N3170" s="8">
        <v>0</v>
      </c>
      <c r="O3170" s="8">
        <v>3.8464728216655435</v>
      </c>
      <c r="P3170" s="8">
        <v>0</v>
      </c>
      <c r="Q3170" s="8">
        <v>0</v>
      </c>
      <c r="R3170" s="8">
        <v>0</v>
      </c>
      <c r="S3170" s="8">
        <v>0</v>
      </c>
      <c r="T3170" s="5">
        <v>0</v>
      </c>
      <c r="U3170" s="5">
        <v>0</v>
      </c>
      <c r="V3170" s="5">
        <f>VLOOKUP(A3170,Planilha1!B:E,4,0)</f>
        <v>-2.8055507108797499</v>
      </c>
    </row>
    <row r="3171" spans="1:22" x14ac:dyDescent="0.3">
      <c r="A3171" t="str">
        <f t="shared" si="98"/>
        <v>LEITE EM PÓLACTALIS</v>
      </c>
      <c r="B3171" t="str">
        <f t="shared" si="99"/>
        <v>5175227LEITE EM PÓLACTALIS</v>
      </c>
      <c r="C3171" s="5" t="s">
        <v>149</v>
      </c>
      <c r="D3171" s="5" t="s">
        <v>150</v>
      </c>
      <c r="E3171" s="5" t="s">
        <v>151</v>
      </c>
      <c r="F3171" s="5">
        <v>5175227</v>
      </c>
      <c r="G3171" s="5" t="s">
        <v>204</v>
      </c>
      <c r="H3171" s="5" t="s">
        <v>30</v>
      </c>
      <c r="I3171" s="5" t="s">
        <v>22</v>
      </c>
      <c r="J3171" s="5" t="s">
        <v>84</v>
      </c>
      <c r="K3171" s="6">
        <v>0</v>
      </c>
      <c r="L3171" s="7">
        <v>0</v>
      </c>
      <c r="M3171" s="7">
        <v>0</v>
      </c>
      <c r="N3171" s="8">
        <v>0</v>
      </c>
      <c r="O3171" s="8">
        <v>261.51456404722239</v>
      </c>
      <c r="P3171" s="8">
        <v>0</v>
      </c>
      <c r="Q3171" s="8">
        <v>0</v>
      </c>
      <c r="R3171" s="8">
        <v>0</v>
      </c>
      <c r="S3171" s="8">
        <v>0</v>
      </c>
      <c r="T3171" s="5">
        <v>0</v>
      </c>
      <c r="U3171" s="5">
        <v>0</v>
      </c>
      <c r="V3171" s="5">
        <f>VLOOKUP(A3171,Planilha1!B:E,4,0)</f>
        <v>-2.8055507108797499</v>
      </c>
    </row>
    <row r="3172" spans="1:22" x14ac:dyDescent="0.3">
      <c r="A3172" t="str">
        <f t="shared" si="98"/>
        <v>LEITE EM PÓLACTALIS</v>
      </c>
      <c r="B3172" t="str">
        <f t="shared" si="99"/>
        <v>5210128LEITE EM PÓLACTALIS</v>
      </c>
      <c r="C3172" s="5" t="s">
        <v>226</v>
      </c>
      <c r="D3172" s="5" t="s">
        <v>227</v>
      </c>
      <c r="E3172" s="5" t="s">
        <v>1722</v>
      </c>
      <c r="F3172" s="5">
        <v>5210128</v>
      </c>
      <c r="G3172" s="5" t="s">
        <v>392</v>
      </c>
      <c r="H3172" s="5" t="s">
        <v>30</v>
      </c>
      <c r="I3172" s="5" t="s">
        <v>22</v>
      </c>
      <c r="J3172" s="5" t="s">
        <v>84</v>
      </c>
      <c r="K3172" s="6">
        <v>0</v>
      </c>
      <c r="L3172" s="7">
        <v>0</v>
      </c>
      <c r="M3172" s="7">
        <v>0</v>
      </c>
      <c r="N3172" s="8">
        <v>3.3333333333333335</v>
      </c>
      <c r="O3172" s="8">
        <v>2.8321436923967038</v>
      </c>
      <c r="P3172" s="8">
        <v>0</v>
      </c>
      <c r="Q3172" s="8">
        <v>0</v>
      </c>
      <c r="R3172" s="8">
        <v>0</v>
      </c>
      <c r="S3172" s="8">
        <v>0</v>
      </c>
      <c r="T3172" s="5">
        <v>0</v>
      </c>
      <c r="U3172" s="5">
        <v>0</v>
      </c>
      <c r="V3172" s="5">
        <f>VLOOKUP(A3172,Planilha1!B:E,4,0)</f>
        <v>-2.8055507108797499</v>
      </c>
    </row>
    <row r="3173" spans="1:22" x14ac:dyDescent="0.3">
      <c r="A3173" t="str">
        <f t="shared" si="98"/>
        <v>LEITE EM PÓLACTALIS</v>
      </c>
      <c r="B3173" t="str">
        <f t="shared" si="99"/>
        <v>5221399LEITE EM PÓLACTALIS</v>
      </c>
      <c r="C3173" s="5" t="s">
        <v>226</v>
      </c>
      <c r="D3173" s="5" t="s">
        <v>227</v>
      </c>
      <c r="E3173" s="5" t="s">
        <v>1722</v>
      </c>
      <c r="F3173" s="5">
        <v>5221399</v>
      </c>
      <c r="G3173" s="5" t="s">
        <v>244</v>
      </c>
      <c r="H3173" s="5" t="s">
        <v>30</v>
      </c>
      <c r="I3173" s="5" t="s">
        <v>22</v>
      </c>
      <c r="J3173" s="5" t="s">
        <v>84</v>
      </c>
      <c r="K3173" s="6">
        <v>0</v>
      </c>
      <c r="L3173" s="7">
        <v>50</v>
      </c>
      <c r="M3173" s="7">
        <v>0</v>
      </c>
      <c r="N3173" s="8">
        <v>116.66666666666667</v>
      </c>
      <c r="O3173" s="8">
        <v>126.54610659366921</v>
      </c>
      <c r="P3173" s="8">
        <v>0</v>
      </c>
      <c r="Q3173" s="8">
        <v>100</v>
      </c>
      <c r="R3173" s="8">
        <v>0</v>
      </c>
      <c r="S3173" s="8">
        <v>0</v>
      </c>
      <c r="T3173" s="5">
        <v>0</v>
      </c>
      <c r="U3173" s="5">
        <v>100</v>
      </c>
      <c r="V3173" s="5">
        <f>VLOOKUP(A3173,Planilha1!B:E,4,0)</f>
        <v>-2.8055507108797499</v>
      </c>
    </row>
    <row r="3174" spans="1:22" x14ac:dyDescent="0.3">
      <c r="A3174" t="str">
        <f t="shared" si="98"/>
        <v>LEITE EM PÓLACTALIS</v>
      </c>
      <c r="B3174" t="str">
        <f t="shared" si="99"/>
        <v>5230848LEITE EM PÓLACTALIS</v>
      </c>
      <c r="C3174" s="5" t="s">
        <v>226</v>
      </c>
      <c r="D3174" s="5" t="s">
        <v>227</v>
      </c>
      <c r="E3174" s="5" t="s">
        <v>1722</v>
      </c>
      <c r="F3174" s="5">
        <v>5230848</v>
      </c>
      <c r="G3174" s="5" t="s">
        <v>1521</v>
      </c>
      <c r="H3174" s="5" t="s">
        <v>30</v>
      </c>
      <c r="I3174" s="5" t="s">
        <v>22</v>
      </c>
      <c r="J3174" s="5" t="s">
        <v>84</v>
      </c>
      <c r="K3174" s="6">
        <v>0</v>
      </c>
      <c r="L3174" s="7">
        <v>500</v>
      </c>
      <c r="M3174" s="7">
        <v>0</v>
      </c>
      <c r="N3174" s="8">
        <v>100</v>
      </c>
      <c r="O3174" s="8">
        <v>112.48796074026345</v>
      </c>
      <c r="P3174" s="8">
        <v>0</v>
      </c>
      <c r="Q3174" s="8">
        <v>0</v>
      </c>
      <c r="R3174" s="8">
        <v>0</v>
      </c>
      <c r="S3174" s="8">
        <v>0</v>
      </c>
      <c r="T3174" s="5">
        <v>0</v>
      </c>
      <c r="U3174" s="5">
        <v>0</v>
      </c>
      <c r="V3174" s="5">
        <f>VLOOKUP(A3174,Planilha1!B:E,4,0)</f>
        <v>-2.8055507108797499</v>
      </c>
    </row>
    <row r="3175" spans="1:22" x14ac:dyDescent="0.3">
      <c r="A3175" t="str">
        <f t="shared" si="98"/>
        <v>LEITE EM PÓLACTALIS</v>
      </c>
      <c r="B3175" t="str">
        <f t="shared" si="99"/>
        <v>5252388LEITE EM PÓLACTALIS</v>
      </c>
      <c r="C3175" s="5" t="s">
        <v>226</v>
      </c>
      <c r="D3175" s="5" t="s">
        <v>227</v>
      </c>
      <c r="E3175" s="5" t="s">
        <v>1722</v>
      </c>
      <c r="F3175" s="5">
        <v>5252388</v>
      </c>
      <c r="G3175" s="5" t="s">
        <v>272</v>
      </c>
      <c r="H3175" s="5" t="s">
        <v>30</v>
      </c>
      <c r="I3175" s="5" t="s">
        <v>22</v>
      </c>
      <c r="J3175" s="5" t="s">
        <v>84</v>
      </c>
      <c r="K3175" s="6">
        <v>0</v>
      </c>
      <c r="L3175" s="7">
        <v>0</v>
      </c>
      <c r="M3175" s="7">
        <v>0</v>
      </c>
      <c r="N3175" s="8">
        <v>12.666666666666668</v>
      </c>
      <c r="O3175" s="8">
        <v>15.784784764464526</v>
      </c>
      <c r="P3175" s="8">
        <v>0</v>
      </c>
      <c r="Q3175" s="8">
        <v>0</v>
      </c>
      <c r="R3175" s="8">
        <v>0</v>
      </c>
      <c r="S3175" s="8">
        <v>0</v>
      </c>
      <c r="T3175" s="5">
        <v>0</v>
      </c>
      <c r="U3175" s="5">
        <v>0</v>
      </c>
      <c r="V3175" s="5">
        <f>VLOOKUP(A3175,Planilha1!B:E,4,0)</f>
        <v>-2.8055507108797499</v>
      </c>
    </row>
    <row r="3176" spans="1:22" x14ac:dyDescent="0.3">
      <c r="A3176" t="str">
        <f t="shared" si="98"/>
        <v>LEITE EM PÓLACTALIS</v>
      </c>
      <c r="B3176" t="str">
        <f t="shared" si="99"/>
        <v>5253730LEITE EM PÓLACTALIS</v>
      </c>
      <c r="C3176" s="5" t="s">
        <v>226</v>
      </c>
      <c r="D3176" s="5" t="s">
        <v>227</v>
      </c>
      <c r="E3176" s="5" t="s">
        <v>1722</v>
      </c>
      <c r="F3176" s="5">
        <v>5253730</v>
      </c>
      <c r="G3176" s="5" t="s">
        <v>404</v>
      </c>
      <c r="H3176" s="5" t="s">
        <v>30</v>
      </c>
      <c r="I3176" s="5" t="s">
        <v>22</v>
      </c>
      <c r="J3176" s="5" t="s">
        <v>84</v>
      </c>
      <c r="K3176" s="6">
        <v>0</v>
      </c>
      <c r="L3176" s="7">
        <v>0</v>
      </c>
      <c r="M3176" s="7">
        <v>0</v>
      </c>
      <c r="N3176" s="8">
        <v>0</v>
      </c>
      <c r="O3176" s="8">
        <v>2.8321436923967038</v>
      </c>
      <c r="P3176" s="8">
        <v>0</v>
      </c>
      <c r="Q3176" s="8">
        <v>0</v>
      </c>
      <c r="R3176" s="8">
        <v>0</v>
      </c>
      <c r="S3176" s="8">
        <v>0</v>
      </c>
      <c r="T3176" s="5">
        <v>0</v>
      </c>
      <c r="U3176" s="5">
        <v>0</v>
      </c>
      <c r="V3176" s="5">
        <f>VLOOKUP(A3176,Planilha1!B:E,4,0)</f>
        <v>-2.8055507108797499</v>
      </c>
    </row>
    <row r="3177" spans="1:22" x14ac:dyDescent="0.3">
      <c r="A3177" t="str">
        <f t="shared" si="98"/>
        <v>LEITE EM PÓLACTALIS</v>
      </c>
      <c r="B3177" t="str">
        <f t="shared" si="99"/>
        <v>5261531LEITE EM PÓLACTALIS</v>
      </c>
      <c r="C3177" s="5" t="s">
        <v>226</v>
      </c>
      <c r="D3177" s="5" t="s">
        <v>227</v>
      </c>
      <c r="E3177" s="5" t="s">
        <v>1722</v>
      </c>
      <c r="F3177" s="5">
        <v>5261531</v>
      </c>
      <c r="G3177" s="5" t="s">
        <v>1522</v>
      </c>
      <c r="H3177" s="5" t="s">
        <v>30</v>
      </c>
      <c r="I3177" s="5" t="s">
        <v>22</v>
      </c>
      <c r="J3177" s="5" t="s">
        <v>84</v>
      </c>
      <c r="K3177" s="6">
        <v>0</v>
      </c>
      <c r="L3177" s="7">
        <v>18</v>
      </c>
      <c r="M3177" s="7">
        <v>0</v>
      </c>
      <c r="N3177" s="8">
        <v>33.333333333333336</v>
      </c>
      <c r="O3177" s="8">
        <v>40.368019953598093</v>
      </c>
      <c r="P3177" s="8">
        <v>0</v>
      </c>
      <c r="Q3177" s="8">
        <v>0</v>
      </c>
      <c r="R3177" s="8">
        <v>0</v>
      </c>
      <c r="S3177" s="8">
        <v>0</v>
      </c>
      <c r="T3177" s="5">
        <v>0</v>
      </c>
      <c r="U3177" s="5">
        <v>0</v>
      </c>
      <c r="V3177" s="5">
        <f>VLOOKUP(A3177,Planilha1!B:E,4,0)</f>
        <v>-2.8055507108797499</v>
      </c>
    </row>
    <row r="3178" spans="1:22" x14ac:dyDescent="0.3">
      <c r="A3178" t="str">
        <f t="shared" si="98"/>
        <v>LEITE EM PÓLACTALIS</v>
      </c>
      <c r="B3178" t="str">
        <f t="shared" si="99"/>
        <v>5262507LEITE EM PÓLACTALIS</v>
      </c>
      <c r="C3178" s="5" t="s">
        <v>226</v>
      </c>
      <c r="D3178" s="5" t="s">
        <v>227</v>
      </c>
      <c r="E3178" s="5" t="s">
        <v>1722</v>
      </c>
      <c r="F3178" s="5">
        <v>5262507</v>
      </c>
      <c r="G3178" s="5" t="s">
        <v>1523</v>
      </c>
      <c r="H3178" s="5" t="s">
        <v>30</v>
      </c>
      <c r="I3178" s="5" t="s">
        <v>22</v>
      </c>
      <c r="J3178" s="5" t="s">
        <v>84</v>
      </c>
      <c r="K3178" s="6">
        <v>0</v>
      </c>
      <c r="L3178" s="7">
        <v>18</v>
      </c>
      <c r="M3178" s="7">
        <v>0</v>
      </c>
      <c r="N3178" s="8">
        <v>33.333333333333336</v>
      </c>
      <c r="O3178" s="8">
        <v>27.751589098535106</v>
      </c>
      <c r="P3178" s="8">
        <v>0</v>
      </c>
      <c r="Q3178" s="8">
        <v>0</v>
      </c>
      <c r="R3178" s="8">
        <v>0</v>
      </c>
      <c r="S3178" s="8">
        <v>0</v>
      </c>
      <c r="T3178" s="5">
        <v>0</v>
      </c>
      <c r="U3178" s="5">
        <v>0</v>
      </c>
      <c r="V3178" s="5">
        <f>VLOOKUP(A3178,Planilha1!B:E,4,0)</f>
        <v>-2.8055507108797499</v>
      </c>
    </row>
    <row r="3179" spans="1:22" x14ac:dyDescent="0.3">
      <c r="A3179" t="str">
        <f t="shared" si="98"/>
        <v>LEITE EM PÓLACTALIS</v>
      </c>
      <c r="B3179" t="str">
        <f t="shared" si="99"/>
        <v>5263392LEITE EM PÓLACTALIS</v>
      </c>
      <c r="C3179" s="5" t="s">
        <v>226</v>
      </c>
      <c r="D3179" s="5" t="s">
        <v>227</v>
      </c>
      <c r="E3179" s="5" t="s">
        <v>1722</v>
      </c>
      <c r="F3179" s="5">
        <v>5263392</v>
      </c>
      <c r="G3179" s="5" t="s">
        <v>1524</v>
      </c>
      <c r="H3179" s="5" t="s">
        <v>30</v>
      </c>
      <c r="I3179" s="5" t="s">
        <v>22</v>
      </c>
      <c r="J3179" s="5" t="s">
        <v>84</v>
      </c>
      <c r="K3179" s="6">
        <v>0</v>
      </c>
      <c r="L3179" s="7">
        <v>0</v>
      </c>
      <c r="M3179" s="7">
        <v>0</v>
      </c>
      <c r="N3179" s="8">
        <v>6</v>
      </c>
      <c r="O3179" s="8">
        <v>13.454107158447924</v>
      </c>
      <c r="P3179" s="8">
        <v>0</v>
      </c>
      <c r="Q3179" s="8">
        <v>0</v>
      </c>
      <c r="R3179" s="8">
        <v>0</v>
      </c>
      <c r="S3179" s="8">
        <v>0</v>
      </c>
      <c r="T3179" s="5">
        <v>0</v>
      </c>
      <c r="U3179" s="5">
        <v>0</v>
      </c>
      <c r="V3179" s="5">
        <f>VLOOKUP(A3179,Planilha1!B:E,4,0)</f>
        <v>-2.8055507108797499</v>
      </c>
    </row>
    <row r="3180" spans="1:22" x14ac:dyDescent="0.3">
      <c r="A3180" t="str">
        <f t="shared" si="98"/>
        <v>LEITE EM PÓLACTALIS</v>
      </c>
      <c r="B3180" t="str">
        <f t="shared" si="99"/>
        <v>5263491LEITE EM PÓLACTALIS</v>
      </c>
      <c r="C3180" s="5" t="s">
        <v>226</v>
      </c>
      <c r="D3180" s="5" t="s">
        <v>227</v>
      </c>
      <c r="E3180" s="5" t="s">
        <v>1722</v>
      </c>
      <c r="F3180" s="5">
        <v>5263491</v>
      </c>
      <c r="G3180" s="5" t="s">
        <v>1525</v>
      </c>
      <c r="H3180" s="5" t="s">
        <v>30</v>
      </c>
      <c r="I3180" s="5" t="s">
        <v>22</v>
      </c>
      <c r="J3180" s="5" t="s">
        <v>84</v>
      </c>
      <c r="K3180" s="6">
        <v>0</v>
      </c>
      <c r="L3180" s="7">
        <v>0</v>
      </c>
      <c r="M3180" s="7">
        <v>0</v>
      </c>
      <c r="N3180" s="8">
        <v>0</v>
      </c>
      <c r="O3180" s="8">
        <v>2.5415213014264184</v>
      </c>
      <c r="P3180" s="8">
        <v>0</v>
      </c>
      <c r="Q3180" s="8">
        <v>0</v>
      </c>
      <c r="R3180" s="8">
        <v>0</v>
      </c>
      <c r="S3180" s="8">
        <v>0</v>
      </c>
      <c r="T3180" s="5">
        <v>0</v>
      </c>
      <c r="U3180" s="5">
        <v>0</v>
      </c>
      <c r="V3180" s="5">
        <f>VLOOKUP(A3180,Planilha1!B:E,4,0)</f>
        <v>-2.8055507108797499</v>
      </c>
    </row>
    <row r="3181" spans="1:22" x14ac:dyDescent="0.3">
      <c r="A3181" t="str">
        <f t="shared" si="98"/>
        <v>LEITE EM PÓLACTALIS</v>
      </c>
      <c r="B3181" t="str">
        <f t="shared" si="99"/>
        <v>5266993LEITE EM PÓLACTALIS</v>
      </c>
      <c r="C3181" s="5" t="s">
        <v>226</v>
      </c>
      <c r="D3181" s="5" t="s">
        <v>227</v>
      </c>
      <c r="E3181" s="5" t="s">
        <v>1722</v>
      </c>
      <c r="F3181" s="5">
        <v>5266993</v>
      </c>
      <c r="G3181" s="5" t="s">
        <v>272</v>
      </c>
      <c r="H3181" s="5" t="s">
        <v>30</v>
      </c>
      <c r="I3181" s="5" t="s">
        <v>22</v>
      </c>
      <c r="J3181" s="5" t="s">
        <v>84</v>
      </c>
      <c r="K3181" s="6">
        <v>0</v>
      </c>
      <c r="L3181" s="7">
        <v>9</v>
      </c>
      <c r="M3181" s="7">
        <v>0</v>
      </c>
      <c r="N3181" s="8">
        <v>0</v>
      </c>
      <c r="O3181" s="8">
        <v>2.518727388409141</v>
      </c>
      <c r="P3181" s="8">
        <v>0</v>
      </c>
      <c r="Q3181" s="8">
        <v>0</v>
      </c>
      <c r="R3181" s="8">
        <v>0</v>
      </c>
      <c r="S3181" s="8">
        <v>0</v>
      </c>
      <c r="T3181" s="5">
        <v>0</v>
      </c>
      <c r="U3181" s="5">
        <v>0</v>
      </c>
      <c r="V3181" s="5">
        <f>VLOOKUP(A3181,Planilha1!B:E,4,0)</f>
        <v>-2.8055507108797499</v>
      </c>
    </row>
    <row r="3182" spans="1:22" x14ac:dyDescent="0.3">
      <c r="A3182" t="str">
        <f t="shared" si="98"/>
        <v>LEITE EM PÓLACTALIS</v>
      </c>
      <c r="B3182" t="str">
        <f t="shared" si="99"/>
        <v>5267513LEITE EM PÓLACTALIS</v>
      </c>
      <c r="C3182" s="5" t="s">
        <v>226</v>
      </c>
      <c r="D3182" s="5" t="s">
        <v>227</v>
      </c>
      <c r="E3182" s="5" t="s">
        <v>1722</v>
      </c>
      <c r="F3182" s="5">
        <v>5267513</v>
      </c>
      <c r="G3182" s="5" t="s">
        <v>1523</v>
      </c>
      <c r="H3182" s="5" t="s">
        <v>30</v>
      </c>
      <c r="I3182" s="5" t="s">
        <v>22</v>
      </c>
      <c r="J3182" s="5" t="s">
        <v>84</v>
      </c>
      <c r="K3182" s="6">
        <v>0</v>
      </c>
      <c r="L3182" s="7">
        <v>18</v>
      </c>
      <c r="M3182" s="7">
        <v>0</v>
      </c>
      <c r="N3182" s="8">
        <v>16.666666666666668</v>
      </c>
      <c r="O3182" s="8">
        <v>27.751589098535106</v>
      </c>
      <c r="P3182" s="8">
        <v>0</v>
      </c>
      <c r="Q3182" s="8">
        <v>0</v>
      </c>
      <c r="R3182" s="8">
        <v>0</v>
      </c>
      <c r="S3182" s="8">
        <v>0</v>
      </c>
      <c r="T3182" s="5">
        <v>0</v>
      </c>
      <c r="U3182" s="5">
        <v>0</v>
      </c>
      <c r="V3182" s="5">
        <f>VLOOKUP(A3182,Planilha1!B:E,4,0)</f>
        <v>-2.8055507108797499</v>
      </c>
    </row>
    <row r="3183" spans="1:22" x14ac:dyDescent="0.3">
      <c r="A3183" t="str">
        <f t="shared" si="98"/>
        <v>LEITE EM PÓLACTALIS</v>
      </c>
      <c r="B3183" t="str">
        <f t="shared" si="99"/>
        <v>5267832LEITE EM PÓLACTALIS</v>
      </c>
      <c r="C3183" s="5" t="s">
        <v>226</v>
      </c>
      <c r="D3183" s="5" t="s">
        <v>227</v>
      </c>
      <c r="E3183" s="5" t="s">
        <v>1722</v>
      </c>
      <c r="F3183" s="5">
        <v>5267832</v>
      </c>
      <c r="G3183" s="5" t="s">
        <v>1523</v>
      </c>
      <c r="H3183" s="5" t="s">
        <v>30</v>
      </c>
      <c r="I3183" s="5" t="s">
        <v>22</v>
      </c>
      <c r="J3183" s="5" t="s">
        <v>84</v>
      </c>
      <c r="K3183" s="6">
        <v>0</v>
      </c>
      <c r="L3183" s="7">
        <v>18</v>
      </c>
      <c r="M3183" s="7">
        <v>0</v>
      </c>
      <c r="N3183" s="8">
        <v>33.333333333333336</v>
      </c>
      <c r="O3183" s="8">
        <v>27.751589098535106</v>
      </c>
      <c r="P3183" s="8">
        <v>0</v>
      </c>
      <c r="Q3183" s="8">
        <v>0</v>
      </c>
      <c r="R3183" s="8">
        <v>0</v>
      </c>
      <c r="S3183" s="8">
        <v>0</v>
      </c>
      <c r="T3183" s="5">
        <v>0</v>
      </c>
      <c r="U3183" s="5">
        <v>0</v>
      </c>
      <c r="V3183" s="5">
        <f>VLOOKUP(A3183,Planilha1!B:E,4,0)</f>
        <v>-2.8055507108797499</v>
      </c>
    </row>
    <row r="3184" spans="1:22" x14ac:dyDescent="0.3">
      <c r="A3184" t="str">
        <f t="shared" si="98"/>
        <v>LEITE EM PÓLACTALIS</v>
      </c>
      <c r="B3184" t="str">
        <f t="shared" si="99"/>
        <v>5278282LEITE EM PÓLACTALIS</v>
      </c>
      <c r="C3184" s="5" t="s">
        <v>226</v>
      </c>
      <c r="D3184" s="5" t="s">
        <v>227</v>
      </c>
      <c r="E3184" s="5" t="s">
        <v>1722</v>
      </c>
      <c r="F3184" s="5">
        <v>5278282</v>
      </c>
      <c r="G3184" s="5" t="s">
        <v>615</v>
      </c>
      <c r="H3184" s="5" t="s">
        <v>30</v>
      </c>
      <c r="I3184" s="5" t="s">
        <v>22</v>
      </c>
      <c r="J3184" s="5" t="s">
        <v>84</v>
      </c>
      <c r="K3184" s="6">
        <v>0</v>
      </c>
      <c r="L3184" s="7">
        <v>0</v>
      </c>
      <c r="M3184" s="7">
        <v>0</v>
      </c>
      <c r="N3184" s="8">
        <v>0</v>
      </c>
      <c r="O3184" s="8">
        <v>2.803651301125107</v>
      </c>
      <c r="P3184" s="8">
        <v>0</v>
      </c>
      <c r="Q3184" s="8">
        <v>0</v>
      </c>
      <c r="R3184" s="8">
        <v>0</v>
      </c>
      <c r="S3184" s="8">
        <v>0</v>
      </c>
      <c r="T3184" s="5">
        <v>0</v>
      </c>
      <c r="U3184" s="5">
        <v>0</v>
      </c>
      <c r="V3184" s="5">
        <f>VLOOKUP(A3184,Planilha1!B:E,4,0)</f>
        <v>-2.8055507108797499</v>
      </c>
    </row>
    <row r="3185" spans="1:22" x14ac:dyDescent="0.3">
      <c r="A3185" t="str">
        <f t="shared" si="98"/>
        <v>LEITE EM PÓLACTALIS</v>
      </c>
      <c r="B3185" t="str">
        <f t="shared" si="99"/>
        <v>5296014LEITE EM PÓLACTALIS</v>
      </c>
      <c r="C3185" s="5" t="s">
        <v>226</v>
      </c>
      <c r="D3185" s="5" t="s">
        <v>227</v>
      </c>
      <c r="E3185" s="5" t="s">
        <v>1722</v>
      </c>
      <c r="F3185" s="5">
        <v>5296014</v>
      </c>
      <c r="G3185" s="5" t="s">
        <v>1340</v>
      </c>
      <c r="H3185" s="5" t="s">
        <v>30</v>
      </c>
      <c r="I3185" s="5" t="s">
        <v>22</v>
      </c>
      <c r="J3185" s="5" t="s">
        <v>84</v>
      </c>
      <c r="K3185" s="6">
        <v>0</v>
      </c>
      <c r="L3185" s="7">
        <v>0</v>
      </c>
      <c r="M3185" s="7">
        <v>0</v>
      </c>
      <c r="N3185" s="8">
        <v>0</v>
      </c>
      <c r="O3185" s="8">
        <v>2.8207467358880653</v>
      </c>
      <c r="P3185" s="8">
        <v>0</v>
      </c>
      <c r="Q3185" s="8">
        <v>0</v>
      </c>
      <c r="R3185" s="8">
        <v>0</v>
      </c>
      <c r="S3185" s="8">
        <v>0</v>
      </c>
      <c r="T3185" s="5">
        <v>0</v>
      </c>
      <c r="U3185" s="5">
        <v>0</v>
      </c>
      <c r="V3185" s="5">
        <f>VLOOKUP(A3185,Planilha1!B:E,4,0)</f>
        <v>-2.8055507108797499</v>
      </c>
    </row>
    <row r="3186" spans="1:22" x14ac:dyDescent="0.3">
      <c r="A3186" t="str">
        <f t="shared" si="98"/>
        <v>LEITE EM PÓLACTALIS</v>
      </c>
      <c r="B3186" t="str">
        <f t="shared" si="99"/>
        <v>5312476LEITE EM PÓLACTALIS</v>
      </c>
      <c r="C3186" s="5" t="s">
        <v>226</v>
      </c>
      <c r="D3186" s="5" t="s">
        <v>227</v>
      </c>
      <c r="E3186" s="5" t="s">
        <v>1722</v>
      </c>
      <c r="F3186" s="5">
        <v>5312476</v>
      </c>
      <c r="G3186" s="5" t="s">
        <v>1523</v>
      </c>
      <c r="H3186" s="5" t="s">
        <v>30</v>
      </c>
      <c r="I3186" s="5" t="s">
        <v>22</v>
      </c>
      <c r="J3186" s="5" t="s">
        <v>84</v>
      </c>
      <c r="K3186" s="6">
        <v>0</v>
      </c>
      <c r="L3186" s="7">
        <v>0</v>
      </c>
      <c r="M3186" s="7">
        <v>0</v>
      </c>
      <c r="N3186" s="8">
        <v>33.333333333333336</v>
      </c>
      <c r="O3186" s="8">
        <v>27.751589098535106</v>
      </c>
      <c r="P3186" s="8">
        <v>0</v>
      </c>
      <c r="Q3186" s="8">
        <v>0</v>
      </c>
      <c r="R3186" s="8">
        <v>0</v>
      </c>
      <c r="S3186" s="8">
        <v>0</v>
      </c>
      <c r="T3186" s="5">
        <v>0</v>
      </c>
      <c r="U3186" s="5">
        <v>0</v>
      </c>
      <c r="V3186" s="5">
        <f>VLOOKUP(A3186,Planilha1!B:E,4,0)</f>
        <v>-2.8055507108797499</v>
      </c>
    </row>
    <row r="3187" spans="1:22" x14ac:dyDescent="0.3">
      <c r="A3187" t="str">
        <f t="shared" si="98"/>
        <v>LEITE EM PÓLACTALIS</v>
      </c>
      <c r="B3187" t="str">
        <f t="shared" si="99"/>
        <v>5317592LEITE EM PÓLACTALIS</v>
      </c>
      <c r="C3187" s="5" t="s">
        <v>149</v>
      </c>
      <c r="D3187" s="5" t="s">
        <v>150</v>
      </c>
      <c r="E3187" s="5" t="s">
        <v>151</v>
      </c>
      <c r="F3187" s="5">
        <v>5317592</v>
      </c>
      <c r="G3187" s="5" t="s">
        <v>209</v>
      </c>
      <c r="H3187" s="5" t="s">
        <v>30</v>
      </c>
      <c r="I3187" s="5" t="s">
        <v>22</v>
      </c>
      <c r="J3187" s="5" t="s">
        <v>84</v>
      </c>
      <c r="K3187" s="6">
        <v>0</v>
      </c>
      <c r="L3187" s="7">
        <v>0</v>
      </c>
      <c r="M3187" s="7">
        <v>0</v>
      </c>
      <c r="N3187" s="8">
        <v>0</v>
      </c>
      <c r="O3187" s="8">
        <v>69.772167745885795</v>
      </c>
      <c r="P3187" s="8">
        <v>0</v>
      </c>
      <c r="Q3187" s="8">
        <v>0</v>
      </c>
      <c r="R3187" s="8">
        <v>0</v>
      </c>
      <c r="S3187" s="8">
        <v>0</v>
      </c>
      <c r="T3187" s="5">
        <v>0</v>
      </c>
      <c r="U3187" s="5">
        <v>0</v>
      </c>
      <c r="V3187" s="5">
        <f>VLOOKUP(A3187,Planilha1!B:E,4,0)</f>
        <v>-2.8055507108797499</v>
      </c>
    </row>
    <row r="3188" spans="1:22" x14ac:dyDescent="0.3">
      <c r="A3188" t="str">
        <f t="shared" si="98"/>
        <v>LEITE EM PÓLACTALIS</v>
      </c>
      <c r="B3188" t="str">
        <f t="shared" si="99"/>
        <v>5334876LEITE EM PÓLACTALIS</v>
      </c>
      <c r="C3188" s="5" t="s">
        <v>226</v>
      </c>
      <c r="D3188" s="5" t="s">
        <v>227</v>
      </c>
      <c r="E3188" s="5" t="s">
        <v>1722</v>
      </c>
      <c r="F3188" s="5">
        <v>5334876</v>
      </c>
      <c r="G3188" s="5" t="s">
        <v>1363</v>
      </c>
      <c r="H3188" s="5" t="s">
        <v>30</v>
      </c>
      <c r="I3188" s="5" t="s">
        <v>22</v>
      </c>
      <c r="J3188" s="5" t="s">
        <v>84</v>
      </c>
      <c r="K3188" s="6">
        <v>0</v>
      </c>
      <c r="L3188" s="7">
        <v>0</v>
      </c>
      <c r="M3188" s="7">
        <v>0</v>
      </c>
      <c r="N3188" s="8">
        <v>3</v>
      </c>
      <c r="O3188" s="8">
        <v>0</v>
      </c>
      <c r="P3188" s="8">
        <v>0</v>
      </c>
      <c r="Q3188" s="8">
        <v>0</v>
      </c>
      <c r="R3188" s="8">
        <v>0</v>
      </c>
      <c r="S3188" s="8">
        <v>0</v>
      </c>
      <c r="T3188" s="5">
        <v>0</v>
      </c>
      <c r="U3188" s="5">
        <v>0</v>
      </c>
      <c r="V3188" s="5">
        <f>VLOOKUP(A3188,Planilha1!B:E,4,0)</f>
        <v>-2.8055507108797499</v>
      </c>
    </row>
    <row r="3189" spans="1:22" x14ac:dyDescent="0.3">
      <c r="A3189" t="str">
        <f t="shared" si="98"/>
        <v>LEITE EM PÓLACTALIS</v>
      </c>
      <c r="B3189" t="str">
        <f t="shared" si="99"/>
        <v>5343974LEITE EM PÓLACTALIS</v>
      </c>
      <c r="C3189" s="5" t="s">
        <v>226</v>
      </c>
      <c r="D3189" s="5" t="s">
        <v>227</v>
      </c>
      <c r="E3189" s="5" t="s">
        <v>1722</v>
      </c>
      <c r="F3189" s="5">
        <v>5343974</v>
      </c>
      <c r="G3189" s="5" t="s">
        <v>367</v>
      </c>
      <c r="H3189" s="5" t="s">
        <v>30</v>
      </c>
      <c r="I3189" s="5" t="s">
        <v>22</v>
      </c>
      <c r="J3189" s="5" t="s">
        <v>84</v>
      </c>
      <c r="K3189" s="6">
        <v>0</v>
      </c>
      <c r="L3189" s="7">
        <v>0</v>
      </c>
      <c r="M3189" s="7">
        <v>0</v>
      </c>
      <c r="N3189" s="8">
        <v>6.666666666666667</v>
      </c>
      <c r="O3189" s="8">
        <v>2.8207467358880653</v>
      </c>
      <c r="P3189" s="8">
        <v>0</v>
      </c>
      <c r="Q3189" s="8">
        <v>0</v>
      </c>
      <c r="R3189" s="8">
        <v>0</v>
      </c>
      <c r="S3189" s="8">
        <v>0</v>
      </c>
      <c r="T3189" s="5">
        <v>0</v>
      </c>
      <c r="U3189" s="5">
        <v>0</v>
      </c>
      <c r="V3189" s="5">
        <f>VLOOKUP(A3189,Planilha1!B:E,4,0)</f>
        <v>-2.8055507108797499</v>
      </c>
    </row>
    <row r="3190" spans="1:22" x14ac:dyDescent="0.3">
      <c r="A3190" t="str">
        <f t="shared" si="98"/>
        <v>LEITE EM PÓLACTALIS</v>
      </c>
      <c r="B3190" t="str">
        <f t="shared" si="99"/>
        <v>5352282LEITE EM PÓLACTALIS</v>
      </c>
      <c r="C3190" s="5" t="s">
        <v>226</v>
      </c>
      <c r="D3190" s="5" t="s">
        <v>227</v>
      </c>
      <c r="E3190" s="5" t="s">
        <v>1722</v>
      </c>
      <c r="F3190" s="5">
        <v>5352282</v>
      </c>
      <c r="G3190" s="5" t="s">
        <v>544</v>
      </c>
      <c r="H3190" s="5" t="s">
        <v>30</v>
      </c>
      <c r="I3190" s="5" t="s">
        <v>22</v>
      </c>
      <c r="J3190" s="5" t="s">
        <v>84</v>
      </c>
      <c r="K3190" s="6">
        <v>0</v>
      </c>
      <c r="L3190" s="7">
        <v>0</v>
      </c>
      <c r="M3190" s="7">
        <v>0</v>
      </c>
      <c r="N3190" s="8">
        <v>3.3333333333333335</v>
      </c>
      <c r="O3190" s="8">
        <v>5.3109817330256099</v>
      </c>
      <c r="P3190" s="8">
        <v>0</v>
      </c>
      <c r="Q3190" s="8">
        <v>0</v>
      </c>
      <c r="R3190" s="8">
        <v>0</v>
      </c>
      <c r="S3190" s="8">
        <v>0</v>
      </c>
      <c r="T3190" s="5">
        <v>0</v>
      </c>
      <c r="U3190" s="5">
        <v>0</v>
      </c>
      <c r="V3190" s="5">
        <f>VLOOKUP(A3190,Planilha1!B:E,4,0)</f>
        <v>-2.8055507108797499</v>
      </c>
    </row>
    <row r="3191" spans="1:22" x14ac:dyDescent="0.3">
      <c r="A3191" t="str">
        <f t="shared" si="98"/>
        <v>LEITE EM PÓLACTALIS</v>
      </c>
      <c r="B3191" t="str">
        <f t="shared" si="99"/>
        <v>5362248LEITE EM PÓLACTALIS</v>
      </c>
      <c r="C3191" s="5" t="s">
        <v>226</v>
      </c>
      <c r="D3191" s="5" t="s">
        <v>227</v>
      </c>
      <c r="E3191" s="5" t="s">
        <v>1722</v>
      </c>
      <c r="F3191" s="5">
        <v>5362248</v>
      </c>
      <c r="G3191" s="5" t="s">
        <v>1526</v>
      </c>
      <c r="H3191" s="5" t="s">
        <v>30</v>
      </c>
      <c r="I3191" s="5" t="s">
        <v>22</v>
      </c>
      <c r="J3191" s="5" t="s">
        <v>84</v>
      </c>
      <c r="K3191" s="6">
        <v>0</v>
      </c>
      <c r="L3191" s="7">
        <v>0</v>
      </c>
      <c r="M3191" s="7">
        <v>0</v>
      </c>
      <c r="N3191" s="8">
        <v>2.4</v>
      </c>
      <c r="O3191" s="8">
        <v>0</v>
      </c>
      <c r="P3191" s="8">
        <v>0</v>
      </c>
      <c r="Q3191" s="8">
        <v>0</v>
      </c>
      <c r="R3191" s="8">
        <v>0</v>
      </c>
      <c r="S3191" s="8">
        <v>0</v>
      </c>
      <c r="T3191" s="5">
        <v>0</v>
      </c>
      <c r="U3191" s="5">
        <v>7</v>
      </c>
      <c r="V3191" s="5">
        <f>VLOOKUP(A3191,Planilha1!B:E,4,0)</f>
        <v>-2.8055507108797499</v>
      </c>
    </row>
    <row r="3192" spans="1:22" x14ac:dyDescent="0.3">
      <c r="A3192" t="str">
        <f t="shared" si="98"/>
        <v>LEITE UHTITAMBÉ</v>
      </c>
      <c r="B3192" t="str">
        <f t="shared" si="99"/>
        <v>5058881LEITE UHTITAMBÉ</v>
      </c>
      <c r="C3192" s="5" t="s">
        <v>149</v>
      </c>
      <c r="D3192" s="5" t="s">
        <v>150</v>
      </c>
      <c r="E3192" s="5" t="s">
        <v>151</v>
      </c>
      <c r="F3192" s="5">
        <v>5058881</v>
      </c>
      <c r="G3192" s="5" t="s">
        <v>200</v>
      </c>
      <c r="H3192" s="5" t="s">
        <v>30</v>
      </c>
      <c r="I3192" s="5" t="s">
        <v>27</v>
      </c>
      <c r="J3192" s="5" t="s">
        <v>156</v>
      </c>
      <c r="K3192" s="6">
        <v>0</v>
      </c>
      <c r="L3192" s="7">
        <v>0</v>
      </c>
      <c r="M3192" s="7">
        <v>0</v>
      </c>
      <c r="N3192" s="8">
        <v>1524</v>
      </c>
      <c r="O3192" s="8">
        <v>0</v>
      </c>
      <c r="P3192" s="8">
        <v>0</v>
      </c>
      <c r="Q3192" s="8">
        <v>0</v>
      </c>
      <c r="R3192" s="8">
        <v>0</v>
      </c>
      <c r="S3192" s="8">
        <v>0</v>
      </c>
      <c r="T3192" s="5">
        <v>0</v>
      </c>
      <c r="U3192" s="5">
        <v>0</v>
      </c>
      <c r="V3192" s="5">
        <f>VLOOKUP(A3192,Planilha1!B:E,4,0)</f>
        <v>-0.14425288609148015</v>
      </c>
    </row>
    <row r="3193" spans="1:22" x14ac:dyDescent="0.3">
      <c r="A3193" t="str">
        <f t="shared" si="98"/>
        <v>LEITE UHTITAMBÉ</v>
      </c>
      <c r="B3193" t="str">
        <f t="shared" si="99"/>
        <v>5111398LEITE UHTITAMBÉ</v>
      </c>
      <c r="C3193" s="5" t="s">
        <v>149</v>
      </c>
      <c r="D3193" s="5" t="s">
        <v>150</v>
      </c>
      <c r="E3193" s="5" t="s">
        <v>186</v>
      </c>
      <c r="F3193" s="5">
        <v>5111398</v>
      </c>
      <c r="G3193" s="5" t="s">
        <v>1482</v>
      </c>
      <c r="H3193" s="5" t="s">
        <v>30</v>
      </c>
      <c r="I3193" s="5" t="s">
        <v>27</v>
      </c>
      <c r="J3193" s="5" t="s">
        <v>156</v>
      </c>
      <c r="K3193" s="6">
        <v>0</v>
      </c>
      <c r="L3193" s="7">
        <v>0</v>
      </c>
      <c r="M3193" s="7">
        <v>0</v>
      </c>
      <c r="N3193" s="8">
        <v>132</v>
      </c>
      <c r="O3193" s="8">
        <v>0</v>
      </c>
      <c r="P3193" s="8">
        <v>0</v>
      </c>
      <c r="Q3193" s="8">
        <v>180</v>
      </c>
      <c r="R3193" s="8">
        <v>0</v>
      </c>
      <c r="S3193" s="8">
        <v>0</v>
      </c>
      <c r="T3193" s="5">
        <v>0</v>
      </c>
      <c r="U3193" s="5">
        <v>0</v>
      </c>
      <c r="V3193" s="5">
        <f>VLOOKUP(A3193,Planilha1!B:E,4,0)</f>
        <v>-0.14425288609148015</v>
      </c>
    </row>
    <row r="3194" spans="1:22" x14ac:dyDescent="0.3">
      <c r="A3194" t="str">
        <f t="shared" si="98"/>
        <v>LEITE UHTITAMBÉ</v>
      </c>
      <c r="B3194" t="str">
        <f t="shared" si="99"/>
        <v>5316223LEITE UHTITAMBÉ</v>
      </c>
      <c r="C3194" s="5" t="s">
        <v>226</v>
      </c>
      <c r="D3194" s="5" t="s">
        <v>227</v>
      </c>
      <c r="E3194" s="5" t="s">
        <v>231</v>
      </c>
      <c r="F3194" s="5">
        <v>5316223</v>
      </c>
      <c r="G3194" s="5" t="s">
        <v>237</v>
      </c>
      <c r="H3194" s="5" t="s">
        <v>30</v>
      </c>
      <c r="I3194" s="5" t="s">
        <v>27</v>
      </c>
      <c r="J3194" s="5" t="s">
        <v>156</v>
      </c>
      <c r="K3194" s="6">
        <v>0</v>
      </c>
      <c r="L3194" s="7">
        <v>0</v>
      </c>
      <c r="M3194" s="7">
        <v>0</v>
      </c>
      <c r="N3194" s="8">
        <v>4</v>
      </c>
      <c r="O3194" s="8">
        <v>0</v>
      </c>
      <c r="P3194" s="8">
        <v>0</v>
      </c>
      <c r="Q3194" s="8">
        <v>0</v>
      </c>
      <c r="R3194" s="8">
        <v>0</v>
      </c>
      <c r="S3194" s="8">
        <v>0</v>
      </c>
      <c r="T3194" s="5">
        <v>0</v>
      </c>
      <c r="U3194" s="5">
        <v>0</v>
      </c>
      <c r="V3194" s="5">
        <f>VLOOKUP(A3194,Planilha1!B:E,4,0)</f>
        <v>-0.14425288609148015</v>
      </c>
    </row>
    <row r="3195" spans="1:22" x14ac:dyDescent="0.3">
      <c r="A3195" t="str">
        <f t="shared" si="98"/>
        <v>LEITE UHTITAMBÉ</v>
      </c>
      <c r="B3195" t="str">
        <f t="shared" si="99"/>
        <v>5320070LEITE UHTITAMBÉ</v>
      </c>
      <c r="C3195" s="5" t="s">
        <v>226</v>
      </c>
      <c r="D3195" s="5" t="s">
        <v>752</v>
      </c>
      <c r="E3195" s="5" t="s">
        <v>767</v>
      </c>
      <c r="F3195" s="5">
        <v>5320070</v>
      </c>
      <c r="G3195" s="5" t="s">
        <v>1041</v>
      </c>
      <c r="H3195" s="5" t="s">
        <v>154</v>
      </c>
      <c r="I3195" s="5" t="s">
        <v>27</v>
      </c>
      <c r="J3195" s="5" t="s">
        <v>156</v>
      </c>
      <c r="K3195" s="6">
        <v>0</v>
      </c>
      <c r="L3195" s="7">
        <v>0</v>
      </c>
      <c r="M3195" s="7">
        <v>0</v>
      </c>
      <c r="N3195" s="8">
        <v>72</v>
      </c>
      <c r="O3195" s="8">
        <v>0</v>
      </c>
      <c r="P3195" s="8">
        <v>0</v>
      </c>
      <c r="Q3195" s="8">
        <v>0</v>
      </c>
      <c r="R3195" s="8">
        <v>0</v>
      </c>
      <c r="S3195" s="8">
        <v>0</v>
      </c>
      <c r="T3195" s="5">
        <v>0</v>
      </c>
      <c r="U3195" s="5">
        <v>0</v>
      </c>
      <c r="V3195" s="5">
        <f>VLOOKUP(A3195,Planilha1!B:E,4,0)</f>
        <v>-0.14425288609148015</v>
      </c>
    </row>
    <row r="3196" spans="1:22" x14ac:dyDescent="0.3">
      <c r="A3196" t="str">
        <f t="shared" si="98"/>
        <v>LEITE UHTITAMBÉ</v>
      </c>
      <c r="B3196" t="str">
        <f t="shared" si="99"/>
        <v>5349486LEITE UHTITAMBÉ</v>
      </c>
      <c r="C3196" s="5" t="s">
        <v>226</v>
      </c>
      <c r="D3196" s="5" t="s">
        <v>727</v>
      </c>
      <c r="E3196" s="5" t="s">
        <v>733</v>
      </c>
      <c r="F3196" s="5">
        <v>5349486</v>
      </c>
      <c r="G3196" s="5" t="s">
        <v>751</v>
      </c>
      <c r="H3196" s="5" t="s">
        <v>25</v>
      </c>
      <c r="I3196" s="5" t="s">
        <v>27</v>
      </c>
      <c r="J3196" s="5" t="s">
        <v>156</v>
      </c>
      <c r="K3196" s="6">
        <v>0</v>
      </c>
      <c r="L3196" s="7">
        <v>0</v>
      </c>
      <c r="M3196" s="7">
        <v>0</v>
      </c>
      <c r="N3196" s="8">
        <v>0</v>
      </c>
      <c r="O3196" s="8">
        <v>0</v>
      </c>
      <c r="P3196" s="8">
        <v>0</v>
      </c>
      <c r="Q3196" s="8">
        <v>0</v>
      </c>
      <c r="R3196" s="8">
        <v>0</v>
      </c>
      <c r="S3196" s="8">
        <v>0</v>
      </c>
      <c r="T3196" s="5">
        <v>0</v>
      </c>
      <c r="U3196" s="5">
        <v>0</v>
      </c>
      <c r="V3196" s="5">
        <f>VLOOKUP(A3196,Planilha1!B:E,4,0)</f>
        <v>-0.14425288609148015</v>
      </c>
    </row>
    <row r="3197" spans="1:22" x14ac:dyDescent="0.3">
      <c r="A3197" t="str">
        <f t="shared" si="98"/>
        <v>LEITE UHTITAMBÉ</v>
      </c>
      <c r="B3197" t="str">
        <f t="shared" si="99"/>
        <v>5361938LEITE UHTITAMBÉ</v>
      </c>
      <c r="C3197" s="5" t="s">
        <v>226</v>
      </c>
      <c r="D3197" s="5" t="s">
        <v>833</v>
      </c>
      <c r="E3197" s="5" t="s">
        <v>753</v>
      </c>
      <c r="F3197" s="5">
        <v>5361938</v>
      </c>
      <c r="G3197" s="5" t="s">
        <v>1527</v>
      </c>
      <c r="H3197" s="5" t="s">
        <v>101</v>
      </c>
      <c r="I3197" s="5" t="s">
        <v>27</v>
      </c>
      <c r="J3197" s="5" t="s">
        <v>156</v>
      </c>
      <c r="K3197" s="6">
        <v>0</v>
      </c>
      <c r="L3197" s="7">
        <v>0</v>
      </c>
      <c r="M3197" s="7">
        <v>0</v>
      </c>
      <c r="N3197" s="8">
        <v>4080</v>
      </c>
      <c r="O3197" s="8">
        <v>0</v>
      </c>
      <c r="P3197" s="8">
        <v>0</v>
      </c>
      <c r="Q3197" s="8">
        <v>0</v>
      </c>
      <c r="R3197" s="8">
        <v>0</v>
      </c>
      <c r="S3197" s="8">
        <v>0</v>
      </c>
      <c r="T3197" s="5">
        <v>0</v>
      </c>
      <c r="U3197" s="5">
        <v>0</v>
      </c>
      <c r="V3197" s="5">
        <f>VLOOKUP(A3197,Planilha1!B:E,4,0)</f>
        <v>-0.14425288609148015</v>
      </c>
    </row>
    <row r="3198" spans="1:22" x14ac:dyDescent="0.3">
      <c r="A3198" t="str">
        <f t="shared" si="98"/>
        <v>LEITE UHTLACTALIS</v>
      </c>
      <c r="B3198" t="str">
        <f t="shared" si="99"/>
        <v>5058749LEITE UHTLACTALIS</v>
      </c>
      <c r="C3198" s="5" t="s">
        <v>226</v>
      </c>
      <c r="D3198" s="5" t="s">
        <v>227</v>
      </c>
      <c r="E3198" s="5" t="s">
        <v>1722</v>
      </c>
      <c r="F3198" s="5">
        <v>5058749</v>
      </c>
      <c r="G3198" s="5" t="s">
        <v>253</v>
      </c>
      <c r="H3198" s="5" t="s">
        <v>30</v>
      </c>
      <c r="I3198" s="5" t="s">
        <v>22</v>
      </c>
      <c r="J3198" s="5" t="s">
        <v>156</v>
      </c>
      <c r="K3198" s="6">
        <v>0</v>
      </c>
      <c r="L3198" s="7">
        <v>0</v>
      </c>
      <c r="M3198" s="7">
        <v>0</v>
      </c>
      <c r="N3198" s="8">
        <v>448</v>
      </c>
      <c r="O3198" s="8">
        <v>0</v>
      </c>
      <c r="P3198" s="8">
        <v>0</v>
      </c>
      <c r="Q3198" s="8">
        <v>0</v>
      </c>
      <c r="R3198" s="8">
        <v>0</v>
      </c>
      <c r="S3198" s="8">
        <v>0</v>
      </c>
      <c r="T3198" s="5">
        <v>0</v>
      </c>
      <c r="U3198" s="5">
        <v>0</v>
      </c>
      <c r="V3198" s="5">
        <f>VLOOKUP(A3198,Planilha1!B:E,4,0)</f>
        <v>0.37177548115779385</v>
      </c>
    </row>
    <row r="3199" spans="1:22" x14ac:dyDescent="0.3">
      <c r="A3199" t="str">
        <f t="shared" si="98"/>
        <v>LEITE UHTLACTALIS</v>
      </c>
      <c r="B3199" t="str">
        <f t="shared" si="99"/>
        <v>5149780LEITE UHTLACTALIS</v>
      </c>
      <c r="C3199" s="5" t="s">
        <v>226</v>
      </c>
      <c r="D3199" s="5" t="s">
        <v>227</v>
      </c>
      <c r="E3199" s="5" t="s">
        <v>1722</v>
      </c>
      <c r="F3199" s="5">
        <v>5149780</v>
      </c>
      <c r="G3199" s="5" t="s">
        <v>1528</v>
      </c>
      <c r="H3199" s="5" t="s">
        <v>30</v>
      </c>
      <c r="I3199" s="5" t="s">
        <v>22</v>
      </c>
      <c r="J3199" s="5" t="s">
        <v>156</v>
      </c>
      <c r="K3199" s="6">
        <v>0</v>
      </c>
      <c r="L3199" s="7">
        <v>0</v>
      </c>
      <c r="M3199" s="7">
        <v>0</v>
      </c>
      <c r="N3199" s="8">
        <v>0</v>
      </c>
      <c r="O3199" s="8">
        <v>0</v>
      </c>
      <c r="P3199" s="8">
        <v>0</v>
      </c>
      <c r="Q3199" s="8">
        <v>0</v>
      </c>
      <c r="R3199" s="8">
        <v>0</v>
      </c>
      <c r="S3199" s="8">
        <v>0</v>
      </c>
      <c r="T3199" s="5">
        <v>0</v>
      </c>
      <c r="U3199" s="5">
        <v>252</v>
      </c>
      <c r="V3199" s="5">
        <f>VLOOKUP(A3199,Planilha1!B:E,4,0)</f>
        <v>0.37177548115779385</v>
      </c>
    </row>
    <row r="3200" spans="1:22" x14ac:dyDescent="0.3">
      <c r="A3200" t="str">
        <f t="shared" si="98"/>
        <v>LEITE UHTLACTALIS</v>
      </c>
      <c r="B3200" t="str">
        <f t="shared" si="99"/>
        <v>5220056LEITE UHTLACTALIS</v>
      </c>
      <c r="C3200" s="5" t="s">
        <v>226</v>
      </c>
      <c r="D3200" s="5" t="s">
        <v>227</v>
      </c>
      <c r="E3200" s="5" t="s">
        <v>1722</v>
      </c>
      <c r="F3200" s="5">
        <v>5220056</v>
      </c>
      <c r="G3200" s="5" t="s">
        <v>1529</v>
      </c>
      <c r="H3200" s="5" t="s">
        <v>30</v>
      </c>
      <c r="I3200" s="5" t="s">
        <v>22</v>
      </c>
      <c r="J3200" s="5" t="s">
        <v>156</v>
      </c>
      <c r="K3200" s="6">
        <v>0</v>
      </c>
      <c r="L3200" s="7">
        <v>0</v>
      </c>
      <c r="M3200" s="7">
        <v>0</v>
      </c>
      <c r="N3200" s="8">
        <v>32</v>
      </c>
      <c r="O3200" s="8">
        <v>0</v>
      </c>
      <c r="P3200" s="8">
        <v>0</v>
      </c>
      <c r="Q3200" s="8">
        <v>0</v>
      </c>
      <c r="R3200" s="8">
        <v>0</v>
      </c>
      <c r="S3200" s="8">
        <v>0</v>
      </c>
      <c r="T3200" s="5">
        <v>0</v>
      </c>
      <c r="U3200" s="5">
        <v>0</v>
      </c>
      <c r="V3200" s="5">
        <f>VLOOKUP(A3200,Planilha1!B:E,4,0)</f>
        <v>0.37177548115779385</v>
      </c>
    </row>
    <row r="3201" spans="1:22" x14ac:dyDescent="0.3">
      <c r="A3201" t="str">
        <f t="shared" si="98"/>
        <v>LEITE UHTLACTALIS</v>
      </c>
      <c r="B3201" t="str">
        <f t="shared" si="99"/>
        <v>5234169LEITE UHTLACTALIS</v>
      </c>
      <c r="C3201" s="5" t="s">
        <v>226</v>
      </c>
      <c r="D3201" s="5" t="s">
        <v>227</v>
      </c>
      <c r="E3201" s="5" t="s">
        <v>1722</v>
      </c>
      <c r="F3201" s="5">
        <v>5234169</v>
      </c>
      <c r="G3201" s="5" t="s">
        <v>1530</v>
      </c>
      <c r="H3201" s="5" t="s">
        <v>30</v>
      </c>
      <c r="I3201" s="5" t="s">
        <v>22</v>
      </c>
      <c r="J3201" s="5" t="s">
        <v>156</v>
      </c>
      <c r="K3201" s="6">
        <v>0</v>
      </c>
      <c r="L3201" s="7">
        <v>0</v>
      </c>
      <c r="M3201" s="7">
        <v>0</v>
      </c>
      <c r="N3201" s="8">
        <v>400</v>
      </c>
      <c r="O3201" s="8">
        <v>0</v>
      </c>
      <c r="P3201" s="8">
        <v>0</v>
      </c>
      <c r="Q3201" s="8">
        <v>0</v>
      </c>
      <c r="R3201" s="8">
        <v>0</v>
      </c>
      <c r="S3201" s="8">
        <v>0</v>
      </c>
      <c r="T3201" s="5">
        <v>0</v>
      </c>
      <c r="U3201" s="5">
        <v>0</v>
      </c>
      <c r="V3201" s="5">
        <f>VLOOKUP(A3201,Planilha1!B:E,4,0)</f>
        <v>0.37177548115779385</v>
      </c>
    </row>
    <row r="3202" spans="1:22" x14ac:dyDescent="0.3">
      <c r="A3202" t="str">
        <f t="shared" ref="A3202:A3265" si="100">J3202&amp;I3202</f>
        <v>LEITE UHTLACTALIS</v>
      </c>
      <c r="B3202" t="str">
        <f t="shared" si="99"/>
        <v>5247932LEITE UHTLACTALIS</v>
      </c>
      <c r="C3202" s="5" t="s">
        <v>226</v>
      </c>
      <c r="D3202" s="5" t="s">
        <v>227</v>
      </c>
      <c r="E3202" s="5" t="s">
        <v>1722</v>
      </c>
      <c r="F3202" s="5">
        <v>5247932</v>
      </c>
      <c r="G3202" s="5" t="s">
        <v>395</v>
      </c>
      <c r="H3202" s="5" t="s">
        <v>30</v>
      </c>
      <c r="I3202" s="5" t="s">
        <v>22</v>
      </c>
      <c r="J3202" s="5" t="s">
        <v>156</v>
      </c>
      <c r="K3202" s="6">
        <v>0</v>
      </c>
      <c r="L3202" s="7">
        <v>0</v>
      </c>
      <c r="M3202" s="7">
        <v>0</v>
      </c>
      <c r="N3202" s="8">
        <v>248</v>
      </c>
      <c r="O3202" s="8">
        <v>0</v>
      </c>
      <c r="P3202" s="8">
        <v>0</v>
      </c>
      <c r="Q3202" s="8">
        <v>192</v>
      </c>
      <c r="R3202" s="8">
        <v>0</v>
      </c>
      <c r="S3202" s="8">
        <v>0</v>
      </c>
      <c r="T3202" s="5">
        <v>0</v>
      </c>
      <c r="U3202" s="5">
        <v>0</v>
      </c>
      <c r="V3202" s="5">
        <f>VLOOKUP(A3202,Planilha1!B:E,4,0)</f>
        <v>0.37177548115779385</v>
      </c>
    </row>
    <row r="3203" spans="1:22" x14ac:dyDescent="0.3">
      <c r="A3203" t="str">
        <f t="shared" si="100"/>
        <v>LEITE UHTLACTALIS</v>
      </c>
      <c r="B3203" t="str">
        <f t="shared" ref="B3203:B3266" si="101">F3203&amp;J3203&amp;I3203</f>
        <v>5248711LEITE UHTLACTALIS</v>
      </c>
      <c r="C3203" s="5" t="s">
        <v>226</v>
      </c>
      <c r="D3203" s="5" t="s">
        <v>227</v>
      </c>
      <c r="E3203" s="5" t="s">
        <v>1722</v>
      </c>
      <c r="F3203" s="5">
        <v>5248711</v>
      </c>
      <c r="G3203" s="5" t="s">
        <v>272</v>
      </c>
      <c r="H3203" s="5" t="s">
        <v>30</v>
      </c>
      <c r="I3203" s="5" t="s">
        <v>22</v>
      </c>
      <c r="J3203" s="5" t="s">
        <v>156</v>
      </c>
      <c r="K3203" s="6">
        <v>0</v>
      </c>
      <c r="L3203" s="7">
        <v>0</v>
      </c>
      <c r="M3203" s="7">
        <v>0</v>
      </c>
      <c r="N3203" s="8">
        <v>340</v>
      </c>
      <c r="O3203" s="8">
        <v>0</v>
      </c>
      <c r="P3203" s="8">
        <v>0</v>
      </c>
      <c r="Q3203" s="8">
        <v>0</v>
      </c>
      <c r="R3203" s="8">
        <v>0</v>
      </c>
      <c r="S3203" s="8">
        <v>0</v>
      </c>
      <c r="T3203" s="5">
        <v>0</v>
      </c>
      <c r="U3203" s="5">
        <v>0</v>
      </c>
      <c r="V3203" s="5">
        <f>VLOOKUP(A3203,Planilha1!B:E,4,0)</f>
        <v>0.37177548115779385</v>
      </c>
    </row>
    <row r="3204" spans="1:22" x14ac:dyDescent="0.3">
      <c r="A3204" t="str">
        <f t="shared" si="100"/>
        <v>LEITE UHTLACTALIS</v>
      </c>
      <c r="B3204" t="str">
        <f t="shared" si="101"/>
        <v>5260049LEITE UHTLACTALIS</v>
      </c>
      <c r="C3204" s="5" t="s">
        <v>226</v>
      </c>
      <c r="D3204" s="5" t="s">
        <v>227</v>
      </c>
      <c r="E3204" s="5" t="s">
        <v>1722</v>
      </c>
      <c r="F3204" s="5">
        <v>5260049</v>
      </c>
      <c r="G3204" s="5" t="s">
        <v>281</v>
      </c>
      <c r="H3204" s="5" t="s">
        <v>30</v>
      </c>
      <c r="I3204" s="5" t="s">
        <v>22</v>
      </c>
      <c r="J3204" s="5" t="s">
        <v>156</v>
      </c>
      <c r="K3204" s="6">
        <v>0</v>
      </c>
      <c r="L3204" s="7">
        <v>0</v>
      </c>
      <c r="M3204" s="7">
        <v>0</v>
      </c>
      <c r="N3204" s="8">
        <v>40</v>
      </c>
      <c r="O3204" s="8">
        <v>0</v>
      </c>
      <c r="P3204" s="8">
        <v>0</v>
      </c>
      <c r="Q3204" s="8">
        <v>0</v>
      </c>
      <c r="R3204" s="8">
        <v>0</v>
      </c>
      <c r="S3204" s="8">
        <v>0</v>
      </c>
      <c r="T3204" s="5">
        <v>0</v>
      </c>
      <c r="U3204" s="5">
        <v>0</v>
      </c>
      <c r="V3204" s="5">
        <f>VLOOKUP(A3204,Planilha1!B:E,4,0)</f>
        <v>0.37177548115779385</v>
      </c>
    </row>
    <row r="3205" spans="1:22" x14ac:dyDescent="0.3">
      <c r="A3205" t="str">
        <f t="shared" si="100"/>
        <v>LEITE UHTLACTALIS</v>
      </c>
      <c r="B3205" t="str">
        <f t="shared" si="101"/>
        <v>5266349LEITE UHTLACTALIS</v>
      </c>
      <c r="C3205" s="5" t="s">
        <v>226</v>
      </c>
      <c r="D3205" s="5" t="s">
        <v>227</v>
      </c>
      <c r="E3205" s="5" t="s">
        <v>1722</v>
      </c>
      <c r="F3205" s="5">
        <v>5266349</v>
      </c>
      <c r="G3205" s="5" t="s">
        <v>431</v>
      </c>
      <c r="H3205" s="5" t="s">
        <v>30</v>
      </c>
      <c r="I3205" s="5" t="s">
        <v>22</v>
      </c>
      <c r="J3205" s="5" t="s">
        <v>156</v>
      </c>
      <c r="K3205" s="6">
        <v>0</v>
      </c>
      <c r="L3205" s="7">
        <v>0</v>
      </c>
      <c r="M3205" s="7">
        <v>0</v>
      </c>
      <c r="N3205" s="8">
        <v>20</v>
      </c>
      <c r="O3205" s="8">
        <v>0</v>
      </c>
      <c r="P3205" s="8">
        <v>0</v>
      </c>
      <c r="Q3205" s="8">
        <v>0</v>
      </c>
      <c r="R3205" s="8">
        <v>0</v>
      </c>
      <c r="S3205" s="8">
        <v>0</v>
      </c>
      <c r="T3205" s="5">
        <v>0</v>
      </c>
      <c r="U3205" s="5">
        <v>0</v>
      </c>
      <c r="V3205" s="5">
        <f>VLOOKUP(A3205,Planilha1!B:E,4,0)</f>
        <v>0.37177548115779385</v>
      </c>
    </row>
    <row r="3206" spans="1:22" x14ac:dyDescent="0.3">
      <c r="A3206" t="str">
        <f t="shared" si="100"/>
        <v>LEITE UHTLACTALIS</v>
      </c>
      <c r="B3206" t="str">
        <f t="shared" si="101"/>
        <v>5274693LEITE UHTLACTALIS</v>
      </c>
      <c r="C3206" s="5" t="s">
        <v>226</v>
      </c>
      <c r="D3206" s="5" t="s">
        <v>227</v>
      </c>
      <c r="E3206" s="5" t="s">
        <v>1722</v>
      </c>
      <c r="F3206" s="5">
        <v>5274693</v>
      </c>
      <c r="G3206" s="5" t="s">
        <v>1321</v>
      </c>
      <c r="H3206" s="5" t="s">
        <v>30</v>
      </c>
      <c r="I3206" s="5" t="s">
        <v>22</v>
      </c>
      <c r="J3206" s="5" t="s">
        <v>156</v>
      </c>
      <c r="K3206" s="6">
        <v>0</v>
      </c>
      <c r="L3206" s="7">
        <v>0</v>
      </c>
      <c r="M3206" s="7">
        <v>0</v>
      </c>
      <c r="N3206" s="8">
        <v>24</v>
      </c>
      <c r="O3206" s="8">
        <v>0</v>
      </c>
      <c r="P3206" s="8">
        <v>0</v>
      </c>
      <c r="Q3206" s="8">
        <v>0</v>
      </c>
      <c r="R3206" s="8">
        <v>0</v>
      </c>
      <c r="S3206" s="8">
        <v>0</v>
      </c>
      <c r="T3206" s="5">
        <v>0</v>
      </c>
      <c r="U3206" s="5">
        <v>0</v>
      </c>
      <c r="V3206" s="5">
        <f>VLOOKUP(A3206,Planilha1!B:E,4,0)</f>
        <v>0.37177548115779385</v>
      </c>
    </row>
    <row r="3207" spans="1:22" x14ac:dyDescent="0.3">
      <c r="A3207" t="str">
        <f t="shared" si="100"/>
        <v>LEITE UHTLACTALIS</v>
      </c>
      <c r="B3207" t="str">
        <f t="shared" si="101"/>
        <v>5275102LEITE UHTLACTALIS</v>
      </c>
      <c r="C3207" s="5" t="s">
        <v>226</v>
      </c>
      <c r="D3207" s="5" t="s">
        <v>227</v>
      </c>
      <c r="E3207" s="5" t="s">
        <v>1722</v>
      </c>
      <c r="F3207" s="5">
        <v>5275102</v>
      </c>
      <c r="G3207" s="5" t="s">
        <v>1531</v>
      </c>
      <c r="H3207" s="5" t="s">
        <v>30</v>
      </c>
      <c r="I3207" s="5" t="s">
        <v>22</v>
      </c>
      <c r="J3207" s="5" t="s">
        <v>156</v>
      </c>
      <c r="K3207" s="6">
        <v>0</v>
      </c>
      <c r="L3207" s="7">
        <v>0</v>
      </c>
      <c r="M3207" s="7">
        <v>0</v>
      </c>
      <c r="N3207" s="8">
        <v>28</v>
      </c>
      <c r="O3207" s="8">
        <v>0</v>
      </c>
      <c r="P3207" s="8">
        <v>0</v>
      </c>
      <c r="Q3207" s="8">
        <v>0</v>
      </c>
      <c r="R3207" s="8">
        <v>0</v>
      </c>
      <c r="S3207" s="8">
        <v>0</v>
      </c>
      <c r="T3207" s="5">
        <v>0</v>
      </c>
      <c r="U3207" s="5">
        <v>0</v>
      </c>
      <c r="V3207" s="5">
        <f>VLOOKUP(A3207,Planilha1!B:E,4,0)</f>
        <v>0.37177548115779385</v>
      </c>
    </row>
    <row r="3208" spans="1:22" x14ac:dyDescent="0.3">
      <c r="A3208" t="str">
        <f t="shared" si="100"/>
        <v>LEITE UHTLACTALIS</v>
      </c>
      <c r="B3208" t="str">
        <f t="shared" si="101"/>
        <v>5278586LEITE UHTLACTALIS</v>
      </c>
      <c r="C3208" s="5" t="s">
        <v>226</v>
      </c>
      <c r="D3208" s="5" t="s">
        <v>227</v>
      </c>
      <c r="E3208" s="5" t="s">
        <v>1722</v>
      </c>
      <c r="F3208" s="5">
        <v>5278586</v>
      </c>
      <c r="G3208" s="5" t="s">
        <v>1447</v>
      </c>
      <c r="H3208" s="5" t="s">
        <v>30</v>
      </c>
      <c r="I3208" s="5" t="s">
        <v>22</v>
      </c>
      <c r="J3208" s="5" t="s">
        <v>156</v>
      </c>
      <c r="K3208" s="6">
        <v>0</v>
      </c>
      <c r="L3208" s="7">
        <v>0</v>
      </c>
      <c r="M3208" s="7">
        <v>0</v>
      </c>
      <c r="N3208" s="8">
        <v>28</v>
      </c>
      <c r="O3208" s="8">
        <v>0</v>
      </c>
      <c r="P3208" s="8">
        <v>0</v>
      </c>
      <c r="Q3208" s="8">
        <v>0</v>
      </c>
      <c r="R3208" s="8">
        <v>0</v>
      </c>
      <c r="S3208" s="8">
        <v>0</v>
      </c>
      <c r="T3208" s="5">
        <v>0</v>
      </c>
      <c r="U3208" s="5">
        <v>0</v>
      </c>
      <c r="V3208" s="5">
        <f>VLOOKUP(A3208,Planilha1!B:E,4,0)</f>
        <v>0.37177548115779385</v>
      </c>
    </row>
    <row r="3209" spans="1:22" x14ac:dyDescent="0.3">
      <c r="A3209" t="str">
        <f t="shared" si="100"/>
        <v>LEITE UHTLACTALIS</v>
      </c>
      <c r="B3209" t="str">
        <f t="shared" si="101"/>
        <v>5279284LEITE UHTLACTALIS</v>
      </c>
      <c r="C3209" s="5" t="s">
        <v>226</v>
      </c>
      <c r="D3209" s="5" t="s">
        <v>227</v>
      </c>
      <c r="E3209" s="5" t="s">
        <v>1722</v>
      </c>
      <c r="F3209" s="5">
        <v>5279284</v>
      </c>
      <c r="G3209" s="5" t="s">
        <v>1076</v>
      </c>
      <c r="H3209" s="5" t="s">
        <v>30</v>
      </c>
      <c r="I3209" s="5" t="s">
        <v>22</v>
      </c>
      <c r="J3209" s="5" t="s">
        <v>156</v>
      </c>
      <c r="K3209" s="6">
        <v>0</v>
      </c>
      <c r="L3209" s="7">
        <v>0</v>
      </c>
      <c r="M3209" s="7">
        <v>0</v>
      </c>
      <c r="N3209" s="8">
        <v>20</v>
      </c>
      <c r="O3209" s="8">
        <v>21.808157315019468</v>
      </c>
      <c r="P3209" s="8">
        <v>0</v>
      </c>
      <c r="Q3209" s="8">
        <v>0</v>
      </c>
      <c r="R3209" s="8">
        <v>0</v>
      </c>
      <c r="S3209" s="8">
        <v>0</v>
      </c>
      <c r="T3209" s="5">
        <v>0</v>
      </c>
      <c r="U3209" s="5">
        <v>0</v>
      </c>
      <c r="V3209" s="5">
        <f>VLOOKUP(A3209,Planilha1!B:E,4,0)</f>
        <v>0.37177548115779385</v>
      </c>
    </row>
    <row r="3210" spans="1:22" x14ac:dyDescent="0.3">
      <c r="A3210" t="str">
        <f t="shared" si="100"/>
        <v>LEITE UHTLACTALIS</v>
      </c>
      <c r="B3210" t="str">
        <f t="shared" si="101"/>
        <v>5313518LEITE UHTLACTALIS</v>
      </c>
      <c r="C3210" s="5" t="s">
        <v>226</v>
      </c>
      <c r="D3210" s="5" t="s">
        <v>227</v>
      </c>
      <c r="E3210" s="5" t="s">
        <v>1722</v>
      </c>
      <c r="F3210" s="5">
        <v>5313518</v>
      </c>
      <c r="G3210" s="5" t="s">
        <v>652</v>
      </c>
      <c r="H3210" s="5" t="s">
        <v>30</v>
      </c>
      <c r="I3210" s="5" t="s">
        <v>22</v>
      </c>
      <c r="J3210" s="5" t="s">
        <v>156</v>
      </c>
      <c r="K3210" s="6">
        <v>0</v>
      </c>
      <c r="L3210" s="7">
        <v>0</v>
      </c>
      <c r="M3210" s="7">
        <v>0</v>
      </c>
      <c r="N3210" s="8">
        <v>108</v>
      </c>
      <c r="O3210" s="8">
        <v>0</v>
      </c>
      <c r="P3210" s="8">
        <v>0</v>
      </c>
      <c r="Q3210" s="8">
        <v>0</v>
      </c>
      <c r="R3210" s="8">
        <v>0</v>
      </c>
      <c r="S3210" s="8">
        <v>0</v>
      </c>
      <c r="T3210" s="5">
        <v>0</v>
      </c>
      <c r="U3210" s="5">
        <v>0</v>
      </c>
      <c r="V3210" s="5">
        <f>VLOOKUP(A3210,Planilha1!B:E,4,0)</f>
        <v>0.37177548115779385</v>
      </c>
    </row>
    <row r="3211" spans="1:22" x14ac:dyDescent="0.3">
      <c r="A3211" t="str">
        <f t="shared" si="100"/>
        <v>LEITE UHTLACTALIS</v>
      </c>
      <c r="B3211" t="str">
        <f t="shared" si="101"/>
        <v>5314523LEITE UHTLACTALIS</v>
      </c>
      <c r="C3211" s="5" t="s">
        <v>226</v>
      </c>
      <c r="D3211" s="5" t="s">
        <v>227</v>
      </c>
      <c r="E3211" s="5" t="s">
        <v>1722</v>
      </c>
      <c r="F3211" s="5">
        <v>5314523</v>
      </c>
      <c r="G3211" s="5" t="s">
        <v>517</v>
      </c>
      <c r="H3211" s="5" t="s">
        <v>30</v>
      </c>
      <c r="I3211" s="5" t="s">
        <v>22</v>
      </c>
      <c r="J3211" s="5" t="s">
        <v>156</v>
      </c>
      <c r="K3211" s="6">
        <v>0</v>
      </c>
      <c r="L3211" s="7">
        <v>0</v>
      </c>
      <c r="M3211" s="7">
        <v>0</v>
      </c>
      <c r="N3211" s="8">
        <v>40</v>
      </c>
      <c r="O3211" s="8">
        <v>0</v>
      </c>
      <c r="P3211" s="8">
        <v>0</v>
      </c>
      <c r="Q3211" s="8">
        <v>0</v>
      </c>
      <c r="R3211" s="8">
        <v>0</v>
      </c>
      <c r="S3211" s="8">
        <v>0</v>
      </c>
      <c r="T3211" s="5">
        <v>0</v>
      </c>
      <c r="U3211" s="5">
        <v>0</v>
      </c>
      <c r="V3211" s="5">
        <f>VLOOKUP(A3211,Planilha1!B:E,4,0)</f>
        <v>0.37177548115779385</v>
      </c>
    </row>
    <row r="3212" spans="1:22" x14ac:dyDescent="0.3">
      <c r="A3212" t="str">
        <f t="shared" si="100"/>
        <v>LEITE UHTLACTALIS</v>
      </c>
      <c r="B3212" t="str">
        <f t="shared" si="101"/>
        <v>5316126LEITE UHTLACTALIS</v>
      </c>
      <c r="C3212" s="5" t="s">
        <v>226</v>
      </c>
      <c r="D3212" s="5" t="s">
        <v>227</v>
      </c>
      <c r="E3212" s="5" t="s">
        <v>1722</v>
      </c>
      <c r="F3212" s="5">
        <v>5316126</v>
      </c>
      <c r="G3212" s="5" t="s">
        <v>1531</v>
      </c>
      <c r="H3212" s="5" t="s">
        <v>30</v>
      </c>
      <c r="I3212" s="5" t="s">
        <v>22</v>
      </c>
      <c r="J3212" s="5" t="s">
        <v>156</v>
      </c>
      <c r="K3212" s="6">
        <v>0</v>
      </c>
      <c r="L3212" s="7">
        <v>0</v>
      </c>
      <c r="M3212" s="7">
        <v>0</v>
      </c>
      <c r="N3212" s="8">
        <v>40</v>
      </c>
      <c r="O3212" s="8">
        <v>0</v>
      </c>
      <c r="P3212" s="8">
        <v>0</v>
      </c>
      <c r="Q3212" s="8">
        <v>0</v>
      </c>
      <c r="R3212" s="8">
        <v>0</v>
      </c>
      <c r="S3212" s="8">
        <v>0</v>
      </c>
      <c r="T3212" s="5">
        <v>0</v>
      </c>
      <c r="U3212" s="5">
        <v>0</v>
      </c>
      <c r="V3212" s="5">
        <f>VLOOKUP(A3212,Planilha1!B:E,4,0)</f>
        <v>0.37177548115779385</v>
      </c>
    </row>
    <row r="3213" spans="1:22" x14ac:dyDescent="0.3">
      <c r="A3213" t="str">
        <f t="shared" si="100"/>
        <v>LEITE UHTLACTALIS</v>
      </c>
      <c r="B3213" t="str">
        <f t="shared" si="101"/>
        <v>5321026LEITE UHTLACTALIS</v>
      </c>
      <c r="C3213" s="5" t="s">
        <v>226</v>
      </c>
      <c r="D3213" s="5" t="s">
        <v>227</v>
      </c>
      <c r="E3213" s="5" t="s">
        <v>1722</v>
      </c>
      <c r="F3213" s="5">
        <v>5321026</v>
      </c>
      <c r="G3213" s="5" t="s">
        <v>344</v>
      </c>
      <c r="H3213" s="5" t="s">
        <v>30</v>
      </c>
      <c r="I3213" s="5" t="s">
        <v>22</v>
      </c>
      <c r="J3213" s="5" t="s">
        <v>156</v>
      </c>
      <c r="K3213" s="6">
        <v>0</v>
      </c>
      <c r="L3213" s="7">
        <v>0</v>
      </c>
      <c r="M3213" s="7">
        <v>0</v>
      </c>
      <c r="N3213" s="8">
        <v>8</v>
      </c>
      <c r="O3213" s="8">
        <v>0</v>
      </c>
      <c r="P3213" s="8">
        <v>0</v>
      </c>
      <c r="Q3213" s="8">
        <v>0</v>
      </c>
      <c r="R3213" s="8">
        <v>0</v>
      </c>
      <c r="S3213" s="8">
        <v>0</v>
      </c>
      <c r="T3213" s="5">
        <v>0</v>
      </c>
      <c r="U3213" s="5">
        <v>0</v>
      </c>
      <c r="V3213" s="5">
        <f>VLOOKUP(A3213,Planilha1!B:E,4,0)</f>
        <v>0.37177548115779385</v>
      </c>
    </row>
    <row r="3214" spans="1:22" x14ac:dyDescent="0.3">
      <c r="A3214" t="str">
        <f t="shared" si="100"/>
        <v>LEITE UHTLACTALIS</v>
      </c>
      <c r="B3214" t="str">
        <f t="shared" si="101"/>
        <v>5334471LEITE UHTLACTALIS</v>
      </c>
      <c r="C3214" s="5" t="s">
        <v>226</v>
      </c>
      <c r="D3214" s="5" t="s">
        <v>227</v>
      </c>
      <c r="E3214" s="5" t="s">
        <v>1722</v>
      </c>
      <c r="F3214" s="5">
        <v>5334471</v>
      </c>
      <c r="G3214" s="5" t="s">
        <v>1532</v>
      </c>
      <c r="H3214" s="5" t="s">
        <v>30</v>
      </c>
      <c r="I3214" s="5" t="s">
        <v>22</v>
      </c>
      <c r="J3214" s="5" t="s">
        <v>156</v>
      </c>
      <c r="K3214" s="6">
        <v>0</v>
      </c>
      <c r="L3214" s="7">
        <v>0</v>
      </c>
      <c r="M3214" s="7">
        <v>0</v>
      </c>
      <c r="N3214" s="8">
        <v>40</v>
      </c>
      <c r="O3214" s="8">
        <v>0</v>
      </c>
      <c r="P3214" s="8">
        <v>0</v>
      </c>
      <c r="Q3214" s="8">
        <v>0</v>
      </c>
      <c r="R3214" s="8">
        <v>0</v>
      </c>
      <c r="S3214" s="8">
        <v>0</v>
      </c>
      <c r="T3214" s="5">
        <v>0</v>
      </c>
      <c r="U3214" s="5">
        <v>0</v>
      </c>
      <c r="V3214" s="5">
        <f>VLOOKUP(A3214,Planilha1!B:E,4,0)</f>
        <v>0.37177548115779385</v>
      </c>
    </row>
    <row r="3215" spans="1:22" x14ac:dyDescent="0.3">
      <c r="A3215" t="str">
        <f t="shared" si="100"/>
        <v>LEITE UHTLACTALIS</v>
      </c>
      <c r="B3215" t="str">
        <f t="shared" si="101"/>
        <v>5334685LEITE UHTLACTALIS</v>
      </c>
      <c r="C3215" s="5" t="s">
        <v>226</v>
      </c>
      <c r="D3215" s="5" t="s">
        <v>227</v>
      </c>
      <c r="E3215" s="5" t="s">
        <v>1722</v>
      </c>
      <c r="F3215" s="5">
        <v>5334685</v>
      </c>
      <c r="G3215" s="5" t="s">
        <v>1362</v>
      </c>
      <c r="H3215" s="5" t="s">
        <v>30</v>
      </c>
      <c r="I3215" s="5" t="s">
        <v>22</v>
      </c>
      <c r="J3215" s="5" t="s">
        <v>156</v>
      </c>
      <c r="K3215" s="6">
        <v>0</v>
      </c>
      <c r="L3215" s="7">
        <v>0</v>
      </c>
      <c r="M3215" s="7">
        <v>0</v>
      </c>
      <c r="N3215" s="8">
        <v>68</v>
      </c>
      <c r="O3215" s="8">
        <v>0</v>
      </c>
      <c r="P3215" s="8">
        <v>0</v>
      </c>
      <c r="Q3215" s="8">
        <v>0</v>
      </c>
      <c r="R3215" s="8">
        <v>0</v>
      </c>
      <c r="S3215" s="8">
        <v>0</v>
      </c>
      <c r="T3215" s="5">
        <v>0</v>
      </c>
      <c r="U3215" s="5">
        <v>0</v>
      </c>
      <c r="V3215" s="5">
        <f>VLOOKUP(A3215,Planilha1!B:E,4,0)</f>
        <v>0.37177548115779385</v>
      </c>
    </row>
    <row r="3216" spans="1:22" x14ac:dyDescent="0.3">
      <c r="A3216" t="str">
        <f t="shared" si="100"/>
        <v>LEITE UHTLACTALIS</v>
      </c>
      <c r="B3216" t="str">
        <f t="shared" si="101"/>
        <v>5339674LEITE UHTLACTALIS</v>
      </c>
      <c r="C3216" s="5" t="s">
        <v>226</v>
      </c>
      <c r="D3216" s="5" t="s">
        <v>227</v>
      </c>
      <c r="E3216" s="5" t="s">
        <v>703</v>
      </c>
      <c r="F3216" s="5">
        <v>5339674</v>
      </c>
      <c r="G3216" s="5" t="s">
        <v>725</v>
      </c>
      <c r="H3216" s="5" t="s">
        <v>30</v>
      </c>
      <c r="I3216" s="5" t="s">
        <v>22</v>
      </c>
      <c r="J3216" s="5" t="s">
        <v>156</v>
      </c>
      <c r="K3216" s="6">
        <v>0</v>
      </c>
      <c r="L3216" s="7">
        <v>0</v>
      </c>
      <c r="M3216" s="7">
        <v>0</v>
      </c>
      <c r="N3216" s="8">
        <v>8</v>
      </c>
      <c r="O3216" s="8">
        <v>0</v>
      </c>
      <c r="P3216" s="8">
        <v>0</v>
      </c>
      <c r="Q3216" s="8">
        <v>0</v>
      </c>
      <c r="R3216" s="8">
        <v>0</v>
      </c>
      <c r="S3216" s="8">
        <v>0</v>
      </c>
      <c r="T3216" s="5">
        <v>0</v>
      </c>
      <c r="U3216" s="5">
        <v>0</v>
      </c>
      <c r="V3216" s="5">
        <f>VLOOKUP(A3216,Planilha1!B:E,4,0)</f>
        <v>0.37177548115779385</v>
      </c>
    </row>
    <row r="3217" spans="1:22" x14ac:dyDescent="0.3">
      <c r="A3217" t="str">
        <f t="shared" si="100"/>
        <v>LEITE UHTLACTALIS</v>
      </c>
      <c r="B3217" t="str">
        <f t="shared" si="101"/>
        <v>5346742LEITE UHTLACTALIS</v>
      </c>
      <c r="C3217" s="5" t="s">
        <v>226</v>
      </c>
      <c r="D3217" s="5" t="s">
        <v>227</v>
      </c>
      <c r="E3217" s="5" t="s">
        <v>1722</v>
      </c>
      <c r="F3217" s="5">
        <v>5346742</v>
      </c>
      <c r="G3217" s="5" t="s">
        <v>1533</v>
      </c>
      <c r="H3217" s="5" t="s">
        <v>30</v>
      </c>
      <c r="I3217" s="5" t="s">
        <v>22</v>
      </c>
      <c r="J3217" s="5" t="s">
        <v>156</v>
      </c>
      <c r="K3217" s="6">
        <v>0</v>
      </c>
      <c r="L3217" s="7">
        <v>0</v>
      </c>
      <c r="M3217" s="7">
        <v>0</v>
      </c>
      <c r="N3217" s="8">
        <v>16</v>
      </c>
      <c r="O3217" s="8">
        <v>0</v>
      </c>
      <c r="P3217" s="8">
        <v>0</v>
      </c>
      <c r="Q3217" s="8">
        <v>0</v>
      </c>
      <c r="R3217" s="8">
        <v>0</v>
      </c>
      <c r="S3217" s="8">
        <v>0</v>
      </c>
      <c r="T3217" s="5">
        <v>0</v>
      </c>
      <c r="U3217" s="5">
        <v>0</v>
      </c>
      <c r="V3217" s="5">
        <f>VLOOKUP(A3217,Planilha1!B:E,4,0)</f>
        <v>0.37177548115779385</v>
      </c>
    </row>
    <row r="3218" spans="1:22" x14ac:dyDescent="0.3">
      <c r="A3218" t="str">
        <f t="shared" si="100"/>
        <v>LEITE UHTLACTALIS</v>
      </c>
      <c r="B3218" t="str">
        <f t="shared" si="101"/>
        <v>5351024LEITE UHTLACTALIS</v>
      </c>
      <c r="C3218" s="5" t="s">
        <v>226</v>
      </c>
      <c r="D3218" s="5" t="s">
        <v>227</v>
      </c>
      <c r="E3218" s="5" t="s">
        <v>1722</v>
      </c>
      <c r="F3218" s="5">
        <v>5351024</v>
      </c>
      <c r="G3218" s="5" t="s">
        <v>1374</v>
      </c>
      <c r="H3218" s="5" t="s">
        <v>30</v>
      </c>
      <c r="I3218" s="5" t="s">
        <v>22</v>
      </c>
      <c r="J3218" s="5" t="s">
        <v>156</v>
      </c>
      <c r="K3218" s="6">
        <v>0</v>
      </c>
      <c r="L3218" s="7">
        <v>0</v>
      </c>
      <c r="M3218" s="7">
        <v>0</v>
      </c>
      <c r="N3218" s="8">
        <v>44</v>
      </c>
      <c r="O3218" s="8">
        <v>0</v>
      </c>
      <c r="P3218" s="8">
        <v>0</v>
      </c>
      <c r="Q3218" s="8">
        <v>0</v>
      </c>
      <c r="R3218" s="8">
        <v>0</v>
      </c>
      <c r="S3218" s="8">
        <v>0</v>
      </c>
      <c r="T3218" s="5">
        <v>0</v>
      </c>
      <c r="U3218" s="5">
        <v>0</v>
      </c>
      <c r="V3218" s="5">
        <f>VLOOKUP(A3218,Planilha1!B:E,4,0)</f>
        <v>0.37177548115779385</v>
      </c>
    </row>
    <row r="3219" spans="1:22" x14ac:dyDescent="0.3">
      <c r="A3219" t="str">
        <f t="shared" si="100"/>
        <v>LEITE UHTLACTALIS</v>
      </c>
      <c r="B3219" t="str">
        <f t="shared" si="101"/>
        <v>5355103LEITE UHTLACTALIS</v>
      </c>
      <c r="C3219" s="5" t="s">
        <v>226</v>
      </c>
      <c r="D3219" s="5" t="s">
        <v>227</v>
      </c>
      <c r="E3219" s="5" t="s">
        <v>1722</v>
      </c>
      <c r="F3219" s="5">
        <v>5355103</v>
      </c>
      <c r="G3219" s="5" t="s">
        <v>1417</v>
      </c>
      <c r="H3219" s="5" t="s">
        <v>30</v>
      </c>
      <c r="I3219" s="5" t="s">
        <v>22</v>
      </c>
      <c r="J3219" s="5" t="s">
        <v>156</v>
      </c>
      <c r="K3219" s="6">
        <v>0</v>
      </c>
      <c r="L3219" s="7">
        <v>0</v>
      </c>
      <c r="M3219" s="7">
        <v>0</v>
      </c>
      <c r="N3219" s="8">
        <v>32</v>
      </c>
      <c r="O3219" s="8">
        <v>0</v>
      </c>
      <c r="P3219" s="8">
        <v>0</v>
      </c>
      <c r="Q3219" s="8">
        <v>0</v>
      </c>
      <c r="R3219" s="8">
        <v>0</v>
      </c>
      <c r="S3219" s="8">
        <v>0</v>
      </c>
      <c r="T3219" s="5">
        <v>0</v>
      </c>
      <c r="U3219" s="5">
        <v>0</v>
      </c>
      <c r="V3219" s="5">
        <f>VLOOKUP(A3219,Planilha1!B:E,4,0)</f>
        <v>0.37177548115779385</v>
      </c>
    </row>
    <row r="3220" spans="1:22" x14ac:dyDescent="0.3">
      <c r="A3220" t="str">
        <f t="shared" si="100"/>
        <v>LEITE UHTLACTALIS</v>
      </c>
      <c r="B3220" t="str">
        <f t="shared" si="101"/>
        <v>5355175LEITE UHTLACTALIS</v>
      </c>
      <c r="C3220" s="5" t="s">
        <v>226</v>
      </c>
      <c r="D3220" s="5" t="s">
        <v>227</v>
      </c>
      <c r="E3220" s="5" t="s">
        <v>1722</v>
      </c>
      <c r="F3220" s="5">
        <v>5355175</v>
      </c>
      <c r="G3220" s="5" t="s">
        <v>1534</v>
      </c>
      <c r="H3220" s="5" t="s">
        <v>30</v>
      </c>
      <c r="I3220" s="5" t="s">
        <v>22</v>
      </c>
      <c r="J3220" s="5" t="s">
        <v>156</v>
      </c>
      <c r="K3220" s="6">
        <v>0</v>
      </c>
      <c r="L3220" s="7">
        <v>0</v>
      </c>
      <c r="M3220" s="7">
        <v>0</v>
      </c>
      <c r="N3220" s="8">
        <v>40</v>
      </c>
      <c r="O3220" s="8">
        <v>0</v>
      </c>
      <c r="P3220" s="8">
        <v>0</v>
      </c>
      <c r="Q3220" s="8">
        <v>0</v>
      </c>
      <c r="R3220" s="8">
        <v>0</v>
      </c>
      <c r="S3220" s="8">
        <v>0</v>
      </c>
      <c r="T3220" s="5">
        <v>0</v>
      </c>
      <c r="U3220" s="5">
        <v>0</v>
      </c>
      <c r="V3220" s="5">
        <f>VLOOKUP(A3220,Planilha1!B:E,4,0)</f>
        <v>0.37177548115779385</v>
      </c>
    </row>
    <row r="3221" spans="1:22" x14ac:dyDescent="0.3">
      <c r="A3221" t="str">
        <f t="shared" si="100"/>
        <v>LEITE UHTLACTALIS</v>
      </c>
      <c r="B3221" t="str">
        <f t="shared" si="101"/>
        <v>5356655LEITE UHTLACTALIS</v>
      </c>
      <c r="C3221" s="5" t="s">
        <v>226</v>
      </c>
      <c r="D3221" s="5" t="s">
        <v>227</v>
      </c>
      <c r="E3221" s="5" t="s">
        <v>1722</v>
      </c>
      <c r="F3221" s="5">
        <v>5356655</v>
      </c>
      <c r="G3221" s="5" t="s">
        <v>1535</v>
      </c>
      <c r="H3221" s="5" t="s">
        <v>30</v>
      </c>
      <c r="I3221" s="5" t="s">
        <v>22</v>
      </c>
      <c r="J3221" s="5" t="s">
        <v>156</v>
      </c>
      <c r="K3221" s="6">
        <v>0</v>
      </c>
      <c r="L3221" s="7">
        <v>0</v>
      </c>
      <c r="M3221" s="7">
        <v>0</v>
      </c>
      <c r="N3221" s="8">
        <v>0</v>
      </c>
      <c r="O3221" s="8">
        <v>0</v>
      </c>
      <c r="P3221" s="8">
        <v>0</v>
      </c>
      <c r="Q3221" s="8">
        <v>0</v>
      </c>
      <c r="R3221" s="8">
        <v>0</v>
      </c>
      <c r="S3221" s="8">
        <v>0</v>
      </c>
      <c r="T3221" s="5">
        <v>0</v>
      </c>
      <c r="U3221" s="5">
        <v>72</v>
      </c>
      <c r="V3221" s="5">
        <f>VLOOKUP(A3221,Planilha1!B:E,4,0)</f>
        <v>0.37177548115779385</v>
      </c>
    </row>
    <row r="3222" spans="1:22" x14ac:dyDescent="0.3">
      <c r="A3222" t="str">
        <f t="shared" si="100"/>
        <v>LEITE UHTLACTALIS</v>
      </c>
      <c r="B3222" t="str">
        <f t="shared" si="101"/>
        <v>5357220LEITE UHTLACTALIS</v>
      </c>
      <c r="C3222" s="5" t="s">
        <v>226</v>
      </c>
      <c r="D3222" s="5" t="s">
        <v>227</v>
      </c>
      <c r="E3222" s="5" t="s">
        <v>1722</v>
      </c>
      <c r="F3222" s="5">
        <v>5357220</v>
      </c>
      <c r="G3222" s="5" t="s">
        <v>1393</v>
      </c>
      <c r="H3222" s="5" t="s">
        <v>30</v>
      </c>
      <c r="I3222" s="5" t="s">
        <v>22</v>
      </c>
      <c r="J3222" s="5" t="s">
        <v>156</v>
      </c>
      <c r="K3222" s="6">
        <v>0</v>
      </c>
      <c r="L3222" s="7">
        <v>0</v>
      </c>
      <c r="M3222" s="7">
        <v>0</v>
      </c>
      <c r="N3222" s="8">
        <v>8</v>
      </c>
      <c r="O3222" s="8">
        <v>0</v>
      </c>
      <c r="P3222" s="8">
        <v>0</v>
      </c>
      <c r="Q3222" s="8">
        <v>0</v>
      </c>
      <c r="R3222" s="8">
        <v>0</v>
      </c>
      <c r="S3222" s="8">
        <v>0</v>
      </c>
      <c r="T3222" s="5">
        <v>0</v>
      </c>
      <c r="U3222" s="5">
        <v>0</v>
      </c>
      <c r="V3222" s="5">
        <f>VLOOKUP(A3222,Planilha1!B:E,4,0)</f>
        <v>0.37177548115779385</v>
      </c>
    </row>
    <row r="3223" spans="1:22" x14ac:dyDescent="0.3">
      <c r="A3223" t="str">
        <f t="shared" si="100"/>
        <v>LEITE UHTLACTALIS</v>
      </c>
      <c r="B3223" t="str">
        <f t="shared" si="101"/>
        <v>5357980LEITE UHTLACTALIS</v>
      </c>
      <c r="C3223" s="5" t="s">
        <v>226</v>
      </c>
      <c r="D3223" s="5" t="s">
        <v>227</v>
      </c>
      <c r="E3223" s="5" t="s">
        <v>1722</v>
      </c>
      <c r="F3223" s="5">
        <v>5357980</v>
      </c>
      <c r="G3223" s="5" t="s">
        <v>1536</v>
      </c>
      <c r="H3223" s="5" t="s">
        <v>30</v>
      </c>
      <c r="I3223" s="5" t="s">
        <v>22</v>
      </c>
      <c r="J3223" s="5" t="s">
        <v>156</v>
      </c>
      <c r="K3223" s="6">
        <v>0</v>
      </c>
      <c r="L3223" s="7">
        <v>0</v>
      </c>
      <c r="M3223" s="7">
        <v>0</v>
      </c>
      <c r="N3223" s="8">
        <v>40</v>
      </c>
      <c r="O3223" s="8">
        <v>0</v>
      </c>
      <c r="P3223" s="8">
        <v>0</v>
      </c>
      <c r="Q3223" s="8">
        <v>0</v>
      </c>
      <c r="R3223" s="8">
        <v>0</v>
      </c>
      <c r="S3223" s="8">
        <v>0</v>
      </c>
      <c r="T3223" s="5">
        <v>0</v>
      </c>
      <c r="U3223" s="5">
        <v>0</v>
      </c>
      <c r="V3223" s="5">
        <f>VLOOKUP(A3223,Planilha1!B:E,4,0)</f>
        <v>0.37177548115779385</v>
      </c>
    </row>
    <row r="3224" spans="1:22" x14ac:dyDescent="0.3">
      <c r="A3224" t="str">
        <f t="shared" si="100"/>
        <v>LEITE UHTLACTALIS</v>
      </c>
      <c r="B3224" t="str">
        <f t="shared" si="101"/>
        <v>5358864LEITE UHTLACTALIS</v>
      </c>
      <c r="C3224" s="5" t="s">
        <v>226</v>
      </c>
      <c r="D3224" s="5" t="s">
        <v>227</v>
      </c>
      <c r="E3224" s="5" t="s">
        <v>1722</v>
      </c>
      <c r="F3224" s="5">
        <v>5358864</v>
      </c>
      <c r="G3224" s="5" t="s">
        <v>1473</v>
      </c>
      <c r="H3224" s="5" t="s">
        <v>30</v>
      </c>
      <c r="I3224" s="5" t="s">
        <v>22</v>
      </c>
      <c r="J3224" s="5" t="s">
        <v>156</v>
      </c>
      <c r="K3224" s="6">
        <v>0</v>
      </c>
      <c r="L3224" s="7">
        <v>0</v>
      </c>
      <c r="M3224" s="7">
        <v>0</v>
      </c>
      <c r="N3224" s="8">
        <v>44</v>
      </c>
      <c r="O3224" s="8">
        <v>0</v>
      </c>
      <c r="P3224" s="8">
        <v>0</v>
      </c>
      <c r="Q3224" s="8">
        <v>60</v>
      </c>
      <c r="R3224" s="8">
        <v>0</v>
      </c>
      <c r="S3224" s="8">
        <v>0</v>
      </c>
      <c r="T3224" s="5">
        <v>0</v>
      </c>
      <c r="U3224" s="5">
        <v>0</v>
      </c>
      <c r="V3224" s="5">
        <f>VLOOKUP(A3224,Planilha1!B:E,4,0)</f>
        <v>0.37177548115779385</v>
      </c>
    </row>
    <row r="3225" spans="1:22" x14ac:dyDescent="0.3">
      <c r="A3225" t="str">
        <f t="shared" si="100"/>
        <v>LEITE UHTLACTALIS</v>
      </c>
      <c r="B3225" t="str">
        <f t="shared" si="101"/>
        <v>5359928LEITE UHTLACTALIS</v>
      </c>
      <c r="C3225" s="5" t="s">
        <v>226</v>
      </c>
      <c r="D3225" s="5" t="s">
        <v>227</v>
      </c>
      <c r="E3225" s="5" t="s">
        <v>1722</v>
      </c>
      <c r="F3225" s="5">
        <v>5359928</v>
      </c>
      <c r="G3225" s="5" t="s">
        <v>1537</v>
      </c>
      <c r="H3225" s="5" t="s">
        <v>30</v>
      </c>
      <c r="I3225" s="5" t="s">
        <v>22</v>
      </c>
      <c r="J3225" s="5" t="s">
        <v>156</v>
      </c>
      <c r="K3225" s="6">
        <v>0</v>
      </c>
      <c r="L3225" s="7">
        <v>0</v>
      </c>
      <c r="M3225" s="7">
        <v>0</v>
      </c>
      <c r="N3225" s="8">
        <v>0</v>
      </c>
      <c r="O3225" s="8">
        <v>0</v>
      </c>
      <c r="P3225" s="8">
        <v>0</v>
      </c>
      <c r="Q3225" s="8">
        <v>0</v>
      </c>
      <c r="R3225" s="8">
        <v>0</v>
      </c>
      <c r="S3225" s="8">
        <v>0</v>
      </c>
      <c r="T3225" s="5">
        <v>0</v>
      </c>
      <c r="U3225" s="5">
        <v>0</v>
      </c>
      <c r="V3225" s="5">
        <f>VLOOKUP(A3225,Planilha1!B:E,4,0)</f>
        <v>0.37177548115779385</v>
      </c>
    </row>
    <row r="3226" spans="1:22" x14ac:dyDescent="0.3">
      <c r="A3226" t="str">
        <f t="shared" si="100"/>
        <v>LEITE UHTLACTALIS</v>
      </c>
      <c r="B3226" t="str">
        <f t="shared" si="101"/>
        <v>5360457LEITE UHTLACTALIS</v>
      </c>
      <c r="C3226" s="5" t="s">
        <v>226</v>
      </c>
      <c r="D3226" s="5" t="s">
        <v>227</v>
      </c>
      <c r="E3226" s="5" t="s">
        <v>1722</v>
      </c>
      <c r="F3226" s="5">
        <v>5360457</v>
      </c>
      <c r="G3226" s="5" t="s">
        <v>1538</v>
      </c>
      <c r="H3226" s="5" t="s">
        <v>30</v>
      </c>
      <c r="I3226" s="5" t="s">
        <v>22</v>
      </c>
      <c r="J3226" s="5" t="s">
        <v>156</v>
      </c>
      <c r="K3226" s="6">
        <v>0</v>
      </c>
      <c r="L3226" s="7">
        <v>0</v>
      </c>
      <c r="M3226" s="7">
        <v>0</v>
      </c>
      <c r="N3226" s="8">
        <v>60</v>
      </c>
      <c r="O3226" s="8">
        <v>0</v>
      </c>
      <c r="P3226" s="8">
        <v>0</v>
      </c>
      <c r="Q3226" s="8">
        <v>0</v>
      </c>
      <c r="R3226" s="8">
        <v>0</v>
      </c>
      <c r="S3226" s="8">
        <v>0</v>
      </c>
      <c r="T3226" s="5">
        <v>0</v>
      </c>
      <c r="U3226" s="5">
        <v>0</v>
      </c>
      <c r="V3226" s="5">
        <f>VLOOKUP(A3226,Planilha1!B:E,4,0)</f>
        <v>0.37177548115779385</v>
      </c>
    </row>
    <row r="3227" spans="1:22" x14ac:dyDescent="0.3">
      <c r="A3227" t="str">
        <f t="shared" si="100"/>
        <v>LEITE UHTLACTALIS</v>
      </c>
      <c r="B3227" t="str">
        <f t="shared" si="101"/>
        <v>5360488LEITE UHTLACTALIS</v>
      </c>
      <c r="C3227" s="5" t="s">
        <v>226</v>
      </c>
      <c r="D3227" s="5" t="s">
        <v>227</v>
      </c>
      <c r="E3227" s="5" t="s">
        <v>1722</v>
      </c>
      <c r="F3227" s="5">
        <v>5360488</v>
      </c>
      <c r="G3227" s="5" t="s">
        <v>1539</v>
      </c>
      <c r="H3227" s="5" t="s">
        <v>30</v>
      </c>
      <c r="I3227" s="5" t="s">
        <v>22</v>
      </c>
      <c r="J3227" s="5" t="s">
        <v>156</v>
      </c>
      <c r="K3227" s="6">
        <v>0</v>
      </c>
      <c r="L3227" s="7">
        <v>0</v>
      </c>
      <c r="M3227" s="7">
        <v>0</v>
      </c>
      <c r="N3227" s="8">
        <v>120</v>
      </c>
      <c r="O3227" s="8">
        <v>0</v>
      </c>
      <c r="P3227" s="8">
        <v>0</v>
      </c>
      <c r="Q3227" s="8">
        <v>0</v>
      </c>
      <c r="R3227" s="8">
        <v>0</v>
      </c>
      <c r="S3227" s="8">
        <v>0</v>
      </c>
      <c r="T3227" s="5">
        <v>0</v>
      </c>
      <c r="U3227" s="5">
        <v>0</v>
      </c>
      <c r="V3227" s="5">
        <f>VLOOKUP(A3227,Planilha1!B:E,4,0)</f>
        <v>0.37177548115779385</v>
      </c>
    </row>
    <row r="3228" spans="1:22" x14ac:dyDescent="0.3">
      <c r="A3228" t="str">
        <f t="shared" si="100"/>
        <v>LEITE UHTLACTALIS</v>
      </c>
      <c r="B3228" t="str">
        <f t="shared" si="101"/>
        <v>5360992LEITE UHTLACTALIS</v>
      </c>
      <c r="C3228" s="5" t="s">
        <v>226</v>
      </c>
      <c r="D3228" s="5" t="s">
        <v>227</v>
      </c>
      <c r="E3228" s="5" t="s">
        <v>1722</v>
      </c>
      <c r="F3228" s="5">
        <v>5360992</v>
      </c>
      <c r="G3228" s="5" t="s">
        <v>1540</v>
      </c>
      <c r="H3228" s="5" t="s">
        <v>30</v>
      </c>
      <c r="I3228" s="5" t="s">
        <v>22</v>
      </c>
      <c r="J3228" s="5" t="s">
        <v>156</v>
      </c>
      <c r="K3228" s="6">
        <v>0</v>
      </c>
      <c r="L3228" s="7">
        <v>0</v>
      </c>
      <c r="M3228" s="7">
        <v>0</v>
      </c>
      <c r="N3228" s="8">
        <v>12</v>
      </c>
      <c r="O3228" s="8">
        <v>0</v>
      </c>
      <c r="P3228" s="8">
        <v>0</v>
      </c>
      <c r="Q3228" s="8">
        <v>0</v>
      </c>
      <c r="R3228" s="8">
        <v>0</v>
      </c>
      <c r="S3228" s="8">
        <v>0</v>
      </c>
      <c r="T3228" s="5">
        <v>0</v>
      </c>
      <c r="U3228" s="5">
        <v>0</v>
      </c>
      <c r="V3228" s="5">
        <f>VLOOKUP(A3228,Planilha1!B:E,4,0)</f>
        <v>0.37177548115779385</v>
      </c>
    </row>
    <row r="3229" spans="1:22" x14ac:dyDescent="0.3">
      <c r="A3229" t="str">
        <f t="shared" si="100"/>
        <v>LEITE UHTLACTALIS</v>
      </c>
      <c r="B3229" t="str">
        <f t="shared" si="101"/>
        <v>5363061LEITE UHTLACTALIS</v>
      </c>
      <c r="C3229" s="5" t="s">
        <v>226</v>
      </c>
      <c r="D3229" s="5" t="s">
        <v>227</v>
      </c>
      <c r="E3229" s="5" t="s">
        <v>1722</v>
      </c>
      <c r="F3229" s="5">
        <v>5363061</v>
      </c>
      <c r="G3229" s="5" t="s">
        <v>1541</v>
      </c>
      <c r="H3229" s="5" t="s">
        <v>30</v>
      </c>
      <c r="I3229" s="5" t="s">
        <v>22</v>
      </c>
      <c r="J3229" s="5" t="s">
        <v>156</v>
      </c>
      <c r="K3229" s="6">
        <v>0</v>
      </c>
      <c r="L3229" s="7">
        <v>0</v>
      </c>
      <c r="M3229" s="7">
        <v>0</v>
      </c>
      <c r="N3229" s="8">
        <v>0</v>
      </c>
      <c r="O3229" s="8">
        <v>0</v>
      </c>
      <c r="P3229" s="8">
        <v>0</v>
      </c>
      <c r="Q3229" s="8">
        <v>0</v>
      </c>
      <c r="R3229" s="8">
        <v>0</v>
      </c>
      <c r="S3229" s="8">
        <v>0</v>
      </c>
      <c r="T3229" s="5">
        <v>0</v>
      </c>
      <c r="U3229" s="5">
        <v>0</v>
      </c>
      <c r="V3229" s="5">
        <f>VLOOKUP(A3229,Planilha1!B:E,4,0)</f>
        <v>0.37177548115779385</v>
      </c>
    </row>
    <row r="3230" spans="1:22" x14ac:dyDescent="0.3">
      <c r="A3230" t="str">
        <f t="shared" si="100"/>
        <v>LEITE UHTLACTALIS</v>
      </c>
      <c r="B3230" t="str">
        <f t="shared" si="101"/>
        <v>5363097LEITE UHTLACTALIS</v>
      </c>
      <c r="C3230" s="5" t="s">
        <v>226</v>
      </c>
      <c r="D3230" s="5" t="s">
        <v>227</v>
      </c>
      <c r="E3230" s="5" t="s">
        <v>1722</v>
      </c>
      <c r="F3230" s="5">
        <v>5363097</v>
      </c>
      <c r="G3230" s="5" t="s">
        <v>1439</v>
      </c>
      <c r="H3230" s="5" t="s">
        <v>30</v>
      </c>
      <c r="I3230" s="5" t="s">
        <v>22</v>
      </c>
      <c r="J3230" s="5" t="s">
        <v>156</v>
      </c>
      <c r="K3230" s="6">
        <v>0</v>
      </c>
      <c r="L3230" s="7">
        <v>0</v>
      </c>
      <c r="M3230" s="7">
        <v>0</v>
      </c>
      <c r="N3230" s="8">
        <v>0</v>
      </c>
      <c r="O3230" s="8">
        <v>0</v>
      </c>
      <c r="P3230" s="8">
        <v>0</v>
      </c>
      <c r="Q3230" s="8">
        <v>0</v>
      </c>
      <c r="R3230" s="8">
        <v>0</v>
      </c>
      <c r="S3230" s="8">
        <v>0</v>
      </c>
      <c r="T3230" s="5">
        <v>0</v>
      </c>
      <c r="U3230" s="5">
        <v>0</v>
      </c>
      <c r="V3230" s="5">
        <f>VLOOKUP(A3230,Planilha1!B:E,4,0)</f>
        <v>0.37177548115779385</v>
      </c>
    </row>
    <row r="3231" spans="1:22" x14ac:dyDescent="0.3">
      <c r="A3231" t="str">
        <f t="shared" si="100"/>
        <v>LEITE UHTLACTALIS</v>
      </c>
      <c r="B3231" t="str">
        <f t="shared" si="101"/>
        <v>5363801LEITE UHTLACTALIS</v>
      </c>
      <c r="C3231" s="5" t="e">
        <v>#N/A</v>
      </c>
      <c r="D3231" s="5" t="e">
        <v>#N/A</v>
      </c>
      <c r="E3231" s="5" t="e">
        <v>#N/A</v>
      </c>
      <c r="F3231" s="5">
        <v>5363801</v>
      </c>
      <c r="G3231" s="5" t="s">
        <v>1542</v>
      </c>
      <c r="H3231" s="5" t="s">
        <v>30</v>
      </c>
      <c r="I3231" s="5" t="s">
        <v>22</v>
      </c>
      <c r="J3231" s="5" t="s">
        <v>156</v>
      </c>
      <c r="K3231" s="6">
        <v>0</v>
      </c>
      <c r="L3231" s="7">
        <v>0</v>
      </c>
      <c r="M3231" s="7">
        <v>0</v>
      </c>
      <c r="N3231" s="8">
        <v>0</v>
      </c>
      <c r="O3231" s="8">
        <v>0</v>
      </c>
      <c r="P3231" s="8">
        <v>0</v>
      </c>
      <c r="Q3231" s="8">
        <v>0</v>
      </c>
      <c r="R3231" s="8">
        <v>0</v>
      </c>
      <c r="S3231" s="8">
        <v>0</v>
      </c>
      <c r="T3231" s="5">
        <v>0</v>
      </c>
      <c r="U3231" s="5">
        <v>0</v>
      </c>
      <c r="V3231" s="5">
        <f>VLOOKUP(A3231,Planilha1!B:E,4,0)</f>
        <v>0.37177548115779385</v>
      </c>
    </row>
    <row r="3232" spans="1:22" x14ac:dyDescent="0.3">
      <c r="A3232" t="str">
        <f t="shared" si="100"/>
        <v>LPD 25KGITAMBÉ</v>
      </c>
      <c r="B3232" t="str">
        <f t="shared" si="101"/>
        <v>5059695LPD 25KGITAMBÉ</v>
      </c>
      <c r="C3232" s="5" t="s">
        <v>16</v>
      </c>
      <c r="D3232" s="5" t="s">
        <v>28</v>
      </c>
      <c r="E3232" s="5" t="s">
        <v>28</v>
      </c>
      <c r="F3232" s="5">
        <v>5059695</v>
      </c>
      <c r="G3232" s="5" t="s">
        <v>133</v>
      </c>
      <c r="H3232" s="5" t="s">
        <v>30</v>
      </c>
      <c r="I3232" s="5" t="s">
        <v>27</v>
      </c>
      <c r="J3232" s="5" t="s">
        <v>43</v>
      </c>
      <c r="K3232" s="6">
        <v>0</v>
      </c>
      <c r="L3232" s="7">
        <v>0</v>
      </c>
      <c r="M3232" s="7">
        <v>0</v>
      </c>
      <c r="N3232" s="8">
        <v>0</v>
      </c>
      <c r="O3232" s="8">
        <v>0</v>
      </c>
      <c r="P3232" s="8">
        <v>0</v>
      </c>
      <c r="Q3232" s="8">
        <v>0</v>
      </c>
      <c r="R3232" s="8">
        <v>0</v>
      </c>
      <c r="S3232" s="8">
        <v>0</v>
      </c>
      <c r="T3232" s="5">
        <v>0</v>
      </c>
      <c r="U3232" s="5">
        <v>0</v>
      </c>
      <c r="V3232" s="5">
        <f>VLOOKUP(A3232,Planilha1!B:E,4,0)</f>
        <v>3.3372177319587628</v>
      </c>
    </row>
    <row r="3233" spans="1:22" x14ac:dyDescent="0.3">
      <c r="A3233" t="str">
        <f t="shared" si="100"/>
        <v>LPD 25KGITAMBÉ</v>
      </c>
      <c r="B3233" t="str">
        <f t="shared" si="101"/>
        <v>5220627LPD 25KGITAMBÉ</v>
      </c>
      <c r="C3233" s="5" t="s">
        <v>226</v>
      </c>
      <c r="D3233" s="5" t="s">
        <v>752</v>
      </c>
      <c r="E3233" s="5" t="s">
        <v>767</v>
      </c>
      <c r="F3233" s="5">
        <v>5220627</v>
      </c>
      <c r="G3233" s="5" t="s">
        <v>1039</v>
      </c>
      <c r="H3233" s="5" t="s">
        <v>154</v>
      </c>
      <c r="I3233" s="5" t="s">
        <v>27</v>
      </c>
      <c r="J3233" s="5" t="s">
        <v>43</v>
      </c>
      <c r="K3233" s="6">
        <v>0</v>
      </c>
      <c r="L3233" s="7">
        <v>0</v>
      </c>
      <c r="M3233" s="7">
        <v>0</v>
      </c>
      <c r="N3233" s="8">
        <v>0</v>
      </c>
      <c r="O3233" s="8">
        <v>0</v>
      </c>
      <c r="P3233" s="8">
        <v>0</v>
      </c>
      <c r="Q3233" s="8">
        <v>0</v>
      </c>
      <c r="R3233" s="8">
        <v>0</v>
      </c>
      <c r="S3233" s="8">
        <v>0</v>
      </c>
      <c r="T3233" s="5">
        <v>0</v>
      </c>
      <c r="U3233" s="5">
        <v>0</v>
      </c>
      <c r="V3233" s="5">
        <f>VLOOKUP(A3233,Planilha1!B:E,4,0)</f>
        <v>3.3372177319587628</v>
      </c>
    </row>
    <row r="3234" spans="1:22" x14ac:dyDescent="0.3">
      <c r="A3234" t="str">
        <f t="shared" si="100"/>
        <v>LPD 25KGITAMBÉ</v>
      </c>
      <c r="B3234" t="str">
        <f t="shared" si="101"/>
        <v>5353050LPD 25KGITAMBÉ</v>
      </c>
      <c r="C3234" s="5" t="s">
        <v>16</v>
      </c>
      <c r="D3234" s="5" t="s">
        <v>28</v>
      </c>
      <c r="E3234" s="5" t="s">
        <v>28</v>
      </c>
      <c r="F3234" s="5">
        <v>5353050</v>
      </c>
      <c r="G3234" s="5" t="s">
        <v>1543</v>
      </c>
      <c r="H3234" s="5" t="s">
        <v>30</v>
      </c>
      <c r="I3234" s="5" t="s">
        <v>27</v>
      </c>
      <c r="J3234" s="5" t="s">
        <v>43</v>
      </c>
      <c r="K3234" s="6">
        <v>0</v>
      </c>
      <c r="L3234" s="7">
        <v>0</v>
      </c>
      <c r="M3234" s="7">
        <v>0</v>
      </c>
      <c r="N3234" s="8">
        <v>166.66666666666666</v>
      </c>
      <c r="O3234" s="8">
        <v>0</v>
      </c>
      <c r="P3234" s="8">
        <v>0</v>
      </c>
      <c r="Q3234" s="8">
        <v>0</v>
      </c>
      <c r="R3234" s="8">
        <v>0</v>
      </c>
      <c r="S3234" s="8">
        <v>0</v>
      </c>
      <c r="T3234" s="5">
        <v>0</v>
      </c>
      <c r="U3234" s="5">
        <v>0</v>
      </c>
      <c r="V3234" s="5">
        <f>VLOOKUP(A3234,Planilha1!B:E,4,0)</f>
        <v>3.3372177319587628</v>
      </c>
    </row>
    <row r="3235" spans="1:22" x14ac:dyDescent="0.3">
      <c r="A3235" t="str">
        <f t="shared" si="100"/>
        <v>LPI 25KGITAMBÉ</v>
      </c>
      <c r="B3235" t="str">
        <f t="shared" si="101"/>
        <v>5063322LPI 25KGITAMBÉ</v>
      </c>
      <c r="C3235" s="5" t="s">
        <v>226</v>
      </c>
      <c r="D3235" s="5" t="s">
        <v>727</v>
      </c>
      <c r="E3235" s="5" t="s">
        <v>733</v>
      </c>
      <c r="F3235" s="5">
        <v>5063322</v>
      </c>
      <c r="G3235" s="5" t="s">
        <v>1464</v>
      </c>
      <c r="H3235" s="5" t="s">
        <v>25</v>
      </c>
      <c r="I3235" s="5" t="s">
        <v>27</v>
      </c>
      <c r="J3235" s="5" t="s">
        <v>21</v>
      </c>
      <c r="K3235" s="6">
        <v>0</v>
      </c>
      <c r="L3235" s="7">
        <v>0</v>
      </c>
      <c r="M3235" s="7">
        <v>0</v>
      </c>
      <c r="N3235" s="8">
        <v>166.66666666666666</v>
      </c>
      <c r="O3235" s="8">
        <v>0</v>
      </c>
      <c r="P3235" s="8">
        <v>0</v>
      </c>
      <c r="Q3235" s="8">
        <v>0</v>
      </c>
      <c r="R3235" s="8">
        <v>0</v>
      </c>
      <c r="S3235" s="8">
        <v>0</v>
      </c>
      <c r="T3235" s="5">
        <v>0</v>
      </c>
      <c r="U3235" s="5">
        <v>0</v>
      </c>
      <c r="V3235" s="5">
        <f>VLOOKUP(A3235,Planilha1!B:E,4,0)</f>
        <v>-1.218192805504376</v>
      </c>
    </row>
    <row r="3236" spans="1:22" x14ac:dyDescent="0.3">
      <c r="A3236" t="str">
        <f t="shared" si="100"/>
        <v>LPI 25KGITAMBÉ</v>
      </c>
      <c r="B3236" t="str">
        <f t="shared" si="101"/>
        <v>5157986LPI 25KGITAMBÉ</v>
      </c>
      <c r="C3236" s="5" t="s">
        <v>16</v>
      </c>
      <c r="D3236" s="5" t="s">
        <v>17</v>
      </c>
      <c r="E3236" s="5" t="s">
        <v>66</v>
      </c>
      <c r="F3236" s="5">
        <v>5157986</v>
      </c>
      <c r="G3236" s="5" t="s">
        <v>1544</v>
      </c>
      <c r="H3236" s="5" t="s">
        <v>113</v>
      </c>
      <c r="I3236" s="5" t="s">
        <v>27</v>
      </c>
      <c r="J3236" s="5" t="s">
        <v>21</v>
      </c>
      <c r="K3236" s="6">
        <v>0</v>
      </c>
      <c r="L3236" s="7">
        <v>0</v>
      </c>
      <c r="M3236" s="7">
        <v>0</v>
      </c>
      <c r="N3236" s="8">
        <v>4666.666666666667</v>
      </c>
      <c r="O3236" s="8">
        <v>0</v>
      </c>
      <c r="P3236" s="8">
        <v>0</v>
      </c>
      <c r="Q3236" s="8">
        <v>0</v>
      </c>
      <c r="R3236" s="8">
        <v>0</v>
      </c>
      <c r="S3236" s="8">
        <v>0</v>
      </c>
      <c r="T3236" s="5">
        <v>0</v>
      </c>
      <c r="U3236" s="5">
        <v>0</v>
      </c>
      <c r="V3236" s="5">
        <f>VLOOKUP(A3236,Planilha1!B:E,4,0)</f>
        <v>-1.218192805504376</v>
      </c>
    </row>
    <row r="3237" spans="1:22" x14ac:dyDescent="0.3">
      <c r="A3237" t="str">
        <f t="shared" si="100"/>
        <v>LPI 25KGITAMBÉ</v>
      </c>
      <c r="B3237" t="str">
        <f t="shared" si="101"/>
        <v>5176952LPI 25KGITAMBÉ</v>
      </c>
      <c r="C3237" s="5" t="s">
        <v>226</v>
      </c>
      <c r="D3237" s="5" t="s">
        <v>227</v>
      </c>
      <c r="E3237" s="5" t="s">
        <v>231</v>
      </c>
      <c r="F3237" s="5">
        <v>5176952</v>
      </c>
      <c r="G3237" s="5" t="s">
        <v>233</v>
      </c>
      <c r="H3237" s="5" t="s">
        <v>30</v>
      </c>
      <c r="I3237" s="5" t="s">
        <v>27</v>
      </c>
      <c r="J3237" s="5" t="s">
        <v>21</v>
      </c>
      <c r="K3237" s="6">
        <v>0</v>
      </c>
      <c r="L3237" s="7">
        <v>0</v>
      </c>
      <c r="M3237" s="7">
        <v>0</v>
      </c>
      <c r="N3237" s="8">
        <v>83.333333333333329</v>
      </c>
      <c r="O3237" s="8">
        <v>0</v>
      </c>
      <c r="P3237" s="8">
        <v>0</v>
      </c>
      <c r="Q3237" s="8">
        <v>0</v>
      </c>
      <c r="R3237" s="8">
        <v>0</v>
      </c>
      <c r="S3237" s="8">
        <v>0</v>
      </c>
      <c r="T3237" s="5">
        <v>0</v>
      </c>
      <c r="U3237" s="5">
        <v>0</v>
      </c>
      <c r="V3237" s="5">
        <f>VLOOKUP(A3237,Planilha1!B:E,4,0)</f>
        <v>-1.218192805504376</v>
      </c>
    </row>
    <row r="3238" spans="1:22" x14ac:dyDescent="0.3">
      <c r="A3238" t="str">
        <f t="shared" si="100"/>
        <v>LPI 25KGITAMBÉ</v>
      </c>
      <c r="B3238" t="str">
        <f t="shared" si="101"/>
        <v>5206787LPI 25KGITAMBÉ</v>
      </c>
      <c r="C3238" s="5" t="s">
        <v>149</v>
      </c>
      <c r="D3238" s="5" t="s">
        <v>210</v>
      </c>
      <c r="E3238" s="5" t="s">
        <v>210</v>
      </c>
      <c r="F3238" s="5">
        <v>5206787</v>
      </c>
      <c r="G3238" s="5" t="s">
        <v>1213</v>
      </c>
      <c r="H3238" s="5" t="s">
        <v>30</v>
      </c>
      <c r="I3238" s="5" t="s">
        <v>27</v>
      </c>
      <c r="J3238" s="5" t="s">
        <v>21</v>
      </c>
      <c r="K3238" s="6">
        <v>0</v>
      </c>
      <c r="L3238" s="7">
        <v>0</v>
      </c>
      <c r="M3238" s="7">
        <v>0</v>
      </c>
      <c r="N3238" s="8">
        <v>100</v>
      </c>
      <c r="O3238" s="8">
        <v>0</v>
      </c>
      <c r="P3238" s="8">
        <v>0</v>
      </c>
      <c r="Q3238" s="8">
        <v>0</v>
      </c>
      <c r="R3238" s="8">
        <v>0</v>
      </c>
      <c r="S3238" s="8">
        <v>0</v>
      </c>
      <c r="T3238" s="5">
        <v>0</v>
      </c>
      <c r="U3238" s="5">
        <v>0</v>
      </c>
      <c r="V3238" s="5">
        <f>VLOOKUP(A3238,Planilha1!B:E,4,0)</f>
        <v>-1.218192805504376</v>
      </c>
    </row>
    <row r="3239" spans="1:22" x14ac:dyDescent="0.3">
      <c r="A3239" t="str">
        <f t="shared" si="100"/>
        <v>LPI 25KGITAMBÉ</v>
      </c>
      <c r="B3239" t="str">
        <f t="shared" si="101"/>
        <v>5232803LPI 25KGITAMBÉ</v>
      </c>
      <c r="C3239" s="5" t="s">
        <v>16</v>
      </c>
      <c r="D3239" s="5" t="s">
        <v>17</v>
      </c>
      <c r="E3239" s="5" t="s">
        <v>44</v>
      </c>
      <c r="F3239" s="5">
        <v>5232803</v>
      </c>
      <c r="G3239" s="5" t="s">
        <v>1545</v>
      </c>
      <c r="H3239" s="5" t="s">
        <v>30</v>
      </c>
      <c r="I3239" s="5" t="s">
        <v>27</v>
      </c>
      <c r="J3239" s="5" t="s">
        <v>21</v>
      </c>
      <c r="K3239" s="6">
        <v>0</v>
      </c>
      <c r="L3239" s="7">
        <v>0</v>
      </c>
      <c r="M3239" s="7">
        <v>0</v>
      </c>
      <c r="N3239" s="8">
        <v>5000</v>
      </c>
      <c r="O3239" s="8">
        <v>0</v>
      </c>
      <c r="P3239" s="8">
        <v>0</v>
      </c>
      <c r="Q3239" s="8">
        <v>0</v>
      </c>
      <c r="R3239" s="8">
        <v>0</v>
      </c>
      <c r="S3239" s="8">
        <v>0</v>
      </c>
      <c r="T3239" s="5">
        <v>0</v>
      </c>
      <c r="U3239" s="5">
        <v>0</v>
      </c>
      <c r="V3239" s="5">
        <f>VLOOKUP(A3239,Planilha1!B:E,4,0)</f>
        <v>-1.218192805504376</v>
      </c>
    </row>
    <row r="3240" spans="1:22" x14ac:dyDescent="0.3">
      <c r="A3240" t="str">
        <f t="shared" si="100"/>
        <v>LPI 25KGITAMBÉ</v>
      </c>
      <c r="B3240" t="str">
        <f t="shared" si="101"/>
        <v>5318875LPI 25KGITAMBÉ</v>
      </c>
      <c r="C3240" s="5" t="s">
        <v>226</v>
      </c>
      <c r="D3240" s="5" t="s">
        <v>727</v>
      </c>
      <c r="E3240" s="5" t="s">
        <v>730</v>
      </c>
      <c r="F3240" s="5">
        <v>5318875</v>
      </c>
      <c r="G3240" s="5" t="s">
        <v>731</v>
      </c>
      <c r="H3240" s="5" t="s">
        <v>25</v>
      </c>
      <c r="I3240" s="5" t="s">
        <v>27</v>
      </c>
      <c r="J3240" s="5" t="s">
        <v>21</v>
      </c>
      <c r="K3240" s="6">
        <v>0</v>
      </c>
      <c r="L3240" s="7">
        <v>0</v>
      </c>
      <c r="M3240" s="7">
        <v>0</v>
      </c>
      <c r="N3240" s="8">
        <v>8.3333333333333339</v>
      </c>
      <c r="O3240" s="8">
        <v>0</v>
      </c>
      <c r="P3240" s="8">
        <v>0</v>
      </c>
      <c r="Q3240" s="8">
        <v>125</v>
      </c>
      <c r="R3240" s="8">
        <v>0</v>
      </c>
      <c r="S3240" s="8">
        <v>0</v>
      </c>
      <c r="T3240" s="5">
        <v>0</v>
      </c>
      <c r="U3240" s="5">
        <v>0</v>
      </c>
      <c r="V3240" s="5">
        <f>VLOOKUP(A3240,Planilha1!B:E,4,0)</f>
        <v>-1.218192805504376</v>
      </c>
    </row>
    <row r="3241" spans="1:22" x14ac:dyDescent="0.3">
      <c r="A3241" t="str">
        <f t="shared" si="100"/>
        <v>LPI 25KGITAMBÉ</v>
      </c>
      <c r="B3241" t="str">
        <f t="shared" si="101"/>
        <v>5341743LPI 25KGITAMBÉ</v>
      </c>
      <c r="C3241" s="5" t="s">
        <v>16</v>
      </c>
      <c r="D3241" s="5" t="s">
        <v>17</v>
      </c>
      <c r="E3241" s="5" t="s">
        <v>66</v>
      </c>
      <c r="F3241" s="5">
        <v>5341743</v>
      </c>
      <c r="G3241" s="5" t="s">
        <v>107</v>
      </c>
      <c r="H3241" s="5" t="s">
        <v>30</v>
      </c>
      <c r="I3241" s="5" t="s">
        <v>27</v>
      </c>
      <c r="J3241" s="5" t="s">
        <v>21</v>
      </c>
      <c r="K3241" s="6">
        <v>0</v>
      </c>
      <c r="L3241" s="7">
        <v>0</v>
      </c>
      <c r="M3241" s="7">
        <v>0</v>
      </c>
      <c r="N3241" s="8">
        <v>16666.666666666668</v>
      </c>
      <c r="O3241" s="8">
        <v>0</v>
      </c>
      <c r="P3241" s="8">
        <v>0</v>
      </c>
      <c r="Q3241" s="8">
        <v>0</v>
      </c>
      <c r="R3241" s="8">
        <v>0</v>
      </c>
      <c r="S3241" s="8">
        <v>0</v>
      </c>
      <c r="T3241" s="5">
        <v>0</v>
      </c>
      <c r="U3241" s="5">
        <v>0</v>
      </c>
      <c r="V3241" s="5">
        <f>VLOOKUP(A3241,Planilha1!B:E,4,0)</f>
        <v>-1.218192805504376</v>
      </c>
    </row>
    <row r="3242" spans="1:22" x14ac:dyDescent="0.3">
      <c r="A3242" t="str">
        <f t="shared" si="100"/>
        <v>LPI 25KGITAMBÉ</v>
      </c>
      <c r="B3242" t="str">
        <f t="shared" si="101"/>
        <v>5360926LPI 25KGITAMBÉ</v>
      </c>
      <c r="C3242" s="5" t="s">
        <v>16</v>
      </c>
      <c r="D3242" s="5" t="s">
        <v>17</v>
      </c>
      <c r="E3242" s="5" t="s">
        <v>44</v>
      </c>
      <c r="F3242" s="5">
        <v>5360926</v>
      </c>
      <c r="G3242" s="5" t="s">
        <v>1546</v>
      </c>
      <c r="H3242" s="5" t="s">
        <v>972</v>
      </c>
      <c r="I3242" s="5" t="s">
        <v>27</v>
      </c>
      <c r="J3242" s="5" t="s">
        <v>21</v>
      </c>
      <c r="K3242" s="6">
        <v>0</v>
      </c>
      <c r="L3242" s="7">
        <v>0</v>
      </c>
      <c r="M3242" s="7">
        <v>0</v>
      </c>
      <c r="N3242" s="8">
        <v>166.66666666666666</v>
      </c>
      <c r="O3242" s="8">
        <v>0</v>
      </c>
      <c r="P3242" s="8">
        <v>0</v>
      </c>
      <c r="Q3242" s="8">
        <v>0</v>
      </c>
      <c r="R3242" s="8">
        <v>0</v>
      </c>
      <c r="S3242" s="8">
        <v>0</v>
      </c>
      <c r="T3242" s="5">
        <v>0</v>
      </c>
      <c r="U3242" s="5">
        <v>0</v>
      </c>
      <c r="V3242" s="5">
        <f>VLOOKUP(A3242,Planilha1!B:E,4,0)</f>
        <v>-1.218192805504376</v>
      </c>
    </row>
    <row r="3243" spans="1:22" x14ac:dyDescent="0.3">
      <c r="A3243" t="str">
        <f t="shared" si="100"/>
        <v>LPI 25KGLACTALIS</v>
      </c>
      <c r="B3243" t="str">
        <f t="shared" si="101"/>
        <v>5010931LPI 25KGLACTALIS</v>
      </c>
      <c r="C3243" s="5" t="s">
        <v>16</v>
      </c>
      <c r="D3243" s="5" t="s">
        <v>53</v>
      </c>
      <c r="E3243" s="5" t="s">
        <v>54</v>
      </c>
      <c r="F3243" s="5">
        <v>5010931</v>
      </c>
      <c r="G3243" s="5" t="s">
        <v>1547</v>
      </c>
      <c r="H3243" s="5" t="s">
        <v>113</v>
      </c>
      <c r="I3243" s="5" t="s">
        <v>22</v>
      </c>
      <c r="J3243" s="5" t="s">
        <v>21</v>
      </c>
      <c r="K3243" s="6">
        <v>0</v>
      </c>
      <c r="L3243" s="7">
        <v>0</v>
      </c>
      <c r="M3243" s="7">
        <v>0</v>
      </c>
      <c r="N3243" s="8">
        <v>33.333333333333336</v>
      </c>
      <c r="O3243" s="8">
        <v>0</v>
      </c>
      <c r="P3243" s="8">
        <v>0</v>
      </c>
      <c r="Q3243" s="8">
        <v>0</v>
      </c>
      <c r="R3243" s="8">
        <v>0</v>
      </c>
      <c r="S3243" s="8">
        <v>0</v>
      </c>
      <c r="T3243" s="5">
        <v>0</v>
      </c>
      <c r="U3243" s="5">
        <v>0</v>
      </c>
      <c r="V3243" s="5">
        <f>VLOOKUP(A3243,Planilha1!B:E,4,0)</f>
        <v>-4.3046759024811481</v>
      </c>
    </row>
    <row r="3244" spans="1:22" x14ac:dyDescent="0.3">
      <c r="A3244" t="str">
        <f t="shared" si="100"/>
        <v>LPI 25KGLACTALIS</v>
      </c>
      <c r="B3244" t="str">
        <f t="shared" si="101"/>
        <v>5028282LPI 25KGLACTALIS</v>
      </c>
      <c r="C3244" s="5" t="s">
        <v>16</v>
      </c>
      <c r="D3244" s="5" t="s">
        <v>17</v>
      </c>
      <c r="E3244" s="5" t="s">
        <v>66</v>
      </c>
      <c r="F3244" s="5">
        <v>5028282</v>
      </c>
      <c r="G3244" s="5" t="s">
        <v>958</v>
      </c>
      <c r="H3244" s="5" t="s">
        <v>30</v>
      </c>
      <c r="I3244" s="5" t="s">
        <v>22</v>
      </c>
      <c r="J3244" s="5" t="s">
        <v>21</v>
      </c>
      <c r="K3244" s="6">
        <v>0</v>
      </c>
      <c r="L3244" s="7">
        <v>0</v>
      </c>
      <c r="M3244" s="7">
        <v>0</v>
      </c>
      <c r="N3244" s="8">
        <v>0</v>
      </c>
      <c r="O3244" s="8">
        <v>0</v>
      </c>
      <c r="P3244" s="8">
        <v>0</v>
      </c>
      <c r="Q3244" s="8">
        <v>0</v>
      </c>
      <c r="R3244" s="8">
        <v>0</v>
      </c>
      <c r="S3244" s="8">
        <v>0</v>
      </c>
      <c r="T3244" s="5">
        <v>0</v>
      </c>
      <c r="U3244" s="5">
        <v>0</v>
      </c>
      <c r="V3244" s="5">
        <f>VLOOKUP(A3244,Planilha1!B:E,4,0)</f>
        <v>-4.3046759024811481</v>
      </c>
    </row>
    <row r="3245" spans="1:22" x14ac:dyDescent="0.3">
      <c r="A3245" t="str">
        <f t="shared" si="100"/>
        <v>LPI 25KGLACTALIS</v>
      </c>
      <c r="B3245" t="str">
        <f t="shared" si="101"/>
        <v>5130557LPI 25KGLACTALIS</v>
      </c>
      <c r="C3245" s="5" t="s">
        <v>16</v>
      </c>
      <c r="D3245" s="5" t="s">
        <v>53</v>
      </c>
      <c r="E3245" s="5" t="s">
        <v>54</v>
      </c>
      <c r="F3245" s="5">
        <v>5130557</v>
      </c>
      <c r="G3245" s="5" t="s">
        <v>1548</v>
      </c>
      <c r="H3245" s="5" t="s">
        <v>113</v>
      </c>
      <c r="I3245" s="5" t="s">
        <v>22</v>
      </c>
      <c r="J3245" s="5" t="s">
        <v>21</v>
      </c>
      <c r="K3245" s="6">
        <v>0</v>
      </c>
      <c r="L3245" s="7">
        <v>0</v>
      </c>
      <c r="M3245" s="7">
        <v>0</v>
      </c>
      <c r="N3245" s="8">
        <v>750</v>
      </c>
      <c r="O3245" s="8">
        <v>0</v>
      </c>
      <c r="P3245" s="8">
        <v>0</v>
      </c>
      <c r="Q3245" s="8">
        <v>0</v>
      </c>
      <c r="R3245" s="8">
        <v>0</v>
      </c>
      <c r="S3245" s="8">
        <v>0</v>
      </c>
      <c r="T3245" s="5">
        <v>0</v>
      </c>
      <c r="U3245" s="5">
        <v>0</v>
      </c>
      <c r="V3245" s="5">
        <f>VLOOKUP(A3245,Planilha1!B:E,4,0)</f>
        <v>-4.3046759024811481</v>
      </c>
    </row>
    <row r="3246" spans="1:22" x14ac:dyDescent="0.3">
      <c r="A3246" t="str">
        <f t="shared" si="100"/>
        <v>LPI 25KGLACTALIS</v>
      </c>
      <c r="B3246" t="str">
        <f t="shared" si="101"/>
        <v>5138292LPI 25KGLACTALIS</v>
      </c>
      <c r="C3246" s="5" t="s">
        <v>16</v>
      </c>
      <c r="D3246" s="5" t="s">
        <v>53</v>
      </c>
      <c r="E3246" s="5" t="s">
        <v>54</v>
      </c>
      <c r="F3246" s="5">
        <v>5138292</v>
      </c>
      <c r="G3246" s="5" t="s">
        <v>993</v>
      </c>
      <c r="H3246" s="5" t="s">
        <v>88</v>
      </c>
      <c r="I3246" s="5" t="s">
        <v>22</v>
      </c>
      <c r="J3246" s="5" t="s">
        <v>21</v>
      </c>
      <c r="K3246" s="6">
        <v>0</v>
      </c>
      <c r="L3246" s="7">
        <v>0</v>
      </c>
      <c r="M3246" s="7">
        <v>0</v>
      </c>
      <c r="N3246" s="8">
        <v>16000</v>
      </c>
      <c r="O3246" s="8">
        <v>0</v>
      </c>
      <c r="P3246" s="8">
        <v>0</v>
      </c>
      <c r="Q3246" s="8">
        <v>0</v>
      </c>
      <c r="R3246" s="8">
        <v>0</v>
      </c>
      <c r="S3246" s="8">
        <v>0</v>
      </c>
      <c r="T3246" s="5">
        <v>0</v>
      </c>
      <c r="U3246" s="5">
        <v>0</v>
      </c>
      <c r="V3246" s="5">
        <f>VLOOKUP(A3246,Planilha1!B:E,4,0)</f>
        <v>-4.3046759024811481</v>
      </c>
    </row>
    <row r="3247" spans="1:22" x14ac:dyDescent="0.3">
      <c r="A3247" t="str">
        <f t="shared" si="100"/>
        <v>LPI 25KGLACTALIS</v>
      </c>
      <c r="B3247" t="str">
        <f t="shared" si="101"/>
        <v>5140560LPI 25KGLACTALIS</v>
      </c>
      <c r="C3247" s="5" t="s">
        <v>16</v>
      </c>
      <c r="D3247" s="5" t="s">
        <v>17</v>
      </c>
      <c r="E3247" s="5" t="s">
        <v>66</v>
      </c>
      <c r="F3247" s="5">
        <v>5140560</v>
      </c>
      <c r="G3247" s="5" t="s">
        <v>90</v>
      </c>
      <c r="H3247" s="5" t="s">
        <v>91</v>
      </c>
      <c r="I3247" s="5" t="s">
        <v>22</v>
      </c>
      <c r="J3247" s="5" t="s">
        <v>21</v>
      </c>
      <c r="K3247" s="6">
        <v>0</v>
      </c>
      <c r="L3247" s="7">
        <v>0</v>
      </c>
      <c r="M3247" s="7">
        <v>0</v>
      </c>
      <c r="N3247" s="8">
        <v>33333.333333333336</v>
      </c>
      <c r="O3247" s="8">
        <v>0</v>
      </c>
      <c r="P3247" s="8">
        <v>0</v>
      </c>
      <c r="Q3247" s="8">
        <v>0</v>
      </c>
      <c r="R3247" s="8">
        <v>0</v>
      </c>
      <c r="S3247" s="8">
        <v>0</v>
      </c>
      <c r="T3247" s="5">
        <v>0</v>
      </c>
      <c r="U3247" s="5">
        <v>0</v>
      </c>
      <c r="V3247" s="5">
        <f>VLOOKUP(A3247,Planilha1!B:E,4,0)</f>
        <v>-4.3046759024811481</v>
      </c>
    </row>
    <row r="3248" spans="1:22" x14ac:dyDescent="0.3">
      <c r="A3248" t="str">
        <f t="shared" si="100"/>
        <v>LPI 25KGLACTALIS</v>
      </c>
      <c r="B3248" t="str">
        <f t="shared" si="101"/>
        <v>5317967LPI 25KGLACTALIS</v>
      </c>
      <c r="C3248" s="5" t="s">
        <v>16</v>
      </c>
      <c r="D3248" s="5" t="s">
        <v>17</v>
      </c>
      <c r="E3248" s="5" t="s">
        <v>66</v>
      </c>
      <c r="F3248" s="5">
        <v>5317967</v>
      </c>
      <c r="G3248" s="5" t="s">
        <v>1549</v>
      </c>
      <c r="H3248" s="5" t="s">
        <v>110</v>
      </c>
      <c r="I3248" s="5" t="s">
        <v>22</v>
      </c>
      <c r="J3248" s="5" t="s">
        <v>21</v>
      </c>
      <c r="K3248" s="6">
        <v>0</v>
      </c>
      <c r="L3248" s="7">
        <v>0</v>
      </c>
      <c r="M3248" s="7">
        <v>0</v>
      </c>
      <c r="N3248" s="8">
        <v>8333.3333333333339</v>
      </c>
      <c r="O3248" s="8">
        <v>0</v>
      </c>
      <c r="P3248" s="8">
        <v>0</v>
      </c>
      <c r="Q3248" s="8">
        <v>0</v>
      </c>
      <c r="R3248" s="8">
        <v>0</v>
      </c>
      <c r="S3248" s="8">
        <v>0</v>
      </c>
      <c r="T3248" s="5">
        <v>0</v>
      </c>
      <c r="U3248" s="5">
        <v>0</v>
      </c>
      <c r="V3248" s="5">
        <f>VLOOKUP(A3248,Planilha1!B:E,4,0)</f>
        <v>-4.3046759024811481</v>
      </c>
    </row>
    <row r="3249" spans="1:22" x14ac:dyDescent="0.3">
      <c r="A3249" t="str">
        <f t="shared" si="100"/>
        <v>LPI 25KGLACTALIS</v>
      </c>
      <c r="B3249" t="str">
        <f t="shared" si="101"/>
        <v>5331354LPI 25KGLACTALIS</v>
      </c>
      <c r="C3249" s="5" t="s">
        <v>16</v>
      </c>
      <c r="D3249" s="5" t="s">
        <v>53</v>
      </c>
      <c r="E3249" s="5" t="s">
        <v>54</v>
      </c>
      <c r="F3249" s="5">
        <v>5331354</v>
      </c>
      <c r="G3249" s="5" t="s">
        <v>144</v>
      </c>
      <c r="H3249" s="5" t="s">
        <v>30</v>
      </c>
      <c r="I3249" s="5" t="s">
        <v>22</v>
      </c>
      <c r="J3249" s="5" t="s">
        <v>21</v>
      </c>
      <c r="K3249" s="6">
        <v>0</v>
      </c>
      <c r="L3249" s="7">
        <v>0</v>
      </c>
      <c r="M3249" s="7">
        <v>0</v>
      </c>
      <c r="N3249" s="8">
        <v>3933.3333333333335</v>
      </c>
      <c r="O3249" s="8">
        <v>0</v>
      </c>
      <c r="P3249" s="8">
        <v>0</v>
      </c>
      <c r="Q3249" s="8">
        <v>0</v>
      </c>
      <c r="R3249" s="8">
        <v>0</v>
      </c>
      <c r="S3249" s="8">
        <v>0</v>
      </c>
      <c r="T3249" s="5">
        <v>0</v>
      </c>
      <c r="U3249" s="5">
        <v>0</v>
      </c>
      <c r="V3249" s="5">
        <f>VLOOKUP(A3249,Planilha1!B:E,4,0)</f>
        <v>-4.3046759024811481</v>
      </c>
    </row>
    <row r="3250" spans="1:22" x14ac:dyDescent="0.3">
      <c r="A3250" t="str">
        <f t="shared" si="100"/>
        <v>LPI 25KGLACTALIS</v>
      </c>
      <c r="B3250" t="str">
        <f t="shared" si="101"/>
        <v>5361107LPI 25KGLACTALIS</v>
      </c>
      <c r="C3250" s="5" t="s">
        <v>16</v>
      </c>
      <c r="D3250" s="5" t="s">
        <v>17</v>
      </c>
      <c r="E3250" s="5" t="s">
        <v>18</v>
      </c>
      <c r="F3250" s="5">
        <v>5361107</v>
      </c>
      <c r="G3250" s="5" t="s">
        <v>1550</v>
      </c>
      <c r="H3250" s="5" t="s">
        <v>101</v>
      </c>
      <c r="I3250" s="5" t="s">
        <v>22</v>
      </c>
      <c r="J3250" s="5" t="s">
        <v>21</v>
      </c>
      <c r="K3250" s="6">
        <v>0</v>
      </c>
      <c r="L3250" s="7">
        <v>0</v>
      </c>
      <c r="M3250" s="7">
        <v>0</v>
      </c>
      <c r="N3250" s="8">
        <v>16666.666666666668</v>
      </c>
      <c r="O3250" s="8">
        <v>0</v>
      </c>
      <c r="P3250" s="8">
        <v>0</v>
      </c>
      <c r="Q3250" s="8">
        <v>0</v>
      </c>
      <c r="R3250" s="8">
        <v>0</v>
      </c>
      <c r="S3250" s="8">
        <v>0</v>
      </c>
      <c r="T3250" s="5">
        <v>0</v>
      </c>
      <c r="U3250" s="5">
        <v>0</v>
      </c>
      <c r="V3250" s="5">
        <f>VLOOKUP(A3250,Planilha1!B:E,4,0)</f>
        <v>-4.3046759024811481</v>
      </c>
    </row>
    <row r="3251" spans="1:22" x14ac:dyDescent="0.3">
      <c r="A3251" t="str">
        <f t="shared" si="100"/>
        <v>MANTEIGA 25KGLACTALIS</v>
      </c>
      <c r="B3251" t="str">
        <f t="shared" si="101"/>
        <v>5026855MANTEIGA 25KGLACTALIS</v>
      </c>
      <c r="C3251" s="5" t="s">
        <v>16</v>
      </c>
      <c r="D3251" s="5" t="s">
        <v>17</v>
      </c>
      <c r="E3251" s="5" t="s">
        <v>44</v>
      </c>
      <c r="F3251" s="5">
        <v>5026855</v>
      </c>
      <c r="G3251" s="5" t="s">
        <v>47</v>
      </c>
      <c r="H3251" s="5" t="s">
        <v>25</v>
      </c>
      <c r="I3251" s="5" t="s">
        <v>22</v>
      </c>
      <c r="J3251" s="5" t="s">
        <v>92</v>
      </c>
      <c r="K3251" s="6">
        <v>0</v>
      </c>
      <c r="L3251" s="7">
        <v>0</v>
      </c>
      <c r="M3251" s="7">
        <v>0</v>
      </c>
      <c r="N3251" s="8">
        <v>8853.3333333333339</v>
      </c>
      <c r="O3251" s="8">
        <v>0</v>
      </c>
      <c r="P3251" s="8">
        <v>0</v>
      </c>
      <c r="Q3251" s="8">
        <v>0</v>
      </c>
      <c r="R3251" s="8">
        <v>0</v>
      </c>
      <c r="S3251" s="8">
        <v>0</v>
      </c>
      <c r="T3251" s="5">
        <v>0</v>
      </c>
      <c r="U3251" s="5">
        <v>0</v>
      </c>
      <c r="V3251" s="5">
        <f>VLOOKUP(A3251,Planilha1!B:E,4,0)</f>
        <v>-1.2278576950723545</v>
      </c>
    </row>
    <row r="3252" spans="1:22" x14ac:dyDescent="0.3">
      <c r="A3252" t="str">
        <f t="shared" si="100"/>
        <v>MANTEIGA 5KGITAMBÉ</v>
      </c>
      <c r="B3252" t="str">
        <f t="shared" si="101"/>
        <v>5026855MANTEIGA 5KGITAMBÉ</v>
      </c>
      <c r="C3252" s="5" t="s">
        <v>16</v>
      </c>
      <c r="D3252" s="5" t="s">
        <v>17</v>
      </c>
      <c r="E3252" s="5" t="s">
        <v>44</v>
      </c>
      <c r="F3252" s="5">
        <v>5026855</v>
      </c>
      <c r="G3252" s="5" t="s">
        <v>47</v>
      </c>
      <c r="H3252" s="5" t="s">
        <v>25</v>
      </c>
      <c r="I3252" s="5" t="s">
        <v>27</v>
      </c>
      <c r="J3252" s="5" t="s">
        <v>60</v>
      </c>
      <c r="K3252" s="6">
        <v>0</v>
      </c>
      <c r="L3252" s="7">
        <v>0</v>
      </c>
      <c r="M3252" s="7">
        <v>0</v>
      </c>
      <c r="N3252" s="8">
        <v>148.33333333333334</v>
      </c>
      <c r="O3252" s="8">
        <v>0</v>
      </c>
      <c r="P3252" s="8">
        <v>0</v>
      </c>
      <c r="Q3252" s="8">
        <v>0</v>
      </c>
      <c r="R3252" s="8">
        <v>0</v>
      </c>
      <c r="S3252" s="8">
        <v>0</v>
      </c>
      <c r="T3252" s="5">
        <v>0</v>
      </c>
      <c r="U3252" s="5">
        <v>0</v>
      </c>
      <c r="V3252" s="5">
        <f>VLOOKUP(A3252,Planilha1!B:E,4,0)</f>
        <v>5.819800475298738</v>
      </c>
    </row>
    <row r="3253" spans="1:22" x14ac:dyDescent="0.3">
      <c r="A3253" t="str">
        <f t="shared" si="100"/>
        <v>MANTEIGA 5KGITAMBÉ</v>
      </c>
      <c r="B3253" t="str">
        <f t="shared" si="101"/>
        <v>5131101MANTEIGA 5KGITAMBÉ</v>
      </c>
      <c r="C3253" s="5" t="s">
        <v>226</v>
      </c>
      <c r="D3253" s="5" t="s">
        <v>815</v>
      </c>
      <c r="E3253" s="5" t="s">
        <v>816</v>
      </c>
      <c r="F3253" s="5">
        <v>5131101</v>
      </c>
      <c r="G3253" s="5" t="s">
        <v>824</v>
      </c>
      <c r="H3253" s="5" t="s">
        <v>30</v>
      </c>
      <c r="I3253" s="5" t="s">
        <v>27</v>
      </c>
      <c r="J3253" s="5" t="s">
        <v>60</v>
      </c>
      <c r="K3253" s="6">
        <v>0</v>
      </c>
      <c r="L3253" s="7">
        <v>0</v>
      </c>
      <c r="M3253" s="7">
        <v>0</v>
      </c>
      <c r="N3253" s="8">
        <v>5</v>
      </c>
      <c r="O3253" s="8">
        <v>0</v>
      </c>
      <c r="P3253" s="8">
        <v>0</v>
      </c>
      <c r="Q3253" s="8">
        <v>0</v>
      </c>
      <c r="R3253" s="8">
        <v>0</v>
      </c>
      <c r="S3253" s="8">
        <v>150</v>
      </c>
      <c r="T3253" s="5">
        <v>0</v>
      </c>
      <c r="U3253" s="5">
        <v>0</v>
      </c>
      <c r="V3253" s="5">
        <f>VLOOKUP(A3253,Planilha1!B:E,4,0)</f>
        <v>5.819800475298738</v>
      </c>
    </row>
    <row r="3254" spans="1:22" x14ac:dyDescent="0.3">
      <c r="A3254" t="str">
        <f t="shared" si="100"/>
        <v>MANTEIGA 5KGITAMBÉ</v>
      </c>
      <c r="B3254" t="str">
        <f t="shared" si="101"/>
        <v>5131510MANTEIGA 5KGITAMBÉ</v>
      </c>
      <c r="C3254" s="5" t="s">
        <v>226</v>
      </c>
      <c r="D3254" s="5" t="s">
        <v>903</v>
      </c>
      <c r="E3254" s="5" t="s">
        <v>904</v>
      </c>
      <c r="F3254" s="5">
        <v>5131510</v>
      </c>
      <c r="G3254" s="5" t="s">
        <v>1513</v>
      </c>
      <c r="H3254" s="5" t="s">
        <v>113</v>
      </c>
      <c r="I3254" s="5" t="s">
        <v>27</v>
      </c>
      <c r="J3254" s="5" t="s">
        <v>60</v>
      </c>
      <c r="K3254" s="6">
        <v>0</v>
      </c>
      <c r="L3254" s="7">
        <v>0</v>
      </c>
      <c r="M3254" s="7">
        <v>0</v>
      </c>
      <c r="N3254" s="8">
        <v>1.6666666666666667</v>
      </c>
      <c r="O3254" s="8">
        <v>0</v>
      </c>
      <c r="P3254" s="8">
        <v>0</v>
      </c>
      <c r="Q3254" s="8">
        <v>5</v>
      </c>
      <c r="R3254" s="8">
        <v>0</v>
      </c>
      <c r="S3254" s="8">
        <v>1.6666666666666667</v>
      </c>
      <c r="T3254" s="5">
        <v>1.6666666666666667</v>
      </c>
      <c r="U3254" s="5">
        <v>1.6666666666666667</v>
      </c>
      <c r="V3254" s="5">
        <f>VLOOKUP(A3254,Planilha1!B:E,4,0)</f>
        <v>5.819800475298738</v>
      </c>
    </row>
    <row r="3255" spans="1:22" x14ac:dyDescent="0.3">
      <c r="A3255" t="str">
        <f t="shared" si="100"/>
        <v>MANTEIGA 5KGITAMBÉ</v>
      </c>
      <c r="B3255" t="str">
        <f t="shared" si="101"/>
        <v>5147016MANTEIGA 5KGITAMBÉ</v>
      </c>
      <c r="C3255" s="5" t="s">
        <v>226</v>
      </c>
      <c r="D3255" s="5" t="s">
        <v>903</v>
      </c>
      <c r="E3255" s="5" t="s">
        <v>904</v>
      </c>
      <c r="F3255" s="5">
        <v>5147016</v>
      </c>
      <c r="G3255" s="5" t="s">
        <v>918</v>
      </c>
      <c r="H3255" s="5" t="s">
        <v>113</v>
      </c>
      <c r="I3255" s="5" t="s">
        <v>27</v>
      </c>
      <c r="J3255" s="5" t="s">
        <v>60</v>
      </c>
      <c r="K3255" s="6">
        <v>0</v>
      </c>
      <c r="L3255" s="7">
        <v>0</v>
      </c>
      <c r="M3255" s="7">
        <v>0</v>
      </c>
      <c r="N3255" s="8">
        <v>16.666666666666668</v>
      </c>
      <c r="O3255" s="8">
        <v>0</v>
      </c>
      <c r="P3255" s="8">
        <v>0</v>
      </c>
      <c r="Q3255" s="8">
        <v>0</v>
      </c>
      <c r="R3255" s="8">
        <v>0</v>
      </c>
      <c r="S3255" s="8">
        <v>0</v>
      </c>
      <c r="T3255" s="5">
        <v>0</v>
      </c>
      <c r="U3255" s="5">
        <v>16.666666666666668</v>
      </c>
      <c r="V3255" s="5">
        <f>VLOOKUP(A3255,Planilha1!B:E,4,0)</f>
        <v>5.819800475298738</v>
      </c>
    </row>
    <row r="3256" spans="1:22" x14ac:dyDescent="0.3">
      <c r="A3256" t="str">
        <f t="shared" si="100"/>
        <v>MANTEIGA 5KGITAMBÉ</v>
      </c>
      <c r="B3256" t="str">
        <f t="shared" si="101"/>
        <v>5148812MANTEIGA 5KGITAMBÉ</v>
      </c>
      <c r="C3256" s="5" t="s">
        <v>149</v>
      </c>
      <c r="D3256" s="5" t="s">
        <v>150</v>
      </c>
      <c r="E3256" s="5" t="s">
        <v>186</v>
      </c>
      <c r="F3256" s="5">
        <v>5148812</v>
      </c>
      <c r="G3256" s="5" t="s">
        <v>1551</v>
      </c>
      <c r="H3256" s="5" t="s">
        <v>32</v>
      </c>
      <c r="I3256" s="5" t="s">
        <v>27</v>
      </c>
      <c r="J3256" s="5" t="s">
        <v>60</v>
      </c>
      <c r="K3256" s="6">
        <v>0</v>
      </c>
      <c r="L3256" s="7">
        <v>0</v>
      </c>
      <c r="M3256" s="7">
        <v>0</v>
      </c>
      <c r="N3256" s="8">
        <v>0</v>
      </c>
      <c r="O3256" s="8">
        <v>0</v>
      </c>
      <c r="P3256" s="8">
        <v>0</v>
      </c>
      <c r="Q3256" s="8">
        <v>0</v>
      </c>
      <c r="R3256" s="8">
        <v>0</v>
      </c>
      <c r="S3256" s="8">
        <v>0</v>
      </c>
      <c r="T3256" s="5">
        <v>0</v>
      </c>
      <c r="U3256" s="5">
        <v>110</v>
      </c>
      <c r="V3256" s="5">
        <f>VLOOKUP(A3256,Planilha1!B:E,4,0)</f>
        <v>5.819800475298738</v>
      </c>
    </row>
    <row r="3257" spans="1:22" x14ac:dyDescent="0.3">
      <c r="A3257" t="str">
        <f t="shared" si="100"/>
        <v>MANTEIGA 5KGITAMBÉ</v>
      </c>
      <c r="B3257" t="str">
        <f t="shared" si="101"/>
        <v>5182318MANTEIGA 5KGITAMBÉ</v>
      </c>
      <c r="C3257" s="5" t="s">
        <v>226</v>
      </c>
      <c r="D3257" s="5" t="s">
        <v>833</v>
      </c>
      <c r="E3257" s="5" t="s">
        <v>875</v>
      </c>
      <c r="F3257" s="5">
        <v>5182318</v>
      </c>
      <c r="G3257" s="5" t="s">
        <v>1514</v>
      </c>
      <c r="H3257" s="5" t="s">
        <v>91</v>
      </c>
      <c r="I3257" s="5" t="s">
        <v>27</v>
      </c>
      <c r="J3257" s="5" t="s">
        <v>60</v>
      </c>
      <c r="K3257" s="6">
        <v>0</v>
      </c>
      <c r="L3257" s="7">
        <v>0</v>
      </c>
      <c r="M3257" s="7">
        <v>0</v>
      </c>
      <c r="N3257" s="8">
        <v>26.666666666666668</v>
      </c>
      <c r="O3257" s="8">
        <v>0</v>
      </c>
      <c r="P3257" s="8">
        <v>0</v>
      </c>
      <c r="Q3257" s="8">
        <v>0</v>
      </c>
      <c r="R3257" s="8">
        <v>0</v>
      </c>
      <c r="S3257" s="8">
        <v>80</v>
      </c>
      <c r="T3257" s="5">
        <v>80</v>
      </c>
      <c r="U3257" s="5">
        <v>26.666666666666668</v>
      </c>
      <c r="V3257" s="5">
        <f>VLOOKUP(A3257,Planilha1!B:E,4,0)</f>
        <v>5.819800475298738</v>
      </c>
    </row>
    <row r="3258" spans="1:22" x14ac:dyDescent="0.3">
      <c r="A3258" t="str">
        <f t="shared" si="100"/>
        <v>MANTEIGA 5KGITAMBÉ</v>
      </c>
      <c r="B3258" t="str">
        <f t="shared" si="101"/>
        <v>5226531MANTEIGA 5KGITAMBÉ</v>
      </c>
      <c r="C3258" s="5" t="s">
        <v>226</v>
      </c>
      <c r="D3258" s="5" t="s">
        <v>752</v>
      </c>
      <c r="E3258" s="5" t="s">
        <v>767</v>
      </c>
      <c r="F3258" s="5">
        <v>5226531</v>
      </c>
      <c r="G3258" s="5" t="s">
        <v>770</v>
      </c>
      <c r="H3258" s="5" t="s">
        <v>154</v>
      </c>
      <c r="I3258" s="5" t="s">
        <v>27</v>
      </c>
      <c r="J3258" s="5" t="s">
        <v>60</v>
      </c>
      <c r="K3258" s="6">
        <v>0</v>
      </c>
      <c r="L3258" s="7">
        <v>0</v>
      </c>
      <c r="M3258" s="7">
        <v>0</v>
      </c>
      <c r="N3258" s="8">
        <v>33.333333333333336</v>
      </c>
      <c r="O3258" s="8">
        <v>0</v>
      </c>
      <c r="P3258" s="8">
        <v>0</v>
      </c>
      <c r="Q3258" s="8">
        <v>0</v>
      </c>
      <c r="R3258" s="8">
        <v>0</v>
      </c>
      <c r="S3258" s="8">
        <v>250</v>
      </c>
      <c r="T3258" s="5">
        <v>250</v>
      </c>
      <c r="U3258" s="5">
        <v>0</v>
      </c>
      <c r="V3258" s="5">
        <f>VLOOKUP(A3258,Planilha1!B:E,4,0)</f>
        <v>5.819800475298738</v>
      </c>
    </row>
    <row r="3259" spans="1:22" x14ac:dyDescent="0.3">
      <c r="A3259" t="str">
        <f t="shared" si="100"/>
        <v>MANTEIGA 5KGITAMBÉ</v>
      </c>
      <c r="B3259" t="str">
        <f t="shared" si="101"/>
        <v>5227266MANTEIGA 5KGITAMBÉ</v>
      </c>
      <c r="C3259" s="5" t="s">
        <v>149</v>
      </c>
      <c r="D3259" s="5" t="s">
        <v>150</v>
      </c>
      <c r="E3259" s="5" t="s">
        <v>186</v>
      </c>
      <c r="F3259" s="5">
        <v>5227266</v>
      </c>
      <c r="G3259" s="5" t="s">
        <v>1552</v>
      </c>
      <c r="H3259" s="5" t="s">
        <v>91</v>
      </c>
      <c r="I3259" s="5" t="s">
        <v>27</v>
      </c>
      <c r="J3259" s="5" t="s">
        <v>60</v>
      </c>
      <c r="K3259" s="6">
        <v>0</v>
      </c>
      <c r="L3259" s="7">
        <v>0</v>
      </c>
      <c r="M3259" s="7">
        <v>0</v>
      </c>
      <c r="N3259" s="8">
        <v>0</v>
      </c>
      <c r="O3259" s="8">
        <v>0</v>
      </c>
      <c r="P3259" s="8">
        <v>0</v>
      </c>
      <c r="Q3259" s="8">
        <v>0</v>
      </c>
      <c r="R3259" s="8">
        <v>0</v>
      </c>
      <c r="S3259" s="8">
        <v>0</v>
      </c>
      <c r="T3259" s="5">
        <v>0</v>
      </c>
      <c r="U3259" s="5">
        <v>0</v>
      </c>
      <c r="V3259" s="5">
        <f>VLOOKUP(A3259,Planilha1!B:E,4,0)</f>
        <v>5.819800475298738</v>
      </c>
    </row>
    <row r="3260" spans="1:22" x14ac:dyDescent="0.3">
      <c r="A3260" t="str">
        <f t="shared" si="100"/>
        <v>MANTEIGA 5KGITAMBÉ</v>
      </c>
      <c r="B3260" t="str">
        <f t="shared" si="101"/>
        <v>5231829MANTEIGA 5KGITAMBÉ</v>
      </c>
      <c r="C3260" s="5" t="s">
        <v>226</v>
      </c>
      <c r="D3260" s="5" t="s">
        <v>727</v>
      </c>
      <c r="E3260" s="5" t="s">
        <v>733</v>
      </c>
      <c r="F3260" s="5">
        <v>5231829</v>
      </c>
      <c r="G3260" s="5" t="s">
        <v>1553</v>
      </c>
      <c r="H3260" s="5" t="s">
        <v>25</v>
      </c>
      <c r="I3260" s="5" t="s">
        <v>27</v>
      </c>
      <c r="J3260" s="5" t="s">
        <v>60</v>
      </c>
      <c r="K3260" s="6">
        <v>0</v>
      </c>
      <c r="L3260" s="7">
        <v>0</v>
      </c>
      <c r="M3260" s="7">
        <v>0</v>
      </c>
      <c r="N3260" s="8">
        <v>100</v>
      </c>
      <c r="O3260" s="8">
        <v>0</v>
      </c>
      <c r="P3260" s="8">
        <v>0</v>
      </c>
      <c r="Q3260" s="8">
        <v>0</v>
      </c>
      <c r="R3260" s="8">
        <v>0</v>
      </c>
      <c r="S3260" s="8">
        <v>150</v>
      </c>
      <c r="T3260" s="5">
        <v>200</v>
      </c>
      <c r="U3260" s="5">
        <v>0</v>
      </c>
      <c r="V3260" s="5">
        <f>VLOOKUP(A3260,Planilha1!B:E,4,0)</f>
        <v>5.819800475298738</v>
      </c>
    </row>
    <row r="3261" spans="1:22" x14ac:dyDescent="0.3">
      <c r="A3261" t="str">
        <f t="shared" si="100"/>
        <v>MANTEIGA 5KGITAMBÉ</v>
      </c>
      <c r="B3261" t="str">
        <f t="shared" si="101"/>
        <v>5259915MANTEIGA 5KGITAMBÉ</v>
      </c>
      <c r="C3261" s="5" t="s">
        <v>226</v>
      </c>
      <c r="D3261" s="5" t="s">
        <v>227</v>
      </c>
      <c r="E3261" s="5" t="s">
        <v>703</v>
      </c>
      <c r="F3261" s="5">
        <v>5259915</v>
      </c>
      <c r="G3261" s="5" t="s">
        <v>720</v>
      </c>
      <c r="H3261" s="5" t="s">
        <v>30</v>
      </c>
      <c r="I3261" s="5" t="s">
        <v>27</v>
      </c>
      <c r="J3261" s="5" t="s">
        <v>60</v>
      </c>
      <c r="K3261" s="6">
        <v>0</v>
      </c>
      <c r="L3261" s="7">
        <v>0</v>
      </c>
      <c r="M3261" s="7">
        <v>0</v>
      </c>
      <c r="N3261" s="8">
        <v>16.666666666666668</v>
      </c>
      <c r="O3261" s="8">
        <v>0</v>
      </c>
      <c r="P3261" s="8">
        <v>0</v>
      </c>
      <c r="Q3261" s="8">
        <v>0</v>
      </c>
      <c r="R3261" s="8">
        <v>0</v>
      </c>
      <c r="S3261" s="8">
        <v>0</v>
      </c>
      <c r="T3261" s="5">
        <v>0</v>
      </c>
      <c r="U3261" s="5">
        <v>0</v>
      </c>
      <c r="V3261" s="5">
        <f>VLOOKUP(A3261,Planilha1!B:E,4,0)</f>
        <v>5.819800475298738</v>
      </c>
    </row>
    <row r="3262" spans="1:22" x14ac:dyDescent="0.3">
      <c r="A3262" t="str">
        <f t="shared" si="100"/>
        <v>MANTEIGA 5KGITAMBÉ</v>
      </c>
      <c r="B3262" t="str">
        <f t="shared" si="101"/>
        <v>5294395MANTEIGA 5KGITAMBÉ</v>
      </c>
      <c r="C3262" s="5" t="s">
        <v>149</v>
      </c>
      <c r="D3262" s="5" t="s">
        <v>150</v>
      </c>
      <c r="E3262" s="5" t="s">
        <v>186</v>
      </c>
      <c r="F3262" s="5">
        <v>5294395</v>
      </c>
      <c r="G3262" s="5" t="s">
        <v>1554</v>
      </c>
      <c r="H3262" s="5" t="s">
        <v>103</v>
      </c>
      <c r="I3262" s="5" t="s">
        <v>27</v>
      </c>
      <c r="J3262" s="5" t="s">
        <v>60</v>
      </c>
      <c r="K3262" s="6">
        <v>0</v>
      </c>
      <c r="L3262" s="7">
        <v>0</v>
      </c>
      <c r="M3262" s="7">
        <v>0</v>
      </c>
      <c r="N3262" s="8">
        <v>0</v>
      </c>
      <c r="O3262" s="8">
        <v>0</v>
      </c>
      <c r="P3262" s="8">
        <v>0</v>
      </c>
      <c r="Q3262" s="8">
        <v>0</v>
      </c>
      <c r="R3262" s="8">
        <v>0</v>
      </c>
      <c r="S3262" s="8">
        <v>0</v>
      </c>
      <c r="T3262" s="5">
        <v>0</v>
      </c>
      <c r="U3262" s="5">
        <v>50</v>
      </c>
      <c r="V3262" s="5">
        <f>VLOOKUP(A3262,Planilha1!B:E,4,0)</f>
        <v>5.819800475298738</v>
      </c>
    </row>
    <row r="3263" spans="1:22" x14ac:dyDescent="0.3">
      <c r="A3263" t="str">
        <f t="shared" si="100"/>
        <v>MANTEIGA 5KGITAMBÉ</v>
      </c>
      <c r="B3263" t="str">
        <f t="shared" si="101"/>
        <v>5340614MANTEIGA 5KGITAMBÉ</v>
      </c>
      <c r="C3263" s="5" t="s">
        <v>16</v>
      </c>
      <c r="D3263" s="5" t="s">
        <v>17</v>
      </c>
      <c r="E3263" s="5" t="s">
        <v>44</v>
      </c>
      <c r="F3263" s="5">
        <v>5340614</v>
      </c>
      <c r="G3263" s="5" t="s">
        <v>1218</v>
      </c>
      <c r="H3263" s="5" t="s">
        <v>25</v>
      </c>
      <c r="I3263" s="5" t="s">
        <v>27</v>
      </c>
      <c r="J3263" s="5" t="s">
        <v>60</v>
      </c>
      <c r="K3263" s="6">
        <v>0</v>
      </c>
      <c r="L3263" s="7">
        <v>0</v>
      </c>
      <c r="M3263" s="7">
        <v>0</v>
      </c>
      <c r="N3263" s="8">
        <v>23.333333333333332</v>
      </c>
      <c r="O3263" s="8">
        <v>0</v>
      </c>
      <c r="P3263" s="8">
        <v>0</v>
      </c>
      <c r="Q3263" s="8">
        <v>0</v>
      </c>
      <c r="R3263" s="8">
        <v>0</v>
      </c>
      <c r="S3263" s="8">
        <v>0</v>
      </c>
      <c r="T3263" s="5">
        <v>0</v>
      </c>
      <c r="U3263" s="5">
        <v>0</v>
      </c>
      <c r="V3263" s="5">
        <f>VLOOKUP(A3263,Planilha1!B:E,4,0)</f>
        <v>5.819800475298738</v>
      </c>
    </row>
    <row r="3264" spans="1:22" x14ac:dyDescent="0.3">
      <c r="A3264" t="str">
        <f t="shared" si="100"/>
        <v>MANTEIGA 5KGITAMBÉ</v>
      </c>
      <c r="B3264" t="str">
        <f t="shared" si="101"/>
        <v>5351861MANTEIGA 5KGITAMBÉ</v>
      </c>
      <c r="C3264" s="5" t="s">
        <v>149</v>
      </c>
      <c r="D3264" s="5" t="s">
        <v>150</v>
      </c>
      <c r="E3264" s="5" t="s">
        <v>186</v>
      </c>
      <c r="F3264" s="5">
        <v>5351861</v>
      </c>
      <c r="G3264" s="5" t="s">
        <v>1555</v>
      </c>
      <c r="H3264" s="5" t="s">
        <v>30</v>
      </c>
      <c r="I3264" s="5" t="s">
        <v>27</v>
      </c>
      <c r="J3264" s="5" t="s">
        <v>60</v>
      </c>
      <c r="K3264" s="6">
        <v>0</v>
      </c>
      <c r="L3264" s="7">
        <v>0</v>
      </c>
      <c r="M3264" s="7">
        <v>0</v>
      </c>
      <c r="N3264" s="8">
        <v>0</v>
      </c>
      <c r="O3264" s="8">
        <v>0</v>
      </c>
      <c r="P3264" s="8">
        <v>0</v>
      </c>
      <c r="Q3264" s="8">
        <v>130</v>
      </c>
      <c r="R3264" s="8">
        <v>0</v>
      </c>
      <c r="S3264" s="8">
        <v>0</v>
      </c>
      <c r="T3264" s="5">
        <v>0</v>
      </c>
      <c r="U3264" s="5">
        <v>80</v>
      </c>
      <c r="V3264" s="5">
        <f>VLOOKUP(A3264,Planilha1!B:E,4,0)</f>
        <v>5.819800475298738</v>
      </c>
    </row>
    <row r="3265" spans="1:22" x14ac:dyDescent="0.3">
      <c r="A3265" t="str">
        <f t="shared" si="100"/>
        <v>MANTEIGA 5KGITAMBÉ</v>
      </c>
      <c r="B3265" t="str">
        <f t="shared" si="101"/>
        <v>5359623MANTEIGA 5KGITAMBÉ</v>
      </c>
      <c r="C3265" s="5" t="s">
        <v>226</v>
      </c>
      <c r="D3265" s="5" t="s">
        <v>797</v>
      </c>
      <c r="E3265" s="5" t="s">
        <v>753</v>
      </c>
      <c r="F3265" s="5">
        <v>5359623</v>
      </c>
      <c r="G3265" s="5" t="s">
        <v>1444</v>
      </c>
      <c r="H3265" s="5" t="s">
        <v>20</v>
      </c>
      <c r="I3265" s="5" t="s">
        <v>27</v>
      </c>
      <c r="J3265" s="5" t="s">
        <v>60</v>
      </c>
      <c r="K3265" s="6">
        <v>0</v>
      </c>
      <c r="L3265" s="7">
        <v>0</v>
      </c>
      <c r="M3265" s="7">
        <v>0</v>
      </c>
      <c r="N3265" s="8">
        <v>8.3333333333333339</v>
      </c>
      <c r="O3265" s="8">
        <v>0</v>
      </c>
      <c r="P3265" s="8">
        <v>0</v>
      </c>
      <c r="Q3265" s="8">
        <v>0</v>
      </c>
      <c r="R3265" s="8">
        <v>0</v>
      </c>
      <c r="S3265" s="8">
        <v>0</v>
      </c>
      <c r="T3265" s="5">
        <v>0</v>
      </c>
      <c r="U3265" s="5">
        <v>0</v>
      </c>
      <c r="V3265" s="5">
        <f>VLOOKUP(A3265,Planilha1!B:E,4,0)</f>
        <v>5.819800475298738</v>
      </c>
    </row>
    <row r="3266" spans="1:22" x14ac:dyDescent="0.3">
      <c r="A3266" t="str">
        <f t="shared" ref="A3266:A3329" si="102">J3266&amp;I3266</f>
        <v>MANTEIGA 5KGLACTALIS</v>
      </c>
      <c r="B3266" t="str">
        <f t="shared" si="101"/>
        <v>5007304MANTEIGA 5KGLACTALIS</v>
      </c>
      <c r="C3266" s="5" t="s">
        <v>226</v>
      </c>
      <c r="D3266" s="5" t="s">
        <v>752</v>
      </c>
      <c r="E3266" s="5" t="s">
        <v>1216</v>
      </c>
      <c r="F3266" s="5">
        <v>5007304</v>
      </c>
      <c r="G3266" s="5" t="s">
        <v>1217</v>
      </c>
      <c r="H3266" s="5" t="s">
        <v>154</v>
      </c>
      <c r="I3266" s="5" t="s">
        <v>22</v>
      </c>
      <c r="J3266" s="5" t="s">
        <v>60</v>
      </c>
      <c r="K3266" s="6">
        <v>0</v>
      </c>
      <c r="L3266" s="7">
        <v>0</v>
      </c>
      <c r="M3266" s="7">
        <v>0</v>
      </c>
      <c r="N3266" s="8">
        <v>0</v>
      </c>
      <c r="O3266" s="8">
        <v>500</v>
      </c>
      <c r="P3266" s="8">
        <v>0</v>
      </c>
      <c r="Q3266" s="8">
        <v>0</v>
      </c>
      <c r="R3266" s="8">
        <v>0</v>
      </c>
      <c r="S3266" s="8">
        <v>0</v>
      </c>
      <c r="T3266" s="5">
        <v>0</v>
      </c>
      <c r="U3266" s="5">
        <v>0</v>
      </c>
      <c r="V3266" s="5">
        <f>VLOOKUP(A3266,Planilha1!B:E,4,0)</f>
        <v>11.476197020267191</v>
      </c>
    </row>
    <row r="3267" spans="1:22" x14ac:dyDescent="0.3">
      <c r="A3267" t="str">
        <f t="shared" si="102"/>
        <v>MANTEIGA 5KGLACTALIS</v>
      </c>
      <c r="B3267" t="str">
        <f t="shared" ref="B3267:B3330" si="103">F3267&amp;J3267&amp;I3267</f>
        <v>5197956MANTEIGA 5KGLACTALIS</v>
      </c>
      <c r="C3267" s="5" t="s">
        <v>226</v>
      </c>
      <c r="D3267" s="5" t="s">
        <v>227</v>
      </c>
      <c r="E3267" s="5" t="s">
        <v>1722</v>
      </c>
      <c r="F3267" s="5">
        <v>5197956</v>
      </c>
      <c r="G3267" s="5" t="s">
        <v>391</v>
      </c>
      <c r="H3267" s="5" t="s">
        <v>30</v>
      </c>
      <c r="I3267" s="5" t="s">
        <v>22</v>
      </c>
      <c r="J3267" s="5" t="s">
        <v>60</v>
      </c>
      <c r="K3267" s="6">
        <v>0</v>
      </c>
      <c r="L3267" s="7">
        <v>0</v>
      </c>
      <c r="M3267" s="7">
        <v>0</v>
      </c>
      <c r="N3267" s="8">
        <v>6.666666666666667</v>
      </c>
      <c r="O3267" s="8">
        <v>0</v>
      </c>
      <c r="P3267" s="8">
        <v>0</v>
      </c>
      <c r="Q3267" s="8">
        <v>0</v>
      </c>
      <c r="R3267" s="8">
        <v>0</v>
      </c>
      <c r="S3267" s="8">
        <v>0</v>
      </c>
      <c r="T3267" s="5">
        <v>0</v>
      </c>
      <c r="U3267" s="5">
        <v>0</v>
      </c>
      <c r="V3267" s="5">
        <f>VLOOKUP(A3267,Planilha1!B:E,4,0)</f>
        <v>11.476197020267191</v>
      </c>
    </row>
    <row r="3268" spans="1:22" x14ac:dyDescent="0.3">
      <c r="A3268" t="str">
        <f t="shared" si="102"/>
        <v>MANTEIGA 5KGLACTALIS</v>
      </c>
      <c r="B3268" t="str">
        <f t="shared" si="103"/>
        <v>5231426MANTEIGA 5KGLACTALIS</v>
      </c>
      <c r="C3268" s="5" t="s">
        <v>226</v>
      </c>
      <c r="D3268" s="5" t="s">
        <v>227</v>
      </c>
      <c r="E3268" s="5" t="s">
        <v>1722</v>
      </c>
      <c r="F3268" s="5">
        <v>5231426</v>
      </c>
      <c r="G3268" s="5" t="s">
        <v>1556</v>
      </c>
      <c r="H3268" s="5" t="s">
        <v>30</v>
      </c>
      <c r="I3268" s="5" t="s">
        <v>22</v>
      </c>
      <c r="J3268" s="5" t="s">
        <v>60</v>
      </c>
      <c r="K3268" s="6">
        <v>0</v>
      </c>
      <c r="L3268" s="7">
        <v>0</v>
      </c>
      <c r="M3268" s="7">
        <v>0</v>
      </c>
      <c r="N3268" s="8">
        <v>3.3333333333333335</v>
      </c>
      <c r="O3268" s="8">
        <v>0</v>
      </c>
      <c r="P3268" s="8">
        <v>0</v>
      </c>
      <c r="Q3268" s="8">
        <v>0</v>
      </c>
      <c r="R3268" s="8">
        <v>0</v>
      </c>
      <c r="S3268" s="8">
        <v>0</v>
      </c>
      <c r="T3268" s="5">
        <v>0</v>
      </c>
      <c r="U3268" s="5">
        <v>0</v>
      </c>
      <c r="V3268" s="5">
        <f>VLOOKUP(A3268,Planilha1!B:E,4,0)</f>
        <v>11.476197020267191</v>
      </c>
    </row>
    <row r="3269" spans="1:22" x14ac:dyDescent="0.3">
      <c r="A3269" t="str">
        <f t="shared" si="102"/>
        <v>MANTEIGA 5KGLACTALIS</v>
      </c>
      <c r="B3269" t="str">
        <f t="shared" si="103"/>
        <v>5261771MANTEIGA 5KGLACTALIS</v>
      </c>
      <c r="C3269" s="5" t="s">
        <v>226</v>
      </c>
      <c r="D3269" s="5" t="s">
        <v>227</v>
      </c>
      <c r="E3269" s="5" t="s">
        <v>1722</v>
      </c>
      <c r="F3269" s="5">
        <v>5261771</v>
      </c>
      <c r="G3269" s="5" t="s">
        <v>272</v>
      </c>
      <c r="H3269" s="5" t="s">
        <v>30</v>
      </c>
      <c r="I3269" s="5" t="s">
        <v>22</v>
      </c>
      <c r="J3269" s="5" t="s">
        <v>60</v>
      </c>
      <c r="K3269" s="6">
        <v>0</v>
      </c>
      <c r="L3269" s="7">
        <v>0</v>
      </c>
      <c r="M3269" s="7">
        <v>0</v>
      </c>
      <c r="N3269" s="8">
        <v>3.3333333333333335</v>
      </c>
      <c r="O3269" s="8">
        <v>0</v>
      </c>
      <c r="P3269" s="8">
        <v>0</v>
      </c>
      <c r="Q3269" s="8">
        <v>0</v>
      </c>
      <c r="R3269" s="8">
        <v>0</v>
      </c>
      <c r="S3269" s="8">
        <v>0</v>
      </c>
      <c r="T3269" s="5">
        <v>0</v>
      </c>
      <c r="U3269" s="5">
        <v>0</v>
      </c>
      <c r="V3269" s="5">
        <f>VLOOKUP(A3269,Planilha1!B:E,4,0)</f>
        <v>11.476197020267191</v>
      </c>
    </row>
    <row r="3270" spans="1:22" x14ac:dyDescent="0.3">
      <c r="A3270" t="str">
        <f t="shared" si="102"/>
        <v>MANTEIGA 5KGLACTALIS</v>
      </c>
      <c r="B3270" t="str">
        <f t="shared" si="103"/>
        <v>5270331MANTEIGA 5KGLACTALIS</v>
      </c>
      <c r="C3270" s="5" t="s">
        <v>226</v>
      </c>
      <c r="D3270" s="5" t="s">
        <v>227</v>
      </c>
      <c r="E3270" s="5" t="s">
        <v>1722</v>
      </c>
      <c r="F3270" s="5">
        <v>5270331</v>
      </c>
      <c r="G3270" s="5" t="s">
        <v>611</v>
      </c>
      <c r="H3270" s="5" t="s">
        <v>30</v>
      </c>
      <c r="I3270" s="5" t="s">
        <v>22</v>
      </c>
      <c r="J3270" s="5" t="s">
        <v>60</v>
      </c>
      <c r="K3270" s="6">
        <v>0</v>
      </c>
      <c r="L3270" s="7">
        <v>0</v>
      </c>
      <c r="M3270" s="7">
        <v>0</v>
      </c>
      <c r="N3270" s="8">
        <v>3.3333333333333335</v>
      </c>
      <c r="O3270" s="8">
        <v>0</v>
      </c>
      <c r="P3270" s="8">
        <v>0</v>
      </c>
      <c r="Q3270" s="8">
        <v>0</v>
      </c>
      <c r="R3270" s="8">
        <v>0</v>
      </c>
      <c r="S3270" s="8">
        <v>0</v>
      </c>
      <c r="T3270" s="5">
        <v>0</v>
      </c>
      <c r="U3270" s="5">
        <v>0</v>
      </c>
      <c r="V3270" s="5">
        <f>VLOOKUP(A3270,Planilha1!B:E,4,0)</f>
        <v>11.476197020267191</v>
      </c>
    </row>
    <row r="3271" spans="1:22" x14ac:dyDescent="0.3">
      <c r="A3271" t="str">
        <f t="shared" si="102"/>
        <v>MANTEIGA 5KGLACTALIS</v>
      </c>
      <c r="B3271" t="str">
        <f t="shared" si="103"/>
        <v>5278660MANTEIGA 5KGLACTALIS</v>
      </c>
      <c r="C3271" s="5" t="s">
        <v>226</v>
      </c>
      <c r="D3271" s="5" t="s">
        <v>227</v>
      </c>
      <c r="E3271" s="5" t="s">
        <v>1722</v>
      </c>
      <c r="F3271" s="5">
        <v>5278660</v>
      </c>
      <c r="G3271" s="5" t="s">
        <v>448</v>
      </c>
      <c r="H3271" s="5" t="s">
        <v>30</v>
      </c>
      <c r="I3271" s="5" t="s">
        <v>22</v>
      </c>
      <c r="J3271" s="5" t="s">
        <v>60</v>
      </c>
      <c r="K3271" s="6">
        <v>0</v>
      </c>
      <c r="L3271" s="7">
        <v>0</v>
      </c>
      <c r="M3271" s="7">
        <v>0</v>
      </c>
      <c r="N3271" s="8">
        <v>6.666666666666667</v>
      </c>
      <c r="O3271" s="8">
        <v>0</v>
      </c>
      <c r="P3271" s="8">
        <v>0</v>
      </c>
      <c r="Q3271" s="8">
        <v>0</v>
      </c>
      <c r="R3271" s="8">
        <v>0</v>
      </c>
      <c r="S3271" s="8">
        <v>15</v>
      </c>
      <c r="T3271" s="5">
        <v>15</v>
      </c>
      <c r="U3271" s="5">
        <v>15</v>
      </c>
      <c r="V3271" s="5">
        <f>VLOOKUP(A3271,Planilha1!B:E,4,0)</f>
        <v>11.476197020267191</v>
      </c>
    </row>
    <row r="3272" spans="1:22" x14ac:dyDescent="0.3">
      <c r="A3272" t="str">
        <f t="shared" si="102"/>
        <v>MANTEIGA 5KGLACTALIS</v>
      </c>
      <c r="B3272" t="str">
        <f t="shared" si="103"/>
        <v>5301053MANTEIGA 5KGLACTALIS</v>
      </c>
      <c r="C3272" s="5" t="s">
        <v>226</v>
      </c>
      <c r="D3272" s="5" t="s">
        <v>227</v>
      </c>
      <c r="E3272" s="5" t="s">
        <v>1722</v>
      </c>
      <c r="F3272" s="5">
        <v>5301053</v>
      </c>
      <c r="G3272" s="5" t="s">
        <v>334</v>
      </c>
      <c r="H3272" s="5" t="s">
        <v>30</v>
      </c>
      <c r="I3272" s="5" t="s">
        <v>22</v>
      </c>
      <c r="J3272" s="5" t="s">
        <v>60</v>
      </c>
      <c r="K3272" s="6">
        <v>0</v>
      </c>
      <c r="L3272" s="7">
        <v>0</v>
      </c>
      <c r="M3272" s="7">
        <v>0</v>
      </c>
      <c r="N3272" s="8">
        <v>1.6666666666666667</v>
      </c>
      <c r="O3272" s="8">
        <v>0</v>
      </c>
      <c r="P3272" s="8">
        <v>0</v>
      </c>
      <c r="Q3272" s="8">
        <v>0</v>
      </c>
      <c r="R3272" s="8">
        <v>0</v>
      </c>
      <c r="S3272" s="8">
        <v>0</v>
      </c>
      <c r="T3272" s="5">
        <v>0</v>
      </c>
      <c r="U3272" s="5">
        <v>0</v>
      </c>
      <c r="V3272" s="5">
        <f>VLOOKUP(A3272,Planilha1!B:E,4,0)</f>
        <v>11.476197020267191</v>
      </c>
    </row>
    <row r="3273" spans="1:22" x14ac:dyDescent="0.3">
      <c r="A3273" t="str">
        <f t="shared" si="102"/>
        <v>MANTEIGA 5KGLACTALIS</v>
      </c>
      <c r="B3273" t="str">
        <f t="shared" si="103"/>
        <v>5317575MANTEIGA 5KGLACTALIS</v>
      </c>
      <c r="C3273" s="5" t="s">
        <v>226</v>
      </c>
      <c r="D3273" s="5" t="s">
        <v>227</v>
      </c>
      <c r="E3273" s="5" t="s">
        <v>1722</v>
      </c>
      <c r="F3273" s="5">
        <v>5317575</v>
      </c>
      <c r="G3273" s="5" t="s">
        <v>1498</v>
      </c>
      <c r="H3273" s="5" t="s">
        <v>30</v>
      </c>
      <c r="I3273" s="5" t="s">
        <v>22</v>
      </c>
      <c r="J3273" s="5" t="s">
        <v>60</v>
      </c>
      <c r="K3273" s="6">
        <v>0</v>
      </c>
      <c r="L3273" s="7">
        <v>0</v>
      </c>
      <c r="M3273" s="7">
        <v>0</v>
      </c>
      <c r="N3273" s="8">
        <v>1.6666666666666667</v>
      </c>
      <c r="O3273" s="8">
        <v>0</v>
      </c>
      <c r="P3273" s="8">
        <v>0</v>
      </c>
      <c r="Q3273" s="8">
        <v>0</v>
      </c>
      <c r="R3273" s="8">
        <v>0</v>
      </c>
      <c r="S3273" s="8">
        <v>0</v>
      </c>
      <c r="T3273" s="5">
        <v>0</v>
      </c>
      <c r="U3273" s="5">
        <v>0</v>
      </c>
      <c r="V3273" s="5">
        <f>VLOOKUP(A3273,Planilha1!B:E,4,0)</f>
        <v>11.476197020267191</v>
      </c>
    </row>
    <row r="3274" spans="1:22" x14ac:dyDescent="0.3">
      <c r="A3274" t="str">
        <f t="shared" si="102"/>
        <v>MANTEIGA 5KGLACTALIS</v>
      </c>
      <c r="B3274" t="str">
        <f t="shared" si="103"/>
        <v>5318961MANTEIGA 5KGLACTALIS</v>
      </c>
      <c r="C3274" s="5" t="s">
        <v>226</v>
      </c>
      <c r="D3274" s="5" t="s">
        <v>227</v>
      </c>
      <c r="E3274" s="5" t="s">
        <v>1722</v>
      </c>
      <c r="F3274" s="5">
        <v>5318961</v>
      </c>
      <c r="G3274" s="5" t="s">
        <v>1172</v>
      </c>
      <c r="H3274" s="5" t="s">
        <v>30</v>
      </c>
      <c r="I3274" s="5" t="s">
        <v>22</v>
      </c>
      <c r="J3274" s="5" t="s">
        <v>60</v>
      </c>
      <c r="K3274" s="6">
        <v>0</v>
      </c>
      <c r="L3274" s="7">
        <v>0</v>
      </c>
      <c r="M3274" s="7">
        <v>0</v>
      </c>
      <c r="N3274" s="8">
        <v>3.3333333333333335</v>
      </c>
      <c r="O3274" s="8">
        <v>0</v>
      </c>
      <c r="P3274" s="8">
        <v>0</v>
      </c>
      <c r="Q3274" s="8">
        <v>0</v>
      </c>
      <c r="R3274" s="8">
        <v>0</v>
      </c>
      <c r="S3274" s="8">
        <v>0</v>
      </c>
      <c r="T3274" s="5">
        <v>0</v>
      </c>
      <c r="U3274" s="5">
        <v>0</v>
      </c>
      <c r="V3274" s="5">
        <f>VLOOKUP(A3274,Planilha1!B:E,4,0)</f>
        <v>11.476197020267191</v>
      </c>
    </row>
    <row r="3275" spans="1:22" x14ac:dyDescent="0.3">
      <c r="A3275" t="str">
        <f t="shared" si="102"/>
        <v>MANTEIGA 5KGLACTALIS</v>
      </c>
      <c r="B3275" t="str">
        <f t="shared" si="103"/>
        <v>5325762MANTEIGA 5KGLACTALIS</v>
      </c>
      <c r="C3275" s="5" t="s">
        <v>226</v>
      </c>
      <c r="D3275" s="5" t="s">
        <v>227</v>
      </c>
      <c r="E3275" s="5" t="s">
        <v>1722</v>
      </c>
      <c r="F3275" s="5">
        <v>5325762</v>
      </c>
      <c r="G3275" s="5" t="s">
        <v>1557</v>
      </c>
      <c r="H3275" s="5" t="s">
        <v>30</v>
      </c>
      <c r="I3275" s="5" t="s">
        <v>22</v>
      </c>
      <c r="J3275" s="5" t="s">
        <v>60</v>
      </c>
      <c r="K3275" s="6">
        <v>0</v>
      </c>
      <c r="L3275" s="7">
        <v>0</v>
      </c>
      <c r="M3275" s="7">
        <v>0</v>
      </c>
      <c r="N3275" s="8">
        <v>23.333333333333332</v>
      </c>
      <c r="O3275" s="8">
        <v>0</v>
      </c>
      <c r="P3275" s="8">
        <v>0</v>
      </c>
      <c r="Q3275" s="8">
        <v>0</v>
      </c>
      <c r="R3275" s="8">
        <v>0</v>
      </c>
      <c r="S3275" s="8">
        <v>20</v>
      </c>
      <c r="T3275" s="5">
        <v>20</v>
      </c>
      <c r="U3275" s="5">
        <v>20</v>
      </c>
      <c r="V3275" s="5">
        <f>VLOOKUP(A3275,Planilha1!B:E,4,0)</f>
        <v>11.476197020267191</v>
      </c>
    </row>
    <row r="3276" spans="1:22" x14ac:dyDescent="0.3">
      <c r="A3276" t="str">
        <f t="shared" si="102"/>
        <v>MANTEIGA 5KGLACTALIS</v>
      </c>
      <c r="B3276" t="str">
        <f t="shared" si="103"/>
        <v>5334262MANTEIGA 5KGLACTALIS</v>
      </c>
      <c r="C3276" s="5" t="s">
        <v>226</v>
      </c>
      <c r="D3276" s="5" t="s">
        <v>227</v>
      </c>
      <c r="E3276" s="5" t="s">
        <v>1722</v>
      </c>
      <c r="F3276" s="5">
        <v>5334262</v>
      </c>
      <c r="G3276" s="5" t="s">
        <v>1558</v>
      </c>
      <c r="H3276" s="5" t="s">
        <v>30</v>
      </c>
      <c r="I3276" s="5" t="s">
        <v>22</v>
      </c>
      <c r="J3276" s="5" t="s">
        <v>60</v>
      </c>
      <c r="K3276" s="6">
        <v>0</v>
      </c>
      <c r="L3276" s="7">
        <v>0</v>
      </c>
      <c r="M3276" s="7">
        <v>0</v>
      </c>
      <c r="N3276" s="8">
        <v>1.6666666666666667</v>
      </c>
      <c r="O3276" s="8">
        <v>0</v>
      </c>
      <c r="P3276" s="8">
        <v>0</v>
      </c>
      <c r="Q3276" s="8">
        <v>0</v>
      </c>
      <c r="R3276" s="8">
        <v>0</v>
      </c>
      <c r="S3276" s="8">
        <v>0</v>
      </c>
      <c r="T3276" s="5">
        <v>0</v>
      </c>
      <c r="U3276" s="5">
        <v>0</v>
      </c>
      <c r="V3276" s="5">
        <f>VLOOKUP(A3276,Planilha1!B:E,4,0)</f>
        <v>11.476197020267191</v>
      </c>
    </row>
    <row r="3277" spans="1:22" x14ac:dyDescent="0.3">
      <c r="A3277" t="str">
        <f t="shared" si="102"/>
        <v>MANTEIGA 5KGLACTALIS</v>
      </c>
      <c r="B3277" t="str">
        <f t="shared" si="103"/>
        <v>5344927MANTEIGA 5KGLACTALIS</v>
      </c>
      <c r="C3277" s="5" t="s">
        <v>226</v>
      </c>
      <c r="D3277" s="5" t="s">
        <v>227</v>
      </c>
      <c r="E3277" s="5" t="s">
        <v>1722</v>
      </c>
      <c r="F3277" s="5">
        <v>5344927</v>
      </c>
      <c r="G3277" s="5" t="s">
        <v>1559</v>
      </c>
      <c r="H3277" s="5" t="s">
        <v>30</v>
      </c>
      <c r="I3277" s="5" t="s">
        <v>22</v>
      </c>
      <c r="J3277" s="5" t="s">
        <v>60</v>
      </c>
      <c r="K3277" s="6">
        <v>0</v>
      </c>
      <c r="L3277" s="7">
        <v>0</v>
      </c>
      <c r="M3277" s="7">
        <v>0</v>
      </c>
      <c r="N3277" s="8">
        <v>3.3333333333333335</v>
      </c>
      <c r="O3277" s="8">
        <v>0</v>
      </c>
      <c r="P3277" s="8">
        <v>0</v>
      </c>
      <c r="Q3277" s="8">
        <v>0</v>
      </c>
      <c r="R3277" s="8">
        <v>0</v>
      </c>
      <c r="S3277" s="8">
        <v>0</v>
      </c>
      <c r="T3277" s="5">
        <v>0</v>
      </c>
      <c r="U3277" s="5">
        <v>0</v>
      </c>
      <c r="V3277" s="5">
        <f>VLOOKUP(A3277,Planilha1!B:E,4,0)</f>
        <v>11.476197020267191</v>
      </c>
    </row>
    <row r="3278" spans="1:22" x14ac:dyDescent="0.3">
      <c r="A3278" t="str">
        <f t="shared" si="102"/>
        <v>MANTEIGA 5KGLACTALIS</v>
      </c>
      <c r="B3278" t="str">
        <f t="shared" si="103"/>
        <v>5346486MANTEIGA 5KGLACTALIS</v>
      </c>
      <c r="C3278" s="5" t="s">
        <v>226</v>
      </c>
      <c r="D3278" s="5" t="s">
        <v>227</v>
      </c>
      <c r="E3278" s="5" t="s">
        <v>1722</v>
      </c>
      <c r="F3278" s="5">
        <v>5346486</v>
      </c>
      <c r="G3278" s="5" t="s">
        <v>1560</v>
      </c>
      <c r="H3278" s="5" t="s">
        <v>30</v>
      </c>
      <c r="I3278" s="5" t="s">
        <v>22</v>
      </c>
      <c r="J3278" s="5" t="s">
        <v>60</v>
      </c>
      <c r="K3278" s="6">
        <v>0</v>
      </c>
      <c r="L3278" s="7">
        <v>0</v>
      </c>
      <c r="M3278" s="7">
        <v>0</v>
      </c>
      <c r="N3278" s="8">
        <v>5</v>
      </c>
      <c r="O3278" s="8">
        <v>0</v>
      </c>
      <c r="P3278" s="8">
        <v>0</v>
      </c>
      <c r="Q3278" s="8">
        <v>0</v>
      </c>
      <c r="R3278" s="8">
        <v>0</v>
      </c>
      <c r="S3278" s="8">
        <v>0</v>
      </c>
      <c r="T3278" s="5">
        <v>0</v>
      </c>
      <c r="U3278" s="5">
        <v>0</v>
      </c>
      <c r="V3278" s="5">
        <f>VLOOKUP(A3278,Planilha1!B:E,4,0)</f>
        <v>11.476197020267191</v>
      </c>
    </row>
    <row r="3279" spans="1:22" x14ac:dyDescent="0.3">
      <c r="A3279" t="str">
        <f t="shared" si="102"/>
        <v>MANTEIGA 5KGLACTALIS</v>
      </c>
      <c r="B3279" t="str">
        <f t="shared" si="103"/>
        <v>5353716MANTEIGA 5KGLACTALIS</v>
      </c>
      <c r="C3279" s="5" t="s">
        <v>226</v>
      </c>
      <c r="D3279" s="5" t="s">
        <v>227</v>
      </c>
      <c r="E3279" s="5" t="s">
        <v>1722</v>
      </c>
      <c r="F3279" s="5">
        <v>5353716</v>
      </c>
      <c r="G3279" s="5" t="s">
        <v>553</v>
      </c>
      <c r="H3279" s="5" t="s">
        <v>30</v>
      </c>
      <c r="I3279" s="5" t="s">
        <v>22</v>
      </c>
      <c r="J3279" s="5" t="s">
        <v>60</v>
      </c>
      <c r="K3279" s="6">
        <v>0</v>
      </c>
      <c r="L3279" s="7">
        <v>0</v>
      </c>
      <c r="M3279" s="7">
        <v>0</v>
      </c>
      <c r="N3279" s="8">
        <v>6.666666666666667</v>
      </c>
      <c r="O3279" s="8">
        <v>0</v>
      </c>
      <c r="P3279" s="8">
        <v>0</v>
      </c>
      <c r="Q3279" s="8">
        <v>0</v>
      </c>
      <c r="R3279" s="8">
        <v>0</v>
      </c>
      <c r="S3279" s="8">
        <v>0</v>
      </c>
      <c r="T3279" s="5">
        <v>0</v>
      </c>
      <c r="U3279" s="5">
        <v>0</v>
      </c>
      <c r="V3279" s="5">
        <f>VLOOKUP(A3279,Planilha1!B:E,4,0)</f>
        <v>11.476197020267191</v>
      </c>
    </row>
    <row r="3280" spans="1:22" x14ac:dyDescent="0.3">
      <c r="A3280" t="str">
        <f t="shared" si="102"/>
        <v>MANTEIGA 5KGLACTALIS</v>
      </c>
      <c r="B3280" t="str">
        <f t="shared" si="103"/>
        <v>5357859MANTEIGA 5KGLACTALIS</v>
      </c>
      <c r="C3280" s="5" t="s">
        <v>226</v>
      </c>
      <c r="D3280" s="5" t="s">
        <v>227</v>
      </c>
      <c r="E3280" s="5" t="s">
        <v>1722</v>
      </c>
      <c r="F3280" s="5">
        <v>5357859</v>
      </c>
      <c r="G3280" s="5" t="s">
        <v>1561</v>
      </c>
      <c r="H3280" s="5" t="s">
        <v>30</v>
      </c>
      <c r="I3280" s="5" t="s">
        <v>22</v>
      </c>
      <c r="J3280" s="5" t="s">
        <v>60</v>
      </c>
      <c r="K3280" s="6">
        <v>0</v>
      </c>
      <c r="L3280" s="7">
        <v>0</v>
      </c>
      <c r="M3280" s="7">
        <v>0</v>
      </c>
      <c r="N3280" s="8">
        <v>11.666666666666666</v>
      </c>
      <c r="O3280" s="8">
        <v>0</v>
      </c>
      <c r="P3280" s="8">
        <v>0</v>
      </c>
      <c r="Q3280" s="8">
        <v>0</v>
      </c>
      <c r="R3280" s="8">
        <v>0</v>
      </c>
      <c r="S3280" s="8">
        <v>0</v>
      </c>
      <c r="T3280" s="5">
        <v>0</v>
      </c>
      <c r="U3280" s="5">
        <v>15</v>
      </c>
      <c r="V3280" s="5">
        <f>VLOOKUP(A3280,Planilha1!B:E,4,0)</f>
        <v>11.476197020267191</v>
      </c>
    </row>
    <row r="3281" spans="1:22" x14ac:dyDescent="0.3">
      <c r="A3281" t="str">
        <f t="shared" si="102"/>
        <v>MANTEIGA 5KGLACTALIS</v>
      </c>
      <c r="B3281" t="str">
        <f t="shared" si="103"/>
        <v>5357980MANTEIGA 5KGLACTALIS</v>
      </c>
      <c r="C3281" s="5" t="s">
        <v>226</v>
      </c>
      <c r="D3281" s="5" t="s">
        <v>227</v>
      </c>
      <c r="E3281" s="5" t="s">
        <v>1722</v>
      </c>
      <c r="F3281" s="5">
        <v>5357980</v>
      </c>
      <c r="G3281" s="5" t="s">
        <v>1536</v>
      </c>
      <c r="H3281" s="5" t="s">
        <v>30</v>
      </c>
      <c r="I3281" s="5" t="s">
        <v>22</v>
      </c>
      <c r="J3281" s="5" t="s">
        <v>60</v>
      </c>
      <c r="K3281" s="6">
        <v>0</v>
      </c>
      <c r="L3281" s="7">
        <v>0</v>
      </c>
      <c r="M3281" s="7">
        <v>0</v>
      </c>
      <c r="N3281" s="8">
        <v>26.666666666666668</v>
      </c>
      <c r="O3281" s="8">
        <v>0</v>
      </c>
      <c r="P3281" s="8">
        <v>0</v>
      </c>
      <c r="Q3281" s="8">
        <v>0</v>
      </c>
      <c r="R3281" s="8">
        <v>0</v>
      </c>
      <c r="S3281" s="8">
        <v>0</v>
      </c>
      <c r="T3281" s="5">
        <v>0</v>
      </c>
      <c r="U3281" s="5">
        <v>0</v>
      </c>
      <c r="V3281" s="5">
        <f>VLOOKUP(A3281,Planilha1!B:E,4,0)</f>
        <v>11.476197020267191</v>
      </c>
    </row>
    <row r="3282" spans="1:22" x14ac:dyDescent="0.3">
      <c r="A3282" t="str">
        <f t="shared" si="102"/>
        <v>MANTEIGA 5KGLACTALIS</v>
      </c>
      <c r="B3282" t="str">
        <f t="shared" si="103"/>
        <v>5358596MANTEIGA 5KGLACTALIS</v>
      </c>
      <c r="C3282" s="5" t="s">
        <v>226</v>
      </c>
      <c r="D3282" s="5" t="s">
        <v>227</v>
      </c>
      <c r="E3282" s="5" t="s">
        <v>1722</v>
      </c>
      <c r="F3282" s="5">
        <v>5358596</v>
      </c>
      <c r="G3282" s="5" t="s">
        <v>1402</v>
      </c>
      <c r="H3282" s="5" t="s">
        <v>30</v>
      </c>
      <c r="I3282" s="5" t="s">
        <v>22</v>
      </c>
      <c r="J3282" s="5" t="s">
        <v>60</v>
      </c>
      <c r="K3282" s="6">
        <v>0</v>
      </c>
      <c r="L3282" s="7">
        <v>0</v>
      </c>
      <c r="M3282" s="7">
        <v>0</v>
      </c>
      <c r="N3282" s="8">
        <v>1.6666666666666667</v>
      </c>
      <c r="O3282" s="8">
        <v>0</v>
      </c>
      <c r="P3282" s="8">
        <v>0</v>
      </c>
      <c r="Q3282" s="8">
        <v>0</v>
      </c>
      <c r="R3282" s="8">
        <v>0</v>
      </c>
      <c r="S3282" s="8">
        <v>0</v>
      </c>
      <c r="T3282" s="5">
        <v>0</v>
      </c>
      <c r="U3282" s="5">
        <v>0</v>
      </c>
      <c r="V3282" s="5">
        <f>VLOOKUP(A3282,Planilha1!B:E,4,0)</f>
        <v>11.476197020267191</v>
      </c>
    </row>
    <row r="3283" spans="1:22" x14ac:dyDescent="0.3">
      <c r="A3283" t="str">
        <f t="shared" si="102"/>
        <v>MANTEIGA 5KGLACTALIS</v>
      </c>
      <c r="B3283" t="str">
        <f t="shared" si="103"/>
        <v>5359180MANTEIGA 5KGLACTALIS</v>
      </c>
      <c r="C3283" s="5" t="s">
        <v>226</v>
      </c>
      <c r="D3283" s="5" t="s">
        <v>227</v>
      </c>
      <c r="E3283" s="5" t="s">
        <v>1722</v>
      </c>
      <c r="F3283" s="5">
        <v>5359180</v>
      </c>
      <c r="G3283" s="5" t="s">
        <v>1562</v>
      </c>
      <c r="H3283" s="5" t="s">
        <v>30</v>
      </c>
      <c r="I3283" s="5" t="s">
        <v>22</v>
      </c>
      <c r="J3283" s="5" t="s">
        <v>60</v>
      </c>
      <c r="K3283" s="6">
        <v>0</v>
      </c>
      <c r="L3283" s="7">
        <v>0</v>
      </c>
      <c r="M3283" s="7">
        <v>0</v>
      </c>
      <c r="N3283" s="8">
        <v>10</v>
      </c>
      <c r="O3283" s="8">
        <v>0</v>
      </c>
      <c r="P3283" s="8">
        <v>0</v>
      </c>
      <c r="Q3283" s="8">
        <v>0</v>
      </c>
      <c r="R3283" s="8">
        <v>0</v>
      </c>
      <c r="S3283" s="8">
        <v>0</v>
      </c>
      <c r="T3283" s="5">
        <v>0</v>
      </c>
      <c r="U3283" s="5">
        <v>0</v>
      </c>
      <c r="V3283" s="5">
        <f>VLOOKUP(A3283,Planilha1!B:E,4,0)</f>
        <v>11.476197020267191</v>
      </c>
    </row>
    <row r="3284" spans="1:22" x14ac:dyDescent="0.3">
      <c r="A3284" t="str">
        <f t="shared" si="102"/>
        <v>MANTEIGA 5KGLACTALIS</v>
      </c>
      <c r="B3284" t="str">
        <f t="shared" si="103"/>
        <v>5359877MANTEIGA 5KGLACTALIS</v>
      </c>
      <c r="C3284" s="5" t="s">
        <v>226</v>
      </c>
      <c r="D3284" s="5" t="s">
        <v>227</v>
      </c>
      <c r="E3284" s="5" t="s">
        <v>1722</v>
      </c>
      <c r="F3284" s="5">
        <v>5359877</v>
      </c>
      <c r="G3284" s="5" t="s">
        <v>1563</v>
      </c>
      <c r="H3284" s="5" t="s">
        <v>30</v>
      </c>
      <c r="I3284" s="5" t="s">
        <v>22</v>
      </c>
      <c r="J3284" s="5" t="s">
        <v>60</v>
      </c>
      <c r="K3284" s="6">
        <v>0</v>
      </c>
      <c r="L3284" s="7">
        <v>0</v>
      </c>
      <c r="M3284" s="7">
        <v>0</v>
      </c>
      <c r="N3284" s="8">
        <v>1.6666666666666667</v>
      </c>
      <c r="O3284" s="8">
        <v>0</v>
      </c>
      <c r="P3284" s="8">
        <v>0</v>
      </c>
      <c r="Q3284" s="8">
        <v>0</v>
      </c>
      <c r="R3284" s="8">
        <v>0</v>
      </c>
      <c r="S3284" s="8">
        <v>0</v>
      </c>
      <c r="T3284" s="5">
        <v>0</v>
      </c>
      <c r="U3284" s="5">
        <v>0</v>
      </c>
      <c r="V3284" s="5">
        <f>VLOOKUP(A3284,Planilha1!B:E,4,0)</f>
        <v>11.476197020267191</v>
      </c>
    </row>
    <row r="3285" spans="1:22" x14ac:dyDescent="0.3">
      <c r="A3285" t="str">
        <f t="shared" si="102"/>
        <v>MANTEIGA 5KGLACTALIS</v>
      </c>
      <c r="B3285" t="str">
        <f t="shared" si="103"/>
        <v>5360679MANTEIGA 5KGLACTALIS</v>
      </c>
      <c r="C3285" s="5" t="s">
        <v>226</v>
      </c>
      <c r="D3285" s="5" t="s">
        <v>227</v>
      </c>
      <c r="E3285" s="5" t="s">
        <v>1722</v>
      </c>
      <c r="F3285" s="5">
        <v>5360679</v>
      </c>
      <c r="G3285" s="5" t="s">
        <v>1564</v>
      </c>
      <c r="H3285" s="5" t="s">
        <v>30</v>
      </c>
      <c r="I3285" s="5" t="s">
        <v>22</v>
      </c>
      <c r="J3285" s="5" t="s">
        <v>60</v>
      </c>
      <c r="K3285" s="6">
        <v>0</v>
      </c>
      <c r="L3285" s="7">
        <v>0</v>
      </c>
      <c r="M3285" s="7">
        <v>0</v>
      </c>
      <c r="N3285" s="8">
        <v>20</v>
      </c>
      <c r="O3285" s="8">
        <v>0</v>
      </c>
      <c r="P3285" s="8">
        <v>0</v>
      </c>
      <c r="Q3285" s="8">
        <v>0</v>
      </c>
      <c r="R3285" s="8">
        <v>0</v>
      </c>
      <c r="S3285" s="8">
        <v>0</v>
      </c>
      <c r="T3285" s="5">
        <v>0</v>
      </c>
      <c r="U3285" s="5">
        <v>0</v>
      </c>
      <c r="V3285" s="5">
        <f>VLOOKUP(A3285,Planilha1!B:E,4,0)</f>
        <v>11.476197020267191</v>
      </c>
    </row>
    <row r="3286" spans="1:22" x14ac:dyDescent="0.3">
      <c r="A3286" t="str">
        <f t="shared" si="102"/>
        <v>MANTEIGA 5KGLACTALIS</v>
      </c>
      <c r="B3286" t="str">
        <f t="shared" si="103"/>
        <v>5360682MANTEIGA 5KGLACTALIS</v>
      </c>
      <c r="C3286" s="5" t="s">
        <v>226</v>
      </c>
      <c r="D3286" s="5" t="s">
        <v>227</v>
      </c>
      <c r="E3286" s="5" t="s">
        <v>1722</v>
      </c>
      <c r="F3286" s="5">
        <v>5360682</v>
      </c>
      <c r="G3286" s="5" t="s">
        <v>1565</v>
      </c>
      <c r="H3286" s="5" t="s">
        <v>30</v>
      </c>
      <c r="I3286" s="5" t="s">
        <v>22</v>
      </c>
      <c r="J3286" s="5" t="s">
        <v>60</v>
      </c>
      <c r="K3286" s="6">
        <v>0</v>
      </c>
      <c r="L3286" s="7">
        <v>0</v>
      </c>
      <c r="M3286" s="7">
        <v>0</v>
      </c>
      <c r="N3286" s="8">
        <v>1.6666666666666667</v>
      </c>
      <c r="O3286" s="8">
        <v>0</v>
      </c>
      <c r="P3286" s="8">
        <v>0</v>
      </c>
      <c r="Q3286" s="8">
        <v>0</v>
      </c>
      <c r="R3286" s="8">
        <v>0</v>
      </c>
      <c r="S3286" s="8">
        <v>0</v>
      </c>
      <c r="T3286" s="5">
        <v>0</v>
      </c>
      <c r="U3286" s="5">
        <v>0</v>
      </c>
      <c r="V3286" s="5">
        <f>VLOOKUP(A3286,Planilha1!B:E,4,0)</f>
        <v>11.476197020267191</v>
      </c>
    </row>
    <row r="3287" spans="1:22" x14ac:dyDescent="0.3">
      <c r="A3287" t="str">
        <f t="shared" si="102"/>
        <v>MANTEIGA 5KGLACTALIS</v>
      </c>
      <c r="B3287" t="str">
        <f t="shared" si="103"/>
        <v>5360872MANTEIGA 5KGLACTALIS</v>
      </c>
      <c r="C3287" s="5" t="s">
        <v>226</v>
      </c>
      <c r="D3287" s="5" t="s">
        <v>227</v>
      </c>
      <c r="E3287" s="5" t="s">
        <v>1722</v>
      </c>
      <c r="F3287" s="5">
        <v>5360872</v>
      </c>
      <c r="G3287" s="5" t="s">
        <v>1566</v>
      </c>
      <c r="H3287" s="5" t="s">
        <v>30</v>
      </c>
      <c r="I3287" s="5" t="s">
        <v>22</v>
      </c>
      <c r="J3287" s="5" t="s">
        <v>60</v>
      </c>
      <c r="K3287" s="6">
        <v>0</v>
      </c>
      <c r="L3287" s="7">
        <v>0</v>
      </c>
      <c r="M3287" s="7">
        <v>0</v>
      </c>
      <c r="N3287" s="8">
        <v>1.6666666666666667</v>
      </c>
      <c r="O3287" s="8">
        <v>0</v>
      </c>
      <c r="P3287" s="8">
        <v>0</v>
      </c>
      <c r="Q3287" s="8">
        <v>0</v>
      </c>
      <c r="R3287" s="8">
        <v>0</v>
      </c>
      <c r="S3287" s="8">
        <v>0</v>
      </c>
      <c r="T3287" s="5">
        <v>0</v>
      </c>
      <c r="U3287" s="5">
        <v>0</v>
      </c>
      <c r="V3287" s="5">
        <f>VLOOKUP(A3287,Planilha1!B:E,4,0)</f>
        <v>11.476197020267191</v>
      </c>
    </row>
    <row r="3288" spans="1:22" x14ac:dyDescent="0.3">
      <c r="A3288" t="str">
        <f t="shared" si="102"/>
        <v>MANTEIGA 5KGLACTALIS</v>
      </c>
      <c r="B3288" t="str">
        <f t="shared" si="103"/>
        <v>5360958MANTEIGA 5KGLACTALIS</v>
      </c>
      <c r="C3288" s="5" t="s">
        <v>226</v>
      </c>
      <c r="D3288" s="5" t="s">
        <v>227</v>
      </c>
      <c r="E3288" s="5" t="s">
        <v>1722</v>
      </c>
      <c r="F3288" s="5">
        <v>5360958</v>
      </c>
      <c r="G3288" s="5" t="s">
        <v>1567</v>
      </c>
      <c r="H3288" s="5" t="s">
        <v>30</v>
      </c>
      <c r="I3288" s="5" t="s">
        <v>22</v>
      </c>
      <c r="J3288" s="5" t="s">
        <v>60</v>
      </c>
      <c r="K3288" s="6">
        <v>0</v>
      </c>
      <c r="L3288" s="7">
        <v>0</v>
      </c>
      <c r="M3288" s="7">
        <v>0</v>
      </c>
      <c r="N3288" s="8">
        <v>1.6666666666666667</v>
      </c>
      <c r="O3288" s="8">
        <v>0</v>
      </c>
      <c r="P3288" s="8">
        <v>0</v>
      </c>
      <c r="Q3288" s="8">
        <v>0</v>
      </c>
      <c r="R3288" s="8">
        <v>0</v>
      </c>
      <c r="S3288" s="8">
        <v>0</v>
      </c>
      <c r="T3288" s="5">
        <v>0</v>
      </c>
      <c r="U3288" s="5">
        <v>0</v>
      </c>
      <c r="V3288" s="5">
        <f>VLOOKUP(A3288,Planilha1!B:E,4,0)</f>
        <v>11.476197020267191</v>
      </c>
    </row>
    <row r="3289" spans="1:22" x14ac:dyDescent="0.3">
      <c r="A3289" t="str">
        <f t="shared" si="102"/>
        <v>MANTEIGA 5KGLACTALIS</v>
      </c>
      <c r="B3289" t="str">
        <f t="shared" si="103"/>
        <v>5360961MANTEIGA 5KGLACTALIS</v>
      </c>
      <c r="C3289" s="5" t="s">
        <v>226</v>
      </c>
      <c r="D3289" s="5" t="s">
        <v>227</v>
      </c>
      <c r="E3289" s="5" t="s">
        <v>1722</v>
      </c>
      <c r="F3289" s="5">
        <v>5360961</v>
      </c>
      <c r="G3289" s="5" t="s">
        <v>1568</v>
      </c>
      <c r="H3289" s="5" t="s">
        <v>30</v>
      </c>
      <c r="I3289" s="5" t="s">
        <v>22</v>
      </c>
      <c r="J3289" s="5" t="s">
        <v>60</v>
      </c>
      <c r="K3289" s="6">
        <v>0</v>
      </c>
      <c r="L3289" s="7">
        <v>0</v>
      </c>
      <c r="M3289" s="7">
        <v>0</v>
      </c>
      <c r="N3289" s="8">
        <v>1.6666666666666667</v>
      </c>
      <c r="O3289" s="8">
        <v>0</v>
      </c>
      <c r="P3289" s="8">
        <v>0</v>
      </c>
      <c r="Q3289" s="8">
        <v>0</v>
      </c>
      <c r="R3289" s="8">
        <v>0</v>
      </c>
      <c r="S3289" s="8">
        <v>0</v>
      </c>
      <c r="T3289" s="5">
        <v>0</v>
      </c>
      <c r="U3289" s="5">
        <v>5</v>
      </c>
      <c r="V3289" s="5">
        <f>VLOOKUP(A3289,Planilha1!B:E,4,0)</f>
        <v>11.476197020267191</v>
      </c>
    </row>
    <row r="3290" spans="1:22" x14ac:dyDescent="0.3">
      <c r="A3290" t="str">
        <f t="shared" si="102"/>
        <v>MANTEIGA 5KGLACTALIS</v>
      </c>
      <c r="B3290" t="str">
        <f t="shared" si="103"/>
        <v>5360992MANTEIGA 5KGLACTALIS</v>
      </c>
      <c r="C3290" s="5" t="s">
        <v>226</v>
      </c>
      <c r="D3290" s="5" t="s">
        <v>227</v>
      </c>
      <c r="E3290" s="5" t="s">
        <v>1722</v>
      </c>
      <c r="F3290" s="5">
        <v>5360992</v>
      </c>
      <c r="G3290" s="5" t="s">
        <v>1540</v>
      </c>
      <c r="H3290" s="5" t="s">
        <v>30</v>
      </c>
      <c r="I3290" s="5" t="s">
        <v>22</v>
      </c>
      <c r="J3290" s="5" t="s">
        <v>60</v>
      </c>
      <c r="K3290" s="6">
        <v>0</v>
      </c>
      <c r="L3290" s="7">
        <v>0</v>
      </c>
      <c r="M3290" s="7">
        <v>0</v>
      </c>
      <c r="N3290" s="8">
        <v>1.6666666666666667</v>
      </c>
      <c r="O3290" s="8">
        <v>0</v>
      </c>
      <c r="P3290" s="8">
        <v>0</v>
      </c>
      <c r="Q3290" s="8">
        <v>0</v>
      </c>
      <c r="R3290" s="8">
        <v>0</v>
      </c>
      <c r="S3290" s="8">
        <v>10</v>
      </c>
      <c r="T3290" s="5">
        <v>10</v>
      </c>
      <c r="U3290" s="5">
        <v>10</v>
      </c>
      <c r="V3290" s="5">
        <f>VLOOKUP(A3290,Planilha1!B:E,4,0)</f>
        <v>11.476197020267191</v>
      </c>
    </row>
    <row r="3291" spans="1:22" x14ac:dyDescent="0.3">
      <c r="A3291" t="str">
        <f t="shared" si="102"/>
        <v>MANTEIGA 5KGLACTALIS</v>
      </c>
      <c r="B3291" t="str">
        <f t="shared" si="103"/>
        <v>5361518MANTEIGA 5KGLACTALIS</v>
      </c>
      <c r="C3291" s="5" t="s">
        <v>226</v>
      </c>
      <c r="D3291" s="5" t="s">
        <v>227</v>
      </c>
      <c r="E3291" s="5" t="s">
        <v>1722</v>
      </c>
      <c r="F3291" s="5">
        <v>5361518</v>
      </c>
      <c r="G3291" s="5" t="s">
        <v>1569</v>
      </c>
      <c r="H3291" s="5" t="s">
        <v>30</v>
      </c>
      <c r="I3291" s="5" t="s">
        <v>22</v>
      </c>
      <c r="J3291" s="5" t="s">
        <v>60</v>
      </c>
      <c r="K3291" s="6">
        <v>0</v>
      </c>
      <c r="L3291" s="7">
        <v>0</v>
      </c>
      <c r="M3291" s="7">
        <v>0</v>
      </c>
      <c r="N3291" s="8">
        <v>6.666666666666667</v>
      </c>
      <c r="O3291" s="8">
        <v>0</v>
      </c>
      <c r="P3291" s="8">
        <v>0</v>
      </c>
      <c r="Q3291" s="8">
        <v>0</v>
      </c>
      <c r="R3291" s="8">
        <v>0</v>
      </c>
      <c r="S3291" s="8">
        <v>15</v>
      </c>
      <c r="T3291" s="5">
        <v>15</v>
      </c>
      <c r="U3291" s="5">
        <v>15</v>
      </c>
      <c r="V3291" s="5">
        <f>VLOOKUP(A3291,Planilha1!B:E,4,0)</f>
        <v>11.476197020267191</v>
      </c>
    </row>
    <row r="3292" spans="1:22" x14ac:dyDescent="0.3">
      <c r="A3292" t="str">
        <f t="shared" si="102"/>
        <v>MANTEIGA 5KGLACTALIS</v>
      </c>
      <c r="B3292" t="str">
        <f t="shared" si="103"/>
        <v>5361616MANTEIGA 5KGLACTALIS</v>
      </c>
      <c r="C3292" s="5" t="s">
        <v>226</v>
      </c>
      <c r="D3292" s="5" t="s">
        <v>227</v>
      </c>
      <c r="E3292" s="5" t="s">
        <v>1722</v>
      </c>
      <c r="F3292" s="5">
        <v>5361616</v>
      </c>
      <c r="G3292" s="5" t="s">
        <v>1570</v>
      </c>
      <c r="H3292" s="5" t="s">
        <v>30</v>
      </c>
      <c r="I3292" s="5" t="s">
        <v>22</v>
      </c>
      <c r="J3292" s="5" t="s">
        <v>60</v>
      </c>
      <c r="K3292" s="6">
        <v>0</v>
      </c>
      <c r="L3292" s="7">
        <v>0</v>
      </c>
      <c r="M3292" s="7">
        <v>0</v>
      </c>
      <c r="N3292" s="8">
        <v>1.6666666666666667</v>
      </c>
      <c r="O3292" s="8">
        <v>0</v>
      </c>
      <c r="P3292" s="8">
        <v>0</v>
      </c>
      <c r="Q3292" s="8">
        <v>0</v>
      </c>
      <c r="R3292" s="8">
        <v>0</v>
      </c>
      <c r="S3292" s="8">
        <v>5</v>
      </c>
      <c r="T3292" s="5">
        <v>5</v>
      </c>
      <c r="U3292" s="5">
        <v>5</v>
      </c>
      <c r="V3292" s="5">
        <f>VLOOKUP(A3292,Planilha1!B:E,4,0)</f>
        <v>11.476197020267191</v>
      </c>
    </row>
    <row r="3293" spans="1:22" x14ac:dyDescent="0.3">
      <c r="A3293" t="str">
        <f t="shared" si="102"/>
        <v>COMPOSTOITAMBÉ</v>
      </c>
      <c r="B3293" t="str">
        <f t="shared" si="103"/>
        <v>5220627COMPOSTOITAMBÉ</v>
      </c>
      <c r="C3293" s="5" t="s">
        <v>226</v>
      </c>
      <c r="D3293" s="5" t="s">
        <v>752</v>
      </c>
      <c r="E3293" s="5" t="s">
        <v>767</v>
      </c>
      <c r="F3293" s="5">
        <v>5220627</v>
      </c>
      <c r="G3293" s="5" t="s">
        <v>1039</v>
      </c>
      <c r="H3293" s="5" t="s">
        <v>154</v>
      </c>
      <c r="I3293" s="5" t="s">
        <v>27</v>
      </c>
      <c r="J3293" s="5" t="s">
        <v>26</v>
      </c>
      <c r="K3293" s="6">
        <v>0</v>
      </c>
      <c r="L3293" s="7">
        <v>12580</v>
      </c>
      <c r="M3293" s="8">
        <v>14200.833333333332</v>
      </c>
      <c r="N3293" s="8">
        <v>19975</v>
      </c>
      <c r="O3293" s="8">
        <v>0</v>
      </c>
      <c r="P3293" s="8">
        <v>0</v>
      </c>
      <c r="Q3293" s="8">
        <v>0</v>
      </c>
      <c r="R3293" s="8">
        <v>0</v>
      </c>
      <c r="S3293" s="8">
        <v>2800</v>
      </c>
      <c r="T3293" s="5">
        <v>2800</v>
      </c>
      <c r="U3293" s="5">
        <v>2320</v>
      </c>
      <c r="V3293" s="5">
        <f>VLOOKUP(A3293,Planilha1!B:E,4,0)</f>
        <v>0.15618217875936719</v>
      </c>
    </row>
    <row r="3294" spans="1:22" x14ac:dyDescent="0.3">
      <c r="A3294" t="str">
        <f t="shared" si="102"/>
        <v>MERC + AROMITAMBÉ</v>
      </c>
      <c r="B3294" t="str">
        <f t="shared" si="103"/>
        <v>5011709MERC + AROMITAMBÉ</v>
      </c>
      <c r="C3294" s="5" t="s">
        <v>226</v>
      </c>
      <c r="D3294" s="5" t="s">
        <v>727</v>
      </c>
      <c r="E3294" s="5" t="s">
        <v>727</v>
      </c>
      <c r="F3294" s="5">
        <v>5011709</v>
      </c>
      <c r="G3294" s="5" t="s">
        <v>728</v>
      </c>
      <c r="H3294" s="5" t="s">
        <v>25</v>
      </c>
      <c r="I3294" s="5" t="s">
        <v>27</v>
      </c>
      <c r="J3294" s="5" t="s">
        <v>230</v>
      </c>
      <c r="K3294" s="6">
        <v>0</v>
      </c>
      <c r="L3294" s="7">
        <v>0</v>
      </c>
      <c r="M3294" s="7">
        <v>0</v>
      </c>
      <c r="N3294" s="8">
        <v>343.66666666666663</v>
      </c>
      <c r="O3294" s="8">
        <v>486.90203703952068</v>
      </c>
      <c r="P3294" s="8">
        <v>0</v>
      </c>
      <c r="Q3294" s="8">
        <v>0</v>
      </c>
      <c r="R3294" s="8">
        <v>0</v>
      </c>
      <c r="S3294" s="8">
        <v>0</v>
      </c>
      <c r="T3294" s="5">
        <v>0</v>
      </c>
      <c r="U3294" s="5">
        <v>0</v>
      </c>
      <c r="V3294" s="5">
        <f>VLOOKUP(A3294,Planilha1!B:E,4,0)</f>
        <v>1.0384020099151063</v>
      </c>
    </row>
    <row r="3295" spans="1:22" x14ac:dyDescent="0.3">
      <c r="A3295" t="str">
        <f t="shared" si="102"/>
        <v>MERC + AROMITAMBÉ</v>
      </c>
      <c r="B3295" t="str">
        <f t="shared" si="103"/>
        <v>5058881MERC + AROMITAMBÉ</v>
      </c>
      <c r="C3295" s="5" t="s">
        <v>149</v>
      </c>
      <c r="D3295" s="5" t="s">
        <v>150</v>
      </c>
      <c r="E3295" s="5" t="s">
        <v>151</v>
      </c>
      <c r="F3295" s="5">
        <v>5058881</v>
      </c>
      <c r="G3295" s="5" t="s">
        <v>200</v>
      </c>
      <c r="H3295" s="5" t="s">
        <v>30</v>
      </c>
      <c r="I3295" s="5" t="s">
        <v>27</v>
      </c>
      <c r="J3295" s="5" t="s">
        <v>230</v>
      </c>
      <c r="K3295" s="6">
        <v>0</v>
      </c>
      <c r="L3295" s="7">
        <v>0</v>
      </c>
      <c r="M3295" s="7">
        <v>0</v>
      </c>
      <c r="N3295" s="8">
        <v>21.666666666666668</v>
      </c>
      <c r="O3295" s="8">
        <v>0</v>
      </c>
      <c r="P3295" s="8">
        <v>0</v>
      </c>
      <c r="Q3295" s="8">
        <v>0</v>
      </c>
      <c r="R3295" s="8">
        <v>0</v>
      </c>
      <c r="S3295" s="8">
        <v>0</v>
      </c>
      <c r="T3295" s="5">
        <v>0</v>
      </c>
      <c r="U3295" s="5">
        <v>0</v>
      </c>
      <c r="V3295" s="5">
        <f>VLOOKUP(A3295,Planilha1!B:E,4,0)</f>
        <v>1.0384020099151063</v>
      </c>
    </row>
    <row r="3296" spans="1:22" x14ac:dyDescent="0.3">
      <c r="A3296" t="str">
        <f t="shared" si="102"/>
        <v>MERC + AROMITAMBÉ</v>
      </c>
      <c r="B3296" t="str">
        <f t="shared" si="103"/>
        <v>5126977MERC + AROMITAMBÉ</v>
      </c>
      <c r="C3296" s="5" t="s">
        <v>226</v>
      </c>
      <c r="D3296" s="5" t="s">
        <v>752</v>
      </c>
      <c r="E3296" s="5" t="s">
        <v>774</v>
      </c>
      <c r="F3296" s="5">
        <v>5126977</v>
      </c>
      <c r="G3296" s="5" t="s">
        <v>1571</v>
      </c>
      <c r="H3296" s="5" t="s">
        <v>32</v>
      </c>
      <c r="I3296" s="5" t="s">
        <v>27</v>
      </c>
      <c r="J3296" s="5" t="s">
        <v>230</v>
      </c>
      <c r="K3296" s="6">
        <v>0</v>
      </c>
      <c r="L3296" s="7">
        <v>0</v>
      </c>
      <c r="M3296" s="7">
        <v>0</v>
      </c>
      <c r="N3296" s="8">
        <v>10.666666666666666</v>
      </c>
      <c r="O3296" s="8">
        <v>0</v>
      </c>
      <c r="P3296" s="8">
        <v>0</v>
      </c>
      <c r="Q3296" s="8">
        <v>0</v>
      </c>
      <c r="R3296" s="8">
        <v>0</v>
      </c>
      <c r="S3296" s="8">
        <v>0</v>
      </c>
      <c r="T3296" s="5">
        <v>0</v>
      </c>
      <c r="U3296" s="5">
        <v>0</v>
      </c>
      <c r="V3296" s="5">
        <f>VLOOKUP(A3296,Planilha1!B:E,4,0)</f>
        <v>1.0384020099151063</v>
      </c>
    </row>
    <row r="3297" spans="1:22" x14ac:dyDescent="0.3">
      <c r="A3297" t="str">
        <f t="shared" si="102"/>
        <v>MERC + AROMITAMBÉ</v>
      </c>
      <c r="B3297" t="str">
        <f t="shared" si="103"/>
        <v>5335628MERC + AROMITAMBÉ</v>
      </c>
      <c r="C3297" s="5" t="s">
        <v>226</v>
      </c>
      <c r="D3297" s="5" t="s">
        <v>727</v>
      </c>
      <c r="E3297" s="5" t="s">
        <v>727</v>
      </c>
      <c r="F3297" s="5">
        <v>5335628</v>
      </c>
      <c r="G3297" s="5" t="s">
        <v>729</v>
      </c>
      <c r="H3297" s="5" t="s">
        <v>25</v>
      </c>
      <c r="I3297" s="5" t="s">
        <v>27</v>
      </c>
      <c r="J3297" s="5" t="s">
        <v>230</v>
      </c>
      <c r="K3297" s="6">
        <v>0</v>
      </c>
      <c r="L3297" s="7">
        <v>0</v>
      </c>
      <c r="M3297" s="7">
        <v>0</v>
      </c>
      <c r="N3297" s="8">
        <v>135</v>
      </c>
      <c r="O3297" s="8">
        <v>9.9979884402365649</v>
      </c>
      <c r="P3297" s="8">
        <v>0</v>
      </c>
      <c r="Q3297" s="8">
        <v>0</v>
      </c>
      <c r="R3297" s="8">
        <v>0</v>
      </c>
      <c r="S3297" s="8">
        <v>0</v>
      </c>
      <c r="T3297" s="5">
        <v>0</v>
      </c>
      <c r="U3297" s="5">
        <v>0</v>
      </c>
      <c r="V3297" s="5">
        <f>VLOOKUP(A3297,Planilha1!B:E,4,0)</f>
        <v>1.0384020099151063</v>
      </c>
    </row>
    <row r="3298" spans="1:22" x14ac:dyDescent="0.3">
      <c r="A3298" t="str">
        <f t="shared" si="102"/>
        <v>MERC + AROMLACTALIS</v>
      </c>
      <c r="B3298" t="str">
        <f t="shared" si="103"/>
        <v>5006978MERC + AROMLACTALIS</v>
      </c>
      <c r="C3298" s="5" t="s">
        <v>226</v>
      </c>
      <c r="D3298" s="5" t="s">
        <v>815</v>
      </c>
      <c r="E3298" s="5" t="s">
        <v>815</v>
      </c>
      <c r="F3298" s="5">
        <v>5006978</v>
      </c>
      <c r="G3298" s="5" t="s">
        <v>830</v>
      </c>
      <c r="H3298" s="5" t="s">
        <v>30</v>
      </c>
      <c r="I3298" s="5" t="s">
        <v>22</v>
      </c>
      <c r="J3298" s="5" t="s">
        <v>230</v>
      </c>
      <c r="K3298" s="6">
        <v>0</v>
      </c>
      <c r="L3298" s="7">
        <v>0</v>
      </c>
      <c r="M3298" s="7">
        <v>0</v>
      </c>
      <c r="N3298" s="8">
        <v>20</v>
      </c>
      <c r="O3298" s="8">
        <v>3.065781300823796</v>
      </c>
      <c r="P3298" s="8">
        <v>0</v>
      </c>
      <c r="Q3298" s="8">
        <v>0</v>
      </c>
      <c r="R3298" s="8">
        <v>0</v>
      </c>
      <c r="S3298" s="8">
        <v>0</v>
      </c>
      <c r="T3298" s="5">
        <v>0</v>
      </c>
      <c r="U3298" s="5">
        <v>0</v>
      </c>
      <c r="V3298" s="5">
        <f>VLOOKUP(A3298,Planilha1!B:E,4,0)</f>
        <v>0.86907188046232187</v>
      </c>
    </row>
    <row r="3299" spans="1:22" x14ac:dyDescent="0.3">
      <c r="A3299" t="str">
        <f t="shared" si="102"/>
        <v>MERC + AROMLACTALIS</v>
      </c>
      <c r="B3299" t="str">
        <f t="shared" si="103"/>
        <v>5027929MERC + AROMLACTALIS</v>
      </c>
      <c r="C3299" s="5" t="s">
        <v>226</v>
      </c>
      <c r="D3299" s="5" t="s">
        <v>227</v>
      </c>
      <c r="E3299" s="5" t="s">
        <v>1722</v>
      </c>
      <c r="F3299" s="5">
        <v>5027929</v>
      </c>
      <c r="G3299" s="5" t="s">
        <v>239</v>
      </c>
      <c r="H3299" s="5" t="s">
        <v>30</v>
      </c>
      <c r="I3299" s="5" t="s">
        <v>22</v>
      </c>
      <c r="J3299" s="5" t="s">
        <v>230</v>
      </c>
      <c r="K3299" s="6">
        <v>0</v>
      </c>
      <c r="L3299" s="7">
        <v>15</v>
      </c>
      <c r="M3299" s="7">
        <v>0</v>
      </c>
      <c r="N3299" s="8">
        <v>16</v>
      </c>
      <c r="O3299" s="8">
        <v>13.499694984482478</v>
      </c>
      <c r="P3299" s="8">
        <v>0</v>
      </c>
      <c r="Q3299" s="8">
        <v>0</v>
      </c>
      <c r="R3299" s="8">
        <v>0</v>
      </c>
      <c r="S3299" s="8">
        <v>0</v>
      </c>
      <c r="T3299" s="5">
        <v>0</v>
      </c>
      <c r="U3299" s="5">
        <v>0</v>
      </c>
      <c r="V3299" s="5">
        <f>VLOOKUP(A3299,Planilha1!B:E,4,0)</f>
        <v>0.86907188046232187</v>
      </c>
    </row>
    <row r="3300" spans="1:22" x14ac:dyDescent="0.3">
      <c r="A3300" t="str">
        <f t="shared" si="102"/>
        <v>MERC + AROMLACTALIS</v>
      </c>
      <c r="B3300" t="str">
        <f t="shared" si="103"/>
        <v>5060465MERC + AROMLACTALIS</v>
      </c>
      <c r="C3300" s="5" t="s">
        <v>226</v>
      </c>
      <c r="D3300" s="5" t="s">
        <v>227</v>
      </c>
      <c r="E3300" s="5" t="s">
        <v>1722</v>
      </c>
      <c r="F3300" s="5">
        <v>5060465</v>
      </c>
      <c r="G3300" s="5" t="s">
        <v>241</v>
      </c>
      <c r="H3300" s="5" t="s">
        <v>30</v>
      </c>
      <c r="I3300" s="5" t="s">
        <v>22</v>
      </c>
      <c r="J3300" s="5" t="s">
        <v>230</v>
      </c>
      <c r="K3300" s="6">
        <v>0</v>
      </c>
      <c r="L3300" s="7">
        <v>0</v>
      </c>
      <c r="M3300" s="7">
        <v>0</v>
      </c>
      <c r="N3300" s="8">
        <v>2</v>
      </c>
      <c r="O3300" s="8">
        <v>3.3734991265570393</v>
      </c>
      <c r="P3300" s="8">
        <v>0</v>
      </c>
      <c r="Q3300" s="8">
        <v>0</v>
      </c>
      <c r="R3300" s="8">
        <v>0</v>
      </c>
      <c r="S3300" s="8">
        <v>0</v>
      </c>
      <c r="T3300" s="5">
        <v>0</v>
      </c>
      <c r="U3300" s="5">
        <v>0</v>
      </c>
      <c r="V3300" s="5">
        <f>VLOOKUP(A3300,Planilha1!B:E,4,0)</f>
        <v>0.86907188046232187</v>
      </c>
    </row>
    <row r="3301" spans="1:22" x14ac:dyDescent="0.3">
      <c r="A3301" t="str">
        <f t="shared" si="102"/>
        <v>MERC + AROMLACTALIS</v>
      </c>
      <c r="B3301" t="str">
        <f t="shared" si="103"/>
        <v>5161553MERC + AROMLACTALIS</v>
      </c>
      <c r="C3301" s="5" t="s">
        <v>149</v>
      </c>
      <c r="D3301" s="5" t="s">
        <v>150</v>
      </c>
      <c r="E3301" s="5" t="s">
        <v>151</v>
      </c>
      <c r="F3301" s="5">
        <v>5161553</v>
      </c>
      <c r="G3301" s="5" t="s">
        <v>198</v>
      </c>
      <c r="H3301" s="5" t="s">
        <v>113</v>
      </c>
      <c r="I3301" s="5" t="s">
        <v>22</v>
      </c>
      <c r="J3301" s="5" t="s">
        <v>230</v>
      </c>
      <c r="K3301" s="6">
        <v>0</v>
      </c>
      <c r="L3301" s="7">
        <v>0</v>
      </c>
      <c r="M3301" s="7">
        <v>0</v>
      </c>
      <c r="N3301" s="8">
        <v>2161.6</v>
      </c>
      <c r="O3301" s="8">
        <v>811.33793689347669</v>
      </c>
      <c r="P3301" s="8">
        <v>0</v>
      </c>
      <c r="Q3301" s="8">
        <v>0</v>
      </c>
      <c r="R3301" s="8">
        <v>0</v>
      </c>
      <c r="S3301" s="8">
        <v>0</v>
      </c>
      <c r="T3301" s="5">
        <v>0</v>
      </c>
      <c r="U3301" s="5">
        <v>0</v>
      </c>
      <c r="V3301" s="5">
        <f>VLOOKUP(A3301,Planilha1!B:E,4,0)</f>
        <v>0.86907188046232187</v>
      </c>
    </row>
    <row r="3302" spans="1:22" x14ac:dyDescent="0.3">
      <c r="A3302" t="str">
        <f t="shared" si="102"/>
        <v>MERC + AROMLACTALIS</v>
      </c>
      <c r="B3302" t="str">
        <f t="shared" si="103"/>
        <v>5162285MERC + AROMLACTALIS</v>
      </c>
      <c r="C3302" s="5" t="s">
        <v>226</v>
      </c>
      <c r="D3302" s="5" t="s">
        <v>903</v>
      </c>
      <c r="E3302" s="5" t="s">
        <v>904</v>
      </c>
      <c r="F3302" s="5">
        <v>5162285</v>
      </c>
      <c r="G3302" s="5" t="s">
        <v>919</v>
      </c>
      <c r="H3302" s="5" t="s">
        <v>113</v>
      </c>
      <c r="I3302" s="5" t="s">
        <v>22</v>
      </c>
      <c r="J3302" s="5" t="s">
        <v>230</v>
      </c>
      <c r="K3302" s="6">
        <v>0</v>
      </c>
      <c r="L3302" s="7">
        <v>0</v>
      </c>
      <c r="M3302" s="7">
        <v>0</v>
      </c>
      <c r="N3302" s="8">
        <v>0</v>
      </c>
      <c r="O3302" s="8">
        <v>38.92060647700098</v>
      </c>
      <c r="P3302" s="8">
        <v>0</v>
      </c>
      <c r="Q3302" s="8">
        <v>0</v>
      </c>
      <c r="R3302" s="8">
        <v>0</v>
      </c>
      <c r="S3302" s="8">
        <v>0</v>
      </c>
      <c r="T3302" s="5">
        <v>0</v>
      </c>
      <c r="U3302" s="5">
        <v>0</v>
      </c>
      <c r="V3302" s="5">
        <f>VLOOKUP(A3302,Planilha1!B:E,4,0)</f>
        <v>0.86907188046232187</v>
      </c>
    </row>
    <row r="3303" spans="1:22" x14ac:dyDescent="0.3">
      <c r="A3303" t="str">
        <f t="shared" si="102"/>
        <v>MERC + AROMLACTALIS</v>
      </c>
      <c r="B3303" t="str">
        <f t="shared" si="103"/>
        <v>5175227MERC + AROMLACTALIS</v>
      </c>
      <c r="C3303" s="5" t="s">
        <v>149</v>
      </c>
      <c r="D3303" s="5" t="s">
        <v>150</v>
      </c>
      <c r="E3303" s="5" t="s">
        <v>151</v>
      </c>
      <c r="F3303" s="5">
        <v>5175227</v>
      </c>
      <c r="G3303" s="5" t="s">
        <v>204</v>
      </c>
      <c r="H3303" s="5" t="s">
        <v>30</v>
      </c>
      <c r="I3303" s="5" t="s">
        <v>22</v>
      </c>
      <c r="J3303" s="5" t="s">
        <v>230</v>
      </c>
      <c r="K3303" s="6">
        <v>0</v>
      </c>
      <c r="L3303" s="7">
        <v>0</v>
      </c>
      <c r="M3303" s="7">
        <v>0</v>
      </c>
      <c r="N3303" s="8">
        <v>0</v>
      </c>
      <c r="O3303" s="8">
        <v>15.705006068904055</v>
      </c>
      <c r="P3303" s="8">
        <v>0</v>
      </c>
      <c r="Q3303" s="8">
        <v>0</v>
      </c>
      <c r="R3303" s="8">
        <v>0</v>
      </c>
      <c r="S3303" s="8">
        <v>0</v>
      </c>
      <c r="T3303" s="5">
        <v>0</v>
      </c>
      <c r="U3303" s="5">
        <v>0</v>
      </c>
      <c r="V3303" s="5">
        <f>VLOOKUP(A3303,Planilha1!B:E,4,0)</f>
        <v>0.86907188046232187</v>
      </c>
    </row>
    <row r="3304" spans="1:22" x14ac:dyDescent="0.3">
      <c r="A3304" t="str">
        <f t="shared" si="102"/>
        <v>MERC + AROMLACTALIS</v>
      </c>
      <c r="B3304" t="str">
        <f t="shared" si="103"/>
        <v>5211344MERC + AROMLACTALIS</v>
      </c>
      <c r="C3304" s="5" t="s">
        <v>226</v>
      </c>
      <c r="D3304" s="5" t="s">
        <v>815</v>
      </c>
      <c r="E3304" s="5" t="s">
        <v>815</v>
      </c>
      <c r="F3304" s="5">
        <v>5211344</v>
      </c>
      <c r="G3304" s="5" t="s">
        <v>832</v>
      </c>
      <c r="H3304" s="5" t="s">
        <v>30</v>
      </c>
      <c r="I3304" s="5" t="s">
        <v>22</v>
      </c>
      <c r="J3304" s="5" t="s">
        <v>230</v>
      </c>
      <c r="K3304" s="6">
        <v>0</v>
      </c>
      <c r="L3304" s="7">
        <v>0</v>
      </c>
      <c r="M3304" s="7">
        <v>0</v>
      </c>
      <c r="N3304" s="8">
        <v>5</v>
      </c>
      <c r="O3304" s="8">
        <v>3.065781300823796</v>
      </c>
      <c r="P3304" s="8">
        <v>0</v>
      </c>
      <c r="Q3304" s="8">
        <v>0</v>
      </c>
      <c r="R3304" s="8">
        <v>0</v>
      </c>
      <c r="S3304" s="8">
        <v>0</v>
      </c>
      <c r="T3304" s="5">
        <v>0</v>
      </c>
      <c r="U3304" s="5">
        <v>0</v>
      </c>
      <c r="V3304" s="5">
        <f>VLOOKUP(A3304,Planilha1!B:E,4,0)</f>
        <v>0.86907188046232187</v>
      </c>
    </row>
    <row r="3305" spans="1:22" x14ac:dyDescent="0.3">
      <c r="A3305" t="str">
        <f t="shared" si="102"/>
        <v>MERC + AROMLACTALIS</v>
      </c>
      <c r="B3305" t="str">
        <f t="shared" si="103"/>
        <v>5226985MERC + AROMLACTALIS</v>
      </c>
      <c r="C3305" s="5" t="s">
        <v>226</v>
      </c>
      <c r="D3305" s="5" t="s">
        <v>815</v>
      </c>
      <c r="E3305" s="5" t="s">
        <v>815</v>
      </c>
      <c r="F3305" s="5">
        <v>5226985</v>
      </c>
      <c r="G3305" s="5" t="s">
        <v>830</v>
      </c>
      <c r="H3305" s="5" t="s">
        <v>30</v>
      </c>
      <c r="I3305" s="5" t="s">
        <v>22</v>
      </c>
      <c r="J3305" s="5" t="s">
        <v>230</v>
      </c>
      <c r="K3305" s="6">
        <v>0</v>
      </c>
      <c r="L3305" s="7">
        <v>0</v>
      </c>
      <c r="M3305" s="7">
        <v>0</v>
      </c>
      <c r="N3305" s="8">
        <v>10</v>
      </c>
      <c r="O3305" s="8">
        <v>3.065781300823796</v>
      </c>
      <c r="P3305" s="8">
        <v>0</v>
      </c>
      <c r="Q3305" s="8">
        <v>0</v>
      </c>
      <c r="R3305" s="8">
        <v>0</v>
      </c>
      <c r="S3305" s="8">
        <v>0</v>
      </c>
      <c r="T3305" s="5">
        <v>0</v>
      </c>
      <c r="U3305" s="5">
        <v>0</v>
      </c>
      <c r="V3305" s="5">
        <f>VLOOKUP(A3305,Planilha1!B:E,4,0)</f>
        <v>0.86907188046232187</v>
      </c>
    </row>
    <row r="3306" spans="1:22" x14ac:dyDescent="0.3">
      <c r="A3306" t="str">
        <f t="shared" si="102"/>
        <v>MERC + AROMLACTALIS</v>
      </c>
      <c r="B3306" t="str">
        <f t="shared" si="103"/>
        <v>5252814MERC + AROMLACTALIS</v>
      </c>
      <c r="C3306" s="5" t="s">
        <v>226</v>
      </c>
      <c r="D3306" s="5" t="s">
        <v>227</v>
      </c>
      <c r="E3306" s="5" t="s">
        <v>1722</v>
      </c>
      <c r="F3306" s="5">
        <v>5252814</v>
      </c>
      <c r="G3306" s="5" t="s">
        <v>1287</v>
      </c>
      <c r="H3306" s="5" t="s">
        <v>30</v>
      </c>
      <c r="I3306" s="5" t="s">
        <v>22</v>
      </c>
      <c r="J3306" s="5" t="s">
        <v>230</v>
      </c>
      <c r="K3306" s="6">
        <v>0</v>
      </c>
      <c r="L3306" s="7">
        <v>0</v>
      </c>
      <c r="M3306" s="7">
        <v>0</v>
      </c>
      <c r="N3306" s="8">
        <v>1.8</v>
      </c>
      <c r="O3306" s="8">
        <v>3.0543843443151575</v>
      </c>
      <c r="P3306" s="8">
        <v>0</v>
      </c>
      <c r="Q3306" s="8">
        <v>0</v>
      </c>
      <c r="R3306" s="8">
        <v>0</v>
      </c>
      <c r="S3306" s="8">
        <v>0</v>
      </c>
      <c r="T3306" s="5">
        <v>0</v>
      </c>
      <c r="U3306" s="5">
        <v>0</v>
      </c>
      <c r="V3306" s="5">
        <f>VLOOKUP(A3306,Planilha1!B:E,4,0)</f>
        <v>0.86907188046232187</v>
      </c>
    </row>
    <row r="3307" spans="1:22" x14ac:dyDescent="0.3">
      <c r="A3307" t="str">
        <f t="shared" si="102"/>
        <v>MERC + AROMLACTALIS</v>
      </c>
      <c r="B3307" t="str">
        <f t="shared" si="103"/>
        <v>5257654MERC + AROMLACTALIS</v>
      </c>
      <c r="C3307" s="5" t="s">
        <v>226</v>
      </c>
      <c r="D3307" s="5" t="s">
        <v>227</v>
      </c>
      <c r="E3307" s="5" t="s">
        <v>1722</v>
      </c>
      <c r="F3307" s="5">
        <v>5257654</v>
      </c>
      <c r="G3307" s="5" t="s">
        <v>1572</v>
      </c>
      <c r="H3307" s="5" t="s">
        <v>30</v>
      </c>
      <c r="I3307" s="5" t="s">
        <v>22</v>
      </c>
      <c r="J3307" s="5" t="s">
        <v>230</v>
      </c>
      <c r="K3307" s="6">
        <v>0</v>
      </c>
      <c r="L3307" s="7">
        <v>0</v>
      </c>
      <c r="M3307" s="7">
        <v>0</v>
      </c>
      <c r="N3307" s="8">
        <v>0</v>
      </c>
      <c r="O3307" s="8">
        <v>0.84337478163925983</v>
      </c>
      <c r="P3307" s="8">
        <v>0</v>
      </c>
      <c r="Q3307" s="8">
        <v>0</v>
      </c>
      <c r="R3307" s="8">
        <v>0</v>
      </c>
      <c r="S3307" s="8">
        <v>0</v>
      </c>
      <c r="T3307" s="5">
        <v>0</v>
      </c>
      <c r="U3307" s="5">
        <v>0</v>
      </c>
      <c r="V3307" s="5">
        <f>VLOOKUP(A3307,Planilha1!B:E,4,0)</f>
        <v>0.86907188046232187</v>
      </c>
    </row>
    <row r="3308" spans="1:22" x14ac:dyDescent="0.3">
      <c r="A3308" t="str">
        <f t="shared" si="102"/>
        <v>MERC + AROMLACTALIS</v>
      </c>
      <c r="B3308" t="str">
        <f t="shared" si="103"/>
        <v>5261269MERC + AROMLACTALIS</v>
      </c>
      <c r="C3308" s="5" t="s">
        <v>226</v>
      </c>
      <c r="D3308" s="5" t="s">
        <v>227</v>
      </c>
      <c r="E3308" s="5" t="s">
        <v>1722</v>
      </c>
      <c r="F3308" s="5">
        <v>5261269</v>
      </c>
      <c r="G3308" s="5" t="s">
        <v>282</v>
      </c>
      <c r="H3308" s="5" t="s">
        <v>30</v>
      </c>
      <c r="I3308" s="5" t="s">
        <v>22</v>
      </c>
      <c r="J3308" s="5" t="s">
        <v>230</v>
      </c>
      <c r="K3308" s="6">
        <v>0</v>
      </c>
      <c r="L3308" s="7">
        <v>0</v>
      </c>
      <c r="M3308" s="7">
        <v>0</v>
      </c>
      <c r="N3308" s="8">
        <v>0</v>
      </c>
      <c r="O3308" s="8">
        <v>0.84337478163925983</v>
      </c>
      <c r="P3308" s="8">
        <v>0</v>
      </c>
      <c r="Q3308" s="8">
        <v>0</v>
      </c>
      <c r="R3308" s="8">
        <v>0</v>
      </c>
      <c r="S3308" s="8">
        <v>0</v>
      </c>
      <c r="T3308" s="5">
        <v>0</v>
      </c>
      <c r="U3308" s="5">
        <v>0</v>
      </c>
      <c r="V3308" s="5">
        <f>VLOOKUP(A3308,Planilha1!B:E,4,0)</f>
        <v>0.86907188046232187</v>
      </c>
    </row>
    <row r="3309" spans="1:22" x14ac:dyDescent="0.3">
      <c r="A3309" t="str">
        <f t="shared" si="102"/>
        <v>MERC + AROMLACTALIS</v>
      </c>
      <c r="B3309" t="str">
        <f t="shared" si="103"/>
        <v>5263491MERC + AROMLACTALIS</v>
      </c>
      <c r="C3309" s="5" t="s">
        <v>226</v>
      </c>
      <c r="D3309" s="5" t="s">
        <v>227</v>
      </c>
      <c r="E3309" s="5" t="s">
        <v>1722</v>
      </c>
      <c r="F3309" s="5">
        <v>5263491</v>
      </c>
      <c r="G3309" s="5" t="s">
        <v>1525</v>
      </c>
      <c r="H3309" s="5" t="s">
        <v>30</v>
      </c>
      <c r="I3309" s="5" t="s">
        <v>22</v>
      </c>
      <c r="J3309" s="5" t="s">
        <v>230</v>
      </c>
      <c r="K3309" s="6">
        <v>0</v>
      </c>
      <c r="L3309" s="7">
        <v>0</v>
      </c>
      <c r="M3309" s="7">
        <v>0</v>
      </c>
      <c r="N3309" s="8">
        <v>0</v>
      </c>
      <c r="O3309" s="8">
        <v>4.9234852117318955</v>
      </c>
      <c r="P3309" s="8">
        <v>0</v>
      </c>
      <c r="Q3309" s="8">
        <v>0</v>
      </c>
      <c r="R3309" s="8">
        <v>0</v>
      </c>
      <c r="S3309" s="8">
        <v>0</v>
      </c>
      <c r="T3309" s="5">
        <v>0</v>
      </c>
      <c r="U3309" s="5">
        <v>0</v>
      </c>
      <c r="V3309" s="5">
        <f>VLOOKUP(A3309,Planilha1!B:E,4,0)</f>
        <v>0.86907188046232187</v>
      </c>
    </row>
    <row r="3310" spans="1:22" x14ac:dyDescent="0.3">
      <c r="A3310" t="str">
        <f t="shared" si="102"/>
        <v>MERC + AROMLACTALIS</v>
      </c>
      <c r="B3310" t="str">
        <f t="shared" si="103"/>
        <v>5270564MERC + AROMLACTALIS</v>
      </c>
      <c r="C3310" s="5" t="s">
        <v>16</v>
      </c>
      <c r="D3310" s="5" t="s">
        <v>17</v>
      </c>
      <c r="E3310" s="5" t="s">
        <v>66</v>
      </c>
      <c r="F3310" s="5">
        <v>5270564</v>
      </c>
      <c r="G3310" s="5" t="s">
        <v>1573</v>
      </c>
      <c r="H3310" s="5" t="s">
        <v>30</v>
      </c>
      <c r="I3310" s="5" t="s">
        <v>22</v>
      </c>
      <c r="J3310" s="5" t="s">
        <v>230</v>
      </c>
      <c r="K3310" s="6">
        <v>0</v>
      </c>
      <c r="L3310" s="7">
        <v>0</v>
      </c>
      <c r="M3310" s="7">
        <v>0</v>
      </c>
      <c r="N3310" s="8">
        <v>-1</v>
      </c>
      <c r="O3310" s="8">
        <v>0</v>
      </c>
      <c r="P3310" s="8">
        <v>0</v>
      </c>
      <c r="Q3310" s="8">
        <v>0</v>
      </c>
      <c r="R3310" s="8">
        <v>0</v>
      </c>
      <c r="S3310" s="8">
        <v>0</v>
      </c>
      <c r="T3310" s="5">
        <v>0</v>
      </c>
      <c r="U3310" s="5">
        <v>0</v>
      </c>
      <c r="V3310" s="5">
        <f>VLOOKUP(A3310,Planilha1!B:E,4,0)</f>
        <v>0.86907188046232187</v>
      </c>
    </row>
    <row r="3311" spans="1:22" x14ac:dyDescent="0.3">
      <c r="A3311" t="str">
        <f t="shared" si="102"/>
        <v>MERC + AROMLACTALIS</v>
      </c>
      <c r="B3311" t="str">
        <f t="shared" si="103"/>
        <v>5278208MERC + AROMLACTALIS</v>
      </c>
      <c r="C3311" s="5" t="s">
        <v>226</v>
      </c>
      <c r="D3311" s="5" t="s">
        <v>227</v>
      </c>
      <c r="E3311" s="5" t="s">
        <v>703</v>
      </c>
      <c r="F3311" s="5">
        <v>5278208</v>
      </c>
      <c r="G3311" s="5" t="s">
        <v>723</v>
      </c>
      <c r="H3311" s="5" t="s">
        <v>30</v>
      </c>
      <c r="I3311" s="5" t="s">
        <v>22</v>
      </c>
      <c r="J3311" s="5" t="s">
        <v>230</v>
      </c>
      <c r="K3311" s="6">
        <v>0</v>
      </c>
      <c r="L3311" s="7">
        <v>0</v>
      </c>
      <c r="M3311" s="7">
        <v>0</v>
      </c>
      <c r="N3311" s="8">
        <v>1.5999999999999999</v>
      </c>
      <c r="O3311" s="8">
        <v>0</v>
      </c>
      <c r="P3311" s="8">
        <v>0</v>
      </c>
      <c r="Q3311" s="8">
        <v>0</v>
      </c>
      <c r="R3311" s="8">
        <v>0</v>
      </c>
      <c r="S3311" s="8">
        <v>0</v>
      </c>
      <c r="T3311" s="5">
        <v>0</v>
      </c>
      <c r="U3311" s="5">
        <v>0</v>
      </c>
      <c r="V3311" s="5">
        <f>VLOOKUP(A3311,Planilha1!B:E,4,0)</f>
        <v>0.86907188046232187</v>
      </c>
    </row>
    <row r="3312" spans="1:22" x14ac:dyDescent="0.3">
      <c r="A3312" t="str">
        <f t="shared" si="102"/>
        <v>MERC + AROMLACTALIS</v>
      </c>
      <c r="B3312" t="str">
        <f t="shared" si="103"/>
        <v>5279645MERC + AROMLACTALIS</v>
      </c>
      <c r="C3312" s="5" t="s">
        <v>226</v>
      </c>
      <c r="D3312" s="5" t="s">
        <v>227</v>
      </c>
      <c r="E3312" s="5" t="s">
        <v>1722</v>
      </c>
      <c r="F3312" s="5">
        <v>5279645</v>
      </c>
      <c r="G3312" s="5" t="s">
        <v>310</v>
      </c>
      <c r="H3312" s="5" t="s">
        <v>30</v>
      </c>
      <c r="I3312" s="5" t="s">
        <v>22</v>
      </c>
      <c r="J3312" s="5" t="s">
        <v>230</v>
      </c>
      <c r="K3312" s="6">
        <v>0</v>
      </c>
      <c r="L3312" s="7">
        <v>0</v>
      </c>
      <c r="M3312" s="7">
        <v>0</v>
      </c>
      <c r="N3312" s="8">
        <v>1</v>
      </c>
      <c r="O3312" s="8">
        <v>1.6924480415328391</v>
      </c>
      <c r="P3312" s="8">
        <v>0</v>
      </c>
      <c r="Q3312" s="8">
        <v>0</v>
      </c>
      <c r="R3312" s="8">
        <v>0</v>
      </c>
      <c r="S3312" s="8">
        <v>0</v>
      </c>
      <c r="T3312" s="5">
        <v>0</v>
      </c>
      <c r="U3312" s="5">
        <v>0</v>
      </c>
      <c r="V3312" s="5">
        <f>VLOOKUP(A3312,Planilha1!B:E,4,0)</f>
        <v>0.86907188046232187</v>
      </c>
    </row>
    <row r="3313" spans="1:22" x14ac:dyDescent="0.3">
      <c r="A3313" t="str">
        <f t="shared" si="102"/>
        <v>MERC + AROMLACTALIS</v>
      </c>
      <c r="B3313" t="str">
        <f t="shared" si="103"/>
        <v>5285696MERC + AROMLACTALIS</v>
      </c>
      <c r="C3313" s="5" t="s">
        <v>226</v>
      </c>
      <c r="D3313" s="5" t="s">
        <v>227</v>
      </c>
      <c r="E3313" s="5" t="s">
        <v>1722</v>
      </c>
      <c r="F3313" s="5">
        <v>5285696</v>
      </c>
      <c r="G3313" s="5" t="s">
        <v>455</v>
      </c>
      <c r="H3313" s="5" t="s">
        <v>30</v>
      </c>
      <c r="I3313" s="5" t="s">
        <v>22</v>
      </c>
      <c r="J3313" s="5" t="s">
        <v>230</v>
      </c>
      <c r="K3313" s="6">
        <v>0</v>
      </c>
      <c r="L3313" s="7">
        <v>0</v>
      </c>
      <c r="M3313" s="7">
        <v>0</v>
      </c>
      <c r="N3313" s="8">
        <v>0</v>
      </c>
      <c r="O3313" s="8">
        <v>4.239667821213577</v>
      </c>
      <c r="P3313" s="8">
        <v>0</v>
      </c>
      <c r="Q3313" s="8">
        <v>0</v>
      </c>
      <c r="R3313" s="8">
        <v>0</v>
      </c>
      <c r="S3313" s="8">
        <v>0</v>
      </c>
      <c r="T3313" s="5">
        <v>0</v>
      </c>
      <c r="U3313" s="5">
        <v>0</v>
      </c>
      <c r="V3313" s="5">
        <f>VLOOKUP(A3313,Planilha1!B:E,4,0)</f>
        <v>0.86907188046232187</v>
      </c>
    </row>
    <row r="3314" spans="1:22" x14ac:dyDescent="0.3">
      <c r="A3314" t="str">
        <f t="shared" si="102"/>
        <v>MERC + AROMLACTALIS</v>
      </c>
      <c r="B3314" t="str">
        <f t="shared" si="103"/>
        <v>5293401MERC + AROMLACTALIS</v>
      </c>
      <c r="C3314" s="5" t="s">
        <v>226</v>
      </c>
      <c r="D3314" s="5" t="s">
        <v>227</v>
      </c>
      <c r="E3314" s="5" t="s">
        <v>1722</v>
      </c>
      <c r="F3314" s="5">
        <v>5293401</v>
      </c>
      <c r="G3314" s="5" t="s">
        <v>1492</v>
      </c>
      <c r="H3314" s="5" t="s">
        <v>30</v>
      </c>
      <c r="I3314" s="5" t="s">
        <v>22</v>
      </c>
      <c r="J3314" s="5" t="s">
        <v>230</v>
      </c>
      <c r="K3314" s="6">
        <v>0</v>
      </c>
      <c r="L3314" s="7">
        <v>0</v>
      </c>
      <c r="M3314" s="7">
        <v>0</v>
      </c>
      <c r="N3314" s="8">
        <v>0</v>
      </c>
      <c r="O3314" s="8">
        <v>0</v>
      </c>
      <c r="P3314" s="8">
        <v>0</v>
      </c>
      <c r="Q3314" s="8">
        <v>0</v>
      </c>
      <c r="R3314" s="8">
        <v>0</v>
      </c>
      <c r="S3314" s="8">
        <v>0</v>
      </c>
      <c r="T3314" s="5">
        <v>0</v>
      </c>
      <c r="U3314" s="5">
        <v>0</v>
      </c>
      <c r="V3314" s="5">
        <f>VLOOKUP(A3314,Planilha1!B:E,4,0)</f>
        <v>0.86907188046232187</v>
      </c>
    </row>
    <row r="3315" spans="1:22" x14ac:dyDescent="0.3">
      <c r="A3315" t="str">
        <f t="shared" si="102"/>
        <v>MERC + AROMLACTALIS</v>
      </c>
      <c r="B3315" t="str">
        <f t="shared" si="103"/>
        <v>5293612MERC + AROMLACTALIS</v>
      </c>
      <c r="C3315" s="5" t="s">
        <v>226</v>
      </c>
      <c r="D3315" s="5" t="s">
        <v>227</v>
      </c>
      <c r="E3315" s="5" t="s">
        <v>1722</v>
      </c>
      <c r="F3315" s="5">
        <v>5293612</v>
      </c>
      <c r="G3315" s="5" t="s">
        <v>328</v>
      </c>
      <c r="H3315" s="5" t="s">
        <v>30</v>
      </c>
      <c r="I3315" s="5" t="s">
        <v>22</v>
      </c>
      <c r="J3315" s="5" t="s">
        <v>230</v>
      </c>
      <c r="K3315" s="6">
        <v>0</v>
      </c>
      <c r="L3315" s="7">
        <v>21.6</v>
      </c>
      <c r="M3315" s="7">
        <v>0</v>
      </c>
      <c r="N3315" s="8">
        <v>10.799999999999999</v>
      </c>
      <c r="O3315" s="8">
        <v>10.656154335577135</v>
      </c>
      <c r="P3315" s="8">
        <v>0</v>
      </c>
      <c r="Q3315" s="8">
        <v>0</v>
      </c>
      <c r="R3315" s="8">
        <v>0</v>
      </c>
      <c r="S3315" s="8">
        <v>0</v>
      </c>
      <c r="T3315" s="5">
        <v>0</v>
      </c>
      <c r="U3315" s="5">
        <v>0</v>
      </c>
      <c r="V3315" s="5">
        <f>VLOOKUP(A3315,Planilha1!B:E,4,0)</f>
        <v>0.86907188046232187</v>
      </c>
    </row>
    <row r="3316" spans="1:22" x14ac:dyDescent="0.3">
      <c r="A3316" t="str">
        <f t="shared" si="102"/>
        <v>MERC + AROMLACTALIS</v>
      </c>
      <c r="B3316" t="str">
        <f t="shared" si="103"/>
        <v>5321782MERC + AROMLACTALIS</v>
      </c>
      <c r="C3316" s="5" t="s">
        <v>226</v>
      </c>
      <c r="D3316" s="5" t="s">
        <v>903</v>
      </c>
      <c r="E3316" s="5" t="s">
        <v>904</v>
      </c>
      <c r="F3316" s="5">
        <v>5321782</v>
      </c>
      <c r="G3316" s="5" t="s">
        <v>935</v>
      </c>
      <c r="H3316" s="5" t="s">
        <v>113</v>
      </c>
      <c r="I3316" s="5" t="s">
        <v>22</v>
      </c>
      <c r="J3316" s="5" t="s">
        <v>230</v>
      </c>
      <c r="K3316" s="6">
        <v>0</v>
      </c>
      <c r="L3316" s="7">
        <v>0</v>
      </c>
      <c r="M3316" s="7">
        <v>0</v>
      </c>
      <c r="N3316" s="8">
        <v>0</v>
      </c>
      <c r="O3316" s="8">
        <v>2.1654217366413429</v>
      </c>
      <c r="P3316" s="8">
        <v>0</v>
      </c>
      <c r="Q3316" s="8">
        <v>0</v>
      </c>
      <c r="R3316" s="8">
        <v>0</v>
      </c>
      <c r="S3316" s="8">
        <v>0</v>
      </c>
      <c r="T3316" s="5">
        <v>0</v>
      </c>
      <c r="U3316" s="5">
        <v>0</v>
      </c>
      <c r="V3316" s="5">
        <f>VLOOKUP(A3316,Planilha1!B:E,4,0)</f>
        <v>0.86907188046232187</v>
      </c>
    </row>
    <row r="3317" spans="1:22" x14ac:dyDescent="0.3">
      <c r="A3317" t="str">
        <f t="shared" si="102"/>
        <v>MERC + AROMLACTALIS</v>
      </c>
      <c r="B3317" t="str">
        <f t="shared" si="103"/>
        <v>5331926MERC + AROMLACTALIS</v>
      </c>
      <c r="C3317" s="5" t="s">
        <v>226</v>
      </c>
      <c r="D3317" s="5" t="s">
        <v>227</v>
      </c>
      <c r="E3317" s="5" t="s">
        <v>1722</v>
      </c>
      <c r="F3317" s="5">
        <v>5331926</v>
      </c>
      <c r="G3317" s="5" t="s">
        <v>1574</v>
      </c>
      <c r="H3317" s="5" t="s">
        <v>30</v>
      </c>
      <c r="I3317" s="5" t="s">
        <v>22</v>
      </c>
      <c r="J3317" s="5" t="s">
        <v>230</v>
      </c>
      <c r="K3317" s="6">
        <v>0</v>
      </c>
      <c r="L3317" s="7">
        <v>0</v>
      </c>
      <c r="M3317" s="7">
        <v>0</v>
      </c>
      <c r="N3317" s="8">
        <v>99.2</v>
      </c>
      <c r="O3317" s="8">
        <v>0</v>
      </c>
      <c r="P3317" s="8">
        <v>0</v>
      </c>
      <c r="Q3317" s="8">
        <v>0</v>
      </c>
      <c r="R3317" s="8">
        <v>0</v>
      </c>
      <c r="S3317" s="8">
        <v>0</v>
      </c>
      <c r="T3317" s="5">
        <v>0</v>
      </c>
      <c r="U3317" s="5">
        <v>0</v>
      </c>
      <c r="V3317" s="5">
        <f>VLOOKUP(A3317,Planilha1!B:E,4,0)</f>
        <v>0.86907188046232187</v>
      </c>
    </row>
    <row r="3318" spans="1:22" x14ac:dyDescent="0.3">
      <c r="A3318" t="str">
        <f t="shared" si="102"/>
        <v>MERC + AROMLACTALIS</v>
      </c>
      <c r="B3318" t="str">
        <f t="shared" si="103"/>
        <v>5333626MERC + AROMLACTALIS</v>
      </c>
      <c r="C3318" s="5" t="s">
        <v>226</v>
      </c>
      <c r="D3318" s="5" t="s">
        <v>227</v>
      </c>
      <c r="E3318" s="5" t="s">
        <v>1722</v>
      </c>
      <c r="F3318" s="5">
        <v>5333626</v>
      </c>
      <c r="G3318" s="5" t="s">
        <v>356</v>
      </c>
      <c r="H3318" s="5" t="s">
        <v>30</v>
      </c>
      <c r="I3318" s="5" t="s">
        <v>22</v>
      </c>
      <c r="J3318" s="5" t="s">
        <v>230</v>
      </c>
      <c r="K3318" s="6">
        <v>0</v>
      </c>
      <c r="L3318" s="7">
        <v>5.4</v>
      </c>
      <c r="M3318" s="7">
        <v>0</v>
      </c>
      <c r="N3318" s="8">
        <v>5.3999999999999995</v>
      </c>
      <c r="O3318" s="8">
        <v>3.0429873878065186</v>
      </c>
      <c r="P3318" s="8">
        <v>0</v>
      </c>
      <c r="Q3318" s="8">
        <v>0</v>
      </c>
      <c r="R3318" s="8">
        <v>0</v>
      </c>
      <c r="S3318" s="8">
        <v>0</v>
      </c>
      <c r="T3318" s="5">
        <v>0</v>
      </c>
      <c r="U3318" s="5">
        <v>0</v>
      </c>
      <c r="V3318" s="5">
        <f>VLOOKUP(A3318,Planilha1!B:E,4,0)</f>
        <v>0.86907188046232187</v>
      </c>
    </row>
    <row r="3319" spans="1:22" x14ac:dyDescent="0.3">
      <c r="A3319" t="str">
        <f t="shared" si="102"/>
        <v>MERC + AROMLACTALIS</v>
      </c>
      <c r="B3319" t="str">
        <f t="shared" si="103"/>
        <v>5341282MERC + AROMLACTALIS</v>
      </c>
      <c r="C3319" s="5" t="s">
        <v>226</v>
      </c>
      <c r="D3319" s="5" t="s">
        <v>227</v>
      </c>
      <c r="E3319" s="5" t="s">
        <v>1722</v>
      </c>
      <c r="F3319" s="5">
        <v>5341282</v>
      </c>
      <c r="G3319" s="5" t="s">
        <v>1575</v>
      </c>
      <c r="H3319" s="5" t="s">
        <v>30</v>
      </c>
      <c r="I3319" s="5" t="s">
        <v>22</v>
      </c>
      <c r="J3319" s="5" t="s">
        <v>230</v>
      </c>
      <c r="K3319" s="6">
        <v>0</v>
      </c>
      <c r="L3319" s="7">
        <v>0</v>
      </c>
      <c r="M3319" s="7">
        <v>0</v>
      </c>
      <c r="N3319" s="8">
        <v>2</v>
      </c>
      <c r="O3319" s="8">
        <v>0.83767630338494059</v>
      </c>
      <c r="P3319" s="8">
        <v>0</v>
      </c>
      <c r="Q3319" s="8">
        <v>-3</v>
      </c>
      <c r="R3319" s="8">
        <v>0</v>
      </c>
      <c r="S3319" s="8">
        <v>0</v>
      </c>
      <c r="T3319" s="5">
        <v>0</v>
      </c>
      <c r="U3319" s="5">
        <v>0</v>
      </c>
      <c r="V3319" s="5">
        <f>VLOOKUP(A3319,Planilha1!B:E,4,0)</f>
        <v>0.86907188046232187</v>
      </c>
    </row>
    <row r="3320" spans="1:22" x14ac:dyDescent="0.3">
      <c r="A3320" t="str">
        <f t="shared" si="102"/>
        <v>MERC + AROMLACTALIS</v>
      </c>
      <c r="B3320" t="str">
        <f t="shared" si="103"/>
        <v>5347794MERC + AROMLACTALIS</v>
      </c>
      <c r="C3320" s="5" t="s">
        <v>226</v>
      </c>
      <c r="D3320" s="5" t="s">
        <v>227</v>
      </c>
      <c r="E3320" s="5" t="s">
        <v>1722</v>
      </c>
      <c r="F3320" s="5">
        <v>5347794</v>
      </c>
      <c r="G3320" s="5" t="s">
        <v>1576</v>
      </c>
      <c r="H3320" s="5" t="s">
        <v>30</v>
      </c>
      <c r="I3320" s="5" t="s">
        <v>22</v>
      </c>
      <c r="J3320" s="5" t="s">
        <v>230</v>
      </c>
      <c r="K3320" s="6">
        <v>0</v>
      </c>
      <c r="L3320" s="7">
        <v>33.6</v>
      </c>
      <c r="M3320" s="7">
        <v>0</v>
      </c>
      <c r="N3320" s="8">
        <v>0</v>
      </c>
      <c r="O3320" s="8">
        <v>67.281932748748247</v>
      </c>
      <c r="P3320" s="8">
        <v>0</v>
      </c>
      <c r="Q3320" s="8">
        <v>0</v>
      </c>
      <c r="R3320" s="8">
        <v>0</v>
      </c>
      <c r="S3320" s="8">
        <v>0</v>
      </c>
      <c r="T3320" s="5">
        <v>0</v>
      </c>
      <c r="U3320" s="5">
        <v>0</v>
      </c>
      <c r="V3320" s="5">
        <f>VLOOKUP(A3320,Planilha1!B:E,4,0)</f>
        <v>0.86907188046232187</v>
      </c>
    </row>
    <row r="3321" spans="1:22" x14ac:dyDescent="0.3">
      <c r="A3321" t="str">
        <f t="shared" si="102"/>
        <v>MERC + AROMLACTALIS</v>
      </c>
      <c r="B3321" t="str">
        <f t="shared" si="103"/>
        <v>5350820MERC + AROMLACTALIS</v>
      </c>
      <c r="C3321" s="5" t="s">
        <v>226</v>
      </c>
      <c r="D3321" s="5" t="s">
        <v>227</v>
      </c>
      <c r="E3321" s="5" t="s">
        <v>1722</v>
      </c>
      <c r="F3321" s="5">
        <v>5350820</v>
      </c>
      <c r="G3321" s="5" t="s">
        <v>1577</v>
      </c>
      <c r="H3321" s="5" t="s">
        <v>30</v>
      </c>
      <c r="I3321" s="5" t="s">
        <v>22</v>
      </c>
      <c r="J3321" s="5" t="s">
        <v>230</v>
      </c>
      <c r="K3321" s="6">
        <v>0</v>
      </c>
      <c r="L3321" s="7">
        <v>0</v>
      </c>
      <c r="M3321" s="7">
        <v>0</v>
      </c>
      <c r="N3321" s="8">
        <v>0</v>
      </c>
      <c r="O3321" s="8">
        <v>0.84337478163925983</v>
      </c>
      <c r="P3321" s="8">
        <v>0</v>
      </c>
      <c r="Q3321" s="8">
        <v>0</v>
      </c>
      <c r="R3321" s="8">
        <v>0</v>
      </c>
      <c r="S3321" s="8">
        <v>0</v>
      </c>
      <c r="T3321" s="5">
        <v>0</v>
      </c>
      <c r="U3321" s="5">
        <v>0</v>
      </c>
      <c r="V3321" s="5">
        <f>VLOOKUP(A3321,Planilha1!B:E,4,0)</f>
        <v>0.86907188046232187</v>
      </c>
    </row>
    <row r="3322" spans="1:22" x14ac:dyDescent="0.3">
      <c r="A3322" t="str">
        <f t="shared" si="102"/>
        <v>MERC + AROMLACTALIS</v>
      </c>
      <c r="B3322" t="str">
        <f t="shared" si="103"/>
        <v>5350821MERC + AROMLACTALIS</v>
      </c>
      <c r="C3322" s="5" t="s">
        <v>226</v>
      </c>
      <c r="D3322" s="5" t="s">
        <v>227</v>
      </c>
      <c r="E3322" s="5" t="s">
        <v>1722</v>
      </c>
      <c r="F3322" s="5">
        <v>5350821</v>
      </c>
      <c r="G3322" s="5" t="s">
        <v>1470</v>
      </c>
      <c r="H3322" s="5" t="s">
        <v>30</v>
      </c>
      <c r="I3322" s="5" t="s">
        <v>22</v>
      </c>
      <c r="J3322" s="5" t="s">
        <v>230</v>
      </c>
      <c r="K3322" s="6">
        <v>0</v>
      </c>
      <c r="L3322" s="7">
        <v>0</v>
      </c>
      <c r="M3322" s="7">
        <v>0</v>
      </c>
      <c r="N3322" s="8">
        <v>1</v>
      </c>
      <c r="O3322" s="8">
        <v>1.6924480415328391</v>
      </c>
      <c r="P3322" s="8">
        <v>0</v>
      </c>
      <c r="Q3322" s="8">
        <v>0</v>
      </c>
      <c r="R3322" s="8">
        <v>0</v>
      </c>
      <c r="S3322" s="8">
        <v>0</v>
      </c>
      <c r="T3322" s="5">
        <v>0</v>
      </c>
      <c r="U3322" s="5">
        <v>0</v>
      </c>
      <c r="V3322" s="5">
        <f>VLOOKUP(A3322,Planilha1!B:E,4,0)</f>
        <v>0.86907188046232187</v>
      </c>
    </row>
    <row r="3323" spans="1:22" x14ac:dyDescent="0.3">
      <c r="A3323" t="str">
        <f t="shared" si="102"/>
        <v>MERC + AROMLACTALIS</v>
      </c>
      <c r="B3323" t="str">
        <f t="shared" si="103"/>
        <v>5350822MERC + AROMLACTALIS</v>
      </c>
      <c r="C3323" s="5" t="s">
        <v>226</v>
      </c>
      <c r="D3323" s="5" t="s">
        <v>227</v>
      </c>
      <c r="E3323" s="5" t="s">
        <v>1722</v>
      </c>
      <c r="F3323" s="5">
        <v>5350822</v>
      </c>
      <c r="G3323" s="5" t="s">
        <v>1471</v>
      </c>
      <c r="H3323" s="5" t="s">
        <v>30</v>
      </c>
      <c r="I3323" s="5" t="s">
        <v>22</v>
      </c>
      <c r="J3323" s="5" t="s">
        <v>230</v>
      </c>
      <c r="K3323" s="6">
        <v>0</v>
      </c>
      <c r="L3323" s="7">
        <v>0</v>
      </c>
      <c r="M3323" s="7">
        <v>0</v>
      </c>
      <c r="N3323" s="8">
        <v>1</v>
      </c>
      <c r="O3323" s="8">
        <v>0.84337478163925983</v>
      </c>
      <c r="P3323" s="8">
        <v>0</v>
      </c>
      <c r="Q3323" s="8">
        <v>0</v>
      </c>
      <c r="R3323" s="8">
        <v>0</v>
      </c>
      <c r="S3323" s="8">
        <v>0</v>
      </c>
      <c r="T3323" s="5">
        <v>0</v>
      </c>
      <c r="U3323" s="5">
        <v>0</v>
      </c>
      <c r="V3323" s="5">
        <f>VLOOKUP(A3323,Planilha1!B:E,4,0)</f>
        <v>0.86907188046232187</v>
      </c>
    </row>
    <row r="3324" spans="1:22" x14ac:dyDescent="0.3">
      <c r="A3324" t="str">
        <f t="shared" si="102"/>
        <v>MERC + AROMLACTALIS</v>
      </c>
      <c r="B3324" t="str">
        <f t="shared" si="103"/>
        <v>5350832MERC + AROMLACTALIS</v>
      </c>
      <c r="C3324" s="5" t="s">
        <v>226</v>
      </c>
      <c r="D3324" s="5" t="s">
        <v>227</v>
      </c>
      <c r="E3324" s="5" t="s">
        <v>1722</v>
      </c>
      <c r="F3324" s="5">
        <v>5350832</v>
      </c>
      <c r="G3324" s="5" t="s">
        <v>1578</v>
      </c>
      <c r="H3324" s="5" t="s">
        <v>30</v>
      </c>
      <c r="I3324" s="5" t="s">
        <v>22</v>
      </c>
      <c r="J3324" s="5" t="s">
        <v>230</v>
      </c>
      <c r="K3324" s="6">
        <v>0</v>
      </c>
      <c r="L3324" s="7">
        <v>0</v>
      </c>
      <c r="M3324" s="7">
        <v>0</v>
      </c>
      <c r="N3324" s="8">
        <v>1</v>
      </c>
      <c r="O3324" s="8">
        <v>0</v>
      </c>
      <c r="P3324" s="8">
        <v>0</v>
      </c>
      <c r="Q3324" s="8">
        <v>0</v>
      </c>
      <c r="R3324" s="8">
        <v>0</v>
      </c>
      <c r="S3324" s="8">
        <v>0</v>
      </c>
      <c r="T3324" s="5">
        <v>0</v>
      </c>
      <c r="U3324" s="5">
        <v>0</v>
      </c>
      <c r="V3324" s="5">
        <f>VLOOKUP(A3324,Planilha1!B:E,4,0)</f>
        <v>0.86907188046232187</v>
      </c>
    </row>
    <row r="3325" spans="1:22" x14ac:dyDescent="0.3">
      <c r="A3325" t="str">
        <f t="shared" si="102"/>
        <v>MERC + AROMLACTALIS</v>
      </c>
      <c r="B3325" t="str">
        <f t="shared" si="103"/>
        <v>5350834MERC + AROMLACTALIS</v>
      </c>
      <c r="C3325" s="5" t="s">
        <v>226</v>
      </c>
      <c r="D3325" s="5" t="s">
        <v>227</v>
      </c>
      <c r="E3325" s="5" t="s">
        <v>1722</v>
      </c>
      <c r="F3325" s="5">
        <v>5350834</v>
      </c>
      <c r="G3325" s="5" t="s">
        <v>1579</v>
      </c>
      <c r="H3325" s="5" t="s">
        <v>30</v>
      </c>
      <c r="I3325" s="5" t="s">
        <v>22</v>
      </c>
      <c r="J3325" s="5" t="s">
        <v>230</v>
      </c>
      <c r="K3325" s="6">
        <v>0</v>
      </c>
      <c r="L3325" s="7">
        <v>0</v>
      </c>
      <c r="M3325" s="7">
        <v>0</v>
      </c>
      <c r="N3325" s="8">
        <v>0</v>
      </c>
      <c r="O3325" s="8">
        <v>0.84337478163925983</v>
      </c>
      <c r="P3325" s="8">
        <v>0</v>
      </c>
      <c r="Q3325" s="8">
        <v>0</v>
      </c>
      <c r="R3325" s="8">
        <v>0</v>
      </c>
      <c r="S3325" s="8">
        <v>0</v>
      </c>
      <c r="T3325" s="5">
        <v>0</v>
      </c>
      <c r="U3325" s="5">
        <v>0</v>
      </c>
      <c r="V3325" s="5">
        <f>VLOOKUP(A3325,Planilha1!B:E,4,0)</f>
        <v>0.86907188046232187</v>
      </c>
    </row>
    <row r="3326" spans="1:22" x14ac:dyDescent="0.3">
      <c r="A3326" t="str">
        <f t="shared" si="102"/>
        <v>MERC + AROMLACTALIS</v>
      </c>
      <c r="B3326" t="str">
        <f t="shared" si="103"/>
        <v>5350835MERC + AROMLACTALIS</v>
      </c>
      <c r="C3326" s="5" t="s">
        <v>226</v>
      </c>
      <c r="D3326" s="5" t="s">
        <v>227</v>
      </c>
      <c r="E3326" s="5" t="s">
        <v>1722</v>
      </c>
      <c r="F3326" s="5">
        <v>5350835</v>
      </c>
      <c r="G3326" s="5" t="s">
        <v>1472</v>
      </c>
      <c r="H3326" s="5" t="s">
        <v>30</v>
      </c>
      <c r="I3326" s="5" t="s">
        <v>22</v>
      </c>
      <c r="J3326" s="5" t="s">
        <v>230</v>
      </c>
      <c r="K3326" s="6">
        <v>0</v>
      </c>
      <c r="L3326" s="7">
        <v>0</v>
      </c>
      <c r="M3326" s="7">
        <v>0</v>
      </c>
      <c r="N3326" s="8">
        <v>1</v>
      </c>
      <c r="O3326" s="8">
        <v>0.84337478163925983</v>
      </c>
      <c r="P3326" s="8">
        <v>0</v>
      </c>
      <c r="Q3326" s="8">
        <v>0</v>
      </c>
      <c r="R3326" s="8">
        <v>0</v>
      </c>
      <c r="S3326" s="8">
        <v>0</v>
      </c>
      <c r="T3326" s="5">
        <v>0</v>
      </c>
      <c r="U3326" s="5">
        <v>0</v>
      </c>
      <c r="V3326" s="5">
        <f>VLOOKUP(A3326,Planilha1!B:E,4,0)</f>
        <v>0.86907188046232187</v>
      </c>
    </row>
    <row r="3327" spans="1:22" x14ac:dyDescent="0.3">
      <c r="A3327" t="str">
        <f t="shared" si="102"/>
        <v>MERC + AROMLACTALIS</v>
      </c>
      <c r="B3327" t="str">
        <f t="shared" si="103"/>
        <v>5355693MERC + AROMLACTALIS</v>
      </c>
      <c r="C3327" s="5" t="s">
        <v>226</v>
      </c>
      <c r="D3327" s="5" t="s">
        <v>227</v>
      </c>
      <c r="E3327" s="5" t="s">
        <v>1722</v>
      </c>
      <c r="F3327" s="5">
        <v>5355693</v>
      </c>
      <c r="G3327" s="5" t="s">
        <v>252</v>
      </c>
      <c r="H3327" s="5" t="s">
        <v>30</v>
      </c>
      <c r="I3327" s="5" t="s">
        <v>22</v>
      </c>
      <c r="J3327" s="5" t="s">
        <v>230</v>
      </c>
      <c r="K3327" s="6">
        <v>0</v>
      </c>
      <c r="L3327" s="7">
        <v>0</v>
      </c>
      <c r="M3327" s="7">
        <v>0</v>
      </c>
      <c r="N3327" s="8">
        <v>0</v>
      </c>
      <c r="O3327" s="8">
        <v>1.6753526067698812</v>
      </c>
      <c r="P3327" s="8">
        <v>0</v>
      </c>
      <c r="Q3327" s="8">
        <v>0</v>
      </c>
      <c r="R3327" s="8">
        <v>0</v>
      </c>
      <c r="S3327" s="8">
        <v>0</v>
      </c>
      <c r="T3327" s="5">
        <v>0</v>
      </c>
      <c r="U3327" s="5">
        <v>0</v>
      </c>
      <c r="V3327" s="5">
        <f>VLOOKUP(A3327,Planilha1!B:E,4,0)</f>
        <v>0.86907188046232187</v>
      </c>
    </row>
    <row r="3328" spans="1:22" x14ac:dyDescent="0.3">
      <c r="A3328" t="str">
        <f t="shared" si="102"/>
        <v>MERC + AROMLACTALIS</v>
      </c>
      <c r="B3328" t="str">
        <f t="shared" si="103"/>
        <v>5361542MERC + AROMLACTALIS</v>
      </c>
      <c r="C3328" s="5" t="s">
        <v>226</v>
      </c>
      <c r="D3328" s="5" t="s">
        <v>227</v>
      </c>
      <c r="E3328" s="5" t="s">
        <v>1722</v>
      </c>
      <c r="F3328" s="5">
        <v>5361542</v>
      </c>
      <c r="G3328" s="5" t="s">
        <v>1429</v>
      </c>
      <c r="H3328" s="5" t="s">
        <v>30</v>
      </c>
      <c r="I3328" s="5" t="s">
        <v>22</v>
      </c>
      <c r="J3328" s="5" t="s">
        <v>230</v>
      </c>
      <c r="K3328" s="6">
        <v>0</v>
      </c>
      <c r="L3328" s="7">
        <v>0</v>
      </c>
      <c r="M3328" s="7">
        <v>0</v>
      </c>
      <c r="N3328" s="8">
        <v>1.5999999999999999</v>
      </c>
      <c r="O3328" s="8">
        <v>0</v>
      </c>
      <c r="P3328" s="8">
        <v>0</v>
      </c>
      <c r="Q3328" s="8">
        <v>4.8</v>
      </c>
      <c r="R3328" s="8">
        <v>0</v>
      </c>
      <c r="S3328" s="8">
        <v>0</v>
      </c>
      <c r="T3328" s="5">
        <v>0</v>
      </c>
      <c r="U3328" s="5">
        <v>0</v>
      </c>
      <c r="V3328" s="5">
        <f>VLOOKUP(A3328,Planilha1!B:E,4,0)</f>
        <v>0.86907188046232187</v>
      </c>
    </row>
    <row r="3329" spans="1:22" x14ac:dyDescent="0.3">
      <c r="A3329" t="str">
        <f t="shared" si="102"/>
        <v>MERC + AROMLACTALIS</v>
      </c>
      <c r="B3329" t="str">
        <f t="shared" si="103"/>
        <v>5361616MERC + AROMLACTALIS</v>
      </c>
      <c r="C3329" s="5" t="s">
        <v>226</v>
      </c>
      <c r="D3329" s="5" t="s">
        <v>227</v>
      </c>
      <c r="E3329" s="5" t="s">
        <v>1722</v>
      </c>
      <c r="F3329" s="5">
        <v>5361616</v>
      </c>
      <c r="G3329" s="5" t="s">
        <v>1570</v>
      </c>
      <c r="H3329" s="5" t="s">
        <v>30</v>
      </c>
      <c r="I3329" s="5" t="s">
        <v>22</v>
      </c>
      <c r="J3329" s="5" t="s">
        <v>230</v>
      </c>
      <c r="K3329" s="6">
        <v>0</v>
      </c>
      <c r="L3329" s="7">
        <v>0</v>
      </c>
      <c r="M3329" s="7">
        <v>0</v>
      </c>
      <c r="N3329" s="8">
        <v>0</v>
      </c>
      <c r="O3329" s="8">
        <v>0</v>
      </c>
      <c r="P3329" s="8">
        <v>0</v>
      </c>
      <c r="Q3329" s="8">
        <v>0</v>
      </c>
      <c r="R3329" s="8">
        <v>0</v>
      </c>
      <c r="S3329" s="8">
        <v>0</v>
      </c>
      <c r="T3329" s="5">
        <v>0</v>
      </c>
      <c r="U3329" s="5">
        <v>0</v>
      </c>
      <c r="V3329" s="5">
        <f>VLOOKUP(A3329,Planilha1!B:E,4,0)</f>
        <v>0.86907188046232187</v>
      </c>
    </row>
    <row r="3330" spans="1:22" x14ac:dyDescent="0.3">
      <c r="A3330" t="str">
        <f t="shared" ref="A3330:A3393" si="104">J3330&amp;I3330</f>
        <v>PARMESÃOITAMBÉ</v>
      </c>
      <c r="B3330" t="str">
        <f t="shared" si="103"/>
        <v>5002362PARMESÃOITAMBÉ</v>
      </c>
      <c r="C3330" s="5" t="s">
        <v>226</v>
      </c>
      <c r="D3330" s="5" t="s">
        <v>727</v>
      </c>
      <c r="E3330" s="5" t="s">
        <v>733</v>
      </c>
      <c r="F3330" s="5">
        <v>5002362</v>
      </c>
      <c r="G3330" s="5" t="s">
        <v>734</v>
      </c>
      <c r="H3330" s="5" t="s">
        <v>25</v>
      </c>
      <c r="I3330" s="5" t="s">
        <v>27</v>
      </c>
      <c r="J3330" s="5" t="s">
        <v>195</v>
      </c>
      <c r="K3330" s="6">
        <v>0</v>
      </c>
      <c r="L3330" s="7">
        <v>0</v>
      </c>
      <c r="M3330" s="7">
        <v>0</v>
      </c>
      <c r="N3330" s="8">
        <v>20</v>
      </c>
      <c r="O3330" s="8">
        <v>0</v>
      </c>
      <c r="P3330" s="8">
        <v>0</v>
      </c>
      <c r="Q3330" s="8">
        <v>0</v>
      </c>
      <c r="R3330" s="8">
        <v>0</v>
      </c>
      <c r="S3330" s="8">
        <v>30</v>
      </c>
      <c r="T3330" s="5">
        <v>0</v>
      </c>
      <c r="U3330" s="5">
        <v>30</v>
      </c>
      <c r="V3330" s="5">
        <f>VLOOKUP(A3330,Planilha1!B:E,4,0)</f>
        <v>-7.8489906935815057</v>
      </c>
    </row>
    <row r="3331" spans="1:22" x14ac:dyDescent="0.3">
      <c r="A3331" t="str">
        <f t="shared" si="104"/>
        <v>PARMESÃOLACTALIS</v>
      </c>
      <c r="B3331" t="str">
        <f t="shared" ref="B3331:B3394" si="105">F3331&amp;J3331&amp;I3331</f>
        <v>5007304PARMESÃOLACTALIS</v>
      </c>
      <c r="C3331" s="5" t="s">
        <v>226</v>
      </c>
      <c r="D3331" s="5" t="s">
        <v>752</v>
      </c>
      <c r="E3331" s="5" t="s">
        <v>1216</v>
      </c>
      <c r="F3331" s="5">
        <v>5007304</v>
      </c>
      <c r="G3331" s="5" t="s">
        <v>1217</v>
      </c>
      <c r="H3331" s="5" t="s">
        <v>154</v>
      </c>
      <c r="I3331" s="5" t="s">
        <v>22</v>
      </c>
      <c r="J3331" s="5" t="s">
        <v>195</v>
      </c>
      <c r="K3331" s="6">
        <v>0</v>
      </c>
      <c r="L3331" s="7">
        <v>0</v>
      </c>
      <c r="M3331" s="7">
        <v>0</v>
      </c>
      <c r="N3331" s="8">
        <v>0</v>
      </c>
      <c r="O3331" s="8">
        <v>350</v>
      </c>
      <c r="P3331" s="8">
        <v>0</v>
      </c>
      <c r="Q3331" s="8">
        <v>0</v>
      </c>
      <c r="R3331" s="8">
        <v>0</v>
      </c>
      <c r="S3331" s="8">
        <v>0</v>
      </c>
      <c r="T3331" s="5">
        <v>0</v>
      </c>
      <c r="U3331" s="5">
        <v>0</v>
      </c>
      <c r="V3331" s="5">
        <f>VLOOKUP(A3331,Planilha1!B:E,4,0)</f>
        <v>6.310326960724681</v>
      </c>
    </row>
    <row r="3332" spans="1:22" x14ac:dyDescent="0.3">
      <c r="A3332" t="str">
        <f t="shared" si="104"/>
        <v>PARMESÃOLACTALIS</v>
      </c>
      <c r="B3332" t="str">
        <f t="shared" si="105"/>
        <v>5023334PARMESÃOLACTALIS</v>
      </c>
      <c r="C3332" s="5" t="s">
        <v>226</v>
      </c>
      <c r="D3332" s="5" t="s">
        <v>752</v>
      </c>
      <c r="E3332" s="5" t="s">
        <v>774</v>
      </c>
      <c r="F3332" s="5">
        <v>5023334</v>
      </c>
      <c r="G3332" s="5" t="s">
        <v>776</v>
      </c>
      <c r="H3332" s="5" t="s">
        <v>32</v>
      </c>
      <c r="I3332" s="5" t="s">
        <v>22</v>
      </c>
      <c r="J3332" s="5" t="s">
        <v>195</v>
      </c>
      <c r="K3332" s="6">
        <v>0</v>
      </c>
      <c r="L3332" s="7">
        <v>0</v>
      </c>
      <c r="M3332" s="7">
        <v>0</v>
      </c>
      <c r="N3332" s="8">
        <v>78.915000000000006</v>
      </c>
      <c r="O3332" s="8">
        <v>0</v>
      </c>
      <c r="P3332" s="8">
        <v>0</v>
      </c>
      <c r="Q3332" s="8">
        <v>0</v>
      </c>
      <c r="R3332" s="8">
        <v>0</v>
      </c>
      <c r="S3332" s="8">
        <v>400</v>
      </c>
      <c r="T3332" s="5">
        <v>400</v>
      </c>
      <c r="U3332" s="5">
        <v>0</v>
      </c>
      <c r="V3332" s="5">
        <f>VLOOKUP(A3332,Planilha1!B:E,4,0)</f>
        <v>6.310326960724681</v>
      </c>
    </row>
    <row r="3333" spans="1:22" x14ac:dyDescent="0.3">
      <c r="A3333" t="str">
        <f t="shared" si="104"/>
        <v>PARMESÃOLACTALIS</v>
      </c>
      <c r="B3333" t="str">
        <f t="shared" si="105"/>
        <v>5084421PARMESÃOLACTALIS</v>
      </c>
      <c r="C3333" s="5" t="s">
        <v>226</v>
      </c>
      <c r="D3333" s="5" t="s">
        <v>903</v>
      </c>
      <c r="E3333" s="5" t="s">
        <v>904</v>
      </c>
      <c r="F3333" s="5">
        <v>5084421</v>
      </c>
      <c r="G3333" s="5" t="s">
        <v>915</v>
      </c>
      <c r="H3333" s="5" t="s">
        <v>103</v>
      </c>
      <c r="I3333" s="5" t="s">
        <v>22</v>
      </c>
      <c r="J3333" s="5" t="s">
        <v>195</v>
      </c>
      <c r="K3333" s="6">
        <v>0</v>
      </c>
      <c r="L3333" s="7">
        <v>0</v>
      </c>
      <c r="M3333" s="7">
        <v>0</v>
      </c>
      <c r="N3333" s="8">
        <v>23.77</v>
      </c>
      <c r="O3333" s="8">
        <v>0</v>
      </c>
      <c r="P3333" s="8">
        <v>0</v>
      </c>
      <c r="Q3333" s="8">
        <v>0</v>
      </c>
      <c r="R3333" s="8">
        <v>0</v>
      </c>
      <c r="S3333" s="8">
        <v>0</v>
      </c>
      <c r="T3333" s="5">
        <v>0</v>
      </c>
      <c r="U3333" s="5">
        <v>23.77</v>
      </c>
      <c r="V3333" s="5">
        <f>VLOOKUP(A3333,Planilha1!B:E,4,0)</f>
        <v>6.310326960724681</v>
      </c>
    </row>
    <row r="3334" spans="1:22" x14ac:dyDescent="0.3">
      <c r="A3334" t="str">
        <f t="shared" si="104"/>
        <v>PARMESÃOLACTALIS</v>
      </c>
      <c r="B3334" t="str">
        <f t="shared" si="105"/>
        <v>5178073PARMESÃOLACTALIS</v>
      </c>
      <c r="C3334" s="5" t="s">
        <v>226</v>
      </c>
      <c r="D3334" s="5" t="s">
        <v>227</v>
      </c>
      <c r="E3334" s="5" t="s">
        <v>1722</v>
      </c>
      <c r="F3334" s="5">
        <v>5178073</v>
      </c>
      <c r="G3334" s="5" t="s">
        <v>256</v>
      </c>
      <c r="H3334" s="5" t="s">
        <v>30</v>
      </c>
      <c r="I3334" s="5" t="s">
        <v>22</v>
      </c>
      <c r="J3334" s="5" t="s">
        <v>195</v>
      </c>
      <c r="K3334" s="6">
        <v>0</v>
      </c>
      <c r="L3334" s="7">
        <v>0</v>
      </c>
      <c r="M3334" s="7">
        <v>0</v>
      </c>
      <c r="N3334" s="8">
        <v>126.03666666666668</v>
      </c>
      <c r="O3334" s="8">
        <v>0</v>
      </c>
      <c r="P3334" s="8">
        <v>0</v>
      </c>
      <c r="Q3334" s="8">
        <v>0</v>
      </c>
      <c r="R3334" s="8">
        <v>0</v>
      </c>
      <c r="S3334" s="8">
        <v>0</v>
      </c>
      <c r="T3334" s="5">
        <v>0</v>
      </c>
      <c r="U3334" s="5">
        <v>0</v>
      </c>
      <c r="V3334" s="5">
        <f>VLOOKUP(A3334,Planilha1!B:E,4,0)</f>
        <v>6.310326960724681</v>
      </c>
    </row>
    <row r="3335" spans="1:22" x14ac:dyDescent="0.3">
      <c r="A3335" t="str">
        <f t="shared" si="104"/>
        <v>PARMESÃOLACTALIS</v>
      </c>
      <c r="B3335" t="str">
        <f t="shared" si="105"/>
        <v>5182399PARMESÃOLACTALIS</v>
      </c>
      <c r="C3335" s="5" t="s">
        <v>226</v>
      </c>
      <c r="D3335" s="5" t="s">
        <v>227</v>
      </c>
      <c r="E3335" s="5" t="s">
        <v>1722</v>
      </c>
      <c r="F3335" s="5">
        <v>5182399</v>
      </c>
      <c r="G3335" s="5" t="s">
        <v>272</v>
      </c>
      <c r="H3335" s="5" t="s">
        <v>30</v>
      </c>
      <c r="I3335" s="5" t="s">
        <v>22</v>
      </c>
      <c r="J3335" s="5" t="s">
        <v>195</v>
      </c>
      <c r="K3335" s="6">
        <v>0</v>
      </c>
      <c r="L3335" s="7">
        <v>0</v>
      </c>
      <c r="M3335" s="7">
        <v>0</v>
      </c>
      <c r="N3335" s="8">
        <v>9.7466666666666661</v>
      </c>
      <c r="O3335" s="8">
        <v>0</v>
      </c>
      <c r="P3335" s="8">
        <v>0</v>
      </c>
      <c r="Q3335" s="8">
        <v>0</v>
      </c>
      <c r="R3335" s="8">
        <v>0</v>
      </c>
      <c r="S3335" s="8">
        <v>0</v>
      </c>
      <c r="T3335" s="5">
        <v>0</v>
      </c>
      <c r="U3335" s="5">
        <v>0</v>
      </c>
      <c r="V3335" s="5">
        <f>VLOOKUP(A3335,Planilha1!B:E,4,0)</f>
        <v>6.310326960724681</v>
      </c>
    </row>
    <row r="3336" spans="1:22" x14ac:dyDescent="0.3">
      <c r="A3336" t="str">
        <f t="shared" si="104"/>
        <v>PARMESÃOLACTALIS</v>
      </c>
      <c r="B3336" t="str">
        <f t="shared" si="105"/>
        <v>5192483PARMESÃOLACTALIS</v>
      </c>
      <c r="C3336" s="5" t="s">
        <v>149</v>
      </c>
      <c r="D3336" s="5" t="s">
        <v>210</v>
      </c>
      <c r="E3336" s="5" t="s">
        <v>210</v>
      </c>
      <c r="F3336" s="5">
        <v>5192483</v>
      </c>
      <c r="G3336" s="5" t="s">
        <v>1580</v>
      </c>
      <c r="H3336" s="5" t="s">
        <v>30</v>
      </c>
      <c r="I3336" s="5" t="s">
        <v>22</v>
      </c>
      <c r="J3336" s="5" t="s">
        <v>195</v>
      </c>
      <c r="K3336" s="6">
        <v>0</v>
      </c>
      <c r="L3336" s="7">
        <v>0</v>
      </c>
      <c r="M3336" s="7">
        <v>0</v>
      </c>
      <c r="N3336" s="8">
        <v>14.613333333333335</v>
      </c>
      <c r="O3336" s="8">
        <v>0</v>
      </c>
      <c r="P3336" s="8">
        <v>0</v>
      </c>
      <c r="Q3336" s="8">
        <v>0</v>
      </c>
      <c r="R3336" s="8">
        <v>0</v>
      </c>
      <c r="S3336" s="8">
        <v>150</v>
      </c>
      <c r="T3336" s="5">
        <v>150</v>
      </c>
      <c r="U3336" s="5">
        <v>45</v>
      </c>
      <c r="V3336" s="5">
        <f>VLOOKUP(A3336,Planilha1!B:E,4,0)</f>
        <v>6.310326960724681</v>
      </c>
    </row>
    <row r="3337" spans="1:22" x14ac:dyDescent="0.3">
      <c r="A3337" t="str">
        <f t="shared" si="104"/>
        <v>PARMESÃOLACTALIS</v>
      </c>
      <c r="B3337" t="str">
        <f t="shared" si="105"/>
        <v>5197956PARMESÃOLACTALIS</v>
      </c>
      <c r="C3337" s="5" t="s">
        <v>226</v>
      </c>
      <c r="D3337" s="5" t="s">
        <v>227</v>
      </c>
      <c r="E3337" s="5" t="s">
        <v>1722</v>
      </c>
      <c r="F3337" s="5">
        <v>5197956</v>
      </c>
      <c r="G3337" s="5" t="s">
        <v>391</v>
      </c>
      <c r="H3337" s="5" t="s">
        <v>30</v>
      </c>
      <c r="I3337" s="5" t="s">
        <v>22</v>
      </c>
      <c r="J3337" s="5" t="s">
        <v>195</v>
      </c>
      <c r="K3337" s="6">
        <v>0</v>
      </c>
      <c r="L3337" s="7">
        <v>0</v>
      </c>
      <c r="M3337" s="7">
        <v>0</v>
      </c>
      <c r="N3337" s="8">
        <v>10.026666666666666</v>
      </c>
      <c r="O3337" s="8">
        <v>0</v>
      </c>
      <c r="P3337" s="8">
        <v>0</v>
      </c>
      <c r="Q3337" s="8">
        <v>0</v>
      </c>
      <c r="R3337" s="8">
        <v>0</v>
      </c>
      <c r="S3337" s="8">
        <v>0</v>
      </c>
      <c r="T3337" s="5">
        <v>0</v>
      </c>
      <c r="U3337" s="5">
        <v>0</v>
      </c>
      <c r="V3337" s="5">
        <f>VLOOKUP(A3337,Planilha1!B:E,4,0)</f>
        <v>6.310326960724681</v>
      </c>
    </row>
    <row r="3338" spans="1:22" x14ac:dyDescent="0.3">
      <c r="A3338" t="str">
        <f t="shared" si="104"/>
        <v>PARMESÃOLACTALIS</v>
      </c>
      <c r="B3338" t="str">
        <f t="shared" si="105"/>
        <v>5215067PARMESÃOLACTALIS</v>
      </c>
      <c r="C3338" s="5" t="s">
        <v>226</v>
      </c>
      <c r="D3338" s="5" t="s">
        <v>227</v>
      </c>
      <c r="E3338" s="5" t="s">
        <v>1722</v>
      </c>
      <c r="F3338" s="5">
        <v>5215067</v>
      </c>
      <c r="G3338" s="5" t="s">
        <v>258</v>
      </c>
      <c r="H3338" s="5" t="s">
        <v>30</v>
      </c>
      <c r="I3338" s="5" t="s">
        <v>22</v>
      </c>
      <c r="J3338" s="5" t="s">
        <v>195</v>
      </c>
      <c r="K3338" s="6">
        <v>0</v>
      </c>
      <c r="L3338" s="7">
        <v>0</v>
      </c>
      <c r="M3338" s="7">
        <v>0</v>
      </c>
      <c r="N3338" s="8">
        <v>4.9683333333333328</v>
      </c>
      <c r="O3338" s="8">
        <v>0</v>
      </c>
      <c r="P3338" s="8">
        <v>0</v>
      </c>
      <c r="Q3338" s="8">
        <v>0</v>
      </c>
      <c r="R3338" s="8">
        <v>0</v>
      </c>
      <c r="S3338" s="8">
        <v>0</v>
      </c>
      <c r="T3338" s="5">
        <v>0</v>
      </c>
      <c r="U3338" s="5">
        <v>0</v>
      </c>
      <c r="V3338" s="5">
        <f>VLOOKUP(A3338,Planilha1!B:E,4,0)</f>
        <v>6.310326960724681</v>
      </c>
    </row>
    <row r="3339" spans="1:22" x14ac:dyDescent="0.3">
      <c r="A3339" t="str">
        <f t="shared" si="104"/>
        <v>PARMESÃOLACTALIS</v>
      </c>
      <c r="B3339" t="str">
        <f t="shared" si="105"/>
        <v>5226499PARMESÃOLACTALIS</v>
      </c>
      <c r="C3339" s="5" t="s">
        <v>149</v>
      </c>
      <c r="D3339" s="5" t="s">
        <v>210</v>
      </c>
      <c r="E3339" s="5" t="s">
        <v>210</v>
      </c>
      <c r="F3339" s="5">
        <v>5226499</v>
      </c>
      <c r="G3339" s="5" t="s">
        <v>217</v>
      </c>
      <c r="H3339" s="5" t="s">
        <v>30</v>
      </c>
      <c r="I3339" s="5" t="s">
        <v>22</v>
      </c>
      <c r="J3339" s="5" t="s">
        <v>195</v>
      </c>
      <c r="K3339" s="6">
        <v>0</v>
      </c>
      <c r="L3339" s="7">
        <v>0</v>
      </c>
      <c r="M3339" s="7">
        <v>0</v>
      </c>
      <c r="N3339" s="8">
        <v>4.7016666666666671</v>
      </c>
      <c r="O3339" s="8">
        <v>0</v>
      </c>
      <c r="P3339" s="8">
        <v>0</v>
      </c>
      <c r="Q3339" s="8">
        <v>0</v>
      </c>
      <c r="R3339" s="8">
        <v>0</v>
      </c>
      <c r="S3339" s="8">
        <v>0</v>
      </c>
      <c r="T3339" s="5">
        <v>0</v>
      </c>
      <c r="U3339" s="5">
        <v>0</v>
      </c>
      <c r="V3339" s="5">
        <f>VLOOKUP(A3339,Planilha1!B:E,4,0)</f>
        <v>6.310326960724681</v>
      </c>
    </row>
    <row r="3340" spans="1:22" x14ac:dyDescent="0.3">
      <c r="A3340" t="str">
        <f t="shared" si="104"/>
        <v>PARMESÃOLACTALIS</v>
      </c>
      <c r="B3340" t="str">
        <f t="shared" si="105"/>
        <v>5231829PARMESÃOLACTALIS</v>
      </c>
      <c r="C3340" s="5" t="s">
        <v>226</v>
      </c>
      <c r="D3340" s="5" t="s">
        <v>727</v>
      </c>
      <c r="E3340" s="5" t="s">
        <v>733</v>
      </c>
      <c r="F3340" s="5">
        <v>5231829</v>
      </c>
      <c r="G3340" s="5" t="s">
        <v>1553</v>
      </c>
      <c r="H3340" s="5" t="s">
        <v>25</v>
      </c>
      <c r="I3340" s="5" t="s">
        <v>22</v>
      </c>
      <c r="J3340" s="5" t="s">
        <v>195</v>
      </c>
      <c r="K3340" s="6">
        <v>0</v>
      </c>
      <c r="L3340" s="7">
        <v>0</v>
      </c>
      <c r="M3340" s="7">
        <v>0</v>
      </c>
      <c r="N3340" s="8">
        <v>0</v>
      </c>
      <c r="O3340" s="8">
        <v>350</v>
      </c>
      <c r="P3340" s="8">
        <v>0</v>
      </c>
      <c r="Q3340" s="8">
        <v>0</v>
      </c>
      <c r="R3340" s="8">
        <v>0</v>
      </c>
      <c r="S3340" s="8">
        <v>0</v>
      </c>
      <c r="T3340" s="5">
        <v>0</v>
      </c>
      <c r="U3340" s="5">
        <v>0</v>
      </c>
      <c r="V3340" s="5">
        <f>VLOOKUP(A3340,Planilha1!B:E,4,0)</f>
        <v>6.310326960724681</v>
      </c>
    </row>
    <row r="3341" spans="1:22" x14ac:dyDescent="0.3">
      <c r="A3341" t="str">
        <f t="shared" si="104"/>
        <v>PARMESÃOLACTALIS</v>
      </c>
      <c r="B3341" t="str">
        <f t="shared" si="105"/>
        <v>5255022PARMESÃOLACTALIS</v>
      </c>
      <c r="C3341" s="5" t="s">
        <v>226</v>
      </c>
      <c r="D3341" s="5" t="s">
        <v>227</v>
      </c>
      <c r="E3341" s="5" t="s">
        <v>1722</v>
      </c>
      <c r="F3341" s="5">
        <v>5255022</v>
      </c>
      <c r="G3341" s="5" t="s">
        <v>276</v>
      </c>
      <c r="H3341" s="5" t="s">
        <v>30</v>
      </c>
      <c r="I3341" s="5" t="s">
        <v>22</v>
      </c>
      <c r="J3341" s="5" t="s">
        <v>195</v>
      </c>
      <c r="K3341" s="6">
        <v>0</v>
      </c>
      <c r="L3341" s="7">
        <v>0</v>
      </c>
      <c r="M3341" s="7">
        <v>0</v>
      </c>
      <c r="N3341" s="8">
        <v>4.6933333333333334</v>
      </c>
      <c r="O3341" s="8">
        <v>0</v>
      </c>
      <c r="P3341" s="8">
        <v>0</v>
      </c>
      <c r="Q3341" s="8">
        <v>0</v>
      </c>
      <c r="R3341" s="8">
        <v>0</v>
      </c>
      <c r="S3341" s="8">
        <v>27</v>
      </c>
      <c r="T3341" s="5">
        <v>27</v>
      </c>
      <c r="U3341" s="5">
        <v>27</v>
      </c>
      <c r="V3341" s="5">
        <f>VLOOKUP(A3341,Planilha1!B:E,4,0)</f>
        <v>6.310326960724681</v>
      </c>
    </row>
    <row r="3342" spans="1:22" x14ac:dyDescent="0.3">
      <c r="A3342" t="str">
        <f t="shared" si="104"/>
        <v>PARMESÃOLACTALIS</v>
      </c>
      <c r="B3342" t="str">
        <f t="shared" si="105"/>
        <v>5260577PARMESÃOLACTALIS</v>
      </c>
      <c r="C3342" s="5" t="s">
        <v>226</v>
      </c>
      <c r="D3342" s="5" t="s">
        <v>833</v>
      </c>
      <c r="E3342" s="5" t="s">
        <v>753</v>
      </c>
      <c r="F3342" s="5">
        <v>5260577</v>
      </c>
      <c r="G3342" s="5" t="s">
        <v>834</v>
      </c>
      <c r="H3342" s="5" t="s">
        <v>106</v>
      </c>
      <c r="I3342" s="5" t="s">
        <v>22</v>
      </c>
      <c r="J3342" s="5" t="s">
        <v>195</v>
      </c>
      <c r="K3342" s="6">
        <v>0</v>
      </c>
      <c r="L3342" s="7">
        <v>0</v>
      </c>
      <c r="M3342" s="7">
        <v>0</v>
      </c>
      <c r="N3342" s="8">
        <v>324.59333333333331</v>
      </c>
      <c r="O3342" s="8">
        <v>0</v>
      </c>
      <c r="P3342" s="8">
        <v>0</v>
      </c>
      <c r="Q3342" s="8">
        <v>1321</v>
      </c>
      <c r="R3342" s="8">
        <v>0</v>
      </c>
      <c r="S3342" s="8">
        <v>1500</v>
      </c>
      <c r="T3342" s="5">
        <v>1500</v>
      </c>
      <c r="U3342" s="5">
        <v>0</v>
      </c>
      <c r="V3342" s="5">
        <f>VLOOKUP(A3342,Planilha1!B:E,4,0)</f>
        <v>6.310326960724681</v>
      </c>
    </row>
    <row r="3343" spans="1:22" x14ac:dyDescent="0.3">
      <c r="A3343" t="str">
        <f t="shared" si="104"/>
        <v>PARMESÃOLACTALIS</v>
      </c>
      <c r="B3343" t="str">
        <f t="shared" si="105"/>
        <v>5262129PARMESÃOLACTALIS</v>
      </c>
      <c r="C3343" s="5" t="s">
        <v>226</v>
      </c>
      <c r="D3343" s="5" t="s">
        <v>227</v>
      </c>
      <c r="E3343" s="5" t="s">
        <v>1722</v>
      </c>
      <c r="F3343" s="5">
        <v>5262129</v>
      </c>
      <c r="G3343" s="5" t="s">
        <v>595</v>
      </c>
      <c r="H3343" s="5" t="s">
        <v>30</v>
      </c>
      <c r="I3343" s="5" t="s">
        <v>22</v>
      </c>
      <c r="J3343" s="5" t="s">
        <v>195</v>
      </c>
      <c r="K3343" s="6">
        <v>0</v>
      </c>
      <c r="L3343" s="7">
        <v>0</v>
      </c>
      <c r="M3343" s="7">
        <v>0</v>
      </c>
      <c r="N3343" s="8">
        <v>4.8416666666666668</v>
      </c>
      <c r="O3343" s="8">
        <v>0</v>
      </c>
      <c r="P3343" s="8">
        <v>0</v>
      </c>
      <c r="Q3343" s="8">
        <v>0</v>
      </c>
      <c r="R3343" s="8">
        <v>0</v>
      </c>
      <c r="S3343" s="8">
        <v>0</v>
      </c>
      <c r="T3343" s="5">
        <v>0</v>
      </c>
      <c r="U3343" s="5">
        <v>0</v>
      </c>
      <c r="V3343" s="5">
        <f>VLOOKUP(A3343,Planilha1!B:E,4,0)</f>
        <v>6.310326960724681</v>
      </c>
    </row>
    <row r="3344" spans="1:22" x14ac:dyDescent="0.3">
      <c r="A3344" t="str">
        <f t="shared" si="104"/>
        <v>PARMESÃOLACTALIS</v>
      </c>
      <c r="B3344" t="str">
        <f t="shared" si="105"/>
        <v>5264167PARMESÃOLACTALIS</v>
      </c>
      <c r="C3344" s="5" t="s">
        <v>226</v>
      </c>
      <c r="D3344" s="5" t="s">
        <v>227</v>
      </c>
      <c r="E3344" s="5" t="s">
        <v>1722</v>
      </c>
      <c r="F3344" s="5">
        <v>5264167</v>
      </c>
      <c r="G3344" s="5" t="s">
        <v>699</v>
      </c>
      <c r="H3344" s="5" t="s">
        <v>30</v>
      </c>
      <c r="I3344" s="5" t="s">
        <v>22</v>
      </c>
      <c r="J3344" s="5" t="s">
        <v>195</v>
      </c>
      <c r="K3344" s="6">
        <v>0</v>
      </c>
      <c r="L3344" s="7">
        <v>0</v>
      </c>
      <c r="M3344" s="7">
        <v>0</v>
      </c>
      <c r="N3344" s="8">
        <v>5.2743333333333338</v>
      </c>
      <c r="O3344" s="8">
        <v>0</v>
      </c>
      <c r="P3344" s="8">
        <v>0</v>
      </c>
      <c r="Q3344" s="8">
        <v>0</v>
      </c>
      <c r="R3344" s="8">
        <v>0</v>
      </c>
      <c r="S3344" s="8">
        <v>0</v>
      </c>
      <c r="T3344" s="5">
        <v>0</v>
      </c>
      <c r="U3344" s="5">
        <v>0</v>
      </c>
      <c r="V3344" s="5">
        <f>VLOOKUP(A3344,Planilha1!B:E,4,0)</f>
        <v>6.310326960724681</v>
      </c>
    </row>
    <row r="3345" spans="1:22" x14ac:dyDescent="0.3">
      <c r="A3345" t="str">
        <f t="shared" si="104"/>
        <v>PARMESÃOLACTALIS</v>
      </c>
      <c r="B3345" t="str">
        <f t="shared" si="105"/>
        <v>5280659PARMESÃOLACTALIS</v>
      </c>
      <c r="C3345" s="5" t="s">
        <v>226</v>
      </c>
      <c r="D3345" s="5" t="s">
        <v>227</v>
      </c>
      <c r="E3345" s="5" t="s">
        <v>1722</v>
      </c>
      <c r="F3345" s="5">
        <v>5280659</v>
      </c>
      <c r="G3345" s="5" t="s">
        <v>1331</v>
      </c>
      <c r="H3345" s="5" t="s">
        <v>30</v>
      </c>
      <c r="I3345" s="5" t="s">
        <v>22</v>
      </c>
      <c r="J3345" s="5" t="s">
        <v>195</v>
      </c>
      <c r="K3345" s="6">
        <v>0</v>
      </c>
      <c r="L3345" s="7">
        <v>0</v>
      </c>
      <c r="M3345" s="7">
        <v>0</v>
      </c>
      <c r="N3345" s="8">
        <v>4.8033333333333337</v>
      </c>
      <c r="O3345" s="8">
        <v>0</v>
      </c>
      <c r="P3345" s="8">
        <v>0</v>
      </c>
      <c r="Q3345" s="8">
        <v>0</v>
      </c>
      <c r="R3345" s="8">
        <v>0</v>
      </c>
      <c r="S3345" s="8">
        <v>15</v>
      </c>
      <c r="T3345" s="5">
        <v>15</v>
      </c>
      <c r="U3345" s="5">
        <v>15</v>
      </c>
      <c r="V3345" s="5">
        <f>VLOOKUP(A3345,Planilha1!B:E,4,0)</f>
        <v>6.310326960724681</v>
      </c>
    </row>
    <row r="3346" spans="1:22" x14ac:dyDescent="0.3">
      <c r="A3346" t="str">
        <f t="shared" si="104"/>
        <v>PARMESÃOLACTALIS</v>
      </c>
      <c r="B3346" t="str">
        <f t="shared" si="105"/>
        <v>5281242PARMESÃOLACTALIS</v>
      </c>
      <c r="C3346" s="5" t="s">
        <v>226</v>
      </c>
      <c r="D3346" s="5" t="s">
        <v>227</v>
      </c>
      <c r="E3346" s="5" t="s">
        <v>1722</v>
      </c>
      <c r="F3346" s="5">
        <v>5281242</v>
      </c>
      <c r="G3346" s="5" t="s">
        <v>1581</v>
      </c>
      <c r="H3346" s="5" t="s">
        <v>30</v>
      </c>
      <c r="I3346" s="5" t="s">
        <v>22</v>
      </c>
      <c r="J3346" s="5" t="s">
        <v>195</v>
      </c>
      <c r="K3346" s="6">
        <v>0</v>
      </c>
      <c r="L3346" s="7">
        <v>0</v>
      </c>
      <c r="M3346" s="7">
        <v>0</v>
      </c>
      <c r="N3346" s="8">
        <v>4.7983333333333329</v>
      </c>
      <c r="O3346" s="8">
        <v>0</v>
      </c>
      <c r="P3346" s="8">
        <v>0</v>
      </c>
      <c r="Q3346" s="8">
        <v>0</v>
      </c>
      <c r="R3346" s="8">
        <v>0</v>
      </c>
      <c r="S3346" s="8">
        <v>0</v>
      </c>
      <c r="T3346" s="5">
        <v>0</v>
      </c>
      <c r="U3346" s="5">
        <v>0</v>
      </c>
      <c r="V3346" s="5">
        <f>VLOOKUP(A3346,Planilha1!B:E,4,0)</f>
        <v>6.310326960724681</v>
      </c>
    </row>
    <row r="3347" spans="1:22" x14ac:dyDescent="0.3">
      <c r="A3347" t="str">
        <f t="shared" si="104"/>
        <v>PARMESÃOLACTALIS</v>
      </c>
      <c r="B3347" t="str">
        <f t="shared" si="105"/>
        <v>5285875PARMESÃOLACTALIS</v>
      </c>
      <c r="C3347" s="5" t="s">
        <v>226</v>
      </c>
      <c r="D3347" s="5" t="s">
        <v>227</v>
      </c>
      <c r="E3347" s="5" t="s">
        <v>1722</v>
      </c>
      <c r="F3347" s="5">
        <v>5285875</v>
      </c>
      <c r="G3347" s="5" t="s">
        <v>1582</v>
      </c>
      <c r="H3347" s="5" t="s">
        <v>30</v>
      </c>
      <c r="I3347" s="5" t="s">
        <v>22</v>
      </c>
      <c r="J3347" s="5" t="s">
        <v>195</v>
      </c>
      <c r="K3347" s="6">
        <v>0</v>
      </c>
      <c r="L3347" s="7">
        <v>0</v>
      </c>
      <c r="M3347" s="7">
        <v>0</v>
      </c>
      <c r="N3347" s="8">
        <v>0</v>
      </c>
      <c r="O3347" s="8">
        <v>0</v>
      </c>
      <c r="P3347" s="8">
        <v>0</v>
      </c>
      <c r="Q3347" s="8">
        <v>0</v>
      </c>
      <c r="R3347" s="8">
        <v>0</v>
      </c>
      <c r="S3347" s="8">
        <v>0</v>
      </c>
      <c r="T3347" s="5">
        <v>0</v>
      </c>
      <c r="U3347" s="5">
        <v>0</v>
      </c>
      <c r="V3347" s="5">
        <f>VLOOKUP(A3347,Planilha1!B:E,4,0)</f>
        <v>6.310326960724681</v>
      </c>
    </row>
    <row r="3348" spans="1:22" x14ac:dyDescent="0.3">
      <c r="A3348" t="str">
        <f t="shared" si="104"/>
        <v>PARMESÃOLACTALIS</v>
      </c>
      <c r="B3348" t="str">
        <f t="shared" si="105"/>
        <v>5297753PARMESÃOLACTALIS</v>
      </c>
      <c r="C3348" s="5" t="s">
        <v>226</v>
      </c>
      <c r="D3348" s="5" t="s">
        <v>227</v>
      </c>
      <c r="E3348" s="5" t="s">
        <v>1722</v>
      </c>
      <c r="F3348" s="5">
        <v>5297753</v>
      </c>
      <c r="G3348" s="5" t="s">
        <v>1583</v>
      </c>
      <c r="H3348" s="5" t="s">
        <v>30</v>
      </c>
      <c r="I3348" s="5" t="s">
        <v>22</v>
      </c>
      <c r="J3348" s="5" t="s">
        <v>195</v>
      </c>
      <c r="K3348" s="6">
        <v>0</v>
      </c>
      <c r="L3348" s="7">
        <v>0</v>
      </c>
      <c r="M3348" s="7">
        <v>0</v>
      </c>
      <c r="N3348" s="8">
        <v>19.864999999999998</v>
      </c>
      <c r="O3348" s="8">
        <v>0</v>
      </c>
      <c r="P3348" s="8">
        <v>0</v>
      </c>
      <c r="Q3348" s="8">
        <v>0</v>
      </c>
      <c r="R3348" s="8">
        <v>0</v>
      </c>
      <c r="S3348" s="8">
        <v>0</v>
      </c>
      <c r="T3348" s="5">
        <v>0</v>
      </c>
      <c r="U3348" s="5">
        <v>20</v>
      </c>
      <c r="V3348" s="5">
        <f>VLOOKUP(A3348,Planilha1!B:E,4,0)</f>
        <v>6.310326960724681</v>
      </c>
    </row>
    <row r="3349" spans="1:22" x14ac:dyDescent="0.3">
      <c r="A3349" t="str">
        <f t="shared" si="104"/>
        <v>PARMESÃOLACTALIS</v>
      </c>
      <c r="B3349" t="str">
        <f t="shared" si="105"/>
        <v>5334685PARMESÃOLACTALIS</v>
      </c>
      <c r="C3349" s="5" t="s">
        <v>226</v>
      </c>
      <c r="D3349" s="5" t="s">
        <v>227</v>
      </c>
      <c r="E3349" s="5" t="s">
        <v>1722</v>
      </c>
      <c r="F3349" s="5">
        <v>5334685</v>
      </c>
      <c r="G3349" s="5" t="s">
        <v>1362</v>
      </c>
      <c r="H3349" s="5" t="s">
        <v>30</v>
      </c>
      <c r="I3349" s="5" t="s">
        <v>22</v>
      </c>
      <c r="J3349" s="5" t="s">
        <v>195</v>
      </c>
      <c r="K3349" s="6">
        <v>0</v>
      </c>
      <c r="L3349" s="7">
        <v>0</v>
      </c>
      <c r="M3349" s="7">
        <v>0</v>
      </c>
      <c r="N3349" s="8">
        <v>18.766333333333332</v>
      </c>
      <c r="O3349" s="8">
        <v>0</v>
      </c>
      <c r="P3349" s="8">
        <v>0</v>
      </c>
      <c r="Q3349" s="8">
        <v>0</v>
      </c>
      <c r="R3349" s="8">
        <v>0</v>
      </c>
      <c r="S3349" s="8">
        <v>0</v>
      </c>
      <c r="T3349" s="5">
        <v>0</v>
      </c>
      <c r="U3349" s="5">
        <v>0</v>
      </c>
      <c r="V3349" s="5">
        <f>VLOOKUP(A3349,Planilha1!B:E,4,0)</f>
        <v>6.310326960724681</v>
      </c>
    </row>
    <row r="3350" spans="1:22" x14ac:dyDescent="0.3">
      <c r="A3350" t="str">
        <f t="shared" si="104"/>
        <v>PARMESÃOLACTALIS</v>
      </c>
      <c r="B3350" t="str">
        <f t="shared" si="105"/>
        <v>5349411PARMESÃOLACTALIS</v>
      </c>
      <c r="C3350" s="5" t="s">
        <v>226</v>
      </c>
      <c r="D3350" s="5" t="s">
        <v>227</v>
      </c>
      <c r="E3350" s="5" t="s">
        <v>1722</v>
      </c>
      <c r="F3350" s="5">
        <v>5349411</v>
      </c>
      <c r="G3350" s="5" t="s">
        <v>1584</v>
      </c>
      <c r="H3350" s="5" t="s">
        <v>30</v>
      </c>
      <c r="I3350" s="5" t="s">
        <v>22</v>
      </c>
      <c r="J3350" s="5" t="s">
        <v>195</v>
      </c>
      <c r="K3350" s="6">
        <v>0</v>
      </c>
      <c r="L3350" s="7">
        <v>0</v>
      </c>
      <c r="M3350" s="7">
        <v>0</v>
      </c>
      <c r="N3350" s="8">
        <v>47.794333333333334</v>
      </c>
      <c r="O3350" s="8">
        <v>0</v>
      </c>
      <c r="P3350" s="8">
        <v>0</v>
      </c>
      <c r="Q3350" s="8">
        <v>0</v>
      </c>
      <c r="R3350" s="8">
        <v>0</v>
      </c>
      <c r="S3350" s="8">
        <v>0</v>
      </c>
      <c r="T3350" s="5">
        <v>0</v>
      </c>
      <c r="U3350" s="5">
        <v>0</v>
      </c>
      <c r="V3350" s="5">
        <f>VLOOKUP(A3350,Planilha1!B:E,4,0)</f>
        <v>6.310326960724681</v>
      </c>
    </row>
    <row r="3351" spans="1:22" x14ac:dyDescent="0.3">
      <c r="A3351" t="str">
        <f t="shared" si="104"/>
        <v>PARMESÃOLACTALIS</v>
      </c>
      <c r="B3351" t="str">
        <f t="shared" si="105"/>
        <v>5352541PARMESÃOLACTALIS</v>
      </c>
      <c r="C3351" s="5" t="s">
        <v>226</v>
      </c>
      <c r="D3351" s="5" t="s">
        <v>227</v>
      </c>
      <c r="E3351" s="5" t="s">
        <v>1722</v>
      </c>
      <c r="F3351" s="5">
        <v>5352541</v>
      </c>
      <c r="G3351" s="5" t="s">
        <v>493</v>
      </c>
      <c r="H3351" s="5" t="s">
        <v>30</v>
      </c>
      <c r="I3351" s="5" t="s">
        <v>22</v>
      </c>
      <c r="J3351" s="5" t="s">
        <v>195</v>
      </c>
      <c r="K3351" s="6">
        <v>0</v>
      </c>
      <c r="L3351" s="7">
        <v>0</v>
      </c>
      <c r="M3351" s="7">
        <v>0</v>
      </c>
      <c r="N3351" s="8">
        <v>9.8049999999999997</v>
      </c>
      <c r="O3351" s="8">
        <v>0</v>
      </c>
      <c r="P3351" s="8">
        <v>0</v>
      </c>
      <c r="Q3351" s="8">
        <v>0</v>
      </c>
      <c r="R3351" s="8">
        <v>0</v>
      </c>
      <c r="S3351" s="8">
        <v>13</v>
      </c>
      <c r="T3351" s="5">
        <v>15</v>
      </c>
      <c r="U3351" s="5">
        <v>13</v>
      </c>
      <c r="V3351" s="5">
        <f>VLOOKUP(A3351,Planilha1!B:E,4,0)</f>
        <v>6.310326960724681</v>
      </c>
    </row>
    <row r="3352" spans="1:22" x14ac:dyDescent="0.3">
      <c r="A3352" t="str">
        <f t="shared" si="104"/>
        <v>PARMESÃOLACTALIS</v>
      </c>
      <c r="B3352" t="str">
        <f t="shared" si="105"/>
        <v>5352582PARMESÃOLACTALIS</v>
      </c>
      <c r="C3352" s="5" t="s">
        <v>226</v>
      </c>
      <c r="D3352" s="5" t="s">
        <v>227</v>
      </c>
      <c r="E3352" s="5" t="s">
        <v>1722</v>
      </c>
      <c r="F3352" s="5">
        <v>5352582</v>
      </c>
      <c r="G3352" s="5" t="s">
        <v>1505</v>
      </c>
      <c r="H3352" s="5" t="s">
        <v>30</v>
      </c>
      <c r="I3352" s="5" t="s">
        <v>22</v>
      </c>
      <c r="J3352" s="5" t="s">
        <v>195</v>
      </c>
      <c r="K3352" s="6">
        <v>0</v>
      </c>
      <c r="L3352" s="7">
        <v>0</v>
      </c>
      <c r="M3352" s="7">
        <v>0</v>
      </c>
      <c r="N3352" s="8">
        <v>19.073333333333334</v>
      </c>
      <c r="O3352" s="8">
        <v>0</v>
      </c>
      <c r="P3352" s="8">
        <v>0</v>
      </c>
      <c r="Q3352" s="8">
        <v>15.46</v>
      </c>
      <c r="R3352" s="8">
        <v>0</v>
      </c>
      <c r="S3352" s="8">
        <v>0</v>
      </c>
      <c r="T3352" s="5">
        <v>0</v>
      </c>
      <c r="U3352" s="5">
        <v>0</v>
      </c>
      <c r="V3352" s="5">
        <f>VLOOKUP(A3352,Planilha1!B:E,4,0)</f>
        <v>6.310326960724681</v>
      </c>
    </row>
    <row r="3353" spans="1:22" x14ac:dyDescent="0.3">
      <c r="A3353" t="str">
        <f t="shared" si="104"/>
        <v>PARMESÃOLACTALIS</v>
      </c>
      <c r="B3353" t="str">
        <f t="shared" si="105"/>
        <v>5355684PARMESÃOLACTALIS</v>
      </c>
      <c r="C3353" s="5" t="s">
        <v>226</v>
      </c>
      <c r="D3353" s="5" t="s">
        <v>227</v>
      </c>
      <c r="E3353" s="5" t="s">
        <v>1722</v>
      </c>
      <c r="F3353" s="5">
        <v>5355684</v>
      </c>
      <c r="G3353" s="5" t="s">
        <v>1585</v>
      </c>
      <c r="H3353" s="5" t="s">
        <v>30</v>
      </c>
      <c r="I3353" s="5" t="s">
        <v>22</v>
      </c>
      <c r="J3353" s="5" t="s">
        <v>195</v>
      </c>
      <c r="K3353" s="6">
        <v>0</v>
      </c>
      <c r="L3353" s="7">
        <v>0</v>
      </c>
      <c r="M3353" s="7">
        <v>0</v>
      </c>
      <c r="N3353" s="8">
        <v>9.5383333333333322</v>
      </c>
      <c r="O3353" s="8">
        <v>0</v>
      </c>
      <c r="P3353" s="8">
        <v>0</v>
      </c>
      <c r="Q3353" s="8">
        <v>0</v>
      </c>
      <c r="R3353" s="8">
        <v>0</v>
      </c>
      <c r="S3353" s="8">
        <v>0</v>
      </c>
      <c r="T3353" s="5">
        <v>0</v>
      </c>
      <c r="U3353" s="5">
        <v>0</v>
      </c>
      <c r="V3353" s="5">
        <f>VLOOKUP(A3353,Planilha1!B:E,4,0)</f>
        <v>6.310326960724681</v>
      </c>
    </row>
    <row r="3354" spans="1:22" x14ac:dyDescent="0.3">
      <c r="A3354" t="str">
        <f t="shared" si="104"/>
        <v>PARMESÃOLACTALIS</v>
      </c>
      <c r="B3354" t="str">
        <f t="shared" si="105"/>
        <v>5358596PARMESÃOLACTALIS</v>
      </c>
      <c r="C3354" s="5" t="s">
        <v>226</v>
      </c>
      <c r="D3354" s="5" t="s">
        <v>227</v>
      </c>
      <c r="E3354" s="5" t="s">
        <v>1722</v>
      </c>
      <c r="F3354" s="5">
        <v>5358596</v>
      </c>
      <c r="G3354" s="5" t="s">
        <v>1402</v>
      </c>
      <c r="H3354" s="5" t="s">
        <v>30</v>
      </c>
      <c r="I3354" s="5" t="s">
        <v>22</v>
      </c>
      <c r="J3354" s="5" t="s">
        <v>195</v>
      </c>
      <c r="K3354" s="6">
        <v>0</v>
      </c>
      <c r="L3354" s="7">
        <v>0</v>
      </c>
      <c r="M3354" s="7">
        <v>0</v>
      </c>
      <c r="N3354" s="8">
        <v>5.08</v>
      </c>
      <c r="O3354" s="8">
        <v>0</v>
      </c>
      <c r="P3354" s="8">
        <v>0</v>
      </c>
      <c r="Q3354" s="8">
        <v>0</v>
      </c>
      <c r="R3354" s="8">
        <v>0</v>
      </c>
      <c r="S3354" s="8">
        <v>0</v>
      </c>
      <c r="T3354" s="5">
        <v>0</v>
      </c>
      <c r="U3354" s="5">
        <v>0</v>
      </c>
      <c r="V3354" s="5">
        <f>VLOOKUP(A3354,Planilha1!B:E,4,0)</f>
        <v>6.310326960724681</v>
      </c>
    </row>
    <row r="3355" spans="1:22" x14ac:dyDescent="0.3">
      <c r="A3355" t="str">
        <f t="shared" si="104"/>
        <v>PARMESÃOLACTALIS</v>
      </c>
      <c r="B3355" t="str">
        <f t="shared" si="105"/>
        <v>5360457PARMESÃOLACTALIS</v>
      </c>
      <c r="C3355" s="5" t="s">
        <v>226</v>
      </c>
      <c r="D3355" s="5" t="s">
        <v>227</v>
      </c>
      <c r="E3355" s="5" t="s">
        <v>1722</v>
      </c>
      <c r="F3355" s="5">
        <v>5360457</v>
      </c>
      <c r="G3355" s="5" t="s">
        <v>1538</v>
      </c>
      <c r="H3355" s="5" t="s">
        <v>30</v>
      </c>
      <c r="I3355" s="5" t="s">
        <v>22</v>
      </c>
      <c r="J3355" s="5" t="s">
        <v>195</v>
      </c>
      <c r="K3355" s="6">
        <v>0</v>
      </c>
      <c r="L3355" s="7">
        <v>0</v>
      </c>
      <c r="M3355" s="7">
        <v>0</v>
      </c>
      <c r="N3355" s="8">
        <v>4.585</v>
      </c>
      <c r="O3355" s="8">
        <v>0</v>
      </c>
      <c r="P3355" s="8">
        <v>0</v>
      </c>
      <c r="Q3355" s="8">
        <v>0</v>
      </c>
      <c r="R3355" s="8">
        <v>0</v>
      </c>
      <c r="S3355" s="8">
        <v>0</v>
      </c>
      <c r="T3355" s="5">
        <v>0</v>
      </c>
      <c r="U3355" s="5">
        <v>0</v>
      </c>
      <c r="V3355" s="5">
        <f>VLOOKUP(A3355,Planilha1!B:E,4,0)</f>
        <v>6.310326960724681</v>
      </c>
    </row>
    <row r="3356" spans="1:22" x14ac:dyDescent="0.3">
      <c r="A3356" t="str">
        <f t="shared" si="104"/>
        <v>PARMESÃOLACTALIS</v>
      </c>
      <c r="B3356" t="str">
        <f t="shared" si="105"/>
        <v>5360679PARMESÃOLACTALIS</v>
      </c>
      <c r="C3356" s="5" t="s">
        <v>226</v>
      </c>
      <c r="D3356" s="5" t="s">
        <v>227</v>
      </c>
      <c r="E3356" s="5" t="s">
        <v>1722</v>
      </c>
      <c r="F3356" s="5">
        <v>5360679</v>
      </c>
      <c r="G3356" s="5" t="s">
        <v>1564</v>
      </c>
      <c r="H3356" s="5" t="s">
        <v>30</v>
      </c>
      <c r="I3356" s="5" t="s">
        <v>22</v>
      </c>
      <c r="J3356" s="5" t="s">
        <v>195</v>
      </c>
      <c r="K3356" s="6">
        <v>0</v>
      </c>
      <c r="L3356" s="7">
        <v>0</v>
      </c>
      <c r="M3356" s="7">
        <v>0</v>
      </c>
      <c r="N3356" s="8">
        <v>10.123333333333333</v>
      </c>
      <c r="O3356" s="8">
        <v>0</v>
      </c>
      <c r="P3356" s="8">
        <v>0</v>
      </c>
      <c r="Q3356" s="8">
        <v>0</v>
      </c>
      <c r="R3356" s="8">
        <v>0</v>
      </c>
      <c r="S3356" s="8">
        <v>0</v>
      </c>
      <c r="T3356" s="5">
        <v>0</v>
      </c>
      <c r="U3356" s="5">
        <v>0</v>
      </c>
      <c r="V3356" s="5">
        <f>VLOOKUP(A3356,Planilha1!B:E,4,0)</f>
        <v>6.310326960724681</v>
      </c>
    </row>
    <row r="3357" spans="1:22" x14ac:dyDescent="0.3">
      <c r="A3357" t="str">
        <f t="shared" si="104"/>
        <v>QUEIJOSITAMBÉ</v>
      </c>
      <c r="B3357" t="str">
        <f t="shared" si="105"/>
        <v>5200125QUEIJOSITAMBÉ</v>
      </c>
      <c r="C3357" s="5" t="s">
        <v>226</v>
      </c>
      <c r="D3357" s="5" t="s">
        <v>833</v>
      </c>
      <c r="E3357" s="5" t="s">
        <v>875</v>
      </c>
      <c r="F3357" s="5">
        <v>5200125</v>
      </c>
      <c r="G3357" s="5" t="s">
        <v>886</v>
      </c>
      <c r="H3357" s="5" t="s">
        <v>91</v>
      </c>
      <c r="I3357" s="5" t="s">
        <v>27</v>
      </c>
      <c r="J3357" s="5" t="s">
        <v>63</v>
      </c>
      <c r="K3357" s="6">
        <v>0</v>
      </c>
      <c r="L3357" s="7">
        <v>0</v>
      </c>
      <c r="M3357" s="7">
        <v>0</v>
      </c>
      <c r="N3357" s="8">
        <v>0.66666666666666663</v>
      </c>
      <c r="O3357" s="8">
        <v>0</v>
      </c>
      <c r="P3357" s="8">
        <v>0</v>
      </c>
      <c r="Q3357" s="8">
        <v>0</v>
      </c>
      <c r="R3357" s="8">
        <v>0</v>
      </c>
      <c r="S3357" s="8">
        <v>0</v>
      </c>
      <c r="T3357" s="5">
        <v>0</v>
      </c>
      <c r="U3357" s="5">
        <v>0</v>
      </c>
      <c r="V3357" s="5">
        <f>VLOOKUP(A3357,Planilha1!B:E,4,0)</f>
        <v>12.008237327188938</v>
      </c>
    </row>
    <row r="3358" spans="1:22" x14ac:dyDescent="0.3">
      <c r="A3358" t="str">
        <f t="shared" si="104"/>
        <v>QUEIJOSITAMBÉ</v>
      </c>
      <c r="B3358" t="str">
        <f t="shared" si="105"/>
        <v>5231829QUEIJOSITAMBÉ</v>
      </c>
      <c r="C3358" s="5" t="s">
        <v>226</v>
      </c>
      <c r="D3358" s="5" t="s">
        <v>727</v>
      </c>
      <c r="E3358" s="5" t="s">
        <v>733</v>
      </c>
      <c r="F3358" s="5">
        <v>5231829</v>
      </c>
      <c r="G3358" s="5" t="s">
        <v>1553</v>
      </c>
      <c r="H3358" s="5" t="s">
        <v>25</v>
      </c>
      <c r="I3358" s="5" t="s">
        <v>27</v>
      </c>
      <c r="J3358" s="5" t="s">
        <v>63</v>
      </c>
      <c r="K3358" s="6">
        <v>0</v>
      </c>
      <c r="L3358" s="7">
        <v>0</v>
      </c>
      <c r="M3358" s="7">
        <v>0</v>
      </c>
      <c r="N3358" s="8">
        <v>11.333333333333334</v>
      </c>
      <c r="O3358" s="8">
        <v>0</v>
      </c>
      <c r="P3358" s="8">
        <v>0</v>
      </c>
      <c r="Q3358" s="8">
        <v>0</v>
      </c>
      <c r="R3358" s="8">
        <v>0</v>
      </c>
      <c r="S3358" s="8">
        <v>0</v>
      </c>
      <c r="T3358" s="5">
        <v>0</v>
      </c>
      <c r="U3358" s="5">
        <v>0</v>
      </c>
      <c r="V3358" s="5">
        <f>VLOOKUP(A3358,Planilha1!B:E,4,0)</f>
        <v>12.008237327188938</v>
      </c>
    </row>
    <row r="3359" spans="1:22" x14ac:dyDescent="0.3">
      <c r="A3359" t="str">
        <f t="shared" si="104"/>
        <v>QUEIJOSLACTALIS</v>
      </c>
      <c r="B3359" t="str">
        <f t="shared" si="105"/>
        <v>5002471QUEIJOSLACTALIS</v>
      </c>
      <c r="C3359" s="5" t="s">
        <v>226</v>
      </c>
      <c r="D3359" s="5" t="s">
        <v>227</v>
      </c>
      <c r="E3359" s="5" t="s">
        <v>1722</v>
      </c>
      <c r="F3359" s="5">
        <v>5002471</v>
      </c>
      <c r="G3359" s="5" t="s">
        <v>1133</v>
      </c>
      <c r="H3359" s="5" t="s">
        <v>30</v>
      </c>
      <c r="I3359" s="5" t="s">
        <v>22</v>
      </c>
      <c r="J3359" s="5" t="s">
        <v>63</v>
      </c>
      <c r="K3359" s="6">
        <v>0</v>
      </c>
      <c r="L3359" s="7">
        <v>0</v>
      </c>
      <c r="M3359" s="7">
        <v>0</v>
      </c>
      <c r="N3359" s="8">
        <v>7.7966666666666669</v>
      </c>
      <c r="O3359" s="8">
        <v>0</v>
      </c>
      <c r="P3359" s="8">
        <v>0</v>
      </c>
      <c r="Q3359" s="8">
        <v>0</v>
      </c>
      <c r="R3359" s="8">
        <v>0</v>
      </c>
      <c r="S3359" s="8">
        <v>0</v>
      </c>
      <c r="T3359" s="5">
        <v>0</v>
      </c>
      <c r="U3359" s="5">
        <v>0</v>
      </c>
      <c r="V3359" s="5">
        <f>VLOOKUP(A3359,Planilha1!B:E,4,0)</f>
        <v>-1.9171310037550682</v>
      </c>
    </row>
    <row r="3360" spans="1:22" x14ac:dyDescent="0.3">
      <c r="A3360" t="str">
        <f t="shared" si="104"/>
        <v>QUEIJOSLACTALIS</v>
      </c>
      <c r="B3360" t="str">
        <f t="shared" si="105"/>
        <v>5009911QUEIJOSLACTALIS</v>
      </c>
      <c r="C3360" s="5" t="s">
        <v>226</v>
      </c>
      <c r="D3360" s="5" t="s">
        <v>227</v>
      </c>
      <c r="E3360" s="5" t="s">
        <v>1722</v>
      </c>
      <c r="F3360" s="5">
        <v>5009911</v>
      </c>
      <c r="G3360" s="5" t="s">
        <v>1466</v>
      </c>
      <c r="H3360" s="5" t="s">
        <v>30</v>
      </c>
      <c r="I3360" s="5" t="s">
        <v>22</v>
      </c>
      <c r="J3360" s="5" t="s">
        <v>63</v>
      </c>
      <c r="K3360" s="6">
        <v>0</v>
      </c>
      <c r="L3360" s="7">
        <v>0</v>
      </c>
      <c r="M3360" s="7">
        <v>0</v>
      </c>
      <c r="N3360" s="8">
        <v>32.76</v>
      </c>
      <c r="O3360" s="8">
        <v>2.4617426058659477</v>
      </c>
      <c r="P3360" s="8">
        <v>0</v>
      </c>
      <c r="Q3360" s="8">
        <v>0</v>
      </c>
      <c r="R3360" s="8">
        <v>0</v>
      </c>
      <c r="S3360" s="8">
        <v>0</v>
      </c>
      <c r="T3360" s="5">
        <v>0</v>
      </c>
      <c r="U3360" s="5">
        <v>0</v>
      </c>
      <c r="V3360" s="5">
        <f>VLOOKUP(A3360,Planilha1!B:E,4,0)</f>
        <v>-1.9171310037550682</v>
      </c>
    </row>
    <row r="3361" spans="1:22" x14ac:dyDescent="0.3">
      <c r="A3361" t="str">
        <f t="shared" si="104"/>
        <v>QUEIJOSLACTALIS</v>
      </c>
      <c r="B3361" t="str">
        <f t="shared" si="105"/>
        <v>5012641QUEIJOSLACTALIS</v>
      </c>
      <c r="C3361" s="5" t="s">
        <v>226</v>
      </c>
      <c r="D3361" s="5" t="s">
        <v>227</v>
      </c>
      <c r="E3361" s="5" t="s">
        <v>703</v>
      </c>
      <c r="F3361" s="5">
        <v>5012641</v>
      </c>
      <c r="G3361" s="5" t="s">
        <v>704</v>
      </c>
      <c r="H3361" s="5" t="s">
        <v>30</v>
      </c>
      <c r="I3361" s="5" t="s">
        <v>22</v>
      </c>
      <c r="J3361" s="5" t="s">
        <v>63</v>
      </c>
      <c r="K3361" s="6">
        <v>0</v>
      </c>
      <c r="L3361" s="7">
        <v>0</v>
      </c>
      <c r="M3361" s="7">
        <v>0</v>
      </c>
      <c r="N3361" s="8">
        <v>0</v>
      </c>
      <c r="O3361" s="8">
        <v>2.6212999969868886</v>
      </c>
      <c r="P3361" s="8">
        <v>0</v>
      </c>
      <c r="Q3361" s="8">
        <v>0</v>
      </c>
      <c r="R3361" s="8">
        <v>0</v>
      </c>
      <c r="S3361" s="8">
        <v>0</v>
      </c>
      <c r="T3361" s="5">
        <v>0</v>
      </c>
      <c r="U3361" s="5">
        <v>0</v>
      </c>
      <c r="V3361" s="5">
        <f>VLOOKUP(A3361,Planilha1!B:E,4,0)</f>
        <v>-1.9171310037550682</v>
      </c>
    </row>
    <row r="3362" spans="1:22" x14ac:dyDescent="0.3">
      <c r="A3362" t="str">
        <f t="shared" si="104"/>
        <v>QUEIJOSLACTALIS</v>
      </c>
      <c r="B3362" t="str">
        <f t="shared" si="105"/>
        <v>5026399QUEIJOSLACTALIS</v>
      </c>
      <c r="C3362" s="5" t="s">
        <v>226</v>
      </c>
      <c r="D3362" s="5" t="s">
        <v>752</v>
      </c>
      <c r="E3362" s="5" t="s">
        <v>756</v>
      </c>
      <c r="F3362" s="5">
        <v>5026399</v>
      </c>
      <c r="G3362" s="5" t="s">
        <v>757</v>
      </c>
      <c r="H3362" s="5" t="s">
        <v>154</v>
      </c>
      <c r="I3362" s="5" t="s">
        <v>22</v>
      </c>
      <c r="J3362" s="5" t="s">
        <v>63</v>
      </c>
      <c r="K3362" s="6">
        <v>0</v>
      </c>
      <c r="L3362" s="7">
        <v>11865.6</v>
      </c>
      <c r="M3362" s="7">
        <v>0</v>
      </c>
      <c r="N3362" s="8">
        <v>640</v>
      </c>
      <c r="O3362" s="8">
        <v>271.24186642734549</v>
      </c>
      <c r="P3362" s="8">
        <v>189</v>
      </c>
      <c r="Q3362" s="8">
        <v>0</v>
      </c>
      <c r="R3362" s="8">
        <v>470</v>
      </c>
      <c r="S3362" s="8">
        <v>0</v>
      </c>
      <c r="T3362" s="5">
        <v>0</v>
      </c>
      <c r="U3362" s="5">
        <v>0</v>
      </c>
      <c r="V3362" s="5">
        <f>VLOOKUP(A3362,Planilha1!B:E,4,0)</f>
        <v>-1.9171310037550682</v>
      </c>
    </row>
    <row r="3363" spans="1:22" x14ac:dyDescent="0.3">
      <c r="A3363" t="str">
        <f t="shared" si="104"/>
        <v>QUEIJOSLACTALIS</v>
      </c>
      <c r="B3363" t="str">
        <f t="shared" si="105"/>
        <v>5034557QUEIJOSLACTALIS</v>
      </c>
      <c r="C3363" s="5" t="s">
        <v>226</v>
      </c>
      <c r="D3363" s="5" t="s">
        <v>227</v>
      </c>
      <c r="E3363" s="5" t="s">
        <v>1722</v>
      </c>
      <c r="F3363" s="5">
        <v>5034557</v>
      </c>
      <c r="G3363" s="5" t="s">
        <v>379</v>
      </c>
      <c r="H3363" s="5" t="s">
        <v>30</v>
      </c>
      <c r="I3363" s="5" t="s">
        <v>22</v>
      </c>
      <c r="J3363" s="5" t="s">
        <v>63</v>
      </c>
      <c r="K3363" s="6">
        <v>0</v>
      </c>
      <c r="L3363" s="7">
        <v>0</v>
      </c>
      <c r="M3363" s="7">
        <v>0</v>
      </c>
      <c r="N3363" s="8">
        <v>69.64</v>
      </c>
      <c r="O3363" s="8">
        <v>0</v>
      </c>
      <c r="P3363" s="8">
        <v>0</v>
      </c>
      <c r="Q3363" s="8">
        <v>0</v>
      </c>
      <c r="R3363" s="8">
        <v>0</v>
      </c>
      <c r="S3363" s="8">
        <v>0</v>
      </c>
      <c r="T3363" s="5">
        <v>0</v>
      </c>
      <c r="U3363" s="5">
        <v>169</v>
      </c>
      <c r="V3363" s="5">
        <f>VLOOKUP(A3363,Planilha1!B:E,4,0)</f>
        <v>-1.9171310037550682</v>
      </c>
    </row>
    <row r="3364" spans="1:22" x14ac:dyDescent="0.3">
      <c r="A3364" t="str">
        <f t="shared" si="104"/>
        <v>QUEIJOSLACTALIS</v>
      </c>
      <c r="B3364" t="str">
        <f t="shared" si="105"/>
        <v>5058749QUEIJOSLACTALIS</v>
      </c>
      <c r="C3364" s="5" t="s">
        <v>226</v>
      </c>
      <c r="D3364" s="5" t="s">
        <v>227</v>
      </c>
      <c r="E3364" s="5" t="s">
        <v>1722</v>
      </c>
      <c r="F3364" s="5">
        <v>5058749</v>
      </c>
      <c r="G3364" s="5" t="s">
        <v>253</v>
      </c>
      <c r="H3364" s="5" t="s">
        <v>30</v>
      </c>
      <c r="I3364" s="5" t="s">
        <v>22</v>
      </c>
      <c r="J3364" s="5" t="s">
        <v>63</v>
      </c>
      <c r="K3364" s="6">
        <v>0</v>
      </c>
      <c r="L3364" s="7">
        <v>377.84</v>
      </c>
      <c r="M3364" s="7">
        <v>0</v>
      </c>
      <c r="N3364" s="8">
        <v>92.956666666666663</v>
      </c>
      <c r="O3364" s="8">
        <v>0</v>
      </c>
      <c r="P3364" s="8">
        <v>0</v>
      </c>
      <c r="Q3364" s="8">
        <v>0</v>
      </c>
      <c r="R3364" s="8">
        <v>0</v>
      </c>
      <c r="S3364" s="8">
        <v>0</v>
      </c>
      <c r="T3364" s="5">
        <v>0</v>
      </c>
      <c r="U3364" s="5">
        <v>0</v>
      </c>
      <c r="V3364" s="5">
        <f>VLOOKUP(A3364,Planilha1!B:E,4,0)</f>
        <v>-1.9171310037550682</v>
      </c>
    </row>
    <row r="3365" spans="1:22" x14ac:dyDescent="0.3">
      <c r="A3365" t="str">
        <f t="shared" si="104"/>
        <v>QUEIJOSLACTALIS</v>
      </c>
      <c r="B3365" t="str">
        <f t="shared" si="105"/>
        <v>5108984QUEIJOSLACTALIS</v>
      </c>
      <c r="C3365" s="5" t="s">
        <v>226</v>
      </c>
      <c r="D3365" s="5" t="s">
        <v>752</v>
      </c>
      <c r="E3365" s="5" t="s">
        <v>767</v>
      </c>
      <c r="F3365" s="5">
        <v>5108984</v>
      </c>
      <c r="G3365" s="5" t="s">
        <v>768</v>
      </c>
      <c r="H3365" s="5" t="s">
        <v>154</v>
      </c>
      <c r="I3365" s="5" t="s">
        <v>22</v>
      </c>
      <c r="J3365" s="5" t="s">
        <v>63</v>
      </c>
      <c r="K3365" s="6">
        <v>0</v>
      </c>
      <c r="L3365" s="7">
        <v>5760.42</v>
      </c>
      <c r="M3365" s="7">
        <v>0</v>
      </c>
      <c r="N3365" s="8">
        <v>19.836666666666666</v>
      </c>
      <c r="O3365" s="8">
        <v>13.231866506529469</v>
      </c>
      <c r="P3365" s="8">
        <v>0</v>
      </c>
      <c r="Q3365" s="8">
        <v>0</v>
      </c>
      <c r="R3365" s="8">
        <v>0</v>
      </c>
      <c r="S3365" s="8">
        <v>0</v>
      </c>
      <c r="T3365" s="5">
        <v>0</v>
      </c>
      <c r="U3365" s="5">
        <v>0</v>
      </c>
      <c r="V3365" s="5">
        <f>VLOOKUP(A3365,Planilha1!B:E,4,0)</f>
        <v>-1.9171310037550682</v>
      </c>
    </row>
    <row r="3366" spans="1:22" x14ac:dyDescent="0.3">
      <c r="A3366" t="str">
        <f t="shared" si="104"/>
        <v>QUEIJOSLACTALIS</v>
      </c>
      <c r="B3366" t="str">
        <f t="shared" si="105"/>
        <v>5149780QUEIJOSLACTALIS</v>
      </c>
      <c r="C3366" s="5" t="s">
        <v>226</v>
      </c>
      <c r="D3366" s="5" t="s">
        <v>227</v>
      </c>
      <c r="E3366" s="5" t="s">
        <v>1722</v>
      </c>
      <c r="F3366" s="5">
        <v>5149780</v>
      </c>
      <c r="G3366" s="5" t="s">
        <v>1528</v>
      </c>
      <c r="H3366" s="5" t="s">
        <v>30</v>
      </c>
      <c r="I3366" s="5" t="s">
        <v>22</v>
      </c>
      <c r="J3366" s="5" t="s">
        <v>63</v>
      </c>
      <c r="K3366" s="6">
        <v>0</v>
      </c>
      <c r="L3366" s="7">
        <v>0</v>
      </c>
      <c r="M3366" s="7">
        <v>0</v>
      </c>
      <c r="N3366" s="8">
        <v>7.833333333333333</v>
      </c>
      <c r="O3366" s="8">
        <v>0</v>
      </c>
      <c r="P3366" s="8">
        <v>0</v>
      </c>
      <c r="Q3366" s="8">
        <v>0</v>
      </c>
      <c r="R3366" s="8">
        <v>0</v>
      </c>
      <c r="S3366" s="8">
        <v>0</v>
      </c>
      <c r="T3366" s="5">
        <v>0</v>
      </c>
      <c r="U3366" s="5">
        <v>0</v>
      </c>
      <c r="V3366" s="5">
        <f>VLOOKUP(A3366,Planilha1!B:E,4,0)</f>
        <v>-1.9171310037550682</v>
      </c>
    </row>
    <row r="3367" spans="1:22" x14ac:dyDescent="0.3">
      <c r="A3367" t="str">
        <f t="shared" si="104"/>
        <v>QUEIJOSLACTALIS</v>
      </c>
      <c r="B3367" t="str">
        <f t="shared" si="105"/>
        <v>5155365QUEIJOSLACTALIS</v>
      </c>
      <c r="C3367" s="5" t="s">
        <v>226</v>
      </c>
      <c r="D3367" s="5" t="s">
        <v>227</v>
      </c>
      <c r="E3367" s="5" t="s">
        <v>1722</v>
      </c>
      <c r="F3367" s="5">
        <v>5155365</v>
      </c>
      <c r="G3367" s="5" t="s">
        <v>504</v>
      </c>
      <c r="H3367" s="5" t="s">
        <v>30</v>
      </c>
      <c r="I3367" s="5" t="s">
        <v>22</v>
      </c>
      <c r="J3367" s="5" t="s">
        <v>63</v>
      </c>
      <c r="K3367" s="6">
        <v>0</v>
      </c>
      <c r="L3367" s="7">
        <v>0</v>
      </c>
      <c r="M3367" s="7">
        <v>0</v>
      </c>
      <c r="N3367" s="8">
        <v>0.33333333333333331</v>
      </c>
      <c r="O3367" s="8">
        <v>0</v>
      </c>
      <c r="P3367" s="8">
        <v>0</v>
      </c>
      <c r="Q3367" s="8">
        <v>0</v>
      </c>
      <c r="R3367" s="8">
        <v>0</v>
      </c>
      <c r="S3367" s="8">
        <v>0</v>
      </c>
      <c r="T3367" s="5">
        <v>0</v>
      </c>
      <c r="U3367" s="5">
        <v>0</v>
      </c>
      <c r="V3367" s="5">
        <f>VLOOKUP(A3367,Planilha1!B:E,4,0)</f>
        <v>-1.9171310037550682</v>
      </c>
    </row>
    <row r="3368" spans="1:22" x14ac:dyDescent="0.3">
      <c r="A3368" t="str">
        <f t="shared" si="104"/>
        <v>QUEIJOSLACTALIS</v>
      </c>
      <c r="B3368" t="str">
        <f t="shared" si="105"/>
        <v>5157891QUEIJOSLACTALIS</v>
      </c>
      <c r="C3368" s="5" t="s">
        <v>226</v>
      </c>
      <c r="D3368" s="5" t="s">
        <v>815</v>
      </c>
      <c r="E3368" s="5" t="s">
        <v>815</v>
      </c>
      <c r="F3368" s="5">
        <v>5157891</v>
      </c>
      <c r="G3368" s="5" t="s">
        <v>831</v>
      </c>
      <c r="H3368" s="5" t="s">
        <v>30</v>
      </c>
      <c r="I3368" s="5" t="s">
        <v>22</v>
      </c>
      <c r="J3368" s="5" t="s">
        <v>63</v>
      </c>
      <c r="K3368" s="6">
        <v>0</v>
      </c>
      <c r="L3368" s="7">
        <v>0</v>
      </c>
      <c r="M3368" s="7">
        <v>0</v>
      </c>
      <c r="N3368" s="8">
        <v>0</v>
      </c>
      <c r="O3368" s="8">
        <v>130.59202615423592</v>
      </c>
      <c r="P3368" s="8">
        <v>0</v>
      </c>
      <c r="Q3368" s="8">
        <v>0</v>
      </c>
      <c r="R3368" s="8">
        <v>0</v>
      </c>
      <c r="S3368" s="8">
        <v>0</v>
      </c>
      <c r="T3368" s="5">
        <v>0</v>
      </c>
      <c r="U3368" s="5">
        <v>0</v>
      </c>
      <c r="V3368" s="5">
        <f>VLOOKUP(A3368,Planilha1!B:E,4,0)</f>
        <v>-1.9171310037550682</v>
      </c>
    </row>
    <row r="3369" spans="1:22" x14ac:dyDescent="0.3">
      <c r="A3369" t="str">
        <f t="shared" si="104"/>
        <v>QUEIJOSLACTALIS</v>
      </c>
      <c r="B3369" t="str">
        <f t="shared" si="105"/>
        <v>5158914QUEIJOSLACTALIS</v>
      </c>
      <c r="C3369" s="5" t="s">
        <v>226</v>
      </c>
      <c r="D3369" s="5" t="s">
        <v>227</v>
      </c>
      <c r="E3369" s="5" t="s">
        <v>1722</v>
      </c>
      <c r="F3369" s="5">
        <v>5158914</v>
      </c>
      <c r="G3369" s="5" t="s">
        <v>1107</v>
      </c>
      <c r="H3369" s="5" t="s">
        <v>30</v>
      </c>
      <c r="I3369" s="5" t="s">
        <v>22</v>
      </c>
      <c r="J3369" s="5" t="s">
        <v>63</v>
      </c>
      <c r="K3369" s="6">
        <v>0</v>
      </c>
      <c r="L3369" s="7">
        <v>200.83600000000001</v>
      </c>
      <c r="M3369" s="7">
        <v>0</v>
      </c>
      <c r="N3369" s="8">
        <v>81.61333333333333</v>
      </c>
      <c r="O3369" s="8">
        <v>82.018197514418034</v>
      </c>
      <c r="P3369" s="8">
        <v>0</v>
      </c>
      <c r="Q3369" s="8">
        <v>0</v>
      </c>
      <c r="R3369" s="8">
        <v>0</v>
      </c>
      <c r="S3369" s="8">
        <v>0</v>
      </c>
      <c r="T3369" s="5">
        <v>0</v>
      </c>
      <c r="U3369" s="5">
        <v>0</v>
      </c>
      <c r="V3369" s="5">
        <f>VLOOKUP(A3369,Planilha1!B:E,4,0)</f>
        <v>-1.9171310037550682</v>
      </c>
    </row>
    <row r="3370" spans="1:22" x14ac:dyDescent="0.3">
      <c r="A3370" t="str">
        <f t="shared" si="104"/>
        <v>QUEIJOSLACTALIS</v>
      </c>
      <c r="B3370" t="str">
        <f t="shared" si="105"/>
        <v>5167344QUEIJOSLACTALIS</v>
      </c>
      <c r="C3370" s="5" t="s">
        <v>16</v>
      </c>
      <c r="D3370" s="5" t="s">
        <v>17</v>
      </c>
      <c r="E3370" s="5" t="s">
        <v>66</v>
      </c>
      <c r="F3370" s="5">
        <v>5167344</v>
      </c>
      <c r="G3370" s="5" t="s">
        <v>1586</v>
      </c>
      <c r="H3370" s="5" t="s">
        <v>25</v>
      </c>
      <c r="I3370" s="5" t="s">
        <v>22</v>
      </c>
      <c r="J3370" s="5" t="s">
        <v>63</v>
      </c>
      <c r="K3370" s="6">
        <v>0</v>
      </c>
      <c r="L3370" s="7">
        <v>0</v>
      </c>
      <c r="M3370" s="7">
        <v>0</v>
      </c>
      <c r="N3370" s="8">
        <v>73.893333333333331</v>
      </c>
      <c r="O3370" s="8">
        <v>0</v>
      </c>
      <c r="P3370" s="8">
        <v>0</v>
      </c>
      <c r="Q3370" s="8">
        <v>0</v>
      </c>
      <c r="R3370" s="8">
        <v>0</v>
      </c>
      <c r="S3370" s="8">
        <v>0</v>
      </c>
      <c r="T3370" s="5">
        <v>0</v>
      </c>
      <c r="U3370" s="5">
        <v>0</v>
      </c>
      <c r="V3370" s="5">
        <f>VLOOKUP(A3370,Planilha1!B:E,4,0)</f>
        <v>-1.9171310037550682</v>
      </c>
    </row>
    <row r="3371" spans="1:22" x14ac:dyDescent="0.3">
      <c r="A3371" t="str">
        <f t="shared" si="104"/>
        <v>QUEIJOSLACTALIS</v>
      </c>
      <c r="B3371" t="str">
        <f t="shared" si="105"/>
        <v>5178073QUEIJOSLACTALIS</v>
      </c>
      <c r="C3371" s="5" t="s">
        <v>226</v>
      </c>
      <c r="D3371" s="5" t="s">
        <v>227</v>
      </c>
      <c r="E3371" s="5" t="s">
        <v>1722</v>
      </c>
      <c r="F3371" s="5">
        <v>5178073</v>
      </c>
      <c r="G3371" s="5" t="s">
        <v>256</v>
      </c>
      <c r="H3371" s="5" t="s">
        <v>30</v>
      </c>
      <c r="I3371" s="5" t="s">
        <v>22</v>
      </c>
      <c r="J3371" s="5" t="s">
        <v>63</v>
      </c>
      <c r="K3371" s="6">
        <v>0</v>
      </c>
      <c r="L3371" s="7">
        <v>0</v>
      </c>
      <c r="M3371" s="7">
        <v>0</v>
      </c>
      <c r="N3371" s="8">
        <v>105.08666666666666</v>
      </c>
      <c r="O3371" s="8">
        <v>0</v>
      </c>
      <c r="P3371" s="8">
        <v>0</v>
      </c>
      <c r="Q3371" s="8">
        <v>0</v>
      </c>
      <c r="R3371" s="8">
        <v>0</v>
      </c>
      <c r="S3371" s="8">
        <v>0</v>
      </c>
      <c r="T3371" s="5">
        <v>0</v>
      </c>
      <c r="U3371" s="5">
        <v>0</v>
      </c>
      <c r="V3371" s="5">
        <f>VLOOKUP(A3371,Planilha1!B:E,4,0)</f>
        <v>-1.9171310037550682</v>
      </c>
    </row>
    <row r="3372" spans="1:22" x14ac:dyDescent="0.3">
      <c r="A3372" t="str">
        <f t="shared" si="104"/>
        <v>QUEIJOSLACTALIS</v>
      </c>
      <c r="B3372" t="str">
        <f t="shared" si="105"/>
        <v>5188667QUEIJOSLACTALIS</v>
      </c>
      <c r="C3372" s="5" t="s">
        <v>226</v>
      </c>
      <c r="D3372" s="5" t="s">
        <v>227</v>
      </c>
      <c r="E3372" s="5" t="s">
        <v>1722</v>
      </c>
      <c r="F3372" s="5">
        <v>5188667</v>
      </c>
      <c r="G3372" s="5" t="s">
        <v>389</v>
      </c>
      <c r="H3372" s="5" t="s">
        <v>30</v>
      </c>
      <c r="I3372" s="5" t="s">
        <v>22</v>
      </c>
      <c r="J3372" s="5" t="s">
        <v>63</v>
      </c>
      <c r="K3372" s="6">
        <v>0</v>
      </c>
      <c r="L3372" s="7">
        <v>0</v>
      </c>
      <c r="M3372" s="7">
        <v>0</v>
      </c>
      <c r="N3372" s="8">
        <v>7.81</v>
      </c>
      <c r="O3372" s="8">
        <v>0</v>
      </c>
      <c r="P3372" s="8">
        <v>0</v>
      </c>
      <c r="Q3372" s="8">
        <v>0</v>
      </c>
      <c r="R3372" s="8">
        <v>0</v>
      </c>
      <c r="S3372" s="8">
        <v>0</v>
      </c>
      <c r="T3372" s="5">
        <v>0</v>
      </c>
      <c r="U3372" s="5">
        <v>0</v>
      </c>
      <c r="V3372" s="5">
        <f>VLOOKUP(A3372,Planilha1!B:E,4,0)</f>
        <v>-1.9171310037550682</v>
      </c>
    </row>
    <row r="3373" spans="1:22" x14ac:dyDescent="0.3">
      <c r="A3373" t="str">
        <f t="shared" si="104"/>
        <v>QUEIJOSLACTALIS</v>
      </c>
      <c r="B3373" t="str">
        <f t="shared" si="105"/>
        <v>5197956QUEIJOSLACTALIS</v>
      </c>
      <c r="C3373" s="5" t="s">
        <v>226</v>
      </c>
      <c r="D3373" s="5" t="s">
        <v>227</v>
      </c>
      <c r="E3373" s="5" t="s">
        <v>1722</v>
      </c>
      <c r="F3373" s="5">
        <v>5197956</v>
      </c>
      <c r="G3373" s="5" t="s">
        <v>391</v>
      </c>
      <c r="H3373" s="5" t="s">
        <v>30</v>
      </c>
      <c r="I3373" s="5" t="s">
        <v>22</v>
      </c>
      <c r="J3373" s="5" t="s">
        <v>63</v>
      </c>
      <c r="K3373" s="6">
        <v>0</v>
      </c>
      <c r="L3373" s="7">
        <v>0</v>
      </c>
      <c r="M3373" s="7">
        <v>0</v>
      </c>
      <c r="N3373" s="8">
        <v>0</v>
      </c>
      <c r="O3373" s="8">
        <v>19.728131716453497</v>
      </c>
      <c r="P3373" s="8">
        <v>0</v>
      </c>
      <c r="Q3373" s="8">
        <v>0</v>
      </c>
      <c r="R3373" s="8">
        <v>0</v>
      </c>
      <c r="S3373" s="8">
        <v>0</v>
      </c>
      <c r="T3373" s="5">
        <v>0</v>
      </c>
      <c r="U3373" s="5">
        <v>0</v>
      </c>
      <c r="V3373" s="5">
        <f>VLOOKUP(A3373,Planilha1!B:E,4,0)</f>
        <v>-1.9171310037550682</v>
      </c>
    </row>
    <row r="3374" spans="1:22" x14ac:dyDescent="0.3">
      <c r="A3374" t="str">
        <f t="shared" si="104"/>
        <v>QUEIJOSLACTALIS</v>
      </c>
      <c r="B3374" t="str">
        <f t="shared" si="105"/>
        <v>5211582QUEIJOSLACTALIS</v>
      </c>
      <c r="C3374" s="5" t="s">
        <v>16</v>
      </c>
      <c r="D3374" s="5" t="s">
        <v>17</v>
      </c>
      <c r="E3374" s="5" t="s">
        <v>41</v>
      </c>
      <c r="F3374" s="5">
        <v>5211582</v>
      </c>
      <c r="G3374" s="5" t="s">
        <v>1587</v>
      </c>
      <c r="H3374" s="5" t="s">
        <v>30</v>
      </c>
      <c r="I3374" s="5" t="s">
        <v>22</v>
      </c>
      <c r="J3374" s="5" t="s">
        <v>63</v>
      </c>
      <c r="K3374" s="6">
        <v>0</v>
      </c>
      <c r="L3374" s="7">
        <v>0</v>
      </c>
      <c r="M3374" s="7">
        <v>0</v>
      </c>
      <c r="N3374" s="8">
        <v>4125</v>
      </c>
      <c r="O3374" s="8">
        <v>0</v>
      </c>
      <c r="P3374" s="8">
        <v>0</v>
      </c>
      <c r="Q3374" s="8">
        <v>0</v>
      </c>
      <c r="R3374" s="8">
        <v>0</v>
      </c>
      <c r="S3374" s="8">
        <v>0</v>
      </c>
      <c r="T3374" s="5">
        <v>0</v>
      </c>
      <c r="U3374" s="5">
        <v>0</v>
      </c>
      <c r="V3374" s="5">
        <f>VLOOKUP(A3374,Planilha1!B:E,4,0)</f>
        <v>-1.9171310037550682</v>
      </c>
    </row>
    <row r="3375" spans="1:22" x14ac:dyDescent="0.3">
      <c r="A3375" t="str">
        <f t="shared" si="104"/>
        <v>QUEIJOSLACTALIS</v>
      </c>
      <c r="B3375" t="str">
        <f t="shared" si="105"/>
        <v>5218658QUEIJOSLACTALIS</v>
      </c>
      <c r="C3375" s="5" t="s">
        <v>226</v>
      </c>
      <c r="D3375" s="5" t="s">
        <v>227</v>
      </c>
      <c r="E3375" s="5" t="s">
        <v>1722</v>
      </c>
      <c r="F3375" s="5">
        <v>5218658</v>
      </c>
      <c r="G3375" s="5" t="s">
        <v>507</v>
      </c>
      <c r="H3375" s="5" t="s">
        <v>30</v>
      </c>
      <c r="I3375" s="5" t="s">
        <v>22</v>
      </c>
      <c r="J3375" s="5" t="s">
        <v>63</v>
      </c>
      <c r="K3375" s="6">
        <v>0</v>
      </c>
      <c r="L3375" s="7">
        <v>0</v>
      </c>
      <c r="M3375" s="7">
        <v>0</v>
      </c>
      <c r="N3375" s="8">
        <v>2</v>
      </c>
      <c r="O3375" s="8">
        <v>1.6753526067698812</v>
      </c>
      <c r="P3375" s="8">
        <v>0</v>
      </c>
      <c r="Q3375" s="8">
        <v>6</v>
      </c>
      <c r="R3375" s="8">
        <v>0</v>
      </c>
      <c r="S3375" s="8">
        <v>0</v>
      </c>
      <c r="T3375" s="5">
        <v>0</v>
      </c>
      <c r="U3375" s="5">
        <v>0</v>
      </c>
      <c r="V3375" s="5">
        <f>VLOOKUP(A3375,Planilha1!B:E,4,0)</f>
        <v>-1.9171310037550682</v>
      </c>
    </row>
    <row r="3376" spans="1:22" x14ac:dyDescent="0.3">
      <c r="A3376" t="str">
        <f t="shared" si="104"/>
        <v>QUEIJOSLACTALIS</v>
      </c>
      <c r="B3376" t="str">
        <f t="shared" si="105"/>
        <v>5220056QUEIJOSLACTALIS</v>
      </c>
      <c r="C3376" s="5" t="s">
        <v>226</v>
      </c>
      <c r="D3376" s="5" t="s">
        <v>227</v>
      </c>
      <c r="E3376" s="5" t="s">
        <v>1722</v>
      </c>
      <c r="F3376" s="5">
        <v>5220056</v>
      </c>
      <c r="G3376" s="5" t="s">
        <v>1529</v>
      </c>
      <c r="H3376" s="5" t="s">
        <v>30</v>
      </c>
      <c r="I3376" s="5" t="s">
        <v>22</v>
      </c>
      <c r="J3376" s="5" t="s">
        <v>63</v>
      </c>
      <c r="K3376" s="6">
        <v>0</v>
      </c>
      <c r="L3376" s="7">
        <v>0</v>
      </c>
      <c r="M3376" s="7">
        <v>0</v>
      </c>
      <c r="N3376" s="8">
        <v>7.706666666666667</v>
      </c>
      <c r="O3376" s="8">
        <v>0</v>
      </c>
      <c r="P3376" s="8">
        <v>0</v>
      </c>
      <c r="Q3376" s="8">
        <v>0</v>
      </c>
      <c r="R3376" s="8">
        <v>0</v>
      </c>
      <c r="S3376" s="8">
        <v>0</v>
      </c>
      <c r="T3376" s="5">
        <v>0</v>
      </c>
      <c r="U3376" s="5">
        <v>0</v>
      </c>
      <c r="V3376" s="5">
        <f>VLOOKUP(A3376,Planilha1!B:E,4,0)</f>
        <v>-1.9171310037550682</v>
      </c>
    </row>
    <row r="3377" spans="1:22" x14ac:dyDescent="0.3">
      <c r="A3377" t="str">
        <f t="shared" si="104"/>
        <v>QUEIJOSLACTALIS</v>
      </c>
      <c r="B3377" t="str">
        <f t="shared" si="105"/>
        <v>5222492QUEIJOSLACTALIS</v>
      </c>
      <c r="C3377" s="5" t="s">
        <v>226</v>
      </c>
      <c r="D3377" s="5" t="s">
        <v>227</v>
      </c>
      <c r="E3377" s="5" t="s">
        <v>1722</v>
      </c>
      <c r="F3377" s="5">
        <v>5222492</v>
      </c>
      <c r="G3377" s="5" t="s">
        <v>1145</v>
      </c>
      <c r="H3377" s="5" t="s">
        <v>30</v>
      </c>
      <c r="I3377" s="5" t="s">
        <v>22</v>
      </c>
      <c r="J3377" s="5" t="s">
        <v>63</v>
      </c>
      <c r="K3377" s="6">
        <v>0</v>
      </c>
      <c r="L3377" s="7">
        <v>0</v>
      </c>
      <c r="M3377" s="7">
        <v>0</v>
      </c>
      <c r="N3377" s="8">
        <v>0</v>
      </c>
      <c r="O3377" s="8">
        <v>3.2310371701990563</v>
      </c>
      <c r="P3377" s="8">
        <v>0</v>
      </c>
      <c r="Q3377" s="8">
        <v>0</v>
      </c>
      <c r="R3377" s="8">
        <v>0</v>
      </c>
      <c r="S3377" s="8">
        <v>0</v>
      </c>
      <c r="T3377" s="5">
        <v>0</v>
      </c>
      <c r="U3377" s="5">
        <v>0</v>
      </c>
      <c r="V3377" s="5">
        <f>VLOOKUP(A3377,Planilha1!B:E,4,0)</f>
        <v>-1.9171310037550682</v>
      </c>
    </row>
    <row r="3378" spans="1:22" x14ac:dyDescent="0.3">
      <c r="A3378" t="str">
        <f t="shared" si="104"/>
        <v>QUEIJOSLACTALIS</v>
      </c>
      <c r="B3378" t="str">
        <f t="shared" si="105"/>
        <v>5223799QUEIJOSLACTALIS</v>
      </c>
      <c r="C3378" s="5" t="s">
        <v>226</v>
      </c>
      <c r="D3378" s="5" t="s">
        <v>227</v>
      </c>
      <c r="E3378" s="5" t="s">
        <v>1722</v>
      </c>
      <c r="F3378" s="5">
        <v>5223799</v>
      </c>
      <c r="G3378" s="5" t="s">
        <v>508</v>
      </c>
      <c r="H3378" s="5" t="s">
        <v>30</v>
      </c>
      <c r="I3378" s="5" t="s">
        <v>22</v>
      </c>
      <c r="J3378" s="5" t="s">
        <v>63</v>
      </c>
      <c r="K3378" s="6">
        <v>0</v>
      </c>
      <c r="L3378" s="7">
        <v>0</v>
      </c>
      <c r="M3378" s="7">
        <v>0</v>
      </c>
      <c r="N3378" s="8">
        <v>7.793333333333333</v>
      </c>
      <c r="O3378" s="8">
        <v>0</v>
      </c>
      <c r="P3378" s="8">
        <v>0</v>
      </c>
      <c r="Q3378" s="8">
        <v>0</v>
      </c>
      <c r="R3378" s="8">
        <v>0</v>
      </c>
      <c r="S3378" s="8">
        <v>0</v>
      </c>
      <c r="T3378" s="5">
        <v>0</v>
      </c>
      <c r="U3378" s="5">
        <v>0</v>
      </c>
      <c r="V3378" s="5">
        <f>VLOOKUP(A3378,Planilha1!B:E,4,0)</f>
        <v>-1.9171310037550682</v>
      </c>
    </row>
    <row r="3379" spans="1:22" x14ac:dyDescent="0.3">
      <c r="A3379" t="str">
        <f t="shared" si="104"/>
        <v>QUEIJOSLACTALIS</v>
      </c>
      <c r="B3379" t="str">
        <f t="shared" si="105"/>
        <v>5226499QUEIJOSLACTALIS</v>
      </c>
      <c r="C3379" s="5" t="s">
        <v>149</v>
      </c>
      <c r="D3379" s="5" t="s">
        <v>210</v>
      </c>
      <c r="E3379" s="5" t="s">
        <v>210</v>
      </c>
      <c r="F3379" s="5">
        <v>5226499</v>
      </c>
      <c r="G3379" s="5" t="s">
        <v>217</v>
      </c>
      <c r="H3379" s="5" t="s">
        <v>30</v>
      </c>
      <c r="I3379" s="5" t="s">
        <v>22</v>
      </c>
      <c r="J3379" s="5" t="s">
        <v>63</v>
      </c>
      <c r="K3379" s="6">
        <v>0</v>
      </c>
      <c r="L3379" s="7">
        <v>0</v>
      </c>
      <c r="M3379" s="7">
        <v>0</v>
      </c>
      <c r="N3379" s="8">
        <v>0</v>
      </c>
      <c r="O3379" s="8">
        <v>8.6901793378369678</v>
      </c>
      <c r="P3379" s="8">
        <v>0</v>
      </c>
      <c r="Q3379" s="8">
        <v>-30</v>
      </c>
      <c r="R3379" s="8">
        <v>0</v>
      </c>
      <c r="S3379" s="8">
        <v>0</v>
      </c>
      <c r="T3379" s="5">
        <v>0</v>
      </c>
      <c r="U3379" s="5">
        <v>0</v>
      </c>
      <c r="V3379" s="5">
        <f>VLOOKUP(A3379,Planilha1!B:E,4,0)</f>
        <v>-1.9171310037550682</v>
      </c>
    </row>
    <row r="3380" spans="1:22" x14ac:dyDescent="0.3">
      <c r="A3380" t="str">
        <f t="shared" si="104"/>
        <v>QUEIJOSLACTALIS</v>
      </c>
      <c r="B3380" t="str">
        <f t="shared" si="105"/>
        <v>5227253QUEIJOSLACTALIS</v>
      </c>
      <c r="C3380" s="5" t="s">
        <v>149</v>
      </c>
      <c r="D3380" s="5" t="s">
        <v>210</v>
      </c>
      <c r="E3380" s="5" t="s">
        <v>210</v>
      </c>
      <c r="F3380" s="5">
        <v>5227253</v>
      </c>
      <c r="G3380" s="5" t="s">
        <v>218</v>
      </c>
      <c r="H3380" s="5" t="s">
        <v>30</v>
      </c>
      <c r="I3380" s="5" t="s">
        <v>22</v>
      </c>
      <c r="J3380" s="5" t="s">
        <v>63</v>
      </c>
      <c r="K3380" s="6">
        <v>0</v>
      </c>
      <c r="L3380" s="7">
        <v>9523.5920000000006</v>
      </c>
      <c r="M3380" s="7">
        <v>0</v>
      </c>
      <c r="N3380" s="8">
        <v>2582.8733333333334</v>
      </c>
      <c r="O3380" s="8">
        <v>5415.7368587747615</v>
      </c>
      <c r="P3380" s="8">
        <v>0</v>
      </c>
      <c r="Q3380" s="8">
        <v>0</v>
      </c>
      <c r="R3380" s="8">
        <v>0</v>
      </c>
      <c r="S3380" s="8">
        <v>0</v>
      </c>
      <c r="T3380" s="5">
        <v>0</v>
      </c>
      <c r="U3380" s="5">
        <v>0</v>
      </c>
      <c r="V3380" s="5">
        <f>VLOOKUP(A3380,Planilha1!B:E,4,0)</f>
        <v>-1.9171310037550682</v>
      </c>
    </row>
    <row r="3381" spans="1:22" x14ac:dyDescent="0.3">
      <c r="A3381" t="str">
        <f t="shared" si="104"/>
        <v>QUEIJOSLACTALIS</v>
      </c>
      <c r="B3381" t="str">
        <f t="shared" si="105"/>
        <v>5228459QUEIJOSLACTALIS</v>
      </c>
      <c r="C3381" s="5" t="s">
        <v>226</v>
      </c>
      <c r="D3381" s="5" t="s">
        <v>227</v>
      </c>
      <c r="E3381" s="5" t="s">
        <v>1722</v>
      </c>
      <c r="F3381" s="5">
        <v>5228459</v>
      </c>
      <c r="G3381" s="5" t="s">
        <v>259</v>
      </c>
      <c r="H3381" s="5" t="s">
        <v>30</v>
      </c>
      <c r="I3381" s="5" t="s">
        <v>22</v>
      </c>
      <c r="J3381" s="5" t="s">
        <v>63</v>
      </c>
      <c r="K3381" s="6">
        <v>0</v>
      </c>
      <c r="L3381" s="7">
        <v>0</v>
      </c>
      <c r="M3381" s="7">
        <v>0</v>
      </c>
      <c r="N3381" s="8">
        <v>0</v>
      </c>
      <c r="O3381" s="8">
        <v>3.977537821514888</v>
      </c>
      <c r="P3381" s="8">
        <v>0</v>
      </c>
      <c r="Q3381" s="8">
        <v>0</v>
      </c>
      <c r="R3381" s="8">
        <v>0</v>
      </c>
      <c r="S3381" s="8">
        <v>0</v>
      </c>
      <c r="T3381" s="5">
        <v>0</v>
      </c>
      <c r="U3381" s="5">
        <v>0</v>
      </c>
      <c r="V3381" s="5">
        <f>VLOOKUP(A3381,Planilha1!B:E,4,0)</f>
        <v>-1.9171310037550682</v>
      </c>
    </row>
    <row r="3382" spans="1:22" x14ac:dyDescent="0.3">
      <c r="A3382" t="str">
        <f t="shared" si="104"/>
        <v>QUEIJOSLACTALIS</v>
      </c>
      <c r="B3382" t="str">
        <f t="shared" si="105"/>
        <v>5233790QUEIJOSLACTALIS</v>
      </c>
      <c r="C3382" s="5" t="s">
        <v>226</v>
      </c>
      <c r="D3382" s="5" t="s">
        <v>227</v>
      </c>
      <c r="E3382" s="5" t="s">
        <v>1722</v>
      </c>
      <c r="F3382" s="5">
        <v>5233790</v>
      </c>
      <c r="G3382" s="5" t="s">
        <v>510</v>
      </c>
      <c r="H3382" s="5" t="s">
        <v>30</v>
      </c>
      <c r="I3382" s="5" t="s">
        <v>22</v>
      </c>
      <c r="J3382" s="5" t="s">
        <v>63</v>
      </c>
      <c r="K3382" s="6">
        <v>0</v>
      </c>
      <c r="L3382" s="7">
        <v>29.05</v>
      </c>
      <c r="M3382" s="7">
        <v>0</v>
      </c>
      <c r="N3382" s="8">
        <v>15.446666666666667</v>
      </c>
      <c r="O3382" s="8">
        <v>10.656154335577135</v>
      </c>
      <c r="P3382" s="8">
        <v>0</v>
      </c>
      <c r="Q3382" s="8">
        <v>0</v>
      </c>
      <c r="R3382" s="8">
        <v>0</v>
      </c>
      <c r="S3382" s="8">
        <v>0</v>
      </c>
      <c r="T3382" s="5">
        <v>0</v>
      </c>
      <c r="U3382" s="5">
        <v>0</v>
      </c>
      <c r="V3382" s="5">
        <f>VLOOKUP(A3382,Planilha1!B:E,4,0)</f>
        <v>-1.9171310037550682</v>
      </c>
    </row>
    <row r="3383" spans="1:22" x14ac:dyDescent="0.3">
      <c r="A3383" t="str">
        <f t="shared" si="104"/>
        <v>QUEIJOSLACTALIS</v>
      </c>
      <c r="B3383" t="str">
        <f t="shared" si="105"/>
        <v>5248507QUEIJOSLACTALIS</v>
      </c>
      <c r="C3383" s="5" t="s">
        <v>226</v>
      </c>
      <c r="D3383" s="5" t="s">
        <v>227</v>
      </c>
      <c r="E3383" s="5" t="s">
        <v>1722</v>
      </c>
      <c r="F3383" s="5">
        <v>5248507</v>
      </c>
      <c r="G3383" s="5" t="s">
        <v>577</v>
      </c>
      <c r="H3383" s="5" t="s">
        <v>30</v>
      </c>
      <c r="I3383" s="5" t="s">
        <v>22</v>
      </c>
      <c r="J3383" s="5" t="s">
        <v>63</v>
      </c>
      <c r="K3383" s="6">
        <v>0</v>
      </c>
      <c r="L3383" s="7">
        <v>51.924999999999997</v>
      </c>
      <c r="M3383" s="7">
        <v>0</v>
      </c>
      <c r="N3383" s="8">
        <v>0</v>
      </c>
      <c r="O3383" s="8">
        <v>6.5133606446869869</v>
      </c>
      <c r="P3383" s="8">
        <v>0</v>
      </c>
      <c r="Q3383" s="8">
        <v>0</v>
      </c>
      <c r="R3383" s="8">
        <v>0</v>
      </c>
      <c r="S3383" s="8">
        <v>0</v>
      </c>
      <c r="T3383" s="5">
        <v>0</v>
      </c>
      <c r="U3383" s="5">
        <v>0</v>
      </c>
      <c r="V3383" s="5">
        <f>VLOOKUP(A3383,Planilha1!B:E,4,0)</f>
        <v>-1.9171310037550682</v>
      </c>
    </row>
    <row r="3384" spans="1:22" x14ac:dyDescent="0.3">
      <c r="A3384" t="str">
        <f t="shared" si="104"/>
        <v>QUEIJOSLACTALIS</v>
      </c>
      <c r="B3384" t="str">
        <f t="shared" si="105"/>
        <v>5248697QUEIJOSLACTALIS</v>
      </c>
      <c r="C3384" s="5" t="s">
        <v>226</v>
      </c>
      <c r="D3384" s="5" t="s">
        <v>227</v>
      </c>
      <c r="E3384" s="5" t="s">
        <v>1722</v>
      </c>
      <c r="F3384" s="5">
        <v>5248697</v>
      </c>
      <c r="G3384" s="5" t="s">
        <v>1303</v>
      </c>
      <c r="H3384" s="5" t="s">
        <v>30</v>
      </c>
      <c r="I3384" s="5" t="s">
        <v>22</v>
      </c>
      <c r="J3384" s="5" t="s">
        <v>63</v>
      </c>
      <c r="K3384" s="6">
        <v>0</v>
      </c>
      <c r="L3384" s="7">
        <v>0</v>
      </c>
      <c r="M3384" s="7">
        <v>0</v>
      </c>
      <c r="N3384" s="8">
        <v>0</v>
      </c>
      <c r="O3384" s="8">
        <v>0</v>
      </c>
      <c r="P3384" s="8">
        <v>0</v>
      </c>
      <c r="Q3384" s="8">
        <v>0</v>
      </c>
      <c r="R3384" s="8">
        <v>0</v>
      </c>
      <c r="S3384" s="8">
        <v>0</v>
      </c>
      <c r="T3384" s="5">
        <v>0</v>
      </c>
      <c r="U3384" s="5">
        <v>0</v>
      </c>
      <c r="V3384" s="5">
        <f>VLOOKUP(A3384,Planilha1!B:E,4,0)</f>
        <v>-1.9171310037550682</v>
      </c>
    </row>
    <row r="3385" spans="1:22" x14ac:dyDescent="0.3">
      <c r="A3385" t="str">
        <f t="shared" si="104"/>
        <v>QUEIJOSLACTALIS</v>
      </c>
      <c r="B3385" t="str">
        <f t="shared" si="105"/>
        <v>5252388QUEIJOSLACTALIS</v>
      </c>
      <c r="C3385" s="5" t="s">
        <v>226</v>
      </c>
      <c r="D3385" s="5" t="s">
        <v>227</v>
      </c>
      <c r="E3385" s="5" t="s">
        <v>1722</v>
      </c>
      <c r="F3385" s="5">
        <v>5252388</v>
      </c>
      <c r="G3385" s="5" t="s">
        <v>272</v>
      </c>
      <c r="H3385" s="5" t="s">
        <v>30</v>
      </c>
      <c r="I3385" s="5" t="s">
        <v>22</v>
      </c>
      <c r="J3385" s="5" t="s">
        <v>63</v>
      </c>
      <c r="K3385" s="6">
        <v>0</v>
      </c>
      <c r="L3385" s="7">
        <v>0</v>
      </c>
      <c r="M3385" s="7">
        <v>0</v>
      </c>
      <c r="N3385" s="8">
        <v>0</v>
      </c>
      <c r="O3385" s="8">
        <v>0</v>
      </c>
      <c r="P3385" s="8">
        <v>0</v>
      </c>
      <c r="Q3385" s="8">
        <v>0</v>
      </c>
      <c r="R3385" s="8">
        <v>0</v>
      </c>
      <c r="S3385" s="8">
        <v>0</v>
      </c>
      <c r="T3385" s="5">
        <v>0</v>
      </c>
      <c r="U3385" s="5">
        <v>0</v>
      </c>
      <c r="V3385" s="5">
        <f>VLOOKUP(A3385,Planilha1!B:E,4,0)</f>
        <v>-1.9171310037550682</v>
      </c>
    </row>
    <row r="3386" spans="1:22" x14ac:dyDescent="0.3">
      <c r="A3386" t="str">
        <f t="shared" si="104"/>
        <v>QUEIJOSLACTALIS</v>
      </c>
      <c r="B3386" t="str">
        <f t="shared" si="105"/>
        <v>5252890QUEIJOSLACTALIS</v>
      </c>
      <c r="C3386" s="5" t="s">
        <v>226</v>
      </c>
      <c r="D3386" s="5" t="s">
        <v>227</v>
      </c>
      <c r="E3386" s="5" t="s">
        <v>1722</v>
      </c>
      <c r="F3386" s="5">
        <v>5252890</v>
      </c>
      <c r="G3386" s="5" t="s">
        <v>402</v>
      </c>
      <c r="H3386" s="5" t="s">
        <v>30</v>
      </c>
      <c r="I3386" s="5" t="s">
        <v>22</v>
      </c>
      <c r="J3386" s="5" t="s">
        <v>63</v>
      </c>
      <c r="K3386" s="6">
        <v>0</v>
      </c>
      <c r="L3386" s="7">
        <v>0</v>
      </c>
      <c r="M3386" s="7">
        <v>0</v>
      </c>
      <c r="N3386" s="8">
        <v>3.8833333333333333</v>
      </c>
      <c r="O3386" s="8">
        <v>6.5817423837388187</v>
      </c>
      <c r="P3386" s="8">
        <v>0</v>
      </c>
      <c r="Q3386" s="8">
        <v>24</v>
      </c>
      <c r="R3386" s="8">
        <v>0</v>
      </c>
      <c r="S3386" s="8">
        <v>0</v>
      </c>
      <c r="T3386" s="5">
        <v>0</v>
      </c>
      <c r="U3386" s="5">
        <v>0</v>
      </c>
      <c r="V3386" s="5">
        <f>VLOOKUP(A3386,Planilha1!B:E,4,0)</f>
        <v>-1.9171310037550682</v>
      </c>
    </row>
    <row r="3387" spans="1:22" x14ac:dyDescent="0.3">
      <c r="A3387" t="str">
        <f t="shared" si="104"/>
        <v>QUEIJOSLACTALIS</v>
      </c>
      <c r="B3387" t="str">
        <f t="shared" si="105"/>
        <v>5253698QUEIJOSLACTALIS</v>
      </c>
      <c r="C3387" s="5" t="s">
        <v>226</v>
      </c>
      <c r="D3387" s="5" t="s">
        <v>227</v>
      </c>
      <c r="E3387" s="5" t="s">
        <v>1722</v>
      </c>
      <c r="F3387" s="5">
        <v>5253698</v>
      </c>
      <c r="G3387" s="5" t="s">
        <v>583</v>
      </c>
      <c r="H3387" s="5" t="s">
        <v>30</v>
      </c>
      <c r="I3387" s="5" t="s">
        <v>22</v>
      </c>
      <c r="J3387" s="5" t="s">
        <v>63</v>
      </c>
      <c r="K3387" s="6">
        <v>0</v>
      </c>
      <c r="L3387" s="7">
        <v>74.349999999999994</v>
      </c>
      <c r="M3387" s="7">
        <v>0</v>
      </c>
      <c r="N3387" s="8">
        <v>15.456666666666665</v>
      </c>
      <c r="O3387" s="8">
        <v>3.2367356484533758</v>
      </c>
      <c r="P3387" s="8">
        <v>0</v>
      </c>
      <c r="Q3387" s="8">
        <v>0</v>
      </c>
      <c r="R3387" s="8">
        <v>0</v>
      </c>
      <c r="S3387" s="8">
        <v>0</v>
      </c>
      <c r="T3387" s="5">
        <v>0</v>
      </c>
      <c r="U3387" s="5">
        <v>0</v>
      </c>
      <c r="V3387" s="5">
        <f>VLOOKUP(A3387,Planilha1!B:E,4,0)</f>
        <v>-1.9171310037550682</v>
      </c>
    </row>
    <row r="3388" spans="1:22" x14ac:dyDescent="0.3">
      <c r="A3388" t="str">
        <f t="shared" si="104"/>
        <v>QUEIJOSLACTALIS</v>
      </c>
      <c r="B3388" t="str">
        <f t="shared" si="105"/>
        <v>5254158QUEIJOSLACTALIS</v>
      </c>
      <c r="C3388" s="5" t="s">
        <v>226</v>
      </c>
      <c r="D3388" s="5" t="s">
        <v>227</v>
      </c>
      <c r="E3388" s="5" t="s">
        <v>1722</v>
      </c>
      <c r="F3388" s="5">
        <v>5254158</v>
      </c>
      <c r="G3388" s="5" t="s">
        <v>585</v>
      </c>
      <c r="H3388" s="5" t="s">
        <v>30</v>
      </c>
      <c r="I3388" s="5" t="s">
        <v>22</v>
      </c>
      <c r="J3388" s="5" t="s">
        <v>63</v>
      </c>
      <c r="K3388" s="6">
        <v>0</v>
      </c>
      <c r="L3388" s="7">
        <v>4.7089999999999996</v>
      </c>
      <c r="M3388" s="7">
        <v>0</v>
      </c>
      <c r="N3388" s="8">
        <v>0</v>
      </c>
      <c r="O3388" s="8">
        <v>1.4189210853255116</v>
      </c>
      <c r="P3388" s="8">
        <v>0</v>
      </c>
      <c r="Q3388" s="8">
        <v>0</v>
      </c>
      <c r="R3388" s="8">
        <v>0</v>
      </c>
      <c r="S3388" s="8">
        <v>0</v>
      </c>
      <c r="T3388" s="5">
        <v>0</v>
      </c>
      <c r="U3388" s="5">
        <v>0</v>
      </c>
      <c r="V3388" s="5">
        <f>VLOOKUP(A3388,Planilha1!B:E,4,0)</f>
        <v>-1.9171310037550682</v>
      </c>
    </row>
    <row r="3389" spans="1:22" x14ac:dyDescent="0.3">
      <c r="A3389" t="str">
        <f t="shared" si="104"/>
        <v>QUEIJOSLACTALIS</v>
      </c>
      <c r="B3389" t="str">
        <f t="shared" si="105"/>
        <v>5255022QUEIJOSLACTALIS</v>
      </c>
      <c r="C3389" s="5" t="s">
        <v>226</v>
      </c>
      <c r="D3389" s="5" t="s">
        <v>227</v>
      </c>
      <c r="E3389" s="5" t="s">
        <v>1722</v>
      </c>
      <c r="F3389" s="5">
        <v>5255022</v>
      </c>
      <c r="G3389" s="5" t="s">
        <v>276</v>
      </c>
      <c r="H3389" s="5" t="s">
        <v>30</v>
      </c>
      <c r="I3389" s="5" t="s">
        <v>22</v>
      </c>
      <c r="J3389" s="5" t="s">
        <v>63</v>
      </c>
      <c r="K3389" s="6">
        <v>0</v>
      </c>
      <c r="L3389" s="7">
        <v>11.71</v>
      </c>
      <c r="M3389" s="7">
        <v>0</v>
      </c>
      <c r="N3389" s="8">
        <v>8.4600000000000009</v>
      </c>
      <c r="O3389" s="8">
        <v>0</v>
      </c>
      <c r="P3389" s="8">
        <v>0</v>
      </c>
      <c r="Q3389" s="8">
        <v>0</v>
      </c>
      <c r="R3389" s="8">
        <v>0</v>
      </c>
      <c r="S3389" s="8">
        <v>0</v>
      </c>
      <c r="T3389" s="5">
        <v>0</v>
      </c>
      <c r="U3389" s="5">
        <v>0</v>
      </c>
      <c r="V3389" s="5">
        <f>VLOOKUP(A3389,Planilha1!B:E,4,0)</f>
        <v>-1.9171310037550682</v>
      </c>
    </row>
    <row r="3390" spans="1:22" x14ac:dyDescent="0.3">
      <c r="A3390" t="str">
        <f t="shared" si="104"/>
        <v>QUEIJOSLACTALIS</v>
      </c>
      <c r="B3390" t="str">
        <f t="shared" si="105"/>
        <v>5256512QUEIJOSLACTALIS</v>
      </c>
      <c r="C3390" s="5" t="s">
        <v>226</v>
      </c>
      <c r="D3390" s="5" t="s">
        <v>227</v>
      </c>
      <c r="E3390" s="5" t="s">
        <v>1722</v>
      </c>
      <c r="F3390" s="5">
        <v>5256512</v>
      </c>
      <c r="G3390" s="5" t="s">
        <v>1588</v>
      </c>
      <c r="H3390" s="5" t="s">
        <v>30</v>
      </c>
      <c r="I3390" s="5" t="s">
        <v>22</v>
      </c>
      <c r="J3390" s="5" t="s">
        <v>63</v>
      </c>
      <c r="K3390" s="6">
        <v>0</v>
      </c>
      <c r="L3390" s="7">
        <v>0</v>
      </c>
      <c r="M3390" s="7">
        <v>0</v>
      </c>
      <c r="N3390" s="8">
        <v>4</v>
      </c>
      <c r="O3390" s="8">
        <v>5.0944395593614749</v>
      </c>
      <c r="P3390" s="8">
        <v>0</v>
      </c>
      <c r="Q3390" s="8">
        <v>0</v>
      </c>
      <c r="R3390" s="8">
        <v>0</v>
      </c>
      <c r="S3390" s="8">
        <v>0</v>
      </c>
      <c r="T3390" s="5">
        <v>0</v>
      </c>
      <c r="U3390" s="5">
        <v>0</v>
      </c>
      <c r="V3390" s="5">
        <f>VLOOKUP(A3390,Planilha1!B:E,4,0)</f>
        <v>-1.9171310037550682</v>
      </c>
    </row>
    <row r="3391" spans="1:22" x14ac:dyDescent="0.3">
      <c r="A3391" t="str">
        <f t="shared" si="104"/>
        <v>QUEIJOSLACTALIS</v>
      </c>
      <c r="B3391" t="str">
        <f t="shared" si="105"/>
        <v>5257756QUEIJOSLACTALIS</v>
      </c>
      <c r="C3391" s="5" t="s">
        <v>226</v>
      </c>
      <c r="D3391" s="5" t="s">
        <v>227</v>
      </c>
      <c r="E3391" s="5" t="s">
        <v>1722</v>
      </c>
      <c r="F3391" s="5">
        <v>5257756</v>
      </c>
      <c r="G3391" s="5" t="s">
        <v>1152</v>
      </c>
      <c r="H3391" s="5" t="s">
        <v>30</v>
      </c>
      <c r="I3391" s="5" t="s">
        <v>22</v>
      </c>
      <c r="J3391" s="5" t="s">
        <v>63</v>
      </c>
      <c r="K3391" s="6">
        <v>0</v>
      </c>
      <c r="L3391" s="7">
        <v>13.567</v>
      </c>
      <c r="M3391" s="7">
        <v>0</v>
      </c>
      <c r="N3391" s="8">
        <v>0</v>
      </c>
      <c r="O3391" s="8">
        <v>6.7014104270795247</v>
      </c>
      <c r="P3391" s="8">
        <v>0</v>
      </c>
      <c r="Q3391" s="8">
        <v>0</v>
      </c>
      <c r="R3391" s="8">
        <v>0</v>
      </c>
      <c r="S3391" s="8">
        <v>0</v>
      </c>
      <c r="T3391" s="5">
        <v>0</v>
      </c>
      <c r="U3391" s="5">
        <v>0</v>
      </c>
      <c r="V3391" s="5">
        <f>VLOOKUP(A3391,Planilha1!B:E,4,0)</f>
        <v>-1.9171310037550682</v>
      </c>
    </row>
    <row r="3392" spans="1:22" x14ac:dyDescent="0.3">
      <c r="A3392" t="str">
        <f t="shared" si="104"/>
        <v>QUEIJOSLACTALIS</v>
      </c>
      <c r="B3392" t="str">
        <f t="shared" si="105"/>
        <v>5258848QUEIJOSLACTALIS</v>
      </c>
      <c r="C3392" s="5" t="s">
        <v>226</v>
      </c>
      <c r="D3392" s="5" t="s">
        <v>227</v>
      </c>
      <c r="E3392" s="5" t="s">
        <v>1722</v>
      </c>
      <c r="F3392" s="5">
        <v>5258848</v>
      </c>
      <c r="G3392" s="5" t="s">
        <v>409</v>
      </c>
      <c r="H3392" s="5" t="s">
        <v>30</v>
      </c>
      <c r="I3392" s="5" t="s">
        <v>22</v>
      </c>
      <c r="J3392" s="5" t="s">
        <v>63</v>
      </c>
      <c r="K3392" s="6">
        <v>0</v>
      </c>
      <c r="L3392" s="7">
        <v>0</v>
      </c>
      <c r="M3392" s="7">
        <v>0</v>
      </c>
      <c r="N3392" s="8">
        <v>2.6666666666666665</v>
      </c>
      <c r="O3392" s="8">
        <v>5.0944395593614749</v>
      </c>
      <c r="P3392" s="8">
        <v>0</v>
      </c>
      <c r="Q3392" s="8">
        <v>0</v>
      </c>
      <c r="R3392" s="8">
        <v>0</v>
      </c>
      <c r="S3392" s="8">
        <v>0</v>
      </c>
      <c r="T3392" s="5">
        <v>0</v>
      </c>
      <c r="U3392" s="5">
        <v>0</v>
      </c>
      <c r="V3392" s="5">
        <f>VLOOKUP(A3392,Planilha1!B:E,4,0)</f>
        <v>-1.9171310037550682</v>
      </c>
    </row>
    <row r="3393" spans="1:22" x14ac:dyDescent="0.3">
      <c r="A3393" t="str">
        <f t="shared" si="104"/>
        <v>QUEIJOSLACTALIS</v>
      </c>
      <c r="B3393" t="str">
        <f t="shared" si="105"/>
        <v>5259285QUEIJOSLACTALIS</v>
      </c>
      <c r="C3393" s="5" t="s">
        <v>226</v>
      </c>
      <c r="D3393" s="5" t="s">
        <v>227</v>
      </c>
      <c r="E3393" s="5" t="s">
        <v>1722</v>
      </c>
      <c r="F3393" s="5">
        <v>5259285</v>
      </c>
      <c r="G3393" s="5" t="s">
        <v>1468</v>
      </c>
      <c r="H3393" s="5" t="s">
        <v>30</v>
      </c>
      <c r="I3393" s="5" t="s">
        <v>22</v>
      </c>
      <c r="J3393" s="5" t="s">
        <v>63</v>
      </c>
      <c r="K3393" s="6">
        <v>0</v>
      </c>
      <c r="L3393" s="7">
        <v>0</v>
      </c>
      <c r="M3393" s="7">
        <v>0</v>
      </c>
      <c r="N3393" s="8">
        <v>33.6</v>
      </c>
      <c r="O3393" s="8">
        <v>0</v>
      </c>
      <c r="P3393" s="8">
        <v>0</v>
      </c>
      <c r="Q3393" s="8">
        <v>0</v>
      </c>
      <c r="R3393" s="8">
        <v>0</v>
      </c>
      <c r="S3393" s="8">
        <v>0</v>
      </c>
      <c r="T3393" s="5">
        <v>0</v>
      </c>
      <c r="U3393" s="5">
        <v>0</v>
      </c>
      <c r="V3393" s="5">
        <f>VLOOKUP(A3393,Planilha1!B:E,4,0)</f>
        <v>-1.9171310037550682</v>
      </c>
    </row>
    <row r="3394" spans="1:22" x14ac:dyDescent="0.3">
      <c r="A3394" t="str">
        <f t="shared" ref="A3394:A3457" si="106">J3394&amp;I3394</f>
        <v>QUEIJOSLACTALIS</v>
      </c>
      <c r="B3394" t="str">
        <f t="shared" si="105"/>
        <v>5259495QUEIJOSLACTALIS</v>
      </c>
      <c r="C3394" s="5" t="s">
        <v>226</v>
      </c>
      <c r="D3394" s="5" t="s">
        <v>227</v>
      </c>
      <c r="E3394" s="5" t="s">
        <v>1722</v>
      </c>
      <c r="F3394" s="5">
        <v>5259495</v>
      </c>
      <c r="G3394" s="5" t="s">
        <v>1310</v>
      </c>
      <c r="H3394" s="5" t="s">
        <v>30</v>
      </c>
      <c r="I3394" s="5" t="s">
        <v>22</v>
      </c>
      <c r="J3394" s="5" t="s">
        <v>63</v>
      </c>
      <c r="K3394" s="6">
        <v>0</v>
      </c>
      <c r="L3394" s="7">
        <v>0</v>
      </c>
      <c r="M3394" s="7">
        <v>0</v>
      </c>
      <c r="N3394" s="8">
        <v>19.62</v>
      </c>
      <c r="O3394" s="8">
        <v>0</v>
      </c>
      <c r="P3394" s="8">
        <v>0</v>
      </c>
      <c r="Q3394" s="8">
        <v>0</v>
      </c>
      <c r="R3394" s="8">
        <v>0</v>
      </c>
      <c r="S3394" s="8">
        <v>0</v>
      </c>
      <c r="T3394" s="5">
        <v>0</v>
      </c>
      <c r="U3394" s="5">
        <v>0</v>
      </c>
      <c r="V3394" s="5">
        <f>VLOOKUP(A3394,Planilha1!B:E,4,0)</f>
        <v>-1.9171310037550682</v>
      </c>
    </row>
    <row r="3395" spans="1:22" x14ac:dyDescent="0.3">
      <c r="A3395" t="str">
        <f t="shared" si="106"/>
        <v>QUEIJOSLACTALIS</v>
      </c>
      <c r="B3395" t="str">
        <f t="shared" ref="B3395:B3458" si="107">F3395&amp;J3395&amp;I3395</f>
        <v>5259536QUEIJOSLACTALIS</v>
      </c>
      <c r="C3395" s="5" t="s">
        <v>226</v>
      </c>
      <c r="D3395" s="5" t="s">
        <v>227</v>
      </c>
      <c r="E3395" s="5" t="s">
        <v>1722</v>
      </c>
      <c r="F3395" s="5">
        <v>5259536</v>
      </c>
      <c r="G3395" s="5" t="s">
        <v>279</v>
      </c>
      <c r="H3395" s="5" t="s">
        <v>30</v>
      </c>
      <c r="I3395" s="5" t="s">
        <v>22</v>
      </c>
      <c r="J3395" s="5" t="s">
        <v>63</v>
      </c>
      <c r="K3395" s="6">
        <v>0</v>
      </c>
      <c r="L3395" s="7">
        <v>55.1</v>
      </c>
      <c r="M3395" s="7">
        <v>0</v>
      </c>
      <c r="N3395" s="8">
        <v>0</v>
      </c>
      <c r="O3395" s="8">
        <v>6.4506773838894746</v>
      </c>
      <c r="P3395" s="8">
        <v>0</v>
      </c>
      <c r="Q3395" s="8">
        <v>0</v>
      </c>
      <c r="R3395" s="8">
        <v>0</v>
      </c>
      <c r="S3395" s="8">
        <v>0</v>
      </c>
      <c r="T3395" s="5">
        <v>0</v>
      </c>
      <c r="U3395" s="5">
        <v>0</v>
      </c>
      <c r="V3395" s="5">
        <f>VLOOKUP(A3395,Planilha1!B:E,4,0)</f>
        <v>-1.9171310037550682</v>
      </c>
    </row>
    <row r="3396" spans="1:22" x14ac:dyDescent="0.3">
      <c r="A3396" t="str">
        <f t="shared" si="106"/>
        <v>QUEIJOSLACTALIS</v>
      </c>
      <c r="B3396" t="str">
        <f t="shared" si="107"/>
        <v>5261200QUEIJOSLACTALIS</v>
      </c>
      <c r="C3396" s="5" t="s">
        <v>226</v>
      </c>
      <c r="D3396" s="5" t="s">
        <v>227</v>
      </c>
      <c r="E3396" s="5" t="s">
        <v>1722</v>
      </c>
      <c r="F3396" s="5">
        <v>5261200</v>
      </c>
      <c r="G3396" s="5" t="s">
        <v>591</v>
      </c>
      <c r="H3396" s="5" t="s">
        <v>30</v>
      </c>
      <c r="I3396" s="5" t="s">
        <v>22</v>
      </c>
      <c r="J3396" s="5" t="s">
        <v>63</v>
      </c>
      <c r="K3396" s="6">
        <v>0</v>
      </c>
      <c r="L3396" s="7">
        <v>0</v>
      </c>
      <c r="M3396" s="7">
        <v>0</v>
      </c>
      <c r="N3396" s="8">
        <v>11.68</v>
      </c>
      <c r="O3396" s="8">
        <v>0</v>
      </c>
      <c r="P3396" s="8">
        <v>0</v>
      </c>
      <c r="Q3396" s="8">
        <v>0</v>
      </c>
      <c r="R3396" s="8">
        <v>0</v>
      </c>
      <c r="S3396" s="8">
        <v>0</v>
      </c>
      <c r="T3396" s="5">
        <v>0</v>
      </c>
      <c r="U3396" s="5">
        <v>0</v>
      </c>
      <c r="V3396" s="5">
        <f>VLOOKUP(A3396,Planilha1!B:E,4,0)</f>
        <v>-1.9171310037550682</v>
      </c>
    </row>
    <row r="3397" spans="1:22" x14ac:dyDescent="0.3">
      <c r="A3397" t="str">
        <f t="shared" si="106"/>
        <v>QUEIJOSLACTALIS</v>
      </c>
      <c r="B3397" t="str">
        <f t="shared" si="107"/>
        <v>5261269QUEIJOSLACTALIS</v>
      </c>
      <c r="C3397" s="5" t="s">
        <v>226</v>
      </c>
      <c r="D3397" s="5" t="s">
        <v>227</v>
      </c>
      <c r="E3397" s="5" t="s">
        <v>1722</v>
      </c>
      <c r="F3397" s="5">
        <v>5261269</v>
      </c>
      <c r="G3397" s="5" t="s">
        <v>282</v>
      </c>
      <c r="H3397" s="5" t="s">
        <v>30</v>
      </c>
      <c r="I3397" s="5" t="s">
        <v>22</v>
      </c>
      <c r="J3397" s="5" t="s">
        <v>63</v>
      </c>
      <c r="K3397" s="6">
        <v>0</v>
      </c>
      <c r="L3397" s="7">
        <v>11.84</v>
      </c>
      <c r="M3397" s="7">
        <v>0</v>
      </c>
      <c r="N3397" s="8">
        <v>0</v>
      </c>
      <c r="O3397" s="8">
        <v>3.2595295614706528</v>
      </c>
      <c r="P3397" s="8">
        <v>0</v>
      </c>
      <c r="Q3397" s="8">
        <v>0</v>
      </c>
      <c r="R3397" s="8">
        <v>0</v>
      </c>
      <c r="S3397" s="8">
        <v>0</v>
      </c>
      <c r="T3397" s="5">
        <v>0</v>
      </c>
      <c r="U3397" s="5">
        <v>0</v>
      </c>
      <c r="V3397" s="5">
        <f>VLOOKUP(A3397,Planilha1!B:E,4,0)</f>
        <v>-1.9171310037550682</v>
      </c>
    </row>
    <row r="3398" spans="1:22" x14ac:dyDescent="0.3">
      <c r="A3398" t="str">
        <f t="shared" si="106"/>
        <v>QUEIJOSLACTALIS</v>
      </c>
      <c r="B3398" t="str">
        <f t="shared" si="107"/>
        <v>5262129QUEIJOSLACTALIS</v>
      </c>
      <c r="C3398" s="5" t="s">
        <v>226</v>
      </c>
      <c r="D3398" s="5" t="s">
        <v>227</v>
      </c>
      <c r="E3398" s="5" t="s">
        <v>1722</v>
      </c>
      <c r="F3398" s="5">
        <v>5262129</v>
      </c>
      <c r="G3398" s="5" t="s">
        <v>595</v>
      </c>
      <c r="H3398" s="5" t="s">
        <v>30</v>
      </c>
      <c r="I3398" s="5" t="s">
        <v>22</v>
      </c>
      <c r="J3398" s="5" t="s">
        <v>63</v>
      </c>
      <c r="K3398" s="6">
        <v>0</v>
      </c>
      <c r="L3398" s="7">
        <v>2.56</v>
      </c>
      <c r="M3398" s="7">
        <v>0</v>
      </c>
      <c r="N3398" s="8">
        <v>7.78</v>
      </c>
      <c r="O3398" s="8">
        <v>3.2652280397249727</v>
      </c>
      <c r="P3398" s="8">
        <v>0</v>
      </c>
      <c r="Q3398" s="8">
        <v>0</v>
      </c>
      <c r="R3398" s="8">
        <v>0</v>
      </c>
      <c r="S3398" s="8">
        <v>0</v>
      </c>
      <c r="T3398" s="5">
        <v>0</v>
      </c>
      <c r="U3398" s="5">
        <v>0</v>
      </c>
      <c r="V3398" s="5">
        <f>VLOOKUP(A3398,Planilha1!B:E,4,0)</f>
        <v>-1.9171310037550682</v>
      </c>
    </row>
    <row r="3399" spans="1:22" x14ac:dyDescent="0.3">
      <c r="A3399" t="str">
        <f t="shared" si="106"/>
        <v>QUEIJOSLACTALIS</v>
      </c>
      <c r="B3399" t="str">
        <f t="shared" si="107"/>
        <v>5263133QUEIJOSLACTALIS</v>
      </c>
      <c r="C3399" s="5" t="s">
        <v>226</v>
      </c>
      <c r="D3399" s="5" t="s">
        <v>227</v>
      </c>
      <c r="E3399" s="5" t="s">
        <v>1722</v>
      </c>
      <c r="F3399" s="5">
        <v>5263133</v>
      </c>
      <c r="G3399" s="5" t="s">
        <v>417</v>
      </c>
      <c r="H3399" s="5" t="s">
        <v>30</v>
      </c>
      <c r="I3399" s="5" t="s">
        <v>22</v>
      </c>
      <c r="J3399" s="5" t="s">
        <v>63</v>
      </c>
      <c r="K3399" s="6">
        <v>0</v>
      </c>
      <c r="L3399" s="7">
        <v>0</v>
      </c>
      <c r="M3399" s="7">
        <v>0</v>
      </c>
      <c r="N3399" s="8">
        <v>1</v>
      </c>
      <c r="O3399" s="8">
        <v>1.4132226070711922</v>
      </c>
      <c r="P3399" s="8">
        <v>0</v>
      </c>
      <c r="Q3399" s="8">
        <v>3</v>
      </c>
      <c r="R3399" s="8">
        <v>0</v>
      </c>
      <c r="S3399" s="8">
        <v>0</v>
      </c>
      <c r="T3399" s="5">
        <v>0</v>
      </c>
      <c r="U3399" s="5">
        <v>0</v>
      </c>
      <c r="V3399" s="5">
        <f>VLOOKUP(A3399,Planilha1!B:E,4,0)</f>
        <v>-1.9171310037550682</v>
      </c>
    </row>
    <row r="3400" spans="1:22" x14ac:dyDescent="0.3">
      <c r="A3400" t="str">
        <f t="shared" si="106"/>
        <v>QUEIJOSLACTALIS</v>
      </c>
      <c r="B3400" t="str">
        <f t="shared" si="107"/>
        <v>5263271QUEIJOSLACTALIS</v>
      </c>
      <c r="C3400" s="5" t="s">
        <v>226</v>
      </c>
      <c r="D3400" s="5" t="s">
        <v>227</v>
      </c>
      <c r="E3400" s="5" t="s">
        <v>1722</v>
      </c>
      <c r="F3400" s="5">
        <v>5263271</v>
      </c>
      <c r="G3400" s="5" t="s">
        <v>1589</v>
      </c>
      <c r="H3400" s="5" t="s">
        <v>30</v>
      </c>
      <c r="I3400" s="5" t="s">
        <v>22</v>
      </c>
      <c r="J3400" s="5" t="s">
        <v>63</v>
      </c>
      <c r="K3400" s="6">
        <v>0</v>
      </c>
      <c r="L3400" s="7">
        <v>0</v>
      </c>
      <c r="M3400" s="7">
        <v>0</v>
      </c>
      <c r="N3400" s="8">
        <v>1</v>
      </c>
      <c r="O3400" s="8">
        <v>0</v>
      </c>
      <c r="P3400" s="8">
        <v>0</v>
      </c>
      <c r="Q3400" s="8">
        <v>0</v>
      </c>
      <c r="R3400" s="8">
        <v>0</v>
      </c>
      <c r="S3400" s="8">
        <v>0</v>
      </c>
      <c r="T3400" s="5">
        <v>0</v>
      </c>
      <c r="U3400" s="5">
        <v>0</v>
      </c>
      <c r="V3400" s="5">
        <f>VLOOKUP(A3400,Planilha1!B:E,4,0)</f>
        <v>-1.9171310037550682</v>
      </c>
    </row>
    <row r="3401" spans="1:22" x14ac:dyDescent="0.3">
      <c r="A3401" t="str">
        <f t="shared" si="106"/>
        <v>QUEIJOSLACTALIS</v>
      </c>
      <c r="B3401" t="str">
        <f t="shared" si="107"/>
        <v>5263491QUEIJOSLACTALIS</v>
      </c>
      <c r="C3401" s="5" t="s">
        <v>226</v>
      </c>
      <c r="D3401" s="5" t="s">
        <v>227</v>
      </c>
      <c r="E3401" s="5" t="s">
        <v>1722</v>
      </c>
      <c r="F3401" s="5">
        <v>5263491</v>
      </c>
      <c r="G3401" s="5" t="s">
        <v>1525</v>
      </c>
      <c r="H3401" s="5" t="s">
        <v>30</v>
      </c>
      <c r="I3401" s="5" t="s">
        <v>22</v>
      </c>
      <c r="J3401" s="5" t="s">
        <v>63</v>
      </c>
      <c r="K3401" s="6">
        <v>0</v>
      </c>
      <c r="L3401" s="7">
        <v>0</v>
      </c>
      <c r="M3401" s="7">
        <v>0</v>
      </c>
      <c r="N3401" s="8">
        <v>0</v>
      </c>
      <c r="O3401" s="8">
        <v>2.3705669537968386</v>
      </c>
      <c r="P3401" s="8">
        <v>0</v>
      </c>
      <c r="Q3401" s="8">
        <v>0</v>
      </c>
      <c r="R3401" s="8">
        <v>0</v>
      </c>
      <c r="S3401" s="8">
        <v>0</v>
      </c>
      <c r="T3401" s="5">
        <v>0</v>
      </c>
      <c r="U3401" s="5">
        <v>0</v>
      </c>
      <c r="V3401" s="5">
        <f>VLOOKUP(A3401,Planilha1!B:E,4,0)</f>
        <v>-1.9171310037550682</v>
      </c>
    </row>
    <row r="3402" spans="1:22" x14ac:dyDescent="0.3">
      <c r="A3402" t="str">
        <f t="shared" si="106"/>
        <v>QUEIJOSLACTALIS</v>
      </c>
      <c r="B3402" t="str">
        <f t="shared" si="107"/>
        <v>5263597QUEIJOSLACTALIS</v>
      </c>
      <c r="C3402" s="5" t="s">
        <v>226</v>
      </c>
      <c r="D3402" s="5" t="s">
        <v>227</v>
      </c>
      <c r="E3402" s="5" t="s">
        <v>1722</v>
      </c>
      <c r="F3402" s="5">
        <v>5263597</v>
      </c>
      <c r="G3402" s="5" t="s">
        <v>1590</v>
      </c>
      <c r="H3402" s="5" t="s">
        <v>30</v>
      </c>
      <c r="I3402" s="5" t="s">
        <v>22</v>
      </c>
      <c r="J3402" s="5" t="s">
        <v>63</v>
      </c>
      <c r="K3402" s="6">
        <v>0</v>
      </c>
      <c r="L3402" s="7">
        <v>3</v>
      </c>
      <c r="M3402" s="7">
        <v>0</v>
      </c>
      <c r="N3402" s="8">
        <v>1.5</v>
      </c>
      <c r="O3402" s="8">
        <v>1.2764591289675287</v>
      </c>
      <c r="P3402" s="8">
        <v>0</v>
      </c>
      <c r="Q3402" s="8">
        <v>1.5</v>
      </c>
      <c r="R3402" s="8">
        <v>0</v>
      </c>
      <c r="S3402" s="8">
        <v>0</v>
      </c>
      <c r="T3402" s="5">
        <v>0</v>
      </c>
      <c r="U3402" s="5">
        <v>0</v>
      </c>
      <c r="V3402" s="5">
        <f>VLOOKUP(A3402,Planilha1!B:E,4,0)</f>
        <v>-1.9171310037550682</v>
      </c>
    </row>
    <row r="3403" spans="1:22" x14ac:dyDescent="0.3">
      <c r="A3403" t="str">
        <f t="shared" si="106"/>
        <v>QUEIJOSLACTALIS</v>
      </c>
      <c r="B3403" t="str">
        <f t="shared" si="107"/>
        <v>5263976QUEIJOSLACTALIS</v>
      </c>
      <c r="C3403" s="5" t="s">
        <v>226</v>
      </c>
      <c r="D3403" s="5" t="s">
        <v>227</v>
      </c>
      <c r="E3403" s="5" t="s">
        <v>1722</v>
      </c>
      <c r="F3403" s="5">
        <v>5263976</v>
      </c>
      <c r="G3403" s="5" t="s">
        <v>420</v>
      </c>
      <c r="H3403" s="5" t="s">
        <v>30</v>
      </c>
      <c r="I3403" s="5" t="s">
        <v>22</v>
      </c>
      <c r="J3403" s="5" t="s">
        <v>63</v>
      </c>
      <c r="K3403" s="6">
        <v>0</v>
      </c>
      <c r="L3403" s="7">
        <v>0</v>
      </c>
      <c r="M3403" s="7">
        <v>0</v>
      </c>
      <c r="N3403" s="8">
        <v>1.2133333333333334</v>
      </c>
      <c r="O3403" s="8">
        <v>0</v>
      </c>
      <c r="P3403" s="8">
        <v>0</v>
      </c>
      <c r="Q3403" s="8">
        <v>0</v>
      </c>
      <c r="R3403" s="8">
        <v>0</v>
      </c>
      <c r="S3403" s="8">
        <v>0</v>
      </c>
      <c r="T3403" s="5">
        <v>0</v>
      </c>
      <c r="U3403" s="5">
        <v>0</v>
      </c>
      <c r="V3403" s="5">
        <f>VLOOKUP(A3403,Planilha1!B:E,4,0)</f>
        <v>-1.9171310037550682</v>
      </c>
    </row>
    <row r="3404" spans="1:22" x14ac:dyDescent="0.3">
      <c r="A3404" t="str">
        <f t="shared" si="106"/>
        <v>QUEIJOSLACTALIS</v>
      </c>
      <c r="B3404" t="str">
        <f t="shared" si="107"/>
        <v>5264441QUEIJOSLACTALIS</v>
      </c>
      <c r="C3404" s="5" t="s">
        <v>226</v>
      </c>
      <c r="D3404" s="5" t="s">
        <v>227</v>
      </c>
      <c r="E3404" s="5" t="s">
        <v>1722</v>
      </c>
      <c r="F3404" s="5">
        <v>5264441</v>
      </c>
      <c r="G3404" s="5" t="s">
        <v>606</v>
      </c>
      <c r="H3404" s="5" t="s">
        <v>30</v>
      </c>
      <c r="I3404" s="5" t="s">
        <v>22</v>
      </c>
      <c r="J3404" s="5" t="s">
        <v>63</v>
      </c>
      <c r="K3404" s="6">
        <v>0</v>
      </c>
      <c r="L3404" s="7">
        <v>0</v>
      </c>
      <c r="M3404" s="7">
        <v>0</v>
      </c>
      <c r="N3404" s="8">
        <v>1.7633333333333334</v>
      </c>
      <c r="O3404" s="8">
        <v>1.6867495632785197</v>
      </c>
      <c r="P3404" s="8">
        <v>0</v>
      </c>
      <c r="Q3404" s="8">
        <v>0</v>
      </c>
      <c r="R3404" s="8">
        <v>0</v>
      </c>
      <c r="S3404" s="8">
        <v>0</v>
      </c>
      <c r="T3404" s="5">
        <v>0</v>
      </c>
      <c r="U3404" s="5">
        <v>0</v>
      </c>
      <c r="V3404" s="5">
        <f>VLOOKUP(A3404,Planilha1!B:E,4,0)</f>
        <v>-1.9171310037550682</v>
      </c>
    </row>
    <row r="3405" spans="1:22" x14ac:dyDescent="0.3">
      <c r="A3405" t="str">
        <f t="shared" si="106"/>
        <v>QUEIJOSLACTALIS</v>
      </c>
      <c r="B3405" t="str">
        <f t="shared" si="107"/>
        <v>5264858QUEIJOSLACTALIS</v>
      </c>
      <c r="C3405" s="5" t="s">
        <v>226</v>
      </c>
      <c r="D3405" s="5" t="s">
        <v>227</v>
      </c>
      <c r="E3405" s="5" t="s">
        <v>1722</v>
      </c>
      <c r="F3405" s="5">
        <v>5264858</v>
      </c>
      <c r="G3405" s="5" t="s">
        <v>1322</v>
      </c>
      <c r="H3405" s="5" t="s">
        <v>30</v>
      </c>
      <c r="I3405" s="5" t="s">
        <v>22</v>
      </c>
      <c r="J3405" s="5" t="s">
        <v>63</v>
      </c>
      <c r="K3405" s="6">
        <v>0</v>
      </c>
      <c r="L3405" s="7">
        <v>0</v>
      </c>
      <c r="M3405" s="7">
        <v>0</v>
      </c>
      <c r="N3405" s="8">
        <v>0</v>
      </c>
      <c r="O3405" s="8">
        <v>2.7124756490559978</v>
      </c>
      <c r="P3405" s="8">
        <v>0</v>
      </c>
      <c r="Q3405" s="8">
        <v>0</v>
      </c>
      <c r="R3405" s="8">
        <v>0</v>
      </c>
      <c r="S3405" s="8">
        <v>0</v>
      </c>
      <c r="T3405" s="5">
        <v>0</v>
      </c>
      <c r="U3405" s="5">
        <v>0</v>
      </c>
      <c r="V3405" s="5">
        <f>VLOOKUP(A3405,Planilha1!B:E,4,0)</f>
        <v>-1.9171310037550682</v>
      </c>
    </row>
    <row r="3406" spans="1:22" x14ac:dyDescent="0.3">
      <c r="A3406" t="str">
        <f t="shared" si="106"/>
        <v>QUEIJOSLACTALIS</v>
      </c>
      <c r="B3406" t="str">
        <f t="shared" si="107"/>
        <v>5266124QUEIJOSLACTALIS</v>
      </c>
      <c r="C3406" s="5" t="s">
        <v>226</v>
      </c>
      <c r="D3406" s="5" t="s">
        <v>227</v>
      </c>
      <c r="E3406" s="5" t="s">
        <v>1722</v>
      </c>
      <c r="F3406" s="5">
        <v>5266124</v>
      </c>
      <c r="G3406" s="5" t="s">
        <v>427</v>
      </c>
      <c r="H3406" s="5" t="s">
        <v>30</v>
      </c>
      <c r="I3406" s="5" t="s">
        <v>22</v>
      </c>
      <c r="J3406" s="5" t="s">
        <v>63</v>
      </c>
      <c r="K3406" s="6">
        <v>0</v>
      </c>
      <c r="L3406" s="7">
        <v>0</v>
      </c>
      <c r="M3406" s="7">
        <v>0</v>
      </c>
      <c r="N3406" s="8">
        <v>0</v>
      </c>
      <c r="O3406" s="8">
        <v>1.3334439115107217</v>
      </c>
      <c r="P3406" s="8">
        <v>0</v>
      </c>
      <c r="Q3406" s="8">
        <v>0</v>
      </c>
      <c r="R3406" s="8">
        <v>0</v>
      </c>
      <c r="S3406" s="8">
        <v>0</v>
      </c>
      <c r="T3406" s="5">
        <v>0</v>
      </c>
      <c r="U3406" s="5">
        <v>0</v>
      </c>
      <c r="V3406" s="5">
        <f>VLOOKUP(A3406,Planilha1!B:E,4,0)</f>
        <v>-1.9171310037550682</v>
      </c>
    </row>
    <row r="3407" spans="1:22" x14ac:dyDescent="0.3">
      <c r="A3407" t="str">
        <f t="shared" si="106"/>
        <v>QUEIJOSLACTALIS</v>
      </c>
      <c r="B3407" t="str">
        <f t="shared" si="107"/>
        <v>5266544QUEIJOSLACTALIS</v>
      </c>
      <c r="C3407" s="5" t="s">
        <v>226</v>
      </c>
      <c r="D3407" s="5" t="s">
        <v>227</v>
      </c>
      <c r="E3407" s="5" t="s">
        <v>1722</v>
      </c>
      <c r="F3407" s="5">
        <v>5266544</v>
      </c>
      <c r="G3407" s="5" t="s">
        <v>434</v>
      </c>
      <c r="H3407" s="5" t="s">
        <v>30</v>
      </c>
      <c r="I3407" s="5" t="s">
        <v>22</v>
      </c>
      <c r="J3407" s="5" t="s">
        <v>63</v>
      </c>
      <c r="K3407" s="6">
        <v>0</v>
      </c>
      <c r="L3407" s="7">
        <v>35.369999999999997</v>
      </c>
      <c r="M3407" s="7">
        <v>0</v>
      </c>
      <c r="N3407" s="8">
        <v>7.7466666666666661</v>
      </c>
      <c r="O3407" s="8">
        <v>0</v>
      </c>
      <c r="P3407" s="8">
        <v>0</v>
      </c>
      <c r="Q3407" s="8">
        <v>0</v>
      </c>
      <c r="R3407" s="8">
        <v>0</v>
      </c>
      <c r="S3407" s="8">
        <v>0</v>
      </c>
      <c r="T3407" s="5">
        <v>0</v>
      </c>
      <c r="U3407" s="5">
        <v>0</v>
      </c>
      <c r="V3407" s="5">
        <f>VLOOKUP(A3407,Planilha1!B:E,4,0)</f>
        <v>-1.9171310037550682</v>
      </c>
    </row>
    <row r="3408" spans="1:22" x14ac:dyDescent="0.3">
      <c r="A3408" t="str">
        <f t="shared" si="106"/>
        <v>QUEIJOSLACTALIS</v>
      </c>
      <c r="B3408" t="str">
        <f t="shared" si="107"/>
        <v>5267879QUEIJOSLACTALIS</v>
      </c>
      <c r="C3408" s="5" t="s">
        <v>149</v>
      </c>
      <c r="D3408" s="5" t="s">
        <v>150</v>
      </c>
      <c r="E3408" s="5" t="s">
        <v>151</v>
      </c>
      <c r="F3408" s="5">
        <v>5267879</v>
      </c>
      <c r="G3408" s="5" t="s">
        <v>1490</v>
      </c>
      <c r="H3408" s="5" t="s">
        <v>30</v>
      </c>
      <c r="I3408" s="5" t="s">
        <v>22</v>
      </c>
      <c r="J3408" s="5" t="s">
        <v>63</v>
      </c>
      <c r="K3408" s="6">
        <v>0</v>
      </c>
      <c r="L3408" s="7">
        <v>4.3040000000000003</v>
      </c>
      <c r="M3408" s="7">
        <v>0</v>
      </c>
      <c r="N3408" s="8">
        <v>0</v>
      </c>
      <c r="O3408" s="8">
        <v>1.6126693459723687</v>
      </c>
      <c r="P3408" s="8">
        <v>0</v>
      </c>
      <c r="Q3408" s="8">
        <v>0</v>
      </c>
      <c r="R3408" s="8">
        <v>0</v>
      </c>
      <c r="S3408" s="8">
        <v>0</v>
      </c>
      <c r="T3408" s="5">
        <v>0</v>
      </c>
      <c r="U3408" s="5">
        <v>0</v>
      </c>
      <c r="V3408" s="5">
        <f>VLOOKUP(A3408,Planilha1!B:E,4,0)</f>
        <v>-1.9171310037550682</v>
      </c>
    </row>
    <row r="3409" spans="1:22" x14ac:dyDescent="0.3">
      <c r="A3409" t="str">
        <f t="shared" si="106"/>
        <v>QUEIJOSLACTALIS</v>
      </c>
      <c r="B3409" t="str">
        <f t="shared" si="107"/>
        <v>5269005QUEIJOSLACTALIS</v>
      </c>
      <c r="C3409" s="5" t="s">
        <v>226</v>
      </c>
      <c r="D3409" s="5" t="s">
        <v>227</v>
      </c>
      <c r="E3409" s="5" t="s">
        <v>1722</v>
      </c>
      <c r="F3409" s="5">
        <v>5269005</v>
      </c>
      <c r="G3409" s="5" t="s">
        <v>1591</v>
      </c>
      <c r="H3409" s="5" t="s">
        <v>30</v>
      </c>
      <c r="I3409" s="5" t="s">
        <v>22</v>
      </c>
      <c r="J3409" s="5" t="s">
        <v>63</v>
      </c>
      <c r="K3409" s="6">
        <v>0</v>
      </c>
      <c r="L3409" s="7">
        <v>0</v>
      </c>
      <c r="M3409" s="7">
        <v>0</v>
      </c>
      <c r="N3409" s="8">
        <v>0</v>
      </c>
      <c r="O3409" s="8">
        <v>1.1396956508638647</v>
      </c>
      <c r="P3409" s="8">
        <v>0</v>
      </c>
      <c r="Q3409" s="8">
        <v>0</v>
      </c>
      <c r="R3409" s="8">
        <v>0</v>
      </c>
      <c r="S3409" s="8">
        <v>0</v>
      </c>
      <c r="T3409" s="5">
        <v>0</v>
      </c>
      <c r="U3409" s="5">
        <v>0</v>
      </c>
      <c r="V3409" s="5">
        <f>VLOOKUP(A3409,Planilha1!B:E,4,0)</f>
        <v>-1.9171310037550682</v>
      </c>
    </row>
    <row r="3410" spans="1:22" x14ac:dyDescent="0.3">
      <c r="A3410" t="str">
        <f t="shared" si="106"/>
        <v>QUEIJOSLACTALIS</v>
      </c>
      <c r="B3410" t="str">
        <f t="shared" si="107"/>
        <v>5269521QUEIJOSLACTALIS</v>
      </c>
      <c r="C3410" s="5" t="s">
        <v>226</v>
      </c>
      <c r="D3410" s="5" t="s">
        <v>227</v>
      </c>
      <c r="E3410" s="5" t="s">
        <v>1722</v>
      </c>
      <c r="F3410" s="5">
        <v>5269521</v>
      </c>
      <c r="G3410" s="5" t="s">
        <v>301</v>
      </c>
      <c r="H3410" s="5" t="s">
        <v>30</v>
      </c>
      <c r="I3410" s="5" t="s">
        <v>22</v>
      </c>
      <c r="J3410" s="5" t="s">
        <v>63</v>
      </c>
      <c r="K3410" s="6">
        <v>0</v>
      </c>
      <c r="L3410" s="7">
        <v>0</v>
      </c>
      <c r="M3410" s="7">
        <v>0</v>
      </c>
      <c r="N3410" s="8">
        <v>3.9533333333333331</v>
      </c>
      <c r="O3410" s="8">
        <v>3.2481326049620147</v>
      </c>
      <c r="P3410" s="8">
        <v>0</v>
      </c>
      <c r="Q3410" s="8">
        <v>0</v>
      </c>
      <c r="R3410" s="8">
        <v>0</v>
      </c>
      <c r="S3410" s="8">
        <v>0</v>
      </c>
      <c r="T3410" s="5">
        <v>0</v>
      </c>
      <c r="U3410" s="5">
        <v>0</v>
      </c>
      <c r="V3410" s="5">
        <f>VLOOKUP(A3410,Planilha1!B:E,4,0)</f>
        <v>-1.9171310037550682</v>
      </c>
    </row>
    <row r="3411" spans="1:22" x14ac:dyDescent="0.3">
      <c r="A3411" t="str">
        <f t="shared" si="106"/>
        <v>QUEIJOSLACTALIS</v>
      </c>
      <c r="B3411" t="str">
        <f t="shared" si="107"/>
        <v>5269686QUEIJOSLACTALIS</v>
      </c>
      <c r="C3411" s="5" t="s">
        <v>16</v>
      </c>
      <c r="D3411" s="5" t="s">
        <v>17</v>
      </c>
      <c r="E3411" s="5" t="s">
        <v>44</v>
      </c>
      <c r="F3411" s="5">
        <v>5269686</v>
      </c>
      <c r="G3411" s="5" t="s">
        <v>1592</v>
      </c>
      <c r="H3411" s="5" t="s">
        <v>113</v>
      </c>
      <c r="I3411" s="5" t="s">
        <v>22</v>
      </c>
      <c r="J3411" s="5" t="s">
        <v>63</v>
      </c>
      <c r="K3411" s="6">
        <v>0</v>
      </c>
      <c r="L3411" s="7">
        <v>0</v>
      </c>
      <c r="M3411" s="7">
        <v>0</v>
      </c>
      <c r="N3411" s="8">
        <v>-3.0056666666666665</v>
      </c>
      <c r="O3411" s="8">
        <v>0</v>
      </c>
      <c r="P3411" s="8">
        <v>0</v>
      </c>
      <c r="Q3411" s="8">
        <v>0</v>
      </c>
      <c r="R3411" s="8">
        <v>0</v>
      </c>
      <c r="S3411" s="8">
        <v>0</v>
      </c>
      <c r="T3411" s="5">
        <v>0</v>
      </c>
      <c r="U3411" s="5">
        <v>0</v>
      </c>
      <c r="V3411" s="5">
        <f>VLOOKUP(A3411,Planilha1!B:E,4,0)</f>
        <v>-1.9171310037550682</v>
      </c>
    </row>
    <row r="3412" spans="1:22" x14ac:dyDescent="0.3">
      <c r="A3412" t="str">
        <f t="shared" si="106"/>
        <v>QUEIJOSLACTALIS</v>
      </c>
      <c r="B3412" t="str">
        <f t="shared" si="107"/>
        <v>5270158QUEIJOSLACTALIS</v>
      </c>
      <c r="C3412" s="5" t="s">
        <v>226</v>
      </c>
      <c r="D3412" s="5" t="s">
        <v>227</v>
      </c>
      <c r="E3412" s="5" t="s">
        <v>1722</v>
      </c>
      <c r="F3412" s="5">
        <v>5270158</v>
      </c>
      <c r="G3412" s="5" t="s">
        <v>441</v>
      </c>
      <c r="H3412" s="5" t="s">
        <v>30</v>
      </c>
      <c r="I3412" s="5" t="s">
        <v>22</v>
      </c>
      <c r="J3412" s="5" t="s">
        <v>63</v>
      </c>
      <c r="K3412" s="6">
        <v>0</v>
      </c>
      <c r="L3412" s="7">
        <v>6</v>
      </c>
      <c r="M3412" s="7">
        <v>0</v>
      </c>
      <c r="N3412" s="8">
        <v>0</v>
      </c>
      <c r="O3412" s="8">
        <v>4.2396678212135761</v>
      </c>
      <c r="P3412" s="8">
        <v>0</v>
      </c>
      <c r="Q3412" s="8">
        <v>6</v>
      </c>
      <c r="R3412" s="8">
        <v>0</v>
      </c>
      <c r="S3412" s="8">
        <v>0</v>
      </c>
      <c r="T3412" s="5">
        <v>0</v>
      </c>
      <c r="U3412" s="5">
        <v>0</v>
      </c>
      <c r="V3412" s="5">
        <f>VLOOKUP(A3412,Planilha1!B:E,4,0)</f>
        <v>-1.9171310037550682</v>
      </c>
    </row>
    <row r="3413" spans="1:22" x14ac:dyDescent="0.3">
      <c r="A3413" t="str">
        <f t="shared" si="106"/>
        <v>QUEIJOSLACTALIS</v>
      </c>
      <c r="B3413" t="str">
        <f t="shared" si="107"/>
        <v>5273105QUEIJOSLACTALIS</v>
      </c>
      <c r="C3413" s="5" t="s">
        <v>226</v>
      </c>
      <c r="D3413" s="5" t="s">
        <v>227</v>
      </c>
      <c r="E3413" s="5" t="s">
        <v>1722</v>
      </c>
      <c r="F3413" s="5">
        <v>5273105</v>
      </c>
      <c r="G3413" s="5" t="s">
        <v>684</v>
      </c>
      <c r="H3413" s="5" t="s">
        <v>30</v>
      </c>
      <c r="I3413" s="5" t="s">
        <v>22</v>
      </c>
      <c r="J3413" s="5" t="s">
        <v>63</v>
      </c>
      <c r="K3413" s="6">
        <v>0</v>
      </c>
      <c r="L3413" s="7">
        <v>0</v>
      </c>
      <c r="M3413" s="7">
        <v>0</v>
      </c>
      <c r="N3413" s="8">
        <v>2.4499999999999997</v>
      </c>
      <c r="O3413" s="8">
        <v>0</v>
      </c>
      <c r="P3413" s="8">
        <v>0</v>
      </c>
      <c r="Q3413" s="8">
        <v>0</v>
      </c>
      <c r="R3413" s="8">
        <v>0</v>
      </c>
      <c r="S3413" s="8">
        <v>0</v>
      </c>
      <c r="T3413" s="5">
        <v>0</v>
      </c>
      <c r="U3413" s="5">
        <v>0</v>
      </c>
      <c r="V3413" s="5">
        <f>VLOOKUP(A3413,Planilha1!B:E,4,0)</f>
        <v>-1.9171310037550682</v>
      </c>
    </row>
    <row r="3414" spans="1:22" x14ac:dyDescent="0.3">
      <c r="A3414" t="str">
        <f t="shared" si="106"/>
        <v>QUEIJOSLACTALIS</v>
      </c>
      <c r="B3414" t="str">
        <f t="shared" si="107"/>
        <v>5273270QUEIJOSLACTALIS</v>
      </c>
      <c r="C3414" s="5" t="s">
        <v>226</v>
      </c>
      <c r="D3414" s="5" t="s">
        <v>227</v>
      </c>
      <c r="E3414" s="5" t="s">
        <v>1722</v>
      </c>
      <c r="F3414" s="5">
        <v>5273270</v>
      </c>
      <c r="G3414" s="5" t="s">
        <v>612</v>
      </c>
      <c r="H3414" s="5" t="s">
        <v>30</v>
      </c>
      <c r="I3414" s="5" t="s">
        <v>22</v>
      </c>
      <c r="J3414" s="5" t="s">
        <v>63</v>
      </c>
      <c r="K3414" s="6">
        <v>0</v>
      </c>
      <c r="L3414" s="7">
        <v>0</v>
      </c>
      <c r="M3414" s="7">
        <v>0</v>
      </c>
      <c r="N3414" s="8">
        <v>0</v>
      </c>
      <c r="O3414" s="8">
        <v>7.5903730347533394</v>
      </c>
      <c r="P3414" s="8">
        <v>0</v>
      </c>
      <c r="Q3414" s="8">
        <v>0</v>
      </c>
      <c r="R3414" s="8">
        <v>0</v>
      </c>
      <c r="S3414" s="8">
        <v>0</v>
      </c>
      <c r="T3414" s="5">
        <v>0</v>
      </c>
      <c r="U3414" s="5">
        <v>0</v>
      </c>
      <c r="V3414" s="5">
        <f>VLOOKUP(A3414,Planilha1!B:E,4,0)</f>
        <v>-1.9171310037550682</v>
      </c>
    </row>
    <row r="3415" spans="1:22" x14ac:dyDescent="0.3">
      <c r="A3415" t="str">
        <f t="shared" si="106"/>
        <v>QUEIJOSLACTALIS</v>
      </c>
      <c r="B3415" t="str">
        <f t="shared" si="107"/>
        <v>5278208QUEIJOSLACTALIS</v>
      </c>
      <c r="C3415" s="5" t="s">
        <v>226</v>
      </c>
      <c r="D3415" s="5" t="s">
        <v>227</v>
      </c>
      <c r="E3415" s="5" t="s">
        <v>703</v>
      </c>
      <c r="F3415" s="5">
        <v>5278208</v>
      </c>
      <c r="G3415" s="5" t="s">
        <v>723</v>
      </c>
      <c r="H3415" s="5" t="s">
        <v>30</v>
      </c>
      <c r="I3415" s="5" t="s">
        <v>22</v>
      </c>
      <c r="J3415" s="5" t="s">
        <v>63</v>
      </c>
      <c r="K3415" s="6">
        <v>0</v>
      </c>
      <c r="L3415" s="7">
        <v>2599.1509999999998</v>
      </c>
      <c r="M3415" s="7">
        <v>0</v>
      </c>
      <c r="N3415" s="8">
        <v>3.8599999999999994</v>
      </c>
      <c r="O3415" s="8">
        <v>0</v>
      </c>
      <c r="P3415" s="8">
        <v>0</v>
      </c>
      <c r="Q3415" s="8">
        <v>0</v>
      </c>
      <c r="R3415" s="8">
        <v>0</v>
      </c>
      <c r="S3415" s="8">
        <v>0</v>
      </c>
      <c r="T3415" s="5">
        <v>0</v>
      </c>
      <c r="U3415" s="5">
        <v>0</v>
      </c>
      <c r="V3415" s="5">
        <f>VLOOKUP(A3415,Planilha1!B:E,4,0)</f>
        <v>-1.9171310037550682</v>
      </c>
    </row>
    <row r="3416" spans="1:22" x14ac:dyDescent="0.3">
      <c r="A3416" t="str">
        <f t="shared" si="106"/>
        <v>QUEIJOSLACTALIS</v>
      </c>
      <c r="B3416" t="str">
        <f t="shared" si="107"/>
        <v>5278429QUEIJOSLACTALIS</v>
      </c>
      <c r="C3416" s="5" t="s">
        <v>226</v>
      </c>
      <c r="D3416" s="5" t="s">
        <v>227</v>
      </c>
      <c r="E3416" s="5" t="s">
        <v>1722</v>
      </c>
      <c r="F3416" s="5">
        <v>5278429</v>
      </c>
      <c r="G3416" s="5" t="s">
        <v>1593</v>
      </c>
      <c r="H3416" s="5" t="s">
        <v>30</v>
      </c>
      <c r="I3416" s="5" t="s">
        <v>22</v>
      </c>
      <c r="J3416" s="5" t="s">
        <v>63</v>
      </c>
      <c r="K3416" s="6">
        <v>0</v>
      </c>
      <c r="L3416" s="7">
        <v>0</v>
      </c>
      <c r="M3416" s="7">
        <v>0</v>
      </c>
      <c r="N3416" s="8">
        <v>3.083333333333333</v>
      </c>
      <c r="O3416" s="8">
        <v>3.6755184740359637</v>
      </c>
      <c r="P3416" s="8">
        <v>0</v>
      </c>
      <c r="Q3416" s="8">
        <v>0</v>
      </c>
      <c r="R3416" s="8">
        <v>0</v>
      </c>
      <c r="S3416" s="8">
        <v>0</v>
      </c>
      <c r="T3416" s="5">
        <v>0</v>
      </c>
      <c r="U3416" s="5">
        <v>0</v>
      </c>
      <c r="V3416" s="5">
        <f>VLOOKUP(A3416,Planilha1!B:E,4,0)</f>
        <v>-1.9171310037550682</v>
      </c>
    </row>
    <row r="3417" spans="1:22" x14ac:dyDescent="0.3">
      <c r="A3417" t="str">
        <f t="shared" si="106"/>
        <v>QUEIJOSLACTALIS</v>
      </c>
      <c r="B3417" t="str">
        <f t="shared" si="107"/>
        <v>5278586QUEIJOSLACTALIS</v>
      </c>
      <c r="C3417" s="5" t="s">
        <v>226</v>
      </c>
      <c r="D3417" s="5" t="s">
        <v>227</v>
      </c>
      <c r="E3417" s="5" t="s">
        <v>1722</v>
      </c>
      <c r="F3417" s="5">
        <v>5278586</v>
      </c>
      <c r="G3417" s="5" t="s">
        <v>1447</v>
      </c>
      <c r="H3417" s="5" t="s">
        <v>30</v>
      </c>
      <c r="I3417" s="5" t="s">
        <v>22</v>
      </c>
      <c r="J3417" s="5" t="s">
        <v>63</v>
      </c>
      <c r="K3417" s="6">
        <v>0</v>
      </c>
      <c r="L3417" s="7">
        <v>0</v>
      </c>
      <c r="M3417" s="7">
        <v>0</v>
      </c>
      <c r="N3417" s="8">
        <v>3.8033333333333332</v>
      </c>
      <c r="O3417" s="8">
        <v>0</v>
      </c>
      <c r="P3417" s="8">
        <v>0</v>
      </c>
      <c r="Q3417" s="8">
        <v>0</v>
      </c>
      <c r="R3417" s="8">
        <v>0</v>
      </c>
      <c r="S3417" s="8">
        <v>0</v>
      </c>
      <c r="T3417" s="5">
        <v>0</v>
      </c>
      <c r="U3417" s="5">
        <v>0</v>
      </c>
      <c r="V3417" s="5">
        <f>VLOOKUP(A3417,Planilha1!B:E,4,0)</f>
        <v>-1.9171310037550682</v>
      </c>
    </row>
    <row r="3418" spans="1:22" x14ac:dyDescent="0.3">
      <c r="A3418" t="str">
        <f t="shared" si="106"/>
        <v>QUEIJOSLACTALIS</v>
      </c>
      <c r="B3418" t="str">
        <f t="shared" si="107"/>
        <v>5278660QUEIJOSLACTALIS</v>
      </c>
      <c r="C3418" s="5" t="s">
        <v>226</v>
      </c>
      <c r="D3418" s="5" t="s">
        <v>227</v>
      </c>
      <c r="E3418" s="5" t="s">
        <v>1722</v>
      </c>
      <c r="F3418" s="5">
        <v>5278660</v>
      </c>
      <c r="G3418" s="5" t="s">
        <v>448</v>
      </c>
      <c r="H3418" s="5" t="s">
        <v>30</v>
      </c>
      <c r="I3418" s="5" t="s">
        <v>22</v>
      </c>
      <c r="J3418" s="5" t="s">
        <v>63</v>
      </c>
      <c r="K3418" s="6">
        <v>0</v>
      </c>
      <c r="L3418" s="7">
        <v>0</v>
      </c>
      <c r="M3418" s="7">
        <v>0</v>
      </c>
      <c r="N3418" s="8">
        <v>3.8933333333333331</v>
      </c>
      <c r="O3418" s="8">
        <v>0</v>
      </c>
      <c r="P3418" s="8">
        <v>0</v>
      </c>
      <c r="Q3418" s="8">
        <v>0</v>
      </c>
      <c r="R3418" s="8">
        <v>0</v>
      </c>
      <c r="S3418" s="8">
        <v>0</v>
      </c>
      <c r="T3418" s="5">
        <v>0</v>
      </c>
      <c r="U3418" s="5">
        <v>0</v>
      </c>
      <c r="V3418" s="5">
        <f>VLOOKUP(A3418,Planilha1!B:E,4,0)</f>
        <v>-1.9171310037550682</v>
      </c>
    </row>
    <row r="3419" spans="1:22" x14ac:dyDescent="0.3">
      <c r="A3419" t="str">
        <f t="shared" si="106"/>
        <v>QUEIJOSLACTALIS</v>
      </c>
      <c r="B3419" t="str">
        <f t="shared" si="107"/>
        <v>5279284QUEIJOSLACTALIS</v>
      </c>
      <c r="C3419" s="5" t="s">
        <v>226</v>
      </c>
      <c r="D3419" s="5" t="s">
        <v>227</v>
      </c>
      <c r="E3419" s="5" t="s">
        <v>1722</v>
      </c>
      <c r="F3419" s="5">
        <v>5279284</v>
      </c>
      <c r="G3419" s="5" t="s">
        <v>1076</v>
      </c>
      <c r="H3419" s="5" t="s">
        <v>30</v>
      </c>
      <c r="I3419" s="5" t="s">
        <v>22</v>
      </c>
      <c r="J3419" s="5" t="s">
        <v>63</v>
      </c>
      <c r="K3419" s="6">
        <v>0</v>
      </c>
      <c r="L3419" s="7">
        <v>0</v>
      </c>
      <c r="M3419" s="7">
        <v>0</v>
      </c>
      <c r="N3419" s="8">
        <v>3.9466666666666668</v>
      </c>
      <c r="O3419" s="8">
        <v>2.2452004322018135</v>
      </c>
      <c r="P3419" s="8">
        <v>0</v>
      </c>
      <c r="Q3419" s="8">
        <v>0</v>
      </c>
      <c r="R3419" s="8">
        <v>0</v>
      </c>
      <c r="S3419" s="8">
        <v>0</v>
      </c>
      <c r="T3419" s="5">
        <v>0</v>
      </c>
      <c r="U3419" s="5">
        <v>0</v>
      </c>
      <c r="V3419" s="5">
        <f>VLOOKUP(A3419,Planilha1!B:E,4,0)</f>
        <v>-1.9171310037550682</v>
      </c>
    </row>
    <row r="3420" spans="1:22" x14ac:dyDescent="0.3">
      <c r="A3420" t="str">
        <f t="shared" si="106"/>
        <v>QUEIJOSLACTALIS</v>
      </c>
      <c r="B3420" t="str">
        <f t="shared" si="107"/>
        <v>5280087QUEIJOSLACTALIS</v>
      </c>
      <c r="C3420" s="5" t="s">
        <v>226</v>
      </c>
      <c r="D3420" s="5" t="s">
        <v>227</v>
      </c>
      <c r="E3420" s="5" t="s">
        <v>1722</v>
      </c>
      <c r="F3420" s="5">
        <v>5280087</v>
      </c>
      <c r="G3420" s="5" t="s">
        <v>1330</v>
      </c>
      <c r="H3420" s="5" t="s">
        <v>30</v>
      </c>
      <c r="I3420" s="5" t="s">
        <v>22</v>
      </c>
      <c r="J3420" s="5" t="s">
        <v>63</v>
      </c>
      <c r="K3420" s="6">
        <v>0</v>
      </c>
      <c r="L3420" s="7">
        <v>0</v>
      </c>
      <c r="M3420" s="7">
        <v>0</v>
      </c>
      <c r="N3420" s="8">
        <v>3.8833333333333333</v>
      </c>
      <c r="O3420" s="8">
        <v>0</v>
      </c>
      <c r="P3420" s="8">
        <v>0</v>
      </c>
      <c r="Q3420" s="8">
        <v>0</v>
      </c>
      <c r="R3420" s="8">
        <v>0</v>
      </c>
      <c r="S3420" s="8">
        <v>0</v>
      </c>
      <c r="T3420" s="5">
        <v>0</v>
      </c>
      <c r="U3420" s="5">
        <v>0</v>
      </c>
      <c r="V3420" s="5">
        <f>VLOOKUP(A3420,Planilha1!B:E,4,0)</f>
        <v>-1.9171310037550682</v>
      </c>
    </row>
    <row r="3421" spans="1:22" x14ac:dyDescent="0.3">
      <c r="A3421" t="str">
        <f t="shared" si="106"/>
        <v>QUEIJOSLACTALIS</v>
      </c>
      <c r="B3421" t="str">
        <f t="shared" si="107"/>
        <v>5280659QUEIJOSLACTALIS</v>
      </c>
      <c r="C3421" s="5" t="s">
        <v>226</v>
      </c>
      <c r="D3421" s="5" t="s">
        <v>227</v>
      </c>
      <c r="E3421" s="5" t="s">
        <v>1722</v>
      </c>
      <c r="F3421" s="5">
        <v>5280659</v>
      </c>
      <c r="G3421" s="5" t="s">
        <v>1331</v>
      </c>
      <c r="H3421" s="5" t="s">
        <v>30</v>
      </c>
      <c r="I3421" s="5" t="s">
        <v>22</v>
      </c>
      <c r="J3421" s="5" t="s">
        <v>63</v>
      </c>
      <c r="K3421" s="6">
        <v>0</v>
      </c>
      <c r="L3421" s="7">
        <v>0</v>
      </c>
      <c r="M3421" s="7">
        <v>0</v>
      </c>
      <c r="N3421" s="8">
        <v>3.8833333333333333</v>
      </c>
      <c r="O3421" s="8">
        <v>0</v>
      </c>
      <c r="P3421" s="8">
        <v>0</v>
      </c>
      <c r="Q3421" s="8">
        <v>0</v>
      </c>
      <c r="R3421" s="8">
        <v>0</v>
      </c>
      <c r="S3421" s="8">
        <v>0</v>
      </c>
      <c r="T3421" s="5">
        <v>0</v>
      </c>
      <c r="U3421" s="5">
        <v>0</v>
      </c>
      <c r="V3421" s="5">
        <f>VLOOKUP(A3421,Planilha1!B:E,4,0)</f>
        <v>-1.9171310037550682</v>
      </c>
    </row>
    <row r="3422" spans="1:22" x14ac:dyDescent="0.3">
      <c r="A3422" t="str">
        <f t="shared" si="106"/>
        <v>QUEIJOSLACTALIS</v>
      </c>
      <c r="B3422" t="str">
        <f t="shared" si="107"/>
        <v>5281242QUEIJOSLACTALIS</v>
      </c>
      <c r="C3422" s="5" t="s">
        <v>226</v>
      </c>
      <c r="D3422" s="5" t="s">
        <v>227</v>
      </c>
      <c r="E3422" s="5" t="s">
        <v>1722</v>
      </c>
      <c r="F3422" s="5">
        <v>5281242</v>
      </c>
      <c r="G3422" s="5" t="s">
        <v>1581</v>
      </c>
      <c r="H3422" s="5" t="s">
        <v>30</v>
      </c>
      <c r="I3422" s="5" t="s">
        <v>22</v>
      </c>
      <c r="J3422" s="5" t="s">
        <v>63</v>
      </c>
      <c r="K3422" s="6">
        <v>0</v>
      </c>
      <c r="L3422" s="7">
        <v>0</v>
      </c>
      <c r="M3422" s="7">
        <v>0</v>
      </c>
      <c r="N3422" s="8">
        <v>15.56</v>
      </c>
      <c r="O3422" s="8">
        <v>0</v>
      </c>
      <c r="P3422" s="8">
        <v>0</v>
      </c>
      <c r="Q3422" s="8">
        <v>0</v>
      </c>
      <c r="R3422" s="8">
        <v>0</v>
      </c>
      <c r="S3422" s="8">
        <v>0</v>
      </c>
      <c r="T3422" s="5">
        <v>0</v>
      </c>
      <c r="U3422" s="5">
        <v>0</v>
      </c>
      <c r="V3422" s="5">
        <f>VLOOKUP(A3422,Planilha1!B:E,4,0)</f>
        <v>-1.9171310037550682</v>
      </c>
    </row>
    <row r="3423" spans="1:22" x14ac:dyDescent="0.3">
      <c r="A3423" t="str">
        <f t="shared" si="106"/>
        <v>QUEIJOSLACTALIS</v>
      </c>
      <c r="B3423" t="str">
        <f t="shared" si="107"/>
        <v>5285875QUEIJOSLACTALIS</v>
      </c>
      <c r="C3423" s="5" t="s">
        <v>226</v>
      </c>
      <c r="D3423" s="5" t="s">
        <v>227</v>
      </c>
      <c r="E3423" s="5" t="s">
        <v>1722</v>
      </c>
      <c r="F3423" s="5">
        <v>5285875</v>
      </c>
      <c r="G3423" s="5" t="s">
        <v>1582</v>
      </c>
      <c r="H3423" s="5" t="s">
        <v>30</v>
      </c>
      <c r="I3423" s="5" t="s">
        <v>22</v>
      </c>
      <c r="J3423" s="5" t="s">
        <v>63</v>
      </c>
      <c r="K3423" s="6">
        <v>0</v>
      </c>
      <c r="L3423" s="7">
        <v>0</v>
      </c>
      <c r="M3423" s="7">
        <v>0</v>
      </c>
      <c r="N3423" s="8">
        <v>0</v>
      </c>
      <c r="O3423" s="8">
        <v>0</v>
      </c>
      <c r="P3423" s="8">
        <v>0</v>
      </c>
      <c r="Q3423" s="8">
        <v>0</v>
      </c>
      <c r="R3423" s="8">
        <v>0</v>
      </c>
      <c r="S3423" s="8">
        <v>0</v>
      </c>
      <c r="T3423" s="5">
        <v>0</v>
      </c>
      <c r="U3423" s="5">
        <v>0</v>
      </c>
      <c r="V3423" s="5">
        <f>VLOOKUP(A3423,Planilha1!B:E,4,0)</f>
        <v>-1.9171310037550682</v>
      </c>
    </row>
    <row r="3424" spans="1:22" x14ac:dyDescent="0.3">
      <c r="A3424" t="str">
        <f t="shared" si="106"/>
        <v>QUEIJOSLACTALIS</v>
      </c>
      <c r="B3424" t="str">
        <f t="shared" si="107"/>
        <v>5287035QUEIJOSLACTALIS</v>
      </c>
      <c r="C3424" s="5" t="s">
        <v>226</v>
      </c>
      <c r="D3424" s="5" t="s">
        <v>227</v>
      </c>
      <c r="E3424" s="5" t="s">
        <v>1722</v>
      </c>
      <c r="F3424" s="5">
        <v>5287035</v>
      </c>
      <c r="G3424" s="5" t="s">
        <v>320</v>
      </c>
      <c r="H3424" s="5" t="s">
        <v>30</v>
      </c>
      <c r="I3424" s="5" t="s">
        <v>22</v>
      </c>
      <c r="J3424" s="5" t="s">
        <v>63</v>
      </c>
      <c r="K3424" s="6">
        <v>0</v>
      </c>
      <c r="L3424" s="7">
        <v>6</v>
      </c>
      <c r="M3424" s="7">
        <v>0</v>
      </c>
      <c r="N3424" s="8">
        <v>0</v>
      </c>
      <c r="O3424" s="8">
        <v>1.6924480415328391</v>
      </c>
      <c r="P3424" s="8">
        <v>0</v>
      </c>
      <c r="Q3424" s="8">
        <v>0</v>
      </c>
      <c r="R3424" s="8">
        <v>0</v>
      </c>
      <c r="S3424" s="8">
        <v>0</v>
      </c>
      <c r="T3424" s="5">
        <v>0</v>
      </c>
      <c r="U3424" s="5">
        <v>0</v>
      </c>
      <c r="V3424" s="5">
        <f>VLOOKUP(A3424,Planilha1!B:E,4,0)</f>
        <v>-1.9171310037550682</v>
      </c>
    </row>
    <row r="3425" spans="1:22" x14ac:dyDescent="0.3">
      <c r="A3425" t="str">
        <f t="shared" si="106"/>
        <v>QUEIJOSLACTALIS</v>
      </c>
      <c r="B3425" t="str">
        <f t="shared" si="107"/>
        <v>5289019QUEIJOSLACTALIS</v>
      </c>
      <c r="C3425" s="5" t="s">
        <v>226</v>
      </c>
      <c r="D3425" s="5" t="s">
        <v>227</v>
      </c>
      <c r="E3425" s="5" t="s">
        <v>1722</v>
      </c>
      <c r="F3425" s="5">
        <v>5289019</v>
      </c>
      <c r="G3425" s="5" t="s">
        <v>460</v>
      </c>
      <c r="H3425" s="5" t="s">
        <v>30</v>
      </c>
      <c r="I3425" s="5" t="s">
        <v>22</v>
      </c>
      <c r="J3425" s="5" t="s">
        <v>63</v>
      </c>
      <c r="K3425" s="6">
        <v>0</v>
      </c>
      <c r="L3425" s="7">
        <v>2</v>
      </c>
      <c r="M3425" s="7">
        <v>0</v>
      </c>
      <c r="N3425" s="8">
        <v>1</v>
      </c>
      <c r="O3425" s="8">
        <v>0.84337478163925983</v>
      </c>
      <c r="P3425" s="8">
        <v>0</v>
      </c>
      <c r="Q3425" s="8">
        <v>0</v>
      </c>
      <c r="R3425" s="8">
        <v>0</v>
      </c>
      <c r="S3425" s="8">
        <v>0</v>
      </c>
      <c r="T3425" s="5">
        <v>0</v>
      </c>
      <c r="U3425" s="5">
        <v>0</v>
      </c>
      <c r="V3425" s="5">
        <f>VLOOKUP(A3425,Planilha1!B:E,4,0)</f>
        <v>-1.9171310037550682</v>
      </c>
    </row>
    <row r="3426" spans="1:22" x14ac:dyDescent="0.3">
      <c r="A3426" t="str">
        <f t="shared" si="106"/>
        <v>QUEIJOSLACTALIS</v>
      </c>
      <c r="B3426" t="str">
        <f t="shared" si="107"/>
        <v>5291635QUEIJOSLACTALIS</v>
      </c>
      <c r="C3426" s="5" t="s">
        <v>226</v>
      </c>
      <c r="D3426" s="5" t="s">
        <v>227</v>
      </c>
      <c r="E3426" s="5" t="s">
        <v>1722</v>
      </c>
      <c r="F3426" s="5">
        <v>5291635</v>
      </c>
      <c r="G3426" s="5" t="s">
        <v>1090</v>
      </c>
      <c r="H3426" s="5" t="s">
        <v>30</v>
      </c>
      <c r="I3426" s="5" t="s">
        <v>22</v>
      </c>
      <c r="J3426" s="5" t="s">
        <v>63</v>
      </c>
      <c r="K3426" s="6">
        <v>0</v>
      </c>
      <c r="L3426" s="7">
        <v>0</v>
      </c>
      <c r="M3426" s="7">
        <v>0</v>
      </c>
      <c r="N3426" s="8">
        <v>0.5</v>
      </c>
      <c r="O3426" s="8">
        <v>0</v>
      </c>
      <c r="P3426" s="8">
        <v>0</v>
      </c>
      <c r="Q3426" s="8">
        <v>0</v>
      </c>
      <c r="R3426" s="8">
        <v>0</v>
      </c>
      <c r="S3426" s="8">
        <v>0</v>
      </c>
      <c r="T3426" s="5">
        <v>0</v>
      </c>
      <c r="U3426" s="5">
        <v>0</v>
      </c>
      <c r="V3426" s="5">
        <f>VLOOKUP(A3426,Planilha1!B:E,4,0)</f>
        <v>-1.9171310037550682</v>
      </c>
    </row>
    <row r="3427" spans="1:22" x14ac:dyDescent="0.3">
      <c r="A3427" t="str">
        <f t="shared" si="106"/>
        <v>QUEIJOSLACTALIS</v>
      </c>
      <c r="B3427" t="str">
        <f t="shared" si="107"/>
        <v>5292037QUEIJOSLACTALIS</v>
      </c>
      <c r="C3427" s="5" t="s">
        <v>226</v>
      </c>
      <c r="D3427" s="5" t="s">
        <v>227</v>
      </c>
      <c r="E3427" s="5" t="s">
        <v>1722</v>
      </c>
      <c r="F3427" s="5">
        <v>5292037</v>
      </c>
      <c r="G3427" s="5" t="s">
        <v>462</v>
      </c>
      <c r="H3427" s="5" t="s">
        <v>30</v>
      </c>
      <c r="I3427" s="5" t="s">
        <v>22</v>
      </c>
      <c r="J3427" s="5" t="s">
        <v>63</v>
      </c>
      <c r="K3427" s="6">
        <v>0</v>
      </c>
      <c r="L3427" s="7">
        <v>0</v>
      </c>
      <c r="M3427" s="7">
        <v>0</v>
      </c>
      <c r="N3427" s="8">
        <v>1.6666666666666667</v>
      </c>
      <c r="O3427" s="8">
        <v>0.84337478163925983</v>
      </c>
      <c r="P3427" s="8">
        <v>0</v>
      </c>
      <c r="Q3427" s="8">
        <v>0</v>
      </c>
      <c r="R3427" s="8">
        <v>0</v>
      </c>
      <c r="S3427" s="8">
        <v>0</v>
      </c>
      <c r="T3427" s="5">
        <v>0</v>
      </c>
      <c r="U3427" s="5">
        <v>2</v>
      </c>
      <c r="V3427" s="5">
        <f>VLOOKUP(A3427,Planilha1!B:E,4,0)</f>
        <v>-1.9171310037550682</v>
      </c>
    </row>
    <row r="3428" spans="1:22" x14ac:dyDescent="0.3">
      <c r="A3428" t="str">
        <f t="shared" si="106"/>
        <v>QUEIJOSLACTALIS</v>
      </c>
      <c r="B3428" t="str">
        <f t="shared" si="107"/>
        <v>5292923QUEIJOSLACTALIS</v>
      </c>
      <c r="C3428" s="5" t="s">
        <v>226</v>
      </c>
      <c r="D3428" s="5" t="s">
        <v>227</v>
      </c>
      <c r="E3428" s="5" t="s">
        <v>1722</v>
      </c>
      <c r="F3428" s="5">
        <v>5292923</v>
      </c>
      <c r="G3428" s="5" t="s">
        <v>1594</v>
      </c>
      <c r="H3428" s="5" t="s">
        <v>30</v>
      </c>
      <c r="I3428" s="5" t="s">
        <v>22</v>
      </c>
      <c r="J3428" s="5" t="s">
        <v>63</v>
      </c>
      <c r="K3428" s="6">
        <v>0</v>
      </c>
      <c r="L3428" s="7">
        <v>0</v>
      </c>
      <c r="M3428" s="7">
        <v>0</v>
      </c>
      <c r="N3428" s="8">
        <v>1.8</v>
      </c>
      <c r="O3428" s="8">
        <v>0</v>
      </c>
      <c r="P3428" s="8">
        <v>0</v>
      </c>
      <c r="Q3428" s="8">
        <v>0</v>
      </c>
      <c r="R3428" s="8">
        <v>0</v>
      </c>
      <c r="S3428" s="8">
        <v>0</v>
      </c>
      <c r="T3428" s="5">
        <v>0</v>
      </c>
      <c r="U3428" s="5">
        <v>5</v>
      </c>
      <c r="V3428" s="5">
        <f>VLOOKUP(A3428,Planilha1!B:E,4,0)</f>
        <v>-1.9171310037550682</v>
      </c>
    </row>
    <row r="3429" spans="1:22" x14ac:dyDescent="0.3">
      <c r="A3429" t="str">
        <f t="shared" si="106"/>
        <v>QUEIJOSLACTALIS</v>
      </c>
      <c r="B3429" t="str">
        <f t="shared" si="107"/>
        <v>5293401QUEIJOSLACTALIS</v>
      </c>
      <c r="C3429" s="5" t="s">
        <v>226</v>
      </c>
      <c r="D3429" s="5" t="s">
        <v>227</v>
      </c>
      <c r="E3429" s="5" t="s">
        <v>1722</v>
      </c>
      <c r="F3429" s="5">
        <v>5293401</v>
      </c>
      <c r="G3429" s="5" t="s">
        <v>1492</v>
      </c>
      <c r="H3429" s="5" t="s">
        <v>30</v>
      </c>
      <c r="I3429" s="5" t="s">
        <v>22</v>
      </c>
      <c r="J3429" s="5" t="s">
        <v>63</v>
      </c>
      <c r="K3429" s="6">
        <v>0</v>
      </c>
      <c r="L3429" s="7">
        <v>0</v>
      </c>
      <c r="M3429" s="7">
        <v>0</v>
      </c>
      <c r="N3429" s="8">
        <v>0</v>
      </c>
      <c r="O3429" s="8">
        <v>0</v>
      </c>
      <c r="P3429" s="8">
        <v>0</v>
      </c>
      <c r="Q3429" s="8">
        <v>0</v>
      </c>
      <c r="R3429" s="8">
        <v>0</v>
      </c>
      <c r="S3429" s="8">
        <v>0</v>
      </c>
      <c r="T3429" s="5">
        <v>0</v>
      </c>
      <c r="U3429" s="5">
        <v>0</v>
      </c>
      <c r="V3429" s="5">
        <f>VLOOKUP(A3429,Planilha1!B:E,4,0)</f>
        <v>-1.9171310037550682</v>
      </c>
    </row>
    <row r="3430" spans="1:22" x14ac:dyDescent="0.3">
      <c r="A3430" t="str">
        <f t="shared" si="106"/>
        <v>QUEIJOSLACTALIS</v>
      </c>
      <c r="B3430" t="str">
        <f t="shared" si="107"/>
        <v>5299403QUEIJOSLACTALIS</v>
      </c>
      <c r="C3430" s="5" t="s">
        <v>226</v>
      </c>
      <c r="D3430" s="5" t="s">
        <v>227</v>
      </c>
      <c r="E3430" s="5" t="s">
        <v>1722</v>
      </c>
      <c r="F3430" s="5">
        <v>5299403</v>
      </c>
      <c r="G3430" s="5" t="s">
        <v>321</v>
      </c>
      <c r="H3430" s="5" t="s">
        <v>30</v>
      </c>
      <c r="I3430" s="5" t="s">
        <v>22</v>
      </c>
      <c r="J3430" s="5" t="s">
        <v>63</v>
      </c>
      <c r="K3430" s="6">
        <v>0</v>
      </c>
      <c r="L3430" s="7">
        <v>0</v>
      </c>
      <c r="M3430" s="7">
        <v>0</v>
      </c>
      <c r="N3430" s="8">
        <v>3.8566666666666669</v>
      </c>
      <c r="O3430" s="8">
        <v>3.2709265179792917</v>
      </c>
      <c r="P3430" s="8">
        <v>0</v>
      </c>
      <c r="Q3430" s="8">
        <v>0</v>
      </c>
      <c r="R3430" s="8">
        <v>0</v>
      </c>
      <c r="S3430" s="8">
        <v>0</v>
      </c>
      <c r="T3430" s="5">
        <v>0</v>
      </c>
      <c r="U3430" s="5">
        <v>0</v>
      </c>
      <c r="V3430" s="5">
        <f>VLOOKUP(A3430,Planilha1!B:E,4,0)</f>
        <v>-1.9171310037550682</v>
      </c>
    </row>
    <row r="3431" spans="1:22" x14ac:dyDescent="0.3">
      <c r="A3431" t="str">
        <f t="shared" si="106"/>
        <v>QUEIJOSLACTALIS</v>
      </c>
      <c r="B3431" t="str">
        <f t="shared" si="107"/>
        <v>5303461QUEIJOSLACTALIS</v>
      </c>
      <c r="C3431" s="5" t="s">
        <v>226</v>
      </c>
      <c r="D3431" s="5" t="s">
        <v>227</v>
      </c>
      <c r="E3431" s="5" t="s">
        <v>1722</v>
      </c>
      <c r="F3431" s="5">
        <v>5303461</v>
      </c>
      <c r="G3431" s="5" t="s">
        <v>643</v>
      </c>
      <c r="H3431" s="5" t="s">
        <v>30</v>
      </c>
      <c r="I3431" s="5" t="s">
        <v>22</v>
      </c>
      <c r="J3431" s="5" t="s">
        <v>63</v>
      </c>
      <c r="K3431" s="6">
        <v>0</v>
      </c>
      <c r="L3431" s="7">
        <v>0</v>
      </c>
      <c r="M3431" s="7">
        <v>0</v>
      </c>
      <c r="N3431" s="8">
        <v>0</v>
      </c>
      <c r="O3431" s="8">
        <v>1.6810510850242006</v>
      </c>
      <c r="P3431" s="8">
        <v>0</v>
      </c>
      <c r="Q3431" s="8">
        <v>0</v>
      </c>
      <c r="R3431" s="8">
        <v>0</v>
      </c>
      <c r="S3431" s="8">
        <v>0</v>
      </c>
      <c r="T3431" s="5">
        <v>0</v>
      </c>
      <c r="U3431" s="5">
        <v>0</v>
      </c>
      <c r="V3431" s="5">
        <f>VLOOKUP(A3431,Planilha1!B:E,4,0)</f>
        <v>-1.9171310037550682</v>
      </c>
    </row>
    <row r="3432" spans="1:22" x14ac:dyDescent="0.3">
      <c r="A3432" t="str">
        <f t="shared" si="106"/>
        <v>QUEIJOSLACTALIS</v>
      </c>
      <c r="B3432" t="str">
        <f t="shared" si="107"/>
        <v>5307768QUEIJOSLACTALIS</v>
      </c>
      <c r="C3432" s="5" t="s">
        <v>226</v>
      </c>
      <c r="D3432" s="5" t="s">
        <v>227</v>
      </c>
      <c r="E3432" s="5" t="s">
        <v>1722</v>
      </c>
      <c r="F3432" s="5">
        <v>5307768</v>
      </c>
      <c r="G3432" s="5" t="s">
        <v>648</v>
      </c>
      <c r="H3432" s="5" t="s">
        <v>30</v>
      </c>
      <c r="I3432" s="5" t="s">
        <v>22</v>
      </c>
      <c r="J3432" s="5" t="s">
        <v>63</v>
      </c>
      <c r="K3432" s="6">
        <v>0</v>
      </c>
      <c r="L3432" s="7">
        <v>1</v>
      </c>
      <c r="M3432" s="7">
        <v>0</v>
      </c>
      <c r="N3432" s="8">
        <v>0</v>
      </c>
      <c r="O3432" s="8">
        <v>0.83767630338494059</v>
      </c>
      <c r="P3432" s="8">
        <v>0</v>
      </c>
      <c r="Q3432" s="8">
        <v>0</v>
      </c>
      <c r="R3432" s="8">
        <v>0</v>
      </c>
      <c r="S3432" s="8">
        <v>0</v>
      </c>
      <c r="T3432" s="5">
        <v>0</v>
      </c>
      <c r="U3432" s="5">
        <v>0</v>
      </c>
      <c r="V3432" s="5">
        <f>VLOOKUP(A3432,Planilha1!B:E,4,0)</f>
        <v>-1.9171310037550682</v>
      </c>
    </row>
    <row r="3433" spans="1:22" x14ac:dyDescent="0.3">
      <c r="A3433" t="str">
        <f t="shared" si="106"/>
        <v>QUEIJOSLACTALIS</v>
      </c>
      <c r="B3433" t="str">
        <f t="shared" si="107"/>
        <v>5308405QUEIJOSLACTALIS</v>
      </c>
      <c r="C3433" s="5" t="s">
        <v>16</v>
      </c>
      <c r="D3433" s="5" t="s">
        <v>17</v>
      </c>
      <c r="E3433" s="5" t="s">
        <v>66</v>
      </c>
      <c r="F3433" s="5">
        <v>5308405</v>
      </c>
      <c r="G3433" s="5" t="s">
        <v>1595</v>
      </c>
      <c r="H3433" s="5" t="s">
        <v>103</v>
      </c>
      <c r="I3433" s="5" t="s">
        <v>22</v>
      </c>
      <c r="J3433" s="5" t="s">
        <v>63</v>
      </c>
      <c r="K3433" s="6">
        <v>0</v>
      </c>
      <c r="L3433" s="7">
        <v>0</v>
      </c>
      <c r="M3433" s="7">
        <v>0</v>
      </c>
      <c r="N3433" s="8">
        <v>0</v>
      </c>
      <c r="O3433" s="8">
        <v>2811.8400143765639</v>
      </c>
      <c r="P3433" s="8">
        <v>0</v>
      </c>
      <c r="Q3433" s="8">
        <v>0</v>
      </c>
      <c r="R3433" s="8">
        <v>0</v>
      </c>
      <c r="S3433" s="8">
        <v>0</v>
      </c>
      <c r="T3433" s="5">
        <v>0</v>
      </c>
      <c r="U3433" s="5">
        <v>0</v>
      </c>
      <c r="V3433" s="5">
        <f>VLOOKUP(A3433,Planilha1!B:E,4,0)</f>
        <v>-1.9171310037550682</v>
      </c>
    </row>
    <row r="3434" spans="1:22" x14ac:dyDescent="0.3">
      <c r="A3434" t="str">
        <f t="shared" si="106"/>
        <v>QUEIJOSLACTALIS</v>
      </c>
      <c r="B3434" t="str">
        <f t="shared" si="107"/>
        <v>5309134QUEIJOSLACTALIS</v>
      </c>
      <c r="C3434" s="5" t="s">
        <v>226</v>
      </c>
      <c r="D3434" s="5" t="s">
        <v>227</v>
      </c>
      <c r="E3434" s="5" t="s">
        <v>1722</v>
      </c>
      <c r="F3434" s="5">
        <v>5309134</v>
      </c>
      <c r="G3434" s="5" t="s">
        <v>338</v>
      </c>
      <c r="H3434" s="5" t="s">
        <v>30</v>
      </c>
      <c r="I3434" s="5" t="s">
        <v>22</v>
      </c>
      <c r="J3434" s="5" t="s">
        <v>63</v>
      </c>
      <c r="K3434" s="6">
        <v>0</v>
      </c>
      <c r="L3434" s="7">
        <v>0</v>
      </c>
      <c r="M3434" s="7">
        <v>0</v>
      </c>
      <c r="N3434" s="8">
        <v>0</v>
      </c>
      <c r="O3434" s="8">
        <v>3.3848960830656782</v>
      </c>
      <c r="P3434" s="8">
        <v>0</v>
      </c>
      <c r="Q3434" s="8">
        <v>0</v>
      </c>
      <c r="R3434" s="8">
        <v>0</v>
      </c>
      <c r="S3434" s="8">
        <v>0</v>
      </c>
      <c r="T3434" s="5">
        <v>0</v>
      </c>
      <c r="U3434" s="5">
        <v>0</v>
      </c>
      <c r="V3434" s="5">
        <f>VLOOKUP(A3434,Planilha1!B:E,4,0)</f>
        <v>-1.9171310037550682</v>
      </c>
    </row>
    <row r="3435" spans="1:22" x14ac:dyDescent="0.3">
      <c r="A3435" t="str">
        <f t="shared" si="106"/>
        <v>QUEIJOSLACTALIS</v>
      </c>
      <c r="B3435" t="str">
        <f t="shared" si="107"/>
        <v>5312880QUEIJOSLACTALIS</v>
      </c>
      <c r="C3435" s="5" t="s">
        <v>226</v>
      </c>
      <c r="D3435" s="5" t="s">
        <v>227</v>
      </c>
      <c r="E3435" s="5" t="s">
        <v>1722</v>
      </c>
      <c r="F3435" s="5">
        <v>5312880</v>
      </c>
      <c r="G3435" s="5" t="s">
        <v>1333</v>
      </c>
      <c r="H3435" s="5" t="s">
        <v>30</v>
      </c>
      <c r="I3435" s="5" t="s">
        <v>22</v>
      </c>
      <c r="J3435" s="5" t="s">
        <v>63</v>
      </c>
      <c r="K3435" s="6">
        <v>0</v>
      </c>
      <c r="L3435" s="7">
        <v>0</v>
      </c>
      <c r="M3435" s="7">
        <v>0</v>
      </c>
      <c r="N3435" s="8">
        <v>234.57000000000002</v>
      </c>
      <c r="O3435" s="8">
        <v>0</v>
      </c>
      <c r="P3435" s="8">
        <v>0</v>
      </c>
      <c r="Q3435" s="8">
        <v>0</v>
      </c>
      <c r="R3435" s="8">
        <v>0</v>
      </c>
      <c r="S3435" s="8">
        <v>0</v>
      </c>
      <c r="T3435" s="5">
        <v>0</v>
      </c>
      <c r="U3435" s="5">
        <v>0</v>
      </c>
      <c r="V3435" s="5">
        <f>VLOOKUP(A3435,Planilha1!B:E,4,0)</f>
        <v>-1.9171310037550682</v>
      </c>
    </row>
    <row r="3436" spans="1:22" x14ac:dyDescent="0.3">
      <c r="A3436" t="str">
        <f t="shared" si="106"/>
        <v>QUEIJOSLACTALIS</v>
      </c>
      <c r="B3436" t="str">
        <f t="shared" si="107"/>
        <v>5314633QUEIJOSLACTALIS</v>
      </c>
      <c r="C3436" s="5" t="s">
        <v>226</v>
      </c>
      <c r="D3436" s="5" t="s">
        <v>227</v>
      </c>
      <c r="E3436" s="5" t="s">
        <v>1722</v>
      </c>
      <c r="F3436" s="5">
        <v>5314633</v>
      </c>
      <c r="G3436" s="5" t="s">
        <v>340</v>
      </c>
      <c r="H3436" s="5" t="s">
        <v>30</v>
      </c>
      <c r="I3436" s="5" t="s">
        <v>22</v>
      </c>
      <c r="J3436" s="5" t="s">
        <v>63</v>
      </c>
      <c r="K3436" s="6">
        <v>0</v>
      </c>
      <c r="L3436" s="7">
        <v>0</v>
      </c>
      <c r="M3436" s="7">
        <v>0</v>
      </c>
      <c r="N3436" s="8">
        <v>0</v>
      </c>
      <c r="O3436" s="8">
        <v>3.065781300823796</v>
      </c>
      <c r="P3436" s="8">
        <v>0</v>
      </c>
      <c r="Q3436" s="8">
        <v>0</v>
      </c>
      <c r="R3436" s="8">
        <v>0</v>
      </c>
      <c r="S3436" s="8">
        <v>0</v>
      </c>
      <c r="T3436" s="5">
        <v>0</v>
      </c>
      <c r="U3436" s="5">
        <v>0</v>
      </c>
      <c r="V3436" s="5">
        <f>VLOOKUP(A3436,Planilha1!B:E,4,0)</f>
        <v>-1.9171310037550682</v>
      </c>
    </row>
    <row r="3437" spans="1:22" x14ac:dyDescent="0.3">
      <c r="A3437" t="str">
        <f t="shared" si="106"/>
        <v>QUEIJOSLACTALIS</v>
      </c>
      <c r="B3437" t="str">
        <f t="shared" si="107"/>
        <v>5316965QUEIJOSLACTALIS</v>
      </c>
      <c r="C3437" s="5" t="s">
        <v>226</v>
      </c>
      <c r="D3437" s="5" t="s">
        <v>227</v>
      </c>
      <c r="E3437" s="5" t="s">
        <v>1722</v>
      </c>
      <c r="F3437" s="5">
        <v>5316965</v>
      </c>
      <c r="G3437" s="5" t="s">
        <v>1166</v>
      </c>
      <c r="H3437" s="5" t="s">
        <v>30</v>
      </c>
      <c r="I3437" s="5" t="s">
        <v>22</v>
      </c>
      <c r="J3437" s="5" t="s">
        <v>63</v>
      </c>
      <c r="K3437" s="6">
        <v>0</v>
      </c>
      <c r="L3437" s="7">
        <v>12.01</v>
      </c>
      <c r="M3437" s="7">
        <v>0</v>
      </c>
      <c r="N3437" s="8">
        <v>0</v>
      </c>
      <c r="O3437" s="8">
        <v>2.3477730407795612</v>
      </c>
      <c r="P3437" s="8">
        <v>0</v>
      </c>
      <c r="Q3437" s="8">
        <v>0</v>
      </c>
      <c r="R3437" s="8">
        <v>0</v>
      </c>
      <c r="S3437" s="8">
        <v>0</v>
      </c>
      <c r="T3437" s="5">
        <v>0</v>
      </c>
      <c r="U3437" s="5">
        <v>0</v>
      </c>
      <c r="V3437" s="5">
        <f>VLOOKUP(A3437,Planilha1!B:E,4,0)</f>
        <v>-1.9171310037550682</v>
      </c>
    </row>
    <row r="3438" spans="1:22" x14ac:dyDescent="0.3">
      <c r="A3438" t="str">
        <f t="shared" si="106"/>
        <v>QUEIJOSLACTALIS</v>
      </c>
      <c r="B3438" t="str">
        <f t="shared" si="107"/>
        <v>5319094QUEIJOSLACTALIS</v>
      </c>
      <c r="C3438" s="5" t="s">
        <v>226</v>
      </c>
      <c r="D3438" s="5" t="s">
        <v>227</v>
      </c>
      <c r="E3438" s="5" t="s">
        <v>1722</v>
      </c>
      <c r="F3438" s="5">
        <v>5319094</v>
      </c>
      <c r="G3438" s="5" t="s">
        <v>473</v>
      </c>
      <c r="H3438" s="5" t="s">
        <v>30</v>
      </c>
      <c r="I3438" s="5" t="s">
        <v>22</v>
      </c>
      <c r="J3438" s="5" t="s">
        <v>63</v>
      </c>
      <c r="K3438" s="6">
        <v>0</v>
      </c>
      <c r="L3438" s="7">
        <v>0</v>
      </c>
      <c r="M3438" s="7">
        <v>0</v>
      </c>
      <c r="N3438" s="8">
        <v>4.01</v>
      </c>
      <c r="O3438" s="8">
        <v>0</v>
      </c>
      <c r="P3438" s="8">
        <v>0</v>
      </c>
      <c r="Q3438" s="8">
        <v>0</v>
      </c>
      <c r="R3438" s="8">
        <v>0</v>
      </c>
      <c r="S3438" s="8">
        <v>0</v>
      </c>
      <c r="T3438" s="5">
        <v>0</v>
      </c>
      <c r="U3438" s="5">
        <v>0</v>
      </c>
      <c r="V3438" s="5">
        <f>VLOOKUP(A3438,Planilha1!B:E,4,0)</f>
        <v>-1.9171310037550682</v>
      </c>
    </row>
    <row r="3439" spans="1:22" x14ac:dyDescent="0.3">
      <c r="A3439" t="str">
        <f t="shared" si="106"/>
        <v>QUEIJOSLACTALIS</v>
      </c>
      <c r="B3439" t="str">
        <f t="shared" si="107"/>
        <v>5319474QUEIJOSLACTALIS</v>
      </c>
      <c r="C3439" s="5" t="s">
        <v>226</v>
      </c>
      <c r="D3439" s="5" t="s">
        <v>227</v>
      </c>
      <c r="E3439" s="5" t="s">
        <v>1722</v>
      </c>
      <c r="F3439" s="5">
        <v>5319474</v>
      </c>
      <c r="G3439" s="5" t="s">
        <v>1596</v>
      </c>
      <c r="H3439" s="5" t="s">
        <v>30</v>
      </c>
      <c r="I3439" s="5" t="s">
        <v>22</v>
      </c>
      <c r="J3439" s="5" t="s">
        <v>63</v>
      </c>
      <c r="K3439" s="6">
        <v>0</v>
      </c>
      <c r="L3439" s="7">
        <v>0</v>
      </c>
      <c r="M3439" s="7">
        <v>0</v>
      </c>
      <c r="N3439" s="8">
        <v>11.156666666666666</v>
      </c>
      <c r="O3439" s="8">
        <v>5.9834021670352895</v>
      </c>
      <c r="P3439" s="8">
        <v>0</v>
      </c>
      <c r="Q3439" s="8">
        <v>0</v>
      </c>
      <c r="R3439" s="8">
        <v>0</v>
      </c>
      <c r="S3439" s="8">
        <v>0</v>
      </c>
      <c r="T3439" s="5">
        <v>0</v>
      </c>
      <c r="U3439" s="5">
        <v>0</v>
      </c>
      <c r="V3439" s="5">
        <f>VLOOKUP(A3439,Planilha1!B:E,4,0)</f>
        <v>-1.9171310037550682</v>
      </c>
    </row>
    <row r="3440" spans="1:22" x14ac:dyDescent="0.3">
      <c r="A3440" t="str">
        <f t="shared" si="106"/>
        <v>QUEIJOSLACTALIS</v>
      </c>
      <c r="B3440" t="str">
        <f t="shared" si="107"/>
        <v>5320370QUEIJOSLACTALIS</v>
      </c>
      <c r="C3440" s="5" t="s">
        <v>226</v>
      </c>
      <c r="D3440" s="5" t="s">
        <v>227</v>
      </c>
      <c r="E3440" s="5" t="s">
        <v>1722</v>
      </c>
      <c r="F3440" s="5">
        <v>5320370</v>
      </c>
      <c r="G3440" s="5" t="s">
        <v>686</v>
      </c>
      <c r="H3440" s="5" t="s">
        <v>30</v>
      </c>
      <c r="I3440" s="5" t="s">
        <v>22</v>
      </c>
      <c r="J3440" s="5" t="s">
        <v>63</v>
      </c>
      <c r="K3440" s="6">
        <v>0</v>
      </c>
      <c r="L3440" s="7">
        <v>0</v>
      </c>
      <c r="M3440" s="7">
        <v>0</v>
      </c>
      <c r="N3440" s="8">
        <v>0</v>
      </c>
      <c r="O3440" s="8">
        <v>0.83767630338494059</v>
      </c>
      <c r="P3440" s="8">
        <v>0</v>
      </c>
      <c r="Q3440" s="8">
        <v>0</v>
      </c>
      <c r="R3440" s="8">
        <v>0</v>
      </c>
      <c r="S3440" s="8">
        <v>0</v>
      </c>
      <c r="T3440" s="5">
        <v>0</v>
      </c>
      <c r="U3440" s="5">
        <v>0</v>
      </c>
      <c r="V3440" s="5">
        <f>VLOOKUP(A3440,Planilha1!B:E,4,0)</f>
        <v>-1.9171310037550682</v>
      </c>
    </row>
    <row r="3441" spans="1:22" x14ac:dyDescent="0.3">
      <c r="A3441" t="str">
        <f t="shared" si="106"/>
        <v>QUEIJOSLACTALIS</v>
      </c>
      <c r="B3441" t="str">
        <f t="shared" si="107"/>
        <v>5320542QUEIJOSLACTALIS</v>
      </c>
      <c r="C3441" s="5" t="s">
        <v>226</v>
      </c>
      <c r="D3441" s="5" t="s">
        <v>227</v>
      </c>
      <c r="E3441" s="5" t="s">
        <v>1722</v>
      </c>
      <c r="F3441" s="5">
        <v>5320542</v>
      </c>
      <c r="G3441" s="5" t="s">
        <v>687</v>
      </c>
      <c r="H3441" s="5" t="s">
        <v>30</v>
      </c>
      <c r="I3441" s="5" t="s">
        <v>22</v>
      </c>
      <c r="J3441" s="5" t="s">
        <v>63</v>
      </c>
      <c r="K3441" s="6">
        <v>0</v>
      </c>
      <c r="L3441" s="7">
        <v>0</v>
      </c>
      <c r="M3441" s="7">
        <v>0</v>
      </c>
      <c r="N3441" s="8">
        <v>0</v>
      </c>
      <c r="O3441" s="8">
        <v>0.55845086892329365</v>
      </c>
      <c r="P3441" s="8">
        <v>0</v>
      </c>
      <c r="Q3441" s="8">
        <v>0</v>
      </c>
      <c r="R3441" s="8">
        <v>0</v>
      </c>
      <c r="S3441" s="8">
        <v>0</v>
      </c>
      <c r="T3441" s="5">
        <v>0</v>
      </c>
      <c r="U3441" s="5">
        <v>0</v>
      </c>
      <c r="V3441" s="5">
        <f>VLOOKUP(A3441,Planilha1!B:E,4,0)</f>
        <v>-1.9171310037550682</v>
      </c>
    </row>
    <row r="3442" spans="1:22" x14ac:dyDescent="0.3">
      <c r="A3442" t="str">
        <f t="shared" si="106"/>
        <v>QUEIJOSLACTALIS</v>
      </c>
      <c r="B3442" t="str">
        <f t="shared" si="107"/>
        <v>5321719QUEIJOSLACTALIS</v>
      </c>
      <c r="C3442" s="5" t="s">
        <v>226</v>
      </c>
      <c r="D3442" s="5" t="s">
        <v>227</v>
      </c>
      <c r="E3442" s="5" t="s">
        <v>1722</v>
      </c>
      <c r="F3442" s="5">
        <v>5321719</v>
      </c>
      <c r="G3442" s="5" t="s">
        <v>521</v>
      </c>
      <c r="H3442" s="5" t="s">
        <v>30</v>
      </c>
      <c r="I3442" s="5" t="s">
        <v>22</v>
      </c>
      <c r="J3442" s="5" t="s">
        <v>63</v>
      </c>
      <c r="K3442" s="6">
        <v>0</v>
      </c>
      <c r="L3442" s="7">
        <v>0</v>
      </c>
      <c r="M3442" s="7">
        <v>0</v>
      </c>
      <c r="N3442" s="8">
        <v>3.9</v>
      </c>
      <c r="O3442" s="8">
        <v>9.7330008583774035</v>
      </c>
      <c r="P3442" s="8">
        <v>0</v>
      </c>
      <c r="Q3442" s="8">
        <v>0</v>
      </c>
      <c r="R3442" s="8">
        <v>0</v>
      </c>
      <c r="S3442" s="8">
        <v>0</v>
      </c>
      <c r="T3442" s="5">
        <v>0</v>
      </c>
      <c r="U3442" s="5">
        <v>0</v>
      </c>
      <c r="V3442" s="5">
        <f>VLOOKUP(A3442,Planilha1!B:E,4,0)</f>
        <v>-1.9171310037550682</v>
      </c>
    </row>
    <row r="3443" spans="1:22" x14ac:dyDescent="0.3">
      <c r="A3443" t="str">
        <f t="shared" si="106"/>
        <v>QUEIJOSLACTALIS</v>
      </c>
      <c r="B3443" t="str">
        <f t="shared" si="107"/>
        <v>5321728QUEIJOSLACTALIS</v>
      </c>
      <c r="C3443" s="5" t="s">
        <v>226</v>
      </c>
      <c r="D3443" s="5" t="s">
        <v>227</v>
      </c>
      <c r="E3443" s="5" t="s">
        <v>1722</v>
      </c>
      <c r="F3443" s="5">
        <v>5321728</v>
      </c>
      <c r="G3443" s="5" t="s">
        <v>524</v>
      </c>
      <c r="H3443" s="5" t="s">
        <v>30</v>
      </c>
      <c r="I3443" s="5" t="s">
        <v>22</v>
      </c>
      <c r="J3443" s="5" t="s">
        <v>63</v>
      </c>
      <c r="K3443" s="6">
        <v>0</v>
      </c>
      <c r="L3443" s="7">
        <v>0</v>
      </c>
      <c r="M3443" s="7">
        <v>0</v>
      </c>
      <c r="N3443" s="8">
        <v>0</v>
      </c>
      <c r="O3443" s="8">
        <v>6.4392804273808357</v>
      </c>
      <c r="P3443" s="8">
        <v>0</v>
      </c>
      <c r="Q3443" s="8">
        <v>0</v>
      </c>
      <c r="R3443" s="8">
        <v>0</v>
      </c>
      <c r="S3443" s="8">
        <v>0</v>
      </c>
      <c r="T3443" s="5">
        <v>0</v>
      </c>
      <c r="U3443" s="5">
        <v>0</v>
      </c>
      <c r="V3443" s="5">
        <f>VLOOKUP(A3443,Planilha1!B:E,4,0)</f>
        <v>-1.9171310037550682</v>
      </c>
    </row>
    <row r="3444" spans="1:22" x14ac:dyDescent="0.3">
      <c r="A3444" t="str">
        <f t="shared" si="106"/>
        <v>QUEIJOSLACTALIS</v>
      </c>
      <c r="B3444" t="str">
        <f t="shared" si="107"/>
        <v>5324423QUEIJOSLACTALIS</v>
      </c>
      <c r="C3444" s="5" t="s">
        <v>226</v>
      </c>
      <c r="D3444" s="5" t="s">
        <v>227</v>
      </c>
      <c r="E3444" s="5" t="s">
        <v>1722</v>
      </c>
      <c r="F3444" s="5">
        <v>5324423</v>
      </c>
      <c r="G3444" s="5" t="s">
        <v>474</v>
      </c>
      <c r="H3444" s="5" t="s">
        <v>30</v>
      </c>
      <c r="I3444" s="5" t="s">
        <v>22</v>
      </c>
      <c r="J3444" s="5" t="s">
        <v>63</v>
      </c>
      <c r="K3444" s="6">
        <v>0</v>
      </c>
      <c r="L3444" s="7">
        <v>0</v>
      </c>
      <c r="M3444" s="7">
        <v>0</v>
      </c>
      <c r="N3444" s="8">
        <v>3.83</v>
      </c>
      <c r="O3444" s="8">
        <v>0</v>
      </c>
      <c r="P3444" s="8">
        <v>0</v>
      </c>
      <c r="Q3444" s="8">
        <v>12</v>
      </c>
      <c r="R3444" s="8">
        <v>0</v>
      </c>
      <c r="S3444" s="8">
        <v>0</v>
      </c>
      <c r="T3444" s="5">
        <v>0</v>
      </c>
      <c r="U3444" s="5">
        <v>24</v>
      </c>
      <c r="V3444" s="5">
        <f>VLOOKUP(A3444,Planilha1!B:E,4,0)</f>
        <v>-1.9171310037550682</v>
      </c>
    </row>
    <row r="3445" spans="1:22" x14ac:dyDescent="0.3">
      <c r="A3445" t="str">
        <f t="shared" si="106"/>
        <v>QUEIJOSLACTALIS</v>
      </c>
      <c r="B3445" t="str">
        <f t="shared" si="107"/>
        <v>5324461QUEIJOSLACTALIS</v>
      </c>
      <c r="C3445" s="5" t="s">
        <v>149</v>
      </c>
      <c r="D3445" s="5" t="s">
        <v>210</v>
      </c>
      <c r="E3445" s="5" t="s">
        <v>210</v>
      </c>
      <c r="F3445" s="5">
        <v>5324461</v>
      </c>
      <c r="G3445" s="5" t="s">
        <v>224</v>
      </c>
      <c r="H3445" s="5" t="s">
        <v>30</v>
      </c>
      <c r="I3445" s="5" t="s">
        <v>22</v>
      </c>
      <c r="J3445" s="5" t="s">
        <v>63</v>
      </c>
      <c r="K3445" s="6">
        <v>0</v>
      </c>
      <c r="L3445" s="7">
        <v>0</v>
      </c>
      <c r="M3445" s="7">
        <v>0</v>
      </c>
      <c r="N3445" s="8">
        <v>0</v>
      </c>
      <c r="O3445" s="8">
        <v>2.7010786925473593</v>
      </c>
      <c r="P3445" s="8">
        <v>0</v>
      </c>
      <c r="Q3445" s="8">
        <v>0</v>
      </c>
      <c r="R3445" s="8">
        <v>0</v>
      </c>
      <c r="S3445" s="8">
        <v>0</v>
      </c>
      <c r="T3445" s="5">
        <v>0</v>
      </c>
      <c r="U3445" s="5">
        <v>0</v>
      </c>
      <c r="V3445" s="5">
        <f>VLOOKUP(A3445,Planilha1!B:E,4,0)</f>
        <v>-1.9171310037550682</v>
      </c>
    </row>
    <row r="3446" spans="1:22" x14ac:dyDescent="0.3">
      <c r="A3446" t="str">
        <f t="shared" si="106"/>
        <v>QUEIJOSLACTALIS</v>
      </c>
      <c r="B3446" t="str">
        <f t="shared" si="107"/>
        <v>5328247QUEIJOSLACTALIS</v>
      </c>
      <c r="C3446" s="5" t="s">
        <v>16</v>
      </c>
      <c r="D3446" s="5" t="s">
        <v>17</v>
      </c>
      <c r="E3446" s="5" t="s">
        <v>44</v>
      </c>
      <c r="F3446" s="5">
        <v>5328247</v>
      </c>
      <c r="G3446" s="5" t="s">
        <v>1597</v>
      </c>
      <c r="H3446" s="5" t="s">
        <v>25</v>
      </c>
      <c r="I3446" s="5" t="s">
        <v>22</v>
      </c>
      <c r="J3446" s="5" t="s">
        <v>63</v>
      </c>
      <c r="K3446" s="6">
        <v>0</v>
      </c>
      <c r="L3446" s="7">
        <v>0</v>
      </c>
      <c r="M3446" s="7">
        <v>0</v>
      </c>
      <c r="N3446" s="8">
        <v>0</v>
      </c>
      <c r="O3446" s="8">
        <v>687.99437507873483</v>
      </c>
      <c r="P3446" s="8">
        <v>0</v>
      </c>
      <c r="Q3446" s="8">
        <v>0</v>
      </c>
      <c r="R3446" s="8">
        <v>0</v>
      </c>
      <c r="S3446" s="8">
        <v>0</v>
      </c>
      <c r="T3446" s="5">
        <v>0</v>
      </c>
      <c r="U3446" s="5">
        <v>0</v>
      </c>
      <c r="V3446" s="5">
        <f>VLOOKUP(A3446,Planilha1!B:E,4,0)</f>
        <v>-1.9171310037550682</v>
      </c>
    </row>
    <row r="3447" spans="1:22" x14ac:dyDescent="0.3">
      <c r="A3447" t="str">
        <f t="shared" si="106"/>
        <v>QUEIJOSLACTALIS</v>
      </c>
      <c r="B3447" t="str">
        <f t="shared" si="107"/>
        <v>5328529QUEIJOSLACTALIS</v>
      </c>
      <c r="C3447" s="5" t="s">
        <v>226</v>
      </c>
      <c r="D3447" s="5" t="s">
        <v>227</v>
      </c>
      <c r="E3447" s="5" t="s">
        <v>1722</v>
      </c>
      <c r="F3447" s="5">
        <v>5328529</v>
      </c>
      <c r="G3447" s="5" t="s">
        <v>1353</v>
      </c>
      <c r="H3447" s="5" t="s">
        <v>30</v>
      </c>
      <c r="I3447" s="5" t="s">
        <v>22</v>
      </c>
      <c r="J3447" s="5" t="s">
        <v>63</v>
      </c>
      <c r="K3447" s="6">
        <v>0</v>
      </c>
      <c r="L3447" s="7">
        <v>0</v>
      </c>
      <c r="M3447" s="7">
        <v>0</v>
      </c>
      <c r="N3447" s="8">
        <v>3.8166666666666664</v>
      </c>
      <c r="O3447" s="8">
        <v>0</v>
      </c>
      <c r="P3447" s="8">
        <v>0</v>
      </c>
      <c r="Q3447" s="8">
        <v>0</v>
      </c>
      <c r="R3447" s="8">
        <v>0</v>
      </c>
      <c r="S3447" s="8">
        <v>0</v>
      </c>
      <c r="T3447" s="5">
        <v>0</v>
      </c>
      <c r="U3447" s="5">
        <v>0</v>
      </c>
      <c r="V3447" s="5">
        <f>VLOOKUP(A3447,Planilha1!B:E,4,0)</f>
        <v>-1.9171310037550682</v>
      </c>
    </row>
    <row r="3448" spans="1:22" x14ac:dyDescent="0.3">
      <c r="A3448" t="str">
        <f t="shared" si="106"/>
        <v>QUEIJOSLACTALIS</v>
      </c>
      <c r="B3448" t="str">
        <f t="shared" si="107"/>
        <v>5328876QUEIJOSLACTALIS</v>
      </c>
      <c r="C3448" s="5" t="s">
        <v>226</v>
      </c>
      <c r="D3448" s="5" t="s">
        <v>227</v>
      </c>
      <c r="E3448" s="5" t="s">
        <v>1722</v>
      </c>
      <c r="F3448" s="5">
        <v>5328876</v>
      </c>
      <c r="G3448" s="5" t="s">
        <v>525</v>
      </c>
      <c r="H3448" s="5" t="s">
        <v>30</v>
      </c>
      <c r="I3448" s="5" t="s">
        <v>22</v>
      </c>
      <c r="J3448" s="5" t="s">
        <v>63</v>
      </c>
      <c r="K3448" s="6">
        <v>0</v>
      </c>
      <c r="L3448" s="7">
        <v>0</v>
      </c>
      <c r="M3448" s="7">
        <v>0</v>
      </c>
      <c r="N3448" s="8">
        <v>4</v>
      </c>
      <c r="O3448" s="8">
        <v>0</v>
      </c>
      <c r="P3448" s="8">
        <v>0</v>
      </c>
      <c r="Q3448" s="8">
        <v>0</v>
      </c>
      <c r="R3448" s="8">
        <v>0</v>
      </c>
      <c r="S3448" s="8">
        <v>0</v>
      </c>
      <c r="T3448" s="5">
        <v>0</v>
      </c>
      <c r="U3448" s="5">
        <v>0</v>
      </c>
      <c r="V3448" s="5">
        <f>VLOOKUP(A3448,Planilha1!B:E,4,0)</f>
        <v>-1.9171310037550682</v>
      </c>
    </row>
    <row r="3449" spans="1:22" x14ac:dyDescent="0.3">
      <c r="A3449" t="str">
        <f t="shared" si="106"/>
        <v>QUEIJOSLACTALIS</v>
      </c>
      <c r="B3449" t="str">
        <f t="shared" si="107"/>
        <v>5331644QUEIJOSLACTALIS</v>
      </c>
      <c r="C3449" s="5" t="s">
        <v>226</v>
      </c>
      <c r="D3449" s="5" t="s">
        <v>227</v>
      </c>
      <c r="E3449" s="5" t="s">
        <v>1722</v>
      </c>
      <c r="F3449" s="5">
        <v>5331644</v>
      </c>
      <c r="G3449" s="5" t="s">
        <v>595</v>
      </c>
      <c r="H3449" s="5" t="s">
        <v>30</v>
      </c>
      <c r="I3449" s="5" t="s">
        <v>22</v>
      </c>
      <c r="J3449" s="5" t="s">
        <v>63</v>
      </c>
      <c r="K3449" s="6">
        <v>0</v>
      </c>
      <c r="L3449" s="7">
        <v>0</v>
      </c>
      <c r="M3449" s="7">
        <v>0</v>
      </c>
      <c r="N3449" s="8">
        <v>0</v>
      </c>
      <c r="O3449" s="8">
        <v>3.3564036917940814</v>
      </c>
      <c r="P3449" s="8">
        <v>0</v>
      </c>
      <c r="Q3449" s="8">
        <v>0</v>
      </c>
      <c r="R3449" s="8">
        <v>0</v>
      </c>
      <c r="S3449" s="8">
        <v>0</v>
      </c>
      <c r="T3449" s="5">
        <v>0</v>
      </c>
      <c r="U3449" s="5">
        <v>0</v>
      </c>
      <c r="V3449" s="5">
        <f>VLOOKUP(A3449,Planilha1!B:E,4,0)</f>
        <v>-1.9171310037550682</v>
      </c>
    </row>
    <row r="3450" spans="1:22" x14ac:dyDescent="0.3">
      <c r="A3450" t="str">
        <f t="shared" si="106"/>
        <v>QUEIJOSLACTALIS</v>
      </c>
      <c r="B3450" t="str">
        <f t="shared" si="107"/>
        <v>5333984QUEIJOSLACTALIS</v>
      </c>
      <c r="C3450" s="5" t="s">
        <v>226</v>
      </c>
      <c r="D3450" s="5" t="s">
        <v>227</v>
      </c>
      <c r="E3450" s="5" t="s">
        <v>1722</v>
      </c>
      <c r="F3450" s="5">
        <v>5333984</v>
      </c>
      <c r="G3450" s="5" t="s">
        <v>477</v>
      </c>
      <c r="H3450" s="5" t="s">
        <v>30</v>
      </c>
      <c r="I3450" s="5" t="s">
        <v>22</v>
      </c>
      <c r="J3450" s="5" t="s">
        <v>63</v>
      </c>
      <c r="K3450" s="6">
        <v>0</v>
      </c>
      <c r="L3450" s="7">
        <v>0</v>
      </c>
      <c r="M3450" s="7">
        <v>0</v>
      </c>
      <c r="N3450" s="8">
        <v>0</v>
      </c>
      <c r="O3450" s="8">
        <v>0.84337478163925983</v>
      </c>
      <c r="P3450" s="8">
        <v>0</v>
      </c>
      <c r="Q3450" s="8">
        <v>0</v>
      </c>
      <c r="R3450" s="8">
        <v>0</v>
      </c>
      <c r="S3450" s="8">
        <v>0</v>
      </c>
      <c r="T3450" s="5">
        <v>0</v>
      </c>
      <c r="U3450" s="5">
        <v>0</v>
      </c>
      <c r="V3450" s="5">
        <f>VLOOKUP(A3450,Planilha1!B:E,4,0)</f>
        <v>-1.9171310037550682</v>
      </c>
    </row>
    <row r="3451" spans="1:22" x14ac:dyDescent="0.3">
      <c r="A3451" t="str">
        <f t="shared" si="106"/>
        <v>QUEIJOSLACTALIS</v>
      </c>
      <c r="B3451" t="str">
        <f t="shared" si="107"/>
        <v>5334471QUEIJOSLACTALIS</v>
      </c>
      <c r="C3451" s="5" t="s">
        <v>226</v>
      </c>
      <c r="D3451" s="5" t="s">
        <v>227</v>
      </c>
      <c r="E3451" s="5" t="s">
        <v>1722</v>
      </c>
      <c r="F3451" s="5">
        <v>5334471</v>
      </c>
      <c r="G3451" s="5" t="s">
        <v>1532</v>
      </c>
      <c r="H3451" s="5" t="s">
        <v>30</v>
      </c>
      <c r="I3451" s="5" t="s">
        <v>22</v>
      </c>
      <c r="J3451" s="5" t="s">
        <v>63</v>
      </c>
      <c r="K3451" s="6">
        <v>0</v>
      </c>
      <c r="L3451" s="7">
        <v>0</v>
      </c>
      <c r="M3451" s="7">
        <v>0</v>
      </c>
      <c r="N3451" s="8">
        <v>2</v>
      </c>
      <c r="O3451" s="8">
        <v>0.564149347177613</v>
      </c>
      <c r="P3451" s="8">
        <v>0</v>
      </c>
      <c r="Q3451" s="8">
        <v>0</v>
      </c>
      <c r="R3451" s="8">
        <v>0</v>
      </c>
      <c r="S3451" s="8">
        <v>0</v>
      </c>
      <c r="T3451" s="5">
        <v>0</v>
      </c>
      <c r="U3451" s="5">
        <v>0</v>
      </c>
      <c r="V3451" s="5">
        <f>VLOOKUP(A3451,Planilha1!B:E,4,0)</f>
        <v>-1.9171310037550682</v>
      </c>
    </row>
    <row r="3452" spans="1:22" x14ac:dyDescent="0.3">
      <c r="A3452" t="str">
        <f t="shared" si="106"/>
        <v>QUEIJOSLACTALIS</v>
      </c>
      <c r="B3452" t="str">
        <f t="shared" si="107"/>
        <v>5336921QUEIJOSLACTALIS</v>
      </c>
      <c r="C3452" s="5" t="s">
        <v>226</v>
      </c>
      <c r="D3452" s="5" t="s">
        <v>227</v>
      </c>
      <c r="E3452" s="5" t="s">
        <v>1722</v>
      </c>
      <c r="F3452" s="5">
        <v>5336921</v>
      </c>
      <c r="G3452" s="5" t="s">
        <v>1349</v>
      </c>
      <c r="H3452" s="5" t="s">
        <v>30</v>
      </c>
      <c r="I3452" s="5" t="s">
        <v>22</v>
      </c>
      <c r="J3452" s="5" t="s">
        <v>63</v>
      </c>
      <c r="K3452" s="6">
        <v>0</v>
      </c>
      <c r="L3452" s="7">
        <v>0</v>
      </c>
      <c r="M3452" s="7">
        <v>0</v>
      </c>
      <c r="N3452" s="8">
        <v>3.9133333333333336</v>
      </c>
      <c r="O3452" s="8">
        <v>0</v>
      </c>
      <c r="P3452" s="8">
        <v>0</v>
      </c>
      <c r="Q3452" s="8">
        <v>0</v>
      </c>
      <c r="R3452" s="8">
        <v>0</v>
      </c>
      <c r="S3452" s="8">
        <v>0</v>
      </c>
      <c r="T3452" s="5">
        <v>0</v>
      </c>
      <c r="U3452" s="5">
        <v>0</v>
      </c>
      <c r="V3452" s="5">
        <f>VLOOKUP(A3452,Planilha1!B:E,4,0)</f>
        <v>-1.9171310037550682</v>
      </c>
    </row>
    <row r="3453" spans="1:22" x14ac:dyDescent="0.3">
      <c r="A3453" t="str">
        <f t="shared" si="106"/>
        <v>QUEIJOSLACTALIS</v>
      </c>
      <c r="B3453" t="str">
        <f t="shared" si="107"/>
        <v>5337686QUEIJOSLACTALIS</v>
      </c>
      <c r="C3453" s="5" t="s">
        <v>226</v>
      </c>
      <c r="D3453" s="5" t="s">
        <v>227</v>
      </c>
      <c r="E3453" s="5" t="s">
        <v>1722</v>
      </c>
      <c r="F3453" s="5">
        <v>5337686</v>
      </c>
      <c r="G3453" s="5" t="s">
        <v>360</v>
      </c>
      <c r="H3453" s="5" t="s">
        <v>30</v>
      </c>
      <c r="I3453" s="5" t="s">
        <v>22</v>
      </c>
      <c r="J3453" s="5" t="s">
        <v>63</v>
      </c>
      <c r="K3453" s="6">
        <v>0</v>
      </c>
      <c r="L3453" s="7">
        <v>0</v>
      </c>
      <c r="M3453" s="7">
        <v>0</v>
      </c>
      <c r="N3453" s="8">
        <v>0</v>
      </c>
      <c r="O3453" s="8">
        <v>6.7697921661313565</v>
      </c>
      <c r="P3453" s="8">
        <v>0</v>
      </c>
      <c r="Q3453" s="8">
        <v>0</v>
      </c>
      <c r="R3453" s="8">
        <v>0</v>
      </c>
      <c r="S3453" s="8">
        <v>0</v>
      </c>
      <c r="T3453" s="5">
        <v>0</v>
      </c>
      <c r="U3453" s="5">
        <v>0</v>
      </c>
      <c r="V3453" s="5">
        <f>VLOOKUP(A3453,Planilha1!B:E,4,0)</f>
        <v>-1.9171310037550682</v>
      </c>
    </row>
    <row r="3454" spans="1:22" x14ac:dyDescent="0.3">
      <c r="A3454" t="str">
        <f t="shared" si="106"/>
        <v>QUEIJOSLACTALIS</v>
      </c>
      <c r="B3454" t="str">
        <f t="shared" si="107"/>
        <v>5338692QUEIJOSLACTALIS</v>
      </c>
      <c r="C3454" s="5" t="s">
        <v>226</v>
      </c>
      <c r="D3454" s="5" t="s">
        <v>227</v>
      </c>
      <c r="E3454" s="5" t="s">
        <v>1722</v>
      </c>
      <c r="F3454" s="5">
        <v>5338692</v>
      </c>
      <c r="G3454" s="5" t="s">
        <v>500</v>
      </c>
      <c r="H3454" s="5" t="s">
        <v>30</v>
      </c>
      <c r="I3454" s="5" t="s">
        <v>22</v>
      </c>
      <c r="J3454" s="5" t="s">
        <v>63</v>
      </c>
      <c r="K3454" s="6">
        <v>0</v>
      </c>
      <c r="L3454" s="7">
        <v>0</v>
      </c>
      <c r="M3454" s="7">
        <v>0</v>
      </c>
      <c r="N3454" s="8">
        <v>0</v>
      </c>
      <c r="O3454" s="8">
        <v>4.7012445598134418</v>
      </c>
      <c r="P3454" s="8">
        <v>0</v>
      </c>
      <c r="Q3454" s="8">
        <v>0</v>
      </c>
      <c r="R3454" s="8">
        <v>0</v>
      </c>
      <c r="S3454" s="8">
        <v>0</v>
      </c>
      <c r="T3454" s="5">
        <v>0</v>
      </c>
      <c r="U3454" s="5">
        <v>0</v>
      </c>
      <c r="V3454" s="5">
        <f>VLOOKUP(A3454,Planilha1!B:E,4,0)</f>
        <v>-1.9171310037550682</v>
      </c>
    </row>
    <row r="3455" spans="1:22" x14ac:dyDescent="0.3">
      <c r="A3455" t="str">
        <f t="shared" si="106"/>
        <v>QUEIJOSLACTALIS</v>
      </c>
      <c r="B3455" t="str">
        <f t="shared" si="107"/>
        <v>5339145QUEIJOSLACTALIS</v>
      </c>
      <c r="C3455" s="5" t="s">
        <v>226</v>
      </c>
      <c r="D3455" s="5" t="s">
        <v>227</v>
      </c>
      <c r="E3455" s="5" t="s">
        <v>1722</v>
      </c>
      <c r="F3455" s="5">
        <v>5339145</v>
      </c>
      <c r="G3455" s="5" t="s">
        <v>481</v>
      </c>
      <c r="H3455" s="5" t="s">
        <v>30</v>
      </c>
      <c r="I3455" s="5" t="s">
        <v>22</v>
      </c>
      <c r="J3455" s="5" t="s">
        <v>63</v>
      </c>
      <c r="K3455" s="6">
        <v>0</v>
      </c>
      <c r="L3455" s="7">
        <v>0</v>
      </c>
      <c r="M3455" s="7">
        <v>0</v>
      </c>
      <c r="N3455" s="8">
        <v>3.9433333333333334</v>
      </c>
      <c r="O3455" s="8">
        <v>0</v>
      </c>
      <c r="P3455" s="8">
        <v>0</v>
      </c>
      <c r="Q3455" s="8">
        <v>0</v>
      </c>
      <c r="R3455" s="8">
        <v>0</v>
      </c>
      <c r="S3455" s="8">
        <v>0</v>
      </c>
      <c r="T3455" s="5">
        <v>0</v>
      </c>
      <c r="U3455" s="5">
        <v>0</v>
      </c>
      <c r="V3455" s="5">
        <f>VLOOKUP(A3455,Planilha1!B:E,4,0)</f>
        <v>-1.9171310037550682</v>
      </c>
    </row>
    <row r="3456" spans="1:22" x14ac:dyDescent="0.3">
      <c r="A3456" t="str">
        <f t="shared" si="106"/>
        <v>QUEIJOSLACTALIS</v>
      </c>
      <c r="B3456" t="str">
        <f t="shared" si="107"/>
        <v>5339543QUEIJOSLACTALIS</v>
      </c>
      <c r="C3456" s="5" t="s">
        <v>226</v>
      </c>
      <c r="D3456" s="5" t="s">
        <v>227</v>
      </c>
      <c r="E3456" s="5" t="s">
        <v>1722</v>
      </c>
      <c r="F3456" s="5">
        <v>5339543</v>
      </c>
      <c r="G3456" s="5" t="s">
        <v>482</v>
      </c>
      <c r="H3456" s="5" t="s">
        <v>30</v>
      </c>
      <c r="I3456" s="5" t="s">
        <v>22</v>
      </c>
      <c r="J3456" s="5" t="s">
        <v>63</v>
      </c>
      <c r="K3456" s="6">
        <v>0</v>
      </c>
      <c r="L3456" s="7">
        <v>0</v>
      </c>
      <c r="M3456" s="7">
        <v>0</v>
      </c>
      <c r="N3456" s="8">
        <v>0</v>
      </c>
      <c r="O3456" s="8">
        <v>6.5703454272301798</v>
      </c>
      <c r="P3456" s="8">
        <v>0</v>
      </c>
      <c r="Q3456" s="8">
        <v>0</v>
      </c>
      <c r="R3456" s="8">
        <v>0</v>
      </c>
      <c r="S3456" s="8">
        <v>0</v>
      </c>
      <c r="T3456" s="5">
        <v>0</v>
      </c>
      <c r="U3456" s="5">
        <v>0</v>
      </c>
      <c r="V3456" s="5">
        <f>VLOOKUP(A3456,Planilha1!B:E,4,0)</f>
        <v>-1.9171310037550682</v>
      </c>
    </row>
    <row r="3457" spans="1:22" x14ac:dyDescent="0.3">
      <c r="A3457" t="str">
        <f t="shared" si="106"/>
        <v>QUEIJOSLACTALIS</v>
      </c>
      <c r="B3457" t="str">
        <f t="shared" si="107"/>
        <v>5340377QUEIJOSLACTALIS</v>
      </c>
      <c r="C3457" s="5" t="s">
        <v>226</v>
      </c>
      <c r="D3457" s="5" t="s">
        <v>227</v>
      </c>
      <c r="E3457" s="5" t="s">
        <v>893</v>
      </c>
      <c r="F3457" s="5">
        <v>5340377</v>
      </c>
      <c r="G3457" s="5" t="s">
        <v>701</v>
      </c>
      <c r="H3457" s="5" t="s">
        <v>30</v>
      </c>
      <c r="I3457" s="5" t="s">
        <v>22</v>
      </c>
      <c r="J3457" s="5" t="s">
        <v>63</v>
      </c>
      <c r="K3457" s="6">
        <v>0</v>
      </c>
      <c r="L3457" s="7">
        <v>0</v>
      </c>
      <c r="M3457" s="7">
        <v>0</v>
      </c>
      <c r="N3457" s="8">
        <v>2.8000000000000003</v>
      </c>
      <c r="O3457" s="8">
        <v>0</v>
      </c>
      <c r="P3457" s="8">
        <v>0</v>
      </c>
      <c r="Q3457" s="8">
        <v>0</v>
      </c>
      <c r="R3457" s="8">
        <v>0</v>
      </c>
      <c r="S3457" s="8">
        <v>0</v>
      </c>
      <c r="T3457" s="5">
        <v>0</v>
      </c>
      <c r="U3457" s="5">
        <v>0</v>
      </c>
      <c r="V3457" s="5">
        <f>VLOOKUP(A3457,Planilha1!B:E,4,0)</f>
        <v>-1.9171310037550682</v>
      </c>
    </row>
    <row r="3458" spans="1:22" x14ac:dyDescent="0.3">
      <c r="A3458" t="str">
        <f t="shared" ref="A3458:A3521" si="108">J3458&amp;I3458</f>
        <v>QUEIJOSLACTALIS</v>
      </c>
      <c r="B3458" t="str">
        <f t="shared" si="107"/>
        <v>5340484QUEIJOSLACTALIS</v>
      </c>
      <c r="C3458" s="5" t="s">
        <v>226</v>
      </c>
      <c r="D3458" s="5" t="s">
        <v>227</v>
      </c>
      <c r="E3458" s="5" t="s">
        <v>1722</v>
      </c>
      <c r="F3458" s="5">
        <v>5340484</v>
      </c>
      <c r="G3458" s="5" t="s">
        <v>1598</v>
      </c>
      <c r="H3458" s="5" t="s">
        <v>30</v>
      </c>
      <c r="I3458" s="5" t="s">
        <v>22</v>
      </c>
      <c r="J3458" s="5" t="s">
        <v>63</v>
      </c>
      <c r="K3458" s="6">
        <v>0</v>
      </c>
      <c r="L3458" s="7">
        <v>0</v>
      </c>
      <c r="M3458" s="7">
        <v>0</v>
      </c>
      <c r="N3458" s="8">
        <v>0</v>
      </c>
      <c r="O3458" s="8">
        <v>5.0317562985639626</v>
      </c>
      <c r="P3458" s="8">
        <v>0</v>
      </c>
      <c r="Q3458" s="8">
        <v>0</v>
      </c>
      <c r="R3458" s="8">
        <v>0</v>
      </c>
      <c r="S3458" s="8">
        <v>0</v>
      </c>
      <c r="T3458" s="5">
        <v>0</v>
      </c>
      <c r="U3458" s="5">
        <v>0</v>
      </c>
      <c r="V3458" s="5">
        <f>VLOOKUP(A3458,Planilha1!B:E,4,0)</f>
        <v>-1.9171310037550682</v>
      </c>
    </row>
    <row r="3459" spans="1:22" x14ac:dyDescent="0.3">
      <c r="A3459" t="str">
        <f t="shared" si="108"/>
        <v>QUEIJOSLACTALIS</v>
      </c>
      <c r="B3459" t="str">
        <f t="shared" ref="B3459:B3522" si="109">F3459&amp;J3459&amp;I3459</f>
        <v>5341678QUEIJOSLACTALIS</v>
      </c>
      <c r="C3459" s="5" t="s">
        <v>226</v>
      </c>
      <c r="D3459" s="5" t="s">
        <v>227</v>
      </c>
      <c r="E3459" s="5" t="s">
        <v>1722</v>
      </c>
      <c r="F3459" s="5">
        <v>5341678</v>
      </c>
      <c r="G3459" s="5" t="s">
        <v>484</v>
      </c>
      <c r="H3459" s="5" t="s">
        <v>30</v>
      </c>
      <c r="I3459" s="5" t="s">
        <v>22</v>
      </c>
      <c r="J3459" s="5" t="s">
        <v>63</v>
      </c>
      <c r="K3459" s="6">
        <v>0</v>
      </c>
      <c r="L3459" s="7">
        <v>23.9</v>
      </c>
      <c r="M3459" s="7">
        <v>0</v>
      </c>
      <c r="N3459" s="8">
        <v>0</v>
      </c>
      <c r="O3459" s="8">
        <v>3.2367356484533758</v>
      </c>
      <c r="P3459" s="8">
        <v>0</v>
      </c>
      <c r="Q3459" s="8">
        <v>0</v>
      </c>
      <c r="R3459" s="8">
        <v>0</v>
      </c>
      <c r="S3459" s="8">
        <v>0</v>
      </c>
      <c r="T3459" s="5">
        <v>0</v>
      </c>
      <c r="U3459" s="5">
        <v>0</v>
      </c>
      <c r="V3459" s="5">
        <f>VLOOKUP(A3459,Planilha1!B:E,4,0)</f>
        <v>-1.9171310037550682</v>
      </c>
    </row>
    <row r="3460" spans="1:22" x14ac:dyDescent="0.3">
      <c r="A3460" t="str">
        <f t="shared" si="108"/>
        <v>QUEIJOSLACTALIS</v>
      </c>
      <c r="B3460" t="str">
        <f t="shared" si="109"/>
        <v>5341784QUEIJOSLACTALIS</v>
      </c>
      <c r="C3460" s="5" t="s">
        <v>226</v>
      </c>
      <c r="D3460" s="5" t="s">
        <v>227</v>
      </c>
      <c r="E3460" s="5" t="s">
        <v>1722</v>
      </c>
      <c r="F3460" s="5">
        <v>5341784</v>
      </c>
      <c r="G3460" s="5" t="s">
        <v>702</v>
      </c>
      <c r="H3460" s="5" t="s">
        <v>30</v>
      </c>
      <c r="I3460" s="5" t="s">
        <v>22</v>
      </c>
      <c r="J3460" s="5" t="s">
        <v>63</v>
      </c>
      <c r="K3460" s="6">
        <v>0</v>
      </c>
      <c r="L3460" s="7">
        <v>0</v>
      </c>
      <c r="M3460" s="7">
        <v>0</v>
      </c>
      <c r="N3460" s="8">
        <v>3.92</v>
      </c>
      <c r="O3460" s="8">
        <v>3.2880219527422496</v>
      </c>
      <c r="P3460" s="8">
        <v>0</v>
      </c>
      <c r="Q3460" s="8">
        <v>0</v>
      </c>
      <c r="R3460" s="8">
        <v>0</v>
      </c>
      <c r="S3460" s="8">
        <v>0</v>
      </c>
      <c r="T3460" s="5">
        <v>0</v>
      </c>
      <c r="U3460" s="5">
        <v>0</v>
      </c>
      <c r="V3460" s="5">
        <f>VLOOKUP(A3460,Planilha1!B:E,4,0)</f>
        <v>-1.9171310037550682</v>
      </c>
    </row>
    <row r="3461" spans="1:22" x14ac:dyDescent="0.3">
      <c r="A3461" t="str">
        <f t="shared" si="108"/>
        <v>QUEIJOSLACTALIS</v>
      </c>
      <c r="B3461" t="str">
        <f t="shared" si="109"/>
        <v>5342210QUEIJOSLACTALIS</v>
      </c>
      <c r="C3461" s="5" t="s">
        <v>226</v>
      </c>
      <c r="D3461" s="5" t="s">
        <v>227</v>
      </c>
      <c r="E3461" s="5" t="s">
        <v>1722</v>
      </c>
      <c r="F3461" s="5">
        <v>5342210</v>
      </c>
      <c r="G3461" s="5" t="s">
        <v>531</v>
      </c>
      <c r="H3461" s="5" t="s">
        <v>30</v>
      </c>
      <c r="I3461" s="5" t="s">
        <v>22</v>
      </c>
      <c r="J3461" s="5" t="s">
        <v>63</v>
      </c>
      <c r="K3461" s="6">
        <v>0</v>
      </c>
      <c r="L3461" s="7">
        <v>14.02</v>
      </c>
      <c r="M3461" s="7">
        <v>0</v>
      </c>
      <c r="N3461" s="8">
        <v>0</v>
      </c>
      <c r="O3461" s="8">
        <v>17.243595197570272</v>
      </c>
      <c r="P3461" s="8">
        <v>0</v>
      </c>
      <c r="Q3461" s="8">
        <v>0</v>
      </c>
      <c r="R3461" s="8">
        <v>0</v>
      </c>
      <c r="S3461" s="8">
        <v>0</v>
      </c>
      <c r="T3461" s="5">
        <v>0</v>
      </c>
      <c r="U3461" s="5">
        <v>0</v>
      </c>
      <c r="V3461" s="5">
        <f>VLOOKUP(A3461,Planilha1!B:E,4,0)</f>
        <v>-1.9171310037550682</v>
      </c>
    </row>
    <row r="3462" spans="1:22" x14ac:dyDescent="0.3">
      <c r="A3462" t="str">
        <f t="shared" si="108"/>
        <v>QUEIJOSLACTALIS</v>
      </c>
      <c r="B3462" t="str">
        <f t="shared" si="109"/>
        <v>5344075QUEIJOSLACTALIS</v>
      </c>
      <c r="C3462" s="5" t="s">
        <v>226</v>
      </c>
      <c r="D3462" s="5" t="s">
        <v>227</v>
      </c>
      <c r="E3462" s="5" t="s">
        <v>1722</v>
      </c>
      <c r="F3462" s="5">
        <v>5344075</v>
      </c>
      <c r="G3462" s="5" t="s">
        <v>666</v>
      </c>
      <c r="H3462" s="5" t="s">
        <v>30</v>
      </c>
      <c r="I3462" s="5" t="s">
        <v>22</v>
      </c>
      <c r="J3462" s="5" t="s">
        <v>63</v>
      </c>
      <c r="K3462" s="6">
        <v>0</v>
      </c>
      <c r="L3462" s="7">
        <v>11.88</v>
      </c>
      <c r="M3462" s="7">
        <v>0</v>
      </c>
      <c r="N3462" s="8">
        <v>0</v>
      </c>
      <c r="O3462" s="8">
        <v>3.2082432571817789</v>
      </c>
      <c r="P3462" s="8">
        <v>0</v>
      </c>
      <c r="Q3462" s="8">
        <v>0</v>
      </c>
      <c r="R3462" s="8">
        <v>0</v>
      </c>
      <c r="S3462" s="8">
        <v>0</v>
      </c>
      <c r="T3462" s="5">
        <v>0</v>
      </c>
      <c r="U3462" s="5">
        <v>0</v>
      </c>
      <c r="V3462" s="5">
        <f>VLOOKUP(A3462,Planilha1!B:E,4,0)</f>
        <v>-1.9171310037550682</v>
      </c>
    </row>
    <row r="3463" spans="1:22" x14ac:dyDescent="0.3">
      <c r="A3463" t="str">
        <f t="shared" si="108"/>
        <v>QUEIJOSLACTALIS</v>
      </c>
      <c r="B3463" t="str">
        <f t="shared" si="109"/>
        <v>5347470QUEIJOSLACTALIS</v>
      </c>
      <c r="C3463" s="5" t="s">
        <v>226</v>
      </c>
      <c r="D3463" s="5" t="s">
        <v>227</v>
      </c>
      <c r="E3463" s="5" t="s">
        <v>1722</v>
      </c>
      <c r="F3463" s="5">
        <v>5347470</v>
      </c>
      <c r="G3463" s="5" t="s">
        <v>1502</v>
      </c>
      <c r="H3463" s="5" t="s">
        <v>30</v>
      </c>
      <c r="I3463" s="5" t="s">
        <v>22</v>
      </c>
      <c r="J3463" s="5" t="s">
        <v>63</v>
      </c>
      <c r="K3463" s="6">
        <v>0</v>
      </c>
      <c r="L3463" s="7">
        <v>0</v>
      </c>
      <c r="M3463" s="7">
        <v>0</v>
      </c>
      <c r="N3463" s="8">
        <v>7.73</v>
      </c>
      <c r="O3463" s="8">
        <v>6.4563758621437932</v>
      </c>
      <c r="P3463" s="8">
        <v>0</v>
      </c>
      <c r="Q3463" s="8">
        <v>0</v>
      </c>
      <c r="R3463" s="8">
        <v>0</v>
      </c>
      <c r="S3463" s="8">
        <v>0</v>
      </c>
      <c r="T3463" s="5">
        <v>0</v>
      </c>
      <c r="U3463" s="5">
        <v>0</v>
      </c>
      <c r="V3463" s="5">
        <f>VLOOKUP(A3463,Planilha1!B:E,4,0)</f>
        <v>-1.9171310037550682</v>
      </c>
    </row>
    <row r="3464" spans="1:22" x14ac:dyDescent="0.3">
      <c r="A3464" t="str">
        <f t="shared" si="108"/>
        <v>QUEIJOSLACTALIS</v>
      </c>
      <c r="B3464" t="str">
        <f t="shared" si="109"/>
        <v>5347474QUEIJOSLACTALIS</v>
      </c>
      <c r="C3464" s="5" t="s">
        <v>226</v>
      </c>
      <c r="D3464" s="5" t="s">
        <v>227</v>
      </c>
      <c r="E3464" s="5" t="s">
        <v>1722</v>
      </c>
      <c r="F3464" s="5">
        <v>5347474</v>
      </c>
      <c r="G3464" s="5" t="s">
        <v>1354</v>
      </c>
      <c r="H3464" s="5" t="s">
        <v>30</v>
      </c>
      <c r="I3464" s="5" t="s">
        <v>22</v>
      </c>
      <c r="J3464" s="5" t="s">
        <v>63</v>
      </c>
      <c r="K3464" s="6">
        <v>0</v>
      </c>
      <c r="L3464" s="7">
        <v>0</v>
      </c>
      <c r="M3464" s="7">
        <v>0</v>
      </c>
      <c r="N3464" s="8">
        <v>32</v>
      </c>
      <c r="O3464" s="8">
        <v>0</v>
      </c>
      <c r="P3464" s="8">
        <v>0</v>
      </c>
      <c r="Q3464" s="8">
        <v>0</v>
      </c>
      <c r="R3464" s="8">
        <v>0</v>
      </c>
      <c r="S3464" s="8">
        <v>0</v>
      </c>
      <c r="T3464" s="5">
        <v>0</v>
      </c>
      <c r="U3464" s="5">
        <v>0</v>
      </c>
      <c r="V3464" s="5">
        <f>VLOOKUP(A3464,Planilha1!B:E,4,0)</f>
        <v>-1.9171310037550682</v>
      </c>
    </row>
    <row r="3465" spans="1:22" x14ac:dyDescent="0.3">
      <c r="A3465" t="str">
        <f t="shared" si="108"/>
        <v>QUEIJOSLACTALIS</v>
      </c>
      <c r="B3465" t="str">
        <f t="shared" si="109"/>
        <v>5348715QUEIJOSLACTALIS</v>
      </c>
      <c r="C3465" s="5" t="s">
        <v>226</v>
      </c>
      <c r="D3465" s="5" t="s">
        <v>227</v>
      </c>
      <c r="E3465" s="5" t="s">
        <v>1722</v>
      </c>
      <c r="F3465" s="5">
        <v>5348715</v>
      </c>
      <c r="G3465" s="5" t="s">
        <v>1599</v>
      </c>
      <c r="H3465" s="5" t="s">
        <v>30</v>
      </c>
      <c r="I3465" s="5" t="s">
        <v>22</v>
      </c>
      <c r="J3465" s="5" t="s">
        <v>63</v>
      </c>
      <c r="K3465" s="6">
        <v>0</v>
      </c>
      <c r="L3465" s="7">
        <v>0</v>
      </c>
      <c r="M3465" s="7">
        <v>0</v>
      </c>
      <c r="N3465" s="8">
        <v>3.9233333333333333</v>
      </c>
      <c r="O3465" s="8">
        <v>0</v>
      </c>
      <c r="P3465" s="8">
        <v>0</v>
      </c>
      <c r="Q3465" s="8">
        <v>0</v>
      </c>
      <c r="R3465" s="8">
        <v>0</v>
      </c>
      <c r="S3465" s="8">
        <v>0</v>
      </c>
      <c r="T3465" s="5">
        <v>0</v>
      </c>
      <c r="U3465" s="5">
        <v>0</v>
      </c>
      <c r="V3465" s="5">
        <f>VLOOKUP(A3465,Planilha1!B:E,4,0)</f>
        <v>-1.9171310037550682</v>
      </c>
    </row>
    <row r="3466" spans="1:22" x14ac:dyDescent="0.3">
      <c r="A3466" t="str">
        <f t="shared" si="108"/>
        <v>QUEIJOSLACTALIS</v>
      </c>
      <c r="B3466" t="str">
        <f t="shared" si="109"/>
        <v>5349105QUEIJOSLACTALIS</v>
      </c>
      <c r="C3466" s="5" t="s">
        <v>226</v>
      </c>
      <c r="D3466" s="5" t="s">
        <v>227</v>
      </c>
      <c r="E3466" s="5" t="s">
        <v>1722</v>
      </c>
      <c r="F3466" s="5">
        <v>5349105</v>
      </c>
      <c r="G3466" s="5" t="s">
        <v>1503</v>
      </c>
      <c r="H3466" s="5" t="s">
        <v>30</v>
      </c>
      <c r="I3466" s="5" t="s">
        <v>22</v>
      </c>
      <c r="J3466" s="5" t="s">
        <v>63</v>
      </c>
      <c r="K3466" s="6">
        <v>0</v>
      </c>
      <c r="L3466" s="7">
        <v>0</v>
      </c>
      <c r="M3466" s="7">
        <v>0</v>
      </c>
      <c r="N3466" s="8">
        <v>0</v>
      </c>
      <c r="O3466" s="8">
        <v>5.0716456463441979</v>
      </c>
      <c r="P3466" s="8">
        <v>0</v>
      </c>
      <c r="Q3466" s="8">
        <v>0</v>
      </c>
      <c r="R3466" s="8">
        <v>0</v>
      </c>
      <c r="S3466" s="8">
        <v>0</v>
      </c>
      <c r="T3466" s="5">
        <v>0</v>
      </c>
      <c r="U3466" s="5">
        <v>0</v>
      </c>
      <c r="V3466" s="5">
        <f>VLOOKUP(A3466,Planilha1!B:E,4,0)</f>
        <v>-1.9171310037550682</v>
      </c>
    </row>
    <row r="3467" spans="1:22" x14ac:dyDescent="0.3">
      <c r="A3467" t="str">
        <f t="shared" si="108"/>
        <v>QUEIJOSLACTALIS</v>
      </c>
      <c r="B3467" t="str">
        <f t="shared" si="109"/>
        <v>5349266QUEIJOSLACTALIS</v>
      </c>
      <c r="C3467" s="5" t="s">
        <v>226</v>
      </c>
      <c r="D3467" s="5" t="s">
        <v>227</v>
      </c>
      <c r="E3467" s="5" t="s">
        <v>1722</v>
      </c>
      <c r="F3467" s="5">
        <v>5349266</v>
      </c>
      <c r="G3467" s="5" t="s">
        <v>532</v>
      </c>
      <c r="H3467" s="5" t="s">
        <v>30</v>
      </c>
      <c r="I3467" s="5" t="s">
        <v>22</v>
      </c>
      <c r="J3467" s="5" t="s">
        <v>63</v>
      </c>
      <c r="K3467" s="6">
        <v>0</v>
      </c>
      <c r="L3467" s="7">
        <v>0</v>
      </c>
      <c r="M3467" s="7">
        <v>0</v>
      </c>
      <c r="N3467" s="8">
        <v>25.349999999999998</v>
      </c>
      <c r="O3467" s="8">
        <v>10.929681291784462</v>
      </c>
      <c r="P3467" s="8">
        <v>0</v>
      </c>
      <c r="Q3467" s="8">
        <v>2</v>
      </c>
      <c r="R3467" s="8">
        <v>0</v>
      </c>
      <c r="S3467" s="8">
        <v>0</v>
      </c>
      <c r="T3467" s="5">
        <v>0</v>
      </c>
      <c r="U3467" s="5">
        <v>0</v>
      </c>
      <c r="V3467" s="5">
        <f>VLOOKUP(A3467,Planilha1!B:E,4,0)</f>
        <v>-1.9171310037550682</v>
      </c>
    </row>
    <row r="3468" spans="1:22" x14ac:dyDescent="0.3">
      <c r="A3468" t="str">
        <f t="shared" si="108"/>
        <v>QUEIJOSLACTALIS</v>
      </c>
      <c r="B3468" t="str">
        <f t="shared" si="109"/>
        <v>5349798QUEIJOSLACTALIS</v>
      </c>
      <c r="C3468" s="5" t="s">
        <v>226</v>
      </c>
      <c r="D3468" s="5" t="s">
        <v>227</v>
      </c>
      <c r="E3468" s="5" t="s">
        <v>1722</v>
      </c>
      <c r="F3468" s="5">
        <v>5349798</v>
      </c>
      <c r="G3468" s="5" t="s">
        <v>533</v>
      </c>
      <c r="H3468" s="5" t="s">
        <v>30</v>
      </c>
      <c r="I3468" s="5" t="s">
        <v>22</v>
      </c>
      <c r="J3468" s="5" t="s">
        <v>63</v>
      </c>
      <c r="K3468" s="6">
        <v>0</v>
      </c>
      <c r="L3468" s="7">
        <v>0</v>
      </c>
      <c r="M3468" s="7">
        <v>0</v>
      </c>
      <c r="N3468" s="8">
        <v>4.8</v>
      </c>
      <c r="O3468" s="8">
        <v>2.6782847795300824</v>
      </c>
      <c r="P3468" s="8">
        <v>0</v>
      </c>
      <c r="Q3468" s="8">
        <v>4.8</v>
      </c>
      <c r="R3468" s="8">
        <v>0</v>
      </c>
      <c r="S3468" s="8">
        <v>0</v>
      </c>
      <c r="T3468" s="5">
        <v>0</v>
      </c>
      <c r="U3468" s="5">
        <v>0</v>
      </c>
      <c r="V3468" s="5">
        <f>VLOOKUP(A3468,Planilha1!B:E,4,0)</f>
        <v>-1.9171310037550682</v>
      </c>
    </row>
    <row r="3469" spans="1:22" x14ac:dyDescent="0.3">
      <c r="A3469" t="str">
        <f t="shared" si="108"/>
        <v>QUEIJOSLACTALIS</v>
      </c>
      <c r="B3469" t="str">
        <f t="shared" si="109"/>
        <v>5349879QUEIJOSLACTALIS</v>
      </c>
      <c r="C3469" s="5" t="s">
        <v>226</v>
      </c>
      <c r="D3469" s="5" t="s">
        <v>227</v>
      </c>
      <c r="E3469" s="5" t="s">
        <v>1722</v>
      </c>
      <c r="F3469" s="5">
        <v>5349879</v>
      </c>
      <c r="G3469" s="5" t="s">
        <v>534</v>
      </c>
      <c r="H3469" s="5" t="s">
        <v>30</v>
      </c>
      <c r="I3469" s="5" t="s">
        <v>22</v>
      </c>
      <c r="J3469" s="5" t="s">
        <v>63</v>
      </c>
      <c r="K3469" s="6">
        <v>0</v>
      </c>
      <c r="L3469" s="7">
        <v>0</v>
      </c>
      <c r="M3469" s="7">
        <v>0</v>
      </c>
      <c r="N3469" s="8">
        <v>2.3333333333333335</v>
      </c>
      <c r="O3469" s="8">
        <v>1.4588104331057468</v>
      </c>
      <c r="P3469" s="8">
        <v>0</v>
      </c>
      <c r="Q3469" s="8">
        <v>0</v>
      </c>
      <c r="R3469" s="8">
        <v>0</v>
      </c>
      <c r="S3469" s="8">
        <v>0</v>
      </c>
      <c r="T3469" s="5">
        <v>0</v>
      </c>
      <c r="U3469" s="5">
        <v>0</v>
      </c>
      <c r="V3469" s="5">
        <f>VLOOKUP(A3469,Planilha1!B:E,4,0)</f>
        <v>-1.9171310037550682</v>
      </c>
    </row>
    <row r="3470" spans="1:22" x14ac:dyDescent="0.3">
      <c r="A3470" t="str">
        <f t="shared" si="108"/>
        <v>QUEIJOSLACTALIS</v>
      </c>
      <c r="B3470" t="str">
        <f t="shared" si="109"/>
        <v>5350398QUEIJOSLACTALIS</v>
      </c>
      <c r="C3470" s="5" t="s">
        <v>226</v>
      </c>
      <c r="D3470" s="5" t="s">
        <v>227</v>
      </c>
      <c r="E3470" s="5" t="s">
        <v>1722</v>
      </c>
      <c r="F3470" s="5">
        <v>5350398</v>
      </c>
      <c r="G3470" s="5" t="s">
        <v>539</v>
      </c>
      <c r="H3470" s="5" t="s">
        <v>30</v>
      </c>
      <c r="I3470" s="5" t="s">
        <v>22</v>
      </c>
      <c r="J3470" s="5" t="s">
        <v>63</v>
      </c>
      <c r="K3470" s="6">
        <v>0</v>
      </c>
      <c r="L3470" s="7">
        <v>0</v>
      </c>
      <c r="M3470" s="7">
        <v>0</v>
      </c>
      <c r="N3470" s="8">
        <v>0</v>
      </c>
      <c r="O3470" s="8">
        <v>3.2139417354360984</v>
      </c>
      <c r="P3470" s="8">
        <v>0</v>
      </c>
      <c r="Q3470" s="8">
        <v>0</v>
      </c>
      <c r="R3470" s="8">
        <v>0</v>
      </c>
      <c r="S3470" s="8">
        <v>0</v>
      </c>
      <c r="T3470" s="5">
        <v>0</v>
      </c>
      <c r="U3470" s="5">
        <v>0</v>
      </c>
      <c r="V3470" s="5">
        <f>VLOOKUP(A3470,Planilha1!B:E,4,0)</f>
        <v>-1.9171310037550682</v>
      </c>
    </row>
    <row r="3471" spans="1:22" x14ac:dyDescent="0.3">
      <c r="A3471" t="str">
        <f t="shared" si="108"/>
        <v>QUEIJOSLACTALIS</v>
      </c>
      <c r="B3471" t="str">
        <f t="shared" si="109"/>
        <v>5351315QUEIJOSLACTALIS</v>
      </c>
      <c r="C3471" s="5" t="s">
        <v>226</v>
      </c>
      <c r="D3471" s="5" t="s">
        <v>227</v>
      </c>
      <c r="E3471" s="5" t="s">
        <v>1722</v>
      </c>
      <c r="F3471" s="5">
        <v>5351315</v>
      </c>
      <c r="G3471" s="5" t="s">
        <v>1376</v>
      </c>
      <c r="H3471" s="5" t="s">
        <v>30</v>
      </c>
      <c r="I3471" s="5" t="s">
        <v>22</v>
      </c>
      <c r="J3471" s="5" t="s">
        <v>63</v>
      </c>
      <c r="K3471" s="6">
        <v>0</v>
      </c>
      <c r="L3471" s="7">
        <v>0</v>
      </c>
      <c r="M3471" s="7">
        <v>0</v>
      </c>
      <c r="N3471" s="8">
        <v>3.8699999999999997</v>
      </c>
      <c r="O3471" s="8">
        <v>0</v>
      </c>
      <c r="P3471" s="8">
        <v>0</v>
      </c>
      <c r="Q3471" s="8">
        <v>0</v>
      </c>
      <c r="R3471" s="8">
        <v>0</v>
      </c>
      <c r="S3471" s="8">
        <v>0</v>
      </c>
      <c r="T3471" s="5">
        <v>0</v>
      </c>
      <c r="U3471" s="5">
        <v>0</v>
      </c>
      <c r="V3471" s="5">
        <f>VLOOKUP(A3471,Planilha1!B:E,4,0)</f>
        <v>-1.9171310037550682</v>
      </c>
    </row>
    <row r="3472" spans="1:22" x14ac:dyDescent="0.3">
      <c r="A3472" t="str">
        <f t="shared" si="108"/>
        <v>QUEIJOSLACTALIS</v>
      </c>
      <c r="B3472" t="str">
        <f t="shared" si="109"/>
        <v>5351617QUEIJOSLACTALIS</v>
      </c>
      <c r="C3472" s="5" t="s">
        <v>226</v>
      </c>
      <c r="D3472" s="5" t="s">
        <v>227</v>
      </c>
      <c r="E3472" s="5" t="s">
        <v>1722</v>
      </c>
      <c r="F3472" s="5">
        <v>5351617</v>
      </c>
      <c r="G3472" s="5" t="s">
        <v>373</v>
      </c>
      <c r="H3472" s="5" t="s">
        <v>30</v>
      </c>
      <c r="I3472" s="5" t="s">
        <v>22</v>
      </c>
      <c r="J3472" s="5" t="s">
        <v>63</v>
      </c>
      <c r="K3472" s="6">
        <v>0</v>
      </c>
      <c r="L3472" s="7">
        <v>0</v>
      </c>
      <c r="M3472" s="7">
        <v>0</v>
      </c>
      <c r="N3472" s="8">
        <v>0.5</v>
      </c>
      <c r="O3472" s="8">
        <v>0.84337478163925983</v>
      </c>
      <c r="P3472" s="8">
        <v>0</v>
      </c>
      <c r="Q3472" s="8">
        <v>0</v>
      </c>
      <c r="R3472" s="8">
        <v>0</v>
      </c>
      <c r="S3472" s="8">
        <v>0</v>
      </c>
      <c r="T3472" s="5">
        <v>0</v>
      </c>
      <c r="U3472" s="5">
        <v>0</v>
      </c>
      <c r="V3472" s="5">
        <f>VLOOKUP(A3472,Planilha1!B:E,4,0)</f>
        <v>-1.9171310037550682</v>
      </c>
    </row>
    <row r="3473" spans="1:22" x14ac:dyDescent="0.3">
      <c r="A3473" t="str">
        <f t="shared" si="108"/>
        <v>QUEIJOSLACTALIS</v>
      </c>
      <c r="B3473" t="str">
        <f t="shared" si="109"/>
        <v>5352129QUEIJOSLACTALIS</v>
      </c>
      <c r="C3473" s="5" t="s">
        <v>226</v>
      </c>
      <c r="D3473" s="5" t="s">
        <v>227</v>
      </c>
      <c r="E3473" s="5" t="s">
        <v>1722</v>
      </c>
      <c r="F3473" s="5">
        <v>5352129</v>
      </c>
      <c r="G3473" s="5" t="s">
        <v>1600</v>
      </c>
      <c r="H3473" s="5" t="s">
        <v>30</v>
      </c>
      <c r="I3473" s="5" t="s">
        <v>22</v>
      </c>
      <c r="J3473" s="5" t="s">
        <v>63</v>
      </c>
      <c r="K3473" s="6">
        <v>0</v>
      </c>
      <c r="L3473" s="7">
        <v>0</v>
      </c>
      <c r="M3473" s="7">
        <v>0</v>
      </c>
      <c r="N3473" s="8">
        <v>1.1199999999999999</v>
      </c>
      <c r="O3473" s="8">
        <v>2.8549376054139808</v>
      </c>
      <c r="P3473" s="8">
        <v>0</v>
      </c>
      <c r="Q3473" s="8">
        <v>0</v>
      </c>
      <c r="R3473" s="8">
        <v>0</v>
      </c>
      <c r="S3473" s="8">
        <v>0</v>
      </c>
      <c r="T3473" s="5">
        <v>0</v>
      </c>
      <c r="U3473" s="5">
        <v>3</v>
      </c>
      <c r="V3473" s="5">
        <f>VLOOKUP(A3473,Planilha1!B:E,4,0)</f>
        <v>-1.9171310037550682</v>
      </c>
    </row>
    <row r="3474" spans="1:22" x14ac:dyDescent="0.3">
      <c r="A3474" t="str">
        <f t="shared" si="108"/>
        <v>QUEIJOSLACTALIS</v>
      </c>
      <c r="B3474" t="str">
        <f t="shared" si="109"/>
        <v>5352493QUEIJOSLACTALIS</v>
      </c>
      <c r="C3474" s="5" t="s">
        <v>226</v>
      </c>
      <c r="D3474" s="5" t="s">
        <v>227</v>
      </c>
      <c r="E3474" s="5" t="s">
        <v>1722</v>
      </c>
      <c r="F3474" s="5">
        <v>5352493</v>
      </c>
      <c r="G3474" s="5" t="s">
        <v>693</v>
      </c>
      <c r="H3474" s="5" t="s">
        <v>30</v>
      </c>
      <c r="I3474" s="5" t="s">
        <v>22</v>
      </c>
      <c r="J3474" s="5" t="s">
        <v>63</v>
      </c>
      <c r="K3474" s="6">
        <v>0</v>
      </c>
      <c r="L3474" s="7">
        <v>0</v>
      </c>
      <c r="M3474" s="7">
        <v>0</v>
      </c>
      <c r="N3474" s="8">
        <v>0</v>
      </c>
      <c r="O3474" s="8">
        <v>3.3564036917940814</v>
      </c>
      <c r="P3474" s="8">
        <v>0</v>
      </c>
      <c r="Q3474" s="8">
        <v>0</v>
      </c>
      <c r="R3474" s="8">
        <v>0</v>
      </c>
      <c r="S3474" s="8">
        <v>0</v>
      </c>
      <c r="T3474" s="5">
        <v>0</v>
      </c>
      <c r="U3474" s="5">
        <v>0</v>
      </c>
      <c r="V3474" s="5">
        <f>VLOOKUP(A3474,Planilha1!B:E,4,0)</f>
        <v>-1.9171310037550682</v>
      </c>
    </row>
    <row r="3475" spans="1:22" x14ac:dyDescent="0.3">
      <c r="A3475" t="str">
        <f t="shared" si="108"/>
        <v>QUEIJOSLACTALIS</v>
      </c>
      <c r="B3475" t="str">
        <f t="shared" si="109"/>
        <v>5352823QUEIJOSLACTALIS</v>
      </c>
      <c r="C3475" s="5" t="s">
        <v>226</v>
      </c>
      <c r="D3475" s="5" t="s">
        <v>227</v>
      </c>
      <c r="E3475" s="5" t="s">
        <v>1722</v>
      </c>
      <c r="F3475" s="5">
        <v>5352823</v>
      </c>
      <c r="G3475" s="5" t="s">
        <v>1601</v>
      </c>
      <c r="H3475" s="5" t="s">
        <v>30</v>
      </c>
      <c r="I3475" s="5" t="s">
        <v>22</v>
      </c>
      <c r="J3475" s="5" t="s">
        <v>63</v>
      </c>
      <c r="K3475" s="6">
        <v>0</v>
      </c>
      <c r="L3475" s="7">
        <v>0</v>
      </c>
      <c r="M3475" s="7">
        <v>0</v>
      </c>
      <c r="N3475" s="8">
        <v>0</v>
      </c>
      <c r="O3475" s="8">
        <v>0.67811891226399945</v>
      </c>
      <c r="P3475" s="8">
        <v>0</v>
      </c>
      <c r="Q3475" s="8">
        <v>0</v>
      </c>
      <c r="R3475" s="8">
        <v>0</v>
      </c>
      <c r="S3475" s="8">
        <v>0</v>
      </c>
      <c r="T3475" s="5">
        <v>0</v>
      </c>
      <c r="U3475" s="5">
        <v>0</v>
      </c>
      <c r="V3475" s="5">
        <f>VLOOKUP(A3475,Planilha1!B:E,4,0)</f>
        <v>-1.9171310037550682</v>
      </c>
    </row>
    <row r="3476" spans="1:22" x14ac:dyDescent="0.3">
      <c r="A3476" t="str">
        <f t="shared" si="108"/>
        <v>QUEIJOSLACTALIS</v>
      </c>
      <c r="B3476" t="str">
        <f t="shared" si="109"/>
        <v>5352925QUEIJOSLACTALIS</v>
      </c>
      <c r="C3476" s="5" t="s">
        <v>16</v>
      </c>
      <c r="D3476" s="5" t="s">
        <v>17</v>
      </c>
      <c r="E3476" s="5" t="s">
        <v>66</v>
      </c>
      <c r="F3476" s="5">
        <v>5352925</v>
      </c>
      <c r="G3476" s="5" t="s">
        <v>1602</v>
      </c>
      <c r="H3476" s="5" t="s">
        <v>25</v>
      </c>
      <c r="I3476" s="5" t="s">
        <v>22</v>
      </c>
      <c r="J3476" s="5" t="s">
        <v>63</v>
      </c>
      <c r="K3476" s="6">
        <v>0</v>
      </c>
      <c r="L3476" s="7">
        <v>0</v>
      </c>
      <c r="M3476" s="7">
        <v>0</v>
      </c>
      <c r="N3476" s="8">
        <v>0</v>
      </c>
      <c r="O3476" s="8">
        <v>826.71243122363023</v>
      </c>
      <c r="P3476" s="8">
        <v>0</v>
      </c>
      <c r="Q3476" s="8">
        <v>0</v>
      </c>
      <c r="R3476" s="8">
        <v>0</v>
      </c>
      <c r="S3476" s="8">
        <v>0</v>
      </c>
      <c r="T3476" s="5">
        <v>0</v>
      </c>
      <c r="U3476" s="5">
        <v>0</v>
      </c>
      <c r="V3476" s="5">
        <f>VLOOKUP(A3476,Planilha1!B:E,4,0)</f>
        <v>-1.9171310037550682</v>
      </c>
    </row>
    <row r="3477" spans="1:22" x14ac:dyDescent="0.3">
      <c r="A3477" t="str">
        <f t="shared" si="108"/>
        <v>QUEIJOSLACTALIS</v>
      </c>
      <c r="B3477" t="str">
        <f t="shared" si="109"/>
        <v>5352994QUEIJOSLACTALIS</v>
      </c>
      <c r="C3477" s="5" t="s">
        <v>226</v>
      </c>
      <c r="D3477" s="5" t="s">
        <v>227</v>
      </c>
      <c r="E3477" s="5" t="s">
        <v>1722</v>
      </c>
      <c r="F3477" s="5">
        <v>5352994</v>
      </c>
      <c r="G3477" s="5" t="s">
        <v>1603</v>
      </c>
      <c r="H3477" s="5" t="s">
        <v>30</v>
      </c>
      <c r="I3477" s="5" t="s">
        <v>22</v>
      </c>
      <c r="J3477" s="5" t="s">
        <v>63</v>
      </c>
      <c r="K3477" s="6">
        <v>0</v>
      </c>
      <c r="L3477" s="7">
        <v>0</v>
      </c>
      <c r="M3477" s="7">
        <v>0</v>
      </c>
      <c r="N3477" s="8">
        <v>3.89</v>
      </c>
      <c r="O3477" s="8">
        <v>0</v>
      </c>
      <c r="P3477" s="8">
        <v>0</v>
      </c>
      <c r="Q3477" s="8">
        <v>0</v>
      </c>
      <c r="R3477" s="8">
        <v>0</v>
      </c>
      <c r="S3477" s="8">
        <v>0</v>
      </c>
      <c r="T3477" s="5">
        <v>0</v>
      </c>
      <c r="U3477" s="5">
        <v>0</v>
      </c>
      <c r="V3477" s="5">
        <f>VLOOKUP(A3477,Planilha1!B:E,4,0)</f>
        <v>-1.9171310037550682</v>
      </c>
    </row>
    <row r="3478" spans="1:22" x14ac:dyDescent="0.3">
      <c r="A3478" t="str">
        <f t="shared" si="108"/>
        <v>QUEIJOSLACTALIS</v>
      </c>
      <c r="B3478" t="str">
        <f t="shared" si="109"/>
        <v>5353431QUEIJOSLACTALIS</v>
      </c>
      <c r="C3478" s="5" t="s">
        <v>226</v>
      </c>
      <c r="D3478" s="5" t="s">
        <v>227</v>
      </c>
      <c r="E3478" s="5" t="s">
        <v>1722</v>
      </c>
      <c r="F3478" s="5">
        <v>5353431</v>
      </c>
      <c r="G3478" s="5" t="s">
        <v>549</v>
      </c>
      <c r="H3478" s="5" t="s">
        <v>30</v>
      </c>
      <c r="I3478" s="5" t="s">
        <v>22</v>
      </c>
      <c r="J3478" s="5" t="s">
        <v>63</v>
      </c>
      <c r="K3478" s="6">
        <v>0</v>
      </c>
      <c r="L3478" s="7">
        <v>0</v>
      </c>
      <c r="M3478" s="7">
        <v>0</v>
      </c>
      <c r="N3478" s="8">
        <v>0</v>
      </c>
      <c r="O3478" s="8">
        <v>2.3477730407795612</v>
      </c>
      <c r="P3478" s="8">
        <v>0</v>
      </c>
      <c r="Q3478" s="8">
        <v>0</v>
      </c>
      <c r="R3478" s="8">
        <v>0</v>
      </c>
      <c r="S3478" s="8">
        <v>0</v>
      </c>
      <c r="T3478" s="5">
        <v>0</v>
      </c>
      <c r="U3478" s="5">
        <v>0</v>
      </c>
      <c r="V3478" s="5">
        <f>VLOOKUP(A3478,Planilha1!B:E,4,0)</f>
        <v>-1.9171310037550682</v>
      </c>
    </row>
    <row r="3479" spans="1:22" x14ac:dyDescent="0.3">
      <c r="A3479" t="str">
        <f t="shared" si="108"/>
        <v>QUEIJOSLACTALIS</v>
      </c>
      <c r="B3479" t="str">
        <f t="shared" si="109"/>
        <v>5353593QUEIJOSLACTALIS</v>
      </c>
      <c r="C3479" s="5" t="s">
        <v>226</v>
      </c>
      <c r="D3479" s="5" t="s">
        <v>227</v>
      </c>
      <c r="E3479" s="5" t="s">
        <v>1722</v>
      </c>
      <c r="F3479" s="5">
        <v>5353593</v>
      </c>
      <c r="G3479" s="5" t="s">
        <v>550</v>
      </c>
      <c r="H3479" s="5" t="s">
        <v>30</v>
      </c>
      <c r="I3479" s="5" t="s">
        <v>22</v>
      </c>
      <c r="J3479" s="5" t="s">
        <v>63</v>
      </c>
      <c r="K3479" s="6">
        <v>0</v>
      </c>
      <c r="L3479" s="7">
        <v>0</v>
      </c>
      <c r="M3479" s="7">
        <v>0</v>
      </c>
      <c r="N3479" s="8">
        <v>0</v>
      </c>
      <c r="O3479" s="8">
        <v>6.4962652099240294</v>
      </c>
      <c r="P3479" s="8">
        <v>0</v>
      </c>
      <c r="Q3479" s="8">
        <v>0</v>
      </c>
      <c r="R3479" s="8">
        <v>0</v>
      </c>
      <c r="S3479" s="8">
        <v>0</v>
      </c>
      <c r="T3479" s="5">
        <v>0</v>
      </c>
      <c r="U3479" s="5">
        <v>0</v>
      </c>
      <c r="V3479" s="5">
        <f>VLOOKUP(A3479,Planilha1!B:E,4,0)</f>
        <v>-1.9171310037550682</v>
      </c>
    </row>
    <row r="3480" spans="1:22" x14ac:dyDescent="0.3">
      <c r="A3480" t="str">
        <f t="shared" si="108"/>
        <v>QUEIJOSLACTALIS</v>
      </c>
      <c r="B3480" t="str">
        <f t="shared" si="109"/>
        <v>5354561QUEIJOSLACTALIS</v>
      </c>
      <c r="C3480" s="5" t="s">
        <v>226</v>
      </c>
      <c r="D3480" s="5" t="s">
        <v>227</v>
      </c>
      <c r="E3480" s="5" t="s">
        <v>1722</v>
      </c>
      <c r="F3480" s="5">
        <v>5354561</v>
      </c>
      <c r="G3480" s="5" t="s">
        <v>250</v>
      </c>
      <c r="H3480" s="5" t="s">
        <v>30</v>
      </c>
      <c r="I3480" s="5" t="s">
        <v>22</v>
      </c>
      <c r="J3480" s="5" t="s">
        <v>63</v>
      </c>
      <c r="K3480" s="6">
        <v>0</v>
      </c>
      <c r="L3480" s="7">
        <v>0</v>
      </c>
      <c r="M3480" s="7">
        <v>0</v>
      </c>
      <c r="N3480" s="8">
        <v>3.9233333333333333</v>
      </c>
      <c r="O3480" s="8">
        <v>0</v>
      </c>
      <c r="P3480" s="8">
        <v>0</v>
      </c>
      <c r="Q3480" s="8">
        <v>0</v>
      </c>
      <c r="R3480" s="8">
        <v>0</v>
      </c>
      <c r="S3480" s="8">
        <v>0</v>
      </c>
      <c r="T3480" s="5">
        <v>0</v>
      </c>
      <c r="U3480" s="5">
        <v>0</v>
      </c>
      <c r="V3480" s="5">
        <f>VLOOKUP(A3480,Planilha1!B:E,4,0)</f>
        <v>-1.9171310037550682</v>
      </c>
    </row>
    <row r="3481" spans="1:22" x14ac:dyDescent="0.3">
      <c r="A3481" t="str">
        <f t="shared" si="108"/>
        <v>QUEIJOSLACTALIS</v>
      </c>
      <c r="B3481" t="str">
        <f t="shared" si="109"/>
        <v>5355119QUEIJOSLACTALIS</v>
      </c>
      <c r="C3481" s="5" t="s">
        <v>226</v>
      </c>
      <c r="D3481" s="5" t="s">
        <v>227</v>
      </c>
      <c r="E3481" s="5" t="s">
        <v>1722</v>
      </c>
      <c r="F3481" s="5">
        <v>5355119</v>
      </c>
      <c r="G3481" s="5" t="s">
        <v>1604</v>
      </c>
      <c r="H3481" s="5" t="s">
        <v>30</v>
      </c>
      <c r="I3481" s="5" t="s">
        <v>22</v>
      </c>
      <c r="J3481" s="5" t="s">
        <v>63</v>
      </c>
      <c r="K3481" s="6">
        <v>0</v>
      </c>
      <c r="L3481" s="7">
        <v>0</v>
      </c>
      <c r="M3481" s="7">
        <v>0</v>
      </c>
      <c r="N3481" s="8">
        <v>23.856666666666666</v>
      </c>
      <c r="O3481" s="8">
        <v>0</v>
      </c>
      <c r="P3481" s="8">
        <v>0</v>
      </c>
      <c r="Q3481" s="8">
        <v>0</v>
      </c>
      <c r="R3481" s="8">
        <v>0</v>
      </c>
      <c r="S3481" s="8">
        <v>0</v>
      </c>
      <c r="T3481" s="5">
        <v>0</v>
      </c>
      <c r="U3481" s="5">
        <v>0</v>
      </c>
      <c r="V3481" s="5">
        <f>VLOOKUP(A3481,Planilha1!B:E,4,0)</f>
        <v>-1.9171310037550682</v>
      </c>
    </row>
    <row r="3482" spans="1:22" x14ac:dyDescent="0.3">
      <c r="A3482" t="str">
        <f t="shared" si="108"/>
        <v>QUEIJOSLACTALIS</v>
      </c>
      <c r="B3482" t="str">
        <f t="shared" si="109"/>
        <v>5355294QUEIJOSLACTALIS</v>
      </c>
      <c r="C3482" s="5" t="s">
        <v>226</v>
      </c>
      <c r="D3482" s="5" t="s">
        <v>227</v>
      </c>
      <c r="E3482" s="5" t="s">
        <v>1722</v>
      </c>
      <c r="F3482" s="5">
        <v>5355294</v>
      </c>
      <c r="G3482" s="5" t="s">
        <v>1605</v>
      </c>
      <c r="H3482" s="5" t="s">
        <v>30</v>
      </c>
      <c r="I3482" s="5" t="s">
        <v>22</v>
      </c>
      <c r="J3482" s="5" t="s">
        <v>63</v>
      </c>
      <c r="K3482" s="6">
        <v>0</v>
      </c>
      <c r="L3482" s="7">
        <v>0</v>
      </c>
      <c r="M3482" s="7">
        <v>0</v>
      </c>
      <c r="N3482" s="8">
        <v>0</v>
      </c>
      <c r="O3482" s="8">
        <v>2.114135432352469</v>
      </c>
      <c r="P3482" s="8">
        <v>0</v>
      </c>
      <c r="Q3482" s="8">
        <v>0</v>
      </c>
      <c r="R3482" s="8">
        <v>0</v>
      </c>
      <c r="S3482" s="8">
        <v>0</v>
      </c>
      <c r="T3482" s="5">
        <v>0</v>
      </c>
      <c r="U3482" s="5">
        <v>0</v>
      </c>
      <c r="V3482" s="5">
        <f>VLOOKUP(A3482,Planilha1!B:E,4,0)</f>
        <v>-1.9171310037550682</v>
      </c>
    </row>
    <row r="3483" spans="1:22" x14ac:dyDescent="0.3">
      <c r="A3483" t="str">
        <f t="shared" si="108"/>
        <v>QUEIJOSLACTALIS</v>
      </c>
      <c r="B3483" t="str">
        <f t="shared" si="109"/>
        <v>5355680QUEIJOSLACTALIS</v>
      </c>
      <c r="C3483" s="5" t="s">
        <v>226</v>
      </c>
      <c r="D3483" s="5" t="s">
        <v>227</v>
      </c>
      <c r="E3483" s="5" t="s">
        <v>1722</v>
      </c>
      <c r="F3483" s="5">
        <v>5355680</v>
      </c>
      <c r="G3483" s="5" t="s">
        <v>251</v>
      </c>
      <c r="H3483" s="5" t="s">
        <v>30</v>
      </c>
      <c r="I3483" s="5" t="s">
        <v>22</v>
      </c>
      <c r="J3483" s="5" t="s">
        <v>63</v>
      </c>
      <c r="K3483" s="6">
        <v>0</v>
      </c>
      <c r="L3483" s="7">
        <v>0</v>
      </c>
      <c r="M3483" s="7">
        <v>0</v>
      </c>
      <c r="N3483" s="8">
        <v>3.9133333333333336</v>
      </c>
      <c r="O3483" s="8">
        <v>3.2424341267076953</v>
      </c>
      <c r="P3483" s="8">
        <v>0</v>
      </c>
      <c r="Q3483" s="8">
        <v>0</v>
      </c>
      <c r="R3483" s="8">
        <v>0</v>
      </c>
      <c r="S3483" s="8">
        <v>0</v>
      </c>
      <c r="T3483" s="5">
        <v>0</v>
      </c>
      <c r="U3483" s="5">
        <v>0</v>
      </c>
      <c r="V3483" s="5">
        <f>VLOOKUP(A3483,Planilha1!B:E,4,0)</f>
        <v>-1.9171310037550682</v>
      </c>
    </row>
    <row r="3484" spans="1:22" x14ac:dyDescent="0.3">
      <c r="A3484" t="str">
        <f t="shared" si="108"/>
        <v>QUEIJOSLACTALIS</v>
      </c>
      <c r="B3484" t="str">
        <f t="shared" si="109"/>
        <v>5356296QUEIJOSLACTALIS</v>
      </c>
      <c r="C3484" s="5" t="s">
        <v>226</v>
      </c>
      <c r="D3484" s="5" t="s">
        <v>227</v>
      </c>
      <c r="E3484" s="5" t="s">
        <v>1722</v>
      </c>
      <c r="F3484" s="5">
        <v>5356296</v>
      </c>
      <c r="G3484" s="5" t="s">
        <v>695</v>
      </c>
      <c r="H3484" s="5" t="s">
        <v>30</v>
      </c>
      <c r="I3484" s="5" t="s">
        <v>22</v>
      </c>
      <c r="J3484" s="5" t="s">
        <v>63</v>
      </c>
      <c r="K3484" s="6">
        <v>0</v>
      </c>
      <c r="L3484" s="7">
        <v>0</v>
      </c>
      <c r="M3484" s="7">
        <v>0</v>
      </c>
      <c r="N3484" s="8">
        <v>7.71</v>
      </c>
      <c r="O3484" s="8">
        <v>0</v>
      </c>
      <c r="P3484" s="8">
        <v>0</v>
      </c>
      <c r="Q3484" s="8">
        <v>0</v>
      </c>
      <c r="R3484" s="8">
        <v>0</v>
      </c>
      <c r="S3484" s="8">
        <v>0</v>
      </c>
      <c r="T3484" s="5">
        <v>0</v>
      </c>
      <c r="U3484" s="5">
        <v>0</v>
      </c>
      <c r="V3484" s="5">
        <f>VLOOKUP(A3484,Planilha1!B:E,4,0)</f>
        <v>-1.9171310037550682</v>
      </c>
    </row>
    <row r="3485" spans="1:22" x14ac:dyDescent="0.3">
      <c r="A3485" t="str">
        <f t="shared" si="108"/>
        <v>QUEIJOSLACTALIS</v>
      </c>
      <c r="B3485" t="str">
        <f t="shared" si="109"/>
        <v>5357099QUEIJOSLACTALIS</v>
      </c>
      <c r="C3485" s="5" t="s">
        <v>226</v>
      </c>
      <c r="D3485" s="5" t="s">
        <v>227</v>
      </c>
      <c r="E3485" s="5" t="s">
        <v>1722</v>
      </c>
      <c r="F3485" s="5">
        <v>5357099</v>
      </c>
      <c r="G3485" s="5" t="s">
        <v>1390</v>
      </c>
      <c r="H3485" s="5" t="s">
        <v>30</v>
      </c>
      <c r="I3485" s="5" t="s">
        <v>22</v>
      </c>
      <c r="J3485" s="5" t="s">
        <v>63</v>
      </c>
      <c r="K3485" s="6">
        <v>0</v>
      </c>
      <c r="L3485" s="7">
        <v>0</v>
      </c>
      <c r="M3485" s="7">
        <v>0</v>
      </c>
      <c r="N3485" s="8">
        <v>1.2</v>
      </c>
      <c r="O3485" s="8">
        <v>0</v>
      </c>
      <c r="P3485" s="8">
        <v>0</v>
      </c>
      <c r="Q3485" s="8">
        <v>0</v>
      </c>
      <c r="R3485" s="8">
        <v>0</v>
      </c>
      <c r="S3485" s="8">
        <v>0</v>
      </c>
      <c r="T3485" s="5">
        <v>0</v>
      </c>
      <c r="U3485" s="5">
        <v>0</v>
      </c>
      <c r="V3485" s="5">
        <f>VLOOKUP(A3485,Planilha1!B:E,4,0)</f>
        <v>-1.9171310037550682</v>
      </c>
    </row>
    <row r="3486" spans="1:22" x14ac:dyDescent="0.3">
      <c r="A3486" t="str">
        <f t="shared" si="108"/>
        <v>QUEIJOSLACTALIS</v>
      </c>
      <c r="B3486" t="str">
        <f t="shared" si="109"/>
        <v>5358596QUEIJOSLACTALIS</v>
      </c>
      <c r="C3486" s="5" t="s">
        <v>226</v>
      </c>
      <c r="D3486" s="5" t="s">
        <v>227</v>
      </c>
      <c r="E3486" s="5" t="s">
        <v>1722</v>
      </c>
      <c r="F3486" s="5">
        <v>5358596</v>
      </c>
      <c r="G3486" s="5" t="s">
        <v>1402</v>
      </c>
      <c r="H3486" s="5" t="s">
        <v>30</v>
      </c>
      <c r="I3486" s="5" t="s">
        <v>22</v>
      </c>
      <c r="J3486" s="5" t="s">
        <v>63</v>
      </c>
      <c r="K3486" s="6">
        <v>0</v>
      </c>
      <c r="L3486" s="7">
        <v>0</v>
      </c>
      <c r="M3486" s="7">
        <v>0</v>
      </c>
      <c r="N3486" s="8">
        <v>3.89</v>
      </c>
      <c r="O3486" s="8">
        <v>0</v>
      </c>
      <c r="P3486" s="8">
        <v>0</v>
      </c>
      <c r="Q3486" s="8">
        <v>0</v>
      </c>
      <c r="R3486" s="8">
        <v>0</v>
      </c>
      <c r="S3486" s="8">
        <v>0</v>
      </c>
      <c r="T3486" s="5">
        <v>0</v>
      </c>
      <c r="U3486" s="5">
        <v>0</v>
      </c>
      <c r="V3486" s="5">
        <f>VLOOKUP(A3486,Planilha1!B:E,4,0)</f>
        <v>-1.9171310037550682</v>
      </c>
    </row>
    <row r="3487" spans="1:22" x14ac:dyDescent="0.3">
      <c r="A3487" t="str">
        <f t="shared" si="108"/>
        <v>QUEIJOSLACTALIS</v>
      </c>
      <c r="B3487" t="str">
        <f t="shared" si="109"/>
        <v>5358864QUEIJOSLACTALIS</v>
      </c>
      <c r="C3487" s="5" t="s">
        <v>226</v>
      </c>
      <c r="D3487" s="5" t="s">
        <v>227</v>
      </c>
      <c r="E3487" s="5" t="s">
        <v>1722</v>
      </c>
      <c r="F3487" s="5">
        <v>5358864</v>
      </c>
      <c r="G3487" s="5" t="s">
        <v>1473</v>
      </c>
      <c r="H3487" s="5" t="s">
        <v>30</v>
      </c>
      <c r="I3487" s="5" t="s">
        <v>22</v>
      </c>
      <c r="J3487" s="5" t="s">
        <v>63</v>
      </c>
      <c r="K3487" s="6">
        <v>0</v>
      </c>
      <c r="L3487" s="7">
        <v>0</v>
      </c>
      <c r="M3487" s="7">
        <v>0</v>
      </c>
      <c r="N3487" s="8">
        <v>0</v>
      </c>
      <c r="O3487" s="8">
        <v>0</v>
      </c>
      <c r="P3487" s="8">
        <v>0</v>
      </c>
      <c r="Q3487" s="8">
        <v>0</v>
      </c>
      <c r="R3487" s="8">
        <v>0</v>
      </c>
      <c r="S3487" s="8">
        <v>0</v>
      </c>
      <c r="T3487" s="5">
        <v>0</v>
      </c>
      <c r="U3487" s="5">
        <v>0</v>
      </c>
      <c r="V3487" s="5">
        <f>VLOOKUP(A3487,Planilha1!B:E,4,0)</f>
        <v>-1.9171310037550682</v>
      </c>
    </row>
    <row r="3488" spans="1:22" x14ac:dyDescent="0.3">
      <c r="A3488" t="str">
        <f t="shared" si="108"/>
        <v>QUEIJOSLACTALIS</v>
      </c>
      <c r="B3488" t="str">
        <f t="shared" si="109"/>
        <v>5359027QUEIJOSLACTALIS</v>
      </c>
      <c r="C3488" s="5" t="s">
        <v>226</v>
      </c>
      <c r="D3488" s="5" t="s">
        <v>227</v>
      </c>
      <c r="E3488" s="5" t="s">
        <v>1722</v>
      </c>
      <c r="F3488" s="5">
        <v>5359027</v>
      </c>
      <c r="G3488" s="5" t="s">
        <v>1406</v>
      </c>
      <c r="H3488" s="5" t="s">
        <v>30</v>
      </c>
      <c r="I3488" s="5" t="s">
        <v>22</v>
      </c>
      <c r="J3488" s="5" t="s">
        <v>63</v>
      </c>
      <c r="K3488" s="6">
        <v>0</v>
      </c>
      <c r="L3488" s="7">
        <v>0</v>
      </c>
      <c r="M3488" s="7">
        <v>0</v>
      </c>
      <c r="N3488" s="8">
        <v>3.77</v>
      </c>
      <c r="O3488" s="8">
        <v>0</v>
      </c>
      <c r="P3488" s="8">
        <v>0</v>
      </c>
      <c r="Q3488" s="8">
        <v>0</v>
      </c>
      <c r="R3488" s="8">
        <v>0</v>
      </c>
      <c r="S3488" s="8">
        <v>0</v>
      </c>
      <c r="T3488" s="5">
        <v>0</v>
      </c>
      <c r="U3488" s="5">
        <v>0</v>
      </c>
      <c r="V3488" s="5">
        <f>VLOOKUP(A3488,Planilha1!B:E,4,0)</f>
        <v>-1.9171310037550682</v>
      </c>
    </row>
    <row r="3489" spans="1:22" x14ac:dyDescent="0.3">
      <c r="A3489" t="str">
        <f t="shared" si="108"/>
        <v>QUEIJOSLACTALIS</v>
      </c>
      <c r="B3489" t="str">
        <f t="shared" si="109"/>
        <v>5359180QUEIJOSLACTALIS</v>
      </c>
      <c r="C3489" s="5" t="s">
        <v>226</v>
      </c>
      <c r="D3489" s="5" t="s">
        <v>227</v>
      </c>
      <c r="E3489" s="5" t="s">
        <v>1722</v>
      </c>
      <c r="F3489" s="5">
        <v>5359180</v>
      </c>
      <c r="G3489" s="5" t="s">
        <v>1562</v>
      </c>
      <c r="H3489" s="5" t="s">
        <v>30</v>
      </c>
      <c r="I3489" s="5" t="s">
        <v>22</v>
      </c>
      <c r="J3489" s="5" t="s">
        <v>63</v>
      </c>
      <c r="K3489" s="6">
        <v>0</v>
      </c>
      <c r="L3489" s="7">
        <v>0</v>
      </c>
      <c r="M3489" s="7">
        <v>0</v>
      </c>
      <c r="N3489" s="8">
        <v>3.81</v>
      </c>
      <c r="O3489" s="8">
        <v>0</v>
      </c>
      <c r="P3489" s="8">
        <v>0</v>
      </c>
      <c r="Q3489" s="8">
        <v>0</v>
      </c>
      <c r="R3489" s="8">
        <v>0</v>
      </c>
      <c r="S3489" s="8">
        <v>0</v>
      </c>
      <c r="T3489" s="5">
        <v>0</v>
      </c>
      <c r="U3489" s="5">
        <v>0</v>
      </c>
      <c r="V3489" s="5">
        <f>VLOOKUP(A3489,Planilha1!B:E,4,0)</f>
        <v>-1.9171310037550682</v>
      </c>
    </row>
    <row r="3490" spans="1:22" x14ac:dyDescent="0.3">
      <c r="A3490" t="str">
        <f t="shared" si="108"/>
        <v>QUEIJOSLACTALIS</v>
      </c>
      <c r="B3490" t="str">
        <f t="shared" si="109"/>
        <v>5359707QUEIJOSLACTALIS</v>
      </c>
      <c r="C3490" s="5" t="s">
        <v>226</v>
      </c>
      <c r="D3490" s="5" t="s">
        <v>227</v>
      </c>
      <c r="E3490" s="5" t="s">
        <v>1722</v>
      </c>
      <c r="F3490" s="5">
        <v>5359707</v>
      </c>
      <c r="G3490" s="5" t="s">
        <v>1192</v>
      </c>
      <c r="H3490" s="5" t="s">
        <v>30</v>
      </c>
      <c r="I3490" s="5" t="s">
        <v>22</v>
      </c>
      <c r="J3490" s="5" t="s">
        <v>63</v>
      </c>
      <c r="K3490" s="6">
        <v>0</v>
      </c>
      <c r="L3490" s="7">
        <v>0</v>
      </c>
      <c r="M3490" s="7">
        <v>0</v>
      </c>
      <c r="N3490" s="8">
        <v>49.513333333333335</v>
      </c>
      <c r="O3490" s="8">
        <v>0</v>
      </c>
      <c r="P3490" s="8">
        <v>0</v>
      </c>
      <c r="Q3490" s="8">
        <v>0</v>
      </c>
      <c r="R3490" s="8">
        <v>0</v>
      </c>
      <c r="S3490" s="8">
        <v>0</v>
      </c>
      <c r="T3490" s="5">
        <v>0</v>
      </c>
      <c r="U3490" s="5">
        <v>0</v>
      </c>
      <c r="V3490" s="5">
        <f>VLOOKUP(A3490,Planilha1!B:E,4,0)</f>
        <v>-1.9171310037550682</v>
      </c>
    </row>
    <row r="3491" spans="1:22" x14ac:dyDescent="0.3">
      <c r="A3491" t="str">
        <f t="shared" si="108"/>
        <v>QUEIJOSLACTALIS</v>
      </c>
      <c r="B3491" t="str">
        <f t="shared" si="109"/>
        <v>5360437QUEIJOSLACTALIS</v>
      </c>
      <c r="C3491" s="5" t="s">
        <v>226</v>
      </c>
      <c r="D3491" s="5" t="s">
        <v>227</v>
      </c>
      <c r="E3491" s="5" t="s">
        <v>1722</v>
      </c>
      <c r="F3491" s="5">
        <v>5360437</v>
      </c>
      <c r="G3491" s="5" t="s">
        <v>1474</v>
      </c>
      <c r="H3491" s="5" t="s">
        <v>30</v>
      </c>
      <c r="I3491" s="5" t="s">
        <v>22</v>
      </c>
      <c r="J3491" s="5" t="s">
        <v>63</v>
      </c>
      <c r="K3491" s="6">
        <v>0</v>
      </c>
      <c r="L3491" s="7">
        <v>0</v>
      </c>
      <c r="M3491" s="7">
        <v>0</v>
      </c>
      <c r="N3491" s="8">
        <v>3.83</v>
      </c>
      <c r="O3491" s="8">
        <v>0</v>
      </c>
      <c r="P3491" s="8">
        <v>0</v>
      </c>
      <c r="Q3491" s="8">
        <v>0</v>
      </c>
      <c r="R3491" s="8">
        <v>0</v>
      </c>
      <c r="S3491" s="8">
        <v>0</v>
      </c>
      <c r="T3491" s="5">
        <v>0</v>
      </c>
      <c r="U3491" s="5">
        <v>0</v>
      </c>
      <c r="V3491" s="5">
        <f>VLOOKUP(A3491,Planilha1!B:E,4,0)</f>
        <v>-1.9171310037550682</v>
      </c>
    </row>
    <row r="3492" spans="1:22" x14ac:dyDescent="0.3">
      <c r="A3492" t="str">
        <f t="shared" si="108"/>
        <v>QUEIJOSLACTALIS</v>
      </c>
      <c r="B3492" t="str">
        <f t="shared" si="109"/>
        <v>5360679QUEIJOSLACTALIS</v>
      </c>
      <c r="C3492" s="5" t="s">
        <v>226</v>
      </c>
      <c r="D3492" s="5" t="s">
        <v>227</v>
      </c>
      <c r="E3492" s="5" t="s">
        <v>1722</v>
      </c>
      <c r="F3492" s="5">
        <v>5360679</v>
      </c>
      <c r="G3492" s="5" t="s">
        <v>1564</v>
      </c>
      <c r="H3492" s="5" t="s">
        <v>30</v>
      </c>
      <c r="I3492" s="5" t="s">
        <v>22</v>
      </c>
      <c r="J3492" s="5" t="s">
        <v>63</v>
      </c>
      <c r="K3492" s="6">
        <v>0</v>
      </c>
      <c r="L3492" s="7">
        <v>0</v>
      </c>
      <c r="M3492" s="7">
        <v>0</v>
      </c>
      <c r="N3492" s="8">
        <v>15.646666666666667</v>
      </c>
      <c r="O3492" s="8">
        <v>0</v>
      </c>
      <c r="P3492" s="8">
        <v>0</v>
      </c>
      <c r="Q3492" s="8">
        <v>0</v>
      </c>
      <c r="R3492" s="8">
        <v>0</v>
      </c>
      <c r="S3492" s="8">
        <v>0</v>
      </c>
      <c r="T3492" s="5">
        <v>0</v>
      </c>
      <c r="U3492" s="5">
        <v>0</v>
      </c>
      <c r="V3492" s="5">
        <f>VLOOKUP(A3492,Planilha1!B:E,4,0)</f>
        <v>-1.9171310037550682</v>
      </c>
    </row>
    <row r="3493" spans="1:22" x14ac:dyDescent="0.3">
      <c r="A3493" t="str">
        <f t="shared" si="108"/>
        <v>QUEIJOSLACTALIS</v>
      </c>
      <c r="B3493" t="str">
        <f t="shared" si="109"/>
        <v>5360771QUEIJOSLACTALIS</v>
      </c>
      <c r="C3493" s="5" t="s">
        <v>226</v>
      </c>
      <c r="D3493" s="5" t="s">
        <v>227</v>
      </c>
      <c r="E3493" s="5" t="s">
        <v>1722</v>
      </c>
      <c r="F3493" s="5">
        <v>5360771</v>
      </c>
      <c r="G3493" s="5" t="s">
        <v>1606</v>
      </c>
      <c r="H3493" s="5" t="s">
        <v>30</v>
      </c>
      <c r="I3493" s="5" t="s">
        <v>22</v>
      </c>
      <c r="J3493" s="5" t="s">
        <v>63</v>
      </c>
      <c r="K3493" s="6">
        <v>0</v>
      </c>
      <c r="L3493" s="7">
        <v>0</v>
      </c>
      <c r="M3493" s="7">
        <v>0</v>
      </c>
      <c r="N3493" s="8">
        <v>4.0333333333333332</v>
      </c>
      <c r="O3493" s="8">
        <v>0</v>
      </c>
      <c r="P3493" s="8">
        <v>0</v>
      </c>
      <c r="Q3493" s="8">
        <v>0</v>
      </c>
      <c r="R3493" s="8">
        <v>0</v>
      </c>
      <c r="S3493" s="8">
        <v>0</v>
      </c>
      <c r="T3493" s="5">
        <v>0</v>
      </c>
      <c r="U3493" s="5">
        <v>0</v>
      </c>
      <c r="V3493" s="5">
        <f>VLOOKUP(A3493,Planilha1!B:E,4,0)</f>
        <v>-1.9171310037550682</v>
      </c>
    </row>
    <row r="3494" spans="1:22" x14ac:dyDescent="0.3">
      <c r="A3494" t="str">
        <f t="shared" si="108"/>
        <v>QUEIJOSLACTALIS</v>
      </c>
      <c r="B3494" t="str">
        <f t="shared" si="109"/>
        <v>5360958QUEIJOSLACTALIS</v>
      </c>
      <c r="C3494" s="5" t="s">
        <v>226</v>
      </c>
      <c r="D3494" s="5" t="s">
        <v>227</v>
      </c>
      <c r="E3494" s="5" t="s">
        <v>1722</v>
      </c>
      <c r="F3494" s="5">
        <v>5360958</v>
      </c>
      <c r="G3494" s="5" t="s">
        <v>1567</v>
      </c>
      <c r="H3494" s="5" t="s">
        <v>30</v>
      </c>
      <c r="I3494" s="5" t="s">
        <v>22</v>
      </c>
      <c r="J3494" s="5" t="s">
        <v>63</v>
      </c>
      <c r="K3494" s="6">
        <v>0</v>
      </c>
      <c r="L3494" s="7">
        <v>0</v>
      </c>
      <c r="M3494" s="7">
        <v>0</v>
      </c>
      <c r="N3494" s="8">
        <v>0.26666666666666666</v>
      </c>
      <c r="O3494" s="8">
        <v>0</v>
      </c>
      <c r="P3494" s="8">
        <v>0</v>
      </c>
      <c r="Q3494" s="8">
        <v>0</v>
      </c>
      <c r="R3494" s="8">
        <v>0</v>
      </c>
      <c r="S3494" s="8">
        <v>0</v>
      </c>
      <c r="T3494" s="5">
        <v>0</v>
      </c>
      <c r="U3494" s="5">
        <v>0</v>
      </c>
      <c r="V3494" s="5">
        <f>VLOOKUP(A3494,Planilha1!B:E,4,0)</f>
        <v>-1.9171310037550682</v>
      </c>
    </row>
    <row r="3495" spans="1:22" x14ac:dyDescent="0.3">
      <c r="A3495" t="str">
        <f t="shared" si="108"/>
        <v>QUEIJOSLACTALIS</v>
      </c>
      <c r="B3495" t="str">
        <f t="shared" si="109"/>
        <v>5361094QUEIJOSLACTALIS</v>
      </c>
      <c r="C3495" s="5" t="s">
        <v>226</v>
      </c>
      <c r="D3495" s="5" t="s">
        <v>227</v>
      </c>
      <c r="E3495" s="5" t="s">
        <v>1722</v>
      </c>
      <c r="F3495" s="5">
        <v>5361094</v>
      </c>
      <c r="G3495" s="5" t="s">
        <v>1510</v>
      </c>
      <c r="H3495" s="5" t="s">
        <v>30</v>
      </c>
      <c r="I3495" s="5" t="s">
        <v>22</v>
      </c>
      <c r="J3495" s="5" t="s">
        <v>63</v>
      </c>
      <c r="K3495" s="6">
        <v>0</v>
      </c>
      <c r="L3495" s="7">
        <v>0</v>
      </c>
      <c r="M3495" s="7">
        <v>0</v>
      </c>
      <c r="N3495" s="8">
        <v>3.1999999999999997</v>
      </c>
      <c r="O3495" s="8">
        <v>0</v>
      </c>
      <c r="P3495" s="8">
        <v>0</v>
      </c>
      <c r="Q3495" s="8">
        <v>0</v>
      </c>
      <c r="R3495" s="8">
        <v>0</v>
      </c>
      <c r="S3495" s="8">
        <v>0</v>
      </c>
      <c r="T3495" s="5">
        <v>0</v>
      </c>
      <c r="U3495" s="5">
        <v>0</v>
      </c>
      <c r="V3495" s="5">
        <f>VLOOKUP(A3495,Planilha1!B:E,4,0)</f>
        <v>-1.9171310037550682</v>
      </c>
    </row>
    <row r="3496" spans="1:22" x14ac:dyDescent="0.3">
      <c r="A3496" t="str">
        <f t="shared" si="108"/>
        <v>QUEIJOSLACTALIS</v>
      </c>
      <c r="B3496" t="str">
        <f t="shared" si="109"/>
        <v>5361873QUEIJOSLACTALIS</v>
      </c>
      <c r="C3496" s="5" t="s">
        <v>226</v>
      </c>
      <c r="D3496" s="5" t="s">
        <v>227</v>
      </c>
      <c r="E3496" s="5" t="s">
        <v>1722</v>
      </c>
      <c r="F3496" s="5">
        <v>5361873</v>
      </c>
      <c r="G3496" s="5" t="s">
        <v>1607</v>
      </c>
      <c r="H3496" s="5" t="s">
        <v>30</v>
      </c>
      <c r="I3496" s="5" t="s">
        <v>22</v>
      </c>
      <c r="J3496" s="5" t="s">
        <v>63</v>
      </c>
      <c r="K3496" s="6">
        <v>0</v>
      </c>
      <c r="L3496" s="7">
        <v>0</v>
      </c>
      <c r="M3496" s="7">
        <v>0</v>
      </c>
      <c r="N3496" s="8">
        <v>7.8866666666666667</v>
      </c>
      <c r="O3496" s="8">
        <v>0</v>
      </c>
      <c r="P3496" s="8">
        <v>0</v>
      </c>
      <c r="Q3496" s="8">
        <v>0</v>
      </c>
      <c r="R3496" s="8">
        <v>0</v>
      </c>
      <c r="S3496" s="8">
        <v>0</v>
      </c>
      <c r="T3496" s="5">
        <v>0</v>
      </c>
      <c r="U3496" s="5">
        <v>0</v>
      </c>
      <c r="V3496" s="5">
        <f>VLOOKUP(A3496,Planilha1!B:E,4,0)</f>
        <v>-1.9171310037550682</v>
      </c>
    </row>
    <row r="3497" spans="1:22" x14ac:dyDescent="0.3">
      <c r="A3497" t="str">
        <f t="shared" si="108"/>
        <v>QUEIJOSLACTALIS</v>
      </c>
      <c r="B3497" t="str">
        <f t="shared" si="109"/>
        <v>5362013QUEIJOSLACTALIS</v>
      </c>
      <c r="C3497" s="5" t="s">
        <v>226</v>
      </c>
      <c r="D3497" s="5" t="s">
        <v>227</v>
      </c>
      <c r="E3497" s="5" t="s">
        <v>1722</v>
      </c>
      <c r="F3497" s="5">
        <v>5362013</v>
      </c>
      <c r="G3497" s="5" t="s">
        <v>1608</v>
      </c>
      <c r="H3497" s="5" t="s">
        <v>30</v>
      </c>
      <c r="I3497" s="5" t="s">
        <v>22</v>
      </c>
      <c r="J3497" s="5" t="s">
        <v>63</v>
      </c>
      <c r="K3497" s="6">
        <v>0</v>
      </c>
      <c r="L3497" s="7">
        <v>0</v>
      </c>
      <c r="M3497" s="7">
        <v>0</v>
      </c>
      <c r="N3497" s="8">
        <v>0</v>
      </c>
      <c r="O3497" s="8">
        <v>0</v>
      </c>
      <c r="P3497" s="8">
        <v>0</v>
      </c>
      <c r="Q3497" s="8">
        <v>0</v>
      </c>
      <c r="R3497" s="8">
        <v>0</v>
      </c>
      <c r="S3497" s="8">
        <v>0</v>
      </c>
      <c r="T3497" s="5">
        <v>0</v>
      </c>
      <c r="U3497" s="5">
        <v>0</v>
      </c>
      <c r="V3497" s="5">
        <f>VLOOKUP(A3497,Planilha1!B:E,4,0)</f>
        <v>-1.9171310037550682</v>
      </c>
    </row>
    <row r="3498" spans="1:22" x14ac:dyDescent="0.3">
      <c r="A3498" t="str">
        <f t="shared" si="108"/>
        <v>QUEIJOSLACTALIS</v>
      </c>
      <c r="B3498" t="str">
        <f t="shared" si="109"/>
        <v>5363097QUEIJOSLACTALIS</v>
      </c>
      <c r="C3498" s="5" t="s">
        <v>226</v>
      </c>
      <c r="D3498" s="5" t="s">
        <v>227</v>
      </c>
      <c r="E3498" s="5" t="s">
        <v>1722</v>
      </c>
      <c r="F3498" s="5">
        <v>5363097</v>
      </c>
      <c r="G3498" s="5" t="s">
        <v>1439</v>
      </c>
      <c r="H3498" s="5" t="s">
        <v>30</v>
      </c>
      <c r="I3498" s="5" t="s">
        <v>22</v>
      </c>
      <c r="J3498" s="5" t="s">
        <v>63</v>
      </c>
      <c r="K3498" s="6">
        <v>0</v>
      </c>
      <c r="L3498" s="7">
        <v>0</v>
      </c>
      <c r="M3498" s="7">
        <v>0</v>
      </c>
      <c r="N3498" s="8">
        <v>0</v>
      </c>
      <c r="O3498" s="8">
        <v>0</v>
      </c>
      <c r="P3498" s="8">
        <v>0</v>
      </c>
      <c r="Q3498" s="8">
        <v>0</v>
      </c>
      <c r="R3498" s="8">
        <v>0</v>
      </c>
      <c r="S3498" s="8">
        <v>0</v>
      </c>
      <c r="T3498" s="5">
        <v>0</v>
      </c>
      <c r="U3498" s="5">
        <v>0</v>
      </c>
      <c r="V3498" s="5">
        <f>VLOOKUP(A3498,Planilha1!B:E,4,0)</f>
        <v>-1.9171310037550682</v>
      </c>
    </row>
    <row r="3499" spans="1:22" x14ac:dyDescent="0.3">
      <c r="A3499" t="str">
        <f t="shared" si="108"/>
        <v>SPREADSITAMBÉ</v>
      </c>
      <c r="B3499" t="str">
        <f t="shared" si="109"/>
        <v>5006419SPREADSITAMBÉ</v>
      </c>
      <c r="C3499" s="5" t="s">
        <v>226</v>
      </c>
      <c r="D3499" s="5" t="s">
        <v>727</v>
      </c>
      <c r="E3499" s="5" t="s">
        <v>733</v>
      </c>
      <c r="F3499" s="5">
        <v>5006419</v>
      </c>
      <c r="G3499" s="5" t="s">
        <v>735</v>
      </c>
      <c r="H3499" s="5" t="s">
        <v>25</v>
      </c>
      <c r="I3499" s="5" t="s">
        <v>27</v>
      </c>
      <c r="J3499" s="5" t="s">
        <v>945</v>
      </c>
      <c r="K3499" s="6">
        <v>0</v>
      </c>
      <c r="L3499" s="7">
        <v>25</v>
      </c>
      <c r="M3499" s="7">
        <v>0</v>
      </c>
      <c r="N3499" s="8">
        <v>10</v>
      </c>
      <c r="O3499" s="8">
        <v>0</v>
      </c>
      <c r="P3499" s="8">
        <v>0</v>
      </c>
      <c r="Q3499" s="8">
        <v>0</v>
      </c>
      <c r="R3499" s="8">
        <v>0</v>
      </c>
      <c r="S3499" s="8">
        <v>0</v>
      </c>
      <c r="T3499" s="5">
        <v>0</v>
      </c>
      <c r="U3499" s="5">
        <v>0</v>
      </c>
      <c r="V3499" s="5">
        <f>VLOOKUP(A3499,Planilha1!B:E,4,0)</f>
        <v>9.2962610783648607</v>
      </c>
    </row>
    <row r="3500" spans="1:22" x14ac:dyDescent="0.3">
      <c r="A3500" t="str">
        <f t="shared" si="108"/>
        <v>SPREADSITAMBÉ</v>
      </c>
      <c r="B3500" t="str">
        <f t="shared" si="109"/>
        <v>5051163SPREADSITAMBÉ</v>
      </c>
      <c r="C3500" s="5" t="s">
        <v>226</v>
      </c>
      <c r="D3500" s="5" t="s">
        <v>727</v>
      </c>
      <c r="E3500" s="5" t="s">
        <v>733</v>
      </c>
      <c r="F3500" s="5">
        <v>5051163</v>
      </c>
      <c r="G3500" s="5" t="s">
        <v>739</v>
      </c>
      <c r="H3500" s="5" t="s">
        <v>25</v>
      </c>
      <c r="I3500" s="5" t="s">
        <v>27</v>
      </c>
      <c r="J3500" s="5" t="s">
        <v>945</v>
      </c>
      <c r="K3500" s="6">
        <v>0</v>
      </c>
      <c r="L3500" s="7">
        <v>24</v>
      </c>
      <c r="M3500" s="7">
        <v>0</v>
      </c>
      <c r="N3500" s="8">
        <v>43.333333333333336</v>
      </c>
      <c r="O3500" s="8">
        <v>4.9989942201182824</v>
      </c>
      <c r="P3500" s="8">
        <v>0</v>
      </c>
      <c r="Q3500" s="8">
        <v>15.2</v>
      </c>
      <c r="R3500" s="8">
        <v>0</v>
      </c>
      <c r="S3500" s="8">
        <v>0</v>
      </c>
      <c r="T3500" s="5">
        <v>0</v>
      </c>
      <c r="U3500" s="5">
        <v>0</v>
      </c>
      <c r="V3500" s="5">
        <f>VLOOKUP(A3500,Planilha1!B:E,4,0)</f>
        <v>9.2962610783648607</v>
      </c>
    </row>
    <row r="3501" spans="1:22" x14ac:dyDescent="0.3">
      <c r="A3501" t="str">
        <f t="shared" si="108"/>
        <v>SPREADSITAMBÉ</v>
      </c>
      <c r="B3501" t="str">
        <f t="shared" si="109"/>
        <v>5063322SPREADSITAMBÉ</v>
      </c>
      <c r="C3501" s="5" t="s">
        <v>226</v>
      </c>
      <c r="D3501" s="5" t="s">
        <v>727</v>
      </c>
      <c r="E3501" s="5" t="s">
        <v>733</v>
      </c>
      <c r="F3501" s="5">
        <v>5063322</v>
      </c>
      <c r="G3501" s="5" t="s">
        <v>1464</v>
      </c>
      <c r="H3501" s="5" t="s">
        <v>25</v>
      </c>
      <c r="I3501" s="5" t="s">
        <v>27</v>
      </c>
      <c r="J3501" s="5" t="s">
        <v>945</v>
      </c>
      <c r="K3501" s="6">
        <v>0</v>
      </c>
      <c r="L3501" s="7">
        <v>0</v>
      </c>
      <c r="M3501" s="7">
        <v>0</v>
      </c>
      <c r="N3501" s="8">
        <v>10</v>
      </c>
      <c r="O3501" s="8">
        <v>0</v>
      </c>
      <c r="P3501" s="8">
        <v>0</v>
      </c>
      <c r="Q3501" s="8">
        <v>0</v>
      </c>
      <c r="R3501" s="8">
        <v>0</v>
      </c>
      <c r="S3501" s="8">
        <v>0</v>
      </c>
      <c r="T3501" s="5">
        <v>0</v>
      </c>
      <c r="U3501" s="5">
        <v>0</v>
      </c>
      <c r="V3501" s="5">
        <f>VLOOKUP(A3501,Planilha1!B:E,4,0)</f>
        <v>9.2962610783648607</v>
      </c>
    </row>
    <row r="3502" spans="1:22" x14ac:dyDescent="0.3">
      <c r="A3502" t="str">
        <f t="shared" si="108"/>
        <v>SPREADSITAMBÉ</v>
      </c>
      <c r="B3502" t="str">
        <f t="shared" si="109"/>
        <v>5115690SPREADSITAMBÉ</v>
      </c>
      <c r="C3502" s="5" t="s">
        <v>226</v>
      </c>
      <c r="D3502" s="5" t="s">
        <v>727</v>
      </c>
      <c r="E3502" s="5" t="s">
        <v>733</v>
      </c>
      <c r="F3502" s="5">
        <v>5115690</v>
      </c>
      <c r="G3502" s="5" t="s">
        <v>740</v>
      </c>
      <c r="H3502" s="5" t="s">
        <v>25</v>
      </c>
      <c r="I3502" s="5" t="s">
        <v>27</v>
      </c>
      <c r="J3502" s="5" t="s">
        <v>945</v>
      </c>
      <c r="K3502" s="6">
        <v>0</v>
      </c>
      <c r="L3502" s="7">
        <v>0</v>
      </c>
      <c r="M3502" s="7">
        <v>0</v>
      </c>
      <c r="N3502" s="8">
        <v>0</v>
      </c>
      <c r="O3502" s="8">
        <v>0</v>
      </c>
      <c r="P3502" s="8">
        <v>0</v>
      </c>
      <c r="Q3502" s="8">
        <v>0</v>
      </c>
      <c r="R3502" s="8">
        <v>0</v>
      </c>
      <c r="S3502" s="8">
        <v>0</v>
      </c>
      <c r="T3502" s="5">
        <v>0</v>
      </c>
      <c r="U3502" s="5">
        <v>0</v>
      </c>
      <c r="V3502" s="5">
        <f>VLOOKUP(A3502,Planilha1!B:E,4,0)</f>
        <v>9.2962610783648607</v>
      </c>
    </row>
    <row r="3503" spans="1:22" x14ac:dyDescent="0.3">
      <c r="A3503" t="str">
        <f t="shared" si="108"/>
        <v>SPREADSITAMBÉ</v>
      </c>
      <c r="B3503" t="str">
        <f t="shared" si="109"/>
        <v>5144654SPREADSITAMBÉ</v>
      </c>
      <c r="C3503" s="5" t="s">
        <v>226</v>
      </c>
      <c r="D3503" s="5" t="s">
        <v>833</v>
      </c>
      <c r="E3503" s="5" t="s">
        <v>852</v>
      </c>
      <c r="F3503" s="5">
        <v>5144654</v>
      </c>
      <c r="G3503" s="5" t="s">
        <v>859</v>
      </c>
      <c r="H3503" s="5" t="s">
        <v>40</v>
      </c>
      <c r="I3503" s="5" t="s">
        <v>27</v>
      </c>
      <c r="J3503" s="5" t="s">
        <v>945</v>
      </c>
      <c r="K3503" s="6">
        <v>0</v>
      </c>
      <c r="L3503" s="7">
        <v>0</v>
      </c>
      <c r="M3503" s="7">
        <v>0</v>
      </c>
      <c r="N3503" s="8">
        <v>26.666666666666668</v>
      </c>
      <c r="O3503" s="8">
        <v>0</v>
      </c>
      <c r="P3503" s="8">
        <v>0</v>
      </c>
      <c r="Q3503" s="8">
        <v>0</v>
      </c>
      <c r="R3503" s="8">
        <v>0</v>
      </c>
      <c r="S3503" s="8">
        <v>0</v>
      </c>
      <c r="T3503" s="5">
        <v>0</v>
      </c>
      <c r="U3503" s="5">
        <v>0</v>
      </c>
      <c r="V3503" s="5">
        <f>VLOOKUP(A3503,Planilha1!B:E,4,0)</f>
        <v>9.2962610783648607</v>
      </c>
    </row>
    <row r="3504" spans="1:22" x14ac:dyDescent="0.3">
      <c r="A3504" t="str">
        <f t="shared" si="108"/>
        <v>SPREADSITAMBÉ</v>
      </c>
      <c r="B3504" t="str">
        <f t="shared" si="109"/>
        <v>5178518SPREADSITAMBÉ</v>
      </c>
      <c r="C3504" s="5" t="s">
        <v>226</v>
      </c>
      <c r="D3504" s="5" t="s">
        <v>752</v>
      </c>
      <c r="E3504" s="5" t="s">
        <v>767</v>
      </c>
      <c r="F3504" s="5">
        <v>5178518</v>
      </c>
      <c r="G3504" s="5" t="s">
        <v>769</v>
      </c>
      <c r="H3504" s="5" t="s">
        <v>154</v>
      </c>
      <c r="I3504" s="5" t="s">
        <v>27</v>
      </c>
      <c r="J3504" s="5" t="s">
        <v>945</v>
      </c>
      <c r="K3504" s="6">
        <v>0</v>
      </c>
      <c r="L3504" s="7">
        <v>0</v>
      </c>
      <c r="M3504" s="7">
        <v>0</v>
      </c>
      <c r="N3504" s="8">
        <v>9.6666666666666679</v>
      </c>
      <c r="O3504" s="8">
        <v>18.996178036449471</v>
      </c>
      <c r="P3504" s="8">
        <v>0</v>
      </c>
      <c r="Q3504" s="8">
        <v>0</v>
      </c>
      <c r="R3504" s="8">
        <v>0</v>
      </c>
      <c r="S3504" s="8">
        <v>0</v>
      </c>
      <c r="T3504" s="5">
        <v>0</v>
      </c>
      <c r="U3504" s="5">
        <v>0</v>
      </c>
      <c r="V3504" s="5">
        <f>VLOOKUP(A3504,Planilha1!B:E,4,0)</f>
        <v>9.2962610783648607</v>
      </c>
    </row>
    <row r="3505" spans="1:22" x14ac:dyDescent="0.3">
      <c r="A3505" t="str">
        <f t="shared" si="108"/>
        <v>SPREADSITAMBÉ</v>
      </c>
      <c r="B3505" t="str">
        <f t="shared" si="109"/>
        <v>5219741SPREADSITAMBÉ</v>
      </c>
      <c r="C3505" s="5" t="s">
        <v>226</v>
      </c>
      <c r="D3505" s="5" t="s">
        <v>752</v>
      </c>
      <c r="E3505" s="5" t="s">
        <v>774</v>
      </c>
      <c r="F3505" s="5">
        <v>5219741</v>
      </c>
      <c r="G3505" s="5" t="s">
        <v>793</v>
      </c>
      <c r="H3505" s="5" t="s">
        <v>32</v>
      </c>
      <c r="I3505" s="5" t="s">
        <v>27</v>
      </c>
      <c r="J3505" s="5" t="s">
        <v>945</v>
      </c>
      <c r="K3505" s="6">
        <v>0</v>
      </c>
      <c r="L3505" s="7">
        <v>0</v>
      </c>
      <c r="M3505" s="7">
        <v>0</v>
      </c>
      <c r="N3505" s="8">
        <v>2</v>
      </c>
      <c r="O3505" s="8">
        <v>1.999597688047313</v>
      </c>
      <c r="P3505" s="8">
        <v>0</v>
      </c>
      <c r="Q3505" s="8">
        <v>0</v>
      </c>
      <c r="R3505" s="8">
        <v>0</v>
      </c>
      <c r="S3505" s="8">
        <v>6</v>
      </c>
      <c r="T3505" s="5">
        <v>6</v>
      </c>
      <c r="U3505" s="5">
        <v>0</v>
      </c>
      <c r="V3505" s="5">
        <f>VLOOKUP(A3505,Planilha1!B:E,4,0)</f>
        <v>9.2962610783648607</v>
      </c>
    </row>
    <row r="3506" spans="1:22" x14ac:dyDescent="0.3">
      <c r="A3506" t="str">
        <f t="shared" si="108"/>
        <v>SPREADSITAMBÉ</v>
      </c>
      <c r="B3506" t="str">
        <f t="shared" si="109"/>
        <v>5223419SPREADSITAMBÉ</v>
      </c>
      <c r="C3506" s="5" t="s">
        <v>226</v>
      </c>
      <c r="D3506" s="5" t="s">
        <v>797</v>
      </c>
      <c r="E3506" s="5" t="s">
        <v>753</v>
      </c>
      <c r="F3506" s="5">
        <v>5223419</v>
      </c>
      <c r="G3506" s="5" t="s">
        <v>731</v>
      </c>
      <c r="H3506" s="5" t="s">
        <v>801</v>
      </c>
      <c r="I3506" s="5" t="s">
        <v>27</v>
      </c>
      <c r="J3506" s="5" t="s">
        <v>945</v>
      </c>
      <c r="K3506" s="6">
        <v>0</v>
      </c>
      <c r="L3506" s="7">
        <v>0</v>
      </c>
      <c r="M3506" s="7">
        <v>0</v>
      </c>
      <c r="N3506" s="8">
        <v>34</v>
      </c>
      <c r="O3506" s="8">
        <v>9.9979884402365649</v>
      </c>
      <c r="P3506" s="8">
        <v>0</v>
      </c>
      <c r="Q3506" s="8">
        <v>0</v>
      </c>
      <c r="R3506" s="8">
        <v>75</v>
      </c>
      <c r="S3506" s="8">
        <v>0</v>
      </c>
      <c r="T3506" s="5">
        <v>0</v>
      </c>
      <c r="U3506" s="5">
        <v>0</v>
      </c>
      <c r="V3506" s="5">
        <f>VLOOKUP(A3506,Planilha1!B:E,4,0)</f>
        <v>9.2962610783648607</v>
      </c>
    </row>
    <row r="3507" spans="1:22" x14ac:dyDescent="0.3">
      <c r="A3507" t="str">
        <f t="shared" si="108"/>
        <v>SPREADSITAMBÉ</v>
      </c>
      <c r="B3507" t="str">
        <f t="shared" si="109"/>
        <v>5316223SPREADSITAMBÉ</v>
      </c>
      <c r="C3507" s="5" t="s">
        <v>226</v>
      </c>
      <c r="D3507" s="5" t="s">
        <v>227</v>
      </c>
      <c r="E3507" s="5" t="s">
        <v>231</v>
      </c>
      <c r="F3507" s="5">
        <v>5316223</v>
      </c>
      <c r="G3507" s="5" t="s">
        <v>237</v>
      </c>
      <c r="H3507" s="5" t="s">
        <v>30</v>
      </c>
      <c r="I3507" s="5" t="s">
        <v>27</v>
      </c>
      <c r="J3507" s="5" t="s">
        <v>945</v>
      </c>
      <c r="K3507" s="6">
        <v>0</v>
      </c>
      <c r="L3507" s="7">
        <v>0</v>
      </c>
      <c r="M3507" s="7">
        <v>0</v>
      </c>
      <c r="N3507" s="8">
        <v>2</v>
      </c>
      <c r="O3507" s="8">
        <v>3.9991953760946259</v>
      </c>
      <c r="P3507" s="8">
        <v>0</v>
      </c>
      <c r="Q3507" s="8">
        <v>0</v>
      </c>
      <c r="R3507" s="8">
        <v>0</v>
      </c>
      <c r="S3507" s="8">
        <v>0</v>
      </c>
      <c r="T3507" s="5">
        <v>0</v>
      </c>
      <c r="U3507" s="5">
        <v>0</v>
      </c>
      <c r="V3507" s="5">
        <f>VLOOKUP(A3507,Planilha1!B:E,4,0)</f>
        <v>9.2962610783648607</v>
      </c>
    </row>
    <row r="3508" spans="1:22" x14ac:dyDescent="0.3">
      <c r="A3508" t="str">
        <f t="shared" si="108"/>
        <v>SPREADSITAMBÉ</v>
      </c>
      <c r="B3508" t="str">
        <f t="shared" si="109"/>
        <v>5324442SPREADSITAMBÉ</v>
      </c>
      <c r="C3508" s="5" t="s">
        <v>226</v>
      </c>
      <c r="D3508" s="5" t="s">
        <v>833</v>
      </c>
      <c r="E3508" s="5" t="s">
        <v>852</v>
      </c>
      <c r="F3508" s="5">
        <v>5324442</v>
      </c>
      <c r="G3508" s="5" t="s">
        <v>1609</v>
      </c>
      <c r="H3508" s="5" t="s">
        <v>40</v>
      </c>
      <c r="I3508" s="5" t="s">
        <v>27</v>
      </c>
      <c r="J3508" s="5" t="s">
        <v>945</v>
      </c>
      <c r="K3508" s="6">
        <v>0</v>
      </c>
      <c r="L3508" s="7">
        <v>0</v>
      </c>
      <c r="M3508" s="7">
        <v>0</v>
      </c>
      <c r="N3508" s="8">
        <v>8</v>
      </c>
      <c r="O3508" s="8">
        <v>0</v>
      </c>
      <c r="P3508" s="8">
        <v>0</v>
      </c>
      <c r="Q3508" s="8">
        <v>0</v>
      </c>
      <c r="R3508" s="8">
        <v>0</v>
      </c>
      <c r="S3508" s="8">
        <v>0</v>
      </c>
      <c r="T3508" s="5">
        <v>0</v>
      </c>
      <c r="U3508" s="5">
        <v>0</v>
      </c>
      <c r="V3508" s="5">
        <f>VLOOKUP(A3508,Planilha1!B:E,4,0)</f>
        <v>9.2962610783648607</v>
      </c>
    </row>
    <row r="3509" spans="1:22" x14ac:dyDescent="0.3">
      <c r="A3509" t="str">
        <f t="shared" si="108"/>
        <v>SPREADSLACTALIS</v>
      </c>
      <c r="B3509" t="str">
        <f t="shared" si="109"/>
        <v>5008636SPREADSLACTALIS</v>
      </c>
      <c r="C3509" s="5" t="s">
        <v>149</v>
      </c>
      <c r="D3509" s="5" t="s">
        <v>150</v>
      </c>
      <c r="E3509" s="5" t="s">
        <v>151</v>
      </c>
      <c r="F3509" s="5">
        <v>5008636</v>
      </c>
      <c r="G3509" s="5" t="s">
        <v>200</v>
      </c>
      <c r="H3509" s="5" t="s">
        <v>154</v>
      </c>
      <c r="I3509" s="5" t="s">
        <v>22</v>
      </c>
      <c r="J3509" s="5" t="s">
        <v>945</v>
      </c>
      <c r="K3509" s="6">
        <v>0</v>
      </c>
      <c r="L3509" s="7">
        <v>0</v>
      </c>
      <c r="M3509" s="7">
        <v>0</v>
      </c>
      <c r="N3509" s="8">
        <v>-6.3999999999999995</v>
      </c>
      <c r="O3509" s="8">
        <v>0</v>
      </c>
      <c r="P3509" s="8">
        <v>0</v>
      </c>
      <c r="Q3509" s="8">
        <v>0</v>
      </c>
      <c r="R3509" s="8">
        <v>0</v>
      </c>
      <c r="S3509" s="8">
        <v>0</v>
      </c>
      <c r="T3509" s="5">
        <v>0</v>
      </c>
      <c r="U3509" s="5">
        <v>0</v>
      </c>
      <c r="V3509" s="5">
        <f>VLOOKUP(A3509,Planilha1!B:E,4,0)</f>
        <v>13.599044988219518</v>
      </c>
    </row>
    <row r="3510" spans="1:22" x14ac:dyDescent="0.3">
      <c r="A3510" t="str">
        <f t="shared" si="108"/>
        <v>SPREADSLACTALIS</v>
      </c>
      <c r="B3510" t="str">
        <f t="shared" si="109"/>
        <v>5012641SPREADSLACTALIS</v>
      </c>
      <c r="C3510" s="5" t="s">
        <v>226</v>
      </c>
      <c r="D3510" s="5" t="s">
        <v>227</v>
      </c>
      <c r="E3510" s="5" t="s">
        <v>703</v>
      </c>
      <c r="F3510" s="5">
        <v>5012641</v>
      </c>
      <c r="G3510" s="5" t="s">
        <v>704</v>
      </c>
      <c r="H3510" s="5" t="s">
        <v>30</v>
      </c>
      <c r="I3510" s="5" t="s">
        <v>22</v>
      </c>
      <c r="J3510" s="5" t="s">
        <v>945</v>
      </c>
      <c r="K3510" s="6">
        <v>0</v>
      </c>
      <c r="L3510" s="7">
        <v>0</v>
      </c>
      <c r="M3510" s="7">
        <v>0</v>
      </c>
      <c r="N3510" s="8">
        <v>0</v>
      </c>
      <c r="O3510" s="8">
        <v>1.1681880421354611</v>
      </c>
      <c r="P3510" s="8">
        <v>0</v>
      </c>
      <c r="Q3510" s="8">
        <v>0</v>
      </c>
      <c r="R3510" s="8">
        <v>0</v>
      </c>
      <c r="S3510" s="8">
        <v>0</v>
      </c>
      <c r="T3510" s="5">
        <v>0</v>
      </c>
      <c r="U3510" s="5">
        <v>0</v>
      </c>
      <c r="V3510" s="5">
        <f>VLOOKUP(A3510,Planilha1!B:E,4,0)</f>
        <v>13.599044988219518</v>
      </c>
    </row>
    <row r="3511" spans="1:22" x14ac:dyDescent="0.3">
      <c r="A3511" t="str">
        <f t="shared" si="108"/>
        <v>SPREADSLACTALIS</v>
      </c>
      <c r="B3511" t="str">
        <f t="shared" si="109"/>
        <v>5012643SPREADSLACTALIS</v>
      </c>
      <c r="C3511" s="5" t="s">
        <v>226</v>
      </c>
      <c r="D3511" s="5" t="s">
        <v>227</v>
      </c>
      <c r="E3511" s="5" t="s">
        <v>1722</v>
      </c>
      <c r="F3511" s="5">
        <v>5012643</v>
      </c>
      <c r="G3511" s="5" t="s">
        <v>238</v>
      </c>
      <c r="H3511" s="5" t="s">
        <v>30</v>
      </c>
      <c r="I3511" s="5" t="s">
        <v>22</v>
      </c>
      <c r="J3511" s="5" t="s">
        <v>945</v>
      </c>
      <c r="K3511" s="6">
        <v>0</v>
      </c>
      <c r="L3511" s="7">
        <v>0</v>
      </c>
      <c r="M3511" s="7">
        <v>0</v>
      </c>
      <c r="N3511" s="8">
        <v>33.333333333333336</v>
      </c>
      <c r="O3511" s="8">
        <v>39.370786259092213</v>
      </c>
      <c r="P3511" s="8">
        <v>0</v>
      </c>
      <c r="Q3511" s="8">
        <v>20</v>
      </c>
      <c r="R3511" s="8">
        <v>0</v>
      </c>
      <c r="S3511" s="8">
        <v>0</v>
      </c>
      <c r="T3511" s="5">
        <v>0</v>
      </c>
      <c r="U3511" s="5">
        <v>20</v>
      </c>
      <c r="V3511" s="5">
        <f>VLOOKUP(A3511,Planilha1!B:E,4,0)</f>
        <v>13.599044988219518</v>
      </c>
    </row>
    <row r="3512" spans="1:22" x14ac:dyDescent="0.3">
      <c r="A3512" t="str">
        <f t="shared" si="108"/>
        <v>SPREADSLACTALIS</v>
      </c>
      <c r="B3512" t="str">
        <f t="shared" si="109"/>
        <v>5029281SPREADSLACTALIS</v>
      </c>
      <c r="C3512" s="5" t="s">
        <v>226</v>
      </c>
      <c r="D3512" s="5" t="s">
        <v>227</v>
      </c>
      <c r="E3512" s="5" t="s">
        <v>1722</v>
      </c>
      <c r="F3512" s="5">
        <v>5029281</v>
      </c>
      <c r="G3512" s="5" t="s">
        <v>501</v>
      </c>
      <c r="H3512" s="5" t="s">
        <v>30</v>
      </c>
      <c r="I3512" s="5" t="s">
        <v>22</v>
      </c>
      <c r="J3512" s="5" t="s">
        <v>945</v>
      </c>
      <c r="K3512" s="6">
        <v>0</v>
      </c>
      <c r="L3512" s="7">
        <v>0</v>
      </c>
      <c r="M3512" s="7">
        <v>0</v>
      </c>
      <c r="N3512" s="8">
        <v>2.1333333333333333</v>
      </c>
      <c r="O3512" s="8">
        <v>3.3507052135397624</v>
      </c>
      <c r="P3512" s="8">
        <v>0</v>
      </c>
      <c r="Q3512" s="8">
        <v>4</v>
      </c>
      <c r="R3512" s="8">
        <v>0</v>
      </c>
      <c r="S3512" s="8">
        <v>0</v>
      </c>
      <c r="T3512" s="5">
        <v>0</v>
      </c>
      <c r="U3512" s="5">
        <v>0</v>
      </c>
      <c r="V3512" s="5">
        <f>VLOOKUP(A3512,Planilha1!B:E,4,0)</f>
        <v>13.599044988219518</v>
      </c>
    </row>
    <row r="3513" spans="1:22" x14ac:dyDescent="0.3">
      <c r="A3513" t="str">
        <f t="shared" si="108"/>
        <v>SPREADSLACTALIS</v>
      </c>
      <c r="B3513" t="str">
        <f t="shared" si="109"/>
        <v>5040718SPREADSLACTALIS</v>
      </c>
      <c r="C3513" s="5" t="s">
        <v>226</v>
      </c>
      <c r="D3513" s="5" t="s">
        <v>227</v>
      </c>
      <c r="E3513" s="5" t="s">
        <v>1722</v>
      </c>
      <c r="F3513" s="5">
        <v>5040718</v>
      </c>
      <c r="G3513" s="5" t="s">
        <v>562</v>
      </c>
      <c r="H3513" s="5" t="s">
        <v>30</v>
      </c>
      <c r="I3513" s="5" t="s">
        <v>22</v>
      </c>
      <c r="J3513" s="5" t="s">
        <v>945</v>
      </c>
      <c r="K3513" s="6">
        <v>0</v>
      </c>
      <c r="L3513" s="7">
        <v>0</v>
      </c>
      <c r="M3513" s="7">
        <v>0</v>
      </c>
      <c r="N3513" s="8">
        <v>0</v>
      </c>
      <c r="O3513" s="8">
        <v>2.2395019539474941</v>
      </c>
      <c r="P3513" s="8">
        <v>0</v>
      </c>
      <c r="Q3513" s="8">
        <v>0</v>
      </c>
      <c r="R3513" s="8">
        <v>0</v>
      </c>
      <c r="S3513" s="8">
        <v>0</v>
      </c>
      <c r="T3513" s="5">
        <v>0</v>
      </c>
      <c r="U3513" s="5">
        <v>0</v>
      </c>
      <c r="V3513" s="5">
        <f>VLOOKUP(A3513,Planilha1!B:E,4,0)</f>
        <v>13.599044988219518</v>
      </c>
    </row>
    <row r="3514" spans="1:22" x14ac:dyDescent="0.3">
      <c r="A3514" t="str">
        <f t="shared" si="108"/>
        <v>SPREADSLACTALIS</v>
      </c>
      <c r="B3514" t="str">
        <f t="shared" si="109"/>
        <v>5052329SPREADSLACTALIS</v>
      </c>
      <c r="C3514" s="5" t="s">
        <v>226</v>
      </c>
      <c r="D3514" s="5" t="s">
        <v>227</v>
      </c>
      <c r="E3514" s="5" t="s">
        <v>1722</v>
      </c>
      <c r="F3514" s="5">
        <v>5052329</v>
      </c>
      <c r="G3514" s="5" t="s">
        <v>240</v>
      </c>
      <c r="H3514" s="5" t="s">
        <v>30</v>
      </c>
      <c r="I3514" s="5" t="s">
        <v>22</v>
      </c>
      <c r="J3514" s="5" t="s">
        <v>945</v>
      </c>
      <c r="K3514" s="6">
        <v>0</v>
      </c>
      <c r="L3514" s="7">
        <v>0</v>
      </c>
      <c r="M3514" s="7">
        <v>0</v>
      </c>
      <c r="N3514" s="8">
        <v>0</v>
      </c>
      <c r="O3514" s="8">
        <v>2.2452004322018135</v>
      </c>
      <c r="P3514" s="8">
        <v>0</v>
      </c>
      <c r="Q3514" s="8">
        <v>0</v>
      </c>
      <c r="R3514" s="8">
        <v>0</v>
      </c>
      <c r="S3514" s="8">
        <v>0</v>
      </c>
      <c r="T3514" s="5">
        <v>0</v>
      </c>
      <c r="U3514" s="5">
        <v>0</v>
      </c>
      <c r="V3514" s="5">
        <f>VLOOKUP(A3514,Planilha1!B:E,4,0)</f>
        <v>13.599044988219518</v>
      </c>
    </row>
    <row r="3515" spans="1:22" x14ac:dyDescent="0.3">
      <c r="A3515" t="str">
        <f t="shared" si="108"/>
        <v>SPREADSLACTALIS</v>
      </c>
      <c r="B3515" t="str">
        <f t="shared" si="109"/>
        <v>5053109SPREADSLACTALIS</v>
      </c>
      <c r="C3515" s="5" t="s">
        <v>226</v>
      </c>
      <c r="D3515" s="5" t="s">
        <v>227</v>
      </c>
      <c r="E3515" s="5" t="s">
        <v>1722</v>
      </c>
      <c r="F3515" s="5">
        <v>5053109</v>
      </c>
      <c r="G3515" s="5" t="s">
        <v>1483</v>
      </c>
      <c r="H3515" s="5" t="s">
        <v>30</v>
      </c>
      <c r="I3515" s="5" t="s">
        <v>22</v>
      </c>
      <c r="J3515" s="5" t="s">
        <v>945</v>
      </c>
      <c r="K3515" s="6">
        <v>0</v>
      </c>
      <c r="L3515" s="7">
        <v>0</v>
      </c>
      <c r="M3515" s="7">
        <v>0</v>
      </c>
      <c r="N3515" s="8">
        <v>0</v>
      </c>
      <c r="O3515" s="8">
        <v>4.0516180388210392</v>
      </c>
      <c r="P3515" s="8">
        <v>0</v>
      </c>
      <c r="Q3515" s="8">
        <v>0</v>
      </c>
      <c r="R3515" s="8">
        <v>0</v>
      </c>
      <c r="S3515" s="8">
        <v>0</v>
      </c>
      <c r="T3515" s="5">
        <v>0</v>
      </c>
      <c r="U3515" s="5">
        <v>0</v>
      </c>
      <c r="V3515" s="5">
        <f>VLOOKUP(A3515,Planilha1!B:E,4,0)</f>
        <v>13.599044988219518</v>
      </c>
    </row>
    <row r="3516" spans="1:22" x14ac:dyDescent="0.3">
      <c r="A3516" t="str">
        <f t="shared" si="108"/>
        <v>SPREADSLACTALIS</v>
      </c>
      <c r="B3516" t="str">
        <f t="shared" si="109"/>
        <v>5063510SPREADSLACTALIS</v>
      </c>
      <c r="C3516" s="5" t="s">
        <v>226</v>
      </c>
      <c r="D3516" s="5" t="s">
        <v>227</v>
      </c>
      <c r="E3516" s="5" t="s">
        <v>1722</v>
      </c>
      <c r="F3516" s="5">
        <v>5063510</v>
      </c>
      <c r="G3516" s="5" t="s">
        <v>254</v>
      </c>
      <c r="H3516" s="5" t="s">
        <v>30</v>
      </c>
      <c r="I3516" s="5" t="s">
        <v>22</v>
      </c>
      <c r="J3516" s="5" t="s">
        <v>945</v>
      </c>
      <c r="K3516" s="6">
        <v>0</v>
      </c>
      <c r="L3516" s="7">
        <v>0</v>
      </c>
      <c r="M3516" s="7">
        <v>0</v>
      </c>
      <c r="N3516" s="8">
        <v>0</v>
      </c>
      <c r="O3516" s="8">
        <v>2.250898910456133</v>
      </c>
      <c r="P3516" s="8">
        <v>0</v>
      </c>
      <c r="Q3516" s="8">
        <v>0</v>
      </c>
      <c r="R3516" s="8">
        <v>0</v>
      </c>
      <c r="S3516" s="8">
        <v>0</v>
      </c>
      <c r="T3516" s="5">
        <v>0</v>
      </c>
      <c r="U3516" s="5">
        <v>0</v>
      </c>
      <c r="V3516" s="5">
        <f>VLOOKUP(A3516,Planilha1!B:E,4,0)</f>
        <v>13.599044988219518</v>
      </c>
    </row>
    <row r="3517" spans="1:22" x14ac:dyDescent="0.3">
      <c r="A3517" t="str">
        <f t="shared" si="108"/>
        <v>SPREADSLACTALIS</v>
      </c>
      <c r="B3517" t="str">
        <f t="shared" si="109"/>
        <v>5063519SPREADSLACTALIS</v>
      </c>
      <c r="C3517" s="5" t="s">
        <v>149</v>
      </c>
      <c r="D3517" s="5" t="s">
        <v>150</v>
      </c>
      <c r="E3517" s="5" t="s">
        <v>151</v>
      </c>
      <c r="F3517" s="5">
        <v>5063519</v>
      </c>
      <c r="G3517" s="5" t="s">
        <v>198</v>
      </c>
      <c r="H3517" s="5" t="s">
        <v>30</v>
      </c>
      <c r="I3517" s="5" t="s">
        <v>22</v>
      </c>
      <c r="J3517" s="5" t="s">
        <v>945</v>
      </c>
      <c r="K3517" s="6">
        <v>0</v>
      </c>
      <c r="L3517" s="7">
        <v>0</v>
      </c>
      <c r="M3517" s="7">
        <v>0</v>
      </c>
      <c r="N3517" s="8">
        <v>0</v>
      </c>
      <c r="O3517" s="8">
        <v>13.397122375904731</v>
      </c>
      <c r="P3517" s="8">
        <v>0</v>
      </c>
      <c r="Q3517" s="8">
        <v>0</v>
      </c>
      <c r="R3517" s="8">
        <v>0</v>
      </c>
      <c r="S3517" s="8">
        <v>0</v>
      </c>
      <c r="T3517" s="5">
        <v>0</v>
      </c>
      <c r="U3517" s="5">
        <v>0</v>
      </c>
      <c r="V3517" s="5">
        <f>VLOOKUP(A3517,Planilha1!B:E,4,0)</f>
        <v>13.599044988219518</v>
      </c>
    </row>
    <row r="3518" spans="1:22" x14ac:dyDescent="0.3">
      <c r="A3518" t="str">
        <f t="shared" si="108"/>
        <v>SPREADSLACTALIS</v>
      </c>
      <c r="B3518" t="str">
        <f t="shared" si="109"/>
        <v>5164028SPREADSLACTALIS</v>
      </c>
      <c r="C3518" s="5" t="s">
        <v>226</v>
      </c>
      <c r="D3518" s="5" t="s">
        <v>227</v>
      </c>
      <c r="E3518" s="5" t="s">
        <v>1722</v>
      </c>
      <c r="F3518" s="5">
        <v>5164028</v>
      </c>
      <c r="G3518" s="5" t="s">
        <v>1610</v>
      </c>
      <c r="H3518" s="5" t="s">
        <v>30</v>
      </c>
      <c r="I3518" s="5" t="s">
        <v>22</v>
      </c>
      <c r="J3518" s="5" t="s">
        <v>945</v>
      </c>
      <c r="K3518" s="6">
        <v>0</v>
      </c>
      <c r="L3518" s="7">
        <v>48</v>
      </c>
      <c r="M3518" s="7">
        <v>0</v>
      </c>
      <c r="N3518" s="8">
        <v>20</v>
      </c>
      <c r="O3518" s="8">
        <v>11.812945421203958</v>
      </c>
      <c r="P3518" s="8">
        <v>0</v>
      </c>
      <c r="Q3518" s="8">
        <v>0</v>
      </c>
      <c r="R3518" s="8">
        <v>0</v>
      </c>
      <c r="S3518" s="8">
        <v>0</v>
      </c>
      <c r="T3518" s="5">
        <v>0</v>
      </c>
      <c r="U3518" s="5">
        <v>30</v>
      </c>
      <c r="V3518" s="5">
        <f>VLOOKUP(A3518,Planilha1!B:E,4,0)</f>
        <v>13.599044988219518</v>
      </c>
    </row>
    <row r="3519" spans="1:22" x14ac:dyDescent="0.3">
      <c r="A3519" t="str">
        <f t="shared" si="108"/>
        <v>SPREADSLACTALIS</v>
      </c>
      <c r="B3519" t="str">
        <f t="shared" si="109"/>
        <v>5171786SPREADSLACTALIS</v>
      </c>
      <c r="C3519" s="5" t="s">
        <v>149</v>
      </c>
      <c r="D3519" s="5" t="s">
        <v>150</v>
      </c>
      <c r="E3519" s="5" t="s">
        <v>151</v>
      </c>
      <c r="F3519" s="5">
        <v>5171786</v>
      </c>
      <c r="G3519" s="5" t="s">
        <v>200</v>
      </c>
      <c r="H3519" s="5" t="s">
        <v>113</v>
      </c>
      <c r="I3519" s="5" t="s">
        <v>22</v>
      </c>
      <c r="J3519" s="5" t="s">
        <v>945</v>
      </c>
      <c r="K3519" s="6">
        <v>0</v>
      </c>
      <c r="L3519" s="7">
        <v>0</v>
      </c>
      <c r="M3519" s="7">
        <v>0</v>
      </c>
      <c r="N3519" s="8">
        <v>0</v>
      </c>
      <c r="O3519" s="8">
        <v>60.28420145244413</v>
      </c>
      <c r="P3519" s="8">
        <v>0</v>
      </c>
      <c r="Q3519" s="8">
        <v>0</v>
      </c>
      <c r="R3519" s="8">
        <v>0</v>
      </c>
      <c r="S3519" s="8">
        <v>0</v>
      </c>
      <c r="T3519" s="5">
        <v>0</v>
      </c>
      <c r="U3519" s="5">
        <v>0</v>
      </c>
      <c r="V3519" s="5">
        <f>VLOOKUP(A3519,Planilha1!B:E,4,0)</f>
        <v>13.599044988219518</v>
      </c>
    </row>
    <row r="3520" spans="1:22" x14ac:dyDescent="0.3">
      <c r="A3520" t="str">
        <f t="shared" si="108"/>
        <v>SPREADSLACTALIS</v>
      </c>
      <c r="B3520" t="str">
        <f t="shared" si="109"/>
        <v>5207394SPREADSLACTALIS</v>
      </c>
      <c r="C3520" s="5" t="s">
        <v>149</v>
      </c>
      <c r="D3520" s="5" t="s">
        <v>210</v>
      </c>
      <c r="E3520" s="5" t="s">
        <v>210</v>
      </c>
      <c r="F3520" s="5">
        <v>5207394</v>
      </c>
      <c r="G3520" s="5" t="s">
        <v>215</v>
      </c>
      <c r="H3520" s="5" t="s">
        <v>154</v>
      </c>
      <c r="I3520" s="5" t="s">
        <v>22</v>
      </c>
      <c r="J3520" s="5" t="s">
        <v>945</v>
      </c>
      <c r="K3520" s="6">
        <v>0</v>
      </c>
      <c r="L3520" s="7">
        <v>0</v>
      </c>
      <c r="M3520" s="7">
        <v>0</v>
      </c>
      <c r="N3520" s="8">
        <v>0</v>
      </c>
      <c r="O3520" s="8">
        <v>8.633194555293775</v>
      </c>
      <c r="P3520" s="8">
        <v>0</v>
      </c>
      <c r="Q3520" s="8">
        <v>0</v>
      </c>
      <c r="R3520" s="8">
        <v>0</v>
      </c>
      <c r="S3520" s="8">
        <v>0</v>
      </c>
      <c r="T3520" s="5">
        <v>0</v>
      </c>
      <c r="U3520" s="5">
        <v>0</v>
      </c>
      <c r="V3520" s="5">
        <f>VLOOKUP(A3520,Planilha1!B:E,4,0)</f>
        <v>13.599044988219518</v>
      </c>
    </row>
    <row r="3521" spans="1:22" x14ac:dyDescent="0.3">
      <c r="A3521" t="str">
        <f t="shared" si="108"/>
        <v>SPREADSLACTALIS</v>
      </c>
      <c r="B3521" t="str">
        <f t="shared" si="109"/>
        <v>5211344SPREADSLACTALIS</v>
      </c>
      <c r="C3521" s="5" t="s">
        <v>226</v>
      </c>
      <c r="D3521" s="5" t="s">
        <v>815</v>
      </c>
      <c r="E3521" s="5" t="s">
        <v>815</v>
      </c>
      <c r="F3521" s="5">
        <v>5211344</v>
      </c>
      <c r="G3521" s="5" t="s">
        <v>832</v>
      </c>
      <c r="H3521" s="5" t="s">
        <v>30</v>
      </c>
      <c r="I3521" s="5" t="s">
        <v>22</v>
      </c>
      <c r="J3521" s="5" t="s">
        <v>945</v>
      </c>
      <c r="K3521" s="6">
        <v>0</v>
      </c>
      <c r="L3521" s="7">
        <v>24</v>
      </c>
      <c r="M3521" s="7">
        <v>0</v>
      </c>
      <c r="N3521" s="8">
        <v>49.333333333333336</v>
      </c>
      <c r="O3521" s="8">
        <v>6.0403869495784832</v>
      </c>
      <c r="P3521" s="8">
        <v>17</v>
      </c>
      <c r="Q3521" s="8">
        <v>0</v>
      </c>
      <c r="R3521" s="8">
        <v>0</v>
      </c>
      <c r="S3521" s="8">
        <v>0</v>
      </c>
      <c r="T3521" s="5">
        <v>0</v>
      </c>
      <c r="U3521" s="5">
        <v>0</v>
      </c>
      <c r="V3521" s="5">
        <f>VLOOKUP(A3521,Planilha1!B:E,4,0)</f>
        <v>13.599044988219518</v>
      </c>
    </row>
    <row r="3522" spans="1:22" x14ac:dyDescent="0.3">
      <c r="A3522" t="str">
        <f t="shared" ref="A3522:A3585" si="110">J3522&amp;I3522</f>
        <v>SPREADSLACTALIS</v>
      </c>
      <c r="B3522" t="str">
        <f t="shared" si="109"/>
        <v>5218658SPREADSLACTALIS</v>
      </c>
      <c r="C3522" s="5" t="s">
        <v>226</v>
      </c>
      <c r="D3522" s="5" t="s">
        <v>227</v>
      </c>
      <c r="E3522" s="5" t="s">
        <v>1722</v>
      </c>
      <c r="F3522" s="5">
        <v>5218658</v>
      </c>
      <c r="G3522" s="5" t="s">
        <v>507</v>
      </c>
      <c r="H3522" s="5" t="s">
        <v>30</v>
      </c>
      <c r="I3522" s="5" t="s">
        <v>22</v>
      </c>
      <c r="J3522" s="5" t="s">
        <v>945</v>
      </c>
      <c r="K3522" s="6">
        <v>0</v>
      </c>
      <c r="L3522" s="7">
        <v>0</v>
      </c>
      <c r="M3522" s="7">
        <v>0</v>
      </c>
      <c r="N3522" s="8">
        <v>0</v>
      </c>
      <c r="O3522" s="8">
        <v>2.6782847795300824</v>
      </c>
      <c r="P3522" s="8">
        <v>0</v>
      </c>
      <c r="Q3522" s="8">
        <v>0</v>
      </c>
      <c r="R3522" s="8">
        <v>0</v>
      </c>
      <c r="S3522" s="8">
        <v>0</v>
      </c>
      <c r="T3522" s="5">
        <v>0</v>
      </c>
      <c r="U3522" s="5">
        <v>0</v>
      </c>
      <c r="V3522" s="5">
        <f>VLOOKUP(A3522,Planilha1!B:E,4,0)</f>
        <v>13.599044988219518</v>
      </c>
    </row>
    <row r="3523" spans="1:22" x14ac:dyDescent="0.3">
      <c r="A3523" t="str">
        <f t="shared" si="110"/>
        <v>SPREADSLACTALIS</v>
      </c>
      <c r="B3523" t="str">
        <f t="shared" ref="B3523:B3586" si="111">F3523&amp;J3523&amp;I3523</f>
        <v>5220056SPREADSLACTALIS</v>
      </c>
      <c r="C3523" s="5" t="s">
        <v>226</v>
      </c>
      <c r="D3523" s="5" t="s">
        <v>227</v>
      </c>
      <c r="E3523" s="5" t="s">
        <v>1722</v>
      </c>
      <c r="F3523" s="5">
        <v>5220056</v>
      </c>
      <c r="G3523" s="5" t="s">
        <v>1529</v>
      </c>
      <c r="H3523" s="5" t="s">
        <v>30</v>
      </c>
      <c r="I3523" s="5" t="s">
        <v>22</v>
      </c>
      <c r="J3523" s="5" t="s">
        <v>945</v>
      </c>
      <c r="K3523" s="6">
        <v>0</v>
      </c>
      <c r="L3523" s="7">
        <v>0</v>
      </c>
      <c r="M3523" s="7">
        <v>0</v>
      </c>
      <c r="N3523" s="8">
        <v>1.5999999999999999</v>
      </c>
      <c r="O3523" s="8">
        <v>0</v>
      </c>
      <c r="P3523" s="8">
        <v>0</v>
      </c>
      <c r="Q3523" s="8">
        <v>0</v>
      </c>
      <c r="R3523" s="8">
        <v>0</v>
      </c>
      <c r="S3523" s="8">
        <v>0</v>
      </c>
      <c r="T3523" s="5">
        <v>0</v>
      </c>
      <c r="U3523" s="5">
        <v>0</v>
      </c>
      <c r="V3523" s="5">
        <f>VLOOKUP(A3523,Planilha1!B:E,4,0)</f>
        <v>13.599044988219518</v>
      </c>
    </row>
    <row r="3524" spans="1:22" x14ac:dyDescent="0.3">
      <c r="A3524" t="str">
        <f t="shared" si="110"/>
        <v>SPREADSLACTALIS</v>
      </c>
      <c r="B3524" t="str">
        <f t="shared" si="111"/>
        <v>5231426SPREADSLACTALIS</v>
      </c>
      <c r="C3524" s="5" t="s">
        <v>226</v>
      </c>
      <c r="D3524" s="5" t="s">
        <v>227</v>
      </c>
      <c r="E3524" s="5" t="s">
        <v>1722</v>
      </c>
      <c r="F3524" s="5">
        <v>5231426</v>
      </c>
      <c r="G3524" s="5" t="s">
        <v>1556</v>
      </c>
      <c r="H3524" s="5" t="s">
        <v>30</v>
      </c>
      <c r="I3524" s="5" t="s">
        <v>22</v>
      </c>
      <c r="J3524" s="5" t="s">
        <v>945</v>
      </c>
      <c r="K3524" s="6">
        <v>0</v>
      </c>
      <c r="L3524" s="7">
        <v>0</v>
      </c>
      <c r="M3524" s="7">
        <v>0</v>
      </c>
      <c r="N3524" s="8">
        <v>1.3333333333333333</v>
      </c>
      <c r="O3524" s="8">
        <v>0</v>
      </c>
      <c r="P3524" s="8">
        <v>0</v>
      </c>
      <c r="Q3524" s="8">
        <v>0</v>
      </c>
      <c r="R3524" s="8">
        <v>0</v>
      </c>
      <c r="S3524" s="8">
        <v>0</v>
      </c>
      <c r="T3524" s="5">
        <v>0</v>
      </c>
      <c r="U3524" s="5">
        <v>0</v>
      </c>
      <c r="V3524" s="5">
        <f>VLOOKUP(A3524,Planilha1!B:E,4,0)</f>
        <v>13.599044988219518</v>
      </c>
    </row>
    <row r="3525" spans="1:22" x14ac:dyDescent="0.3">
      <c r="A3525" t="str">
        <f t="shared" si="110"/>
        <v>SPREADSLACTALIS</v>
      </c>
      <c r="B3525" t="str">
        <f t="shared" si="111"/>
        <v>5234719SPREADSLACTALIS</v>
      </c>
      <c r="C3525" s="5" t="s">
        <v>226</v>
      </c>
      <c r="D3525" s="5" t="s">
        <v>227</v>
      </c>
      <c r="E3525" s="5" t="s">
        <v>1722</v>
      </c>
      <c r="F3525" s="5">
        <v>5234719</v>
      </c>
      <c r="G3525" s="5" t="s">
        <v>573</v>
      </c>
      <c r="H3525" s="5" t="s">
        <v>30</v>
      </c>
      <c r="I3525" s="5" t="s">
        <v>22</v>
      </c>
      <c r="J3525" s="5" t="s">
        <v>945</v>
      </c>
      <c r="K3525" s="6">
        <v>0</v>
      </c>
      <c r="L3525" s="7">
        <v>0</v>
      </c>
      <c r="M3525" s="7">
        <v>0</v>
      </c>
      <c r="N3525" s="8">
        <v>0</v>
      </c>
      <c r="O3525" s="8">
        <v>4.4847023861493076</v>
      </c>
      <c r="P3525" s="8">
        <v>0</v>
      </c>
      <c r="Q3525" s="8">
        <v>0</v>
      </c>
      <c r="R3525" s="8">
        <v>0</v>
      </c>
      <c r="S3525" s="8">
        <v>0</v>
      </c>
      <c r="T3525" s="5">
        <v>0</v>
      </c>
      <c r="U3525" s="5">
        <v>0</v>
      </c>
      <c r="V3525" s="5">
        <f>VLOOKUP(A3525,Planilha1!B:E,4,0)</f>
        <v>13.599044988219518</v>
      </c>
    </row>
    <row r="3526" spans="1:22" x14ac:dyDescent="0.3">
      <c r="A3526" t="str">
        <f t="shared" si="110"/>
        <v>SPREADSLACTALIS</v>
      </c>
      <c r="B3526" t="str">
        <f t="shared" si="111"/>
        <v>5235433SPREADSLACTALIS</v>
      </c>
      <c r="C3526" s="5" t="s">
        <v>226</v>
      </c>
      <c r="D3526" s="5" t="s">
        <v>227</v>
      </c>
      <c r="E3526" s="5" t="s">
        <v>1722</v>
      </c>
      <c r="F3526" s="5">
        <v>5235433</v>
      </c>
      <c r="G3526" s="5" t="s">
        <v>512</v>
      </c>
      <c r="H3526" s="5" t="s">
        <v>30</v>
      </c>
      <c r="I3526" s="5" t="s">
        <v>22</v>
      </c>
      <c r="J3526" s="5" t="s">
        <v>945</v>
      </c>
      <c r="K3526" s="6">
        <v>0</v>
      </c>
      <c r="L3526" s="7">
        <v>0</v>
      </c>
      <c r="M3526" s="7">
        <v>0</v>
      </c>
      <c r="N3526" s="8">
        <v>3.1999999999999997</v>
      </c>
      <c r="O3526" s="8">
        <v>4.0459195605667198</v>
      </c>
      <c r="P3526" s="8">
        <v>0</v>
      </c>
      <c r="Q3526" s="8">
        <v>0</v>
      </c>
      <c r="R3526" s="8">
        <v>0</v>
      </c>
      <c r="S3526" s="8">
        <v>0</v>
      </c>
      <c r="T3526" s="5">
        <v>0</v>
      </c>
      <c r="U3526" s="5">
        <v>0</v>
      </c>
      <c r="V3526" s="5">
        <f>VLOOKUP(A3526,Planilha1!B:E,4,0)</f>
        <v>13.599044988219518</v>
      </c>
    </row>
    <row r="3527" spans="1:22" x14ac:dyDescent="0.3">
      <c r="A3527" t="str">
        <f t="shared" si="110"/>
        <v>SPREADSLACTALIS</v>
      </c>
      <c r="B3527" t="str">
        <f t="shared" si="111"/>
        <v>5249198SPREADSLACTALIS</v>
      </c>
      <c r="C3527" s="5" t="s">
        <v>226</v>
      </c>
      <c r="D3527" s="5" t="s">
        <v>227</v>
      </c>
      <c r="E3527" s="5" t="s">
        <v>1722</v>
      </c>
      <c r="F3527" s="5">
        <v>5249198</v>
      </c>
      <c r="G3527" s="5" t="s">
        <v>1611</v>
      </c>
      <c r="H3527" s="5" t="s">
        <v>30</v>
      </c>
      <c r="I3527" s="5" t="s">
        <v>22</v>
      </c>
      <c r="J3527" s="5" t="s">
        <v>945</v>
      </c>
      <c r="K3527" s="6">
        <v>0</v>
      </c>
      <c r="L3527" s="7">
        <v>0</v>
      </c>
      <c r="M3527" s="7">
        <v>0</v>
      </c>
      <c r="N3527" s="8">
        <v>0</v>
      </c>
      <c r="O3527" s="8">
        <v>1.8804978239253767</v>
      </c>
      <c r="P3527" s="8">
        <v>0</v>
      </c>
      <c r="Q3527" s="8">
        <v>0</v>
      </c>
      <c r="R3527" s="8">
        <v>0</v>
      </c>
      <c r="S3527" s="8">
        <v>0</v>
      </c>
      <c r="T3527" s="5">
        <v>0</v>
      </c>
      <c r="U3527" s="5">
        <v>0</v>
      </c>
      <c r="V3527" s="5">
        <f>VLOOKUP(A3527,Planilha1!B:E,4,0)</f>
        <v>13.599044988219518</v>
      </c>
    </row>
    <row r="3528" spans="1:22" x14ac:dyDescent="0.3">
      <c r="A3528" t="str">
        <f t="shared" si="110"/>
        <v>SPREADSLACTALIS</v>
      </c>
      <c r="B3528" t="str">
        <f t="shared" si="111"/>
        <v>5249870SPREADSLACTALIS</v>
      </c>
      <c r="C3528" s="5" t="s">
        <v>226</v>
      </c>
      <c r="D3528" s="5" t="s">
        <v>227</v>
      </c>
      <c r="E3528" s="5" t="s">
        <v>1722</v>
      </c>
      <c r="F3528" s="5">
        <v>5249870</v>
      </c>
      <c r="G3528" s="5" t="s">
        <v>580</v>
      </c>
      <c r="H3528" s="5" t="s">
        <v>30</v>
      </c>
      <c r="I3528" s="5" t="s">
        <v>22</v>
      </c>
      <c r="J3528" s="5" t="s">
        <v>945</v>
      </c>
      <c r="K3528" s="6">
        <v>0</v>
      </c>
      <c r="L3528" s="7">
        <v>4.8</v>
      </c>
      <c r="M3528" s="7">
        <v>0</v>
      </c>
      <c r="N3528" s="8">
        <v>1.5999999999999999</v>
      </c>
      <c r="O3528" s="8">
        <v>5.3850619503317603</v>
      </c>
      <c r="P3528" s="8">
        <v>0</v>
      </c>
      <c r="Q3528" s="8">
        <v>0</v>
      </c>
      <c r="R3528" s="8">
        <v>0</v>
      </c>
      <c r="S3528" s="8">
        <v>0</v>
      </c>
      <c r="T3528" s="5">
        <v>0</v>
      </c>
      <c r="U3528" s="5">
        <v>0</v>
      </c>
      <c r="V3528" s="5">
        <f>VLOOKUP(A3528,Planilha1!B:E,4,0)</f>
        <v>13.599044988219518</v>
      </c>
    </row>
    <row r="3529" spans="1:22" x14ac:dyDescent="0.3">
      <c r="A3529" t="str">
        <f t="shared" si="110"/>
        <v>SPREADSLACTALIS</v>
      </c>
      <c r="B3529" t="str">
        <f t="shared" si="111"/>
        <v>5253375SPREADSLACTALIS</v>
      </c>
      <c r="C3529" s="5" t="s">
        <v>226</v>
      </c>
      <c r="D3529" s="5" t="s">
        <v>227</v>
      </c>
      <c r="E3529" s="5" t="s">
        <v>1722</v>
      </c>
      <c r="F3529" s="5">
        <v>5253375</v>
      </c>
      <c r="G3529" s="5" t="s">
        <v>403</v>
      </c>
      <c r="H3529" s="5" t="s">
        <v>30</v>
      </c>
      <c r="I3529" s="5" t="s">
        <v>22</v>
      </c>
      <c r="J3529" s="5" t="s">
        <v>945</v>
      </c>
      <c r="K3529" s="6">
        <v>0</v>
      </c>
      <c r="L3529" s="7">
        <v>50</v>
      </c>
      <c r="M3529" s="7">
        <v>0</v>
      </c>
      <c r="N3529" s="8">
        <v>26</v>
      </c>
      <c r="O3529" s="8">
        <v>13.585172158297267</v>
      </c>
      <c r="P3529" s="8">
        <v>0</v>
      </c>
      <c r="Q3529" s="8">
        <v>0</v>
      </c>
      <c r="R3529" s="8">
        <v>0</v>
      </c>
      <c r="S3529" s="8">
        <v>0</v>
      </c>
      <c r="T3529" s="5">
        <v>0</v>
      </c>
      <c r="U3529" s="5">
        <v>0</v>
      </c>
      <c r="V3529" s="5">
        <f>VLOOKUP(A3529,Planilha1!B:E,4,0)</f>
        <v>13.599044988219518</v>
      </c>
    </row>
    <row r="3530" spans="1:22" x14ac:dyDescent="0.3">
      <c r="A3530" t="str">
        <f t="shared" si="110"/>
        <v>SPREADSLACTALIS</v>
      </c>
      <c r="B3530" t="str">
        <f t="shared" si="111"/>
        <v>5255030SPREADSLACTALIS</v>
      </c>
      <c r="C3530" s="5" t="s">
        <v>226</v>
      </c>
      <c r="D3530" s="5" t="s">
        <v>227</v>
      </c>
      <c r="E3530" s="5" t="s">
        <v>1722</v>
      </c>
      <c r="F3530" s="5">
        <v>5255030</v>
      </c>
      <c r="G3530" s="5" t="s">
        <v>1151</v>
      </c>
      <c r="H3530" s="5" t="s">
        <v>30</v>
      </c>
      <c r="I3530" s="5" t="s">
        <v>22</v>
      </c>
      <c r="J3530" s="5" t="s">
        <v>945</v>
      </c>
      <c r="K3530" s="6">
        <v>0</v>
      </c>
      <c r="L3530" s="7">
        <v>9.6</v>
      </c>
      <c r="M3530" s="7">
        <v>0</v>
      </c>
      <c r="N3530" s="8">
        <v>12.799999999999999</v>
      </c>
      <c r="O3530" s="8">
        <v>18.839169108779686</v>
      </c>
      <c r="P3530" s="8">
        <v>0</v>
      </c>
      <c r="Q3530" s="8">
        <v>0</v>
      </c>
      <c r="R3530" s="8">
        <v>0</v>
      </c>
      <c r="S3530" s="8">
        <v>0</v>
      </c>
      <c r="T3530" s="5">
        <v>0</v>
      </c>
      <c r="U3530" s="5">
        <v>0</v>
      </c>
      <c r="V3530" s="5">
        <f>VLOOKUP(A3530,Planilha1!B:E,4,0)</f>
        <v>13.599044988219518</v>
      </c>
    </row>
    <row r="3531" spans="1:22" x14ac:dyDescent="0.3">
      <c r="A3531" t="str">
        <f t="shared" si="110"/>
        <v>SPREADSLACTALIS</v>
      </c>
      <c r="B3531" t="str">
        <f t="shared" si="111"/>
        <v>5259915SPREADSLACTALIS</v>
      </c>
      <c r="C3531" s="5" t="s">
        <v>226</v>
      </c>
      <c r="D3531" s="5" t="s">
        <v>227</v>
      </c>
      <c r="E3531" s="5" t="s">
        <v>703</v>
      </c>
      <c r="F3531" s="5">
        <v>5259915</v>
      </c>
      <c r="G3531" s="5" t="s">
        <v>720</v>
      </c>
      <c r="H3531" s="5" t="s">
        <v>30</v>
      </c>
      <c r="I3531" s="5" t="s">
        <v>22</v>
      </c>
      <c r="J3531" s="5" t="s">
        <v>945</v>
      </c>
      <c r="K3531" s="6">
        <v>0</v>
      </c>
      <c r="L3531" s="7">
        <v>-67.2</v>
      </c>
      <c r="M3531" s="7">
        <v>0</v>
      </c>
      <c r="N3531" s="8">
        <v>16</v>
      </c>
      <c r="O3531" s="8">
        <v>55.92486558788984</v>
      </c>
      <c r="P3531" s="8">
        <v>0</v>
      </c>
      <c r="Q3531" s="8">
        <v>0</v>
      </c>
      <c r="R3531" s="8">
        <v>0</v>
      </c>
      <c r="S3531" s="8">
        <v>0</v>
      </c>
      <c r="T3531" s="5">
        <v>0</v>
      </c>
      <c r="U3531" s="5">
        <v>0</v>
      </c>
      <c r="V3531" s="5">
        <f>VLOOKUP(A3531,Planilha1!B:E,4,0)</f>
        <v>13.599044988219518</v>
      </c>
    </row>
    <row r="3532" spans="1:22" x14ac:dyDescent="0.3">
      <c r="A3532" t="str">
        <f t="shared" si="110"/>
        <v>SPREADSLACTALIS</v>
      </c>
      <c r="B3532" t="str">
        <f t="shared" si="111"/>
        <v>5260901SPREADSLACTALIS</v>
      </c>
      <c r="C3532" s="5" t="s">
        <v>149</v>
      </c>
      <c r="D3532" s="5" t="s">
        <v>150</v>
      </c>
      <c r="E3532" s="5" t="s">
        <v>151</v>
      </c>
      <c r="F3532" s="5">
        <v>5260901</v>
      </c>
      <c r="G3532" s="5" t="s">
        <v>1487</v>
      </c>
      <c r="H3532" s="5" t="s">
        <v>30</v>
      </c>
      <c r="I3532" s="5" t="s">
        <v>22</v>
      </c>
      <c r="J3532" s="5" t="s">
        <v>945</v>
      </c>
      <c r="K3532" s="6">
        <v>0</v>
      </c>
      <c r="L3532" s="7">
        <v>0</v>
      </c>
      <c r="M3532" s="7">
        <v>0</v>
      </c>
      <c r="N3532" s="8">
        <v>0</v>
      </c>
      <c r="O3532" s="8">
        <v>1.6753526067698812</v>
      </c>
      <c r="P3532" s="8">
        <v>0</v>
      </c>
      <c r="Q3532" s="8">
        <v>0</v>
      </c>
      <c r="R3532" s="8">
        <v>0</v>
      </c>
      <c r="S3532" s="8">
        <v>0</v>
      </c>
      <c r="T3532" s="5">
        <v>0</v>
      </c>
      <c r="U3532" s="5">
        <v>0</v>
      </c>
      <c r="V3532" s="5">
        <f>VLOOKUP(A3532,Planilha1!B:E,4,0)</f>
        <v>13.599044988219518</v>
      </c>
    </row>
    <row r="3533" spans="1:22" x14ac:dyDescent="0.3">
      <c r="A3533" t="str">
        <f t="shared" si="110"/>
        <v>SPREADSLACTALIS</v>
      </c>
      <c r="B3533" t="str">
        <f t="shared" si="111"/>
        <v>5261320SPREADSLACTALIS</v>
      </c>
      <c r="C3533" s="5" t="s">
        <v>226</v>
      </c>
      <c r="D3533" s="5" t="s">
        <v>227</v>
      </c>
      <c r="E3533" s="5" t="s">
        <v>1722</v>
      </c>
      <c r="F3533" s="5">
        <v>5261320</v>
      </c>
      <c r="G3533" s="5" t="s">
        <v>1612</v>
      </c>
      <c r="H3533" s="5" t="s">
        <v>30</v>
      </c>
      <c r="I3533" s="5" t="s">
        <v>22</v>
      </c>
      <c r="J3533" s="5" t="s">
        <v>945</v>
      </c>
      <c r="K3533" s="6">
        <v>0</v>
      </c>
      <c r="L3533" s="7">
        <v>0</v>
      </c>
      <c r="M3533" s="7">
        <v>0</v>
      </c>
      <c r="N3533" s="8">
        <v>0</v>
      </c>
      <c r="O3533" s="8">
        <v>1.6810510850242006</v>
      </c>
      <c r="P3533" s="8">
        <v>0</v>
      </c>
      <c r="Q3533" s="8">
        <v>0</v>
      </c>
      <c r="R3533" s="8">
        <v>0</v>
      </c>
      <c r="S3533" s="8">
        <v>0</v>
      </c>
      <c r="T3533" s="5">
        <v>0</v>
      </c>
      <c r="U3533" s="5">
        <v>0</v>
      </c>
      <c r="V3533" s="5">
        <f>VLOOKUP(A3533,Planilha1!B:E,4,0)</f>
        <v>13.599044988219518</v>
      </c>
    </row>
    <row r="3534" spans="1:22" x14ac:dyDescent="0.3">
      <c r="A3534" t="str">
        <f t="shared" si="110"/>
        <v>SPREADSLACTALIS</v>
      </c>
      <c r="B3534" t="str">
        <f t="shared" si="111"/>
        <v>5261641SPREADSLACTALIS</v>
      </c>
      <c r="C3534" s="5" t="s">
        <v>226</v>
      </c>
      <c r="D3534" s="5" t="s">
        <v>227</v>
      </c>
      <c r="E3534" s="5" t="s">
        <v>1722</v>
      </c>
      <c r="F3534" s="5">
        <v>5261641</v>
      </c>
      <c r="G3534" s="5" t="s">
        <v>592</v>
      </c>
      <c r="H3534" s="5" t="s">
        <v>30</v>
      </c>
      <c r="I3534" s="5" t="s">
        <v>22</v>
      </c>
      <c r="J3534" s="5" t="s">
        <v>945</v>
      </c>
      <c r="K3534" s="6">
        <v>0</v>
      </c>
      <c r="L3534" s="7">
        <v>0</v>
      </c>
      <c r="M3534" s="7">
        <v>0</v>
      </c>
      <c r="N3534" s="8">
        <v>0</v>
      </c>
      <c r="O3534" s="8">
        <v>0</v>
      </c>
      <c r="P3534" s="8">
        <v>0</v>
      </c>
      <c r="Q3534" s="8">
        <v>0</v>
      </c>
      <c r="R3534" s="8">
        <v>0</v>
      </c>
      <c r="S3534" s="8">
        <v>0</v>
      </c>
      <c r="T3534" s="5">
        <v>0</v>
      </c>
      <c r="U3534" s="5">
        <v>0</v>
      </c>
      <c r="V3534" s="5">
        <f>VLOOKUP(A3534,Planilha1!B:E,4,0)</f>
        <v>13.599044988219518</v>
      </c>
    </row>
    <row r="3535" spans="1:22" x14ac:dyDescent="0.3">
      <c r="A3535" t="str">
        <f t="shared" si="110"/>
        <v>SPREADSLACTALIS</v>
      </c>
      <c r="B3535" t="str">
        <f t="shared" si="111"/>
        <v>5262248SPREADSLACTALIS</v>
      </c>
      <c r="C3535" s="5" t="s">
        <v>226</v>
      </c>
      <c r="D3535" s="5" t="s">
        <v>227</v>
      </c>
      <c r="E3535" s="5" t="s">
        <v>1722</v>
      </c>
      <c r="F3535" s="5">
        <v>5262248</v>
      </c>
      <c r="G3535" s="5" t="s">
        <v>1613</v>
      </c>
      <c r="H3535" s="5" t="s">
        <v>30</v>
      </c>
      <c r="I3535" s="5" t="s">
        <v>22</v>
      </c>
      <c r="J3535" s="5" t="s">
        <v>945</v>
      </c>
      <c r="K3535" s="6">
        <v>0</v>
      </c>
      <c r="L3535" s="7">
        <v>0</v>
      </c>
      <c r="M3535" s="7">
        <v>0</v>
      </c>
      <c r="N3535" s="8">
        <v>4</v>
      </c>
      <c r="O3535" s="8">
        <v>0</v>
      </c>
      <c r="P3535" s="8">
        <v>0</v>
      </c>
      <c r="Q3535" s="8">
        <v>0</v>
      </c>
      <c r="R3535" s="8">
        <v>0</v>
      </c>
      <c r="S3535" s="8">
        <v>0</v>
      </c>
      <c r="T3535" s="5">
        <v>0</v>
      </c>
      <c r="U3535" s="5">
        <v>0</v>
      </c>
      <c r="V3535" s="5">
        <f>VLOOKUP(A3535,Planilha1!B:E,4,0)</f>
        <v>13.599044988219518</v>
      </c>
    </row>
    <row r="3536" spans="1:22" x14ac:dyDescent="0.3">
      <c r="A3536" t="str">
        <f t="shared" si="110"/>
        <v>SPREADSLACTALIS</v>
      </c>
      <c r="B3536" t="str">
        <f t="shared" si="111"/>
        <v>5262403SPREADSLACTALIS</v>
      </c>
      <c r="C3536" s="5" t="s">
        <v>226</v>
      </c>
      <c r="D3536" s="5" t="s">
        <v>227</v>
      </c>
      <c r="E3536" s="5" t="s">
        <v>1722</v>
      </c>
      <c r="F3536" s="5">
        <v>5262403</v>
      </c>
      <c r="G3536" s="5" t="s">
        <v>286</v>
      </c>
      <c r="H3536" s="5" t="s">
        <v>30</v>
      </c>
      <c r="I3536" s="5" t="s">
        <v>22</v>
      </c>
      <c r="J3536" s="5" t="s">
        <v>945</v>
      </c>
      <c r="K3536" s="6">
        <v>0</v>
      </c>
      <c r="L3536" s="7">
        <v>72</v>
      </c>
      <c r="M3536" s="7">
        <v>0</v>
      </c>
      <c r="N3536" s="8">
        <v>0</v>
      </c>
      <c r="O3536" s="8">
        <v>89.061516636756707</v>
      </c>
      <c r="P3536" s="8">
        <v>0</v>
      </c>
      <c r="Q3536" s="8">
        <v>0</v>
      </c>
      <c r="R3536" s="8">
        <v>0</v>
      </c>
      <c r="S3536" s="8">
        <v>0</v>
      </c>
      <c r="T3536" s="5">
        <v>0</v>
      </c>
      <c r="U3536" s="5">
        <v>0</v>
      </c>
      <c r="V3536" s="5">
        <f>VLOOKUP(A3536,Planilha1!B:E,4,0)</f>
        <v>13.599044988219518</v>
      </c>
    </row>
    <row r="3537" spans="1:22" x14ac:dyDescent="0.3">
      <c r="A3537" t="str">
        <f t="shared" si="110"/>
        <v>SPREADSLACTALIS</v>
      </c>
      <c r="B3537" t="str">
        <f t="shared" si="111"/>
        <v>5263181SPREADSLACTALIS</v>
      </c>
      <c r="C3537" s="5" t="s">
        <v>226</v>
      </c>
      <c r="D3537" s="5" t="s">
        <v>227</v>
      </c>
      <c r="E3537" s="5" t="s">
        <v>1722</v>
      </c>
      <c r="F3537" s="5">
        <v>5263181</v>
      </c>
      <c r="G3537" s="5" t="s">
        <v>418</v>
      </c>
      <c r="H3537" s="5" t="s">
        <v>30</v>
      </c>
      <c r="I3537" s="5" t="s">
        <v>22</v>
      </c>
      <c r="J3537" s="5" t="s">
        <v>945</v>
      </c>
      <c r="K3537" s="6">
        <v>0</v>
      </c>
      <c r="L3537" s="7">
        <v>0</v>
      </c>
      <c r="M3537" s="7">
        <v>0</v>
      </c>
      <c r="N3537" s="8">
        <v>0</v>
      </c>
      <c r="O3537" s="8">
        <v>1.1339971726095455</v>
      </c>
      <c r="P3537" s="8">
        <v>0</v>
      </c>
      <c r="Q3537" s="8">
        <v>0</v>
      </c>
      <c r="R3537" s="8">
        <v>0</v>
      </c>
      <c r="S3537" s="8">
        <v>0</v>
      </c>
      <c r="T3537" s="5">
        <v>0</v>
      </c>
      <c r="U3537" s="5">
        <v>0</v>
      </c>
      <c r="V3537" s="5">
        <f>VLOOKUP(A3537,Planilha1!B:E,4,0)</f>
        <v>13.599044988219518</v>
      </c>
    </row>
    <row r="3538" spans="1:22" x14ac:dyDescent="0.3">
      <c r="A3538" t="str">
        <f t="shared" si="110"/>
        <v>SPREADSLACTALIS</v>
      </c>
      <c r="B3538" t="str">
        <f t="shared" si="111"/>
        <v>5263654SPREADSLACTALIS</v>
      </c>
      <c r="C3538" s="5" t="s">
        <v>226</v>
      </c>
      <c r="D3538" s="5" t="s">
        <v>227</v>
      </c>
      <c r="E3538" s="5" t="s">
        <v>1722</v>
      </c>
      <c r="F3538" s="5">
        <v>5263654</v>
      </c>
      <c r="G3538" s="5" t="s">
        <v>1446</v>
      </c>
      <c r="H3538" s="5" t="s">
        <v>30</v>
      </c>
      <c r="I3538" s="5" t="s">
        <v>22</v>
      </c>
      <c r="J3538" s="5" t="s">
        <v>945</v>
      </c>
      <c r="K3538" s="6">
        <v>0</v>
      </c>
      <c r="L3538" s="7">
        <v>0</v>
      </c>
      <c r="M3538" s="7">
        <v>0</v>
      </c>
      <c r="N3538" s="8">
        <v>20</v>
      </c>
      <c r="O3538" s="8">
        <v>9.0149925983331691</v>
      </c>
      <c r="P3538" s="8">
        <v>0</v>
      </c>
      <c r="Q3538" s="8">
        <v>0</v>
      </c>
      <c r="R3538" s="8">
        <v>0</v>
      </c>
      <c r="S3538" s="8">
        <v>0</v>
      </c>
      <c r="T3538" s="5">
        <v>0</v>
      </c>
      <c r="U3538" s="5">
        <v>0</v>
      </c>
      <c r="V3538" s="5">
        <f>VLOOKUP(A3538,Planilha1!B:E,4,0)</f>
        <v>13.599044988219518</v>
      </c>
    </row>
    <row r="3539" spans="1:22" x14ac:dyDescent="0.3">
      <c r="A3539" t="str">
        <f t="shared" si="110"/>
        <v>SPREADSLACTALIS</v>
      </c>
      <c r="B3539" t="str">
        <f t="shared" si="111"/>
        <v>5264441SPREADSLACTALIS</v>
      </c>
      <c r="C3539" s="5" t="s">
        <v>226</v>
      </c>
      <c r="D3539" s="5" t="s">
        <v>227</v>
      </c>
      <c r="E3539" s="5" t="s">
        <v>1722</v>
      </c>
      <c r="F3539" s="5">
        <v>5264441</v>
      </c>
      <c r="G3539" s="5" t="s">
        <v>606</v>
      </c>
      <c r="H3539" s="5" t="s">
        <v>30</v>
      </c>
      <c r="I3539" s="5" t="s">
        <v>22</v>
      </c>
      <c r="J3539" s="5" t="s">
        <v>945</v>
      </c>
      <c r="K3539" s="6">
        <v>0</v>
      </c>
      <c r="L3539" s="7">
        <v>0</v>
      </c>
      <c r="M3539" s="7">
        <v>0</v>
      </c>
      <c r="N3539" s="8">
        <v>0</v>
      </c>
      <c r="O3539" s="8">
        <v>1.1226002161009068</v>
      </c>
      <c r="P3539" s="8">
        <v>0</v>
      </c>
      <c r="Q3539" s="8">
        <v>0</v>
      </c>
      <c r="R3539" s="8">
        <v>0</v>
      </c>
      <c r="S3539" s="8">
        <v>0</v>
      </c>
      <c r="T3539" s="5">
        <v>0</v>
      </c>
      <c r="U3539" s="5">
        <v>0</v>
      </c>
      <c r="V3539" s="5">
        <f>VLOOKUP(A3539,Planilha1!B:E,4,0)</f>
        <v>13.599044988219518</v>
      </c>
    </row>
    <row r="3540" spans="1:22" x14ac:dyDescent="0.3">
      <c r="A3540" t="str">
        <f t="shared" si="110"/>
        <v>SPREADSLACTALIS</v>
      </c>
      <c r="B3540" t="str">
        <f t="shared" si="111"/>
        <v>5266124SPREADSLACTALIS</v>
      </c>
      <c r="C3540" s="5" t="s">
        <v>226</v>
      </c>
      <c r="D3540" s="5" t="s">
        <v>227</v>
      </c>
      <c r="E3540" s="5" t="s">
        <v>1722</v>
      </c>
      <c r="F3540" s="5">
        <v>5266124</v>
      </c>
      <c r="G3540" s="5" t="s">
        <v>427</v>
      </c>
      <c r="H3540" s="5" t="s">
        <v>30</v>
      </c>
      <c r="I3540" s="5" t="s">
        <v>22</v>
      </c>
      <c r="J3540" s="5" t="s">
        <v>945</v>
      </c>
      <c r="K3540" s="6">
        <v>0</v>
      </c>
      <c r="L3540" s="7">
        <v>0</v>
      </c>
      <c r="M3540" s="7">
        <v>0</v>
      </c>
      <c r="N3540" s="8">
        <v>1.5999999999999999</v>
      </c>
      <c r="O3540" s="8">
        <v>2.7124756490559978</v>
      </c>
      <c r="P3540" s="8">
        <v>0</v>
      </c>
      <c r="Q3540" s="8">
        <v>0</v>
      </c>
      <c r="R3540" s="8">
        <v>0</v>
      </c>
      <c r="S3540" s="8">
        <v>0</v>
      </c>
      <c r="T3540" s="5">
        <v>0</v>
      </c>
      <c r="U3540" s="5">
        <v>0</v>
      </c>
      <c r="V3540" s="5">
        <f>VLOOKUP(A3540,Planilha1!B:E,4,0)</f>
        <v>13.599044988219518</v>
      </c>
    </row>
    <row r="3541" spans="1:22" x14ac:dyDescent="0.3">
      <c r="A3541" t="str">
        <f t="shared" si="110"/>
        <v>SPREADSLACTALIS</v>
      </c>
      <c r="B3541" t="str">
        <f t="shared" si="111"/>
        <v>5266491SPREADSLACTALIS</v>
      </c>
      <c r="C3541" s="5" t="s">
        <v>226</v>
      </c>
      <c r="D3541" s="5" t="s">
        <v>227</v>
      </c>
      <c r="E3541" s="5" t="s">
        <v>1722</v>
      </c>
      <c r="F3541" s="5">
        <v>5266491</v>
      </c>
      <c r="G3541" s="5" t="s">
        <v>433</v>
      </c>
      <c r="H3541" s="5" t="s">
        <v>30</v>
      </c>
      <c r="I3541" s="5" t="s">
        <v>22</v>
      </c>
      <c r="J3541" s="5" t="s">
        <v>945</v>
      </c>
      <c r="K3541" s="6">
        <v>0</v>
      </c>
      <c r="L3541" s="7">
        <v>0</v>
      </c>
      <c r="M3541" s="7">
        <v>0</v>
      </c>
      <c r="N3541" s="8">
        <v>0</v>
      </c>
      <c r="O3541" s="8">
        <v>1.6981465197871584</v>
      </c>
      <c r="P3541" s="8">
        <v>0</v>
      </c>
      <c r="Q3541" s="8">
        <v>3</v>
      </c>
      <c r="R3541" s="8">
        <v>0</v>
      </c>
      <c r="S3541" s="8">
        <v>0</v>
      </c>
      <c r="T3541" s="5">
        <v>0</v>
      </c>
      <c r="U3541" s="5">
        <v>0</v>
      </c>
      <c r="V3541" s="5">
        <f>VLOOKUP(A3541,Planilha1!B:E,4,0)</f>
        <v>13.599044988219518</v>
      </c>
    </row>
    <row r="3542" spans="1:22" x14ac:dyDescent="0.3">
      <c r="A3542" t="str">
        <f t="shared" si="110"/>
        <v>SPREADSLACTALIS</v>
      </c>
      <c r="B3542" t="str">
        <f t="shared" si="111"/>
        <v>5270158SPREADSLACTALIS</v>
      </c>
      <c r="C3542" s="5" t="s">
        <v>226</v>
      </c>
      <c r="D3542" s="5" t="s">
        <v>227</v>
      </c>
      <c r="E3542" s="5" t="s">
        <v>1722</v>
      </c>
      <c r="F3542" s="5">
        <v>5270158</v>
      </c>
      <c r="G3542" s="5" t="s">
        <v>441</v>
      </c>
      <c r="H3542" s="5" t="s">
        <v>30</v>
      </c>
      <c r="I3542" s="5" t="s">
        <v>22</v>
      </c>
      <c r="J3542" s="5" t="s">
        <v>945</v>
      </c>
      <c r="K3542" s="6">
        <v>0</v>
      </c>
      <c r="L3542" s="7">
        <v>4</v>
      </c>
      <c r="M3542" s="7">
        <v>0</v>
      </c>
      <c r="N3542" s="8">
        <v>2.6666666666666665</v>
      </c>
      <c r="O3542" s="8">
        <v>1.1339971726095455</v>
      </c>
      <c r="P3542" s="8">
        <v>0</v>
      </c>
      <c r="Q3542" s="8">
        <v>4</v>
      </c>
      <c r="R3542" s="8">
        <v>0</v>
      </c>
      <c r="S3542" s="8">
        <v>0</v>
      </c>
      <c r="T3542" s="5">
        <v>0</v>
      </c>
      <c r="U3542" s="5">
        <v>0</v>
      </c>
      <c r="V3542" s="5">
        <f>VLOOKUP(A3542,Planilha1!B:E,4,0)</f>
        <v>13.599044988219518</v>
      </c>
    </row>
    <row r="3543" spans="1:22" x14ac:dyDescent="0.3">
      <c r="A3543" t="str">
        <f t="shared" si="110"/>
        <v>SPREADSLACTALIS</v>
      </c>
      <c r="B3543" t="str">
        <f t="shared" si="111"/>
        <v>5270159SPREADSLACTALIS</v>
      </c>
      <c r="C3543" s="5" t="s">
        <v>226</v>
      </c>
      <c r="D3543" s="5" t="s">
        <v>227</v>
      </c>
      <c r="E3543" s="5" t="s">
        <v>1722</v>
      </c>
      <c r="F3543" s="5">
        <v>5270159</v>
      </c>
      <c r="G3543" s="5" t="s">
        <v>442</v>
      </c>
      <c r="H3543" s="5" t="s">
        <v>30</v>
      </c>
      <c r="I3543" s="5" t="s">
        <v>22</v>
      </c>
      <c r="J3543" s="5" t="s">
        <v>945</v>
      </c>
      <c r="K3543" s="6">
        <v>0</v>
      </c>
      <c r="L3543" s="7">
        <v>0</v>
      </c>
      <c r="M3543" s="7">
        <v>0</v>
      </c>
      <c r="N3543" s="8">
        <v>1.3333333333333333</v>
      </c>
      <c r="O3543" s="8">
        <v>0</v>
      </c>
      <c r="P3543" s="8">
        <v>0</v>
      </c>
      <c r="Q3543" s="8">
        <v>8</v>
      </c>
      <c r="R3543" s="8">
        <v>0</v>
      </c>
      <c r="S3543" s="8">
        <v>0</v>
      </c>
      <c r="T3543" s="5">
        <v>0</v>
      </c>
      <c r="U3543" s="5">
        <v>0</v>
      </c>
      <c r="V3543" s="5">
        <f>VLOOKUP(A3543,Planilha1!B:E,4,0)</f>
        <v>13.599044988219518</v>
      </c>
    </row>
    <row r="3544" spans="1:22" x14ac:dyDescent="0.3">
      <c r="A3544" t="str">
        <f t="shared" si="110"/>
        <v>SPREADSLACTALIS</v>
      </c>
      <c r="B3544" t="str">
        <f t="shared" si="111"/>
        <v>5274693SPREADSLACTALIS</v>
      </c>
      <c r="C3544" s="5" t="s">
        <v>226</v>
      </c>
      <c r="D3544" s="5" t="s">
        <v>227</v>
      </c>
      <c r="E3544" s="5" t="s">
        <v>1722</v>
      </c>
      <c r="F3544" s="5">
        <v>5274693</v>
      </c>
      <c r="G3544" s="5" t="s">
        <v>1321</v>
      </c>
      <c r="H3544" s="5" t="s">
        <v>30</v>
      </c>
      <c r="I3544" s="5" t="s">
        <v>22</v>
      </c>
      <c r="J3544" s="5" t="s">
        <v>945</v>
      </c>
      <c r="K3544" s="6">
        <v>0</v>
      </c>
      <c r="L3544" s="7">
        <v>0</v>
      </c>
      <c r="M3544" s="7">
        <v>0</v>
      </c>
      <c r="N3544" s="8">
        <v>4.0333333333333332</v>
      </c>
      <c r="O3544" s="8">
        <v>0</v>
      </c>
      <c r="P3544" s="8">
        <v>0</v>
      </c>
      <c r="Q3544" s="8">
        <v>0</v>
      </c>
      <c r="R3544" s="8">
        <v>0</v>
      </c>
      <c r="S3544" s="8">
        <v>0</v>
      </c>
      <c r="T3544" s="5">
        <v>0</v>
      </c>
      <c r="U3544" s="5">
        <v>0</v>
      </c>
      <c r="V3544" s="5">
        <f>VLOOKUP(A3544,Planilha1!B:E,4,0)</f>
        <v>13.599044988219518</v>
      </c>
    </row>
    <row r="3545" spans="1:22" x14ac:dyDescent="0.3">
      <c r="A3545" t="str">
        <f t="shared" si="110"/>
        <v>SPREADSLACTALIS</v>
      </c>
      <c r="B3545" t="str">
        <f t="shared" si="111"/>
        <v>5278208SPREADSLACTALIS</v>
      </c>
      <c r="C3545" s="5" t="s">
        <v>226</v>
      </c>
      <c r="D3545" s="5" t="s">
        <v>227</v>
      </c>
      <c r="E3545" s="5" t="s">
        <v>703</v>
      </c>
      <c r="F3545" s="5">
        <v>5278208</v>
      </c>
      <c r="G3545" s="5" t="s">
        <v>723</v>
      </c>
      <c r="H3545" s="5" t="s">
        <v>30</v>
      </c>
      <c r="I3545" s="5" t="s">
        <v>22</v>
      </c>
      <c r="J3545" s="5" t="s">
        <v>945</v>
      </c>
      <c r="K3545" s="6">
        <v>0</v>
      </c>
      <c r="L3545" s="7">
        <v>0</v>
      </c>
      <c r="M3545" s="7">
        <v>0</v>
      </c>
      <c r="N3545" s="8">
        <v>10.153333333333332</v>
      </c>
      <c r="O3545" s="8">
        <v>8.8896260767381445</v>
      </c>
      <c r="P3545" s="8">
        <v>0</v>
      </c>
      <c r="Q3545" s="8">
        <v>0</v>
      </c>
      <c r="R3545" s="8">
        <v>0</v>
      </c>
      <c r="S3545" s="8">
        <v>0</v>
      </c>
      <c r="T3545" s="5">
        <v>0</v>
      </c>
      <c r="U3545" s="5">
        <v>0</v>
      </c>
      <c r="V3545" s="5">
        <f>VLOOKUP(A3545,Planilha1!B:E,4,0)</f>
        <v>13.599044988219518</v>
      </c>
    </row>
    <row r="3546" spans="1:22" x14ac:dyDescent="0.3">
      <c r="A3546" t="str">
        <f t="shared" si="110"/>
        <v>SPREADSLACTALIS</v>
      </c>
      <c r="B3546" t="str">
        <f t="shared" si="111"/>
        <v>5278224SPREADSLACTALIS</v>
      </c>
      <c r="C3546" s="5" t="s">
        <v>226</v>
      </c>
      <c r="D3546" s="5" t="s">
        <v>227</v>
      </c>
      <c r="E3546" s="5" t="s">
        <v>1722</v>
      </c>
      <c r="F3546" s="5">
        <v>5278224</v>
      </c>
      <c r="G3546" s="5" t="s">
        <v>1614</v>
      </c>
      <c r="H3546" s="5" t="s">
        <v>30</v>
      </c>
      <c r="I3546" s="5" t="s">
        <v>22</v>
      </c>
      <c r="J3546" s="5" t="s">
        <v>945</v>
      </c>
      <c r="K3546" s="6">
        <v>0</v>
      </c>
      <c r="L3546" s="7">
        <v>0</v>
      </c>
      <c r="M3546" s="7">
        <v>0</v>
      </c>
      <c r="N3546" s="8">
        <v>-2.6</v>
      </c>
      <c r="O3546" s="8">
        <v>0</v>
      </c>
      <c r="P3546" s="8">
        <v>0</v>
      </c>
      <c r="Q3546" s="8">
        <v>0</v>
      </c>
      <c r="R3546" s="8">
        <v>0</v>
      </c>
      <c r="S3546" s="8">
        <v>0</v>
      </c>
      <c r="T3546" s="5">
        <v>0</v>
      </c>
      <c r="U3546" s="5">
        <v>0</v>
      </c>
      <c r="V3546" s="5">
        <f>VLOOKUP(A3546,Planilha1!B:E,4,0)</f>
        <v>13.599044988219518</v>
      </c>
    </row>
    <row r="3547" spans="1:22" x14ac:dyDescent="0.3">
      <c r="A3547" t="str">
        <f t="shared" si="110"/>
        <v>SPREADSLACTALIS</v>
      </c>
      <c r="B3547" t="str">
        <f t="shared" si="111"/>
        <v>5278430SPREADSLACTALIS</v>
      </c>
      <c r="C3547" s="5" t="s">
        <v>226</v>
      </c>
      <c r="D3547" s="5" t="s">
        <v>227</v>
      </c>
      <c r="E3547" s="5" t="s">
        <v>1722</v>
      </c>
      <c r="F3547" s="5">
        <v>5278430</v>
      </c>
      <c r="G3547" s="5" t="s">
        <v>444</v>
      </c>
      <c r="H3547" s="5" t="s">
        <v>30</v>
      </c>
      <c r="I3547" s="5" t="s">
        <v>22</v>
      </c>
      <c r="J3547" s="5" t="s">
        <v>945</v>
      </c>
      <c r="K3547" s="6">
        <v>0</v>
      </c>
      <c r="L3547" s="7">
        <v>0</v>
      </c>
      <c r="M3547" s="7">
        <v>0</v>
      </c>
      <c r="N3547" s="8">
        <v>3.0399999999999996</v>
      </c>
      <c r="O3547" s="8">
        <v>0</v>
      </c>
      <c r="P3547" s="8">
        <v>0</v>
      </c>
      <c r="Q3547" s="8">
        <v>0</v>
      </c>
      <c r="R3547" s="8">
        <v>0</v>
      </c>
      <c r="S3547" s="8">
        <v>0</v>
      </c>
      <c r="T3547" s="5">
        <v>0</v>
      </c>
      <c r="U3547" s="5">
        <v>0</v>
      </c>
      <c r="V3547" s="5">
        <f>VLOOKUP(A3547,Planilha1!B:E,4,0)</f>
        <v>13.599044988219518</v>
      </c>
    </row>
    <row r="3548" spans="1:22" x14ac:dyDescent="0.3">
      <c r="A3548" t="str">
        <f t="shared" si="110"/>
        <v>SPREADSLACTALIS</v>
      </c>
      <c r="B3548" t="str">
        <f t="shared" si="111"/>
        <v>5278586SPREADSLACTALIS</v>
      </c>
      <c r="C3548" s="5" t="s">
        <v>226</v>
      </c>
      <c r="D3548" s="5" t="s">
        <v>227</v>
      </c>
      <c r="E3548" s="5" t="s">
        <v>1722</v>
      </c>
      <c r="F3548" s="5">
        <v>5278586</v>
      </c>
      <c r="G3548" s="5" t="s">
        <v>1447</v>
      </c>
      <c r="H3548" s="5" t="s">
        <v>30</v>
      </c>
      <c r="I3548" s="5" t="s">
        <v>22</v>
      </c>
      <c r="J3548" s="5" t="s">
        <v>945</v>
      </c>
      <c r="K3548" s="6">
        <v>0</v>
      </c>
      <c r="L3548" s="7">
        <v>0</v>
      </c>
      <c r="M3548" s="7">
        <v>0</v>
      </c>
      <c r="N3548" s="8">
        <v>6.6666666666666661</v>
      </c>
      <c r="O3548" s="8">
        <v>0</v>
      </c>
      <c r="P3548" s="8">
        <v>0</v>
      </c>
      <c r="Q3548" s="8">
        <v>0</v>
      </c>
      <c r="R3548" s="8">
        <v>0</v>
      </c>
      <c r="S3548" s="8">
        <v>0</v>
      </c>
      <c r="T3548" s="5">
        <v>0</v>
      </c>
      <c r="U3548" s="5">
        <v>0</v>
      </c>
      <c r="V3548" s="5">
        <f>VLOOKUP(A3548,Planilha1!B:E,4,0)</f>
        <v>13.599044988219518</v>
      </c>
    </row>
    <row r="3549" spans="1:22" x14ac:dyDescent="0.3">
      <c r="A3549" t="str">
        <f t="shared" si="110"/>
        <v>SPREADSLACTALIS</v>
      </c>
      <c r="B3549" t="str">
        <f t="shared" si="111"/>
        <v>5286570SPREADSLACTALIS</v>
      </c>
      <c r="C3549" s="5" t="s">
        <v>226</v>
      </c>
      <c r="D3549" s="5" t="s">
        <v>227</v>
      </c>
      <c r="E3549" s="5" t="s">
        <v>1722</v>
      </c>
      <c r="F3549" s="5">
        <v>5286570</v>
      </c>
      <c r="G3549" s="5" t="s">
        <v>1328</v>
      </c>
      <c r="H3549" s="5" t="s">
        <v>30</v>
      </c>
      <c r="I3549" s="5" t="s">
        <v>22</v>
      </c>
      <c r="J3549" s="5" t="s">
        <v>945</v>
      </c>
      <c r="K3549" s="6">
        <v>0</v>
      </c>
      <c r="L3549" s="7">
        <v>4.8</v>
      </c>
      <c r="M3549" s="7">
        <v>0</v>
      </c>
      <c r="N3549" s="8">
        <v>1.5999999999999999</v>
      </c>
      <c r="O3549" s="8">
        <v>1.3448408680193602</v>
      </c>
      <c r="P3549" s="8">
        <v>0</v>
      </c>
      <c r="Q3549" s="8">
        <v>0</v>
      </c>
      <c r="R3549" s="8">
        <v>0</v>
      </c>
      <c r="S3549" s="8">
        <v>0</v>
      </c>
      <c r="T3549" s="5">
        <v>0</v>
      </c>
      <c r="U3549" s="5">
        <v>0</v>
      </c>
      <c r="V3549" s="5">
        <f>VLOOKUP(A3549,Planilha1!B:E,4,0)</f>
        <v>13.599044988219518</v>
      </c>
    </row>
    <row r="3550" spans="1:22" x14ac:dyDescent="0.3">
      <c r="A3550" t="str">
        <f t="shared" si="110"/>
        <v>SPREADSLACTALIS</v>
      </c>
      <c r="B3550" t="str">
        <f t="shared" si="111"/>
        <v>5287035SPREADSLACTALIS</v>
      </c>
      <c r="C3550" s="5" t="s">
        <v>226</v>
      </c>
      <c r="D3550" s="5" t="s">
        <v>227</v>
      </c>
      <c r="E3550" s="5" t="s">
        <v>1722</v>
      </c>
      <c r="F3550" s="5">
        <v>5287035</v>
      </c>
      <c r="G3550" s="5" t="s">
        <v>320</v>
      </c>
      <c r="H3550" s="5" t="s">
        <v>30</v>
      </c>
      <c r="I3550" s="5" t="s">
        <v>22</v>
      </c>
      <c r="J3550" s="5" t="s">
        <v>945</v>
      </c>
      <c r="K3550" s="6">
        <v>0</v>
      </c>
      <c r="L3550" s="7">
        <v>40</v>
      </c>
      <c r="M3550" s="7">
        <v>0</v>
      </c>
      <c r="N3550" s="8">
        <v>40</v>
      </c>
      <c r="O3550" s="8">
        <v>56.36934689172675</v>
      </c>
      <c r="P3550" s="8">
        <v>0</v>
      </c>
      <c r="Q3550" s="8">
        <v>0</v>
      </c>
      <c r="R3550" s="8">
        <v>0</v>
      </c>
      <c r="S3550" s="8">
        <v>0</v>
      </c>
      <c r="T3550" s="5">
        <v>0</v>
      </c>
      <c r="U3550" s="5">
        <v>0</v>
      </c>
      <c r="V3550" s="5">
        <f>VLOOKUP(A3550,Planilha1!B:E,4,0)</f>
        <v>13.599044988219518</v>
      </c>
    </row>
    <row r="3551" spans="1:22" x14ac:dyDescent="0.3">
      <c r="A3551" t="str">
        <f t="shared" si="110"/>
        <v>SPREADSLACTALIS</v>
      </c>
      <c r="B3551" t="str">
        <f t="shared" si="111"/>
        <v>5288519SPREADSLACTALIS</v>
      </c>
      <c r="C3551" s="5" t="s">
        <v>226</v>
      </c>
      <c r="D3551" s="5" t="s">
        <v>227</v>
      </c>
      <c r="E3551" s="5" t="s">
        <v>1722</v>
      </c>
      <c r="F3551" s="5">
        <v>5288519</v>
      </c>
      <c r="G3551" s="5" t="s">
        <v>632</v>
      </c>
      <c r="H3551" s="5" t="s">
        <v>30</v>
      </c>
      <c r="I3551" s="5" t="s">
        <v>22</v>
      </c>
      <c r="J3551" s="5" t="s">
        <v>945</v>
      </c>
      <c r="K3551" s="6">
        <v>0</v>
      </c>
      <c r="L3551" s="7">
        <v>8</v>
      </c>
      <c r="M3551" s="7">
        <v>0</v>
      </c>
      <c r="N3551" s="8">
        <v>0</v>
      </c>
      <c r="O3551" s="8">
        <v>2.2395019539474941</v>
      </c>
      <c r="P3551" s="8">
        <v>0</v>
      </c>
      <c r="Q3551" s="8">
        <v>0</v>
      </c>
      <c r="R3551" s="8">
        <v>0</v>
      </c>
      <c r="S3551" s="8">
        <v>0</v>
      </c>
      <c r="T3551" s="5">
        <v>0</v>
      </c>
      <c r="U3551" s="5">
        <v>0</v>
      </c>
      <c r="V3551" s="5">
        <f>VLOOKUP(A3551,Planilha1!B:E,4,0)</f>
        <v>13.599044988219518</v>
      </c>
    </row>
    <row r="3552" spans="1:22" x14ac:dyDescent="0.3">
      <c r="A3552" t="str">
        <f t="shared" si="110"/>
        <v>SPREADSLACTALIS</v>
      </c>
      <c r="B3552" t="str">
        <f t="shared" si="111"/>
        <v>5289019SPREADSLACTALIS</v>
      </c>
      <c r="C3552" s="5" t="s">
        <v>226</v>
      </c>
      <c r="D3552" s="5" t="s">
        <v>227</v>
      </c>
      <c r="E3552" s="5" t="s">
        <v>1722</v>
      </c>
      <c r="F3552" s="5">
        <v>5289019</v>
      </c>
      <c r="G3552" s="5" t="s">
        <v>460</v>
      </c>
      <c r="H3552" s="5" t="s">
        <v>30</v>
      </c>
      <c r="I3552" s="5" t="s">
        <v>22</v>
      </c>
      <c r="J3552" s="5" t="s">
        <v>945</v>
      </c>
      <c r="K3552" s="6">
        <v>0</v>
      </c>
      <c r="L3552" s="7">
        <v>8</v>
      </c>
      <c r="M3552" s="7">
        <v>0</v>
      </c>
      <c r="N3552" s="8">
        <v>2.6666666666666665</v>
      </c>
      <c r="O3552" s="8">
        <v>2.2622958669647715</v>
      </c>
      <c r="P3552" s="8">
        <v>0</v>
      </c>
      <c r="Q3552" s="8">
        <v>0</v>
      </c>
      <c r="R3552" s="8">
        <v>0</v>
      </c>
      <c r="S3552" s="8">
        <v>0</v>
      </c>
      <c r="T3552" s="5">
        <v>0</v>
      </c>
      <c r="U3552" s="5">
        <v>0</v>
      </c>
      <c r="V3552" s="5">
        <f>VLOOKUP(A3552,Planilha1!B:E,4,0)</f>
        <v>13.599044988219518</v>
      </c>
    </row>
    <row r="3553" spans="1:22" x14ac:dyDescent="0.3">
      <c r="A3553" t="str">
        <f t="shared" si="110"/>
        <v>SPREADSLACTALIS</v>
      </c>
      <c r="B3553" t="str">
        <f t="shared" si="111"/>
        <v>5292037SPREADSLACTALIS</v>
      </c>
      <c r="C3553" s="5" t="s">
        <v>226</v>
      </c>
      <c r="D3553" s="5" t="s">
        <v>227</v>
      </c>
      <c r="E3553" s="5" t="s">
        <v>1722</v>
      </c>
      <c r="F3553" s="5">
        <v>5292037</v>
      </c>
      <c r="G3553" s="5" t="s">
        <v>462</v>
      </c>
      <c r="H3553" s="5" t="s">
        <v>30</v>
      </c>
      <c r="I3553" s="5" t="s">
        <v>22</v>
      </c>
      <c r="J3553" s="5" t="s">
        <v>945</v>
      </c>
      <c r="K3553" s="6">
        <v>0</v>
      </c>
      <c r="L3553" s="7">
        <v>0</v>
      </c>
      <c r="M3553" s="7">
        <v>0</v>
      </c>
      <c r="N3553" s="8">
        <v>2.6666666666666665</v>
      </c>
      <c r="O3553" s="8">
        <v>2.2622958669647715</v>
      </c>
      <c r="P3553" s="8">
        <v>0</v>
      </c>
      <c r="Q3553" s="8">
        <v>0</v>
      </c>
      <c r="R3553" s="8">
        <v>0</v>
      </c>
      <c r="S3553" s="8">
        <v>0</v>
      </c>
      <c r="T3553" s="5">
        <v>0</v>
      </c>
      <c r="U3553" s="5">
        <v>0</v>
      </c>
      <c r="V3553" s="5">
        <f>VLOOKUP(A3553,Planilha1!B:E,4,0)</f>
        <v>13.599044988219518</v>
      </c>
    </row>
    <row r="3554" spans="1:22" x14ac:dyDescent="0.3">
      <c r="A3554" t="str">
        <f t="shared" si="110"/>
        <v>SPREADSLACTALIS</v>
      </c>
      <c r="B3554" t="str">
        <f t="shared" si="111"/>
        <v>5292598SPREADSLACTALIS</v>
      </c>
      <c r="C3554" s="5" t="s">
        <v>226</v>
      </c>
      <c r="D3554" s="5" t="s">
        <v>227</v>
      </c>
      <c r="E3554" s="5" t="s">
        <v>1722</v>
      </c>
      <c r="F3554" s="5">
        <v>5292598</v>
      </c>
      <c r="G3554" s="5" t="s">
        <v>636</v>
      </c>
      <c r="H3554" s="5" t="s">
        <v>30</v>
      </c>
      <c r="I3554" s="5" t="s">
        <v>22</v>
      </c>
      <c r="J3554" s="5" t="s">
        <v>945</v>
      </c>
      <c r="K3554" s="6">
        <v>0</v>
      </c>
      <c r="L3554" s="7">
        <v>4</v>
      </c>
      <c r="M3554" s="7">
        <v>0</v>
      </c>
      <c r="N3554" s="8">
        <v>1.3333333333333333</v>
      </c>
      <c r="O3554" s="8">
        <v>1.1226002161009068</v>
      </c>
      <c r="P3554" s="8">
        <v>0</v>
      </c>
      <c r="Q3554" s="8">
        <v>4</v>
      </c>
      <c r="R3554" s="8">
        <v>0</v>
      </c>
      <c r="S3554" s="8">
        <v>0</v>
      </c>
      <c r="T3554" s="5">
        <v>0</v>
      </c>
      <c r="U3554" s="5">
        <v>0</v>
      </c>
      <c r="V3554" s="5">
        <f>VLOOKUP(A3554,Planilha1!B:E,4,0)</f>
        <v>13.599044988219518</v>
      </c>
    </row>
    <row r="3555" spans="1:22" x14ac:dyDescent="0.3">
      <c r="A3555" t="str">
        <f t="shared" si="110"/>
        <v>SPREADSLACTALIS</v>
      </c>
      <c r="B3555" t="str">
        <f t="shared" si="111"/>
        <v>5293026SPREADSLACTALIS</v>
      </c>
      <c r="C3555" s="5" t="s">
        <v>226</v>
      </c>
      <c r="D3555" s="5" t="s">
        <v>227</v>
      </c>
      <c r="E3555" s="5" t="s">
        <v>1722</v>
      </c>
      <c r="F3555" s="5">
        <v>5293026</v>
      </c>
      <c r="G3555" s="5" t="s">
        <v>1188</v>
      </c>
      <c r="H3555" s="5" t="s">
        <v>30</v>
      </c>
      <c r="I3555" s="5" t="s">
        <v>22</v>
      </c>
      <c r="J3555" s="5" t="s">
        <v>945</v>
      </c>
      <c r="K3555" s="6">
        <v>0</v>
      </c>
      <c r="L3555" s="7">
        <v>0</v>
      </c>
      <c r="M3555" s="7">
        <v>0</v>
      </c>
      <c r="N3555" s="8">
        <v>0</v>
      </c>
      <c r="O3555" s="8">
        <v>0</v>
      </c>
      <c r="P3555" s="8">
        <v>0</v>
      </c>
      <c r="Q3555" s="8">
        <v>0</v>
      </c>
      <c r="R3555" s="8">
        <v>0</v>
      </c>
      <c r="S3555" s="8">
        <v>0</v>
      </c>
      <c r="T3555" s="5">
        <v>0</v>
      </c>
      <c r="U3555" s="5">
        <v>0</v>
      </c>
      <c r="V3555" s="5">
        <f>VLOOKUP(A3555,Planilha1!B:E,4,0)</f>
        <v>13.599044988219518</v>
      </c>
    </row>
    <row r="3556" spans="1:22" x14ac:dyDescent="0.3">
      <c r="A3556" t="str">
        <f t="shared" si="110"/>
        <v>SPREADSLACTALIS</v>
      </c>
      <c r="B3556" t="str">
        <f t="shared" si="111"/>
        <v>5293401SPREADSLACTALIS</v>
      </c>
      <c r="C3556" s="5" t="s">
        <v>226</v>
      </c>
      <c r="D3556" s="5" t="s">
        <v>227</v>
      </c>
      <c r="E3556" s="5" t="s">
        <v>1722</v>
      </c>
      <c r="F3556" s="5">
        <v>5293401</v>
      </c>
      <c r="G3556" s="5" t="s">
        <v>1492</v>
      </c>
      <c r="H3556" s="5" t="s">
        <v>30</v>
      </c>
      <c r="I3556" s="5" t="s">
        <v>22</v>
      </c>
      <c r="J3556" s="5" t="s">
        <v>945</v>
      </c>
      <c r="K3556" s="6">
        <v>0</v>
      </c>
      <c r="L3556" s="7">
        <v>0</v>
      </c>
      <c r="M3556" s="7">
        <v>0</v>
      </c>
      <c r="N3556" s="8">
        <v>0</v>
      </c>
      <c r="O3556" s="8">
        <v>0</v>
      </c>
      <c r="P3556" s="8">
        <v>0</v>
      </c>
      <c r="Q3556" s="8">
        <v>0</v>
      </c>
      <c r="R3556" s="8">
        <v>0</v>
      </c>
      <c r="S3556" s="8">
        <v>0</v>
      </c>
      <c r="T3556" s="5">
        <v>0</v>
      </c>
      <c r="U3556" s="5">
        <v>0</v>
      </c>
      <c r="V3556" s="5">
        <f>VLOOKUP(A3556,Planilha1!B:E,4,0)</f>
        <v>13.599044988219518</v>
      </c>
    </row>
    <row r="3557" spans="1:22" x14ac:dyDescent="0.3">
      <c r="A3557" t="str">
        <f t="shared" si="110"/>
        <v>SPREADSLACTALIS</v>
      </c>
      <c r="B3557" t="str">
        <f t="shared" si="111"/>
        <v>5299403SPREADSLACTALIS</v>
      </c>
      <c r="C3557" s="5" t="s">
        <v>226</v>
      </c>
      <c r="D3557" s="5" t="s">
        <v>227</v>
      </c>
      <c r="E3557" s="5" t="s">
        <v>1722</v>
      </c>
      <c r="F3557" s="5">
        <v>5299403</v>
      </c>
      <c r="G3557" s="5" t="s">
        <v>321</v>
      </c>
      <c r="H3557" s="5" t="s">
        <v>30</v>
      </c>
      <c r="I3557" s="5" t="s">
        <v>22</v>
      </c>
      <c r="J3557" s="5" t="s">
        <v>945</v>
      </c>
      <c r="K3557" s="6">
        <v>0</v>
      </c>
      <c r="L3557" s="7">
        <v>0</v>
      </c>
      <c r="M3557" s="7">
        <v>0</v>
      </c>
      <c r="N3557" s="8">
        <v>0</v>
      </c>
      <c r="O3557" s="8">
        <v>2.2452004322018135</v>
      </c>
      <c r="P3557" s="8">
        <v>0</v>
      </c>
      <c r="Q3557" s="8">
        <v>0</v>
      </c>
      <c r="R3557" s="8">
        <v>0</v>
      </c>
      <c r="S3557" s="8">
        <v>0</v>
      </c>
      <c r="T3557" s="5">
        <v>0</v>
      </c>
      <c r="U3557" s="5">
        <v>0</v>
      </c>
      <c r="V3557" s="5">
        <f>VLOOKUP(A3557,Planilha1!B:E,4,0)</f>
        <v>13.599044988219518</v>
      </c>
    </row>
    <row r="3558" spans="1:22" x14ac:dyDescent="0.3">
      <c r="A3558" t="str">
        <f t="shared" si="110"/>
        <v>SPREADSLACTALIS</v>
      </c>
      <c r="B3558" t="str">
        <f t="shared" si="111"/>
        <v>5303461SPREADSLACTALIS</v>
      </c>
      <c r="C3558" s="5" t="s">
        <v>226</v>
      </c>
      <c r="D3558" s="5" t="s">
        <v>227</v>
      </c>
      <c r="E3558" s="5" t="s">
        <v>1722</v>
      </c>
      <c r="F3558" s="5">
        <v>5303461</v>
      </c>
      <c r="G3558" s="5" t="s">
        <v>643</v>
      </c>
      <c r="H3558" s="5" t="s">
        <v>30</v>
      </c>
      <c r="I3558" s="5" t="s">
        <v>22</v>
      </c>
      <c r="J3558" s="5" t="s">
        <v>945</v>
      </c>
      <c r="K3558" s="6">
        <v>0</v>
      </c>
      <c r="L3558" s="7">
        <v>0</v>
      </c>
      <c r="M3558" s="7">
        <v>0</v>
      </c>
      <c r="N3558" s="8">
        <v>0</v>
      </c>
      <c r="O3558" s="8">
        <v>5.3850619503317603</v>
      </c>
      <c r="P3558" s="8">
        <v>0</v>
      </c>
      <c r="Q3558" s="8">
        <v>0</v>
      </c>
      <c r="R3558" s="8">
        <v>0</v>
      </c>
      <c r="S3558" s="8">
        <v>0</v>
      </c>
      <c r="T3558" s="5">
        <v>0</v>
      </c>
      <c r="U3558" s="5">
        <v>0</v>
      </c>
      <c r="V3558" s="5">
        <f>VLOOKUP(A3558,Planilha1!B:E,4,0)</f>
        <v>13.599044988219518</v>
      </c>
    </row>
    <row r="3559" spans="1:22" x14ac:dyDescent="0.3">
      <c r="A3559" t="str">
        <f t="shared" si="110"/>
        <v>SPREADSLACTALIS</v>
      </c>
      <c r="B3559" t="str">
        <f t="shared" si="111"/>
        <v>5307768SPREADSLACTALIS</v>
      </c>
      <c r="C3559" s="5" t="s">
        <v>226</v>
      </c>
      <c r="D3559" s="5" t="s">
        <v>227</v>
      </c>
      <c r="E3559" s="5" t="s">
        <v>1722</v>
      </c>
      <c r="F3559" s="5">
        <v>5307768</v>
      </c>
      <c r="G3559" s="5" t="s">
        <v>648</v>
      </c>
      <c r="H3559" s="5" t="s">
        <v>30</v>
      </c>
      <c r="I3559" s="5" t="s">
        <v>22</v>
      </c>
      <c r="J3559" s="5" t="s">
        <v>945</v>
      </c>
      <c r="K3559" s="6">
        <v>0</v>
      </c>
      <c r="L3559" s="7">
        <v>12</v>
      </c>
      <c r="M3559" s="7">
        <v>0</v>
      </c>
      <c r="N3559" s="8">
        <v>0</v>
      </c>
      <c r="O3559" s="8">
        <v>3.3621021700484013</v>
      </c>
      <c r="P3559" s="8">
        <v>0</v>
      </c>
      <c r="Q3559" s="8">
        <v>0</v>
      </c>
      <c r="R3559" s="8">
        <v>0</v>
      </c>
      <c r="S3559" s="8">
        <v>0</v>
      </c>
      <c r="T3559" s="5">
        <v>0</v>
      </c>
      <c r="U3559" s="5">
        <v>0</v>
      </c>
      <c r="V3559" s="5">
        <f>VLOOKUP(A3559,Planilha1!B:E,4,0)</f>
        <v>13.599044988219518</v>
      </c>
    </row>
    <row r="3560" spans="1:22" x14ac:dyDescent="0.3">
      <c r="A3560" t="str">
        <f t="shared" si="110"/>
        <v>SPREADSLACTALIS</v>
      </c>
      <c r="B3560" t="str">
        <f t="shared" si="111"/>
        <v>5316126SPREADSLACTALIS</v>
      </c>
      <c r="C3560" s="5" t="s">
        <v>226</v>
      </c>
      <c r="D3560" s="5" t="s">
        <v>227</v>
      </c>
      <c r="E3560" s="5" t="s">
        <v>1722</v>
      </c>
      <c r="F3560" s="5">
        <v>5316126</v>
      </c>
      <c r="G3560" s="5" t="s">
        <v>1531</v>
      </c>
      <c r="H3560" s="5" t="s">
        <v>30</v>
      </c>
      <c r="I3560" s="5" t="s">
        <v>22</v>
      </c>
      <c r="J3560" s="5" t="s">
        <v>945</v>
      </c>
      <c r="K3560" s="6">
        <v>0</v>
      </c>
      <c r="L3560" s="7">
        <v>0</v>
      </c>
      <c r="M3560" s="7">
        <v>0</v>
      </c>
      <c r="N3560" s="8">
        <v>4</v>
      </c>
      <c r="O3560" s="8">
        <v>6.7356012966054406</v>
      </c>
      <c r="P3560" s="8">
        <v>0</v>
      </c>
      <c r="Q3560" s="8">
        <v>0</v>
      </c>
      <c r="R3560" s="8">
        <v>0</v>
      </c>
      <c r="S3560" s="8">
        <v>0</v>
      </c>
      <c r="T3560" s="5">
        <v>0</v>
      </c>
      <c r="U3560" s="5">
        <v>0</v>
      </c>
      <c r="V3560" s="5">
        <f>VLOOKUP(A3560,Planilha1!B:E,4,0)</f>
        <v>13.599044988219518</v>
      </c>
    </row>
    <row r="3561" spans="1:22" x14ac:dyDescent="0.3">
      <c r="A3561" t="str">
        <f t="shared" si="110"/>
        <v>SPREADSLACTALIS</v>
      </c>
      <c r="B3561" t="str">
        <f t="shared" si="111"/>
        <v>5316163SPREADSLACTALIS</v>
      </c>
      <c r="C3561" s="5" t="s">
        <v>226</v>
      </c>
      <c r="D3561" s="5" t="s">
        <v>227</v>
      </c>
      <c r="E3561" s="5" t="s">
        <v>1722</v>
      </c>
      <c r="F3561" s="5">
        <v>5316163</v>
      </c>
      <c r="G3561" s="5" t="s">
        <v>1615</v>
      </c>
      <c r="H3561" s="5" t="s">
        <v>30</v>
      </c>
      <c r="I3561" s="5" t="s">
        <v>22</v>
      </c>
      <c r="J3561" s="5" t="s">
        <v>945</v>
      </c>
      <c r="K3561" s="6">
        <v>0</v>
      </c>
      <c r="L3561" s="7">
        <v>0</v>
      </c>
      <c r="M3561" s="7">
        <v>0</v>
      </c>
      <c r="N3561" s="8">
        <v>0</v>
      </c>
      <c r="O3561" s="8">
        <v>5.0431532550726015</v>
      </c>
      <c r="P3561" s="8">
        <v>0</v>
      </c>
      <c r="Q3561" s="8">
        <v>0</v>
      </c>
      <c r="R3561" s="8">
        <v>0</v>
      </c>
      <c r="S3561" s="8">
        <v>0</v>
      </c>
      <c r="T3561" s="5">
        <v>0</v>
      </c>
      <c r="U3561" s="5">
        <v>0</v>
      </c>
      <c r="V3561" s="5">
        <f>VLOOKUP(A3561,Planilha1!B:E,4,0)</f>
        <v>13.599044988219518</v>
      </c>
    </row>
    <row r="3562" spans="1:22" x14ac:dyDescent="0.3">
      <c r="A3562" t="str">
        <f t="shared" si="110"/>
        <v>SPREADSLACTALIS</v>
      </c>
      <c r="B3562" t="str">
        <f t="shared" si="111"/>
        <v>5316901SPREADSLACTALIS</v>
      </c>
      <c r="C3562" s="5" t="s">
        <v>226</v>
      </c>
      <c r="D3562" s="5" t="s">
        <v>227</v>
      </c>
      <c r="E3562" s="5" t="s">
        <v>1722</v>
      </c>
      <c r="F3562" s="5">
        <v>5316901</v>
      </c>
      <c r="G3562" s="5" t="s">
        <v>655</v>
      </c>
      <c r="H3562" s="5" t="s">
        <v>30</v>
      </c>
      <c r="I3562" s="5" t="s">
        <v>22</v>
      </c>
      <c r="J3562" s="5" t="s">
        <v>945</v>
      </c>
      <c r="K3562" s="6">
        <v>0</v>
      </c>
      <c r="L3562" s="7">
        <v>0</v>
      </c>
      <c r="M3562" s="7">
        <v>0</v>
      </c>
      <c r="N3562" s="8">
        <v>0</v>
      </c>
      <c r="O3562" s="8">
        <v>2.8036513011251074</v>
      </c>
      <c r="P3562" s="8">
        <v>0</v>
      </c>
      <c r="Q3562" s="8">
        <v>0</v>
      </c>
      <c r="R3562" s="8">
        <v>0</v>
      </c>
      <c r="S3562" s="8">
        <v>0</v>
      </c>
      <c r="T3562" s="5">
        <v>0</v>
      </c>
      <c r="U3562" s="5">
        <v>0</v>
      </c>
      <c r="V3562" s="5">
        <f>VLOOKUP(A3562,Planilha1!B:E,4,0)</f>
        <v>13.599044988219518</v>
      </c>
    </row>
    <row r="3563" spans="1:22" x14ac:dyDescent="0.3">
      <c r="A3563" t="str">
        <f t="shared" si="110"/>
        <v>SPREADSLACTALIS</v>
      </c>
      <c r="B3563" t="str">
        <f t="shared" si="111"/>
        <v>5320669SPREADSLACTALIS</v>
      </c>
      <c r="C3563" s="5" t="s">
        <v>226</v>
      </c>
      <c r="D3563" s="5" t="s">
        <v>227</v>
      </c>
      <c r="E3563" s="5" t="s">
        <v>1722</v>
      </c>
      <c r="F3563" s="5">
        <v>5320669</v>
      </c>
      <c r="G3563" s="5" t="s">
        <v>343</v>
      </c>
      <c r="H3563" s="5" t="s">
        <v>30</v>
      </c>
      <c r="I3563" s="5" t="s">
        <v>22</v>
      </c>
      <c r="J3563" s="5" t="s">
        <v>945</v>
      </c>
      <c r="K3563" s="6">
        <v>0</v>
      </c>
      <c r="L3563" s="7">
        <v>0</v>
      </c>
      <c r="M3563" s="7">
        <v>0</v>
      </c>
      <c r="N3563" s="8">
        <v>0</v>
      </c>
      <c r="O3563" s="8">
        <v>2.250898910456133</v>
      </c>
      <c r="P3563" s="8">
        <v>0</v>
      </c>
      <c r="Q3563" s="8">
        <v>0</v>
      </c>
      <c r="R3563" s="8">
        <v>0</v>
      </c>
      <c r="S3563" s="8">
        <v>0</v>
      </c>
      <c r="T3563" s="5">
        <v>0</v>
      </c>
      <c r="U3563" s="5">
        <v>0</v>
      </c>
      <c r="V3563" s="5">
        <f>VLOOKUP(A3563,Planilha1!B:E,4,0)</f>
        <v>13.599044988219518</v>
      </c>
    </row>
    <row r="3564" spans="1:22" x14ac:dyDescent="0.3">
      <c r="A3564" t="str">
        <f t="shared" si="110"/>
        <v>SPREADSLACTALIS</v>
      </c>
      <c r="B3564" t="str">
        <f t="shared" si="111"/>
        <v>5326107SPREADSLACTALIS</v>
      </c>
      <c r="C3564" s="5" t="s">
        <v>226</v>
      </c>
      <c r="D3564" s="5" t="s">
        <v>227</v>
      </c>
      <c r="E3564" s="5" t="s">
        <v>1722</v>
      </c>
      <c r="F3564" s="5">
        <v>5326107</v>
      </c>
      <c r="G3564" s="5" t="s">
        <v>660</v>
      </c>
      <c r="H3564" s="5" t="s">
        <v>30</v>
      </c>
      <c r="I3564" s="5" t="s">
        <v>22</v>
      </c>
      <c r="J3564" s="5" t="s">
        <v>945</v>
      </c>
      <c r="K3564" s="6">
        <v>0</v>
      </c>
      <c r="L3564" s="7">
        <v>0</v>
      </c>
      <c r="M3564" s="7">
        <v>0</v>
      </c>
      <c r="N3564" s="8">
        <v>0</v>
      </c>
      <c r="O3564" s="8">
        <v>1.1226002161009068</v>
      </c>
      <c r="P3564" s="8">
        <v>0</v>
      </c>
      <c r="Q3564" s="8">
        <v>0</v>
      </c>
      <c r="R3564" s="8">
        <v>0</v>
      </c>
      <c r="S3564" s="8">
        <v>0</v>
      </c>
      <c r="T3564" s="5">
        <v>0</v>
      </c>
      <c r="U3564" s="5">
        <v>0</v>
      </c>
      <c r="V3564" s="5">
        <f>VLOOKUP(A3564,Planilha1!B:E,4,0)</f>
        <v>13.599044988219518</v>
      </c>
    </row>
    <row r="3565" spans="1:22" x14ac:dyDescent="0.3">
      <c r="A3565" t="str">
        <f t="shared" si="110"/>
        <v>SPREADSLACTALIS</v>
      </c>
      <c r="B3565" t="str">
        <f t="shared" si="111"/>
        <v>5334471SPREADSLACTALIS</v>
      </c>
      <c r="C3565" s="5" t="s">
        <v>226</v>
      </c>
      <c r="D3565" s="5" t="s">
        <v>227</v>
      </c>
      <c r="E3565" s="5" t="s">
        <v>1722</v>
      </c>
      <c r="F3565" s="5">
        <v>5334471</v>
      </c>
      <c r="G3565" s="5" t="s">
        <v>1532</v>
      </c>
      <c r="H3565" s="5" t="s">
        <v>30</v>
      </c>
      <c r="I3565" s="5" t="s">
        <v>22</v>
      </c>
      <c r="J3565" s="5" t="s">
        <v>945</v>
      </c>
      <c r="K3565" s="6">
        <v>0</v>
      </c>
      <c r="L3565" s="7">
        <v>0</v>
      </c>
      <c r="M3565" s="7">
        <v>0</v>
      </c>
      <c r="N3565" s="8">
        <v>1.3333333333333333</v>
      </c>
      <c r="O3565" s="8">
        <v>0</v>
      </c>
      <c r="P3565" s="8">
        <v>0</v>
      </c>
      <c r="Q3565" s="8">
        <v>0</v>
      </c>
      <c r="R3565" s="8">
        <v>0</v>
      </c>
      <c r="S3565" s="8">
        <v>0</v>
      </c>
      <c r="T3565" s="5">
        <v>0</v>
      </c>
      <c r="U3565" s="5">
        <v>0</v>
      </c>
      <c r="V3565" s="5">
        <f>VLOOKUP(A3565,Planilha1!B:E,4,0)</f>
        <v>13.599044988219518</v>
      </c>
    </row>
    <row r="3566" spans="1:22" x14ac:dyDescent="0.3">
      <c r="A3566" t="str">
        <f t="shared" si="110"/>
        <v>SPREADSLACTALIS</v>
      </c>
      <c r="B3566" t="str">
        <f t="shared" si="111"/>
        <v>5335762SPREADSLACTALIS</v>
      </c>
      <c r="C3566" s="5" t="s">
        <v>226</v>
      </c>
      <c r="D3566" s="5" t="s">
        <v>227</v>
      </c>
      <c r="E3566" s="5" t="s">
        <v>1722</v>
      </c>
      <c r="F3566" s="5">
        <v>5335762</v>
      </c>
      <c r="G3566" s="5" t="s">
        <v>1364</v>
      </c>
      <c r="H3566" s="5" t="s">
        <v>30</v>
      </c>
      <c r="I3566" s="5" t="s">
        <v>22</v>
      </c>
      <c r="J3566" s="5" t="s">
        <v>945</v>
      </c>
      <c r="K3566" s="6">
        <v>0</v>
      </c>
      <c r="L3566" s="7">
        <v>0</v>
      </c>
      <c r="M3566" s="7">
        <v>0</v>
      </c>
      <c r="N3566" s="8">
        <v>0</v>
      </c>
      <c r="O3566" s="8">
        <v>66.256206662970769</v>
      </c>
      <c r="P3566" s="8">
        <v>0</v>
      </c>
      <c r="Q3566" s="8">
        <v>0</v>
      </c>
      <c r="R3566" s="8">
        <v>0</v>
      </c>
      <c r="S3566" s="8">
        <v>0</v>
      </c>
      <c r="T3566" s="5">
        <v>0</v>
      </c>
      <c r="U3566" s="5">
        <v>0</v>
      </c>
      <c r="V3566" s="5">
        <f>VLOOKUP(A3566,Planilha1!B:E,4,0)</f>
        <v>13.599044988219518</v>
      </c>
    </row>
    <row r="3567" spans="1:22" x14ac:dyDescent="0.3">
      <c r="A3567" t="str">
        <f t="shared" si="110"/>
        <v>SPREADSLACTALIS</v>
      </c>
      <c r="B3567" t="str">
        <f t="shared" si="111"/>
        <v>5337852SPREADSLACTALIS</v>
      </c>
      <c r="C3567" s="5" t="s">
        <v>226</v>
      </c>
      <c r="D3567" s="5" t="s">
        <v>227</v>
      </c>
      <c r="E3567" s="5" t="s">
        <v>1722</v>
      </c>
      <c r="F3567" s="5">
        <v>5337852</v>
      </c>
      <c r="G3567" s="5" t="s">
        <v>362</v>
      </c>
      <c r="H3567" s="5" t="s">
        <v>30</v>
      </c>
      <c r="I3567" s="5" t="s">
        <v>22</v>
      </c>
      <c r="J3567" s="5" t="s">
        <v>945</v>
      </c>
      <c r="K3567" s="6">
        <v>0</v>
      </c>
      <c r="L3567" s="7">
        <v>6.7</v>
      </c>
      <c r="M3567" s="7">
        <v>0</v>
      </c>
      <c r="N3567" s="8">
        <v>0</v>
      </c>
      <c r="O3567" s="8">
        <v>7.5219912957015067</v>
      </c>
      <c r="P3567" s="8">
        <v>0</v>
      </c>
      <c r="Q3567" s="8">
        <v>0</v>
      </c>
      <c r="R3567" s="8">
        <v>0</v>
      </c>
      <c r="S3567" s="8">
        <v>0</v>
      </c>
      <c r="T3567" s="5">
        <v>0</v>
      </c>
      <c r="U3567" s="5">
        <v>0</v>
      </c>
      <c r="V3567" s="5">
        <f>VLOOKUP(A3567,Planilha1!B:E,4,0)</f>
        <v>13.599044988219518</v>
      </c>
    </row>
    <row r="3568" spans="1:22" x14ac:dyDescent="0.3">
      <c r="A3568" t="str">
        <f t="shared" si="110"/>
        <v>SPREADSLACTALIS</v>
      </c>
      <c r="B3568" t="str">
        <f t="shared" si="111"/>
        <v>5341678SPREADSLACTALIS</v>
      </c>
      <c r="C3568" s="5" t="s">
        <v>226</v>
      </c>
      <c r="D3568" s="5" t="s">
        <v>227</v>
      </c>
      <c r="E3568" s="5" t="s">
        <v>1722</v>
      </c>
      <c r="F3568" s="5">
        <v>5341678</v>
      </c>
      <c r="G3568" s="5" t="s">
        <v>484</v>
      </c>
      <c r="H3568" s="5" t="s">
        <v>30</v>
      </c>
      <c r="I3568" s="5" t="s">
        <v>22</v>
      </c>
      <c r="J3568" s="5" t="s">
        <v>945</v>
      </c>
      <c r="K3568" s="6">
        <v>0</v>
      </c>
      <c r="L3568" s="7">
        <v>4</v>
      </c>
      <c r="M3568" s="7">
        <v>0</v>
      </c>
      <c r="N3568" s="8">
        <v>0</v>
      </c>
      <c r="O3568" s="8">
        <v>1.1339971726095455</v>
      </c>
      <c r="P3568" s="8">
        <v>0</v>
      </c>
      <c r="Q3568" s="8">
        <v>0</v>
      </c>
      <c r="R3568" s="8">
        <v>0</v>
      </c>
      <c r="S3568" s="8">
        <v>0</v>
      </c>
      <c r="T3568" s="5">
        <v>0</v>
      </c>
      <c r="U3568" s="5">
        <v>0</v>
      </c>
      <c r="V3568" s="5">
        <f>VLOOKUP(A3568,Planilha1!B:E,4,0)</f>
        <v>13.599044988219518</v>
      </c>
    </row>
    <row r="3569" spans="1:22" x14ac:dyDescent="0.3">
      <c r="A3569" t="str">
        <f t="shared" si="110"/>
        <v>SPREADSLACTALIS</v>
      </c>
      <c r="B3569" t="str">
        <f t="shared" si="111"/>
        <v>5341784SPREADSLACTALIS</v>
      </c>
      <c r="C3569" s="5" t="s">
        <v>226</v>
      </c>
      <c r="D3569" s="5" t="s">
        <v>227</v>
      </c>
      <c r="E3569" s="5" t="s">
        <v>1722</v>
      </c>
      <c r="F3569" s="5">
        <v>5341784</v>
      </c>
      <c r="G3569" s="5" t="s">
        <v>702</v>
      </c>
      <c r="H3569" s="5" t="s">
        <v>30</v>
      </c>
      <c r="I3569" s="5" t="s">
        <v>22</v>
      </c>
      <c r="J3569" s="5" t="s">
        <v>945</v>
      </c>
      <c r="K3569" s="6">
        <v>0</v>
      </c>
      <c r="L3569" s="7">
        <v>0</v>
      </c>
      <c r="M3569" s="7">
        <v>0</v>
      </c>
      <c r="N3569" s="8">
        <v>0</v>
      </c>
      <c r="O3569" s="8">
        <v>1.3391423897650412</v>
      </c>
      <c r="P3569" s="8">
        <v>0</v>
      </c>
      <c r="Q3569" s="8">
        <v>0</v>
      </c>
      <c r="R3569" s="8">
        <v>0</v>
      </c>
      <c r="S3569" s="8">
        <v>0</v>
      </c>
      <c r="T3569" s="5">
        <v>0</v>
      </c>
      <c r="U3569" s="5">
        <v>0</v>
      </c>
      <c r="V3569" s="5">
        <f>VLOOKUP(A3569,Planilha1!B:E,4,0)</f>
        <v>13.599044988219518</v>
      </c>
    </row>
    <row r="3570" spans="1:22" x14ac:dyDescent="0.3">
      <c r="A3570" t="str">
        <f t="shared" si="110"/>
        <v>SPREADSLACTALIS</v>
      </c>
      <c r="B3570" t="str">
        <f t="shared" si="111"/>
        <v>5349834SPREADSLACTALIS</v>
      </c>
      <c r="C3570" s="5" t="s">
        <v>226</v>
      </c>
      <c r="D3570" s="5" t="s">
        <v>227</v>
      </c>
      <c r="E3570" s="5" t="s">
        <v>1722</v>
      </c>
      <c r="F3570" s="5">
        <v>5349834</v>
      </c>
      <c r="G3570" s="5" t="s">
        <v>676</v>
      </c>
      <c r="H3570" s="5" t="s">
        <v>30</v>
      </c>
      <c r="I3570" s="5" t="s">
        <v>22</v>
      </c>
      <c r="J3570" s="5" t="s">
        <v>945</v>
      </c>
      <c r="K3570" s="6">
        <v>0</v>
      </c>
      <c r="L3570" s="7">
        <v>0</v>
      </c>
      <c r="M3570" s="7">
        <v>0</v>
      </c>
      <c r="N3570" s="8">
        <v>0</v>
      </c>
      <c r="O3570" s="8">
        <v>3.3621021700484013</v>
      </c>
      <c r="P3570" s="8">
        <v>0</v>
      </c>
      <c r="Q3570" s="8">
        <v>0</v>
      </c>
      <c r="R3570" s="8">
        <v>0</v>
      </c>
      <c r="S3570" s="8">
        <v>0</v>
      </c>
      <c r="T3570" s="5">
        <v>0</v>
      </c>
      <c r="U3570" s="5">
        <v>0</v>
      </c>
      <c r="V3570" s="5">
        <f>VLOOKUP(A3570,Planilha1!B:E,4,0)</f>
        <v>13.599044988219518</v>
      </c>
    </row>
    <row r="3571" spans="1:22" x14ac:dyDescent="0.3">
      <c r="A3571" t="str">
        <f t="shared" si="110"/>
        <v>SPREADSLACTALIS</v>
      </c>
      <c r="B3571" t="str">
        <f t="shared" si="111"/>
        <v>5350369SPREADSLACTALIS</v>
      </c>
      <c r="C3571" s="5" t="s">
        <v>226</v>
      </c>
      <c r="D3571" s="5" t="s">
        <v>227</v>
      </c>
      <c r="E3571" s="5" t="s">
        <v>1722</v>
      </c>
      <c r="F3571" s="5">
        <v>5350369</v>
      </c>
      <c r="G3571" s="5" t="s">
        <v>692</v>
      </c>
      <c r="H3571" s="5" t="s">
        <v>30</v>
      </c>
      <c r="I3571" s="5" t="s">
        <v>22</v>
      </c>
      <c r="J3571" s="5" t="s">
        <v>945</v>
      </c>
      <c r="K3571" s="6">
        <v>0</v>
      </c>
      <c r="L3571" s="7">
        <v>0</v>
      </c>
      <c r="M3571" s="7">
        <v>0</v>
      </c>
      <c r="N3571" s="8">
        <v>0</v>
      </c>
      <c r="O3571" s="8">
        <v>16.770621502461768</v>
      </c>
      <c r="P3571" s="8">
        <v>0</v>
      </c>
      <c r="Q3571" s="8">
        <v>0</v>
      </c>
      <c r="R3571" s="8">
        <v>0</v>
      </c>
      <c r="S3571" s="8">
        <v>0</v>
      </c>
      <c r="T3571" s="5">
        <v>0</v>
      </c>
      <c r="U3571" s="5">
        <v>0</v>
      </c>
      <c r="V3571" s="5">
        <f>VLOOKUP(A3571,Planilha1!B:E,4,0)</f>
        <v>13.599044988219518</v>
      </c>
    </row>
    <row r="3572" spans="1:22" x14ac:dyDescent="0.3">
      <c r="A3572" t="str">
        <f t="shared" si="110"/>
        <v>SPREADSLACTALIS</v>
      </c>
      <c r="B3572" t="str">
        <f t="shared" si="111"/>
        <v>5351693SPREADSLACTALIS</v>
      </c>
      <c r="C3572" s="5" t="s">
        <v>226</v>
      </c>
      <c r="D3572" s="5" t="s">
        <v>227</v>
      </c>
      <c r="E3572" s="5" t="s">
        <v>1722</v>
      </c>
      <c r="F3572" s="5">
        <v>5351693</v>
      </c>
      <c r="G3572" s="5" t="s">
        <v>1616</v>
      </c>
      <c r="H3572" s="5" t="s">
        <v>30</v>
      </c>
      <c r="I3572" s="5" t="s">
        <v>22</v>
      </c>
      <c r="J3572" s="5" t="s">
        <v>945</v>
      </c>
      <c r="K3572" s="6">
        <v>0</v>
      </c>
      <c r="L3572" s="7">
        <v>0</v>
      </c>
      <c r="M3572" s="7">
        <v>0</v>
      </c>
      <c r="N3572" s="8">
        <v>13.333333333333334</v>
      </c>
      <c r="O3572" s="8">
        <v>12.331506942347016</v>
      </c>
      <c r="P3572" s="8">
        <v>0</v>
      </c>
      <c r="Q3572" s="8">
        <v>0</v>
      </c>
      <c r="R3572" s="8">
        <v>0</v>
      </c>
      <c r="S3572" s="8">
        <v>0</v>
      </c>
      <c r="T3572" s="5">
        <v>0</v>
      </c>
      <c r="U3572" s="5">
        <v>0</v>
      </c>
      <c r="V3572" s="5">
        <f>VLOOKUP(A3572,Planilha1!B:E,4,0)</f>
        <v>13.599044988219518</v>
      </c>
    </row>
    <row r="3573" spans="1:22" x14ac:dyDescent="0.3">
      <c r="A3573" t="str">
        <f t="shared" si="110"/>
        <v>SPREADSLACTALIS</v>
      </c>
      <c r="B3573" t="str">
        <f t="shared" si="111"/>
        <v>5352327SPREADSLACTALIS</v>
      </c>
      <c r="C3573" s="5" t="s">
        <v>226</v>
      </c>
      <c r="D3573" s="5" t="s">
        <v>227</v>
      </c>
      <c r="E3573" s="5" t="s">
        <v>1722</v>
      </c>
      <c r="F3573" s="5">
        <v>5352327</v>
      </c>
      <c r="G3573" s="5" t="s">
        <v>492</v>
      </c>
      <c r="H3573" s="5" t="s">
        <v>30</v>
      </c>
      <c r="I3573" s="5" t="s">
        <v>22</v>
      </c>
      <c r="J3573" s="5" t="s">
        <v>945</v>
      </c>
      <c r="K3573" s="6">
        <v>0</v>
      </c>
      <c r="L3573" s="7">
        <v>0</v>
      </c>
      <c r="M3573" s="7">
        <v>0</v>
      </c>
      <c r="N3573" s="8">
        <v>0</v>
      </c>
      <c r="O3573" s="8">
        <v>1.3562378245279989</v>
      </c>
      <c r="P3573" s="8">
        <v>0</v>
      </c>
      <c r="Q3573" s="8">
        <v>0</v>
      </c>
      <c r="R3573" s="8">
        <v>0</v>
      </c>
      <c r="S3573" s="8">
        <v>0</v>
      </c>
      <c r="T3573" s="5">
        <v>0</v>
      </c>
      <c r="U3573" s="5">
        <v>0</v>
      </c>
      <c r="V3573" s="5">
        <f>VLOOKUP(A3573,Planilha1!B:E,4,0)</f>
        <v>13.599044988219518</v>
      </c>
    </row>
    <row r="3574" spans="1:22" x14ac:dyDescent="0.3">
      <c r="A3574" t="str">
        <f t="shared" si="110"/>
        <v>SPREADSLACTALIS</v>
      </c>
      <c r="B3574" t="str">
        <f t="shared" si="111"/>
        <v>5352493SPREADSLACTALIS</v>
      </c>
      <c r="C3574" s="5" t="s">
        <v>226</v>
      </c>
      <c r="D3574" s="5" t="s">
        <v>227</v>
      </c>
      <c r="E3574" s="5" t="s">
        <v>1722</v>
      </c>
      <c r="F3574" s="5">
        <v>5352493</v>
      </c>
      <c r="G3574" s="5" t="s">
        <v>693</v>
      </c>
      <c r="H3574" s="5" t="s">
        <v>30</v>
      </c>
      <c r="I3574" s="5" t="s">
        <v>22</v>
      </c>
      <c r="J3574" s="5" t="s">
        <v>945</v>
      </c>
      <c r="K3574" s="6">
        <v>0</v>
      </c>
      <c r="L3574" s="7">
        <v>0</v>
      </c>
      <c r="M3574" s="7">
        <v>0</v>
      </c>
      <c r="N3574" s="8">
        <v>0</v>
      </c>
      <c r="O3574" s="8">
        <v>2.5130289101548215</v>
      </c>
      <c r="P3574" s="8">
        <v>0</v>
      </c>
      <c r="Q3574" s="8">
        <v>0</v>
      </c>
      <c r="R3574" s="8">
        <v>0</v>
      </c>
      <c r="S3574" s="8">
        <v>0</v>
      </c>
      <c r="T3574" s="5">
        <v>0</v>
      </c>
      <c r="U3574" s="5">
        <v>0</v>
      </c>
      <c r="V3574" s="5">
        <f>VLOOKUP(A3574,Planilha1!B:E,4,0)</f>
        <v>13.599044988219518</v>
      </c>
    </row>
    <row r="3575" spans="1:22" x14ac:dyDescent="0.3">
      <c r="A3575" t="str">
        <f t="shared" si="110"/>
        <v>SPREADSLACTALIS</v>
      </c>
      <c r="B3575" t="str">
        <f t="shared" si="111"/>
        <v>5352914SPREADSLACTALIS</v>
      </c>
      <c r="C3575" s="5" t="s">
        <v>226</v>
      </c>
      <c r="D3575" s="5" t="s">
        <v>227</v>
      </c>
      <c r="E3575" s="5" t="s">
        <v>1722</v>
      </c>
      <c r="F3575" s="5">
        <v>5352914</v>
      </c>
      <c r="G3575" s="5" t="s">
        <v>1369</v>
      </c>
      <c r="H3575" s="5" t="s">
        <v>30</v>
      </c>
      <c r="I3575" s="5" t="s">
        <v>22</v>
      </c>
      <c r="J3575" s="5" t="s">
        <v>945</v>
      </c>
      <c r="K3575" s="6">
        <v>0</v>
      </c>
      <c r="L3575" s="7">
        <v>0</v>
      </c>
      <c r="M3575" s="7">
        <v>0</v>
      </c>
      <c r="N3575" s="8">
        <v>21.333333333333332</v>
      </c>
      <c r="O3575" s="8">
        <v>6.7925860791486334</v>
      </c>
      <c r="P3575" s="8">
        <v>0</v>
      </c>
      <c r="Q3575" s="8">
        <v>16</v>
      </c>
      <c r="R3575" s="8">
        <v>0</v>
      </c>
      <c r="S3575" s="8">
        <v>0</v>
      </c>
      <c r="T3575" s="5">
        <v>0</v>
      </c>
      <c r="U3575" s="5">
        <v>0</v>
      </c>
      <c r="V3575" s="5">
        <f>VLOOKUP(A3575,Planilha1!B:E,4,0)</f>
        <v>13.599044988219518</v>
      </c>
    </row>
    <row r="3576" spans="1:22" x14ac:dyDescent="0.3">
      <c r="A3576" t="str">
        <f t="shared" si="110"/>
        <v>SPREADSLACTALIS</v>
      </c>
      <c r="B3576" t="str">
        <f t="shared" si="111"/>
        <v>5352994SPREADSLACTALIS</v>
      </c>
      <c r="C3576" s="5" t="s">
        <v>226</v>
      </c>
      <c r="D3576" s="5" t="s">
        <v>227</v>
      </c>
      <c r="E3576" s="5" t="s">
        <v>1722</v>
      </c>
      <c r="F3576" s="5">
        <v>5352994</v>
      </c>
      <c r="G3576" s="5" t="s">
        <v>1603</v>
      </c>
      <c r="H3576" s="5" t="s">
        <v>30</v>
      </c>
      <c r="I3576" s="5" t="s">
        <v>22</v>
      </c>
      <c r="J3576" s="5" t="s">
        <v>945</v>
      </c>
      <c r="K3576" s="6">
        <v>0</v>
      </c>
      <c r="L3576" s="7">
        <v>0</v>
      </c>
      <c r="M3576" s="7">
        <v>0</v>
      </c>
      <c r="N3576" s="8">
        <v>1.3333333333333333</v>
      </c>
      <c r="O3576" s="8">
        <v>1.1226002161009068</v>
      </c>
      <c r="P3576" s="8">
        <v>0</v>
      </c>
      <c r="Q3576" s="8">
        <v>0</v>
      </c>
      <c r="R3576" s="8">
        <v>0</v>
      </c>
      <c r="S3576" s="8">
        <v>0</v>
      </c>
      <c r="T3576" s="5">
        <v>0</v>
      </c>
      <c r="U3576" s="5">
        <v>0</v>
      </c>
      <c r="V3576" s="5">
        <f>VLOOKUP(A3576,Planilha1!B:E,4,0)</f>
        <v>13.599044988219518</v>
      </c>
    </row>
    <row r="3577" spans="1:22" x14ac:dyDescent="0.3">
      <c r="A3577" t="str">
        <f t="shared" si="110"/>
        <v>SPREADSLACTALIS</v>
      </c>
      <c r="B3577" t="str">
        <f t="shared" si="111"/>
        <v>5353188SPREADSLACTALIS</v>
      </c>
      <c r="C3577" s="5" t="s">
        <v>226</v>
      </c>
      <c r="D3577" s="5" t="s">
        <v>227</v>
      </c>
      <c r="E3577" s="5" t="s">
        <v>1722</v>
      </c>
      <c r="F3577" s="5">
        <v>5353188</v>
      </c>
      <c r="G3577" s="5" t="s">
        <v>517</v>
      </c>
      <c r="H3577" s="5" t="s">
        <v>30</v>
      </c>
      <c r="I3577" s="5" t="s">
        <v>22</v>
      </c>
      <c r="J3577" s="5" t="s">
        <v>945</v>
      </c>
      <c r="K3577" s="6">
        <v>0</v>
      </c>
      <c r="L3577" s="7">
        <v>0</v>
      </c>
      <c r="M3577" s="7">
        <v>0</v>
      </c>
      <c r="N3577" s="8">
        <v>0</v>
      </c>
      <c r="O3577" s="8">
        <v>1.3448408680193602</v>
      </c>
      <c r="P3577" s="8">
        <v>0</v>
      </c>
      <c r="Q3577" s="8">
        <v>0</v>
      </c>
      <c r="R3577" s="8">
        <v>0</v>
      </c>
      <c r="S3577" s="8">
        <v>0</v>
      </c>
      <c r="T3577" s="5">
        <v>0</v>
      </c>
      <c r="U3577" s="5">
        <v>0</v>
      </c>
      <c r="V3577" s="5">
        <f>VLOOKUP(A3577,Planilha1!B:E,4,0)</f>
        <v>13.599044988219518</v>
      </c>
    </row>
    <row r="3578" spans="1:22" x14ac:dyDescent="0.3">
      <c r="A3578" t="str">
        <f t="shared" si="110"/>
        <v>SPREADSLACTALIS</v>
      </c>
      <c r="B3578" t="str">
        <f t="shared" si="111"/>
        <v>5353526SPREADSLACTALIS</v>
      </c>
      <c r="C3578" s="5" t="s">
        <v>226</v>
      </c>
      <c r="D3578" s="5" t="s">
        <v>227</v>
      </c>
      <c r="E3578" s="5" t="s">
        <v>1722</v>
      </c>
      <c r="F3578" s="5">
        <v>5353526</v>
      </c>
      <c r="G3578" s="5" t="s">
        <v>496</v>
      </c>
      <c r="H3578" s="5" t="s">
        <v>30</v>
      </c>
      <c r="I3578" s="5" t="s">
        <v>22</v>
      </c>
      <c r="J3578" s="5" t="s">
        <v>945</v>
      </c>
      <c r="K3578" s="6">
        <v>0</v>
      </c>
      <c r="L3578" s="7">
        <v>0</v>
      </c>
      <c r="M3578" s="7">
        <v>0</v>
      </c>
      <c r="N3578" s="8">
        <v>2.6666666666666665</v>
      </c>
      <c r="O3578" s="8">
        <v>2.8321436923967038</v>
      </c>
      <c r="P3578" s="8">
        <v>0</v>
      </c>
      <c r="Q3578" s="8">
        <v>4</v>
      </c>
      <c r="R3578" s="8">
        <v>0</v>
      </c>
      <c r="S3578" s="8">
        <v>0</v>
      </c>
      <c r="T3578" s="5">
        <v>0</v>
      </c>
      <c r="U3578" s="5">
        <v>0</v>
      </c>
      <c r="V3578" s="5">
        <f>VLOOKUP(A3578,Planilha1!B:E,4,0)</f>
        <v>13.599044988219518</v>
      </c>
    </row>
    <row r="3579" spans="1:22" x14ac:dyDescent="0.3">
      <c r="A3579" t="str">
        <f t="shared" si="110"/>
        <v>SPREADSLACTALIS</v>
      </c>
      <c r="B3579" t="str">
        <f t="shared" si="111"/>
        <v>5353716SPREADSLACTALIS</v>
      </c>
      <c r="C3579" s="5" t="s">
        <v>226</v>
      </c>
      <c r="D3579" s="5" t="s">
        <v>227</v>
      </c>
      <c r="E3579" s="5" t="s">
        <v>1722</v>
      </c>
      <c r="F3579" s="5">
        <v>5353716</v>
      </c>
      <c r="G3579" s="5" t="s">
        <v>553</v>
      </c>
      <c r="H3579" s="5" t="s">
        <v>30</v>
      </c>
      <c r="I3579" s="5" t="s">
        <v>22</v>
      </c>
      <c r="J3579" s="5" t="s">
        <v>945</v>
      </c>
      <c r="K3579" s="6">
        <v>0</v>
      </c>
      <c r="L3579" s="7">
        <v>0</v>
      </c>
      <c r="M3579" s="7">
        <v>0</v>
      </c>
      <c r="N3579" s="8">
        <v>8.6666666666666661</v>
      </c>
      <c r="O3579" s="8">
        <v>16.212170633538477</v>
      </c>
      <c r="P3579" s="8">
        <v>0</v>
      </c>
      <c r="Q3579" s="8">
        <v>0</v>
      </c>
      <c r="R3579" s="8">
        <v>0</v>
      </c>
      <c r="S3579" s="8">
        <v>0</v>
      </c>
      <c r="T3579" s="5">
        <v>0</v>
      </c>
      <c r="U3579" s="5">
        <v>0</v>
      </c>
      <c r="V3579" s="5">
        <f>VLOOKUP(A3579,Planilha1!B:E,4,0)</f>
        <v>13.599044988219518</v>
      </c>
    </row>
    <row r="3580" spans="1:22" x14ac:dyDescent="0.3">
      <c r="A3580" t="str">
        <f t="shared" si="110"/>
        <v>SPREADSLACTALIS</v>
      </c>
      <c r="B3580" t="str">
        <f t="shared" si="111"/>
        <v>5355174SPREADSLACTALIS</v>
      </c>
      <c r="C3580" s="5" t="s">
        <v>226</v>
      </c>
      <c r="D3580" s="5" t="s">
        <v>227</v>
      </c>
      <c r="E3580" s="5" t="s">
        <v>1722</v>
      </c>
      <c r="F3580" s="5">
        <v>5355174</v>
      </c>
      <c r="G3580" s="5" t="s">
        <v>558</v>
      </c>
      <c r="H3580" s="5" t="s">
        <v>30</v>
      </c>
      <c r="I3580" s="5" t="s">
        <v>22</v>
      </c>
      <c r="J3580" s="5" t="s">
        <v>945</v>
      </c>
      <c r="K3580" s="6">
        <v>0</v>
      </c>
      <c r="L3580" s="7">
        <v>0</v>
      </c>
      <c r="M3580" s="7">
        <v>0</v>
      </c>
      <c r="N3580" s="8">
        <v>2.6666666666666665</v>
      </c>
      <c r="O3580" s="8">
        <v>2.2338034756931746</v>
      </c>
      <c r="P3580" s="8">
        <v>0</v>
      </c>
      <c r="Q3580" s="8">
        <v>8</v>
      </c>
      <c r="R3580" s="8">
        <v>0</v>
      </c>
      <c r="S3580" s="8">
        <v>0</v>
      </c>
      <c r="T3580" s="5">
        <v>0</v>
      </c>
      <c r="U3580" s="5">
        <v>0</v>
      </c>
      <c r="V3580" s="5">
        <f>VLOOKUP(A3580,Planilha1!B:E,4,0)</f>
        <v>13.599044988219518</v>
      </c>
    </row>
    <row r="3581" spans="1:22" x14ac:dyDescent="0.3">
      <c r="A3581" t="str">
        <f t="shared" si="110"/>
        <v>SPREADSLACTALIS</v>
      </c>
      <c r="B3581" t="str">
        <f t="shared" si="111"/>
        <v>5356536SPREADSLACTALIS</v>
      </c>
      <c r="C3581" s="5" t="s">
        <v>226</v>
      </c>
      <c r="D3581" s="5" t="s">
        <v>227</v>
      </c>
      <c r="E3581" s="5" t="s">
        <v>1722</v>
      </c>
      <c r="F3581" s="5">
        <v>5356536</v>
      </c>
      <c r="G3581" s="5" t="s">
        <v>1617</v>
      </c>
      <c r="H3581" s="5" t="s">
        <v>30</v>
      </c>
      <c r="I3581" s="5" t="s">
        <v>22</v>
      </c>
      <c r="J3581" s="5" t="s">
        <v>945</v>
      </c>
      <c r="K3581" s="6">
        <v>0</v>
      </c>
      <c r="L3581" s="7">
        <v>0</v>
      </c>
      <c r="M3581" s="7">
        <v>0</v>
      </c>
      <c r="N3581" s="8">
        <v>10.666666666666666</v>
      </c>
      <c r="O3581" s="8">
        <v>5.5902071674872564</v>
      </c>
      <c r="P3581" s="8">
        <v>0</v>
      </c>
      <c r="Q3581" s="8">
        <v>0</v>
      </c>
      <c r="R3581" s="8">
        <v>0</v>
      </c>
      <c r="S3581" s="8">
        <v>0</v>
      </c>
      <c r="T3581" s="5">
        <v>0</v>
      </c>
      <c r="U3581" s="5">
        <v>0</v>
      </c>
      <c r="V3581" s="5">
        <f>VLOOKUP(A3581,Planilha1!B:E,4,0)</f>
        <v>13.599044988219518</v>
      </c>
    </row>
    <row r="3582" spans="1:22" x14ac:dyDescent="0.3">
      <c r="A3582" t="str">
        <f t="shared" si="110"/>
        <v>SPREADSLACTALIS</v>
      </c>
      <c r="B3582" t="str">
        <f t="shared" si="111"/>
        <v>5356800SPREADSLACTALIS</v>
      </c>
      <c r="C3582" s="5" t="s">
        <v>226</v>
      </c>
      <c r="D3582" s="5" t="s">
        <v>227</v>
      </c>
      <c r="E3582" s="5" t="s">
        <v>1722</v>
      </c>
      <c r="F3582" s="5">
        <v>5356800</v>
      </c>
      <c r="G3582" s="5" t="s">
        <v>561</v>
      </c>
      <c r="H3582" s="5" t="s">
        <v>30</v>
      </c>
      <c r="I3582" s="5" t="s">
        <v>22</v>
      </c>
      <c r="J3582" s="5" t="s">
        <v>945</v>
      </c>
      <c r="K3582" s="6">
        <v>0</v>
      </c>
      <c r="L3582" s="7">
        <v>0</v>
      </c>
      <c r="M3582" s="7">
        <v>0</v>
      </c>
      <c r="N3582" s="8">
        <v>2.6666666666666665</v>
      </c>
      <c r="O3582" s="8">
        <v>0</v>
      </c>
      <c r="P3582" s="8">
        <v>0</v>
      </c>
      <c r="Q3582" s="8">
        <v>0</v>
      </c>
      <c r="R3582" s="8">
        <v>0</v>
      </c>
      <c r="S3582" s="8">
        <v>0</v>
      </c>
      <c r="T3582" s="5">
        <v>0</v>
      </c>
      <c r="U3582" s="5">
        <v>0</v>
      </c>
      <c r="V3582" s="5">
        <f>VLOOKUP(A3582,Planilha1!B:E,4,0)</f>
        <v>13.599044988219518</v>
      </c>
    </row>
    <row r="3583" spans="1:22" x14ac:dyDescent="0.3">
      <c r="A3583" t="str">
        <f t="shared" si="110"/>
        <v>SPREADSLACTALIS</v>
      </c>
      <c r="B3583" t="str">
        <f t="shared" si="111"/>
        <v>5357073SPREADSLACTALIS</v>
      </c>
      <c r="C3583" s="5" t="s">
        <v>226</v>
      </c>
      <c r="D3583" s="5" t="s">
        <v>227</v>
      </c>
      <c r="E3583" s="5" t="s">
        <v>1722</v>
      </c>
      <c r="F3583" s="5">
        <v>5357073</v>
      </c>
      <c r="G3583" s="5" t="s">
        <v>1618</v>
      </c>
      <c r="H3583" s="5" t="s">
        <v>30</v>
      </c>
      <c r="I3583" s="5" t="s">
        <v>22</v>
      </c>
      <c r="J3583" s="5" t="s">
        <v>945</v>
      </c>
      <c r="K3583" s="6">
        <v>0</v>
      </c>
      <c r="L3583" s="7">
        <v>0</v>
      </c>
      <c r="M3583" s="7">
        <v>0</v>
      </c>
      <c r="N3583" s="8">
        <v>3.333333333333333</v>
      </c>
      <c r="O3583" s="8">
        <v>0</v>
      </c>
      <c r="P3583" s="8">
        <v>0</v>
      </c>
      <c r="Q3583" s="8">
        <v>0</v>
      </c>
      <c r="R3583" s="8">
        <v>0</v>
      </c>
      <c r="S3583" s="8">
        <v>0</v>
      </c>
      <c r="T3583" s="5">
        <v>0</v>
      </c>
      <c r="U3583" s="5">
        <v>0</v>
      </c>
      <c r="V3583" s="5">
        <f>VLOOKUP(A3583,Planilha1!B:E,4,0)</f>
        <v>13.599044988219518</v>
      </c>
    </row>
    <row r="3584" spans="1:22" x14ac:dyDescent="0.3">
      <c r="A3584" t="str">
        <f t="shared" si="110"/>
        <v>SPREADSLACTALIS</v>
      </c>
      <c r="B3584" t="str">
        <f t="shared" si="111"/>
        <v>5358488SPREADSLACTALIS</v>
      </c>
      <c r="C3584" s="5" t="s">
        <v>226</v>
      </c>
      <c r="D3584" s="5" t="s">
        <v>227</v>
      </c>
      <c r="E3584" s="5" t="s">
        <v>1722</v>
      </c>
      <c r="F3584" s="5">
        <v>5358488</v>
      </c>
      <c r="G3584" s="5" t="s">
        <v>1401</v>
      </c>
      <c r="H3584" s="5" t="s">
        <v>30</v>
      </c>
      <c r="I3584" s="5" t="s">
        <v>22</v>
      </c>
      <c r="J3584" s="5" t="s">
        <v>945</v>
      </c>
      <c r="K3584" s="6">
        <v>0</v>
      </c>
      <c r="L3584" s="7">
        <v>0</v>
      </c>
      <c r="M3584" s="7">
        <v>0</v>
      </c>
      <c r="N3584" s="8">
        <v>11.2</v>
      </c>
      <c r="O3584" s="8">
        <v>0</v>
      </c>
      <c r="P3584" s="8">
        <v>0</v>
      </c>
      <c r="Q3584" s="8">
        <v>0</v>
      </c>
      <c r="R3584" s="8">
        <v>0</v>
      </c>
      <c r="S3584" s="8">
        <v>0</v>
      </c>
      <c r="T3584" s="5">
        <v>0</v>
      </c>
      <c r="U3584" s="5">
        <v>0</v>
      </c>
      <c r="V3584" s="5">
        <f>VLOOKUP(A3584,Planilha1!B:E,4,0)</f>
        <v>13.599044988219518</v>
      </c>
    </row>
    <row r="3585" spans="1:22" x14ac:dyDescent="0.3">
      <c r="A3585" t="str">
        <f t="shared" si="110"/>
        <v>SPREADSLACTALIS</v>
      </c>
      <c r="B3585" t="str">
        <f t="shared" si="111"/>
        <v>5361542SPREADSLACTALIS</v>
      </c>
      <c r="C3585" s="5" t="s">
        <v>226</v>
      </c>
      <c r="D3585" s="5" t="s">
        <v>227</v>
      </c>
      <c r="E3585" s="5" t="s">
        <v>1722</v>
      </c>
      <c r="F3585" s="5">
        <v>5361542</v>
      </c>
      <c r="G3585" s="5" t="s">
        <v>1429</v>
      </c>
      <c r="H3585" s="5" t="s">
        <v>30</v>
      </c>
      <c r="I3585" s="5" t="s">
        <v>22</v>
      </c>
      <c r="J3585" s="5" t="s">
        <v>945</v>
      </c>
      <c r="K3585" s="6">
        <v>0</v>
      </c>
      <c r="L3585" s="7">
        <v>0</v>
      </c>
      <c r="M3585" s="7">
        <v>0</v>
      </c>
      <c r="N3585" s="8">
        <v>1.9333333333333331</v>
      </c>
      <c r="O3585" s="8">
        <v>0</v>
      </c>
      <c r="P3585" s="8">
        <v>0</v>
      </c>
      <c r="Q3585" s="8">
        <v>1.8</v>
      </c>
      <c r="R3585" s="8">
        <v>0</v>
      </c>
      <c r="S3585" s="8">
        <v>0</v>
      </c>
      <c r="T3585" s="5">
        <v>0</v>
      </c>
      <c r="U3585" s="5">
        <v>0</v>
      </c>
      <c r="V3585" s="5">
        <f>VLOOKUP(A3585,Planilha1!B:E,4,0)</f>
        <v>13.599044988219518</v>
      </c>
    </row>
    <row r="3586" spans="1:22" x14ac:dyDescent="0.3">
      <c r="A3586" t="str">
        <f t="shared" ref="A3586:A3649" si="112">J3586&amp;I3586</f>
        <v>SPREADSLACTALIS</v>
      </c>
      <c r="B3586" t="str">
        <f t="shared" si="111"/>
        <v>5361872SPREADSLACTALIS</v>
      </c>
      <c r="C3586" s="5" t="s">
        <v>226</v>
      </c>
      <c r="D3586" s="5" t="s">
        <v>227</v>
      </c>
      <c r="E3586" s="5" t="s">
        <v>1722</v>
      </c>
      <c r="F3586" s="5">
        <v>5361872</v>
      </c>
      <c r="G3586" s="5" t="s">
        <v>1384</v>
      </c>
      <c r="H3586" s="5" t="s">
        <v>30</v>
      </c>
      <c r="I3586" s="5" t="s">
        <v>22</v>
      </c>
      <c r="J3586" s="5" t="s">
        <v>945</v>
      </c>
      <c r="K3586" s="6">
        <v>0</v>
      </c>
      <c r="L3586" s="7">
        <v>0</v>
      </c>
      <c r="M3586" s="7">
        <v>0</v>
      </c>
      <c r="N3586" s="8">
        <v>1.6666666666666667</v>
      </c>
      <c r="O3586" s="8">
        <v>0</v>
      </c>
      <c r="P3586" s="8">
        <v>0</v>
      </c>
      <c r="Q3586" s="8">
        <v>0</v>
      </c>
      <c r="R3586" s="8">
        <v>0</v>
      </c>
      <c r="S3586" s="8">
        <v>0</v>
      </c>
      <c r="T3586" s="5">
        <v>0</v>
      </c>
      <c r="U3586" s="5">
        <v>0</v>
      </c>
      <c r="V3586" s="5">
        <f>VLOOKUP(A3586,Planilha1!B:E,4,0)</f>
        <v>13.599044988219518</v>
      </c>
    </row>
    <row r="3587" spans="1:22" x14ac:dyDescent="0.3">
      <c r="A3587" t="str">
        <f t="shared" si="112"/>
        <v>SPREADSLACTALIS</v>
      </c>
      <c r="B3587" t="str">
        <f t="shared" ref="B3587:B3650" si="113">F3587&amp;J3587&amp;I3587</f>
        <v>5361873SPREADSLACTALIS</v>
      </c>
      <c r="C3587" s="5" t="s">
        <v>226</v>
      </c>
      <c r="D3587" s="5" t="s">
        <v>227</v>
      </c>
      <c r="E3587" s="5" t="s">
        <v>1722</v>
      </c>
      <c r="F3587" s="5">
        <v>5361873</v>
      </c>
      <c r="G3587" s="5" t="s">
        <v>1607</v>
      </c>
      <c r="H3587" s="5" t="s">
        <v>30</v>
      </c>
      <c r="I3587" s="5" t="s">
        <v>22</v>
      </c>
      <c r="J3587" s="5" t="s">
        <v>945</v>
      </c>
      <c r="K3587" s="6">
        <v>0</v>
      </c>
      <c r="L3587" s="7">
        <v>0</v>
      </c>
      <c r="M3587" s="7">
        <v>0</v>
      </c>
      <c r="N3587" s="8">
        <v>3.1199999999999997</v>
      </c>
      <c r="O3587" s="8">
        <v>0</v>
      </c>
      <c r="P3587" s="8">
        <v>0</v>
      </c>
      <c r="Q3587" s="8">
        <v>0</v>
      </c>
      <c r="R3587" s="8">
        <v>0</v>
      </c>
      <c r="S3587" s="8">
        <v>0</v>
      </c>
      <c r="T3587" s="5">
        <v>0</v>
      </c>
      <c r="U3587" s="5">
        <v>0</v>
      </c>
      <c r="V3587" s="5">
        <f>VLOOKUP(A3587,Planilha1!B:E,4,0)</f>
        <v>13.599044988219518</v>
      </c>
    </row>
    <row r="3588" spans="1:22" x14ac:dyDescent="0.3">
      <c r="A3588" t="str">
        <f t="shared" si="112"/>
        <v>SPREADSLACTALIS</v>
      </c>
      <c r="B3588" t="str">
        <f t="shared" si="113"/>
        <v>5362013SPREADSLACTALIS</v>
      </c>
      <c r="C3588" s="5" t="s">
        <v>226</v>
      </c>
      <c r="D3588" s="5" t="s">
        <v>227</v>
      </c>
      <c r="E3588" s="5" t="s">
        <v>1722</v>
      </c>
      <c r="F3588" s="5">
        <v>5362013</v>
      </c>
      <c r="G3588" s="5" t="s">
        <v>1608</v>
      </c>
      <c r="H3588" s="5" t="s">
        <v>30</v>
      </c>
      <c r="I3588" s="5" t="s">
        <v>22</v>
      </c>
      <c r="J3588" s="5" t="s">
        <v>945</v>
      </c>
      <c r="K3588" s="6">
        <v>0</v>
      </c>
      <c r="L3588" s="7">
        <v>0</v>
      </c>
      <c r="M3588" s="7">
        <v>0</v>
      </c>
      <c r="N3588" s="8">
        <v>0</v>
      </c>
      <c r="O3588" s="8">
        <v>0</v>
      </c>
      <c r="P3588" s="8">
        <v>0</v>
      </c>
      <c r="Q3588" s="8">
        <v>0</v>
      </c>
      <c r="R3588" s="8">
        <v>0</v>
      </c>
      <c r="S3588" s="8">
        <v>0</v>
      </c>
      <c r="T3588" s="5">
        <v>0</v>
      </c>
      <c r="U3588" s="5">
        <v>0</v>
      </c>
      <c r="V3588" s="5">
        <f>VLOOKUP(A3588,Planilha1!B:E,4,0)</f>
        <v>13.599044988219518</v>
      </c>
    </row>
    <row r="3589" spans="1:22" x14ac:dyDescent="0.3">
      <c r="A3589" t="str">
        <f t="shared" si="112"/>
        <v>SPREADSITAMBÉ</v>
      </c>
      <c r="B3589" t="str">
        <f t="shared" si="113"/>
        <v>5002086SPREADSITAMBÉ</v>
      </c>
      <c r="C3589" s="5" t="s">
        <v>149</v>
      </c>
      <c r="D3589" s="5" t="s">
        <v>150</v>
      </c>
      <c r="E3589" s="5" t="s">
        <v>151</v>
      </c>
      <c r="F3589" s="5">
        <v>5002086</v>
      </c>
      <c r="G3589" s="5" t="s">
        <v>152</v>
      </c>
      <c r="H3589" s="5" t="s">
        <v>25</v>
      </c>
      <c r="I3589" s="5" t="s">
        <v>27</v>
      </c>
      <c r="J3589" s="5" t="s">
        <v>945</v>
      </c>
      <c r="K3589" s="6">
        <v>0</v>
      </c>
      <c r="L3589" s="7">
        <v>0</v>
      </c>
      <c r="M3589" s="7">
        <v>0</v>
      </c>
      <c r="N3589" s="8">
        <v>0</v>
      </c>
      <c r="O3589" s="8">
        <v>78.984108677868861</v>
      </c>
      <c r="P3589" s="8">
        <v>0</v>
      </c>
      <c r="Q3589" s="8">
        <v>0</v>
      </c>
      <c r="R3589" s="8">
        <v>0</v>
      </c>
      <c r="S3589" s="8">
        <v>0</v>
      </c>
      <c r="T3589" s="5">
        <v>0</v>
      </c>
      <c r="U3589" s="5">
        <v>0</v>
      </c>
      <c r="V3589" s="5">
        <f>VLOOKUP(A3589,Planilha1!B:E,4,0)</f>
        <v>9.2962610783648607</v>
      </c>
    </row>
    <row r="3590" spans="1:22" x14ac:dyDescent="0.3">
      <c r="A3590" t="str">
        <f t="shared" si="112"/>
        <v>IOGURTESITAMBÉ</v>
      </c>
      <c r="B3590" t="str">
        <f t="shared" si="113"/>
        <v>5002362IOGURTESITAMBÉ</v>
      </c>
      <c r="C3590" s="5" t="s">
        <v>226</v>
      </c>
      <c r="D3590" s="5" t="s">
        <v>727</v>
      </c>
      <c r="E3590" s="5" t="s">
        <v>733</v>
      </c>
      <c r="F3590" s="5">
        <v>5002362</v>
      </c>
      <c r="G3590" s="5" t="s">
        <v>734</v>
      </c>
      <c r="H3590" s="5" t="s">
        <v>25</v>
      </c>
      <c r="I3590" s="5" t="s">
        <v>27</v>
      </c>
      <c r="J3590" s="5" t="s">
        <v>153</v>
      </c>
      <c r="K3590" s="6">
        <v>0</v>
      </c>
      <c r="L3590" s="7">
        <v>0</v>
      </c>
      <c r="M3590" s="7">
        <v>0</v>
      </c>
      <c r="N3590" s="8">
        <v>0</v>
      </c>
      <c r="O3590" s="8">
        <v>10.997787284260221</v>
      </c>
      <c r="P3590" s="8">
        <v>0</v>
      </c>
      <c r="Q3590" s="8">
        <v>0</v>
      </c>
      <c r="R3590" s="8">
        <v>0</v>
      </c>
      <c r="S3590" s="8">
        <v>0</v>
      </c>
      <c r="T3590" s="5">
        <v>0</v>
      </c>
      <c r="U3590" s="5">
        <v>0</v>
      </c>
      <c r="V3590" s="5">
        <f>VLOOKUP(A3590,Planilha1!B:E,4,0)</f>
        <v>3.2554443184120534</v>
      </c>
    </row>
    <row r="3591" spans="1:22" x14ac:dyDescent="0.3">
      <c r="A3591" t="str">
        <f t="shared" si="112"/>
        <v>IOGURTESITAMBÉ</v>
      </c>
      <c r="B3591" t="str">
        <f t="shared" si="113"/>
        <v>5017576IOGURTESITAMBÉ</v>
      </c>
      <c r="C3591" s="5" t="s">
        <v>226</v>
      </c>
      <c r="D3591" s="5" t="s">
        <v>752</v>
      </c>
      <c r="E3591" s="5" t="s">
        <v>774</v>
      </c>
      <c r="F3591" s="5">
        <v>5017576</v>
      </c>
      <c r="G3591" s="5" t="s">
        <v>775</v>
      </c>
      <c r="H3591" s="5" t="s">
        <v>32</v>
      </c>
      <c r="I3591" s="5" t="s">
        <v>27</v>
      </c>
      <c r="J3591" s="5" t="s">
        <v>153</v>
      </c>
      <c r="K3591" s="6">
        <v>0</v>
      </c>
      <c r="L3591" s="7">
        <v>81.599999999999994</v>
      </c>
      <c r="M3591" s="7">
        <v>0</v>
      </c>
      <c r="N3591" s="8">
        <v>0</v>
      </c>
      <c r="O3591" s="8">
        <v>28.99416647668604</v>
      </c>
      <c r="P3591" s="8">
        <v>0</v>
      </c>
      <c r="Q3591" s="8">
        <v>0</v>
      </c>
      <c r="R3591" s="8">
        <v>0</v>
      </c>
      <c r="S3591" s="8">
        <v>0</v>
      </c>
      <c r="T3591" s="5">
        <v>0</v>
      </c>
      <c r="U3591" s="5">
        <v>0</v>
      </c>
      <c r="V3591" s="5">
        <f>VLOOKUP(A3591,Planilha1!B:E,4,0)</f>
        <v>3.2554443184120534</v>
      </c>
    </row>
    <row r="3592" spans="1:22" x14ac:dyDescent="0.3">
      <c r="A3592" t="str">
        <f t="shared" si="112"/>
        <v>LEITE EM PÓITAMBÉ</v>
      </c>
      <c r="B3592" t="str">
        <f t="shared" si="113"/>
        <v>5019640LEITE EM PÓITAMBÉ</v>
      </c>
      <c r="C3592" s="5" t="s">
        <v>16</v>
      </c>
      <c r="D3592" s="5" t="s">
        <v>17</v>
      </c>
      <c r="E3592" s="5" t="s">
        <v>44</v>
      </c>
      <c r="F3592" s="5">
        <v>5019640</v>
      </c>
      <c r="G3592" s="5" t="s">
        <v>45</v>
      </c>
      <c r="H3592" s="5" t="s">
        <v>30</v>
      </c>
      <c r="I3592" s="5" t="s">
        <v>27</v>
      </c>
      <c r="J3592" s="5" t="s">
        <v>84</v>
      </c>
      <c r="K3592" s="6">
        <v>0</v>
      </c>
      <c r="L3592" s="7">
        <v>0</v>
      </c>
      <c r="M3592" s="7">
        <v>0</v>
      </c>
      <c r="N3592" s="8">
        <v>0</v>
      </c>
      <c r="O3592" s="8">
        <v>18.996178036449471</v>
      </c>
      <c r="P3592" s="8">
        <v>0</v>
      </c>
      <c r="Q3592" s="8">
        <v>0</v>
      </c>
      <c r="R3592" s="8">
        <v>0</v>
      </c>
      <c r="S3592" s="8">
        <v>0</v>
      </c>
      <c r="T3592" s="5">
        <v>0</v>
      </c>
      <c r="U3592" s="5">
        <v>0</v>
      </c>
      <c r="V3592" s="5">
        <f>VLOOKUP(A3592,Planilha1!B:E,4,0)</f>
        <v>4.5971522734997743</v>
      </c>
    </row>
    <row r="3593" spans="1:22" x14ac:dyDescent="0.3">
      <c r="A3593" t="str">
        <f t="shared" si="112"/>
        <v>LEITE EM PÓITAMBÉ</v>
      </c>
      <c r="B3593" t="str">
        <f t="shared" si="113"/>
        <v>5020352LEITE EM PÓITAMBÉ</v>
      </c>
      <c r="C3593" s="5" t="s">
        <v>226</v>
      </c>
      <c r="D3593" s="5" t="s">
        <v>227</v>
      </c>
      <c r="E3593" s="5" t="s">
        <v>703</v>
      </c>
      <c r="F3593" s="5">
        <v>5020352</v>
      </c>
      <c r="G3593" s="5" t="s">
        <v>706</v>
      </c>
      <c r="H3593" s="5" t="s">
        <v>30</v>
      </c>
      <c r="I3593" s="5" t="s">
        <v>27</v>
      </c>
      <c r="J3593" s="5" t="s">
        <v>84</v>
      </c>
      <c r="K3593" s="6">
        <v>0</v>
      </c>
      <c r="L3593" s="7">
        <v>0</v>
      </c>
      <c r="M3593" s="7">
        <v>0</v>
      </c>
      <c r="N3593" s="8">
        <v>0</v>
      </c>
      <c r="O3593" s="8">
        <v>3.9991953760946259</v>
      </c>
      <c r="P3593" s="8">
        <v>0</v>
      </c>
      <c r="Q3593" s="8">
        <v>0</v>
      </c>
      <c r="R3593" s="8">
        <v>0</v>
      </c>
      <c r="S3593" s="8">
        <v>0</v>
      </c>
      <c r="T3593" s="5">
        <v>0</v>
      </c>
      <c r="U3593" s="5">
        <v>0</v>
      </c>
      <c r="V3593" s="5">
        <f>VLOOKUP(A3593,Planilha1!B:E,4,0)</f>
        <v>4.5971522734997743</v>
      </c>
    </row>
    <row r="3594" spans="1:22" x14ac:dyDescent="0.3">
      <c r="A3594" t="str">
        <f t="shared" si="112"/>
        <v>SPREADSITAMBÉ</v>
      </c>
      <c r="B3594" t="str">
        <f t="shared" si="113"/>
        <v>5020352SPREADSITAMBÉ</v>
      </c>
      <c r="C3594" s="5" t="s">
        <v>226</v>
      </c>
      <c r="D3594" s="5" t="s">
        <v>227</v>
      </c>
      <c r="E3594" s="5" t="s">
        <v>703</v>
      </c>
      <c r="F3594" s="5">
        <v>5020352</v>
      </c>
      <c r="G3594" s="5" t="s">
        <v>706</v>
      </c>
      <c r="H3594" s="5" t="s">
        <v>30</v>
      </c>
      <c r="I3594" s="5" t="s">
        <v>27</v>
      </c>
      <c r="J3594" s="5" t="s">
        <v>945</v>
      </c>
      <c r="K3594" s="6">
        <v>0</v>
      </c>
      <c r="L3594" s="7">
        <v>0</v>
      </c>
      <c r="M3594" s="7">
        <v>0</v>
      </c>
      <c r="N3594" s="8">
        <v>0</v>
      </c>
      <c r="O3594" s="8">
        <v>1.999597688047313</v>
      </c>
      <c r="P3594" s="8">
        <v>0</v>
      </c>
      <c r="Q3594" s="8">
        <v>0</v>
      </c>
      <c r="R3594" s="8">
        <v>0</v>
      </c>
      <c r="S3594" s="8">
        <v>0</v>
      </c>
      <c r="T3594" s="5">
        <v>0</v>
      </c>
      <c r="U3594" s="5">
        <v>0</v>
      </c>
      <c r="V3594" s="5">
        <f>VLOOKUP(A3594,Planilha1!B:E,4,0)</f>
        <v>9.2962610783648607</v>
      </c>
    </row>
    <row r="3595" spans="1:22" x14ac:dyDescent="0.3">
      <c r="A3595" t="str">
        <f t="shared" si="112"/>
        <v>LEITE EM PÓITAMBÉ</v>
      </c>
      <c r="B3595" t="str">
        <f t="shared" si="113"/>
        <v>5021079LEITE EM PÓITAMBÉ</v>
      </c>
      <c r="C3595" s="5" t="s">
        <v>149</v>
      </c>
      <c r="D3595" s="5" t="s">
        <v>150</v>
      </c>
      <c r="E3595" s="5" t="s">
        <v>151</v>
      </c>
      <c r="F3595" s="5">
        <v>5021079</v>
      </c>
      <c r="G3595" s="5" t="s">
        <v>201</v>
      </c>
      <c r="H3595" s="5" t="s">
        <v>25</v>
      </c>
      <c r="I3595" s="5" t="s">
        <v>27</v>
      </c>
      <c r="J3595" s="5" t="s">
        <v>84</v>
      </c>
      <c r="K3595" s="6">
        <v>0</v>
      </c>
      <c r="L3595" s="7">
        <v>0</v>
      </c>
      <c r="M3595" s="7">
        <v>0</v>
      </c>
      <c r="N3595" s="8">
        <v>0</v>
      </c>
      <c r="O3595" s="8">
        <v>6.9985919081655954</v>
      </c>
      <c r="P3595" s="8">
        <v>0</v>
      </c>
      <c r="Q3595" s="8">
        <v>0</v>
      </c>
      <c r="R3595" s="8">
        <v>0</v>
      </c>
      <c r="S3595" s="8">
        <v>0</v>
      </c>
      <c r="T3595" s="5">
        <v>0</v>
      </c>
      <c r="U3595" s="5">
        <v>0</v>
      </c>
      <c r="V3595" s="5">
        <f>VLOOKUP(A3595,Planilha1!B:E,4,0)</f>
        <v>4.5971522734997743</v>
      </c>
    </row>
    <row r="3596" spans="1:22" x14ac:dyDescent="0.3">
      <c r="A3596" t="str">
        <f t="shared" si="112"/>
        <v>LEITE EM PÓITAMBÉ</v>
      </c>
      <c r="B3596" t="str">
        <f t="shared" si="113"/>
        <v>5023831LEITE EM PÓITAMBÉ</v>
      </c>
      <c r="C3596" s="5" t="s">
        <v>226</v>
      </c>
      <c r="D3596" s="5" t="s">
        <v>815</v>
      </c>
      <c r="E3596" s="5" t="s">
        <v>816</v>
      </c>
      <c r="F3596" s="5">
        <v>5023831</v>
      </c>
      <c r="G3596" s="5" t="s">
        <v>819</v>
      </c>
      <c r="H3596" s="5" t="s">
        <v>30</v>
      </c>
      <c r="I3596" s="5" t="s">
        <v>27</v>
      </c>
      <c r="J3596" s="5" t="s">
        <v>84</v>
      </c>
      <c r="K3596" s="6">
        <v>0</v>
      </c>
      <c r="L3596" s="7">
        <v>0</v>
      </c>
      <c r="M3596" s="7">
        <v>0</v>
      </c>
      <c r="N3596" s="8">
        <v>0</v>
      </c>
      <c r="O3596" s="8">
        <v>3.9991953760946259</v>
      </c>
      <c r="P3596" s="8">
        <v>0</v>
      </c>
      <c r="Q3596" s="8">
        <v>0</v>
      </c>
      <c r="R3596" s="8">
        <v>0</v>
      </c>
      <c r="S3596" s="8">
        <v>0</v>
      </c>
      <c r="T3596" s="5">
        <v>0</v>
      </c>
      <c r="U3596" s="5">
        <v>0</v>
      </c>
      <c r="V3596" s="5">
        <f>VLOOKUP(A3596,Planilha1!B:E,4,0)</f>
        <v>4.5971522734997743</v>
      </c>
    </row>
    <row r="3597" spans="1:22" x14ac:dyDescent="0.3">
      <c r="A3597" t="str">
        <f t="shared" si="112"/>
        <v>SPREADSITAMBÉ</v>
      </c>
      <c r="B3597" t="str">
        <f t="shared" si="113"/>
        <v>5023997SPREADSITAMBÉ</v>
      </c>
      <c r="C3597" s="5" t="s">
        <v>226</v>
      </c>
      <c r="D3597" s="5" t="s">
        <v>727</v>
      </c>
      <c r="E3597" s="5" t="s">
        <v>733</v>
      </c>
      <c r="F3597" s="5">
        <v>5023997</v>
      </c>
      <c r="G3597" s="5" t="s">
        <v>738</v>
      </c>
      <c r="H3597" s="5" t="s">
        <v>25</v>
      </c>
      <c r="I3597" s="5" t="s">
        <v>27</v>
      </c>
      <c r="J3597" s="5" t="s">
        <v>945</v>
      </c>
      <c r="K3597" s="6">
        <v>0</v>
      </c>
      <c r="L3597" s="7">
        <v>0</v>
      </c>
      <c r="M3597" s="7">
        <v>0</v>
      </c>
      <c r="N3597" s="8">
        <v>0</v>
      </c>
      <c r="O3597" s="8">
        <v>9.9979884402365649</v>
      </c>
      <c r="P3597" s="8">
        <v>0</v>
      </c>
      <c r="Q3597" s="8">
        <v>0</v>
      </c>
      <c r="R3597" s="8">
        <v>0</v>
      </c>
      <c r="S3597" s="8">
        <v>0</v>
      </c>
      <c r="T3597" s="5">
        <v>0</v>
      </c>
      <c r="U3597" s="5">
        <v>0</v>
      </c>
      <c r="V3597" s="5">
        <f>VLOOKUP(A3597,Planilha1!B:E,4,0)</f>
        <v>9.2962610783648607</v>
      </c>
    </row>
    <row r="3598" spans="1:22" x14ac:dyDescent="0.3">
      <c r="A3598" t="str">
        <f t="shared" si="112"/>
        <v>LEITE EM PÓITAMBÉ</v>
      </c>
      <c r="B3598" t="str">
        <f t="shared" si="113"/>
        <v>5027659LEITE EM PÓITAMBÉ</v>
      </c>
      <c r="C3598" s="5" t="s">
        <v>226</v>
      </c>
      <c r="D3598" s="5" t="s">
        <v>903</v>
      </c>
      <c r="E3598" s="5" t="s">
        <v>904</v>
      </c>
      <c r="F3598" s="5">
        <v>5027659</v>
      </c>
      <c r="G3598" s="5" t="s">
        <v>914</v>
      </c>
      <c r="H3598" s="5" t="s">
        <v>88</v>
      </c>
      <c r="I3598" s="5" t="s">
        <v>27</v>
      </c>
      <c r="J3598" s="5" t="s">
        <v>84</v>
      </c>
      <c r="K3598" s="6">
        <v>0</v>
      </c>
      <c r="L3598" s="7">
        <v>0</v>
      </c>
      <c r="M3598" s="7">
        <v>0</v>
      </c>
      <c r="N3598" s="8">
        <v>0</v>
      </c>
      <c r="O3598" s="8">
        <v>4.9989942201182824</v>
      </c>
      <c r="P3598" s="8">
        <v>0</v>
      </c>
      <c r="Q3598" s="8">
        <v>0</v>
      </c>
      <c r="R3598" s="8">
        <v>0</v>
      </c>
      <c r="S3598" s="8">
        <v>0</v>
      </c>
      <c r="T3598" s="5">
        <v>0</v>
      </c>
      <c r="U3598" s="5">
        <v>0</v>
      </c>
      <c r="V3598" s="5">
        <f>VLOOKUP(A3598,Planilha1!B:E,4,0)</f>
        <v>4.5971522734997743</v>
      </c>
    </row>
    <row r="3599" spans="1:22" x14ac:dyDescent="0.3">
      <c r="A3599" t="str">
        <f t="shared" si="112"/>
        <v>SPREADSITAMBÉ</v>
      </c>
      <c r="B3599" t="str">
        <f t="shared" si="113"/>
        <v>5063519SPREADSITAMBÉ</v>
      </c>
      <c r="C3599" s="5" t="s">
        <v>149</v>
      </c>
      <c r="D3599" s="5" t="s">
        <v>150</v>
      </c>
      <c r="E3599" s="5" t="s">
        <v>151</v>
      </c>
      <c r="F3599" s="5">
        <v>5063519</v>
      </c>
      <c r="G3599" s="5" t="s">
        <v>198</v>
      </c>
      <c r="H3599" s="5" t="s">
        <v>30</v>
      </c>
      <c r="I3599" s="5" t="s">
        <v>27</v>
      </c>
      <c r="J3599" s="5" t="s">
        <v>945</v>
      </c>
      <c r="K3599" s="6">
        <v>0</v>
      </c>
      <c r="L3599" s="7">
        <v>0</v>
      </c>
      <c r="M3599" s="7">
        <v>0</v>
      </c>
      <c r="N3599" s="8">
        <v>0</v>
      </c>
      <c r="O3599" s="8">
        <v>301.93925089514426</v>
      </c>
      <c r="P3599" s="8">
        <v>0</v>
      </c>
      <c r="Q3599" s="8">
        <v>0</v>
      </c>
      <c r="R3599" s="8">
        <v>0</v>
      </c>
      <c r="S3599" s="8">
        <v>0</v>
      </c>
      <c r="T3599" s="5">
        <v>0</v>
      </c>
      <c r="U3599" s="5">
        <v>0</v>
      </c>
      <c r="V3599" s="5">
        <f>VLOOKUP(A3599,Planilha1!B:E,4,0)</f>
        <v>9.2962610783648607</v>
      </c>
    </row>
    <row r="3600" spans="1:22" x14ac:dyDescent="0.3">
      <c r="A3600" t="str">
        <f t="shared" si="112"/>
        <v>MERC + AROMITAMBÉ</v>
      </c>
      <c r="B3600" t="str">
        <f t="shared" si="113"/>
        <v>5111398MERC + AROMITAMBÉ</v>
      </c>
      <c r="C3600" s="5" t="s">
        <v>149</v>
      </c>
      <c r="D3600" s="5" t="s">
        <v>150</v>
      </c>
      <c r="E3600" s="5" t="s">
        <v>186</v>
      </c>
      <c r="F3600" s="5">
        <v>5111398</v>
      </c>
      <c r="G3600" s="5" t="s">
        <v>1482</v>
      </c>
      <c r="H3600" s="5" t="s">
        <v>30</v>
      </c>
      <c r="I3600" s="5" t="s">
        <v>27</v>
      </c>
      <c r="J3600" s="5" t="s">
        <v>230</v>
      </c>
      <c r="K3600" s="6">
        <v>0</v>
      </c>
      <c r="L3600" s="7">
        <v>0</v>
      </c>
      <c r="M3600" s="7">
        <v>0</v>
      </c>
      <c r="N3600" s="8">
        <v>0</v>
      </c>
      <c r="O3600" s="8">
        <v>435.91229599431421</v>
      </c>
      <c r="P3600" s="8">
        <v>0</v>
      </c>
      <c r="Q3600" s="8">
        <v>0</v>
      </c>
      <c r="R3600" s="8">
        <v>0</v>
      </c>
      <c r="S3600" s="8">
        <v>0</v>
      </c>
      <c r="T3600" s="5">
        <v>0</v>
      </c>
      <c r="U3600" s="5">
        <v>0</v>
      </c>
      <c r="V3600" s="5">
        <f>VLOOKUP(A3600,Planilha1!B:E,4,0)</f>
        <v>1.0384020099151063</v>
      </c>
    </row>
    <row r="3601" spans="1:22" x14ac:dyDescent="0.3">
      <c r="A3601" t="str">
        <f t="shared" si="112"/>
        <v>LEITE EM PÓITAMBÉ</v>
      </c>
      <c r="B3601" t="str">
        <f t="shared" si="113"/>
        <v>5114882LEITE EM PÓITAMBÉ</v>
      </c>
      <c r="C3601" s="5" t="s">
        <v>226</v>
      </c>
      <c r="D3601" s="5" t="s">
        <v>752</v>
      </c>
      <c r="E3601" s="5" t="s">
        <v>774</v>
      </c>
      <c r="F3601" s="5">
        <v>5114882</v>
      </c>
      <c r="G3601" s="5" t="s">
        <v>783</v>
      </c>
      <c r="H3601" s="5" t="s">
        <v>32</v>
      </c>
      <c r="I3601" s="5" t="s">
        <v>27</v>
      </c>
      <c r="J3601" s="5" t="s">
        <v>84</v>
      </c>
      <c r="K3601" s="6">
        <v>0</v>
      </c>
      <c r="L3601" s="7">
        <v>30</v>
      </c>
      <c r="M3601" s="7">
        <v>0</v>
      </c>
      <c r="N3601" s="8">
        <v>0</v>
      </c>
      <c r="O3601" s="8">
        <v>7.9983907521892519</v>
      </c>
      <c r="P3601" s="8">
        <v>0</v>
      </c>
      <c r="Q3601" s="8">
        <v>0</v>
      </c>
      <c r="R3601" s="8">
        <v>0</v>
      </c>
      <c r="S3601" s="8">
        <v>0</v>
      </c>
      <c r="T3601" s="5">
        <v>0</v>
      </c>
      <c r="U3601" s="5">
        <v>0</v>
      </c>
      <c r="V3601" s="5">
        <f>VLOOKUP(A3601,Planilha1!B:E,4,0)</f>
        <v>4.5971522734997743</v>
      </c>
    </row>
    <row r="3602" spans="1:22" x14ac:dyDescent="0.3">
      <c r="A3602" t="str">
        <f t="shared" si="112"/>
        <v>IOGURTESITAMBÉ</v>
      </c>
      <c r="B3602" t="str">
        <f t="shared" si="113"/>
        <v>5118035IOGURTESITAMBÉ</v>
      </c>
      <c r="C3602" s="5" t="s">
        <v>226</v>
      </c>
      <c r="D3602" s="5" t="s">
        <v>833</v>
      </c>
      <c r="E3602" s="5" t="s">
        <v>850</v>
      </c>
      <c r="F3602" s="5">
        <v>5118035</v>
      </c>
      <c r="G3602" s="5" t="s">
        <v>857</v>
      </c>
      <c r="H3602" s="5" t="s">
        <v>40</v>
      </c>
      <c r="I3602" s="5" t="s">
        <v>27</v>
      </c>
      <c r="J3602" s="5" t="s">
        <v>153</v>
      </c>
      <c r="K3602" s="6">
        <v>0</v>
      </c>
      <c r="L3602" s="7">
        <v>0</v>
      </c>
      <c r="M3602" s="7">
        <v>0</v>
      </c>
      <c r="N3602" s="8">
        <v>0</v>
      </c>
      <c r="O3602" s="8">
        <v>9.9979884402365649</v>
      </c>
      <c r="P3602" s="8">
        <v>0</v>
      </c>
      <c r="Q3602" s="8">
        <v>0</v>
      </c>
      <c r="R3602" s="8">
        <v>0</v>
      </c>
      <c r="S3602" s="8">
        <v>0</v>
      </c>
      <c r="T3602" s="5">
        <v>0</v>
      </c>
      <c r="U3602" s="5">
        <v>0</v>
      </c>
      <c r="V3602" s="5">
        <f>VLOOKUP(A3602,Planilha1!B:E,4,0)</f>
        <v>3.2554443184120534</v>
      </c>
    </row>
    <row r="3603" spans="1:22" x14ac:dyDescent="0.3">
      <c r="A3603" t="str">
        <f t="shared" si="112"/>
        <v>LEITE EM PÓITAMBÉ</v>
      </c>
      <c r="B3603" t="str">
        <f t="shared" si="113"/>
        <v>5130771LEITE EM PÓITAMBÉ</v>
      </c>
      <c r="C3603" s="5" t="s">
        <v>16</v>
      </c>
      <c r="D3603" s="5" t="s">
        <v>17</v>
      </c>
      <c r="E3603" s="5" t="s">
        <v>44</v>
      </c>
      <c r="F3603" s="5">
        <v>5130771</v>
      </c>
      <c r="G3603" s="5" t="s">
        <v>1619</v>
      </c>
      <c r="H3603" s="5" t="s">
        <v>30</v>
      </c>
      <c r="I3603" s="5" t="s">
        <v>27</v>
      </c>
      <c r="J3603" s="5" t="s">
        <v>84</v>
      </c>
      <c r="K3603" s="6">
        <v>0</v>
      </c>
      <c r="L3603" s="7">
        <v>0</v>
      </c>
      <c r="M3603" s="7">
        <v>0</v>
      </c>
      <c r="N3603" s="8">
        <v>0</v>
      </c>
      <c r="O3603" s="8">
        <v>442.91088790247983</v>
      </c>
      <c r="P3603" s="8">
        <v>0</v>
      </c>
      <c r="Q3603" s="8">
        <v>0</v>
      </c>
      <c r="R3603" s="8">
        <v>0</v>
      </c>
      <c r="S3603" s="8">
        <v>0</v>
      </c>
      <c r="T3603" s="5">
        <v>0</v>
      </c>
      <c r="U3603" s="5">
        <v>0</v>
      </c>
      <c r="V3603" s="5">
        <f>VLOOKUP(A3603,Planilha1!B:E,4,0)</f>
        <v>4.5971522734997743</v>
      </c>
    </row>
    <row r="3604" spans="1:22" x14ac:dyDescent="0.3">
      <c r="A3604" t="str">
        <f t="shared" si="112"/>
        <v>SPREADSITAMBÉ</v>
      </c>
      <c r="B3604" t="str">
        <f t="shared" si="113"/>
        <v>5159289SPREADSITAMBÉ</v>
      </c>
      <c r="C3604" s="5" t="s">
        <v>226</v>
      </c>
      <c r="D3604" s="5" t="s">
        <v>815</v>
      </c>
      <c r="E3604" s="5" t="s">
        <v>816</v>
      </c>
      <c r="F3604" s="5">
        <v>5159289</v>
      </c>
      <c r="G3604" s="5" t="s">
        <v>715</v>
      </c>
      <c r="H3604" s="5" t="s">
        <v>30</v>
      </c>
      <c r="I3604" s="5" t="s">
        <v>27</v>
      </c>
      <c r="J3604" s="5" t="s">
        <v>945</v>
      </c>
      <c r="K3604" s="6">
        <v>0</v>
      </c>
      <c r="L3604" s="7">
        <v>0</v>
      </c>
      <c r="M3604" s="7">
        <v>0</v>
      </c>
      <c r="N3604" s="8">
        <v>0</v>
      </c>
      <c r="O3604" s="8">
        <v>5.9987930641419389</v>
      </c>
      <c r="P3604" s="8">
        <v>0</v>
      </c>
      <c r="Q3604" s="8">
        <v>0</v>
      </c>
      <c r="R3604" s="8">
        <v>0</v>
      </c>
      <c r="S3604" s="8">
        <v>0</v>
      </c>
      <c r="T3604" s="5">
        <v>0</v>
      </c>
      <c r="U3604" s="5">
        <v>0</v>
      </c>
      <c r="V3604" s="5">
        <f>VLOOKUP(A3604,Planilha1!B:E,4,0)</f>
        <v>9.2962610783648607</v>
      </c>
    </row>
    <row r="3605" spans="1:22" x14ac:dyDescent="0.3">
      <c r="A3605" t="str">
        <f t="shared" si="112"/>
        <v>LEITE EM PÓITAMBÉ</v>
      </c>
      <c r="B3605" t="str">
        <f t="shared" si="113"/>
        <v>5159508LEITE EM PÓITAMBÉ</v>
      </c>
      <c r="C3605" s="5" t="s">
        <v>226</v>
      </c>
      <c r="D3605" s="5" t="s">
        <v>727</v>
      </c>
      <c r="E3605" s="5" t="s">
        <v>733</v>
      </c>
      <c r="F3605" s="5">
        <v>5159508</v>
      </c>
      <c r="G3605" s="5" t="s">
        <v>744</v>
      </c>
      <c r="H3605" s="5" t="s">
        <v>25</v>
      </c>
      <c r="I3605" s="5" t="s">
        <v>27</v>
      </c>
      <c r="J3605" s="5" t="s">
        <v>84</v>
      </c>
      <c r="K3605" s="6">
        <v>0</v>
      </c>
      <c r="L3605" s="7">
        <v>0</v>
      </c>
      <c r="M3605" s="7">
        <v>0</v>
      </c>
      <c r="N3605" s="8">
        <v>0</v>
      </c>
      <c r="O3605" s="8">
        <v>25.994769944615065</v>
      </c>
      <c r="P3605" s="8">
        <v>0</v>
      </c>
      <c r="Q3605" s="8">
        <v>0</v>
      </c>
      <c r="R3605" s="8">
        <v>0</v>
      </c>
      <c r="S3605" s="8">
        <v>0</v>
      </c>
      <c r="T3605" s="5">
        <v>0</v>
      </c>
      <c r="U3605" s="5">
        <v>0</v>
      </c>
      <c r="V3605" s="5">
        <f>VLOOKUP(A3605,Planilha1!B:E,4,0)</f>
        <v>4.5971522734997743</v>
      </c>
    </row>
    <row r="3606" spans="1:22" x14ac:dyDescent="0.3">
      <c r="A3606" t="str">
        <f t="shared" si="112"/>
        <v>MERC + AROMITAMBÉ</v>
      </c>
      <c r="B3606" t="str">
        <f t="shared" si="113"/>
        <v>5161553MERC + AROMITAMBÉ</v>
      </c>
      <c r="C3606" s="5" t="s">
        <v>149</v>
      </c>
      <c r="D3606" s="5" t="s">
        <v>150</v>
      </c>
      <c r="E3606" s="5" t="s">
        <v>151</v>
      </c>
      <c r="F3606" s="5">
        <v>5161553</v>
      </c>
      <c r="G3606" s="5" t="s">
        <v>198</v>
      </c>
      <c r="H3606" s="5" t="s">
        <v>113</v>
      </c>
      <c r="I3606" s="5" t="s">
        <v>27</v>
      </c>
      <c r="J3606" s="5" t="s">
        <v>230</v>
      </c>
      <c r="K3606" s="6">
        <v>0</v>
      </c>
      <c r="L3606" s="7">
        <v>0</v>
      </c>
      <c r="M3606" s="7">
        <v>0</v>
      </c>
      <c r="N3606" s="8">
        <v>0</v>
      </c>
      <c r="O3606" s="8">
        <v>677.86361624803908</v>
      </c>
      <c r="P3606" s="8">
        <v>0</v>
      </c>
      <c r="Q3606" s="8">
        <v>0</v>
      </c>
      <c r="R3606" s="8">
        <v>0</v>
      </c>
      <c r="S3606" s="8">
        <v>0</v>
      </c>
      <c r="T3606" s="5">
        <v>0</v>
      </c>
      <c r="U3606" s="5">
        <v>0</v>
      </c>
      <c r="V3606" s="5">
        <f>VLOOKUP(A3606,Planilha1!B:E,4,0)</f>
        <v>1.0384020099151063</v>
      </c>
    </row>
    <row r="3607" spans="1:22" x14ac:dyDescent="0.3">
      <c r="A3607" t="str">
        <f t="shared" si="112"/>
        <v>SPREADSITAMBÉ</v>
      </c>
      <c r="B3607" t="str">
        <f t="shared" si="113"/>
        <v>5174259SPREADSITAMBÉ</v>
      </c>
      <c r="C3607" s="5" t="s">
        <v>226</v>
      </c>
      <c r="D3607" s="5" t="s">
        <v>752</v>
      </c>
      <c r="E3607" s="5" t="s">
        <v>774</v>
      </c>
      <c r="F3607" s="5">
        <v>5174259</v>
      </c>
      <c r="G3607" s="5" t="s">
        <v>785</v>
      </c>
      <c r="H3607" s="5" t="s">
        <v>32</v>
      </c>
      <c r="I3607" s="5" t="s">
        <v>27</v>
      </c>
      <c r="J3607" s="5" t="s">
        <v>945</v>
      </c>
      <c r="K3607" s="6">
        <v>0</v>
      </c>
      <c r="L3607" s="7">
        <v>0</v>
      </c>
      <c r="M3607" s="7">
        <v>0</v>
      </c>
      <c r="N3607" s="8">
        <v>0</v>
      </c>
      <c r="O3607" s="8">
        <v>19.99597688047313</v>
      </c>
      <c r="P3607" s="8">
        <v>0</v>
      </c>
      <c r="Q3607" s="8">
        <v>0</v>
      </c>
      <c r="R3607" s="8">
        <v>0</v>
      </c>
      <c r="S3607" s="8">
        <v>0</v>
      </c>
      <c r="T3607" s="5">
        <v>0</v>
      </c>
      <c r="U3607" s="5">
        <v>0</v>
      </c>
      <c r="V3607" s="5">
        <f>VLOOKUP(A3607,Planilha1!B:E,4,0)</f>
        <v>9.2962610783648607</v>
      </c>
    </row>
    <row r="3608" spans="1:22" x14ac:dyDescent="0.3">
      <c r="A3608" t="str">
        <f t="shared" si="112"/>
        <v>LEITE EM PÓITAMBÉ</v>
      </c>
      <c r="B3608" t="str">
        <f t="shared" si="113"/>
        <v>5178518LEITE EM PÓITAMBÉ</v>
      </c>
      <c r="C3608" s="5" t="s">
        <v>226</v>
      </c>
      <c r="D3608" s="5" t="s">
        <v>752</v>
      </c>
      <c r="E3608" s="5" t="s">
        <v>767</v>
      </c>
      <c r="F3608" s="5">
        <v>5178518</v>
      </c>
      <c r="G3608" s="5" t="s">
        <v>769</v>
      </c>
      <c r="H3608" s="5" t="s">
        <v>154</v>
      </c>
      <c r="I3608" s="5" t="s">
        <v>27</v>
      </c>
      <c r="J3608" s="5" t="s">
        <v>84</v>
      </c>
      <c r="K3608" s="6">
        <v>0</v>
      </c>
      <c r="L3608" s="7">
        <v>200</v>
      </c>
      <c r="M3608" s="7">
        <v>0</v>
      </c>
      <c r="N3608" s="8">
        <v>0</v>
      </c>
      <c r="O3608" s="8">
        <v>294.94065898697869</v>
      </c>
      <c r="P3608" s="8">
        <v>0</v>
      </c>
      <c r="Q3608" s="8">
        <v>0</v>
      </c>
      <c r="R3608" s="8">
        <v>0</v>
      </c>
      <c r="S3608" s="8">
        <v>0</v>
      </c>
      <c r="T3608" s="5">
        <v>0</v>
      </c>
      <c r="U3608" s="5">
        <v>0</v>
      </c>
      <c r="V3608" s="5">
        <f>VLOOKUP(A3608,Planilha1!B:E,4,0)</f>
        <v>4.5971522734997743</v>
      </c>
    </row>
    <row r="3609" spans="1:22" x14ac:dyDescent="0.3">
      <c r="A3609" t="str">
        <f t="shared" si="112"/>
        <v>LEITE EM PÓITAMBÉ</v>
      </c>
      <c r="B3609" t="str">
        <f t="shared" si="113"/>
        <v>5196867LEITE EM PÓITAMBÉ</v>
      </c>
      <c r="C3609" s="5" t="s">
        <v>226</v>
      </c>
      <c r="D3609" s="5" t="s">
        <v>227</v>
      </c>
      <c r="E3609" s="5" t="s">
        <v>703</v>
      </c>
      <c r="F3609" s="5">
        <v>5196867</v>
      </c>
      <c r="G3609" s="5" t="s">
        <v>718</v>
      </c>
      <c r="H3609" s="5" t="s">
        <v>30</v>
      </c>
      <c r="I3609" s="5" t="s">
        <v>27</v>
      </c>
      <c r="J3609" s="5" t="s">
        <v>84</v>
      </c>
      <c r="K3609" s="6">
        <v>0</v>
      </c>
      <c r="L3609" s="7">
        <v>50</v>
      </c>
      <c r="M3609" s="7">
        <v>0</v>
      </c>
      <c r="N3609" s="8">
        <v>0</v>
      </c>
      <c r="O3609" s="8">
        <v>18.996178036449471</v>
      </c>
      <c r="P3609" s="8">
        <v>0</v>
      </c>
      <c r="Q3609" s="8">
        <v>0</v>
      </c>
      <c r="R3609" s="8">
        <v>0</v>
      </c>
      <c r="S3609" s="8">
        <v>0</v>
      </c>
      <c r="T3609" s="5">
        <v>0</v>
      </c>
      <c r="U3609" s="5">
        <v>0</v>
      </c>
      <c r="V3609" s="5">
        <f>VLOOKUP(A3609,Planilha1!B:E,4,0)</f>
        <v>4.5971522734997743</v>
      </c>
    </row>
    <row r="3610" spans="1:22" x14ac:dyDescent="0.3">
      <c r="A3610" t="str">
        <f t="shared" si="112"/>
        <v>MERC + AROMLACTALIS</v>
      </c>
      <c r="B3610" t="str">
        <f t="shared" si="113"/>
        <v>5171625MERC + AROMLACTALIS</v>
      </c>
      <c r="C3610" s="5" t="s">
        <v>16</v>
      </c>
      <c r="D3610" s="5" t="s">
        <v>16</v>
      </c>
      <c r="E3610" s="5" t="s">
        <v>132</v>
      </c>
      <c r="F3610" s="5">
        <v>5171625</v>
      </c>
      <c r="G3610" s="5" t="s">
        <v>155</v>
      </c>
      <c r="H3610" s="5" t="s">
        <v>30</v>
      </c>
      <c r="I3610" s="5" t="s">
        <v>22</v>
      </c>
      <c r="J3610" s="5" t="s">
        <v>230</v>
      </c>
      <c r="K3610" s="6">
        <v>0</v>
      </c>
      <c r="L3610" s="7">
        <v>0</v>
      </c>
      <c r="M3610" s="7">
        <v>0</v>
      </c>
      <c r="N3610" s="8">
        <v>0</v>
      </c>
      <c r="O3610" s="8">
        <v>1690400</v>
      </c>
      <c r="P3610" s="8">
        <v>0</v>
      </c>
      <c r="Q3610" s="8">
        <v>0</v>
      </c>
      <c r="R3610" s="8">
        <v>0</v>
      </c>
      <c r="S3610" s="8">
        <v>0</v>
      </c>
      <c r="T3610" s="5">
        <v>0</v>
      </c>
      <c r="U3610" s="5">
        <v>0</v>
      </c>
      <c r="V3610" s="5">
        <f>VLOOKUP(A3610,Planilha1!B:E,4,0)</f>
        <v>0.86907188046232187</v>
      </c>
    </row>
    <row r="3611" spans="1:22" x14ac:dyDescent="0.3">
      <c r="A3611" t="str">
        <f t="shared" si="112"/>
        <v>SPREADSITAMBÉ</v>
      </c>
      <c r="B3611" t="str">
        <f t="shared" si="113"/>
        <v>5216067SPREADSITAMBÉ</v>
      </c>
      <c r="C3611" s="5" t="s">
        <v>226</v>
      </c>
      <c r="D3611" s="5" t="s">
        <v>903</v>
      </c>
      <c r="E3611" s="5" t="s">
        <v>904</v>
      </c>
      <c r="F3611" s="5">
        <v>5216067</v>
      </c>
      <c r="G3611" s="5" t="s">
        <v>926</v>
      </c>
      <c r="H3611" s="5" t="s">
        <v>113</v>
      </c>
      <c r="I3611" s="5" t="s">
        <v>27</v>
      </c>
      <c r="J3611" s="5" t="s">
        <v>945</v>
      </c>
      <c r="K3611" s="6">
        <v>0</v>
      </c>
      <c r="L3611" s="7">
        <v>0</v>
      </c>
      <c r="M3611" s="7">
        <v>0</v>
      </c>
      <c r="N3611" s="8">
        <v>0</v>
      </c>
      <c r="O3611" s="8">
        <v>5.9987930641419389</v>
      </c>
      <c r="P3611" s="8">
        <v>0</v>
      </c>
      <c r="Q3611" s="8">
        <v>0</v>
      </c>
      <c r="R3611" s="8">
        <v>0</v>
      </c>
      <c r="S3611" s="8">
        <v>0</v>
      </c>
      <c r="T3611" s="5">
        <v>0</v>
      </c>
      <c r="U3611" s="5">
        <v>0</v>
      </c>
      <c r="V3611" s="5">
        <f>VLOOKUP(A3611,Planilha1!B:E,4,0)</f>
        <v>9.2962610783648607</v>
      </c>
    </row>
    <row r="3612" spans="1:22" x14ac:dyDescent="0.3">
      <c r="A3612" t="str">
        <f t="shared" si="112"/>
        <v>LEITE EM PÓITAMBÉ</v>
      </c>
      <c r="B3612" t="str">
        <f t="shared" si="113"/>
        <v>5216898LEITE EM PÓITAMBÉ</v>
      </c>
      <c r="C3612" s="5" t="s">
        <v>226</v>
      </c>
      <c r="D3612" s="5" t="s">
        <v>752</v>
      </c>
      <c r="E3612" s="5" t="s">
        <v>774</v>
      </c>
      <c r="F3612" s="5">
        <v>5216898</v>
      </c>
      <c r="G3612" s="5" t="s">
        <v>792</v>
      </c>
      <c r="H3612" s="5" t="s">
        <v>32</v>
      </c>
      <c r="I3612" s="5" t="s">
        <v>27</v>
      </c>
      <c r="J3612" s="5" t="s">
        <v>84</v>
      </c>
      <c r="K3612" s="6">
        <v>0</v>
      </c>
      <c r="L3612" s="7">
        <v>0</v>
      </c>
      <c r="M3612" s="7">
        <v>0</v>
      </c>
      <c r="N3612" s="8">
        <v>0</v>
      </c>
      <c r="O3612" s="8">
        <v>3.9991953760946259</v>
      </c>
      <c r="P3612" s="8">
        <v>0</v>
      </c>
      <c r="Q3612" s="8">
        <v>0</v>
      </c>
      <c r="R3612" s="8">
        <v>0</v>
      </c>
      <c r="S3612" s="8">
        <v>0</v>
      </c>
      <c r="T3612" s="5">
        <v>0</v>
      </c>
      <c r="U3612" s="5">
        <v>0</v>
      </c>
      <c r="V3612" s="5">
        <f>VLOOKUP(A3612,Planilha1!B:E,4,0)</f>
        <v>4.5971522734997743</v>
      </c>
    </row>
    <row r="3613" spans="1:22" x14ac:dyDescent="0.3">
      <c r="A3613" t="str">
        <f t="shared" si="112"/>
        <v>LEITE EM PÓITAMBÉ</v>
      </c>
      <c r="B3613" t="str">
        <f t="shared" si="113"/>
        <v>5218945LEITE EM PÓITAMBÉ</v>
      </c>
      <c r="C3613" s="5" t="s">
        <v>226</v>
      </c>
      <c r="D3613" s="5" t="s">
        <v>833</v>
      </c>
      <c r="E3613" s="5" t="s">
        <v>850</v>
      </c>
      <c r="F3613" s="5">
        <v>5218945</v>
      </c>
      <c r="G3613" s="5" t="s">
        <v>1620</v>
      </c>
      <c r="H3613" s="5" t="s">
        <v>40</v>
      </c>
      <c r="I3613" s="5" t="s">
        <v>27</v>
      </c>
      <c r="J3613" s="5" t="s">
        <v>84</v>
      </c>
      <c r="K3613" s="6">
        <v>0</v>
      </c>
      <c r="L3613" s="7">
        <v>0</v>
      </c>
      <c r="M3613" s="7">
        <v>0</v>
      </c>
      <c r="N3613" s="8">
        <v>0</v>
      </c>
      <c r="O3613" s="8">
        <v>7.9983907521892519</v>
      </c>
      <c r="P3613" s="8">
        <v>0</v>
      </c>
      <c r="Q3613" s="8">
        <v>0</v>
      </c>
      <c r="R3613" s="8">
        <v>0</v>
      </c>
      <c r="S3613" s="8">
        <v>0</v>
      </c>
      <c r="T3613" s="5">
        <v>0</v>
      </c>
      <c r="U3613" s="5">
        <v>0</v>
      </c>
      <c r="V3613" s="5">
        <f>VLOOKUP(A3613,Planilha1!B:E,4,0)</f>
        <v>4.5971522734997743</v>
      </c>
    </row>
    <row r="3614" spans="1:22" x14ac:dyDescent="0.3">
      <c r="A3614" t="str">
        <f t="shared" si="112"/>
        <v>LEITE EM PÓITAMBÉ</v>
      </c>
      <c r="B3614" t="str">
        <f t="shared" si="113"/>
        <v>5220002LEITE EM PÓITAMBÉ</v>
      </c>
      <c r="C3614" s="5" t="s">
        <v>226</v>
      </c>
      <c r="D3614" s="5" t="s">
        <v>903</v>
      </c>
      <c r="E3614" s="5" t="s">
        <v>904</v>
      </c>
      <c r="F3614" s="5">
        <v>5220002</v>
      </c>
      <c r="G3614" s="5" t="s">
        <v>928</v>
      </c>
      <c r="H3614" s="5" t="s">
        <v>113</v>
      </c>
      <c r="I3614" s="5" t="s">
        <v>27</v>
      </c>
      <c r="J3614" s="5" t="s">
        <v>84</v>
      </c>
      <c r="K3614" s="6">
        <v>0</v>
      </c>
      <c r="L3614" s="7">
        <v>0</v>
      </c>
      <c r="M3614" s="7">
        <v>0</v>
      </c>
      <c r="N3614" s="8">
        <v>0</v>
      </c>
      <c r="O3614" s="8">
        <v>3.9991953760946259</v>
      </c>
      <c r="P3614" s="8">
        <v>0</v>
      </c>
      <c r="Q3614" s="8">
        <v>10</v>
      </c>
      <c r="R3614" s="8">
        <v>0</v>
      </c>
      <c r="S3614" s="8">
        <v>0</v>
      </c>
      <c r="T3614" s="5">
        <v>0</v>
      </c>
      <c r="U3614" s="5">
        <v>0</v>
      </c>
      <c r="V3614" s="5">
        <f>VLOOKUP(A3614,Planilha1!B:E,4,0)</f>
        <v>4.5971522734997743</v>
      </c>
    </row>
    <row r="3615" spans="1:22" x14ac:dyDescent="0.3">
      <c r="A3615" t="str">
        <f t="shared" si="112"/>
        <v>LEITE EM PÓITAMBÉ</v>
      </c>
      <c r="B3615" t="str">
        <f t="shared" si="113"/>
        <v>5223996LEITE EM PÓITAMBÉ</v>
      </c>
      <c r="C3615" s="5" t="s">
        <v>16</v>
      </c>
      <c r="D3615" s="5" t="s">
        <v>17</v>
      </c>
      <c r="E3615" s="5" t="s">
        <v>23</v>
      </c>
      <c r="F3615" s="5">
        <v>5223996</v>
      </c>
      <c r="G3615" s="5" t="s">
        <v>31</v>
      </c>
      <c r="H3615" s="5" t="s">
        <v>32</v>
      </c>
      <c r="I3615" s="5" t="s">
        <v>27</v>
      </c>
      <c r="J3615" s="5" t="s">
        <v>84</v>
      </c>
      <c r="K3615" s="6">
        <v>0</v>
      </c>
      <c r="L3615" s="7">
        <v>0</v>
      </c>
      <c r="M3615" s="7">
        <v>0</v>
      </c>
      <c r="N3615" s="8">
        <v>0</v>
      </c>
      <c r="O3615" s="8">
        <v>14.996982660354847</v>
      </c>
      <c r="P3615" s="8">
        <v>0</v>
      </c>
      <c r="Q3615" s="8">
        <v>100</v>
      </c>
      <c r="R3615" s="8">
        <v>0</v>
      </c>
      <c r="S3615" s="8">
        <v>0</v>
      </c>
      <c r="T3615" s="5">
        <v>0</v>
      </c>
      <c r="U3615" s="5">
        <v>0</v>
      </c>
      <c r="V3615" s="5">
        <f>VLOOKUP(A3615,Planilha1!B:E,4,0)</f>
        <v>4.5971522734997743</v>
      </c>
    </row>
    <row r="3616" spans="1:22" x14ac:dyDescent="0.3">
      <c r="A3616" t="str">
        <f t="shared" si="112"/>
        <v>LEITE EM PÓITAMBÉ</v>
      </c>
      <c r="B3616" t="str">
        <f t="shared" si="113"/>
        <v>5230884LEITE EM PÓITAMBÉ</v>
      </c>
      <c r="C3616" s="5" t="s">
        <v>16</v>
      </c>
      <c r="D3616" s="5" t="s">
        <v>17</v>
      </c>
      <c r="E3616" s="5" t="s">
        <v>44</v>
      </c>
      <c r="F3616" s="5">
        <v>5230884</v>
      </c>
      <c r="G3616" s="5" t="s">
        <v>1621</v>
      </c>
      <c r="H3616" s="5" t="s">
        <v>25</v>
      </c>
      <c r="I3616" s="5" t="s">
        <v>27</v>
      </c>
      <c r="J3616" s="5" t="s">
        <v>84</v>
      </c>
      <c r="K3616" s="6">
        <v>0</v>
      </c>
      <c r="L3616" s="7">
        <v>0</v>
      </c>
      <c r="M3616" s="7">
        <v>0</v>
      </c>
      <c r="N3616" s="8">
        <v>0</v>
      </c>
      <c r="O3616" s="8">
        <v>36.992557228875292</v>
      </c>
      <c r="P3616" s="8">
        <v>0</v>
      </c>
      <c r="Q3616" s="8">
        <v>0</v>
      </c>
      <c r="R3616" s="8">
        <v>0</v>
      </c>
      <c r="S3616" s="8">
        <v>0</v>
      </c>
      <c r="T3616" s="5">
        <v>0</v>
      </c>
      <c r="U3616" s="5">
        <v>0</v>
      </c>
      <c r="V3616" s="5">
        <f>VLOOKUP(A3616,Planilha1!B:E,4,0)</f>
        <v>4.5971522734997743</v>
      </c>
    </row>
    <row r="3617" spans="1:22" x14ac:dyDescent="0.3">
      <c r="A3617" t="str">
        <f t="shared" si="112"/>
        <v>LEITE EM PÓITAMBÉ</v>
      </c>
      <c r="B3617" t="str">
        <f t="shared" si="113"/>
        <v>5204939LEITE EM PÓITAMBÉ</v>
      </c>
      <c r="C3617" s="5" t="s">
        <v>149</v>
      </c>
      <c r="D3617" s="5" t="s">
        <v>150</v>
      </c>
      <c r="E3617" s="5" t="s">
        <v>186</v>
      </c>
      <c r="F3617" s="5">
        <v>5204939</v>
      </c>
      <c r="G3617" s="5" t="s">
        <v>192</v>
      </c>
      <c r="H3617" s="5" t="s">
        <v>30</v>
      </c>
      <c r="I3617" s="5" t="s">
        <v>27</v>
      </c>
      <c r="J3617" s="5" t="s">
        <v>84</v>
      </c>
      <c r="K3617" s="6">
        <v>0</v>
      </c>
      <c r="L3617" s="7">
        <v>0</v>
      </c>
      <c r="M3617" s="7">
        <v>0</v>
      </c>
      <c r="N3617" s="8">
        <v>0</v>
      </c>
      <c r="O3617" s="8">
        <v>1033.7920047204609</v>
      </c>
      <c r="P3617" s="8">
        <v>0</v>
      </c>
      <c r="Q3617" s="8">
        <v>0</v>
      </c>
      <c r="R3617" s="8">
        <v>0</v>
      </c>
      <c r="S3617" s="8">
        <v>0</v>
      </c>
      <c r="T3617" s="5">
        <v>0</v>
      </c>
      <c r="U3617" s="5">
        <v>0</v>
      </c>
      <c r="V3617" s="5">
        <f>VLOOKUP(A3617,Planilha1!B:E,4,0)</f>
        <v>4.5971522734997743</v>
      </c>
    </row>
    <row r="3618" spans="1:22" x14ac:dyDescent="0.3">
      <c r="A3618" t="str">
        <f t="shared" si="112"/>
        <v>SPREADSITAMBÉ</v>
      </c>
      <c r="B3618" t="str">
        <f t="shared" si="113"/>
        <v>5346063SPREADSITAMBÉ</v>
      </c>
      <c r="C3618" s="5" t="s">
        <v>226</v>
      </c>
      <c r="D3618" s="5" t="s">
        <v>752</v>
      </c>
      <c r="E3618" s="5" t="s">
        <v>767</v>
      </c>
      <c r="F3618" s="5">
        <v>5346063</v>
      </c>
      <c r="G3618" s="5" t="s">
        <v>773</v>
      </c>
      <c r="H3618" s="5" t="s">
        <v>154</v>
      </c>
      <c r="I3618" s="5" t="s">
        <v>27</v>
      </c>
      <c r="J3618" s="5" t="s">
        <v>945</v>
      </c>
      <c r="K3618" s="6">
        <v>0</v>
      </c>
      <c r="L3618" s="7">
        <v>0</v>
      </c>
      <c r="M3618" s="7">
        <v>0</v>
      </c>
      <c r="N3618" s="8">
        <v>0</v>
      </c>
      <c r="O3618" s="8">
        <v>2.9993965320709695</v>
      </c>
      <c r="P3618" s="8">
        <v>0</v>
      </c>
      <c r="Q3618" s="8">
        <v>0</v>
      </c>
      <c r="R3618" s="8">
        <v>0</v>
      </c>
      <c r="S3618" s="8">
        <v>0</v>
      </c>
      <c r="T3618" s="5">
        <v>0</v>
      </c>
      <c r="U3618" s="5">
        <v>0</v>
      </c>
      <c r="V3618" s="5">
        <f>VLOOKUP(A3618,Planilha1!B:E,4,0)</f>
        <v>9.2962610783648607</v>
      </c>
    </row>
    <row r="3619" spans="1:22" x14ac:dyDescent="0.3">
      <c r="A3619" t="str">
        <f t="shared" si="112"/>
        <v>LEITE EM PÓITAMBÉ</v>
      </c>
      <c r="B3619" t="str">
        <f t="shared" si="113"/>
        <v>5349074LEITE EM PÓITAMBÉ</v>
      </c>
      <c r="C3619" s="5" t="s">
        <v>226</v>
      </c>
      <c r="D3619" s="5" t="s">
        <v>815</v>
      </c>
      <c r="E3619" s="5" t="s">
        <v>816</v>
      </c>
      <c r="F3619" s="5">
        <v>5349074</v>
      </c>
      <c r="G3619" s="5" t="s">
        <v>828</v>
      </c>
      <c r="H3619" s="5" t="s">
        <v>30</v>
      </c>
      <c r="I3619" s="5" t="s">
        <v>27</v>
      </c>
      <c r="J3619" s="5" t="s">
        <v>84</v>
      </c>
      <c r="K3619" s="6">
        <v>0</v>
      </c>
      <c r="L3619" s="7">
        <v>0</v>
      </c>
      <c r="M3619" s="7">
        <v>0</v>
      </c>
      <c r="N3619" s="8">
        <v>0</v>
      </c>
      <c r="O3619" s="8">
        <v>10.997787284260221</v>
      </c>
      <c r="P3619" s="8">
        <v>0</v>
      </c>
      <c r="Q3619" s="8">
        <v>0</v>
      </c>
      <c r="R3619" s="8">
        <v>0</v>
      </c>
      <c r="S3619" s="8">
        <v>0</v>
      </c>
      <c r="T3619" s="5">
        <v>0</v>
      </c>
      <c r="U3619" s="5">
        <v>0</v>
      </c>
      <c r="V3619" s="5">
        <f>VLOOKUP(A3619,Planilha1!B:E,4,0)</f>
        <v>4.5971522734997743</v>
      </c>
    </row>
    <row r="3620" spans="1:22" x14ac:dyDescent="0.3">
      <c r="A3620" t="str">
        <f t="shared" si="112"/>
        <v>DOCE DE LEITEITAMBÉ</v>
      </c>
      <c r="B3620" t="str">
        <f t="shared" si="113"/>
        <v>5350810DOCE DE LEITEITAMBÉ</v>
      </c>
      <c r="C3620" s="5" t="s">
        <v>226</v>
      </c>
      <c r="D3620" s="5" t="s">
        <v>752</v>
      </c>
      <c r="E3620" s="5" t="s">
        <v>1216</v>
      </c>
      <c r="F3620" s="5">
        <v>5350810</v>
      </c>
      <c r="G3620" s="5" t="s">
        <v>1234</v>
      </c>
      <c r="H3620" s="5" t="s">
        <v>154</v>
      </c>
      <c r="I3620" s="5" t="s">
        <v>27</v>
      </c>
      <c r="J3620" s="5" t="s">
        <v>46</v>
      </c>
      <c r="K3620" s="6">
        <v>0</v>
      </c>
      <c r="L3620" s="7">
        <v>0</v>
      </c>
      <c r="M3620" s="7">
        <v>0</v>
      </c>
      <c r="N3620" s="8">
        <v>0</v>
      </c>
      <c r="O3620" s="8">
        <v>333.33</v>
      </c>
      <c r="P3620" s="8">
        <v>0</v>
      </c>
      <c r="Q3620" s="8">
        <v>0</v>
      </c>
      <c r="R3620" s="8">
        <v>0</v>
      </c>
      <c r="S3620" s="8">
        <v>0</v>
      </c>
      <c r="T3620" s="5">
        <v>0</v>
      </c>
      <c r="U3620" s="5">
        <v>60</v>
      </c>
      <c r="V3620" s="5">
        <f>VLOOKUP(A3620,Planilha1!B:E,4,0)</f>
        <v>5.8210743907543439</v>
      </c>
    </row>
    <row r="3621" spans="1:22" x14ac:dyDescent="0.3">
      <c r="A3621" t="str">
        <f t="shared" si="112"/>
        <v>LEITE EM PÓITAMBÉ</v>
      </c>
      <c r="B3621" t="str">
        <f t="shared" si="113"/>
        <v>5351706LEITE EM PÓITAMBÉ</v>
      </c>
      <c r="C3621" s="5" t="s">
        <v>16</v>
      </c>
      <c r="D3621" s="5" t="s">
        <v>53</v>
      </c>
      <c r="E3621" s="5" t="s">
        <v>54</v>
      </c>
      <c r="F3621" s="5">
        <v>5351706</v>
      </c>
      <c r="G3621" s="5" t="s">
        <v>1622</v>
      </c>
      <c r="H3621" s="5" t="s">
        <v>30</v>
      </c>
      <c r="I3621" s="5" t="s">
        <v>27</v>
      </c>
      <c r="J3621" s="5" t="s">
        <v>84</v>
      </c>
      <c r="K3621" s="6">
        <v>0</v>
      </c>
      <c r="L3621" s="7">
        <v>0</v>
      </c>
      <c r="M3621" s="7">
        <v>0</v>
      </c>
      <c r="N3621" s="8">
        <v>0</v>
      </c>
      <c r="O3621" s="8">
        <v>397.91993992141528</v>
      </c>
      <c r="P3621" s="8">
        <v>0</v>
      </c>
      <c r="Q3621" s="8">
        <v>0</v>
      </c>
      <c r="R3621" s="8">
        <v>0</v>
      </c>
      <c r="S3621" s="8">
        <v>0</v>
      </c>
      <c r="T3621" s="5">
        <v>0</v>
      </c>
      <c r="U3621" s="5">
        <v>0</v>
      </c>
      <c r="V3621" s="5">
        <f>VLOOKUP(A3621,Planilha1!B:E,4,0)</f>
        <v>4.5971522734997743</v>
      </c>
    </row>
    <row r="3622" spans="1:22" x14ac:dyDescent="0.3">
      <c r="A3622" t="str">
        <f t="shared" si="112"/>
        <v>LEITE CONDENSADOLACTALIS</v>
      </c>
      <c r="B3622" t="str">
        <f t="shared" si="113"/>
        <v>5004685LEITE CONDENSADOLACTALIS</v>
      </c>
      <c r="C3622" s="5" t="s">
        <v>226</v>
      </c>
      <c r="D3622" s="5" t="s">
        <v>227</v>
      </c>
      <c r="E3622" s="5" t="s">
        <v>228</v>
      </c>
      <c r="F3622" s="5">
        <v>5004685</v>
      </c>
      <c r="G3622" s="5" t="s">
        <v>229</v>
      </c>
      <c r="H3622" s="5" t="s">
        <v>30</v>
      </c>
      <c r="I3622" s="5" t="s">
        <v>22</v>
      </c>
      <c r="J3622" s="5" t="s">
        <v>33</v>
      </c>
      <c r="K3622" s="6">
        <v>0</v>
      </c>
      <c r="L3622" s="7">
        <v>0</v>
      </c>
      <c r="M3622" s="7">
        <v>0</v>
      </c>
      <c r="N3622" s="8">
        <v>0</v>
      </c>
      <c r="O3622" s="8">
        <v>0</v>
      </c>
      <c r="P3622" s="8">
        <v>0</v>
      </c>
      <c r="Q3622" s="8">
        <v>0</v>
      </c>
      <c r="R3622" s="8">
        <v>0</v>
      </c>
      <c r="S3622" s="8">
        <v>0</v>
      </c>
      <c r="T3622" s="5">
        <v>0</v>
      </c>
      <c r="U3622" s="5">
        <v>0</v>
      </c>
      <c r="V3622" s="5">
        <f>VLOOKUP(A3622,Planilha1!B:E,4,0)</f>
        <v>1.8665071822970765</v>
      </c>
    </row>
    <row r="3623" spans="1:22" x14ac:dyDescent="0.3">
      <c r="A3623" t="str">
        <f t="shared" si="112"/>
        <v>PARMESÃOLACTALIS</v>
      </c>
      <c r="B3623" t="str">
        <f t="shared" si="113"/>
        <v>5012641PARMESÃOLACTALIS</v>
      </c>
      <c r="C3623" s="5" t="s">
        <v>226</v>
      </c>
      <c r="D3623" s="5" t="s">
        <v>227</v>
      </c>
      <c r="E3623" s="5" t="s">
        <v>703</v>
      </c>
      <c r="F3623" s="5">
        <v>5012641</v>
      </c>
      <c r="G3623" s="5" t="s">
        <v>704</v>
      </c>
      <c r="H3623" s="5" t="s">
        <v>30</v>
      </c>
      <c r="I3623" s="5" t="s">
        <v>22</v>
      </c>
      <c r="J3623" s="5" t="s">
        <v>195</v>
      </c>
      <c r="K3623" s="6">
        <v>0</v>
      </c>
      <c r="L3623" s="7">
        <v>0</v>
      </c>
      <c r="M3623" s="7">
        <v>0</v>
      </c>
      <c r="N3623" s="8">
        <v>0</v>
      </c>
      <c r="O3623" s="8">
        <v>0</v>
      </c>
      <c r="P3623" s="8">
        <v>0</v>
      </c>
      <c r="Q3623" s="8">
        <v>0</v>
      </c>
      <c r="R3623" s="8">
        <v>0</v>
      </c>
      <c r="S3623" s="8">
        <v>0</v>
      </c>
      <c r="T3623" s="5">
        <v>0</v>
      </c>
      <c r="U3623" s="5">
        <v>0</v>
      </c>
      <c r="V3623" s="5">
        <f>VLOOKUP(A3623,Planilha1!B:E,4,0)</f>
        <v>6.310326960724681</v>
      </c>
    </row>
    <row r="3624" spans="1:22" x14ac:dyDescent="0.3">
      <c r="A3624" t="str">
        <f t="shared" si="112"/>
        <v>QUEIJOSLACTALIS</v>
      </c>
      <c r="B3624" t="str">
        <f t="shared" si="113"/>
        <v>5015829QUEIJOSLACTALIS</v>
      </c>
      <c r="C3624" s="5" t="s">
        <v>226</v>
      </c>
      <c r="D3624" s="5" t="s">
        <v>227</v>
      </c>
      <c r="E3624" s="5" t="s">
        <v>1722</v>
      </c>
      <c r="F3624" s="5">
        <v>5015829</v>
      </c>
      <c r="G3624" s="5" t="s">
        <v>1182</v>
      </c>
      <c r="H3624" s="5" t="s">
        <v>30</v>
      </c>
      <c r="I3624" s="5" t="s">
        <v>22</v>
      </c>
      <c r="J3624" s="5" t="s">
        <v>63</v>
      </c>
      <c r="K3624" s="6">
        <v>0</v>
      </c>
      <c r="L3624" s="7">
        <v>0</v>
      </c>
      <c r="M3624" s="7">
        <v>0</v>
      </c>
      <c r="N3624" s="8">
        <v>0</v>
      </c>
      <c r="O3624" s="8">
        <v>0</v>
      </c>
      <c r="P3624" s="8">
        <v>0</v>
      </c>
      <c r="Q3624" s="8">
        <v>0</v>
      </c>
      <c r="R3624" s="8">
        <v>0</v>
      </c>
      <c r="S3624" s="8">
        <v>0</v>
      </c>
      <c r="T3624" s="5">
        <v>0</v>
      </c>
      <c r="U3624" s="5">
        <v>0</v>
      </c>
      <c r="V3624" s="5">
        <f>VLOOKUP(A3624,Planilha1!B:E,4,0)</f>
        <v>-1.9171310037550682</v>
      </c>
    </row>
    <row r="3625" spans="1:22" x14ac:dyDescent="0.3">
      <c r="A3625" t="str">
        <f t="shared" si="112"/>
        <v>BLISTERLACTALIS</v>
      </c>
      <c r="B3625" t="str">
        <f t="shared" si="113"/>
        <v>5077852BLISTERLACTALIS</v>
      </c>
      <c r="C3625" s="5" t="s">
        <v>226</v>
      </c>
      <c r="D3625" s="5" t="s">
        <v>893</v>
      </c>
      <c r="E3625" s="5" t="s">
        <v>231</v>
      </c>
      <c r="F3625" s="5">
        <v>5077852</v>
      </c>
      <c r="G3625" s="5" t="s">
        <v>897</v>
      </c>
      <c r="H3625" s="5" t="s">
        <v>30</v>
      </c>
      <c r="I3625" s="5" t="s">
        <v>22</v>
      </c>
      <c r="J3625" s="5" t="s">
        <v>199</v>
      </c>
      <c r="K3625" s="6">
        <v>0</v>
      </c>
      <c r="L3625" s="7">
        <v>0</v>
      </c>
      <c r="M3625" s="7">
        <v>0</v>
      </c>
      <c r="N3625" s="8">
        <v>0</v>
      </c>
      <c r="O3625" s="8">
        <v>0</v>
      </c>
      <c r="P3625" s="8">
        <v>0</v>
      </c>
      <c r="Q3625" s="8">
        <v>0</v>
      </c>
      <c r="R3625" s="8">
        <v>0</v>
      </c>
      <c r="S3625" s="8">
        <v>0</v>
      </c>
      <c r="T3625" s="5">
        <v>0</v>
      </c>
      <c r="U3625" s="5">
        <v>0</v>
      </c>
      <c r="V3625" s="5">
        <f>VLOOKUP(A3625,Planilha1!B:E,4,0)</f>
        <v>13.783871706210666</v>
      </c>
    </row>
    <row r="3626" spans="1:22" x14ac:dyDescent="0.3">
      <c r="A3626" t="str">
        <f t="shared" si="112"/>
        <v>QUEIJOSLACTALIS</v>
      </c>
      <c r="B3626" t="str">
        <f t="shared" si="113"/>
        <v>5111292QUEIJOSLACTALIS</v>
      </c>
      <c r="C3626" s="5" t="s">
        <v>226</v>
      </c>
      <c r="D3626" s="5" t="s">
        <v>227</v>
      </c>
      <c r="E3626" s="5" t="s">
        <v>1722</v>
      </c>
      <c r="F3626" s="5">
        <v>5111292</v>
      </c>
      <c r="G3626" s="5" t="s">
        <v>1623</v>
      </c>
      <c r="H3626" s="5" t="s">
        <v>30</v>
      </c>
      <c r="I3626" s="5" t="s">
        <v>22</v>
      </c>
      <c r="J3626" s="5" t="s">
        <v>63</v>
      </c>
      <c r="K3626" s="6">
        <v>0</v>
      </c>
      <c r="L3626" s="7">
        <v>0</v>
      </c>
      <c r="M3626" s="7">
        <v>0</v>
      </c>
      <c r="N3626" s="8">
        <v>0</v>
      </c>
      <c r="O3626" s="8">
        <v>0</v>
      </c>
      <c r="P3626" s="8">
        <v>0</v>
      </c>
      <c r="Q3626" s="8">
        <v>0</v>
      </c>
      <c r="R3626" s="8">
        <v>0</v>
      </c>
      <c r="S3626" s="8">
        <v>0</v>
      </c>
      <c r="T3626" s="5">
        <v>0</v>
      </c>
      <c r="U3626" s="5">
        <v>0</v>
      </c>
      <c r="V3626" s="5">
        <f>VLOOKUP(A3626,Planilha1!B:E,4,0)</f>
        <v>-1.9171310037550682</v>
      </c>
    </row>
    <row r="3627" spans="1:22" x14ac:dyDescent="0.3">
      <c r="A3627" t="str">
        <f t="shared" si="112"/>
        <v>PARMESÃOLACTALIS</v>
      </c>
      <c r="B3627" t="str">
        <f t="shared" si="113"/>
        <v>5113476PARMESÃOLACTALIS</v>
      </c>
      <c r="C3627" s="5" t="s">
        <v>226</v>
      </c>
      <c r="D3627" s="5" t="s">
        <v>227</v>
      </c>
      <c r="E3627" s="5" t="s">
        <v>1722</v>
      </c>
      <c r="F3627" s="5">
        <v>5113476</v>
      </c>
      <c r="G3627" s="5" t="s">
        <v>391</v>
      </c>
      <c r="H3627" s="5" t="s">
        <v>30</v>
      </c>
      <c r="I3627" s="5" t="s">
        <v>22</v>
      </c>
      <c r="J3627" s="5" t="s">
        <v>195</v>
      </c>
      <c r="K3627" s="6">
        <v>0</v>
      </c>
      <c r="L3627" s="7">
        <v>0</v>
      </c>
      <c r="M3627" s="7">
        <v>0</v>
      </c>
      <c r="N3627" s="8">
        <v>0</v>
      </c>
      <c r="O3627" s="8">
        <v>0</v>
      </c>
      <c r="P3627" s="8">
        <v>0</v>
      </c>
      <c r="Q3627" s="8">
        <v>0</v>
      </c>
      <c r="R3627" s="8">
        <v>0</v>
      </c>
      <c r="S3627" s="8">
        <v>0</v>
      </c>
      <c r="T3627" s="5">
        <v>0</v>
      </c>
      <c r="U3627" s="5">
        <v>0</v>
      </c>
      <c r="V3627" s="5">
        <f>VLOOKUP(A3627,Planilha1!B:E,4,0)</f>
        <v>6.310326960724681</v>
      </c>
    </row>
    <row r="3628" spans="1:22" x14ac:dyDescent="0.3">
      <c r="A3628" t="str">
        <f t="shared" si="112"/>
        <v>LEITE UHTLACTALIS</v>
      </c>
      <c r="B3628" t="str">
        <f t="shared" si="113"/>
        <v>5116958LEITE UHTLACTALIS</v>
      </c>
      <c r="C3628" s="5" t="s">
        <v>226</v>
      </c>
      <c r="D3628" s="5" t="s">
        <v>227</v>
      </c>
      <c r="E3628" s="5" t="s">
        <v>1722</v>
      </c>
      <c r="F3628" s="5">
        <v>5116958</v>
      </c>
      <c r="G3628" s="5" t="s">
        <v>382</v>
      </c>
      <c r="H3628" s="5" t="s">
        <v>30</v>
      </c>
      <c r="I3628" s="5" t="s">
        <v>22</v>
      </c>
      <c r="J3628" s="5" t="s">
        <v>156</v>
      </c>
      <c r="K3628" s="6">
        <v>0</v>
      </c>
      <c r="L3628" s="7">
        <v>0</v>
      </c>
      <c r="M3628" s="7">
        <v>0</v>
      </c>
      <c r="N3628" s="8">
        <v>0</v>
      </c>
      <c r="O3628" s="8">
        <v>0</v>
      </c>
      <c r="P3628" s="8">
        <v>0</v>
      </c>
      <c r="Q3628" s="8">
        <v>0</v>
      </c>
      <c r="R3628" s="8">
        <v>0</v>
      </c>
      <c r="S3628" s="8">
        <v>0</v>
      </c>
      <c r="T3628" s="5">
        <v>0</v>
      </c>
      <c r="U3628" s="5">
        <v>0</v>
      </c>
      <c r="V3628" s="5">
        <f>VLOOKUP(A3628,Planilha1!B:E,4,0)</f>
        <v>0.37177548115779385</v>
      </c>
    </row>
    <row r="3629" spans="1:22" x14ac:dyDescent="0.3">
      <c r="A3629" t="str">
        <f t="shared" si="112"/>
        <v>BLISTERLACTALIS</v>
      </c>
      <c r="B3629" t="str">
        <f t="shared" si="113"/>
        <v>5128707BLISTERLACTALIS</v>
      </c>
      <c r="C3629" s="5" t="s">
        <v>226</v>
      </c>
      <c r="D3629" s="5" t="s">
        <v>833</v>
      </c>
      <c r="E3629" s="5" t="s">
        <v>753</v>
      </c>
      <c r="F3629" s="5">
        <v>5128707</v>
      </c>
      <c r="G3629" s="5" t="s">
        <v>858</v>
      </c>
      <c r="H3629" s="5" t="s">
        <v>40</v>
      </c>
      <c r="I3629" s="5" t="s">
        <v>22</v>
      </c>
      <c r="J3629" s="5" t="s">
        <v>199</v>
      </c>
      <c r="K3629" s="6">
        <v>0</v>
      </c>
      <c r="L3629" s="7">
        <v>0</v>
      </c>
      <c r="M3629" s="7">
        <v>0</v>
      </c>
      <c r="N3629" s="8">
        <v>0</v>
      </c>
      <c r="O3629" s="8">
        <v>0</v>
      </c>
      <c r="P3629" s="8">
        <v>0</v>
      </c>
      <c r="Q3629" s="8">
        <v>0</v>
      </c>
      <c r="R3629" s="8">
        <v>0</v>
      </c>
      <c r="S3629" s="8">
        <v>0</v>
      </c>
      <c r="T3629" s="5">
        <v>0</v>
      </c>
      <c r="U3629" s="5">
        <v>0</v>
      </c>
      <c r="V3629" s="5">
        <f>VLOOKUP(A3629,Planilha1!B:E,4,0)</f>
        <v>13.783871706210666</v>
      </c>
    </row>
    <row r="3630" spans="1:22" x14ac:dyDescent="0.3">
      <c r="A3630" t="str">
        <f t="shared" si="112"/>
        <v>PARMESÃOLACTALIS</v>
      </c>
      <c r="B3630" t="str">
        <f t="shared" si="113"/>
        <v>5135529PARMESÃOLACTALIS</v>
      </c>
      <c r="C3630" s="5" t="s">
        <v>226</v>
      </c>
      <c r="D3630" s="5" t="s">
        <v>227</v>
      </c>
      <c r="E3630" s="5" t="s">
        <v>1722</v>
      </c>
      <c r="F3630" s="5">
        <v>5135529</v>
      </c>
      <c r="G3630" s="5" t="s">
        <v>503</v>
      </c>
      <c r="H3630" s="5" t="s">
        <v>30</v>
      </c>
      <c r="I3630" s="5" t="s">
        <v>22</v>
      </c>
      <c r="J3630" s="5" t="s">
        <v>195</v>
      </c>
      <c r="K3630" s="6">
        <v>0</v>
      </c>
      <c r="L3630" s="7">
        <v>0</v>
      </c>
      <c r="M3630" s="7">
        <v>0</v>
      </c>
      <c r="N3630" s="8">
        <v>0</v>
      </c>
      <c r="O3630" s="8">
        <v>0</v>
      </c>
      <c r="P3630" s="8">
        <v>0</v>
      </c>
      <c r="Q3630" s="8">
        <v>0</v>
      </c>
      <c r="R3630" s="8">
        <v>0</v>
      </c>
      <c r="S3630" s="8">
        <v>0</v>
      </c>
      <c r="T3630" s="5">
        <v>0</v>
      </c>
      <c r="U3630" s="5">
        <v>0</v>
      </c>
      <c r="V3630" s="5">
        <f>VLOOKUP(A3630,Planilha1!B:E,4,0)</f>
        <v>6.310326960724681</v>
      </c>
    </row>
    <row r="3631" spans="1:22" x14ac:dyDescent="0.3">
      <c r="A3631" t="str">
        <f t="shared" si="112"/>
        <v>PARMESÃOLACTALIS</v>
      </c>
      <c r="B3631" t="str">
        <f t="shared" si="113"/>
        <v>5158914PARMESÃOLACTALIS</v>
      </c>
      <c r="C3631" s="5" t="s">
        <v>226</v>
      </c>
      <c r="D3631" s="5" t="s">
        <v>227</v>
      </c>
      <c r="E3631" s="5" t="s">
        <v>1722</v>
      </c>
      <c r="F3631" s="5">
        <v>5158914</v>
      </c>
      <c r="G3631" s="5" t="s">
        <v>1107</v>
      </c>
      <c r="H3631" s="5" t="s">
        <v>30</v>
      </c>
      <c r="I3631" s="5" t="s">
        <v>22</v>
      </c>
      <c r="J3631" s="5" t="s">
        <v>195</v>
      </c>
      <c r="K3631" s="6">
        <v>0</v>
      </c>
      <c r="L3631" s="7">
        <v>0</v>
      </c>
      <c r="M3631" s="7">
        <v>0</v>
      </c>
      <c r="N3631" s="8">
        <v>0</v>
      </c>
      <c r="O3631" s="8">
        <v>0</v>
      </c>
      <c r="P3631" s="8">
        <v>0</v>
      </c>
      <c r="Q3631" s="8">
        <v>0</v>
      </c>
      <c r="R3631" s="8">
        <v>0</v>
      </c>
      <c r="S3631" s="8">
        <v>0</v>
      </c>
      <c r="T3631" s="5">
        <v>0</v>
      </c>
      <c r="U3631" s="5">
        <v>0</v>
      </c>
      <c r="V3631" s="5">
        <f>VLOOKUP(A3631,Planilha1!B:E,4,0)</f>
        <v>6.310326960724681</v>
      </c>
    </row>
    <row r="3632" spans="1:22" x14ac:dyDescent="0.3">
      <c r="A3632" t="str">
        <f t="shared" si="112"/>
        <v>CREME UHTLACTALIS</v>
      </c>
      <c r="B3632" t="str">
        <f t="shared" si="113"/>
        <v>5220056CREME UHTLACTALIS</v>
      </c>
      <c r="C3632" s="5" t="s">
        <v>226</v>
      </c>
      <c r="D3632" s="5" t="s">
        <v>227</v>
      </c>
      <c r="E3632" s="5" t="s">
        <v>1722</v>
      </c>
      <c r="F3632" s="5">
        <v>5220056</v>
      </c>
      <c r="G3632" s="5" t="s">
        <v>1529</v>
      </c>
      <c r="H3632" s="5" t="s">
        <v>30</v>
      </c>
      <c r="I3632" s="5" t="s">
        <v>22</v>
      </c>
      <c r="J3632" s="5" t="s">
        <v>34</v>
      </c>
      <c r="K3632" s="6">
        <v>0</v>
      </c>
      <c r="L3632" s="7">
        <v>0</v>
      </c>
      <c r="M3632" s="7">
        <v>0</v>
      </c>
      <c r="N3632" s="8">
        <v>0</v>
      </c>
      <c r="O3632" s="8">
        <v>0</v>
      </c>
      <c r="P3632" s="8">
        <v>0</v>
      </c>
      <c r="Q3632" s="8">
        <v>0</v>
      </c>
      <c r="R3632" s="8">
        <v>0</v>
      </c>
      <c r="S3632" s="8">
        <v>0</v>
      </c>
      <c r="T3632" s="5">
        <v>0</v>
      </c>
      <c r="U3632" s="5">
        <v>0</v>
      </c>
      <c r="V3632" s="5">
        <f>VLOOKUP(A3632,Planilha1!B:E,4,0)</f>
        <v>-1.4094522863012933</v>
      </c>
    </row>
    <row r="3633" spans="1:22" x14ac:dyDescent="0.3">
      <c r="A3633" t="str">
        <f t="shared" si="112"/>
        <v>DOCE DE LEITELACTALIS</v>
      </c>
      <c r="B3633" t="str">
        <f t="shared" si="113"/>
        <v>5222492DOCE DE LEITELACTALIS</v>
      </c>
      <c r="C3633" s="5" t="s">
        <v>226</v>
      </c>
      <c r="D3633" s="5" t="s">
        <v>227</v>
      </c>
      <c r="E3633" s="5" t="s">
        <v>1722</v>
      </c>
      <c r="F3633" s="5">
        <v>5222492</v>
      </c>
      <c r="G3633" s="5" t="s">
        <v>1145</v>
      </c>
      <c r="H3633" s="5" t="s">
        <v>30</v>
      </c>
      <c r="I3633" s="5" t="s">
        <v>22</v>
      </c>
      <c r="J3633" s="5" t="s">
        <v>46</v>
      </c>
      <c r="K3633" s="6">
        <v>0</v>
      </c>
      <c r="L3633" s="7">
        <v>0</v>
      </c>
      <c r="M3633" s="7">
        <v>0</v>
      </c>
      <c r="N3633" s="8">
        <v>0</v>
      </c>
      <c r="O3633" s="8">
        <v>0</v>
      </c>
      <c r="P3633" s="8">
        <v>0</v>
      </c>
      <c r="Q3633" s="8">
        <v>0</v>
      </c>
      <c r="R3633" s="8">
        <v>0</v>
      </c>
      <c r="S3633" s="8">
        <v>0</v>
      </c>
      <c r="T3633" s="5">
        <v>0</v>
      </c>
      <c r="U3633" s="5">
        <v>0</v>
      </c>
      <c r="V3633" s="5">
        <f>VLOOKUP(A3633,Planilha1!B:E,4,0)</f>
        <v>5.6473514327668077</v>
      </c>
    </row>
    <row r="3634" spans="1:22" x14ac:dyDescent="0.3">
      <c r="A3634" t="str">
        <f t="shared" si="112"/>
        <v>SPREADSLACTALIS</v>
      </c>
      <c r="B3634" t="str">
        <f t="shared" si="113"/>
        <v>5224751SPREADSLACTALIS</v>
      </c>
      <c r="C3634" s="5" t="s">
        <v>226</v>
      </c>
      <c r="D3634" s="5" t="s">
        <v>227</v>
      </c>
      <c r="E3634" s="5" t="s">
        <v>1722</v>
      </c>
      <c r="F3634" s="5">
        <v>5224751</v>
      </c>
      <c r="G3634" s="5" t="s">
        <v>1485</v>
      </c>
      <c r="H3634" s="5" t="s">
        <v>30</v>
      </c>
      <c r="I3634" s="5" t="s">
        <v>22</v>
      </c>
      <c r="J3634" s="5" t="s">
        <v>945</v>
      </c>
      <c r="K3634" s="6">
        <v>0</v>
      </c>
      <c r="L3634" s="7">
        <v>0</v>
      </c>
      <c r="M3634" s="7">
        <v>0</v>
      </c>
      <c r="N3634" s="8">
        <v>0</v>
      </c>
      <c r="O3634" s="8">
        <v>0</v>
      </c>
      <c r="P3634" s="8">
        <v>0</v>
      </c>
      <c r="Q3634" s="8">
        <v>0</v>
      </c>
      <c r="R3634" s="8">
        <v>0</v>
      </c>
      <c r="S3634" s="8">
        <v>0</v>
      </c>
      <c r="T3634" s="5">
        <v>0</v>
      </c>
      <c r="U3634" s="5">
        <v>0</v>
      </c>
      <c r="V3634" s="5">
        <f>VLOOKUP(A3634,Planilha1!B:E,4,0)</f>
        <v>13.599044988219518</v>
      </c>
    </row>
    <row r="3635" spans="1:22" x14ac:dyDescent="0.3">
      <c r="A3635" t="str">
        <f t="shared" si="112"/>
        <v>MANTEIGA 5KGLACTALIS</v>
      </c>
      <c r="B3635" t="str">
        <f t="shared" si="113"/>
        <v>5248463MANTEIGA 5KGLACTALIS</v>
      </c>
      <c r="C3635" s="5" t="s">
        <v>226</v>
      </c>
      <c r="D3635" s="5" t="s">
        <v>227</v>
      </c>
      <c r="E3635" s="5" t="s">
        <v>1722</v>
      </c>
      <c r="F3635" s="5">
        <v>5248463</v>
      </c>
      <c r="G3635" s="5" t="s">
        <v>397</v>
      </c>
      <c r="H3635" s="5" t="s">
        <v>30</v>
      </c>
      <c r="I3635" s="5" t="s">
        <v>22</v>
      </c>
      <c r="J3635" s="5" t="s">
        <v>60</v>
      </c>
      <c r="K3635" s="6">
        <v>0</v>
      </c>
      <c r="L3635" s="7">
        <v>0</v>
      </c>
      <c r="M3635" s="7">
        <v>0</v>
      </c>
      <c r="N3635" s="8">
        <v>0</v>
      </c>
      <c r="O3635" s="8">
        <v>0</v>
      </c>
      <c r="P3635" s="8">
        <v>0</v>
      </c>
      <c r="Q3635" s="8">
        <v>5</v>
      </c>
      <c r="R3635" s="8">
        <v>0</v>
      </c>
      <c r="S3635" s="8">
        <v>0</v>
      </c>
      <c r="T3635" s="5">
        <v>0</v>
      </c>
      <c r="U3635" s="5">
        <v>0</v>
      </c>
      <c r="V3635" s="5">
        <f>VLOOKUP(A3635,Planilha1!B:E,4,0)</f>
        <v>11.476197020267191</v>
      </c>
    </row>
    <row r="3636" spans="1:22" x14ac:dyDescent="0.3">
      <c r="A3636" t="str">
        <f t="shared" si="112"/>
        <v>CREME UHTLACTALIS</v>
      </c>
      <c r="B3636" t="str">
        <f t="shared" si="113"/>
        <v>5248517CREME UHTLACTALIS</v>
      </c>
      <c r="C3636" s="5" t="s">
        <v>226</v>
      </c>
      <c r="D3636" s="5" t="s">
        <v>227</v>
      </c>
      <c r="E3636" s="5" t="s">
        <v>1722</v>
      </c>
      <c r="F3636" s="5">
        <v>5248517</v>
      </c>
      <c r="G3636" s="5" t="s">
        <v>398</v>
      </c>
      <c r="H3636" s="5" t="s">
        <v>30</v>
      </c>
      <c r="I3636" s="5" t="s">
        <v>22</v>
      </c>
      <c r="J3636" s="5" t="s">
        <v>34</v>
      </c>
      <c r="K3636" s="6">
        <v>0</v>
      </c>
      <c r="L3636" s="7">
        <v>0</v>
      </c>
      <c r="M3636" s="7">
        <v>0</v>
      </c>
      <c r="N3636" s="8">
        <v>0</v>
      </c>
      <c r="O3636" s="8">
        <v>0</v>
      </c>
      <c r="P3636" s="8">
        <v>0</v>
      </c>
      <c r="Q3636" s="8">
        <v>0</v>
      </c>
      <c r="R3636" s="8">
        <v>0</v>
      </c>
      <c r="S3636" s="8">
        <v>0</v>
      </c>
      <c r="T3636" s="5">
        <v>0</v>
      </c>
      <c r="U3636" s="5">
        <v>0</v>
      </c>
      <c r="V3636" s="5">
        <f>VLOOKUP(A3636,Planilha1!B:E,4,0)</f>
        <v>-1.4094522863012933</v>
      </c>
    </row>
    <row r="3637" spans="1:22" x14ac:dyDescent="0.3">
      <c r="A3637" t="str">
        <f t="shared" si="112"/>
        <v>BLISTERLACTALIS</v>
      </c>
      <c r="B3637" t="str">
        <f t="shared" si="113"/>
        <v>5249304BLISTERLACTALIS</v>
      </c>
      <c r="C3637" s="5" t="s">
        <v>226</v>
      </c>
      <c r="D3637" s="5" t="s">
        <v>227</v>
      </c>
      <c r="E3637" s="5" t="s">
        <v>1722</v>
      </c>
      <c r="F3637" s="5">
        <v>5249304</v>
      </c>
      <c r="G3637" s="5" t="s">
        <v>1149</v>
      </c>
      <c r="H3637" s="5" t="s">
        <v>30</v>
      </c>
      <c r="I3637" s="5" t="s">
        <v>22</v>
      </c>
      <c r="J3637" s="5" t="s">
        <v>199</v>
      </c>
      <c r="K3637" s="6">
        <v>0</v>
      </c>
      <c r="L3637" s="7">
        <v>0</v>
      </c>
      <c r="M3637" s="7">
        <v>0</v>
      </c>
      <c r="N3637" s="8">
        <v>0</v>
      </c>
      <c r="O3637" s="8">
        <v>0</v>
      </c>
      <c r="P3637" s="8">
        <v>0</v>
      </c>
      <c r="Q3637" s="8">
        <v>0</v>
      </c>
      <c r="R3637" s="8">
        <v>0</v>
      </c>
      <c r="S3637" s="8">
        <v>0</v>
      </c>
      <c r="T3637" s="5">
        <v>0</v>
      </c>
      <c r="U3637" s="5">
        <v>0</v>
      </c>
      <c r="V3637" s="5">
        <f>VLOOKUP(A3637,Planilha1!B:E,4,0)</f>
        <v>13.783871706210666</v>
      </c>
    </row>
    <row r="3638" spans="1:22" x14ac:dyDescent="0.3">
      <c r="A3638" t="str">
        <f t="shared" si="112"/>
        <v>PARMESÃOLACTALIS</v>
      </c>
      <c r="B3638" t="str">
        <f t="shared" si="113"/>
        <v>5250969PARMESÃOLACTALIS</v>
      </c>
      <c r="C3638" s="5" t="s">
        <v>226</v>
      </c>
      <c r="D3638" s="5" t="s">
        <v>227</v>
      </c>
      <c r="E3638" s="5" t="s">
        <v>1722</v>
      </c>
      <c r="F3638" s="5">
        <v>5250969</v>
      </c>
      <c r="G3638" s="5" t="s">
        <v>271</v>
      </c>
      <c r="H3638" s="5" t="s">
        <v>30</v>
      </c>
      <c r="I3638" s="5" t="s">
        <v>22</v>
      </c>
      <c r="J3638" s="5" t="s">
        <v>195</v>
      </c>
      <c r="K3638" s="6">
        <v>0</v>
      </c>
      <c r="L3638" s="7">
        <v>0</v>
      </c>
      <c r="M3638" s="7">
        <v>0</v>
      </c>
      <c r="N3638" s="8">
        <v>0</v>
      </c>
      <c r="O3638" s="8">
        <v>0</v>
      </c>
      <c r="P3638" s="8">
        <v>0</v>
      </c>
      <c r="Q3638" s="8">
        <v>0</v>
      </c>
      <c r="R3638" s="8">
        <v>0</v>
      </c>
      <c r="S3638" s="8">
        <v>0</v>
      </c>
      <c r="T3638" s="5">
        <v>0</v>
      </c>
      <c r="U3638" s="5">
        <v>0</v>
      </c>
      <c r="V3638" s="5">
        <f>VLOOKUP(A3638,Planilha1!B:E,4,0)</f>
        <v>6.310326960724681</v>
      </c>
    </row>
    <row r="3639" spans="1:22" x14ac:dyDescent="0.3">
      <c r="A3639" t="str">
        <f t="shared" si="112"/>
        <v>IOGURTESLACTALIS</v>
      </c>
      <c r="B3639" t="str">
        <f t="shared" si="113"/>
        <v>5252779IOGURTESLACTALIS</v>
      </c>
      <c r="C3639" s="5" t="s">
        <v>226</v>
      </c>
      <c r="D3639" s="5" t="s">
        <v>227</v>
      </c>
      <c r="E3639" s="5" t="s">
        <v>1722</v>
      </c>
      <c r="F3639" s="5">
        <v>5252779</v>
      </c>
      <c r="G3639" s="5" t="s">
        <v>400</v>
      </c>
      <c r="H3639" s="5" t="s">
        <v>30</v>
      </c>
      <c r="I3639" s="5" t="s">
        <v>22</v>
      </c>
      <c r="J3639" s="5" t="s">
        <v>153</v>
      </c>
      <c r="K3639" s="6">
        <v>0</v>
      </c>
      <c r="L3639" s="7">
        <v>0</v>
      </c>
      <c r="M3639" s="7">
        <v>0</v>
      </c>
      <c r="N3639" s="8">
        <v>0</v>
      </c>
      <c r="O3639" s="8">
        <v>0</v>
      </c>
      <c r="P3639" s="8">
        <v>0</v>
      </c>
      <c r="Q3639" s="8">
        <v>0</v>
      </c>
      <c r="R3639" s="8">
        <v>0</v>
      </c>
      <c r="S3639" s="8">
        <v>0</v>
      </c>
      <c r="T3639" s="5">
        <v>0</v>
      </c>
      <c r="U3639" s="5">
        <v>0</v>
      </c>
      <c r="V3639" s="5">
        <f>VLOOKUP(A3639,Planilha1!B:E,4,0)</f>
        <v>3.0503167986984403</v>
      </c>
    </row>
    <row r="3640" spans="1:22" x14ac:dyDescent="0.3">
      <c r="A3640" t="str">
        <f t="shared" si="112"/>
        <v>MANTEIGA 5KGLACTALIS</v>
      </c>
      <c r="B3640" t="str">
        <f t="shared" si="113"/>
        <v>5253127MANTEIGA 5KGLACTALIS</v>
      </c>
      <c r="C3640" s="5" t="s">
        <v>226</v>
      </c>
      <c r="D3640" s="5" t="s">
        <v>227</v>
      </c>
      <c r="E3640" s="5" t="s">
        <v>1722</v>
      </c>
      <c r="F3640" s="5">
        <v>5253127</v>
      </c>
      <c r="G3640" s="5" t="s">
        <v>582</v>
      </c>
      <c r="H3640" s="5" t="s">
        <v>30</v>
      </c>
      <c r="I3640" s="5" t="s">
        <v>22</v>
      </c>
      <c r="J3640" s="5" t="s">
        <v>60</v>
      </c>
      <c r="K3640" s="6">
        <v>0</v>
      </c>
      <c r="L3640" s="7">
        <v>0</v>
      </c>
      <c r="M3640" s="7">
        <v>0</v>
      </c>
      <c r="N3640" s="8">
        <v>0</v>
      </c>
      <c r="O3640" s="8">
        <v>0</v>
      </c>
      <c r="P3640" s="8">
        <v>0</v>
      </c>
      <c r="Q3640" s="8">
        <v>0</v>
      </c>
      <c r="R3640" s="8">
        <v>0</v>
      </c>
      <c r="S3640" s="8">
        <v>0</v>
      </c>
      <c r="T3640" s="5">
        <v>0</v>
      </c>
      <c r="U3640" s="5">
        <v>0</v>
      </c>
      <c r="V3640" s="5">
        <f>VLOOKUP(A3640,Planilha1!B:E,4,0)</f>
        <v>11.476197020267191</v>
      </c>
    </row>
    <row r="3641" spans="1:22" x14ac:dyDescent="0.3">
      <c r="A3641" t="str">
        <f t="shared" si="112"/>
        <v>QUEIJOSLACTALIS</v>
      </c>
      <c r="B3641" t="str">
        <f t="shared" si="113"/>
        <v>5260140QUEIJOSLACTALIS</v>
      </c>
      <c r="C3641" s="5" t="s">
        <v>226</v>
      </c>
      <c r="D3641" s="5" t="s">
        <v>227</v>
      </c>
      <c r="E3641" s="5" t="s">
        <v>1722</v>
      </c>
      <c r="F3641" s="5">
        <v>5260140</v>
      </c>
      <c r="G3641" s="5" t="s">
        <v>588</v>
      </c>
      <c r="H3641" s="5" t="s">
        <v>30</v>
      </c>
      <c r="I3641" s="5" t="s">
        <v>22</v>
      </c>
      <c r="J3641" s="5" t="s">
        <v>63</v>
      </c>
      <c r="K3641" s="6">
        <v>0</v>
      </c>
      <c r="L3641" s="7">
        <v>0</v>
      </c>
      <c r="M3641" s="7">
        <v>0</v>
      </c>
      <c r="N3641" s="8">
        <v>0</v>
      </c>
      <c r="O3641" s="8">
        <v>0</v>
      </c>
      <c r="P3641" s="8">
        <v>0</v>
      </c>
      <c r="Q3641" s="8">
        <v>0</v>
      </c>
      <c r="R3641" s="8">
        <v>0</v>
      </c>
      <c r="S3641" s="8">
        <v>0</v>
      </c>
      <c r="T3641" s="5">
        <v>0</v>
      </c>
      <c r="U3641" s="5">
        <v>0</v>
      </c>
      <c r="V3641" s="5">
        <f>VLOOKUP(A3641,Planilha1!B:E,4,0)</f>
        <v>-1.9171310037550682</v>
      </c>
    </row>
    <row r="3642" spans="1:22" x14ac:dyDescent="0.3">
      <c r="A3642" t="str">
        <f t="shared" si="112"/>
        <v>CREME UHTLACTALIS</v>
      </c>
      <c r="B3642" t="str">
        <f t="shared" si="113"/>
        <v>5260630CREME UHTLACTALIS</v>
      </c>
      <c r="C3642" s="5" t="s">
        <v>226</v>
      </c>
      <c r="D3642" s="5" t="s">
        <v>227</v>
      </c>
      <c r="E3642" s="5" t="s">
        <v>1722</v>
      </c>
      <c r="F3642" s="5">
        <v>5260630</v>
      </c>
      <c r="G3642" s="5" t="s">
        <v>1624</v>
      </c>
      <c r="H3642" s="5" t="s">
        <v>30</v>
      </c>
      <c r="I3642" s="5" t="s">
        <v>22</v>
      </c>
      <c r="J3642" s="5" t="s">
        <v>34</v>
      </c>
      <c r="K3642" s="6">
        <v>0</v>
      </c>
      <c r="L3642" s="7">
        <v>0</v>
      </c>
      <c r="M3642" s="7">
        <v>0</v>
      </c>
      <c r="N3642" s="8">
        <v>0</v>
      </c>
      <c r="O3642" s="8">
        <v>0</v>
      </c>
      <c r="P3642" s="8">
        <v>0</v>
      </c>
      <c r="Q3642" s="8">
        <v>0</v>
      </c>
      <c r="R3642" s="8">
        <v>0</v>
      </c>
      <c r="S3642" s="8">
        <v>0</v>
      </c>
      <c r="T3642" s="5">
        <v>0</v>
      </c>
      <c r="U3642" s="5">
        <v>0</v>
      </c>
      <c r="V3642" s="5">
        <f>VLOOKUP(A3642,Planilha1!B:E,4,0)</f>
        <v>-1.4094522863012933</v>
      </c>
    </row>
    <row r="3643" spans="1:22" x14ac:dyDescent="0.3">
      <c r="A3643" t="str">
        <f t="shared" si="112"/>
        <v>MANTEIGA 5KGLACTALIS</v>
      </c>
      <c r="B3643" t="str">
        <f t="shared" si="113"/>
        <v>5261487MANTEIGA 5KGLACTALIS</v>
      </c>
      <c r="C3643" s="5" t="s">
        <v>226</v>
      </c>
      <c r="D3643" s="5" t="s">
        <v>227</v>
      </c>
      <c r="E3643" s="5" t="s">
        <v>1722</v>
      </c>
      <c r="F3643" s="5">
        <v>5261487</v>
      </c>
      <c r="G3643" s="5" t="s">
        <v>1314</v>
      </c>
      <c r="H3643" s="5" t="s">
        <v>30</v>
      </c>
      <c r="I3643" s="5" t="s">
        <v>22</v>
      </c>
      <c r="J3643" s="5" t="s">
        <v>60</v>
      </c>
      <c r="K3643" s="6">
        <v>0</v>
      </c>
      <c r="L3643" s="7">
        <v>0</v>
      </c>
      <c r="M3643" s="7">
        <v>0</v>
      </c>
      <c r="N3643" s="8">
        <v>0</v>
      </c>
      <c r="O3643" s="8">
        <v>0</v>
      </c>
      <c r="P3643" s="8">
        <v>0</v>
      </c>
      <c r="Q3643" s="8">
        <v>0</v>
      </c>
      <c r="R3643" s="8">
        <v>0</v>
      </c>
      <c r="S3643" s="8">
        <v>0</v>
      </c>
      <c r="T3643" s="5">
        <v>0</v>
      </c>
      <c r="U3643" s="5">
        <v>0</v>
      </c>
      <c r="V3643" s="5">
        <f>VLOOKUP(A3643,Planilha1!B:E,4,0)</f>
        <v>11.476197020267191</v>
      </c>
    </row>
    <row r="3644" spans="1:22" x14ac:dyDescent="0.3">
      <c r="A3644" t="str">
        <f t="shared" si="112"/>
        <v>CREME UHTLACTALIS</v>
      </c>
      <c r="B3644" t="str">
        <f t="shared" si="113"/>
        <v>5262010CREME UHTLACTALIS</v>
      </c>
      <c r="C3644" s="5" t="s">
        <v>226</v>
      </c>
      <c r="D3644" s="5" t="s">
        <v>227</v>
      </c>
      <c r="E3644" s="5" t="s">
        <v>1722</v>
      </c>
      <c r="F3644" s="5">
        <v>5262010</v>
      </c>
      <c r="G3644" s="5" t="s">
        <v>1315</v>
      </c>
      <c r="H3644" s="5" t="s">
        <v>30</v>
      </c>
      <c r="I3644" s="5" t="s">
        <v>22</v>
      </c>
      <c r="J3644" s="5" t="s">
        <v>34</v>
      </c>
      <c r="K3644" s="6">
        <v>0</v>
      </c>
      <c r="L3644" s="7">
        <v>0</v>
      </c>
      <c r="M3644" s="7">
        <v>0</v>
      </c>
      <c r="N3644" s="8">
        <v>0</v>
      </c>
      <c r="O3644" s="8">
        <v>0</v>
      </c>
      <c r="P3644" s="8">
        <v>0</v>
      </c>
      <c r="Q3644" s="8">
        <v>0</v>
      </c>
      <c r="R3644" s="8">
        <v>0</v>
      </c>
      <c r="S3644" s="8">
        <v>0</v>
      </c>
      <c r="T3644" s="5">
        <v>0</v>
      </c>
      <c r="U3644" s="5">
        <v>0</v>
      </c>
      <c r="V3644" s="5">
        <f>VLOOKUP(A3644,Planilha1!B:E,4,0)</f>
        <v>-1.4094522863012933</v>
      </c>
    </row>
    <row r="3645" spans="1:22" x14ac:dyDescent="0.3">
      <c r="A3645" t="str">
        <f t="shared" si="112"/>
        <v>LEITE CONDENSADOLACTALIS</v>
      </c>
      <c r="B3645" t="str">
        <f t="shared" si="113"/>
        <v>5262010LEITE CONDENSADOLACTALIS</v>
      </c>
      <c r="C3645" s="5" t="s">
        <v>226</v>
      </c>
      <c r="D3645" s="5" t="s">
        <v>227</v>
      </c>
      <c r="E3645" s="5" t="s">
        <v>1722</v>
      </c>
      <c r="F3645" s="5">
        <v>5262010</v>
      </c>
      <c r="G3645" s="5" t="s">
        <v>1315</v>
      </c>
      <c r="H3645" s="5" t="s">
        <v>30</v>
      </c>
      <c r="I3645" s="5" t="s">
        <v>22</v>
      </c>
      <c r="J3645" s="5" t="s">
        <v>33</v>
      </c>
      <c r="K3645" s="6">
        <v>0</v>
      </c>
      <c r="L3645" s="7">
        <v>0</v>
      </c>
      <c r="M3645" s="7">
        <v>0</v>
      </c>
      <c r="N3645" s="8">
        <v>0</v>
      </c>
      <c r="O3645" s="8">
        <v>0</v>
      </c>
      <c r="P3645" s="8">
        <v>0</v>
      </c>
      <c r="Q3645" s="8">
        <v>0</v>
      </c>
      <c r="R3645" s="8">
        <v>0</v>
      </c>
      <c r="S3645" s="8">
        <v>0</v>
      </c>
      <c r="T3645" s="5">
        <v>0</v>
      </c>
      <c r="U3645" s="5">
        <v>0</v>
      </c>
      <c r="V3645" s="5">
        <f>VLOOKUP(A3645,Planilha1!B:E,4,0)</f>
        <v>1.8665071822970765</v>
      </c>
    </row>
    <row r="3646" spans="1:22" x14ac:dyDescent="0.3">
      <c r="A3646" t="str">
        <f t="shared" si="112"/>
        <v>LEITE CONDENSADOLACTALIS</v>
      </c>
      <c r="B3646" t="str">
        <f t="shared" si="113"/>
        <v>5262210LEITE CONDENSADOLACTALIS</v>
      </c>
      <c r="C3646" s="5" t="s">
        <v>226</v>
      </c>
      <c r="D3646" s="5" t="s">
        <v>227</v>
      </c>
      <c r="E3646" s="5" t="s">
        <v>1722</v>
      </c>
      <c r="F3646" s="5">
        <v>5262210</v>
      </c>
      <c r="G3646" s="5" t="s">
        <v>513</v>
      </c>
      <c r="H3646" s="5" t="s">
        <v>30</v>
      </c>
      <c r="I3646" s="5" t="s">
        <v>22</v>
      </c>
      <c r="J3646" s="5" t="s">
        <v>33</v>
      </c>
      <c r="K3646" s="6">
        <v>0</v>
      </c>
      <c r="L3646" s="7">
        <v>0</v>
      </c>
      <c r="M3646" s="7">
        <v>0</v>
      </c>
      <c r="N3646" s="8">
        <v>0</v>
      </c>
      <c r="O3646" s="8">
        <v>0</v>
      </c>
      <c r="P3646" s="8">
        <v>0</v>
      </c>
      <c r="Q3646" s="8">
        <v>0</v>
      </c>
      <c r="R3646" s="8">
        <v>0</v>
      </c>
      <c r="S3646" s="8">
        <v>0</v>
      </c>
      <c r="T3646" s="5">
        <v>0</v>
      </c>
      <c r="U3646" s="5">
        <v>0</v>
      </c>
      <c r="V3646" s="5">
        <f>VLOOKUP(A3646,Planilha1!B:E,4,0)</f>
        <v>1.8665071822970765</v>
      </c>
    </row>
    <row r="3647" spans="1:22" x14ac:dyDescent="0.3">
      <c r="A3647" t="str">
        <f t="shared" si="112"/>
        <v>SPREADSLACTALIS</v>
      </c>
      <c r="B3647" t="str">
        <f t="shared" si="113"/>
        <v>5263133SPREADSLACTALIS</v>
      </c>
      <c r="C3647" s="5" t="s">
        <v>226</v>
      </c>
      <c r="D3647" s="5" t="s">
        <v>227</v>
      </c>
      <c r="E3647" s="5" t="s">
        <v>1722</v>
      </c>
      <c r="F3647" s="5">
        <v>5263133</v>
      </c>
      <c r="G3647" s="5" t="s">
        <v>417</v>
      </c>
      <c r="H3647" s="5" t="s">
        <v>30</v>
      </c>
      <c r="I3647" s="5" t="s">
        <v>22</v>
      </c>
      <c r="J3647" s="5" t="s">
        <v>945</v>
      </c>
      <c r="K3647" s="6">
        <v>0</v>
      </c>
      <c r="L3647" s="7">
        <v>8</v>
      </c>
      <c r="M3647" s="7">
        <v>0</v>
      </c>
      <c r="N3647" s="8">
        <v>0</v>
      </c>
      <c r="O3647" s="8">
        <v>0</v>
      </c>
      <c r="P3647" s="8">
        <v>0</v>
      </c>
      <c r="Q3647" s="8">
        <v>0</v>
      </c>
      <c r="R3647" s="8">
        <v>0</v>
      </c>
      <c r="S3647" s="8">
        <v>0</v>
      </c>
      <c r="T3647" s="5">
        <v>0</v>
      </c>
      <c r="U3647" s="5">
        <v>0</v>
      </c>
      <c r="V3647" s="5">
        <f>VLOOKUP(A3647,Planilha1!B:E,4,0)</f>
        <v>13.599044988219518</v>
      </c>
    </row>
    <row r="3648" spans="1:22" x14ac:dyDescent="0.3">
      <c r="A3648" t="str">
        <f t="shared" si="112"/>
        <v>DOCE DE LEITELACTALIS</v>
      </c>
      <c r="B3648" t="str">
        <f t="shared" si="113"/>
        <v>5263331DOCE DE LEITELACTALIS</v>
      </c>
      <c r="C3648" s="5" t="s">
        <v>226</v>
      </c>
      <c r="D3648" s="5" t="s">
        <v>227</v>
      </c>
      <c r="E3648" s="5" t="s">
        <v>1722</v>
      </c>
      <c r="F3648" s="5">
        <v>5263331</v>
      </c>
      <c r="G3648" s="5" t="s">
        <v>1318</v>
      </c>
      <c r="H3648" s="5" t="s">
        <v>30</v>
      </c>
      <c r="I3648" s="5" t="s">
        <v>22</v>
      </c>
      <c r="J3648" s="5" t="s">
        <v>46</v>
      </c>
      <c r="K3648" s="6">
        <v>0</v>
      </c>
      <c r="L3648" s="7">
        <v>0</v>
      </c>
      <c r="M3648" s="7">
        <v>0</v>
      </c>
      <c r="N3648" s="8">
        <v>0</v>
      </c>
      <c r="O3648" s="8">
        <v>0</v>
      </c>
      <c r="P3648" s="8">
        <v>0</v>
      </c>
      <c r="Q3648" s="8">
        <v>0</v>
      </c>
      <c r="R3648" s="8">
        <v>0</v>
      </c>
      <c r="S3648" s="8">
        <v>0</v>
      </c>
      <c r="T3648" s="5">
        <v>0</v>
      </c>
      <c r="U3648" s="5">
        <v>0</v>
      </c>
      <c r="V3648" s="5">
        <f>VLOOKUP(A3648,Planilha1!B:E,4,0)</f>
        <v>5.6473514327668077</v>
      </c>
    </row>
    <row r="3649" spans="1:22" x14ac:dyDescent="0.3">
      <c r="A3649" t="str">
        <f t="shared" si="112"/>
        <v>QUEIJOSLACTALIS</v>
      </c>
      <c r="B3649" t="str">
        <f t="shared" si="113"/>
        <v>5263398QUEIJOSLACTALIS</v>
      </c>
      <c r="C3649" s="5" t="s">
        <v>226</v>
      </c>
      <c r="D3649" s="5" t="s">
        <v>227</v>
      </c>
      <c r="E3649" s="5" t="s">
        <v>1722</v>
      </c>
      <c r="F3649" s="5">
        <v>5263398</v>
      </c>
      <c r="G3649" s="5" t="s">
        <v>1625</v>
      </c>
      <c r="H3649" s="5" t="s">
        <v>30</v>
      </c>
      <c r="I3649" s="5" t="s">
        <v>22</v>
      </c>
      <c r="J3649" s="5" t="s">
        <v>63</v>
      </c>
      <c r="K3649" s="6">
        <v>0</v>
      </c>
      <c r="L3649" s="7">
        <v>0</v>
      </c>
      <c r="M3649" s="7">
        <v>0</v>
      </c>
      <c r="N3649" s="8">
        <v>0</v>
      </c>
      <c r="O3649" s="8">
        <v>0</v>
      </c>
      <c r="P3649" s="8">
        <v>0</v>
      </c>
      <c r="Q3649" s="8">
        <v>0</v>
      </c>
      <c r="R3649" s="8">
        <v>0</v>
      </c>
      <c r="S3649" s="8">
        <v>0</v>
      </c>
      <c r="T3649" s="5">
        <v>0</v>
      </c>
      <c r="U3649" s="5">
        <v>0</v>
      </c>
      <c r="V3649" s="5">
        <f>VLOOKUP(A3649,Planilha1!B:E,4,0)</f>
        <v>-1.9171310037550682</v>
      </c>
    </row>
    <row r="3650" spans="1:22" x14ac:dyDescent="0.3">
      <c r="A3650" t="str">
        <f t="shared" ref="A3650:A3713" si="114">J3650&amp;I3650</f>
        <v>LEITE UHTLACTALIS</v>
      </c>
      <c r="B3650" t="str">
        <f t="shared" si="113"/>
        <v>5263514LEITE UHTLACTALIS</v>
      </c>
      <c r="C3650" s="5" t="s">
        <v>226</v>
      </c>
      <c r="D3650" s="5" t="s">
        <v>227</v>
      </c>
      <c r="E3650" s="5" t="s">
        <v>1722</v>
      </c>
      <c r="F3650" s="5">
        <v>5263514</v>
      </c>
      <c r="G3650" s="5" t="s">
        <v>290</v>
      </c>
      <c r="H3650" s="5" t="s">
        <v>30</v>
      </c>
      <c r="I3650" s="5" t="s">
        <v>22</v>
      </c>
      <c r="J3650" s="5" t="s">
        <v>156</v>
      </c>
      <c r="K3650" s="6">
        <v>0</v>
      </c>
      <c r="L3650" s="7">
        <v>0</v>
      </c>
      <c r="M3650" s="7">
        <v>0</v>
      </c>
      <c r="N3650" s="8">
        <v>0</v>
      </c>
      <c r="O3650" s="8">
        <v>0</v>
      </c>
      <c r="P3650" s="8">
        <v>0</v>
      </c>
      <c r="Q3650" s="8">
        <v>0</v>
      </c>
      <c r="R3650" s="8">
        <v>0</v>
      </c>
      <c r="S3650" s="8">
        <v>0</v>
      </c>
      <c r="T3650" s="5">
        <v>0</v>
      </c>
      <c r="U3650" s="5">
        <v>0</v>
      </c>
      <c r="V3650" s="5">
        <f>VLOOKUP(A3650,Planilha1!B:E,4,0)</f>
        <v>0.37177548115779385</v>
      </c>
    </row>
    <row r="3651" spans="1:22" x14ac:dyDescent="0.3">
      <c r="A3651" t="str">
        <f t="shared" si="114"/>
        <v>SPREADSLACTALIS</v>
      </c>
      <c r="B3651" t="str">
        <f t="shared" ref="B3651:B3714" si="115">F3651&amp;J3651&amp;I3651</f>
        <v>5264124SPREADSLACTALIS</v>
      </c>
      <c r="C3651" s="5" t="s">
        <v>226</v>
      </c>
      <c r="D3651" s="5" t="s">
        <v>227</v>
      </c>
      <c r="E3651" s="5" t="s">
        <v>1722</v>
      </c>
      <c r="F3651" s="5">
        <v>5264124</v>
      </c>
      <c r="G3651" s="5" t="s">
        <v>295</v>
      </c>
      <c r="H3651" s="5" t="s">
        <v>30</v>
      </c>
      <c r="I3651" s="5" t="s">
        <v>22</v>
      </c>
      <c r="J3651" s="5" t="s">
        <v>945</v>
      </c>
      <c r="K3651" s="6">
        <v>0</v>
      </c>
      <c r="L3651" s="7">
        <v>0</v>
      </c>
      <c r="M3651" s="7">
        <v>0</v>
      </c>
      <c r="N3651" s="8">
        <v>0</v>
      </c>
      <c r="O3651" s="8">
        <v>0</v>
      </c>
      <c r="P3651" s="8">
        <v>0</v>
      </c>
      <c r="Q3651" s="8">
        <v>48</v>
      </c>
      <c r="R3651" s="8">
        <v>0</v>
      </c>
      <c r="S3651" s="8">
        <v>0</v>
      </c>
      <c r="T3651" s="5">
        <v>0</v>
      </c>
      <c r="U3651" s="5">
        <v>0</v>
      </c>
      <c r="V3651" s="5">
        <f>VLOOKUP(A3651,Planilha1!B:E,4,0)</f>
        <v>13.599044988219518</v>
      </c>
    </row>
    <row r="3652" spans="1:22" x14ac:dyDescent="0.3">
      <c r="A3652" t="str">
        <f t="shared" si="114"/>
        <v>SPREADSLACTALIS</v>
      </c>
      <c r="B3652" t="str">
        <f t="shared" si="115"/>
        <v>5264167SPREADSLACTALIS</v>
      </c>
      <c r="C3652" s="5" t="s">
        <v>226</v>
      </c>
      <c r="D3652" s="5" t="s">
        <v>227</v>
      </c>
      <c r="E3652" s="5" t="s">
        <v>1722</v>
      </c>
      <c r="F3652" s="5">
        <v>5264167</v>
      </c>
      <c r="G3652" s="5" t="s">
        <v>699</v>
      </c>
      <c r="H3652" s="5" t="s">
        <v>30</v>
      </c>
      <c r="I3652" s="5" t="s">
        <v>22</v>
      </c>
      <c r="J3652" s="5" t="s">
        <v>945</v>
      </c>
      <c r="K3652" s="6">
        <v>0</v>
      </c>
      <c r="L3652" s="7">
        <v>0</v>
      </c>
      <c r="M3652" s="7">
        <v>0</v>
      </c>
      <c r="N3652" s="8">
        <v>0</v>
      </c>
      <c r="O3652" s="8">
        <v>0</v>
      </c>
      <c r="P3652" s="8">
        <v>0</v>
      </c>
      <c r="Q3652" s="8">
        <v>0</v>
      </c>
      <c r="R3652" s="8">
        <v>0</v>
      </c>
      <c r="S3652" s="8">
        <v>0</v>
      </c>
      <c r="T3652" s="5">
        <v>0</v>
      </c>
      <c r="U3652" s="5">
        <v>0</v>
      </c>
      <c r="V3652" s="5">
        <f>VLOOKUP(A3652,Planilha1!B:E,4,0)</f>
        <v>13.599044988219518</v>
      </c>
    </row>
    <row r="3653" spans="1:22" x14ac:dyDescent="0.3">
      <c r="A3653" t="str">
        <f t="shared" si="114"/>
        <v>BLISTERLACTALIS</v>
      </c>
      <c r="B3653" t="str">
        <f t="shared" si="115"/>
        <v>5264820BLISTERLACTALIS</v>
      </c>
      <c r="C3653" s="5" t="s">
        <v>226</v>
      </c>
      <c r="D3653" s="5" t="s">
        <v>227</v>
      </c>
      <c r="E3653" s="5" t="s">
        <v>1722</v>
      </c>
      <c r="F3653" s="5">
        <v>5264820</v>
      </c>
      <c r="G3653" s="5" t="s">
        <v>514</v>
      </c>
      <c r="H3653" s="5" t="s">
        <v>30</v>
      </c>
      <c r="I3653" s="5" t="s">
        <v>22</v>
      </c>
      <c r="J3653" s="5" t="s">
        <v>199</v>
      </c>
      <c r="K3653" s="6">
        <v>0</v>
      </c>
      <c r="L3653" s="7">
        <v>0</v>
      </c>
      <c r="M3653" s="7">
        <v>0</v>
      </c>
      <c r="N3653" s="8">
        <v>0</v>
      </c>
      <c r="O3653" s="8">
        <v>0</v>
      </c>
      <c r="P3653" s="8">
        <v>0</v>
      </c>
      <c r="Q3653" s="8">
        <v>0</v>
      </c>
      <c r="R3653" s="8">
        <v>0</v>
      </c>
      <c r="S3653" s="8">
        <v>0</v>
      </c>
      <c r="T3653" s="5">
        <v>0</v>
      </c>
      <c r="U3653" s="5">
        <v>0</v>
      </c>
      <c r="V3653" s="5">
        <f>VLOOKUP(A3653,Planilha1!B:E,4,0)</f>
        <v>13.783871706210666</v>
      </c>
    </row>
    <row r="3654" spans="1:22" x14ac:dyDescent="0.3">
      <c r="A3654" t="str">
        <f t="shared" si="114"/>
        <v>PARMESÃOLACTALIS</v>
      </c>
      <c r="B3654" t="str">
        <f t="shared" si="115"/>
        <v>5265511PARMESÃOLACTALIS</v>
      </c>
      <c r="C3654" s="5" t="s">
        <v>226</v>
      </c>
      <c r="D3654" s="5" t="s">
        <v>227</v>
      </c>
      <c r="E3654" s="5" t="s">
        <v>1722</v>
      </c>
      <c r="F3654" s="5">
        <v>5265511</v>
      </c>
      <c r="G3654" s="5" t="s">
        <v>423</v>
      </c>
      <c r="H3654" s="5" t="s">
        <v>30</v>
      </c>
      <c r="I3654" s="5" t="s">
        <v>22</v>
      </c>
      <c r="J3654" s="5" t="s">
        <v>195</v>
      </c>
      <c r="K3654" s="6">
        <v>0</v>
      </c>
      <c r="L3654" s="7">
        <v>0</v>
      </c>
      <c r="M3654" s="7">
        <v>0</v>
      </c>
      <c r="N3654" s="8">
        <v>0</v>
      </c>
      <c r="O3654" s="8">
        <v>0</v>
      </c>
      <c r="P3654" s="8">
        <v>0</v>
      </c>
      <c r="Q3654" s="8">
        <v>0</v>
      </c>
      <c r="R3654" s="8">
        <v>0</v>
      </c>
      <c r="S3654" s="8">
        <v>0</v>
      </c>
      <c r="T3654" s="5">
        <v>0</v>
      </c>
      <c r="U3654" s="5">
        <v>0</v>
      </c>
      <c r="V3654" s="5">
        <f>VLOOKUP(A3654,Planilha1!B:E,4,0)</f>
        <v>6.310326960724681</v>
      </c>
    </row>
    <row r="3655" spans="1:22" x14ac:dyDescent="0.3">
      <c r="A3655" t="str">
        <f t="shared" si="114"/>
        <v>LEITE CONDENSADOLACTALIS</v>
      </c>
      <c r="B3655" t="str">
        <f t="shared" si="115"/>
        <v>5265947LEITE CONDENSADOLACTALIS</v>
      </c>
      <c r="C3655" s="5" t="s">
        <v>226</v>
      </c>
      <c r="D3655" s="5" t="s">
        <v>227</v>
      </c>
      <c r="E3655" s="5" t="s">
        <v>1722</v>
      </c>
      <c r="F3655" s="5">
        <v>5265947</v>
      </c>
      <c r="G3655" s="5" t="s">
        <v>425</v>
      </c>
      <c r="H3655" s="5" t="s">
        <v>30</v>
      </c>
      <c r="I3655" s="5" t="s">
        <v>22</v>
      </c>
      <c r="J3655" s="5" t="s">
        <v>33</v>
      </c>
      <c r="K3655" s="6">
        <v>0</v>
      </c>
      <c r="L3655" s="7">
        <v>0</v>
      </c>
      <c r="M3655" s="7">
        <v>0</v>
      </c>
      <c r="N3655" s="8">
        <v>0</v>
      </c>
      <c r="O3655" s="8">
        <v>0</v>
      </c>
      <c r="P3655" s="8">
        <v>0</v>
      </c>
      <c r="Q3655" s="8">
        <v>0</v>
      </c>
      <c r="R3655" s="8">
        <v>0</v>
      </c>
      <c r="S3655" s="8">
        <v>0</v>
      </c>
      <c r="T3655" s="5">
        <v>0</v>
      </c>
      <c r="U3655" s="5">
        <v>0</v>
      </c>
      <c r="V3655" s="5">
        <f>VLOOKUP(A3655,Planilha1!B:E,4,0)</f>
        <v>1.8665071822970765</v>
      </c>
    </row>
    <row r="3656" spans="1:22" x14ac:dyDescent="0.3">
      <c r="A3656" t="str">
        <f t="shared" si="114"/>
        <v>DOCE DE LEITELACTALIS</v>
      </c>
      <c r="B3656" t="str">
        <f t="shared" si="115"/>
        <v>5265966DOCE DE LEITELACTALIS</v>
      </c>
      <c r="C3656" s="5" t="s">
        <v>226</v>
      </c>
      <c r="D3656" s="5" t="s">
        <v>227</v>
      </c>
      <c r="E3656" s="5" t="s">
        <v>1722</v>
      </c>
      <c r="F3656" s="5">
        <v>5265966</v>
      </c>
      <c r="G3656" s="5" t="s">
        <v>426</v>
      </c>
      <c r="H3656" s="5" t="s">
        <v>30</v>
      </c>
      <c r="I3656" s="5" t="s">
        <v>22</v>
      </c>
      <c r="J3656" s="5" t="s">
        <v>46</v>
      </c>
      <c r="K3656" s="6">
        <v>0</v>
      </c>
      <c r="L3656" s="7">
        <v>0</v>
      </c>
      <c r="M3656" s="7">
        <v>0</v>
      </c>
      <c r="N3656" s="8">
        <v>0</v>
      </c>
      <c r="O3656" s="8">
        <v>0</v>
      </c>
      <c r="P3656" s="8">
        <v>0</v>
      </c>
      <c r="Q3656" s="8">
        <v>0</v>
      </c>
      <c r="R3656" s="8">
        <v>0</v>
      </c>
      <c r="S3656" s="8">
        <v>0</v>
      </c>
      <c r="T3656" s="5">
        <v>0</v>
      </c>
      <c r="U3656" s="5">
        <v>0</v>
      </c>
      <c r="V3656" s="5">
        <f>VLOOKUP(A3656,Planilha1!B:E,4,0)</f>
        <v>5.6473514327668077</v>
      </c>
    </row>
    <row r="3657" spans="1:22" x14ac:dyDescent="0.3">
      <c r="A3657" t="str">
        <f t="shared" si="114"/>
        <v>MANTEIGA 5KGLACTALIS</v>
      </c>
      <c r="B3657" t="str">
        <f t="shared" si="115"/>
        <v>5266124MANTEIGA 5KGLACTALIS</v>
      </c>
      <c r="C3657" s="5" t="s">
        <v>226</v>
      </c>
      <c r="D3657" s="5" t="s">
        <v>227</v>
      </c>
      <c r="E3657" s="5" t="s">
        <v>1722</v>
      </c>
      <c r="F3657" s="5">
        <v>5266124</v>
      </c>
      <c r="G3657" s="5" t="s">
        <v>427</v>
      </c>
      <c r="H3657" s="5" t="s">
        <v>30</v>
      </c>
      <c r="I3657" s="5" t="s">
        <v>22</v>
      </c>
      <c r="J3657" s="5" t="s">
        <v>60</v>
      </c>
      <c r="K3657" s="6">
        <v>0</v>
      </c>
      <c r="L3657" s="7">
        <v>0</v>
      </c>
      <c r="M3657" s="7">
        <v>0</v>
      </c>
      <c r="N3657" s="8">
        <v>0</v>
      </c>
      <c r="O3657" s="8">
        <v>0</v>
      </c>
      <c r="P3657" s="8">
        <v>0</v>
      </c>
      <c r="Q3657" s="8">
        <v>0</v>
      </c>
      <c r="R3657" s="8">
        <v>0</v>
      </c>
      <c r="S3657" s="8">
        <v>0</v>
      </c>
      <c r="T3657" s="5">
        <v>0</v>
      </c>
      <c r="U3657" s="5">
        <v>0</v>
      </c>
      <c r="V3657" s="5">
        <f>VLOOKUP(A3657,Planilha1!B:E,4,0)</f>
        <v>11.476197020267191</v>
      </c>
    </row>
    <row r="3658" spans="1:22" x14ac:dyDescent="0.3">
      <c r="A3658" t="str">
        <f t="shared" si="114"/>
        <v>LEITE CONDENSADOLACTALIS</v>
      </c>
      <c r="B3658" t="str">
        <f t="shared" si="115"/>
        <v>5266323LEITE CONDENSADOLACTALIS</v>
      </c>
      <c r="C3658" s="5" t="s">
        <v>226</v>
      </c>
      <c r="D3658" s="5" t="s">
        <v>227</v>
      </c>
      <c r="E3658" s="5" t="s">
        <v>1722</v>
      </c>
      <c r="F3658" s="5">
        <v>5266323</v>
      </c>
      <c r="G3658" s="5" t="s">
        <v>430</v>
      </c>
      <c r="H3658" s="5" t="s">
        <v>30</v>
      </c>
      <c r="I3658" s="5" t="s">
        <v>22</v>
      </c>
      <c r="J3658" s="5" t="s">
        <v>33</v>
      </c>
      <c r="K3658" s="6">
        <v>0</v>
      </c>
      <c r="L3658" s="7">
        <v>0</v>
      </c>
      <c r="M3658" s="7">
        <v>0</v>
      </c>
      <c r="N3658" s="8">
        <v>0</v>
      </c>
      <c r="O3658" s="8">
        <v>0</v>
      </c>
      <c r="P3658" s="8">
        <v>0</v>
      </c>
      <c r="Q3658" s="8">
        <v>0</v>
      </c>
      <c r="R3658" s="8">
        <v>0</v>
      </c>
      <c r="S3658" s="8">
        <v>0</v>
      </c>
      <c r="T3658" s="5">
        <v>0</v>
      </c>
      <c r="U3658" s="5">
        <v>0</v>
      </c>
      <c r="V3658" s="5">
        <f>VLOOKUP(A3658,Planilha1!B:E,4,0)</f>
        <v>1.8665071822970765</v>
      </c>
    </row>
    <row r="3659" spans="1:22" x14ac:dyDescent="0.3">
      <c r="A3659" t="str">
        <f t="shared" si="114"/>
        <v>PARMESÃOLACTALIS</v>
      </c>
      <c r="B3659" t="str">
        <f t="shared" si="115"/>
        <v>5267684PARMESÃOLACTALIS</v>
      </c>
      <c r="C3659" s="5" t="s">
        <v>226</v>
      </c>
      <c r="D3659" s="5" t="s">
        <v>227</v>
      </c>
      <c r="E3659" s="5" t="s">
        <v>1722</v>
      </c>
      <c r="F3659" s="5">
        <v>5267684</v>
      </c>
      <c r="G3659" s="5" t="s">
        <v>298</v>
      </c>
      <c r="H3659" s="5" t="s">
        <v>30</v>
      </c>
      <c r="I3659" s="5" t="s">
        <v>22</v>
      </c>
      <c r="J3659" s="5" t="s">
        <v>195</v>
      </c>
      <c r="K3659" s="6">
        <v>0</v>
      </c>
      <c r="L3659" s="7">
        <v>0</v>
      </c>
      <c r="M3659" s="7">
        <v>0</v>
      </c>
      <c r="N3659" s="8">
        <v>0</v>
      </c>
      <c r="O3659" s="8">
        <v>0</v>
      </c>
      <c r="P3659" s="8">
        <v>0</v>
      </c>
      <c r="Q3659" s="8">
        <v>0</v>
      </c>
      <c r="R3659" s="8">
        <v>0</v>
      </c>
      <c r="S3659" s="8">
        <v>0</v>
      </c>
      <c r="T3659" s="5">
        <v>0</v>
      </c>
      <c r="U3659" s="5">
        <v>0</v>
      </c>
      <c r="V3659" s="5">
        <f>VLOOKUP(A3659,Planilha1!B:E,4,0)</f>
        <v>6.310326960724681</v>
      </c>
    </row>
    <row r="3660" spans="1:22" x14ac:dyDescent="0.3">
      <c r="A3660" t="str">
        <f t="shared" si="114"/>
        <v>IOGURTESLACTALIS</v>
      </c>
      <c r="B3660" t="str">
        <f t="shared" si="115"/>
        <v>5269686IOGURTESLACTALIS</v>
      </c>
      <c r="C3660" s="5" t="s">
        <v>16</v>
      </c>
      <c r="D3660" s="5" t="s">
        <v>17</v>
      </c>
      <c r="E3660" s="5" t="s">
        <v>44</v>
      </c>
      <c r="F3660" s="5">
        <v>5269686</v>
      </c>
      <c r="G3660" s="5" t="s">
        <v>1592</v>
      </c>
      <c r="H3660" s="5" t="s">
        <v>113</v>
      </c>
      <c r="I3660" s="5" t="s">
        <v>22</v>
      </c>
      <c r="J3660" s="5" t="s">
        <v>153</v>
      </c>
      <c r="K3660" s="6">
        <v>0</v>
      </c>
      <c r="L3660" s="7">
        <v>0</v>
      </c>
      <c r="M3660" s="7">
        <v>0</v>
      </c>
      <c r="N3660" s="8">
        <v>0</v>
      </c>
      <c r="O3660" s="8">
        <v>0</v>
      </c>
      <c r="P3660" s="8">
        <v>0</v>
      </c>
      <c r="Q3660" s="8">
        <v>0</v>
      </c>
      <c r="R3660" s="8">
        <v>0</v>
      </c>
      <c r="S3660" s="8">
        <v>0</v>
      </c>
      <c r="T3660" s="5">
        <v>0</v>
      </c>
      <c r="U3660" s="5">
        <v>0</v>
      </c>
      <c r="V3660" s="5">
        <f>VLOOKUP(A3660,Planilha1!B:E,4,0)</f>
        <v>3.0503167986984403</v>
      </c>
    </row>
    <row r="3661" spans="1:22" x14ac:dyDescent="0.3">
      <c r="A3661" t="str">
        <f t="shared" si="114"/>
        <v>LEITE UHTLACTALIS</v>
      </c>
      <c r="B3661" t="str">
        <f t="shared" si="115"/>
        <v>5272287LEITE UHTLACTALIS</v>
      </c>
      <c r="C3661" s="5" t="s">
        <v>226</v>
      </c>
      <c r="D3661" s="5" t="s">
        <v>227</v>
      </c>
      <c r="E3661" s="5" t="s">
        <v>1722</v>
      </c>
      <c r="F3661" s="5">
        <v>5272287</v>
      </c>
      <c r="G3661" s="5" t="s">
        <v>1313</v>
      </c>
      <c r="H3661" s="5" t="s">
        <v>30</v>
      </c>
      <c r="I3661" s="5" t="s">
        <v>22</v>
      </c>
      <c r="J3661" s="5" t="s">
        <v>156</v>
      </c>
      <c r="K3661" s="6">
        <v>0</v>
      </c>
      <c r="L3661" s="7">
        <v>0</v>
      </c>
      <c r="M3661" s="7">
        <v>0</v>
      </c>
      <c r="N3661" s="8">
        <v>0</v>
      </c>
      <c r="O3661" s="8">
        <v>0</v>
      </c>
      <c r="P3661" s="8">
        <v>0</v>
      </c>
      <c r="Q3661" s="8">
        <v>0</v>
      </c>
      <c r="R3661" s="8">
        <v>0</v>
      </c>
      <c r="S3661" s="8">
        <v>0</v>
      </c>
      <c r="T3661" s="5">
        <v>0</v>
      </c>
      <c r="U3661" s="5">
        <v>0</v>
      </c>
      <c r="V3661" s="5">
        <f>VLOOKUP(A3661,Planilha1!B:E,4,0)</f>
        <v>0.37177548115779385</v>
      </c>
    </row>
    <row r="3662" spans="1:22" x14ac:dyDescent="0.3">
      <c r="A3662" t="str">
        <f t="shared" si="114"/>
        <v>CREME UHTLACTALIS</v>
      </c>
      <c r="B3662" t="str">
        <f t="shared" si="115"/>
        <v>5273270CREME UHTLACTALIS</v>
      </c>
      <c r="C3662" s="5" t="s">
        <v>226</v>
      </c>
      <c r="D3662" s="5" t="s">
        <v>227</v>
      </c>
      <c r="E3662" s="5" t="s">
        <v>1722</v>
      </c>
      <c r="F3662" s="5">
        <v>5273270</v>
      </c>
      <c r="G3662" s="5" t="s">
        <v>612</v>
      </c>
      <c r="H3662" s="5" t="s">
        <v>30</v>
      </c>
      <c r="I3662" s="5" t="s">
        <v>22</v>
      </c>
      <c r="J3662" s="5" t="s">
        <v>34</v>
      </c>
      <c r="K3662" s="6">
        <v>0</v>
      </c>
      <c r="L3662" s="7">
        <v>0</v>
      </c>
      <c r="M3662" s="7">
        <v>0</v>
      </c>
      <c r="N3662" s="8">
        <v>0</v>
      </c>
      <c r="O3662" s="8">
        <v>0</v>
      </c>
      <c r="P3662" s="8">
        <v>0</v>
      </c>
      <c r="Q3662" s="8">
        <v>0</v>
      </c>
      <c r="R3662" s="8">
        <v>0</v>
      </c>
      <c r="S3662" s="8">
        <v>0</v>
      </c>
      <c r="T3662" s="5">
        <v>0</v>
      </c>
      <c r="U3662" s="5">
        <v>0</v>
      </c>
      <c r="V3662" s="5">
        <f>VLOOKUP(A3662,Planilha1!B:E,4,0)</f>
        <v>-1.4094522863012933</v>
      </c>
    </row>
    <row r="3663" spans="1:22" x14ac:dyDescent="0.3">
      <c r="A3663" t="str">
        <f t="shared" si="114"/>
        <v>QUEIJOSLACTALIS</v>
      </c>
      <c r="B3663" t="str">
        <f t="shared" si="115"/>
        <v>5273675QUEIJOSLACTALIS</v>
      </c>
      <c r="C3663" s="5" t="s">
        <v>226</v>
      </c>
      <c r="D3663" s="5" t="s">
        <v>227</v>
      </c>
      <c r="E3663" s="5" t="s">
        <v>1722</v>
      </c>
      <c r="F3663" s="5">
        <v>5273675</v>
      </c>
      <c r="G3663" s="5" t="s">
        <v>700</v>
      </c>
      <c r="H3663" s="5" t="s">
        <v>30</v>
      </c>
      <c r="I3663" s="5" t="s">
        <v>22</v>
      </c>
      <c r="J3663" s="5" t="s">
        <v>63</v>
      </c>
      <c r="K3663" s="6">
        <v>0</v>
      </c>
      <c r="L3663" s="7">
        <v>0</v>
      </c>
      <c r="M3663" s="7">
        <v>0</v>
      </c>
      <c r="N3663" s="8">
        <v>0</v>
      </c>
      <c r="O3663" s="8">
        <v>0</v>
      </c>
      <c r="P3663" s="8">
        <v>0</v>
      </c>
      <c r="Q3663" s="8">
        <v>0</v>
      </c>
      <c r="R3663" s="8">
        <v>0</v>
      </c>
      <c r="S3663" s="8">
        <v>0</v>
      </c>
      <c r="T3663" s="5">
        <v>0</v>
      </c>
      <c r="U3663" s="5">
        <v>0</v>
      </c>
      <c r="V3663" s="5">
        <f>VLOOKUP(A3663,Planilha1!B:E,4,0)</f>
        <v>-1.9171310037550682</v>
      </c>
    </row>
    <row r="3664" spans="1:22" x14ac:dyDescent="0.3">
      <c r="A3664" t="str">
        <f t="shared" si="114"/>
        <v>LEITE UHTLACTALIS</v>
      </c>
      <c r="B3664" t="str">
        <f t="shared" si="115"/>
        <v>5273892LEITE UHTLACTALIS</v>
      </c>
      <c r="C3664" s="5" t="s">
        <v>226</v>
      </c>
      <c r="D3664" s="5" t="s">
        <v>227</v>
      </c>
      <c r="E3664" s="5" t="s">
        <v>1722</v>
      </c>
      <c r="F3664" s="5">
        <v>5273892</v>
      </c>
      <c r="G3664" s="5" t="s">
        <v>1084</v>
      </c>
      <c r="H3664" s="5" t="s">
        <v>30</v>
      </c>
      <c r="I3664" s="5" t="s">
        <v>22</v>
      </c>
      <c r="J3664" s="5" t="s">
        <v>156</v>
      </c>
      <c r="K3664" s="6">
        <v>0</v>
      </c>
      <c r="L3664" s="7">
        <v>0</v>
      </c>
      <c r="M3664" s="7">
        <v>0</v>
      </c>
      <c r="N3664" s="8">
        <v>0</v>
      </c>
      <c r="O3664" s="8">
        <v>0</v>
      </c>
      <c r="P3664" s="8">
        <v>0</v>
      </c>
      <c r="Q3664" s="8">
        <v>0</v>
      </c>
      <c r="R3664" s="8">
        <v>0</v>
      </c>
      <c r="S3664" s="8">
        <v>0</v>
      </c>
      <c r="T3664" s="5">
        <v>0</v>
      </c>
      <c r="U3664" s="5">
        <v>0</v>
      </c>
      <c r="V3664" s="5">
        <f>VLOOKUP(A3664,Planilha1!B:E,4,0)</f>
        <v>0.37177548115779385</v>
      </c>
    </row>
    <row r="3665" spans="1:22" x14ac:dyDescent="0.3">
      <c r="A3665" t="str">
        <f t="shared" si="114"/>
        <v>CREME UHTLACTALIS</v>
      </c>
      <c r="B3665" t="str">
        <f t="shared" si="115"/>
        <v>5273958CREME UHTLACTALIS</v>
      </c>
      <c r="C3665" s="5" t="s">
        <v>226</v>
      </c>
      <c r="D3665" s="5" t="s">
        <v>227</v>
      </c>
      <c r="E3665" s="5" t="s">
        <v>1722</v>
      </c>
      <c r="F3665" s="5">
        <v>5273958</v>
      </c>
      <c r="G3665" s="5" t="s">
        <v>305</v>
      </c>
      <c r="H3665" s="5" t="s">
        <v>30</v>
      </c>
      <c r="I3665" s="5" t="s">
        <v>22</v>
      </c>
      <c r="J3665" s="5" t="s">
        <v>34</v>
      </c>
      <c r="K3665" s="6">
        <v>0</v>
      </c>
      <c r="L3665" s="7">
        <v>0</v>
      </c>
      <c r="M3665" s="7">
        <v>0</v>
      </c>
      <c r="N3665" s="8">
        <v>0</v>
      </c>
      <c r="O3665" s="8">
        <v>0</v>
      </c>
      <c r="P3665" s="8">
        <v>0</v>
      </c>
      <c r="Q3665" s="8">
        <v>0</v>
      </c>
      <c r="R3665" s="8">
        <v>0</v>
      </c>
      <c r="S3665" s="8">
        <v>0</v>
      </c>
      <c r="T3665" s="5">
        <v>0</v>
      </c>
      <c r="U3665" s="5">
        <v>0</v>
      </c>
      <c r="V3665" s="5">
        <f>VLOOKUP(A3665,Planilha1!B:E,4,0)</f>
        <v>-1.4094522863012933</v>
      </c>
    </row>
    <row r="3666" spans="1:22" x14ac:dyDescent="0.3">
      <c r="A3666" t="str">
        <f t="shared" si="114"/>
        <v>MERC + AROMLACTALIS</v>
      </c>
      <c r="B3666" t="str">
        <f t="shared" si="115"/>
        <v>5278288MERC + AROMLACTALIS</v>
      </c>
      <c r="C3666" s="5" t="s">
        <v>226</v>
      </c>
      <c r="D3666" s="5" t="s">
        <v>227</v>
      </c>
      <c r="E3666" s="5" t="s">
        <v>1722</v>
      </c>
      <c r="F3666" s="5">
        <v>5278288</v>
      </c>
      <c r="G3666" s="5" t="s">
        <v>1626</v>
      </c>
      <c r="H3666" s="5" t="s">
        <v>30</v>
      </c>
      <c r="I3666" s="5" t="s">
        <v>22</v>
      </c>
      <c r="J3666" s="5" t="s">
        <v>230</v>
      </c>
      <c r="K3666" s="6">
        <v>0</v>
      </c>
      <c r="L3666" s="7">
        <v>0</v>
      </c>
      <c r="M3666" s="7">
        <v>0</v>
      </c>
      <c r="N3666" s="8">
        <v>0</v>
      </c>
      <c r="O3666" s="8">
        <v>0</v>
      </c>
      <c r="P3666" s="8">
        <v>0</v>
      </c>
      <c r="Q3666" s="8">
        <v>0</v>
      </c>
      <c r="R3666" s="8">
        <v>0</v>
      </c>
      <c r="S3666" s="8">
        <v>0</v>
      </c>
      <c r="T3666" s="5">
        <v>0</v>
      </c>
      <c r="U3666" s="5">
        <v>0</v>
      </c>
      <c r="V3666" s="5">
        <f>VLOOKUP(A3666,Planilha1!B:E,4,0)</f>
        <v>0.86907188046232187</v>
      </c>
    </row>
    <row r="3667" spans="1:22" x14ac:dyDescent="0.3">
      <c r="A3667" t="str">
        <f t="shared" si="114"/>
        <v>SPREADSLACTALIS</v>
      </c>
      <c r="B3667" t="str">
        <f t="shared" si="115"/>
        <v>5278288SPREADSLACTALIS</v>
      </c>
      <c r="C3667" s="5" t="s">
        <v>226</v>
      </c>
      <c r="D3667" s="5" t="s">
        <v>227</v>
      </c>
      <c r="E3667" s="5" t="s">
        <v>1722</v>
      </c>
      <c r="F3667" s="5">
        <v>5278288</v>
      </c>
      <c r="G3667" s="5" t="s">
        <v>1626</v>
      </c>
      <c r="H3667" s="5" t="s">
        <v>30</v>
      </c>
      <c r="I3667" s="5" t="s">
        <v>22</v>
      </c>
      <c r="J3667" s="5" t="s">
        <v>945</v>
      </c>
      <c r="K3667" s="6">
        <v>0</v>
      </c>
      <c r="L3667" s="7">
        <v>0</v>
      </c>
      <c r="M3667" s="7">
        <v>0</v>
      </c>
      <c r="N3667" s="8">
        <v>0</v>
      </c>
      <c r="O3667" s="8">
        <v>0</v>
      </c>
      <c r="P3667" s="8">
        <v>0</v>
      </c>
      <c r="Q3667" s="8">
        <v>0</v>
      </c>
      <c r="R3667" s="8">
        <v>0</v>
      </c>
      <c r="S3667" s="8">
        <v>0</v>
      </c>
      <c r="T3667" s="5">
        <v>0</v>
      </c>
      <c r="U3667" s="5">
        <v>0</v>
      </c>
      <c r="V3667" s="5">
        <f>VLOOKUP(A3667,Planilha1!B:E,4,0)</f>
        <v>13.599044988219518</v>
      </c>
    </row>
    <row r="3668" spans="1:22" x14ac:dyDescent="0.3">
      <c r="A3668" t="str">
        <f t="shared" si="114"/>
        <v>SPREADSLACTALIS</v>
      </c>
      <c r="B3668" t="str">
        <f t="shared" si="115"/>
        <v>5298021SPREADSLACTALIS</v>
      </c>
      <c r="C3668" s="5" t="s">
        <v>226</v>
      </c>
      <c r="D3668" s="5" t="s">
        <v>227</v>
      </c>
      <c r="E3668" s="5" t="s">
        <v>1722</v>
      </c>
      <c r="F3668" s="5">
        <v>5298021</v>
      </c>
      <c r="G3668" s="5" t="s">
        <v>333</v>
      </c>
      <c r="H3668" s="5" t="s">
        <v>30</v>
      </c>
      <c r="I3668" s="5" t="s">
        <v>22</v>
      </c>
      <c r="J3668" s="5" t="s">
        <v>945</v>
      </c>
      <c r="K3668" s="6">
        <v>0</v>
      </c>
      <c r="L3668" s="7">
        <v>0</v>
      </c>
      <c r="M3668" s="7">
        <v>0</v>
      </c>
      <c r="N3668" s="8">
        <v>0</v>
      </c>
      <c r="O3668" s="8">
        <v>0</v>
      </c>
      <c r="P3668" s="8">
        <v>0</v>
      </c>
      <c r="Q3668" s="8">
        <v>0</v>
      </c>
      <c r="R3668" s="8">
        <v>0</v>
      </c>
      <c r="S3668" s="8">
        <v>0</v>
      </c>
      <c r="T3668" s="5">
        <v>0</v>
      </c>
      <c r="U3668" s="5">
        <v>0</v>
      </c>
      <c r="V3668" s="5">
        <f>VLOOKUP(A3668,Planilha1!B:E,4,0)</f>
        <v>13.599044988219518</v>
      </c>
    </row>
    <row r="3669" spans="1:22" x14ac:dyDescent="0.3">
      <c r="A3669" t="str">
        <f t="shared" si="114"/>
        <v>PARMESÃOLACTALIS</v>
      </c>
      <c r="B3669" t="str">
        <f t="shared" si="115"/>
        <v>5279575PARMESÃOLACTALIS</v>
      </c>
      <c r="C3669" s="5" t="s">
        <v>226</v>
      </c>
      <c r="D3669" s="5" t="s">
        <v>227</v>
      </c>
      <c r="E3669" s="5" t="s">
        <v>1722</v>
      </c>
      <c r="F3669" s="5">
        <v>5279575</v>
      </c>
      <c r="G3669" s="5" t="s">
        <v>618</v>
      </c>
      <c r="H3669" s="5" t="s">
        <v>30</v>
      </c>
      <c r="I3669" s="5" t="s">
        <v>22</v>
      </c>
      <c r="J3669" s="5" t="s">
        <v>195</v>
      </c>
      <c r="K3669" s="6">
        <v>0</v>
      </c>
      <c r="L3669" s="7">
        <v>0</v>
      </c>
      <c r="M3669" s="7">
        <v>0</v>
      </c>
      <c r="N3669" s="8">
        <v>0</v>
      </c>
      <c r="O3669" s="8">
        <v>0</v>
      </c>
      <c r="P3669" s="8">
        <v>0</v>
      </c>
      <c r="Q3669" s="8">
        <v>0</v>
      </c>
      <c r="R3669" s="8">
        <v>0</v>
      </c>
      <c r="S3669" s="8">
        <v>0</v>
      </c>
      <c r="T3669" s="5">
        <v>0</v>
      </c>
      <c r="U3669" s="5">
        <v>0</v>
      </c>
      <c r="V3669" s="5">
        <f>VLOOKUP(A3669,Planilha1!B:E,4,0)</f>
        <v>6.310326960724681</v>
      </c>
    </row>
    <row r="3670" spans="1:22" x14ac:dyDescent="0.3">
      <c r="A3670" t="str">
        <f t="shared" si="114"/>
        <v>IOGURTESLACTALIS</v>
      </c>
      <c r="B3670" t="str">
        <f t="shared" si="115"/>
        <v>5279849IOGURTESLACTALIS</v>
      </c>
      <c r="C3670" s="5" t="s">
        <v>226</v>
      </c>
      <c r="D3670" s="5" t="s">
        <v>227</v>
      </c>
      <c r="E3670" s="5" t="s">
        <v>1722</v>
      </c>
      <c r="F3670" s="5">
        <v>5279849</v>
      </c>
      <c r="G3670" s="5" t="s">
        <v>450</v>
      </c>
      <c r="H3670" s="5" t="s">
        <v>30</v>
      </c>
      <c r="I3670" s="5" t="s">
        <v>22</v>
      </c>
      <c r="J3670" s="5" t="s">
        <v>153</v>
      </c>
      <c r="K3670" s="6">
        <v>0</v>
      </c>
      <c r="L3670" s="7">
        <v>0</v>
      </c>
      <c r="M3670" s="7">
        <v>0</v>
      </c>
      <c r="N3670" s="8">
        <v>0</v>
      </c>
      <c r="O3670" s="8">
        <v>0</v>
      </c>
      <c r="P3670" s="8">
        <v>0</v>
      </c>
      <c r="Q3670" s="8">
        <v>0</v>
      </c>
      <c r="R3670" s="8">
        <v>0</v>
      </c>
      <c r="S3670" s="8">
        <v>0</v>
      </c>
      <c r="T3670" s="5">
        <v>0</v>
      </c>
      <c r="U3670" s="5">
        <v>0</v>
      </c>
      <c r="V3670" s="5">
        <f>VLOOKUP(A3670,Planilha1!B:E,4,0)</f>
        <v>3.0503167986984403</v>
      </c>
    </row>
    <row r="3671" spans="1:22" x14ac:dyDescent="0.3">
      <c r="A3671" t="str">
        <f t="shared" si="114"/>
        <v>CREME UHTLACTALIS</v>
      </c>
      <c r="B3671" t="str">
        <f t="shared" si="115"/>
        <v>5285696CREME UHTLACTALIS</v>
      </c>
      <c r="C3671" s="5" t="s">
        <v>226</v>
      </c>
      <c r="D3671" s="5" t="s">
        <v>227</v>
      </c>
      <c r="E3671" s="5" t="s">
        <v>1722</v>
      </c>
      <c r="F3671" s="5">
        <v>5285696</v>
      </c>
      <c r="G3671" s="5" t="s">
        <v>455</v>
      </c>
      <c r="H3671" s="5" t="s">
        <v>30</v>
      </c>
      <c r="I3671" s="5" t="s">
        <v>22</v>
      </c>
      <c r="J3671" s="5" t="s">
        <v>34</v>
      </c>
      <c r="K3671" s="6">
        <v>0</v>
      </c>
      <c r="L3671" s="7">
        <v>0</v>
      </c>
      <c r="M3671" s="7">
        <v>0</v>
      </c>
      <c r="N3671" s="8">
        <v>0</v>
      </c>
      <c r="O3671" s="8">
        <v>0</v>
      </c>
      <c r="P3671" s="8">
        <v>0</v>
      </c>
      <c r="Q3671" s="8">
        <v>0</v>
      </c>
      <c r="R3671" s="8">
        <v>0</v>
      </c>
      <c r="S3671" s="8">
        <v>11</v>
      </c>
      <c r="T3671" s="5">
        <v>11</v>
      </c>
      <c r="U3671" s="5">
        <v>0</v>
      </c>
      <c r="V3671" s="5">
        <f>VLOOKUP(A3671,Planilha1!B:E,4,0)</f>
        <v>-1.4094522863012933</v>
      </c>
    </row>
    <row r="3672" spans="1:22" x14ac:dyDescent="0.3">
      <c r="A3672" t="str">
        <f t="shared" si="114"/>
        <v>LEITE CONDENSADOLACTALIS</v>
      </c>
      <c r="B3672" t="str">
        <f t="shared" si="115"/>
        <v>5285696LEITE CONDENSADOLACTALIS</v>
      </c>
      <c r="C3672" s="5" t="s">
        <v>226</v>
      </c>
      <c r="D3672" s="5" t="s">
        <v>227</v>
      </c>
      <c r="E3672" s="5" t="s">
        <v>1722</v>
      </c>
      <c r="F3672" s="5">
        <v>5285696</v>
      </c>
      <c r="G3672" s="5" t="s">
        <v>455</v>
      </c>
      <c r="H3672" s="5" t="s">
        <v>30</v>
      </c>
      <c r="I3672" s="5" t="s">
        <v>22</v>
      </c>
      <c r="J3672" s="5" t="s">
        <v>33</v>
      </c>
      <c r="K3672" s="6">
        <v>0</v>
      </c>
      <c r="L3672" s="7">
        <v>0</v>
      </c>
      <c r="M3672" s="7">
        <v>0</v>
      </c>
      <c r="N3672" s="8">
        <v>0</v>
      </c>
      <c r="O3672" s="8">
        <v>0</v>
      </c>
      <c r="P3672" s="8">
        <v>0</v>
      </c>
      <c r="Q3672" s="8">
        <v>0</v>
      </c>
      <c r="R3672" s="8">
        <v>0</v>
      </c>
      <c r="S3672" s="8">
        <v>19</v>
      </c>
      <c r="T3672" s="5">
        <v>19</v>
      </c>
      <c r="U3672" s="5">
        <v>0</v>
      </c>
      <c r="V3672" s="5">
        <f>VLOOKUP(A3672,Planilha1!B:E,4,0)</f>
        <v>1.8665071822970765</v>
      </c>
    </row>
    <row r="3673" spans="1:22" x14ac:dyDescent="0.3">
      <c r="A3673" t="str">
        <f t="shared" si="114"/>
        <v>PARMESÃOLACTALIS</v>
      </c>
      <c r="B3673" t="str">
        <f t="shared" si="115"/>
        <v>5286042PARMESÃOLACTALIS</v>
      </c>
      <c r="C3673" s="5" t="s">
        <v>226</v>
      </c>
      <c r="D3673" s="5" t="s">
        <v>227</v>
      </c>
      <c r="E3673" s="5" t="s">
        <v>1722</v>
      </c>
      <c r="F3673" s="5">
        <v>5286042</v>
      </c>
      <c r="G3673" s="5" t="s">
        <v>457</v>
      </c>
      <c r="H3673" s="5" t="s">
        <v>30</v>
      </c>
      <c r="I3673" s="5" t="s">
        <v>22</v>
      </c>
      <c r="J3673" s="5" t="s">
        <v>195</v>
      </c>
      <c r="K3673" s="6">
        <v>0</v>
      </c>
      <c r="L3673" s="7">
        <v>0</v>
      </c>
      <c r="M3673" s="7">
        <v>0</v>
      </c>
      <c r="N3673" s="8">
        <v>0</v>
      </c>
      <c r="O3673" s="8">
        <v>0</v>
      </c>
      <c r="P3673" s="8">
        <v>0</v>
      </c>
      <c r="Q3673" s="8">
        <v>0</v>
      </c>
      <c r="R3673" s="8">
        <v>0</v>
      </c>
      <c r="S3673" s="8">
        <v>0</v>
      </c>
      <c r="T3673" s="5">
        <v>0</v>
      </c>
      <c r="U3673" s="5">
        <v>0</v>
      </c>
      <c r="V3673" s="5">
        <f>VLOOKUP(A3673,Planilha1!B:E,4,0)</f>
        <v>6.310326960724681</v>
      </c>
    </row>
    <row r="3674" spans="1:22" x14ac:dyDescent="0.3">
      <c r="A3674" t="str">
        <f t="shared" si="114"/>
        <v>QUEIJOSLACTALIS</v>
      </c>
      <c r="B3674" t="str">
        <f t="shared" si="115"/>
        <v>5286042QUEIJOSLACTALIS</v>
      </c>
      <c r="C3674" s="5" t="s">
        <v>226</v>
      </c>
      <c r="D3674" s="5" t="s">
        <v>227</v>
      </c>
      <c r="E3674" s="5" t="s">
        <v>1722</v>
      </c>
      <c r="F3674" s="5">
        <v>5286042</v>
      </c>
      <c r="G3674" s="5" t="s">
        <v>457</v>
      </c>
      <c r="H3674" s="5" t="s">
        <v>30</v>
      </c>
      <c r="I3674" s="5" t="s">
        <v>22</v>
      </c>
      <c r="J3674" s="5" t="s">
        <v>63</v>
      </c>
      <c r="K3674" s="6">
        <v>0</v>
      </c>
      <c r="L3674" s="7">
        <v>0</v>
      </c>
      <c r="M3674" s="7">
        <v>0</v>
      </c>
      <c r="N3674" s="8">
        <v>0</v>
      </c>
      <c r="O3674" s="8">
        <v>0</v>
      </c>
      <c r="P3674" s="8">
        <v>0</v>
      </c>
      <c r="Q3674" s="8">
        <v>0</v>
      </c>
      <c r="R3674" s="8">
        <v>0</v>
      </c>
      <c r="S3674" s="8">
        <v>0</v>
      </c>
      <c r="T3674" s="5">
        <v>0</v>
      </c>
      <c r="U3674" s="5">
        <v>0</v>
      </c>
      <c r="V3674" s="5">
        <f>VLOOKUP(A3674,Planilha1!B:E,4,0)</f>
        <v>-1.9171310037550682</v>
      </c>
    </row>
    <row r="3675" spans="1:22" x14ac:dyDescent="0.3">
      <c r="A3675" t="str">
        <f t="shared" si="114"/>
        <v>QUEIJOSLACTALIS</v>
      </c>
      <c r="B3675" t="str">
        <f t="shared" si="115"/>
        <v>5288228QUEIJOSLACTALIS</v>
      </c>
      <c r="C3675" s="5" t="s">
        <v>226</v>
      </c>
      <c r="D3675" s="5" t="s">
        <v>227</v>
      </c>
      <c r="E3675" s="5" t="s">
        <v>1722</v>
      </c>
      <c r="F3675" s="5">
        <v>5288228</v>
      </c>
      <c r="G3675" s="5" t="s">
        <v>631</v>
      </c>
      <c r="H3675" s="5" t="s">
        <v>30</v>
      </c>
      <c r="I3675" s="5" t="s">
        <v>22</v>
      </c>
      <c r="J3675" s="5" t="s">
        <v>63</v>
      </c>
      <c r="K3675" s="6">
        <v>0</v>
      </c>
      <c r="L3675" s="7">
        <v>0</v>
      </c>
      <c r="M3675" s="7">
        <v>0</v>
      </c>
      <c r="N3675" s="8">
        <v>0</v>
      </c>
      <c r="O3675" s="8">
        <v>0</v>
      </c>
      <c r="P3675" s="8">
        <v>0</v>
      </c>
      <c r="Q3675" s="8">
        <v>0</v>
      </c>
      <c r="R3675" s="8">
        <v>0</v>
      </c>
      <c r="S3675" s="8">
        <v>0</v>
      </c>
      <c r="T3675" s="5">
        <v>0</v>
      </c>
      <c r="U3675" s="5">
        <v>0</v>
      </c>
      <c r="V3675" s="5">
        <f>VLOOKUP(A3675,Planilha1!B:E,4,0)</f>
        <v>-1.9171310037550682</v>
      </c>
    </row>
    <row r="3676" spans="1:22" x14ac:dyDescent="0.3">
      <c r="A3676" t="str">
        <f t="shared" si="114"/>
        <v>LEITE UHTLACTALIS</v>
      </c>
      <c r="B3676" t="str">
        <f t="shared" si="115"/>
        <v>5288872LEITE UHTLACTALIS</v>
      </c>
      <c r="C3676" s="5" t="s">
        <v>226</v>
      </c>
      <c r="D3676" s="5" t="s">
        <v>227</v>
      </c>
      <c r="E3676" s="5" t="s">
        <v>1722</v>
      </c>
      <c r="F3676" s="5">
        <v>5288872</v>
      </c>
      <c r="G3676" s="5" t="s">
        <v>1158</v>
      </c>
      <c r="H3676" s="5" t="s">
        <v>30</v>
      </c>
      <c r="I3676" s="5" t="s">
        <v>22</v>
      </c>
      <c r="J3676" s="5" t="s">
        <v>156</v>
      </c>
      <c r="K3676" s="6">
        <v>0</v>
      </c>
      <c r="L3676" s="7">
        <v>0</v>
      </c>
      <c r="M3676" s="7">
        <v>0</v>
      </c>
      <c r="N3676" s="8">
        <v>0</v>
      </c>
      <c r="O3676" s="8">
        <v>0</v>
      </c>
      <c r="P3676" s="8">
        <v>0</v>
      </c>
      <c r="Q3676" s="8">
        <v>0</v>
      </c>
      <c r="R3676" s="8">
        <v>0</v>
      </c>
      <c r="S3676" s="8">
        <v>0</v>
      </c>
      <c r="T3676" s="5">
        <v>0</v>
      </c>
      <c r="U3676" s="5">
        <v>0</v>
      </c>
      <c r="V3676" s="5">
        <f>VLOOKUP(A3676,Planilha1!B:E,4,0)</f>
        <v>0.37177548115779385</v>
      </c>
    </row>
    <row r="3677" spans="1:22" x14ac:dyDescent="0.3">
      <c r="A3677" t="str">
        <f t="shared" si="114"/>
        <v>PARMESÃOLACTALIS</v>
      </c>
      <c r="B3677" t="str">
        <f t="shared" si="115"/>
        <v>5289224PARMESÃOLACTALIS</v>
      </c>
      <c r="C3677" s="5" t="s">
        <v>226</v>
      </c>
      <c r="D3677" s="5" t="s">
        <v>227</v>
      </c>
      <c r="E3677" s="5" t="s">
        <v>1722</v>
      </c>
      <c r="F3677" s="5">
        <v>5289224</v>
      </c>
      <c r="G3677" s="5" t="s">
        <v>1491</v>
      </c>
      <c r="H3677" s="5" t="s">
        <v>30</v>
      </c>
      <c r="I3677" s="5" t="s">
        <v>22</v>
      </c>
      <c r="J3677" s="5" t="s">
        <v>195</v>
      </c>
      <c r="K3677" s="6">
        <v>0</v>
      </c>
      <c r="L3677" s="7">
        <v>0</v>
      </c>
      <c r="M3677" s="7">
        <v>0</v>
      </c>
      <c r="N3677" s="8">
        <v>0</v>
      </c>
      <c r="O3677" s="8">
        <v>0</v>
      </c>
      <c r="P3677" s="8">
        <v>0</v>
      </c>
      <c r="Q3677" s="8">
        <v>0</v>
      </c>
      <c r="R3677" s="8">
        <v>0</v>
      </c>
      <c r="S3677" s="8">
        <v>0</v>
      </c>
      <c r="T3677" s="5">
        <v>0</v>
      </c>
      <c r="U3677" s="5">
        <v>0</v>
      </c>
      <c r="V3677" s="5">
        <f>VLOOKUP(A3677,Planilha1!B:E,4,0)</f>
        <v>6.310326960724681</v>
      </c>
    </row>
    <row r="3678" spans="1:22" x14ac:dyDescent="0.3">
      <c r="A3678" t="str">
        <f t="shared" si="114"/>
        <v>LEITE UHTLACTALIS</v>
      </c>
      <c r="B3678" t="str">
        <f t="shared" si="115"/>
        <v>5289224LEITE UHTLACTALIS</v>
      </c>
      <c r="C3678" s="5" t="s">
        <v>226</v>
      </c>
      <c r="D3678" s="5" t="s">
        <v>227</v>
      </c>
      <c r="E3678" s="5" t="s">
        <v>1722</v>
      </c>
      <c r="F3678" s="5">
        <v>5289224</v>
      </c>
      <c r="G3678" s="5" t="s">
        <v>1491</v>
      </c>
      <c r="H3678" s="5" t="s">
        <v>30</v>
      </c>
      <c r="I3678" s="5" t="s">
        <v>22</v>
      </c>
      <c r="J3678" s="5" t="s">
        <v>156</v>
      </c>
      <c r="K3678" s="6">
        <v>0</v>
      </c>
      <c r="L3678" s="7">
        <v>0</v>
      </c>
      <c r="M3678" s="7">
        <v>0</v>
      </c>
      <c r="N3678" s="8">
        <v>0</v>
      </c>
      <c r="O3678" s="8">
        <v>0</v>
      </c>
      <c r="P3678" s="8">
        <v>0</v>
      </c>
      <c r="Q3678" s="8">
        <v>0</v>
      </c>
      <c r="R3678" s="8">
        <v>0</v>
      </c>
      <c r="S3678" s="8">
        <v>0</v>
      </c>
      <c r="T3678" s="5">
        <v>0</v>
      </c>
      <c r="U3678" s="5">
        <v>0</v>
      </c>
      <c r="V3678" s="5">
        <f>VLOOKUP(A3678,Planilha1!B:E,4,0)</f>
        <v>0.37177548115779385</v>
      </c>
    </row>
    <row r="3679" spans="1:22" x14ac:dyDescent="0.3">
      <c r="A3679" t="str">
        <f t="shared" si="114"/>
        <v>BLISTERLACTALIS</v>
      </c>
      <c r="B3679" t="str">
        <f t="shared" si="115"/>
        <v>5289224BLISTERLACTALIS</v>
      </c>
      <c r="C3679" s="5" t="s">
        <v>226</v>
      </c>
      <c r="D3679" s="5" t="s">
        <v>227</v>
      </c>
      <c r="E3679" s="5" t="s">
        <v>1722</v>
      </c>
      <c r="F3679" s="5">
        <v>5289224</v>
      </c>
      <c r="G3679" s="5" t="s">
        <v>1491</v>
      </c>
      <c r="H3679" s="5" t="s">
        <v>30</v>
      </c>
      <c r="I3679" s="5" t="s">
        <v>22</v>
      </c>
      <c r="J3679" s="5" t="s">
        <v>199</v>
      </c>
      <c r="K3679" s="6">
        <v>0</v>
      </c>
      <c r="L3679" s="7">
        <v>0</v>
      </c>
      <c r="M3679" s="7">
        <v>0</v>
      </c>
      <c r="N3679" s="8">
        <v>0</v>
      </c>
      <c r="O3679" s="8">
        <v>0</v>
      </c>
      <c r="P3679" s="8">
        <v>0</v>
      </c>
      <c r="Q3679" s="8">
        <v>0</v>
      </c>
      <c r="R3679" s="8">
        <v>0</v>
      </c>
      <c r="S3679" s="8">
        <v>0</v>
      </c>
      <c r="T3679" s="5">
        <v>0</v>
      </c>
      <c r="U3679" s="5">
        <v>0</v>
      </c>
      <c r="V3679" s="5">
        <f>VLOOKUP(A3679,Planilha1!B:E,4,0)</f>
        <v>13.783871706210666</v>
      </c>
    </row>
    <row r="3680" spans="1:22" x14ac:dyDescent="0.3">
      <c r="A3680" t="str">
        <f t="shared" si="114"/>
        <v>LEITE CONDENSADOLACTALIS</v>
      </c>
      <c r="B3680" t="str">
        <f t="shared" si="115"/>
        <v>5291033LEITE CONDENSADOLACTALIS</v>
      </c>
      <c r="C3680" s="5" t="s">
        <v>226</v>
      </c>
      <c r="D3680" s="5" t="s">
        <v>227</v>
      </c>
      <c r="E3680" s="5" t="s">
        <v>1722</v>
      </c>
      <c r="F3680" s="5">
        <v>5291033</v>
      </c>
      <c r="G3680" s="5" t="s">
        <v>634</v>
      </c>
      <c r="H3680" s="5" t="s">
        <v>30</v>
      </c>
      <c r="I3680" s="5" t="s">
        <v>22</v>
      </c>
      <c r="J3680" s="5" t="s">
        <v>33</v>
      </c>
      <c r="K3680" s="6">
        <v>0</v>
      </c>
      <c r="L3680" s="7">
        <v>0</v>
      </c>
      <c r="M3680" s="7">
        <v>0</v>
      </c>
      <c r="N3680" s="8">
        <v>0</v>
      </c>
      <c r="O3680" s="8">
        <v>0</v>
      </c>
      <c r="P3680" s="8">
        <v>0</v>
      </c>
      <c r="Q3680" s="8">
        <v>0</v>
      </c>
      <c r="R3680" s="8">
        <v>0</v>
      </c>
      <c r="S3680" s="8">
        <v>0</v>
      </c>
      <c r="T3680" s="5">
        <v>0</v>
      </c>
      <c r="U3680" s="5">
        <v>0</v>
      </c>
      <c r="V3680" s="5">
        <f>VLOOKUP(A3680,Planilha1!B:E,4,0)</f>
        <v>1.8665071822970765</v>
      </c>
    </row>
    <row r="3681" spans="1:22" x14ac:dyDescent="0.3">
      <c r="A3681" t="str">
        <f t="shared" si="114"/>
        <v>PARMESÃOLACTALIS</v>
      </c>
      <c r="B3681" t="str">
        <f t="shared" si="115"/>
        <v>5296842PARMESÃOLACTALIS</v>
      </c>
      <c r="C3681" s="5" t="s">
        <v>226</v>
      </c>
      <c r="D3681" s="5" t="s">
        <v>227</v>
      </c>
      <c r="E3681" s="5" t="s">
        <v>1722</v>
      </c>
      <c r="F3681" s="5">
        <v>5296842</v>
      </c>
      <c r="G3681" s="5" t="s">
        <v>463</v>
      </c>
      <c r="H3681" s="5" t="s">
        <v>30</v>
      </c>
      <c r="I3681" s="5" t="s">
        <v>22</v>
      </c>
      <c r="J3681" s="5" t="s">
        <v>195</v>
      </c>
      <c r="K3681" s="6">
        <v>0</v>
      </c>
      <c r="L3681" s="7">
        <v>0</v>
      </c>
      <c r="M3681" s="7">
        <v>0</v>
      </c>
      <c r="N3681" s="8">
        <v>0</v>
      </c>
      <c r="O3681" s="8">
        <v>0</v>
      </c>
      <c r="P3681" s="8">
        <v>0</v>
      </c>
      <c r="Q3681" s="8">
        <v>0</v>
      </c>
      <c r="R3681" s="8">
        <v>0</v>
      </c>
      <c r="S3681" s="8">
        <v>0</v>
      </c>
      <c r="T3681" s="5">
        <v>0</v>
      </c>
      <c r="U3681" s="5">
        <v>0</v>
      </c>
      <c r="V3681" s="5">
        <f>VLOOKUP(A3681,Planilha1!B:E,4,0)</f>
        <v>6.310326960724681</v>
      </c>
    </row>
    <row r="3682" spans="1:22" x14ac:dyDescent="0.3">
      <c r="A3682" t="str">
        <f t="shared" si="114"/>
        <v>LEITE CONDENSADOLACTALIS</v>
      </c>
      <c r="B3682" t="str">
        <f t="shared" si="115"/>
        <v>5311595LEITE CONDENSADOLACTALIS</v>
      </c>
      <c r="C3682" s="5" t="s">
        <v>226</v>
      </c>
      <c r="D3682" s="5" t="s">
        <v>227</v>
      </c>
      <c r="E3682" s="5" t="s">
        <v>1722</v>
      </c>
      <c r="F3682" s="5">
        <v>5311595</v>
      </c>
      <c r="G3682" s="5" t="s">
        <v>414</v>
      </c>
      <c r="H3682" s="5" t="s">
        <v>30</v>
      </c>
      <c r="I3682" s="5" t="s">
        <v>22</v>
      </c>
      <c r="J3682" s="5" t="s">
        <v>33</v>
      </c>
      <c r="K3682" s="6">
        <v>0</v>
      </c>
      <c r="L3682" s="7">
        <v>0</v>
      </c>
      <c r="M3682" s="7">
        <v>0</v>
      </c>
      <c r="N3682" s="8">
        <v>0</v>
      </c>
      <c r="O3682" s="8">
        <v>0</v>
      </c>
      <c r="P3682" s="8">
        <v>0</v>
      </c>
      <c r="Q3682" s="8">
        <v>0</v>
      </c>
      <c r="R3682" s="8">
        <v>0</v>
      </c>
      <c r="S3682" s="8">
        <v>0</v>
      </c>
      <c r="T3682" s="5">
        <v>0</v>
      </c>
      <c r="U3682" s="5">
        <v>0</v>
      </c>
      <c r="V3682" s="5">
        <f>VLOOKUP(A3682,Planilha1!B:E,4,0)</f>
        <v>1.8665071822970765</v>
      </c>
    </row>
    <row r="3683" spans="1:22" x14ac:dyDescent="0.3">
      <c r="A3683" t="str">
        <f t="shared" si="114"/>
        <v>LEITE EM PÓLACTALIS</v>
      </c>
      <c r="B3683" t="str">
        <f t="shared" si="115"/>
        <v>5301094LEITE EM PÓLACTALIS</v>
      </c>
      <c r="C3683" s="5" t="s">
        <v>149</v>
      </c>
      <c r="D3683" s="5" t="s">
        <v>150</v>
      </c>
      <c r="E3683" s="5" t="s">
        <v>151</v>
      </c>
      <c r="F3683" s="5">
        <v>5301094</v>
      </c>
      <c r="G3683" s="5" t="s">
        <v>1494</v>
      </c>
      <c r="H3683" s="5" t="s">
        <v>30</v>
      </c>
      <c r="I3683" s="5" t="s">
        <v>22</v>
      </c>
      <c r="J3683" s="5" t="s">
        <v>84</v>
      </c>
      <c r="K3683" s="6">
        <v>0</v>
      </c>
      <c r="L3683" s="7">
        <v>0</v>
      </c>
      <c r="M3683" s="7">
        <v>0</v>
      </c>
      <c r="N3683" s="8">
        <v>0</v>
      </c>
      <c r="O3683" s="8">
        <v>0</v>
      </c>
      <c r="P3683" s="8">
        <v>0</v>
      </c>
      <c r="Q3683" s="8">
        <v>0</v>
      </c>
      <c r="R3683" s="8">
        <v>0</v>
      </c>
      <c r="S3683" s="8">
        <v>0</v>
      </c>
      <c r="T3683" s="5">
        <v>0</v>
      </c>
      <c r="U3683" s="5">
        <v>0</v>
      </c>
      <c r="V3683" s="5">
        <f>VLOOKUP(A3683,Planilha1!B:E,4,0)</f>
        <v>-2.8055507108797499</v>
      </c>
    </row>
    <row r="3684" spans="1:22" x14ac:dyDescent="0.3">
      <c r="A3684" t="str">
        <f t="shared" si="114"/>
        <v>SPREADSLACTALIS</v>
      </c>
      <c r="B3684" t="str">
        <f t="shared" si="115"/>
        <v>5318686SPREADSLACTALIS</v>
      </c>
      <c r="C3684" s="5" t="s">
        <v>226</v>
      </c>
      <c r="D3684" s="5" t="s">
        <v>227</v>
      </c>
      <c r="E3684" s="5" t="s">
        <v>1722</v>
      </c>
      <c r="F3684" s="5">
        <v>5318686</v>
      </c>
      <c r="G3684" s="5" t="s">
        <v>1140</v>
      </c>
      <c r="H3684" s="5" t="s">
        <v>30</v>
      </c>
      <c r="I3684" s="5" t="s">
        <v>22</v>
      </c>
      <c r="J3684" s="5" t="s">
        <v>945</v>
      </c>
      <c r="K3684" s="6">
        <v>0</v>
      </c>
      <c r="L3684" s="7">
        <v>0</v>
      </c>
      <c r="M3684" s="7">
        <v>0</v>
      </c>
      <c r="N3684" s="8">
        <v>0</v>
      </c>
      <c r="O3684" s="8">
        <v>0</v>
      </c>
      <c r="P3684" s="8">
        <v>0</v>
      </c>
      <c r="Q3684" s="8">
        <v>0</v>
      </c>
      <c r="R3684" s="8">
        <v>0</v>
      </c>
      <c r="S3684" s="8">
        <v>0</v>
      </c>
      <c r="T3684" s="5">
        <v>0</v>
      </c>
      <c r="U3684" s="5">
        <v>0</v>
      </c>
      <c r="V3684" s="5">
        <f>VLOOKUP(A3684,Planilha1!B:E,4,0)</f>
        <v>13.599044988219518</v>
      </c>
    </row>
    <row r="3685" spans="1:22" x14ac:dyDescent="0.3">
      <c r="A3685" t="str">
        <f t="shared" si="114"/>
        <v>QUEIJOSLACTALIS</v>
      </c>
      <c r="B3685" t="str">
        <f t="shared" si="115"/>
        <v>5312815QUEIJOSLACTALIS</v>
      </c>
      <c r="C3685" s="5" t="s">
        <v>226</v>
      </c>
      <c r="D3685" s="5" t="s">
        <v>227</v>
      </c>
      <c r="E3685" s="5" t="s">
        <v>1722</v>
      </c>
      <c r="F3685" s="5">
        <v>5312815</v>
      </c>
      <c r="G3685" s="5" t="s">
        <v>466</v>
      </c>
      <c r="H3685" s="5" t="s">
        <v>30</v>
      </c>
      <c r="I3685" s="5" t="s">
        <v>22</v>
      </c>
      <c r="J3685" s="5" t="s">
        <v>63</v>
      </c>
      <c r="K3685" s="6">
        <v>0</v>
      </c>
      <c r="L3685" s="7">
        <v>0</v>
      </c>
      <c r="M3685" s="7">
        <v>0</v>
      </c>
      <c r="N3685" s="8">
        <v>0</v>
      </c>
      <c r="O3685" s="8">
        <v>0</v>
      </c>
      <c r="P3685" s="8">
        <v>0</v>
      </c>
      <c r="Q3685" s="8">
        <v>0</v>
      </c>
      <c r="R3685" s="8">
        <v>0</v>
      </c>
      <c r="S3685" s="8">
        <v>0</v>
      </c>
      <c r="T3685" s="5">
        <v>0</v>
      </c>
      <c r="U3685" s="5">
        <v>0</v>
      </c>
      <c r="V3685" s="5">
        <f>VLOOKUP(A3685,Planilha1!B:E,4,0)</f>
        <v>-1.9171310037550682</v>
      </c>
    </row>
    <row r="3686" spans="1:22" x14ac:dyDescent="0.3">
      <c r="A3686" t="str">
        <f t="shared" si="114"/>
        <v>IOGURTESLACTALIS</v>
      </c>
      <c r="B3686" t="str">
        <f t="shared" si="115"/>
        <v>5315266IOGURTESLACTALIS</v>
      </c>
      <c r="C3686" s="5" t="s">
        <v>226</v>
      </c>
      <c r="D3686" s="5" t="s">
        <v>227</v>
      </c>
      <c r="E3686" s="5" t="s">
        <v>1722</v>
      </c>
      <c r="F3686" s="5">
        <v>5315266</v>
      </c>
      <c r="G3686" s="5" t="s">
        <v>468</v>
      </c>
      <c r="H3686" s="5" t="s">
        <v>30</v>
      </c>
      <c r="I3686" s="5" t="s">
        <v>22</v>
      </c>
      <c r="J3686" s="5" t="s">
        <v>153</v>
      </c>
      <c r="K3686" s="6">
        <v>0</v>
      </c>
      <c r="L3686" s="7">
        <v>0</v>
      </c>
      <c r="M3686" s="7">
        <v>0</v>
      </c>
      <c r="N3686" s="8">
        <v>0</v>
      </c>
      <c r="O3686" s="8">
        <v>0</v>
      </c>
      <c r="P3686" s="8">
        <v>0</v>
      </c>
      <c r="Q3686" s="8">
        <v>0</v>
      </c>
      <c r="R3686" s="8">
        <v>0</v>
      </c>
      <c r="S3686" s="8">
        <v>0</v>
      </c>
      <c r="T3686" s="5">
        <v>0</v>
      </c>
      <c r="U3686" s="5">
        <v>0</v>
      </c>
      <c r="V3686" s="5">
        <f>VLOOKUP(A3686,Planilha1!B:E,4,0)</f>
        <v>3.0503167986984403</v>
      </c>
    </row>
    <row r="3687" spans="1:22" x14ac:dyDescent="0.3">
      <c r="A3687" t="str">
        <f t="shared" si="114"/>
        <v>PARMESÃOLACTALIS</v>
      </c>
      <c r="B3687" t="str">
        <f t="shared" si="115"/>
        <v>5316251PARMESÃOLACTALIS</v>
      </c>
      <c r="C3687" s="5" t="s">
        <v>226</v>
      </c>
      <c r="D3687" s="5" t="s">
        <v>227</v>
      </c>
      <c r="E3687" s="5" t="s">
        <v>1722</v>
      </c>
      <c r="F3687" s="5">
        <v>5316251</v>
      </c>
      <c r="G3687" s="5" t="s">
        <v>470</v>
      </c>
      <c r="H3687" s="5" t="s">
        <v>30</v>
      </c>
      <c r="I3687" s="5" t="s">
        <v>22</v>
      </c>
      <c r="J3687" s="5" t="s">
        <v>195</v>
      </c>
      <c r="K3687" s="6">
        <v>0</v>
      </c>
      <c r="L3687" s="7">
        <v>0</v>
      </c>
      <c r="M3687" s="7">
        <v>0</v>
      </c>
      <c r="N3687" s="8">
        <v>0</v>
      </c>
      <c r="O3687" s="8">
        <v>0</v>
      </c>
      <c r="P3687" s="8">
        <v>0</v>
      </c>
      <c r="Q3687" s="8">
        <v>0</v>
      </c>
      <c r="R3687" s="8">
        <v>0</v>
      </c>
      <c r="S3687" s="8">
        <v>0</v>
      </c>
      <c r="T3687" s="5">
        <v>0</v>
      </c>
      <c r="U3687" s="5">
        <v>0</v>
      </c>
      <c r="V3687" s="5">
        <f>VLOOKUP(A3687,Planilha1!B:E,4,0)</f>
        <v>6.310326960724681</v>
      </c>
    </row>
    <row r="3688" spans="1:22" x14ac:dyDescent="0.3">
      <c r="A3688" t="str">
        <f t="shared" si="114"/>
        <v>MANTEIGA 5KGLACTALIS</v>
      </c>
      <c r="B3688" t="str">
        <f t="shared" si="115"/>
        <v>5316901MANTEIGA 5KGLACTALIS</v>
      </c>
      <c r="C3688" s="5" t="s">
        <v>226</v>
      </c>
      <c r="D3688" s="5" t="s">
        <v>227</v>
      </c>
      <c r="E3688" s="5" t="s">
        <v>1722</v>
      </c>
      <c r="F3688" s="5">
        <v>5316901</v>
      </c>
      <c r="G3688" s="5" t="s">
        <v>655</v>
      </c>
      <c r="H3688" s="5" t="s">
        <v>30</v>
      </c>
      <c r="I3688" s="5" t="s">
        <v>22</v>
      </c>
      <c r="J3688" s="5" t="s">
        <v>60</v>
      </c>
      <c r="K3688" s="6">
        <v>0</v>
      </c>
      <c r="L3688" s="7">
        <v>0</v>
      </c>
      <c r="M3688" s="7">
        <v>0</v>
      </c>
      <c r="N3688" s="8">
        <v>0</v>
      </c>
      <c r="O3688" s="8">
        <v>0</v>
      </c>
      <c r="P3688" s="8">
        <v>0</v>
      </c>
      <c r="Q3688" s="8">
        <v>0</v>
      </c>
      <c r="R3688" s="8">
        <v>0</v>
      </c>
      <c r="S3688" s="8">
        <v>0</v>
      </c>
      <c r="T3688" s="5">
        <v>0</v>
      </c>
      <c r="U3688" s="5">
        <v>0</v>
      </c>
      <c r="V3688" s="5">
        <f>VLOOKUP(A3688,Planilha1!B:E,4,0)</f>
        <v>11.476197020267191</v>
      </c>
    </row>
    <row r="3689" spans="1:22" x14ac:dyDescent="0.3">
      <c r="A3689" t="str">
        <f t="shared" si="114"/>
        <v>LEITE UHTLACTALIS</v>
      </c>
      <c r="B3689" t="str">
        <f t="shared" si="115"/>
        <v>5316970LEITE UHTLACTALIS</v>
      </c>
      <c r="C3689" s="5" t="s">
        <v>226</v>
      </c>
      <c r="D3689" s="5" t="s">
        <v>227</v>
      </c>
      <c r="E3689" s="5" t="s">
        <v>1722</v>
      </c>
      <c r="F3689" s="5">
        <v>5316970</v>
      </c>
      <c r="G3689" s="5" t="s">
        <v>1139</v>
      </c>
      <c r="H3689" s="5" t="s">
        <v>30</v>
      </c>
      <c r="I3689" s="5" t="s">
        <v>22</v>
      </c>
      <c r="J3689" s="5" t="s">
        <v>156</v>
      </c>
      <c r="K3689" s="6">
        <v>0</v>
      </c>
      <c r="L3689" s="7">
        <v>0</v>
      </c>
      <c r="M3689" s="7">
        <v>0</v>
      </c>
      <c r="N3689" s="8">
        <v>0</v>
      </c>
      <c r="O3689" s="8">
        <v>0</v>
      </c>
      <c r="P3689" s="8">
        <v>0</v>
      </c>
      <c r="Q3689" s="8">
        <v>0</v>
      </c>
      <c r="R3689" s="8">
        <v>0</v>
      </c>
      <c r="S3689" s="8">
        <v>0</v>
      </c>
      <c r="T3689" s="5">
        <v>0</v>
      </c>
      <c r="U3689" s="5">
        <v>0</v>
      </c>
      <c r="V3689" s="5">
        <f>VLOOKUP(A3689,Planilha1!B:E,4,0)</f>
        <v>0.37177548115779385</v>
      </c>
    </row>
    <row r="3690" spans="1:22" x14ac:dyDescent="0.3">
      <c r="A3690" t="str">
        <f t="shared" si="114"/>
        <v>IOGURTESLACTALIS</v>
      </c>
      <c r="B3690" t="str">
        <f t="shared" si="115"/>
        <v>5318686IOGURTESLACTALIS</v>
      </c>
      <c r="C3690" s="5" t="s">
        <v>226</v>
      </c>
      <c r="D3690" s="5" t="s">
        <v>227</v>
      </c>
      <c r="E3690" s="5" t="s">
        <v>1722</v>
      </c>
      <c r="F3690" s="5">
        <v>5318686</v>
      </c>
      <c r="G3690" s="5" t="s">
        <v>1140</v>
      </c>
      <c r="H3690" s="5" t="s">
        <v>30</v>
      </c>
      <c r="I3690" s="5" t="s">
        <v>22</v>
      </c>
      <c r="J3690" s="5" t="s">
        <v>153</v>
      </c>
      <c r="K3690" s="6">
        <v>0</v>
      </c>
      <c r="L3690" s="7">
        <v>0</v>
      </c>
      <c r="M3690" s="7">
        <v>0</v>
      </c>
      <c r="N3690" s="8">
        <v>0</v>
      </c>
      <c r="O3690" s="8">
        <v>0</v>
      </c>
      <c r="P3690" s="8">
        <v>0</v>
      </c>
      <c r="Q3690" s="8">
        <v>18.240000000000002</v>
      </c>
      <c r="R3690" s="8">
        <v>0</v>
      </c>
      <c r="S3690" s="8">
        <v>0</v>
      </c>
      <c r="T3690" s="5">
        <v>0</v>
      </c>
      <c r="U3690" s="5">
        <v>0</v>
      </c>
      <c r="V3690" s="5">
        <f>VLOOKUP(A3690,Planilha1!B:E,4,0)</f>
        <v>3.0503167986984403</v>
      </c>
    </row>
    <row r="3691" spans="1:22" x14ac:dyDescent="0.3">
      <c r="A3691" t="str">
        <f t="shared" si="114"/>
        <v>LEITE EM PÓITAMBÉ</v>
      </c>
      <c r="B3691" t="str">
        <f t="shared" si="115"/>
        <v>5332247LEITE EM PÓITAMBÉ</v>
      </c>
      <c r="C3691" s="5" t="s">
        <v>226</v>
      </c>
      <c r="D3691" s="5" t="s">
        <v>833</v>
      </c>
      <c r="E3691" s="5" t="s">
        <v>875</v>
      </c>
      <c r="F3691" s="5">
        <v>5332247</v>
      </c>
      <c r="G3691" s="5" t="s">
        <v>892</v>
      </c>
      <c r="H3691" s="5" t="s">
        <v>91</v>
      </c>
      <c r="I3691" s="5" t="s">
        <v>27</v>
      </c>
      <c r="J3691" s="5" t="s">
        <v>84</v>
      </c>
      <c r="K3691" s="6">
        <v>0</v>
      </c>
      <c r="L3691" s="7">
        <v>0</v>
      </c>
      <c r="M3691" s="7">
        <v>0</v>
      </c>
      <c r="N3691" s="8">
        <v>0</v>
      </c>
      <c r="O3691" s="8">
        <v>25.994769944615069</v>
      </c>
      <c r="P3691" s="8">
        <v>0</v>
      </c>
      <c r="Q3691" s="8">
        <v>0</v>
      </c>
      <c r="R3691" s="8">
        <v>0</v>
      </c>
      <c r="S3691" s="8">
        <v>0</v>
      </c>
      <c r="T3691" s="5">
        <v>0</v>
      </c>
      <c r="U3691" s="5">
        <v>0</v>
      </c>
      <c r="V3691" s="5">
        <f>VLOOKUP(A3691,Planilha1!B:E,4,0)</f>
        <v>4.5971522734997743</v>
      </c>
    </row>
    <row r="3692" spans="1:22" x14ac:dyDescent="0.3">
      <c r="A3692" t="str">
        <f t="shared" si="114"/>
        <v>IOGURTESITAMBÉ</v>
      </c>
      <c r="B3692" t="str">
        <f t="shared" si="115"/>
        <v>5346063IOGURTESITAMBÉ</v>
      </c>
      <c r="C3692" s="5" t="s">
        <v>226</v>
      </c>
      <c r="D3692" s="5" t="s">
        <v>752</v>
      </c>
      <c r="E3692" s="5" t="s">
        <v>767</v>
      </c>
      <c r="F3692" s="5">
        <v>5346063</v>
      </c>
      <c r="G3692" s="5" t="s">
        <v>773</v>
      </c>
      <c r="H3692" s="5" t="s">
        <v>154</v>
      </c>
      <c r="I3692" s="5" t="s">
        <v>27</v>
      </c>
      <c r="J3692" s="5" t="s">
        <v>153</v>
      </c>
      <c r="K3692" s="6">
        <v>0</v>
      </c>
      <c r="L3692" s="7">
        <v>0</v>
      </c>
      <c r="M3692" s="7">
        <v>0</v>
      </c>
      <c r="N3692" s="8">
        <v>0</v>
      </c>
      <c r="O3692" s="8">
        <v>45.990746825088195</v>
      </c>
      <c r="P3692" s="8">
        <v>0</v>
      </c>
      <c r="Q3692" s="8">
        <v>0</v>
      </c>
      <c r="R3692" s="8">
        <v>0</v>
      </c>
      <c r="S3692" s="8">
        <v>0</v>
      </c>
      <c r="T3692" s="5">
        <v>0</v>
      </c>
      <c r="U3692" s="5">
        <v>0</v>
      </c>
      <c r="V3692" s="5">
        <f>VLOOKUP(A3692,Planilha1!B:E,4,0)</f>
        <v>3.2554443184120534</v>
      </c>
    </row>
    <row r="3693" spans="1:22" x14ac:dyDescent="0.3">
      <c r="A3693" t="str">
        <f t="shared" si="114"/>
        <v>LEITE UHTLACTALIS</v>
      </c>
      <c r="B3693" t="str">
        <f t="shared" si="115"/>
        <v>5320673LEITE UHTLACTALIS</v>
      </c>
      <c r="C3693" s="5" t="s">
        <v>226</v>
      </c>
      <c r="D3693" s="5" t="s">
        <v>227</v>
      </c>
      <c r="E3693" s="5" t="s">
        <v>1722</v>
      </c>
      <c r="F3693" s="5">
        <v>5320673</v>
      </c>
      <c r="G3693" s="5" t="s">
        <v>1499</v>
      </c>
      <c r="H3693" s="5" t="s">
        <v>30</v>
      </c>
      <c r="I3693" s="5" t="s">
        <v>22</v>
      </c>
      <c r="J3693" s="5" t="s">
        <v>156</v>
      </c>
      <c r="K3693" s="6">
        <v>0</v>
      </c>
      <c r="L3693" s="7">
        <v>0</v>
      </c>
      <c r="M3693" s="7">
        <v>0</v>
      </c>
      <c r="N3693" s="8">
        <v>0</v>
      </c>
      <c r="O3693" s="8">
        <v>0</v>
      </c>
      <c r="P3693" s="8">
        <v>0</v>
      </c>
      <c r="Q3693" s="8">
        <v>0</v>
      </c>
      <c r="R3693" s="8">
        <v>0</v>
      </c>
      <c r="S3693" s="8">
        <v>0</v>
      </c>
      <c r="T3693" s="5">
        <v>0</v>
      </c>
      <c r="U3693" s="5">
        <v>0</v>
      </c>
      <c r="V3693" s="5">
        <f>VLOOKUP(A3693,Planilha1!B:E,4,0)</f>
        <v>0.37177548115779385</v>
      </c>
    </row>
    <row r="3694" spans="1:22" x14ac:dyDescent="0.3">
      <c r="A3694" t="str">
        <f t="shared" si="114"/>
        <v>QUEIJOSLACTALIS</v>
      </c>
      <c r="B3694" t="str">
        <f t="shared" si="115"/>
        <v>5326433QUEIJOSLACTALIS</v>
      </c>
      <c r="C3694" s="5" t="s">
        <v>226</v>
      </c>
      <c r="D3694" s="5" t="s">
        <v>227</v>
      </c>
      <c r="E3694" s="5" t="s">
        <v>1722</v>
      </c>
      <c r="F3694" s="5">
        <v>5326433</v>
      </c>
      <c r="G3694" s="5" t="s">
        <v>346</v>
      </c>
      <c r="H3694" s="5" t="s">
        <v>30</v>
      </c>
      <c r="I3694" s="5" t="s">
        <v>22</v>
      </c>
      <c r="J3694" s="5" t="s">
        <v>63</v>
      </c>
      <c r="K3694" s="6">
        <v>0</v>
      </c>
      <c r="L3694" s="7">
        <v>0</v>
      </c>
      <c r="M3694" s="7">
        <v>0</v>
      </c>
      <c r="N3694" s="8">
        <v>0</v>
      </c>
      <c r="O3694" s="8">
        <v>0</v>
      </c>
      <c r="P3694" s="8">
        <v>0</v>
      </c>
      <c r="Q3694" s="8">
        <v>0</v>
      </c>
      <c r="R3694" s="8">
        <v>0</v>
      </c>
      <c r="S3694" s="8">
        <v>0</v>
      </c>
      <c r="T3694" s="5">
        <v>0</v>
      </c>
      <c r="U3694" s="5">
        <v>0</v>
      </c>
      <c r="V3694" s="5">
        <f>VLOOKUP(A3694,Planilha1!B:E,4,0)</f>
        <v>-1.9171310037550682</v>
      </c>
    </row>
    <row r="3695" spans="1:22" x14ac:dyDescent="0.3">
      <c r="A3695" t="str">
        <f t="shared" si="114"/>
        <v>QUEIJOSLACTALIS</v>
      </c>
      <c r="B3695" t="str">
        <f t="shared" si="115"/>
        <v>5327252QUEIJOSLACTALIS</v>
      </c>
      <c r="C3695" s="5" t="s">
        <v>226</v>
      </c>
      <c r="D3695" s="5" t="s">
        <v>227</v>
      </c>
      <c r="E3695" s="5" t="s">
        <v>1722</v>
      </c>
      <c r="F3695" s="5">
        <v>5327252</v>
      </c>
      <c r="G3695" s="5" t="s">
        <v>661</v>
      </c>
      <c r="H3695" s="5" t="s">
        <v>30</v>
      </c>
      <c r="I3695" s="5" t="s">
        <v>22</v>
      </c>
      <c r="J3695" s="5" t="s">
        <v>63</v>
      </c>
      <c r="K3695" s="6">
        <v>0</v>
      </c>
      <c r="L3695" s="7">
        <v>0</v>
      </c>
      <c r="M3695" s="7">
        <v>0</v>
      </c>
      <c r="N3695" s="8">
        <v>0</v>
      </c>
      <c r="O3695" s="8">
        <v>0</v>
      </c>
      <c r="P3695" s="8">
        <v>0</v>
      </c>
      <c r="Q3695" s="8">
        <v>0</v>
      </c>
      <c r="R3695" s="8">
        <v>0</v>
      </c>
      <c r="S3695" s="8">
        <v>0</v>
      </c>
      <c r="T3695" s="5">
        <v>0</v>
      </c>
      <c r="U3695" s="5">
        <v>0</v>
      </c>
      <c r="V3695" s="5">
        <f>VLOOKUP(A3695,Planilha1!B:E,4,0)</f>
        <v>-1.9171310037550682</v>
      </c>
    </row>
    <row r="3696" spans="1:22" x14ac:dyDescent="0.3">
      <c r="A3696" t="str">
        <f t="shared" si="114"/>
        <v>LEITE UHTLACTALIS</v>
      </c>
      <c r="B3696" t="str">
        <f t="shared" si="115"/>
        <v>5331644LEITE UHTLACTALIS</v>
      </c>
      <c r="C3696" s="5" t="s">
        <v>226</v>
      </c>
      <c r="D3696" s="5" t="s">
        <v>227</v>
      </c>
      <c r="E3696" s="5" t="s">
        <v>1722</v>
      </c>
      <c r="F3696" s="5">
        <v>5331644</v>
      </c>
      <c r="G3696" s="5" t="s">
        <v>595</v>
      </c>
      <c r="H3696" s="5" t="s">
        <v>30</v>
      </c>
      <c r="I3696" s="5" t="s">
        <v>22</v>
      </c>
      <c r="J3696" s="5" t="s">
        <v>156</v>
      </c>
      <c r="K3696" s="6">
        <v>0</v>
      </c>
      <c r="L3696" s="7">
        <v>0</v>
      </c>
      <c r="M3696" s="7">
        <v>0</v>
      </c>
      <c r="N3696" s="8">
        <v>0</v>
      </c>
      <c r="O3696" s="8">
        <v>0</v>
      </c>
      <c r="P3696" s="8">
        <v>0</v>
      </c>
      <c r="Q3696" s="8">
        <v>0</v>
      </c>
      <c r="R3696" s="8">
        <v>0</v>
      </c>
      <c r="S3696" s="8">
        <v>0</v>
      </c>
      <c r="T3696" s="5">
        <v>0</v>
      </c>
      <c r="U3696" s="5">
        <v>0</v>
      </c>
      <c r="V3696" s="5">
        <f>VLOOKUP(A3696,Planilha1!B:E,4,0)</f>
        <v>0.37177548115779385</v>
      </c>
    </row>
    <row r="3697" spans="1:22" x14ac:dyDescent="0.3">
      <c r="A3697" t="str">
        <f t="shared" si="114"/>
        <v>CREME UHTLACTALIS</v>
      </c>
      <c r="B3697" t="str">
        <f t="shared" si="115"/>
        <v>5331926CREME UHTLACTALIS</v>
      </c>
      <c r="C3697" s="5" t="s">
        <v>226</v>
      </c>
      <c r="D3697" s="5" t="s">
        <v>227</v>
      </c>
      <c r="E3697" s="5" t="s">
        <v>1722</v>
      </c>
      <c r="F3697" s="5">
        <v>5331926</v>
      </c>
      <c r="G3697" s="5" t="s">
        <v>1574</v>
      </c>
      <c r="H3697" s="5" t="s">
        <v>30</v>
      </c>
      <c r="I3697" s="5" t="s">
        <v>22</v>
      </c>
      <c r="J3697" s="5" t="s">
        <v>34</v>
      </c>
      <c r="K3697" s="6">
        <v>0</v>
      </c>
      <c r="L3697" s="7">
        <v>0</v>
      </c>
      <c r="M3697" s="7">
        <v>0</v>
      </c>
      <c r="N3697" s="8">
        <v>0</v>
      </c>
      <c r="O3697" s="8">
        <v>0</v>
      </c>
      <c r="P3697" s="8">
        <v>0</v>
      </c>
      <c r="Q3697" s="8">
        <v>0</v>
      </c>
      <c r="R3697" s="8">
        <v>0</v>
      </c>
      <c r="S3697" s="8">
        <v>0</v>
      </c>
      <c r="T3697" s="5">
        <v>0</v>
      </c>
      <c r="U3697" s="5">
        <v>0</v>
      </c>
      <c r="V3697" s="5">
        <f>VLOOKUP(A3697,Planilha1!B:E,4,0)</f>
        <v>-1.4094522863012933</v>
      </c>
    </row>
    <row r="3698" spans="1:22" x14ac:dyDescent="0.3">
      <c r="A3698" t="str">
        <f t="shared" si="114"/>
        <v>QUEIJOSLACTALIS</v>
      </c>
      <c r="B3698" t="str">
        <f t="shared" si="115"/>
        <v>5331926QUEIJOSLACTALIS</v>
      </c>
      <c r="C3698" s="5" t="s">
        <v>226</v>
      </c>
      <c r="D3698" s="5" t="s">
        <v>227</v>
      </c>
      <c r="E3698" s="5" t="s">
        <v>1722</v>
      </c>
      <c r="F3698" s="5">
        <v>5331926</v>
      </c>
      <c r="G3698" s="5" t="s">
        <v>1574</v>
      </c>
      <c r="H3698" s="5" t="s">
        <v>30</v>
      </c>
      <c r="I3698" s="5" t="s">
        <v>22</v>
      </c>
      <c r="J3698" s="5" t="s">
        <v>63</v>
      </c>
      <c r="K3698" s="6">
        <v>0</v>
      </c>
      <c r="L3698" s="7">
        <v>0</v>
      </c>
      <c r="M3698" s="7">
        <v>0</v>
      </c>
      <c r="N3698" s="8">
        <v>0</v>
      </c>
      <c r="O3698" s="8">
        <v>0</v>
      </c>
      <c r="P3698" s="8">
        <v>0</v>
      </c>
      <c r="Q3698" s="8">
        <v>0</v>
      </c>
      <c r="R3698" s="8">
        <v>0</v>
      </c>
      <c r="S3698" s="8">
        <v>0</v>
      </c>
      <c r="T3698" s="5">
        <v>0</v>
      </c>
      <c r="U3698" s="5">
        <v>0</v>
      </c>
      <c r="V3698" s="5">
        <f>VLOOKUP(A3698,Planilha1!B:E,4,0)</f>
        <v>-1.9171310037550682</v>
      </c>
    </row>
    <row r="3699" spans="1:22" x14ac:dyDescent="0.3">
      <c r="A3699" t="str">
        <f t="shared" si="114"/>
        <v>PARMESÃOLACTALIS</v>
      </c>
      <c r="B3699" t="str">
        <f t="shared" si="115"/>
        <v>5334288PARMESÃOLACTALIS</v>
      </c>
      <c r="C3699" s="5" t="s">
        <v>226</v>
      </c>
      <c r="D3699" s="5" t="s">
        <v>227</v>
      </c>
      <c r="E3699" s="5" t="s">
        <v>1722</v>
      </c>
      <c r="F3699" s="5">
        <v>5334288</v>
      </c>
      <c r="G3699" s="5" t="s">
        <v>1192</v>
      </c>
      <c r="H3699" s="5" t="s">
        <v>30</v>
      </c>
      <c r="I3699" s="5" t="s">
        <v>22</v>
      </c>
      <c r="J3699" s="5" t="s">
        <v>195</v>
      </c>
      <c r="K3699" s="6">
        <v>0</v>
      </c>
      <c r="L3699" s="7">
        <v>0</v>
      </c>
      <c r="M3699" s="7">
        <v>0</v>
      </c>
      <c r="N3699" s="8">
        <v>0</v>
      </c>
      <c r="O3699" s="8">
        <v>0</v>
      </c>
      <c r="P3699" s="8">
        <v>0</v>
      </c>
      <c r="Q3699" s="8">
        <v>0</v>
      </c>
      <c r="R3699" s="8">
        <v>0</v>
      </c>
      <c r="S3699" s="8">
        <v>0</v>
      </c>
      <c r="T3699" s="5">
        <v>0</v>
      </c>
      <c r="U3699" s="5">
        <v>0</v>
      </c>
      <c r="V3699" s="5">
        <f>VLOOKUP(A3699,Planilha1!B:E,4,0)</f>
        <v>6.310326960724681</v>
      </c>
    </row>
    <row r="3700" spans="1:22" x14ac:dyDescent="0.3">
      <c r="A3700" t="str">
        <f t="shared" si="114"/>
        <v>CREME UHTLACTALIS</v>
      </c>
      <c r="B3700" t="str">
        <f t="shared" si="115"/>
        <v>5334685CREME UHTLACTALIS</v>
      </c>
      <c r="C3700" s="5" t="s">
        <v>226</v>
      </c>
      <c r="D3700" s="5" t="s">
        <v>227</v>
      </c>
      <c r="E3700" s="5" t="s">
        <v>1722</v>
      </c>
      <c r="F3700" s="5">
        <v>5334685</v>
      </c>
      <c r="G3700" s="5" t="s">
        <v>1362</v>
      </c>
      <c r="H3700" s="5" t="s">
        <v>30</v>
      </c>
      <c r="I3700" s="5" t="s">
        <v>22</v>
      </c>
      <c r="J3700" s="5" t="s">
        <v>34</v>
      </c>
      <c r="K3700" s="6">
        <v>0</v>
      </c>
      <c r="L3700" s="7">
        <v>0</v>
      </c>
      <c r="M3700" s="7">
        <v>0</v>
      </c>
      <c r="N3700" s="8">
        <v>0</v>
      </c>
      <c r="O3700" s="8">
        <v>0</v>
      </c>
      <c r="P3700" s="8">
        <v>0</v>
      </c>
      <c r="Q3700" s="8">
        <v>0</v>
      </c>
      <c r="R3700" s="8">
        <v>0</v>
      </c>
      <c r="S3700" s="8">
        <v>0</v>
      </c>
      <c r="T3700" s="5">
        <v>0</v>
      </c>
      <c r="U3700" s="5">
        <v>0</v>
      </c>
      <c r="V3700" s="5">
        <f>VLOOKUP(A3700,Planilha1!B:E,4,0)</f>
        <v>-1.4094522863012933</v>
      </c>
    </row>
    <row r="3701" spans="1:22" x14ac:dyDescent="0.3">
      <c r="A3701" t="str">
        <f t="shared" si="114"/>
        <v>MERC + AROMLACTALIS</v>
      </c>
      <c r="B3701" t="str">
        <f t="shared" si="115"/>
        <v>5337882MERC + AROMLACTALIS</v>
      </c>
      <c r="C3701" s="5" t="s">
        <v>226</v>
      </c>
      <c r="D3701" s="5" t="s">
        <v>227</v>
      </c>
      <c r="E3701" s="5" t="s">
        <v>1722</v>
      </c>
      <c r="F3701" s="5">
        <v>5337882</v>
      </c>
      <c r="G3701" s="5" t="s">
        <v>478</v>
      </c>
      <c r="H3701" s="5" t="s">
        <v>30</v>
      </c>
      <c r="I3701" s="5" t="s">
        <v>22</v>
      </c>
      <c r="J3701" s="5" t="s">
        <v>230</v>
      </c>
      <c r="K3701" s="6">
        <v>0</v>
      </c>
      <c r="L3701" s="7">
        <v>0</v>
      </c>
      <c r="M3701" s="7">
        <v>0</v>
      </c>
      <c r="N3701" s="8">
        <v>0</v>
      </c>
      <c r="O3701" s="8">
        <v>0</v>
      </c>
      <c r="P3701" s="8">
        <v>0</v>
      </c>
      <c r="Q3701" s="8">
        <v>0</v>
      </c>
      <c r="R3701" s="8">
        <v>0</v>
      </c>
      <c r="S3701" s="8">
        <v>0</v>
      </c>
      <c r="T3701" s="5">
        <v>0</v>
      </c>
      <c r="U3701" s="5">
        <v>0</v>
      </c>
      <c r="V3701" s="5">
        <f>VLOOKUP(A3701,Planilha1!B:E,4,0)</f>
        <v>0.86907188046232187</v>
      </c>
    </row>
    <row r="3702" spans="1:22" x14ac:dyDescent="0.3">
      <c r="A3702" t="str">
        <f t="shared" si="114"/>
        <v>PARMESÃOLACTALIS</v>
      </c>
      <c r="B3702" t="str">
        <f t="shared" si="115"/>
        <v>5338918PARMESÃOLACTALIS</v>
      </c>
      <c r="C3702" s="5" t="s">
        <v>226</v>
      </c>
      <c r="D3702" s="5" t="s">
        <v>227</v>
      </c>
      <c r="E3702" s="5" t="s">
        <v>1722</v>
      </c>
      <c r="F3702" s="5">
        <v>5338918</v>
      </c>
      <c r="G3702" s="5" t="s">
        <v>365</v>
      </c>
      <c r="H3702" s="5" t="s">
        <v>30</v>
      </c>
      <c r="I3702" s="5" t="s">
        <v>22</v>
      </c>
      <c r="J3702" s="5" t="s">
        <v>195</v>
      </c>
      <c r="K3702" s="6">
        <v>0</v>
      </c>
      <c r="L3702" s="7">
        <v>0</v>
      </c>
      <c r="M3702" s="7">
        <v>0</v>
      </c>
      <c r="N3702" s="8">
        <v>0</v>
      </c>
      <c r="O3702" s="8">
        <v>0</v>
      </c>
      <c r="P3702" s="8">
        <v>0</v>
      </c>
      <c r="Q3702" s="8">
        <v>0</v>
      </c>
      <c r="R3702" s="8">
        <v>0</v>
      </c>
      <c r="S3702" s="8">
        <v>0</v>
      </c>
      <c r="T3702" s="5">
        <v>0</v>
      </c>
      <c r="U3702" s="5">
        <v>0</v>
      </c>
      <c r="V3702" s="5">
        <f>VLOOKUP(A3702,Planilha1!B:E,4,0)</f>
        <v>6.310326960724681</v>
      </c>
    </row>
    <row r="3703" spans="1:22" x14ac:dyDescent="0.3">
      <c r="A3703" t="str">
        <f t="shared" si="114"/>
        <v>MANTEIGA 5KGLACTALIS</v>
      </c>
      <c r="B3703" t="str">
        <f t="shared" si="115"/>
        <v>5341970MANTEIGA 5KGLACTALIS</v>
      </c>
      <c r="C3703" s="5" t="s">
        <v>226</v>
      </c>
      <c r="D3703" s="5" t="s">
        <v>227</v>
      </c>
      <c r="E3703" s="5" t="s">
        <v>1722</v>
      </c>
      <c r="F3703" s="5">
        <v>5341970</v>
      </c>
      <c r="G3703" s="5" t="s">
        <v>1366</v>
      </c>
      <c r="H3703" s="5" t="s">
        <v>30</v>
      </c>
      <c r="I3703" s="5" t="s">
        <v>22</v>
      </c>
      <c r="J3703" s="5" t="s">
        <v>60</v>
      </c>
      <c r="K3703" s="6">
        <v>0</v>
      </c>
      <c r="L3703" s="7">
        <v>0</v>
      </c>
      <c r="M3703" s="7">
        <v>0</v>
      </c>
      <c r="N3703" s="8">
        <v>0</v>
      </c>
      <c r="O3703" s="8">
        <v>0</v>
      </c>
      <c r="P3703" s="8">
        <v>0</v>
      </c>
      <c r="Q3703" s="8">
        <v>0</v>
      </c>
      <c r="R3703" s="8">
        <v>0</v>
      </c>
      <c r="S3703" s="8">
        <v>5</v>
      </c>
      <c r="T3703" s="5">
        <v>5</v>
      </c>
      <c r="U3703" s="5">
        <v>0</v>
      </c>
      <c r="V3703" s="5">
        <f>VLOOKUP(A3703,Planilha1!B:E,4,0)</f>
        <v>11.476197020267191</v>
      </c>
    </row>
    <row r="3704" spans="1:22" x14ac:dyDescent="0.3">
      <c r="A3704" t="str">
        <f t="shared" si="114"/>
        <v>PARMESÃOLACTALIS</v>
      </c>
      <c r="B3704" t="str">
        <f t="shared" si="115"/>
        <v>5342187PARMESÃOLACTALIS</v>
      </c>
      <c r="C3704" s="5" t="s">
        <v>226</v>
      </c>
      <c r="D3704" s="5" t="s">
        <v>227</v>
      </c>
      <c r="E3704" s="5" t="s">
        <v>1722</v>
      </c>
      <c r="F3704" s="5">
        <v>5342187</v>
      </c>
      <c r="G3704" s="5" t="s">
        <v>530</v>
      </c>
      <c r="H3704" s="5" t="s">
        <v>30</v>
      </c>
      <c r="I3704" s="5" t="s">
        <v>22</v>
      </c>
      <c r="J3704" s="5" t="s">
        <v>195</v>
      </c>
      <c r="K3704" s="6">
        <v>0</v>
      </c>
      <c r="L3704" s="7">
        <v>0</v>
      </c>
      <c r="M3704" s="7">
        <v>0</v>
      </c>
      <c r="N3704" s="8">
        <v>0</v>
      </c>
      <c r="O3704" s="8">
        <v>0</v>
      </c>
      <c r="P3704" s="8">
        <v>0</v>
      </c>
      <c r="Q3704" s="8">
        <v>0</v>
      </c>
      <c r="R3704" s="8">
        <v>0</v>
      </c>
      <c r="S3704" s="8">
        <v>0</v>
      </c>
      <c r="T3704" s="5">
        <v>0</v>
      </c>
      <c r="U3704" s="5">
        <v>0</v>
      </c>
      <c r="V3704" s="5">
        <f>VLOOKUP(A3704,Planilha1!B:E,4,0)</f>
        <v>6.310326960724681</v>
      </c>
    </row>
    <row r="3705" spans="1:22" x14ac:dyDescent="0.3">
      <c r="A3705" t="str">
        <f t="shared" si="114"/>
        <v>LEITE UHTLACTALIS</v>
      </c>
      <c r="B3705" t="str">
        <f t="shared" si="115"/>
        <v>5348882LEITE UHTLACTALIS</v>
      </c>
      <c r="C3705" s="5" t="s">
        <v>226</v>
      </c>
      <c r="D3705" s="5" t="s">
        <v>227</v>
      </c>
      <c r="E3705" s="5" t="s">
        <v>1722</v>
      </c>
      <c r="F3705" s="5">
        <v>5348882</v>
      </c>
      <c r="G3705" s="5" t="s">
        <v>488</v>
      </c>
      <c r="H3705" s="5" t="s">
        <v>30</v>
      </c>
      <c r="I3705" s="5" t="s">
        <v>22</v>
      </c>
      <c r="J3705" s="5" t="s">
        <v>156</v>
      </c>
      <c r="K3705" s="6">
        <v>0</v>
      </c>
      <c r="L3705" s="7">
        <v>0</v>
      </c>
      <c r="M3705" s="7">
        <v>0</v>
      </c>
      <c r="N3705" s="8">
        <v>0</v>
      </c>
      <c r="O3705" s="8">
        <v>0</v>
      </c>
      <c r="P3705" s="8">
        <v>0</v>
      </c>
      <c r="Q3705" s="8">
        <v>0</v>
      </c>
      <c r="R3705" s="8">
        <v>0</v>
      </c>
      <c r="S3705" s="8">
        <v>0</v>
      </c>
      <c r="T3705" s="5">
        <v>0</v>
      </c>
      <c r="U3705" s="5">
        <v>0</v>
      </c>
      <c r="V3705" s="5">
        <f>VLOOKUP(A3705,Planilha1!B:E,4,0)</f>
        <v>0.37177548115779385</v>
      </c>
    </row>
    <row r="3706" spans="1:22" x14ac:dyDescent="0.3">
      <c r="A3706" t="str">
        <f t="shared" si="114"/>
        <v>LEITE CONDENSADOLACTALIS</v>
      </c>
      <c r="B3706" t="str">
        <f t="shared" si="115"/>
        <v>5352021LEITE CONDENSADOLACTALIS</v>
      </c>
      <c r="C3706" s="5" t="s">
        <v>226</v>
      </c>
      <c r="D3706" s="5" t="s">
        <v>227</v>
      </c>
      <c r="E3706" s="5" t="s">
        <v>1722</v>
      </c>
      <c r="F3706" s="5">
        <v>5352021</v>
      </c>
      <c r="G3706" s="5" t="s">
        <v>542</v>
      </c>
      <c r="H3706" s="5" t="s">
        <v>30</v>
      </c>
      <c r="I3706" s="5" t="s">
        <v>22</v>
      </c>
      <c r="J3706" s="5" t="s">
        <v>33</v>
      </c>
      <c r="K3706" s="6">
        <v>0</v>
      </c>
      <c r="L3706" s="7">
        <v>0</v>
      </c>
      <c r="M3706" s="7">
        <v>0</v>
      </c>
      <c r="N3706" s="8">
        <v>0</v>
      </c>
      <c r="O3706" s="8">
        <v>0</v>
      </c>
      <c r="P3706" s="8">
        <v>0</v>
      </c>
      <c r="Q3706" s="8">
        <v>0</v>
      </c>
      <c r="R3706" s="8">
        <v>0</v>
      </c>
      <c r="S3706" s="8">
        <v>0</v>
      </c>
      <c r="T3706" s="5">
        <v>0</v>
      </c>
      <c r="U3706" s="5">
        <v>0</v>
      </c>
      <c r="V3706" s="5">
        <f>VLOOKUP(A3706,Planilha1!B:E,4,0)</f>
        <v>1.8665071822970765</v>
      </c>
    </row>
    <row r="3707" spans="1:22" x14ac:dyDescent="0.3">
      <c r="A3707" t="str">
        <f t="shared" si="114"/>
        <v>PARMESÃOLACTALIS</v>
      </c>
      <c r="B3707" t="str">
        <f t="shared" si="115"/>
        <v>5352279PARMESÃOLACTALIS</v>
      </c>
      <c r="C3707" s="5" t="s">
        <v>226</v>
      </c>
      <c r="D3707" s="5" t="s">
        <v>227</v>
      </c>
      <c r="E3707" s="5" t="s">
        <v>1722</v>
      </c>
      <c r="F3707" s="5">
        <v>5352279</v>
      </c>
      <c r="G3707" s="5" t="s">
        <v>1627</v>
      </c>
      <c r="H3707" s="5" t="s">
        <v>30</v>
      </c>
      <c r="I3707" s="5" t="s">
        <v>22</v>
      </c>
      <c r="J3707" s="5" t="s">
        <v>195</v>
      </c>
      <c r="K3707" s="6">
        <v>0</v>
      </c>
      <c r="L3707" s="7">
        <v>0</v>
      </c>
      <c r="M3707" s="7">
        <v>0</v>
      </c>
      <c r="N3707" s="8">
        <v>0</v>
      </c>
      <c r="O3707" s="8">
        <v>0</v>
      </c>
      <c r="P3707" s="8">
        <v>0</v>
      </c>
      <c r="Q3707" s="8">
        <v>0</v>
      </c>
      <c r="R3707" s="8">
        <v>0</v>
      </c>
      <c r="S3707" s="8">
        <v>0</v>
      </c>
      <c r="T3707" s="5">
        <v>0</v>
      </c>
      <c r="U3707" s="5">
        <v>0</v>
      </c>
      <c r="V3707" s="5">
        <f>VLOOKUP(A3707,Planilha1!B:E,4,0)</f>
        <v>6.310326960724681</v>
      </c>
    </row>
    <row r="3708" spans="1:22" x14ac:dyDescent="0.3">
      <c r="A3708" t="str">
        <f t="shared" si="114"/>
        <v>CREME UHTLACTALIS</v>
      </c>
      <c r="B3708" t="str">
        <f t="shared" si="115"/>
        <v>5352279CREME UHTLACTALIS</v>
      </c>
      <c r="C3708" s="5" t="s">
        <v>226</v>
      </c>
      <c r="D3708" s="5" t="s">
        <v>227</v>
      </c>
      <c r="E3708" s="5" t="s">
        <v>1722</v>
      </c>
      <c r="F3708" s="5">
        <v>5352279</v>
      </c>
      <c r="G3708" s="5" t="s">
        <v>1627</v>
      </c>
      <c r="H3708" s="5" t="s">
        <v>30</v>
      </c>
      <c r="I3708" s="5" t="s">
        <v>22</v>
      </c>
      <c r="J3708" s="5" t="s">
        <v>34</v>
      </c>
      <c r="K3708" s="6">
        <v>0</v>
      </c>
      <c r="L3708" s="7">
        <v>0</v>
      </c>
      <c r="M3708" s="7">
        <v>0</v>
      </c>
      <c r="N3708" s="8">
        <v>0</v>
      </c>
      <c r="O3708" s="8">
        <v>0</v>
      </c>
      <c r="P3708" s="8">
        <v>0</v>
      </c>
      <c r="Q3708" s="8">
        <v>0</v>
      </c>
      <c r="R3708" s="8">
        <v>0</v>
      </c>
      <c r="S3708" s="8">
        <v>0</v>
      </c>
      <c r="T3708" s="5">
        <v>0</v>
      </c>
      <c r="U3708" s="5">
        <v>0</v>
      </c>
      <c r="V3708" s="5">
        <f>VLOOKUP(A3708,Planilha1!B:E,4,0)</f>
        <v>-1.4094522863012933</v>
      </c>
    </row>
    <row r="3709" spans="1:22" x14ac:dyDescent="0.3">
      <c r="A3709" t="str">
        <f t="shared" si="114"/>
        <v>MANTEIGA 5KGLACTALIS</v>
      </c>
      <c r="B3709" t="str">
        <f t="shared" si="115"/>
        <v>5352804MANTEIGA 5KGLACTALIS</v>
      </c>
      <c r="C3709" s="5" t="s">
        <v>226</v>
      </c>
      <c r="D3709" s="5" t="s">
        <v>227</v>
      </c>
      <c r="E3709" s="5" t="s">
        <v>1722</v>
      </c>
      <c r="F3709" s="5">
        <v>5352804</v>
      </c>
      <c r="G3709" s="5" t="s">
        <v>1628</v>
      </c>
      <c r="H3709" s="5" t="s">
        <v>30</v>
      </c>
      <c r="I3709" s="5" t="s">
        <v>22</v>
      </c>
      <c r="J3709" s="5" t="s">
        <v>60</v>
      </c>
      <c r="K3709" s="6">
        <v>0</v>
      </c>
      <c r="L3709" s="7">
        <v>0</v>
      </c>
      <c r="M3709" s="7">
        <v>0</v>
      </c>
      <c r="N3709" s="8">
        <v>0</v>
      </c>
      <c r="O3709" s="8">
        <v>0</v>
      </c>
      <c r="P3709" s="8">
        <v>0</v>
      </c>
      <c r="Q3709" s="8">
        <v>0</v>
      </c>
      <c r="R3709" s="8">
        <v>0</v>
      </c>
      <c r="S3709" s="8">
        <v>0</v>
      </c>
      <c r="T3709" s="5">
        <v>0</v>
      </c>
      <c r="U3709" s="5">
        <v>0</v>
      </c>
      <c r="V3709" s="5">
        <f>VLOOKUP(A3709,Planilha1!B:E,4,0)</f>
        <v>11.476197020267191</v>
      </c>
    </row>
    <row r="3710" spans="1:22" x14ac:dyDescent="0.3">
      <c r="A3710" t="str">
        <f t="shared" si="114"/>
        <v>MANTEIGA 5KGLACTALIS</v>
      </c>
      <c r="B3710" t="str">
        <f t="shared" si="115"/>
        <v>5353526MANTEIGA 5KGLACTALIS</v>
      </c>
      <c r="C3710" s="5" t="s">
        <v>226</v>
      </c>
      <c r="D3710" s="5" t="s">
        <v>227</v>
      </c>
      <c r="E3710" s="5" t="s">
        <v>1722</v>
      </c>
      <c r="F3710" s="5">
        <v>5353526</v>
      </c>
      <c r="G3710" s="5" t="s">
        <v>496</v>
      </c>
      <c r="H3710" s="5" t="s">
        <v>30</v>
      </c>
      <c r="I3710" s="5" t="s">
        <v>22</v>
      </c>
      <c r="J3710" s="5" t="s">
        <v>60</v>
      </c>
      <c r="K3710" s="6">
        <v>0</v>
      </c>
      <c r="L3710" s="7">
        <v>0</v>
      </c>
      <c r="M3710" s="7">
        <v>0</v>
      </c>
      <c r="N3710" s="8">
        <v>0</v>
      </c>
      <c r="O3710" s="8">
        <v>0</v>
      </c>
      <c r="P3710" s="8">
        <v>0</v>
      </c>
      <c r="Q3710" s="8">
        <v>0</v>
      </c>
      <c r="R3710" s="8">
        <v>0</v>
      </c>
      <c r="S3710" s="8">
        <v>0</v>
      </c>
      <c r="T3710" s="5">
        <v>0</v>
      </c>
      <c r="U3710" s="5">
        <v>0</v>
      </c>
      <c r="V3710" s="5">
        <f>VLOOKUP(A3710,Planilha1!B:E,4,0)</f>
        <v>11.476197020267191</v>
      </c>
    </row>
    <row r="3711" spans="1:22" x14ac:dyDescent="0.3">
      <c r="A3711" t="str">
        <f t="shared" si="114"/>
        <v>LEITE UHTLACTALIS</v>
      </c>
      <c r="B3711" t="str">
        <f t="shared" si="115"/>
        <v>5353768LEITE UHTLACTALIS</v>
      </c>
      <c r="C3711" s="5" t="s">
        <v>226</v>
      </c>
      <c r="D3711" s="5" t="s">
        <v>227</v>
      </c>
      <c r="E3711" s="5" t="s">
        <v>1722</v>
      </c>
      <c r="F3711" s="5">
        <v>5353768</v>
      </c>
      <c r="G3711" s="5" t="s">
        <v>1506</v>
      </c>
      <c r="H3711" s="5" t="s">
        <v>30</v>
      </c>
      <c r="I3711" s="5" t="s">
        <v>22</v>
      </c>
      <c r="J3711" s="5" t="s">
        <v>156</v>
      </c>
      <c r="K3711" s="6">
        <v>0</v>
      </c>
      <c r="L3711" s="7">
        <v>0</v>
      </c>
      <c r="M3711" s="7">
        <v>0</v>
      </c>
      <c r="N3711" s="8">
        <v>0</v>
      </c>
      <c r="O3711" s="8">
        <v>0</v>
      </c>
      <c r="P3711" s="8">
        <v>0</v>
      </c>
      <c r="Q3711" s="8">
        <v>0</v>
      </c>
      <c r="R3711" s="8">
        <v>0</v>
      </c>
      <c r="S3711" s="8">
        <v>0</v>
      </c>
      <c r="T3711" s="5">
        <v>0</v>
      </c>
      <c r="U3711" s="5">
        <v>0</v>
      </c>
      <c r="V3711" s="5">
        <f>VLOOKUP(A3711,Planilha1!B:E,4,0)</f>
        <v>0.37177548115779385</v>
      </c>
    </row>
    <row r="3712" spans="1:22" x14ac:dyDescent="0.3">
      <c r="A3712" t="str">
        <f t="shared" si="114"/>
        <v>MANTEIGA 5KGLACTALIS</v>
      </c>
      <c r="B3712" t="str">
        <f t="shared" si="115"/>
        <v>5355174MANTEIGA 5KGLACTALIS</v>
      </c>
      <c r="C3712" s="5" t="s">
        <v>226</v>
      </c>
      <c r="D3712" s="5" t="s">
        <v>227</v>
      </c>
      <c r="E3712" s="5" t="s">
        <v>1722</v>
      </c>
      <c r="F3712" s="5">
        <v>5355174</v>
      </c>
      <c r="G3712" s="5" t="s">
        <v>558</v>
      </c>
      <c r="H3712" s="5" t="s">
        <v>30</v>
      </c>
      <c r="I3712" s="5" t="s">
        <v>22</v>
      </c>
      <c r="J3712" s="5" t="s">
        <v>60</v>
      </c>
      <c r="K3712" s="6">
        <v>0</v>
      </c>
      <c r="L3712" s="7">
        <v>0</v>
      </c>
      <c r="M3712" s="7">
        <v>0</v>
      </c>
      <c r="N3712" s="8">
        <v>0</v>
      </c>
      <c r="O3712" s="8">
        <v>0</v>
      </c>
      <c r="P3712" s="8">
        <v>0</v>
      </c>
      <c r="Q3712" s="8">
        <v>0</v>
      </c>
      <c r="R3712" s="8">
        <v>0</v>
      </c>
      <c r="S3712" s="8">
        <v>0</v>
      </c>
      <c r="T3712" s="5">
        <v>0</v>
      </c>
      <c r="U3712" s="5">
        <v>0</v>
      </c>
      <c r="V3712" s="5">
        <f>VLOOKUP(A3712,Planilha1!B:E,4,0)</f>
        <v>11.476197020267191</v>
      </c>
    </row>
    <row r="3713" spans="1:22" x14ac:dyDescent="0.3">
      <c r="A3713" t="str">
        <f t="shared" si="114"/>
        <v>LEITE UHTLACTALIS</v>
      </c>
      <c r="B3713" t="str">
        <f t="shared" si="115"/>
        <v>5356510LEITE UHTLACTALIS</v>
      </c>
      <c r="C3713" s="5" t="s">
        <v>226</v>
      </c>
      <c r="D3713" s="5" t="s">
        <v>227</v>
      </c>
      <c r="E3713" s="5" t="s">
        <v>1722</v>
      </c>
      <c r="F3713" s="5">
        <v>5356510</v>
      </c>
      <c r="G3713" s="5" t="s">
        <v>1387</v>
      </c>
      <c r="H3713" s="5" t="s">
        <v>30</v>
      </c>
      <c r="I3713" s="5" t="s">
        <v>22</v>
      </c>
      <c r="J3713" s="5" t="s">
        <v>156</v>
      </c>
      <c r="K3713" s="6">
        <v>0</v>
      </c>
      <c r="L3713" s="7">
        <v>0</v>
      </c>
      <c r="M3713" s="7">
        <v>0</v>
      </c>
      <c r="N3713" s="8">
        <v>0</v>
      </c>
      <c r="O3713" s="8">
        <v>0</v>
      </c>
      <c r="P3713" s="8">
        <v>0</v>
      </c>
      <c r="Q3713" s="8">
        <v>0</v>
      </c>
      <c r="R3713" s="8">
        <v>0</v>
      </c>
      <c r="S3713" s="8">
        <v>0</v>
      </c>
      <c r="T3713" s="5">
        <v>0</v>
      </c>
      <c r="U3713" s="5">
        <v>0</v>
      </c>
      <c r="V3713" s="5">
        <f>VLOOKUP(A3713,Planilha1!B:E,4,0)</f>
        <v>0.37177548115779385</v>
      </c>
    </row>
    <row r="3714" spans="1:22" x14ac:dyDescent="0.3">
      <c r="A3714" t="str">
        <f t="shared" ref="A3714:A3777" si="116">J3714&amp;I3714</f>
        <v>SPREADSLACTALIS</v>
      </c>
      <c r="B3714" t="str">
        <f t="shared" si="115"/>
        <v>5356861SPREADSLACTALIS</v>
      </c>
      <c r="C3714" s="5" t="s">
        <v>226</v>
      </c>
      <c r="D3714" s="5" t="s">
        <v>227</v>
      </c>
      <c r="E3714" s="5" t="s">
        <v>1722</v>
      </c>
      <c r="F3714" s="5">
        <v>5356861</v>
      </c>
      <c r="G3714" s="5" t="s">
        <v>1629</v>
      </c>
      <c r="H3714" s="5" t="s">
        <v>30</v>
      </c>
      <c r="I3714" s="5" t="s">
        <v>22</v>
      </c>
      <c r="J3714" s="5" t="s">
        <v>945</v>
      </c>
      <c r="K3714" s="6">
        <v>0</v>
      </c>
      <c r="L3714" s="7">
        <v>0</v>
      </c>
      <c r="M3714" s="7">
        <v>0</v>
      </c>
      <c r="N3714" s="8">
        <v>0</v>
      </c>
      <c r="O3714" s="8">
        <v>0</v>
      </c>
      <c r="P3714" s="8">
        <v>0</v>
      </c>
      <c r="Q3714" s="8">
        <v>0</v>
      </c>
      <c r="R3714" s="8">
        <v>0</v>
      </c>
      <c r="S3714" s="8">
        <v>0</v>
      </c>
      <c r="T3714" s="5">
        <v>0</v>
      </c>
      <c r="U3714" s="5">
        <v>0</v>
      </c>
      <c r="V3714" s="5">
        <f>VLOOKUP(A3714,Planilha1!B:E,4,0)</f>
        <v>13.599044988219518</v>
      </c>
    </row>
    <row r="3715" spans="1:22" x14ac:dyDescent="0.3">
      <c r="A3715" t="str">
        <f t="shared" si="116"/>
        <v>LEITE EM PÓLACTALIS</v>
      </c>
      <c r="B3715" t="str">
        <f t="shared" ref="B3715:B3778" si="117">F3715&amp;J3715&amp;I3715</f>
        <v>5357534LEITE EM PÓLACTALIS</v>
      </c>
      <c r="C3715" s="5" t="s">
        <v>226</v>
      </c>
      <c r="D3715" s="5" t="s">
        <v>227</v>
      </c>
      <c r="E3715" s="5" t="s">
        <v>1722</v>
      </c>
      <c r="F3715" s="5">
        <v>5357534</v>
      </c>
      <c r="G3715" s="5" t="s">
        <v>1396</v>
      </c>
      <c r="H3715" s="5" t="s">
        <v>30</v>
      </c>
      <c r="I3715" s="5" t="s">
        <v>22</v>
      </c>
      <c r="J3715" s="5" t="s">
        <v>84</v>
      </c>
      <c r="K3715" s="6">
        <v>0</v>
      </c>
      <c r="L3715" s="7">
        <v>0</v>
      </c>
      <c r="M3715" s="7">
        <v>0</v>
      </c>
      <c r="N3715" s="8">
        <v>0</v>
      </c>
      <c r="O3715" s="8">
        <v>0</v>
      </c>
      <c r="P3715" s="8">
        <v>0</v>
      </c>
      <c r="Q3715" s="8">
        <v>0</v>
      </c>
      <c r="R3715" s="8">
        <v>0</v>
      </c>
      <c r="S3715" s="8">
        <v>0</v>
      </c>
      <c r="T3715" s="5">
        <v>0</v>
      </c>
      <c r="U3715" s="5">
        <v>0</v>
      </c>
      <c r="V3715" s="5">
        <f>VLOOKUP(A3715,Planilha1!B:E,4,0)</f>
        <v>-2.8055507108797499</v>
      </c>
    </row>
    <row r="3716" spans="1:22" x14ac:dyDescent="0.3">
      <c r="A3716" t="str">
        <f t="shared" si="116"/>
        <v>SPREADSLACTALIS</v>
      </c>
      <c r="B3716" t="str">
        <f t="shared" si="117"/>
        <v>5357567SPREADSLACTALIS</v>
      </c>
      <c r="C3716" s="5" t="s">
        <v>226</v>
      </c>
      <c r="D3716" s="5" t="s">
        <v>227</v>
      </c>
      <c r="E3716" s="5" t="s">
        <v>1722</v>
      </c>
      <c r="F3716" s="5">
        <v>5357567</v>
      </c>
      <c r="G3716" s="5" t="s">
        <v>1388</v>
      </c>
      <c r="H3716" s="5" t="s">
        <v>30</v>
      </c>
      <c r="I3716" s="5" t="s">
        <v>22</v>
      </c>
      <c r="J3716" s="5" t="s">
        <v>945</v>
      </c>
      <c r="K3716" s="6">
        <v>0</v>
      </c>
      <c r="L3716" s="7">
        <v>0</v>
      </c>
      <c r="M3716" s="7">
        <v>0</v>
      </c>
      <c r="N3716" s="8">
        <v>0</v>
      </c>
      <c r="O3716" s="8">
        <v>0</v>
      </c>
      <c r="P3716" s="8">
        <v>0</v>
      </c>
      <c r="Q3716" s="8">
        <v>0</v>
      </c>
      <c r="R3716" s="8">
        <v>0</v>
      </c>
      <c r="S3716" s="8">
        <v>0</v>
      </c>
      <c r="T3716" s="5">
        <v>0</v>
      </c>
      <c r="U3716" s="5">
        <v>0</v>
      </c>
      <c r="V3716" s="5">
        <f>VLOOKUP(A3716,Planilha1!B:E,4,0)</f>
        <v>13.599044988219518</v>
      </c>
    </row>
    <row r="3717" spans="1:22" x14ac:dyDescent="0.3">
      <c r="A3717" t="str">
        <f t="shared" si="116"/>
        <v>CREME UHTLACTALIS</v>
      </c>
      <c r="B3717" t="str">
        <f t="shared" si="117"/>
        <v>5357586CREME UHTLACTALIS</v>
      </c>
      <c r="C3717" s="5" t="s">
        <v>226</v>
      </c>
      <c r="D3717" s="5" t="s">
        <v>227</v>
      </c>
      <c r="E3717" s="5" t="s">
        <v>1722</v>
      </c>
      <c r="F3717" s="5">
        <v>5357586</v>
      </c>
      <c r="G3717" s="5" t="s">
        <v>1397</v>
      </c>
      <c r="H3717" s="5" t="s">
        <v>30</v>
      </c>
      <c r="I3717" s="5" t="s">
        <v>22</v>
      </c>
      <c r="J3717" s="5" t="s">
        <v>34</v>
      </c>
      <c r="K3717" s="6">
        <v>0</v>
      </c>
      <c r="L3717" s="7">
        <v>0</v>
      </c>
      <c r="M3717" s="7">
        <v>0</v>
      </c>
      <c r="N3717" s="8">
        <v>0</v>
      </c>
      <c r="O3717" s="8">
        <v>0</v>
      </c>
      <c r="P3717" s="8">
        <v>0</v>
      </c>
      <c r="Q3717" s="8">
        <v>0</v>
      </c>
      <c r="R3717" s="8">
        <v>0</v>
      </c>
      <c r="S3717" s="8">
        <v>0</v>
      </c>
      <c r="T3717" s="5">
        <v>0</v>
      </c>
      <c r="U3717" s="5">
        <v>0</v>
      </c>
      <c r="V3717" s="5">
        <f>VLOOKUP(A3717,Planilha1!B:E,4,0)</f>
        <v>-1.4094522863012933</v>
      </c>
    </row>
    <row r="3718" spans="1:22" x14ac:dyDescent="0.3">
      <c r="A3718" t="str">
        <f t="shared" si="116"/>
        <v>LEITE CONDENSADOLACTALIS</v>
      </c>
      <c r="B3718" t="str">
        <f t="shared" si="117"/>
        <v>5357586LEITE CONDENSADOLACTALIS</v>
      </c>
      <c r="C3718" s="5" t="s">
        <v>226</v>
      </c>
      <c r="D3718" s="5" t="s">
        <v>227</v>
      </c>
      <c r="E3718" s="5" t="s">
        <v>1722</v>
      </c>
      <c r="F3718" s="5">
        <v>5357586</v>
      </c>
      <c r="G3718" s="5" t="s">
        <v>1397</v>
      </c>
      <c r="H3718" s="5" t="s">
        <v>30</v>
      </c>
      <c r="I3718" s="5" t="s">
        <v>22</v>
      </c>
      <c r="J3718" s="5" t="s">
        <v>33</v>
      </c>
      <c r="K3718" s="6">
        <v>0</v>
      </c>
      <c r="L3718" s="7">
        <v>0</v>
      </c>
      <c r="M3718" s="7">
        <v>0</v>
      </c>
      <c r="N3718" s="8">
        <v>0</v>
      </c>
      <c r="O3718" s="8">
        <v>0</v>
      </c>
      <c r="P3718" s="8">
        <v>0</v>
      </c>
      <c r="Q3718" s="8">
        <v>0</v>
      </c>
      <c r="R3718" s="8">
        <v>0</v>
      </c>
      <c r="S3718" s="8">
        <v>0</v>
      </c>
      <c r="T3718" s="5">
        <v>0</v>
      </c>
      <c r="U3718" s="5">
        <v>0</v>
      </c>
      <c r="V3718" s="5">
        <f>VLOOKUP(A3718,Planilha1!B:E,4,0)</f>
        <v>1.8665071822970765</v>
      </c>
    </row>
    <row r="3719" spans="1:22" x14ac:dyDescent="0.3">
      <c r="A3719" t="str">
        <f t="shared" si="116"/>
        <v>PARMESÃOLACTALIS</v>
      </c>
      <c r="B3719" t="str">
        <f t="shared" si="117"/>
        <v>5357700PARMESÃOLACTALIS</v>
      </c>
      <c r="C3719" s="5" t="s">
        <v>226</v>
      </c>
      <c r="D3719" s="5" t="s">
        <v>833</v>
      </c>
      <c r="E3719" s="5" t="s">
        <v>753</v>
      </c>
      <c r="F3719" s="5">
        <v>5357700</v>
      </c>
      <c r="G3719" s="5" t="s">
        <v>1630</v>
      </c>
      <c r="H3719" s="5" t="s">
        <v>40</v>
      </c>
      <c r="I3719" s="5" t="s">
        <v>22</v>
      </c>
      <c r="J3719" s="5" t="s">
        <v>195</v>
      </c>
      <c r="K3719" s="6">
        <v>0</v>
      </c>
      <c r="L3719" s="7">
        <v>0</v>
      </c>
      <c r="M3719" s="7">
        <v>0</v>
      </c>
      <c r="N3719" s="8">
        <v>0</v>
      </c>
      <c r="O3719" s="8">
        <v>0</v>
      </c>
      <c r="P3719" s="8">
        <v>0</v>
      </c>
      <c r="Q3719" s="8">
        <v>0</v>
      </c>
      <c r="R3719" s="8">
        <v>0</v>
      </c>
      <c r="S3719" s="8">
        <v>0</v>
      </c>
      <c r="T3719" s="5">
        <v>0</v>
      </c>
      <c r="U3719" s="5">
        <v>0</v>
      </c>
      <c r="V3719" s="5">
        <f>VLOOKUP(A3719,Planilha1!B:E,4,0)</f>
        <v>6.310326960724681</v>
      </c>
    </row>
    <row r="3720" spans="1:22" x14ac:dyDescent="0.3">
      <c r="A3720" t="str">
        <f t="shared" si="116"/>
        <v>BLISTERLACTALIS</v>
      </c>
      <c r="B3720" t="str">
        <f t="shared" si="117"/>
        <v>5358032BLISTERLACTALIS</v>
      </c>
      <c r="C3720" s="5" t="s">
        <v>226</v>
      </c>
      <c r="D3720" s="5" t="s">
        <v>903</v>
      </c>
      <c r="E3720" s="5" t="s">
        <v>904</v>
      </c>
      <c r="F3720" s="5">
        <v>5358032</v>
      </c>
      <c r="G3720" s="5" t="s">
        <v>1631</v>
      </c>
      <c r="H3720" s="5" t="s">
        <v>103</v>
      </c>
      <c r="I3720" s="5" t="s">
        <v>22</v>
      </c>
      <c r="J3720" s="5" t="s">
        <v>199</v>
      </c>
      <c r="K3720" s="6">
        <v>0</v>
      </c>
      <c r="L3720" s="7">
        <v>0</v>
      </c>
      <c r="M3720" s="7">
        <v>0</v>
      </c>
      <c r="N3720" s="8">
        <v>0</v>
      </c>
      <c r="O3720" s="8">
        <v>0</v>
      </c>
      <c r="P3720" s="8">
        <v>0</v>
      </c>
      <c r="Q3720" s="8">
        <v>0</v>
      </c>
      <c r="R3720" s="8">
        <v>0</v>
      </c>
      <c r="S3720" s="8">
        <v>0</v>
      </c>
      <c r="T3720" s="5">
        <v>0</v>
      </c>
      <c r="U3720" s="5">
        <v>0</v>
      </c>
      <c r="V3720" s="5">
        <f>VLOOKUP(A3720,Planilha1!B:E,4,0)</f>
        <v>13.783871706210666</v>
      </c>
    </row>
    <row r="3721" spans="1:22" x14ac:dyDescent="0.3">
      <c r="A3721" t="str">
        <f t="shared" si="116"/>
        <v>QUEIJOSLACTALIS</v>
      </c>
      <c r="B3721" t="str">
        <f t="shared" si="117"/>
        <v>5358595QUEIJOSLACTALIS</v>
      </c>
      <c r="C3721" s="5" t="s">
        <v>226</v>
      </c>
      <c r="D3721" s="5" t="s">
        <v>227</v>
      </c>
      <c r="E3721" s="5" t="s">
        <v>1722</v>
      </c>
      <c r="F3721" s="5">
        <v>5358595</v>
      </c>
      <c r="G3721" s="5" t="s">
        <v>1632</v>
      </c>
      <c r="H3721" s="5" t="s">
        <v>30</v>
      </c>
      <c r="I3721" s="5" t="s">
        <v>22</v>
      </c>
      <c r="J3721" s="5" t="s">
        <v>63</v>
      </c>
      <c r="K3721" s="6">
        <v>0</v>
      </c>
      <c r="L3721" s="7">
        <v>0</v>
      </c>
      <c r="M3721" s="7">
        <v>0</v>
      </c>
      <c r="N3721" s="8">
        <v>0</v>
      </c>
      <c r="O3721" s="8">
        <v>0</v>
      </c>
      <c r="P3721" s="8">
        <v>0</v>
      </c>
      <c r="Q3721" s="8">
        <v>0</v>
      </c>
      <c r="R3721" s="8">
        <v>0</v>
      </c>
      <c r="S3721" s="8">
        <v>0</v>
      </c>
      <c r="T3721" s="5">
        <v>0</v>
      </c>
      <c r="U3721" s="5">
        <v>0</v>
      </c>
      <c r="V3721" s="5">
        <f>VLOOKUP(A3721,Planilha1!B:E,4,0)</f>
        <v>-1.9171310037550682</v>
      </c>
    </row>
    <row r="3722" spans="1:22" x14ac:dyDescent="0.3">
      <c r="A3722" t="str">
        <f t="shared" si="116"/>
        <v>LEITE UHTLACTALIS</v>
      </c>
      <c r="B3722" t="str">
        <f t="shared" si="117"/>
        <v>5358913LEITE UHTLACTALIS</v>
      </c>
      <c r="C3722" s="5" t="s">
        <v>226</v>
      </c>
      <c r="D3722" s="5" t="s">
        <v>227</v>
      </c>
      <c r="E3722" s="5" t="s">
        <v>1722</v>
      </c>
      <c r="F3722" s="5">
        <v>5358913</v>
      </c>
      <c r="G3722" s="5" t="s">
        <v>1633</v>
      </c>
      <c r="H3722" s="5" t="s">
        <v>30</v>
      </c>
      <c r="I3722" s="5" t="s">
        <v>22</v>
      </c>
      <c r="J3722" s="5" t="s">
        <v>156</v>
      </c>
      <c r="K3722" s="6">
        <v>0</v>
      </c>
      <c r="L3722" s="7">
        <v>0</v>
      </c>
      <c r="M3722" s="7">
        <v>0</v>
      </c>
      <c r="N3722" s="8">
        <v>0</v>
      </c>
      <c r="O3722" s="8">
        <v>0</v>
      </c>
      <c r="P3722" s="8">
        <v>0</v>
      </c>
      <c r="Q3722" s="8">
        <v>0</v>
      </c>
      <c r="R3722" s="8">
        <v>0</v>
      </c>
      <c r="S3722" s="8">
        <v>0</v>
      </c>
      <c r="T3722" s="5">
        <v>0</v>
      </c>
      <c r="U3722" s="5">
        <v>0</v>
      </c>
      <c r="V3722" s="5">
        <f>VLOOKUP(A3722,Planilha1!B:E,4,0)</f>
        <v>0.37177548115779385</v>
      </c>
    </row>
    <row r="3723" spans="1:22" x14ac:dyDescent="0.3">
      <c r="A3723" t="str">
        <f t="shared" si="116"/>
        <v>PARMESÃOLACTALIS</v>
      </c>
      <c r="B3723" t="str">
        <f t="shared" si="117"/>
        <v>5359750PARMESÃOLACTALIS</v>
      </c>
      <c r="C3723" s="5" t="s">
        <v>226</v>
      </c>
      <c r="D3723" s="5" t="s">
        <v>227</v>
      </c>
      <c r="E3723" s="5" t="s">
        <v>1722</v>
      </c>
      <c r="F3723" s="5">
        <v>5359750</v>
      </c>
      <c r="G3723" s="5" t="s">
        <v>1634</v>
      </c>
      <c r="H3723" s="5" t="s">
        <v>30</v>
      </c>
      <c r="I3723" s="5" t="s">
        <v>22</v>
      </c>
      <c r="J3723" s="5" t="s">
        <v>195</v>
      </c>
      <c r="K3723" s="6">
        <v>0</v>
      </c>
      <c r="L3723" s="7">
        <v>0</v>
      </c>
      <c r="M3723" s="7">
        <v>0</v>
      </c>
      <c r="N3723" s="8">
        <v>0</v>
      </c>
      <c r="O3723" s="8">
        <v>0</v>
      </c>
      <c r="P3723" s="8">
        <v>0</v>
      </c>
      <c r="Q3723" s="8">
        <v>0</v>
      </c>
      <c r="R3723" s="8">
        <v>0</v>
      </c>
      <c r="S3723" s="8">
        <v>0</v>
      </c>
      <c r="T3723" s="5">
        <v>0</v>
      </c>
      <c r="U3723" s="5">
        <v>0</v>
      </c>
      <c r="V3723" s="5">
        <f>VLOOKUP(A3723,Planilha1!B:E,4,0)</f>
        <v>6.310326960724681</v>
      </c>
    </row>
    <row r="3724" spans="1:22" x14ac:dyDescent="0.3">
      <c r="A3724" t="str">
        <f t="shared" si="116"/>
        <v>SPREADSLACTALIS</v>
      </c>
      <c r="B3724" t="str">
        <f t="shared" si="117"/>
        <v>5359750SPREADSLACTALIS</v>
      </c>
      <c r="C3724" s="5" t="s">
        <v>226</v>
      </c>
      <c r="D3724" s="5" t="s">
        <v>227</v>
      </c>
      <c r="E3724" s="5" t="s">
        <v>1722</v>
      </c>
      <c r="F3724" s="5">
        <v>5359750</v>
      </c>
      <c r="G3724" s="5" t="s">
        <v>1634</v>
      </c>
      <c r="H3724" s="5" t="s">
        <v>30</v>
      </c>
      <c r="I3724" s="5" t="s">
        <v>22</v>
      </c>
      <c r="J3724" s="5" t="s">
        <v>945</v>
      </c>
      <c r="K3724" s="6">
        <v>0</v>
      </c>
      <c r="L3724" s="7">
        <v>0</v>
      </c>
      <c r="M3724" s="7">
        <v>0</v>
      </c>
      <c r="N3724" s="8">
        <v>0</v>
      </c>
      <c r="O3724" s="8">
        <v>0</v>
      </c>
      <c r="P3724" s="8">
        <v>0</v>
      </c>
      <c r="Q3724" s="8">
        <v>0</v>
      </c>
      <c r="R3724" s="8">
        <v>0</v>
      </c>
      <c r="S3724" s="8">
        <v>0</v>
      </c>
      <c r="T3724" s="5">
        <v>0</v>
      </c>
      <c r="U3724" s="5">
        <v>0</v>
      </c>
      <c r="V3724" s="5">
        <f>VLOOKUP(A3724,Planilha1!B:E,4,0)</f>
        <v>13.599044988219518</v>
      </c>
    </row>
    <row r="3725" spans="1:22" x14ac:dyDescent="0.3">
      <c r="A3725" t="str">
        <f t="shared" si="116"/>
        <v>QUEIJOSLACTALIS</v>
      </c>
      <c r="B3725" t="str">
        <f t="shared" si="117"/>
        <v>5359750QUEIJOSLACTALIS</v>
      </c>
      <c r="C3725" s="5" t="s">
        <v>226</v>
      </c>
      <c r="D3725" s="5" t="s">
        <v>227</v>
      </c>
      <c r="E3725" s="5" t="s">
        <v>1722</v>
      </c>
      <c r="F3725" s="5">
        <v>5359750</v>
      </c>
      <c r="G3725" s="5" t="s">
        <v>1634</v>
      </c>
      <c r="H3725" s="5" t="s">
        <v>30</v>
      </c>
      <c r="I3725" s="5" t="s">
        <v>22</v>
      </c>
      <c r="J3725" s="5" t="s">
        <v>63</v>
      </c>
      <c r="K3725" s="6">
        <v>0</v>
      </c>
      <c r="L3725" s="7">
        <v>0</v>
      </c>
      <c r="M3725" s="7">
        <v>0</v>
      </c>
      <c r="N3725" s="8">
        <v>0</v>
      </c>
      <c r="O3725" s="8">
        <v>0</v>
      </c>
      <c r="P3725" s="8">
        <v>0</v>
      </c>
      <c r="Q3725" s="8">
        <v>0</v>
      </c>
      <c r="R3725" s="8">
        <v>0</v>
      </c>
      <c r="S3725" s="8">
        <v>0</v>
      </c>
      <c r="T3725" s="5">
        <v>0</v>
      </c>
      <c r="U3725" s="5">
        <v>0</v>
      </c>
      <c r="V3725" s="5">
        <f>VLOOKUP(A3725,Planilha1!B:E,4,0)</f>
        <v>-1.9171310037550682</v>
      </c>
    </row>
    <row r="3726" spans="1:22" x14ac:dyDescent="0.3">
      <c r="A3726" t="str">
        <f t="shared" si="116"/>
        <v>MANTEIGA 5KGLACTALIS</v>
      </c>
      <c r="B3726" t="str">
        <f t="shared" si="117"/>
        <v>5360090MANTEIGA 5KGLACTALIS</v>
      </c>
      <c r="C3726" s="5" t="s">
        <v>226</v>
      </c>
      <c r="D3726" s="5" t="s">
        <v>227</v>
      </c>
      <c r="E3726" s="5" t="s">
        <v>1722</v>
      </c>
      <c r="F3726" s="5">
        <v>5360090</v>
      </c>
      <c r="G3726" s="5" t="s">
        <v>1635</v>
      </c>
      <c r="H3726" s="5" t="s">
        <v>30</v>
      </c>
      <c r="I3726" s="5" t="s">
        <v>22</v>
      </c>
      <c r="J3726" s="5" t="s">
        <v>60</v>
      </c>
      <c r="K3726" s="6">
        <v>0</v>
      </c>
      <c r="L3726" s="7">
        <v>0</v>
      </c>
      <c r="M3726" s="7">
        <v>0</v>
      </c>
      <c r="N3726" s="8">
        <v>0</v>
      </c>
      <c r="O3726" s="8">
        <v>0</v>
      </c>
      <c r="P3726" s="8">
        <v>0</v>
      </c>
      <c r="Q3726" s="8">
        <v>0</v>
      </c>
      <c r="R3726" s="8">
        <v>0</v>
      </c>
      <c r="S3726" s="8">
        <v>0</v>
      </c>
      <c r="T3726" s="5">
        <v>0</v>
      </c>
      <c r="U3726" s="5">
        <v>0</v>
      </c>
      <c r="V3726" s="5">
        <f>VLOOKUP(A3726,Planilha1!B:E,4,0)</f>
        <v>11.476197020267191</v>
      </c>
    </row>
    <row r="3727" spans="1:22" x14ac:dyDescent="0.3">
      <c r="A3727" t="str">
        <f t="shared" si="116"/>
        <v>MANTEIGA 5KGITAMBÉ</v>
      </c>
      <c r="B3727" t="str">
        <f t="shared" si="117"/>
        <v>5022847MANTEIGA 5KGITAMBÉ</v>
      </c>
      <c r="C3727" s="5" t="s">
        <v>226</v>
      </c>
      <c r="D3727" s="5" t="s">
        <v>227</v>
      </c>
      <c r="E3727" s="5" t="s">
        <v>231</v>
      </c>
      <c r="F3727" s="5">
        <v>5022847</v>
      </c>
      <c r="G3727" s="5" t="s">
        <v>232</v>
      </c>
      <c r="H3727" s="5" t="s">
        <v>30</v>
      </c>
      <c r="I3727" s="5" t="s">
        <v>27</v>
      </c>
      <c r="J3727" s="5" t="s">
        <v>60</v>
      </c>
      <c r="K3727" s="6">
        <v>0</v>
      </c>
      <c r="L3727" s="7">
        <v>0</v>
      </c>
      <c r="M3727" s="7">
        <v>0</v>
      </c>
      <c r="N3727" s="8">
        <v>0</v>
      </c>
      <c r="O3727" s="8">
        <v>500</v>
      </c>
      <c r="P3727" s="8">
        <v>0</v>
      </c>
      <c r="Q3727" s="8">
        <v>0</v>
      </c>
      <c r="R3727" s="8">
        <v>0</v>
      </c>
      <c r="S3727" s="8">
        <v>0</v>
      </c>
      <c r="T3727" s="5">
        <v>0</v>
      </c>
      <c r="U3727" s="5">
        <v>0</v>
      </c>
      <c r="V3727" s="5">
        <f>VLOOKUP(A3727,Planilha1!B:E,4,0)</f>
        <v>5.819800475298738</v>
      </c>
    </row>
    <row r="3728" spans="1:22" x14ac:dyDescent="0.3">
      <c r="A3728" t="str">
        <f t="shared" si="116"/>
        <v>BLISTERITAMBÉ</v>
      </c>
      <c r="B3728" t="str">
        <f t="shared" si="117"/>
        <v>5175227BLISTERITAMBÉ</v>
      </c>
      <c r="C3728" s="5" t="s">
        <v>149</v>
      </c>
      <c r="D3728" s="5" t="s">
        <v>150</v>
      </c>
      <c r="E3728" s="5" t="s">
        <v>151</v>
      </c>
      <c r="F3728" s="5">
        <v>5175227</v>
      </c>
      <c r="G3728" s="5" t="s">
        <v>204</v>
      </c>
      <c r="H3728" s="5" t="s">
        <v>30</v>
      </c>
      <c r="I3728" s="5" t="s">
        <v>27</v>
      </c>
      <c r="J3728" s="5" t="s">
        <v>199</v>
      </c>
      <c r="K3728" s="6">
        <v>0</v>
      </c>
      <c r="L3728" s="7">
        <v>0</v>
      </c>
      <c r="M3728" s="7">
        <v>0</v>
      </c>
      <c r="N3728" s="7">
        <v>0</v>
      </c>
      <c r="O3728" s="8">
        <v>0</v>
      </c>
      <c r="P3728" s="8">
        <v>0</v>
      </c>
      <c r="Q3728" s="8">
        <v>0</v>
      </c>
      <c r="R3728" s="8">
        <v>0</v>
      </c>
      <c r="S3728" s="8">
        <v>300</v>
      </c>
      <c r="T3728" s="5">
        <v>300</v>
      </c>
      <c r="U3728" s="5">
        <v>384</v>
      </c>
      <c r="V3728" s="5">
        <f>VLOOKUP(A3728,Planilha1!B:E,4,0)</f>
        <v>10.339882680976428</v>
      </c>
    </row>
    <row r="3729" spans="1:22" x14ac:dyDescent="0.3">
      <c r="A3729" t="str">
        <f t="shared" si="116"/>
        <v>COMPOSTOITAMBÉ</v>
      </c>
      <c r="B3729" t="str">
        <f t="shared" si="117"/>
        <v>5189644COMPOSTOITAMBÉ</v>
      </c>
      <c r="C3729" s="5" t="s">
        <v>226</v>
      </c>
      <c r="D3729" s="5" t="s">
        <v>227</v>
      </c>
      <c r="E3729" s="5" t="s">
        <v>231</v>
      </c>
      <c r="F3729" s="5">
        <v>5189644</v>
      </c>
      <c r="G3729" s="5" t="s">
        <v>234</v>
      </c>
      <c r="H3729" s="5" t="s">
        <v>30</v>
      </c>
      <c r="I3729" s="5" t="s">
        <v>27</v>
      </c>
      <c r="J3729" s="5" t="s">
        <v>26</v>
      </c>
      <c r="K3729" s="6">
        <v>0</v>
      </c>
      <c r="L3729" s="7">
        <v>0</v>
      </c>
      <c r="M3729" s="7">
        <v>0</v>
      </c>
      <c r="N3729" s="7">
        <v>0</v>
      </c>
      <c r="O3729" s="8">
        <v>0</v>
      </c>
      <c r="P3729" s="8">
        <v>0</v>
      </c>
      <c r="Q3729" s="8">
        <v>0</v>
      </c>
      <c r="R3729" s="8">
        <v>0</v>
      </c>
      <c r="S3729" s="8">
        <v>10</v>
      </c>
      <c r="T3729" s="5">
        <v>10</v>
      </c>
      <c r="U3729" s="5">
        <v>10</v>
      </c>
      <c r="V3729" s="5">
        <f>VLOOKUP(A3729,Planilha1!B:E,4,0)</f>
        <v>0.15618217875936719</v>
      </c>
    </row>
    <row r="3730" spans="1:22" x14ac:dyDescent="0.3">
      <c r="A3730" t="str">
        <f t="shared" si="116"/>
        <v>CREME UHTITAMBÉ</v>
      </c>
      <c r="B3730" t="str">
        <f t="shared" si="117"/>
        <v>5105392CREME UHTITAMBÉ</v>
      </c>
      <c r="C3730" s="5" t="e">
        <v>#N/A</v>
      </c>
      <c r="D3730" s="5" t="e">
        <v>#N/A</v>
      </c>
      <c r="E3730" s="5" t="e">
        <v>#N/A</v>
      </c>
      <c r="F3730" s="5">
        <v>5105392</v>
      </c>
      <c r="G3730" s="5" t="s">
        <v>1542</v>
      </c>
      <c r="H3730" s="5" t="s">
        <v>1636</v>
      </c>
      <c r="I3730" s="5" t="s">
        <v>27</v>
      </c>
      <c r="J3730" s="5" t="s">
        <v>34</v>
      </c>
      <c r="K3730" s="6">
        <v>0</v>
      </c>
      <c r="L3730" s="7">
        <v>0</v>
      </c>
      <c r="M3730" s="7">
        <v>0</v>
      </c>
      <c r="N3730" s="7">
        <v>0</v>
      </c>
      <c r="O3730" s="8">
        <v>0</v>
      </c>
      <c r="P3730" s="8">
        <v>0</v>
      </c>
      <c r="Q3730" s="8">
        <v>0</v>
      </c>
      <c r="R3730" s="8">
        <v>0</v>
      </c>
      <c r="S3730" s="8">
        <v>12</v>
      </c>
      <c r="T3730" s="5">
        <v>12</v>
      </c>
      <c r="U3730" s="5">
        <v>0</v>
      </c>
      <c r="V3730" s="5">
        <f>VLOOKUP(A3730,Planilha1!B:E,4,0)</f>
        <v>1.2362540170747773</v>
      </c>
    </row>
    <row r="3731" spans="1:22" x14ac:dyDescent="0.3">
      <c r="A3731" t="str">
        <f t="shared" si="116"/>
        <v>DOCE DE LEITEITAMBÉ</v>
      </c>
      <c r="B3731" t="str">
        <f t="shared" si="117"/>
        <v>5105392DOCE DE LEITEITAMBÉ</v>
      </c>
      <c r="C3731" s="5" t="e">
        <v>#N/A</v>
      </c>
      <c r="D3731" s="5" t="e">
        <v>#N/A</v>
      </c>
      <c r="E3731" s="5" t="e">
        <v>#N/A</v>
      </c>
      <c r="F3731" s="5">
        <v>5105392</v>
      </c>
      <c r="G3731" s="5" t="s">
        <v>1542</v>
      </c>
      <c r="H3731" s="5" t="s">
        <v>1636</v>
      </c>
      <c r="I3731" s="5" t="s">
        <v>27</v>
      </c>
      <c r="J3731" s="5" t="s">
        <v>46</v>
      </c>
      <c r="K3731" s="6">
        <v>0</v>
      </c>
      <c r="L3731" s="7">
        <v>0</v>
      </c>
      <c r="M3731" s="7">
        <v>0</v>
      </c>
      <c r="N3731" s="7">
        <v>0</v>
      </c>
      <c r="O3731" s="8">
        <v>0</v>
      </c>
      <c r="P3731" s="8">
        <v>0</v>
      </c>
      <c r="Q3731" s="8">
        <v>0</v>
      </c>
      <c r="R3731" s="8">
        <v>0</v>
      </c>
      <c r="S3731" s="8">
        <v>20</v>
      </c>
      <c r="T3731" s="5">
        <v>20</v>
      </c>
      <c r="U3731" s="5">
        <v>0</v>
      </c>
      <c r="V3731" s="5">
        <f>VLOOKUP(A3731,Planilha1!B:E,4,0)</f>
        <v>5.8210743907543439</v>
      </c>
    </row>
    <row r="3732" spans="1:22" x14ac:dyDescent="0.3">
      <c r="A3732" t="str">
        <f t="shared" si="116"/>
        <v>LEITE CONDENSADOITAMBÉ</v>
      </c>
      <c r="B3732" t="str">
        <f t="shared" si="117"/>
        <v>5105392LEITE CONDENSADOITAMBÉ</v>
      </c>
      <c r="C3732" s="5" t="e">
        <v>#N/A</v>
      </c>
      <c r="D3732" s="5" t="e">
        <v>#N/A</v>
      </c>
      <c r="E3732" s="5" t="e">
        <v>#N/A</v>
      </c>
      <c r="F3732" s="5">
        <v>5105392</v>
      </c>
      <c r="G3732" s="5" t="s">
        <v>1542</v>
      </c>
      <c r="H3732" s="5" t="s">
        <v>1636</v>
      </c>
      <c r="I3732" s="5" t="s">
        <v>27</v>
      </c>
      <c r="J3732" s="5" t="s">
        <v>33</v>
      </c>
      <c r="K3732" s="6">
        <v>0</v>
      </c>
      <c r="L3732" s="7">
        <v>0</v>
      </c>
      <c r="M3732" s="7">
        <v>0</v>
      </c>
      <c r="N3732" s="7">
        <v>0</v>
      </c>
      <c r="O3732" s="8">
        <v>0</v>
      </c>
      <c r="P3732" s="8">
        <v>0</v>
      </c>
      <c r="Q3732" s="8">
        <v>0</v>
      </c>
      <c r="R3732" s="8">
        <v>0</v>
      </c>
      <c r="S3732" s="8">
        <v>200</v>
      </c>
      <c r="T3732" s="5">
        <v>200</v>
      </c>
      <c r="U3732" s="5">
        <v>0</v>
      </c>
      <c r="V3732" s="5">
        <f>VLOOKUP(A3732,Planilha1!B:E,4,0)</f>
        <v>1.4766792698630664</v>
      </c>
    </row>
    <row r="3733" spans="1:22" x14ac:dyDescent="0.3">
      <c r="A3733" t="str">
        <f t="shared" si="116"/>
        <v>LEITE CONDENSADOITAMBÉ</v>
      </c>
      <c r="B3733" t="str">
        <f t="shared" si="117"/>
        <v>5335628LEITE CONDENSADOITAMBÉ</v>
      </c>
      <c r="C3733" s="5" t="s">
        <v>226</v>
      </c>
      <c r="D3733" s="5" t="s">
        <v>727</v>
      </c>
      <c r="E3733" s="5" t="s">
        <v>727</v>
      </c>
      <c r="F3733" s="5">
        <v>5335628</v>
      </c>
      <c r="G3733" s="5" t="s">
        <v>729</v>
      </c>
      <c r="H3733" s="5" t="s">
        <v>25</v>
      </c>
      <c r="I3733" s="5" t="s">
        <v>27</v>
      </c>
      <c r="J3733" s="5" t="s">
        <v>33</v>
      </c>
      <c r="K3733" s="6">
        <v>0</v>
      </c>
      <c r="L3733" s="7">
        <v>0</v>
      </c>
      <c r="M3733" s="7">
        <v>0</v>
      </c>
      <c r="N3733" s="7">
        <v>0</v>
      </c>
      <c r="O3733" s="8">
        <v>0</v>
      </c>
      <c r="P3733" s="8">
        <v>0</v>
      </c>
      <c r="Q3733" s="8">
        <v>0</v>
      </c>
      <c r="R3733" s="8">
        <v>0</v>
      </c>
      <c r="S3733" s="8">
        <v>0</v>
      </c>
      <c r="T3733" s="5">
        <v>0</v>
      </c>
      <c r="U3733" s="5">
        <v>510</v>
      </c>
      <c r="V3733" s="5">
        <f>VLOOKUP(A3733,Planilha1!B:E,4,0)</f>
        <v>1.4766792698630664</v>
      </c>
    </row>
    <row r="3734" spans="1:22" x14ac:dyDescent="0.3">
      <c r="A3734" t="str">
        <f t="shared" si="116"/>
        <v>LEITE EM PÓITAMBÉ</v>
      </c>
      <c r="B3734" t="str">
        <f t="shared" si="117"/>
        <v>5105392LEITE EM PÓITAMBÉ</v>
      </c>
      <c r="C3734" s="5" t="e">
        <v>#N/A</v>
      </c>
      <c r="D3734" s="5" t="e">
        <v>#N/A</v>
      </c>
      <c r="E3734" s="5" t="e">
        <v>#N/A</v>
      </c>
      <c r="F3734" s="5">
        <v>5105392</v>
      </c>
      <c r="G3734" s="5" t="s">
        <v>1542</v>
      </c>
      <c r="H3734" s="5" t="s">
        <v>1636</v>
      </c>
      <c r="I3734" s="5" t="s">
        <v>27</v>
      </c>
      <c r="J3734" s="5" t="s">
        <v>84</v>
      </c>
      <c r="K3734" s="6">
        <v>0</v>
      </c>
      <c r="L3734" s="7">
        <v>0</v>
      </c>
      <c r="M3734" s="7">
        <v>0</v>
      </c>
      <c r="N3734" s="7">
        <v>0</v>
      </c>
      <c r="O3734" s="8">
        <v>0</v>
      </c>
      <c r="P3734" s="8">
        <v>0</v>
      </c>
      <c r="Q3734" s="8">
        <v>0</v>
      </c>
      <c r="R3734" s="8">
        <v>0</v>
      </c>
      <c r="S3734" s="8">
        <v>0</v>
      </c>
      <c r="T3734" s="5">
        <v>0</v>
      </c>
      <c r="U3734" s="5">
        <v>0</v>
      </c>
      <c r="V3734" s="5">
        <f>VLOOKUP(A3734,Planilha1!B:E,4,0)</f>
        <v>4.5971522734997743</v>
      </c>
    </row>
    <row r="3735" spans="1:22" x14ac:dyDescent="0.3">
      <c r="A3735" t="str">
        <f t="shared" si="116"/>
        <v>LEITE UHTLACTALIS</v>
      </c>
      <c r="B3735" t="str">
        <f t="shared" si="117"/>
        <v>5273270LEITE UHTLACTALIS</v>
      </c>
      <c r="C3735" s="5" t="s">
        <v>226</v>
      </c>
      <c r="D3735" s="5" t="s">
        <v>227</v>
      </c>
      <c r="E3735" s="5" t="s">
        <v>1722</v>
      </c>
      <c r="F3735" s="5">
        <v>5273270</v>
      </c>
      <c r="G3735" s="5" t="s">
        <v>612</v>
      </c>
      <c r="H3735" s="5" t="s">
        <v>30</v>
      </c>
      <c r="I3735" s="5" t="s">
        <v>22</v>
      </c>
      <c r="J3735" s="5" t="s">
        <v>156</v>
      </c>
      <c r="K3735" s="6">
        <v>0</v>
      </c>
      <c r="L3735" s="7">
        <v>0</v>
      </c>
      <c r="M3735" s="7">
        <v>0</v>
      </c>
      <c r="N3735" s="7">
        <v>0</v>
      </c>
      <c r="O3735" s="8">
        <v>0</v>
      </c>
      <c r="P3735" s="8">
        <v>0</v>
      </c>
      <c r="Q3735" s="8">
        <v>0</v>
      </c>
      <c r="R3735" s="8">
        <v>0</v>
      </c>
      <c r="S3735" s="8">
        <v>0</v>
      </c>
      <c r="T3735" s="5">
        <v>0</v>
      </c>
      <c r="U3735" s="5">
        <v>0</v>
      </c>
      <c r="V3735" s="5">
        <f>VLOOKUP(A3735,Planilha1!B:E,4,0)</f>
        <v>0.37177548115779385</v>
      </c>
    </row>
    <row r="3736" spans="1:22" x14ac:dyDescent="0.3">
      <c r="A3736" t="str">
        <f t="shared" si="116"/>
        <v>LEITE UHTLACTALIS</v>
      </c>
      <c r="B3736" t="str">
        <f t="shared" si="117"/>
        <v>5291710LEITE UHTLACTALIS</v>
      </c>
      <c r="C3736" s="5" t="s">
        <v>226</v>
      </c>
      <c r="D3736" s="5" t="s">
        <v>227</v>
      </c>
      <c r="E3736" s="5" t="s">
        <v>1722</v>
      </c>
      <c r="F3736" s="5">
        <v>5291710</v>
      </c>
      <c r="G3736" s="5" t="s">
        <v>1337</v>
      </c>
      <c r="H3736" s="5" t="s">
        <v>30</v>
      </c>
      <c r="I3736" s="5" t="s">
        <v>22</v>
      </c>
      <c r="J3736" s="5" t="s">
        <v>156</v>
      </c>
      <c r="K3736" s="6">
        <v>0</v>
      </c>
      <c r="L3736" s="7">
        <v>0</v>
      </c>
      <c r="M3736" s="7">
        <v>0</v>
      </c>
      <c r="N3736" s="7">
        <v>0</v>
      </c>
      <c r="O3736" s="8">
        <v>0</v>
      </c>
      <c r="P3736" s="8">
        <v>0</v>
      </c>
      <c r="Q3736" s="8">
        <v>0</v>
      </c>
      <c r="R3736" s="8">
        <v>0</v>
      </c>
      <c r="S3736" s="8">
        <v>0</v>
      </c>
      <c r="T3736" s="5">
        <v>0</v>
      </c>
      <c r="U3736" s="5">
        <v>0</v>
      </c>
      <c r="V3736" s="5">
        <f>VLOOKUP(A3736,Planilha1!B:E,4,0)</f>
        <v>0.37177548115779385</v>
      </c>
    </row>
    <row r="3737" spans="1:22" x14ac:dyDescent="0.3">
      <c r="A3737" t="str">
        <f t="shared" si="116"/>
        <v>LPD 25KGLACTALIS</v>
      </c>
      <c r="B3737" t="str">
        <f t="shared" si="117"/>
        <v>5143169LPD 25KGLACTALIS</v>
      </c>
      <c r="C3737" s="5" t="s">
        <v>16</v>
      </c>
      <c r="D3737" s="5" t="s">
        <v>53</v>
      </c>
      <c r="E3737" s="5" t="s">
        <v>54</v>
      </c>
      <c r="F3737" s="5">
        <v>5143169</v>
      </c>
      <c r="G3737" s="5" t="s">
        <v>996</v>
      </c>
      <c r="H3737" s="5" t="s">
        <v>30</v>
      </c>
      <c r="I3737" s="5" t="s">
        <v>22</v>
      </c>
      <c r="J3737" s="5" t="s">
        <v>43</v>
      </c>
      <c r="K3737" s="6">
        <v>0</v>
      </c>
      <c r="L3737" s="7">
        <v>12000</v>
      </c>
      <c r="M3737" s="8">
        <v>6041.666666666667</v>
      </c>
      <c r="N3737" s="8">
        <v>5500</v>
      </c>
      <c r="O3737" s="8">
        <v>1767.2623868005517</v>
      </c>
      <c r="P3737" s="8">
        <v>0</v>
      </c>
      <c r="Q3737" s="8">
        <v>0</v>
      </c>
      <c r="R3737" s="8">
        <v>0</v>
      </c>
      <c r="S3737" s="8">
        <v>0</v>
      </c>
      <c r="T3737" s="5">
        <v>0</v>
      </c>
      <c r="U3737" s="5">
        <v>0</v>
      </c>
      <c r="V3737" s="5">
        <f>VLOOKUP(A3737,Planilha1!B:E,4,0)</f>
        <v>5.893629113453061</v>
      </c>
    </row>
    <row r="3738" spans="1:22" x14ac:dyDescent="0.3">
      <c r="A3738" t="str">
        <f t="shared" si="116"/>
        <v>MANTEIGA 5KGITAMBÉ</v>
      </c>
      <c r="B3738" t="str">
        <f t="shared" si="117"/>
        <v>5352254MANTEIGA 5KGITAMBÉ</v>
      </c>
      <c r="C3738" s="5" t="s">
        <v>149</v>
      </c>
      <c r="D3738" s="5" t="s">
        <v>150</v>
      </c>
      <c r="E3738" s="5" t="s">
        <v>186</v>
      </c>
      <c r="F3738" s="5">
        <v>5352254</v>
      </c>
      <c r="G3738" s="5" t="s">
        <v>1637</v>
      </c>
      <c r="H3738" s="5" t="s">
        <v>91</v>
      </c>
      <c r="I3738" s="5" t="s">
        <v>27</v>
      </c>
      <c r="J3738" s="5" t="s">
        <v>60</v>
      </c>
      <c r="K3738" s="6">
        <v>0</v>
      </c>
      <c r="L3738" s="7">
        <v>0</v>
      </c>
      <c r="M3738" s="7">
        <v>0</v>
      </c>
      <c r="N3738" s="7">
        <v>0</v>
      </c>
      <c r="O3738" s="8">
        <v>0</v>
      </c>
      <c r="P3738" s="8">
        <v>0</v>
      </c>
      <c r="Q3738" s="8">
        <v>40</v>
      </c>
      <c r="R3738" s="8">
        <v>0</v>
      </c>
      <c r="S3738" s="8">
        <v>0</v>
      </c>
      <c r="T3738" s="5">
        <v>0</v>
      </c>
      <c r="U3738" s="5">
        <v>60</v>
      </c>
      <c r="V3738" s="5">
        <f>VLOOKUP(A3738,Planilha1!B:E,4,0)</f>
        <v>5.819800475298738</v>
      </c>
    </row>
    <row r="3739" spans="1:22" x14ac:dyDescent="0.3">
      <c r="A3739" t="str">
        <f t="shared" si="116"/>
        <v>MANTEIGA 5KGITAMBÉ</v>
      </c>
      <c r="B3739" t="str">
        <f t="shared" si="117"/>
        <v>5352264MANTEIGA 5KGITAMBÉ</v>
      </c>
      <c r="C3739" s="5" t="s">
        <v>149</v>
      </c>
      <c r="D3739" s="5" t="s">
        <v>150</v>
      </c>
      <c r="E3739" s="5" t="s">
        <v>186</v>
      </c>
      <c r="F3739" s="5">
        <v>5352264</v>
      </c>
      <c r="G3739" s="5" t="s">
        <v>1638</v>
      </c>
      <c r="H3739" s="5" t="s">
        <v>91</v>
      </c>
      <c r="I3739" s="5" t="s">
        <v>27</v>
      </c>
      <c r="J3739" s="5" t="s">
        <v>60</v>
      </c>
      <c r="K3739" s="6">
        <v>0</v>
      </c>
      <c r="L3739" s="7">
        <v>0</v>
      </c>
      <c r="M3739" s="7">
        <v>0</v>
      </c>
      <c r="N3739" s="7">
        <v>0</v>
      </c>
      <c r="O3739" s="8">
        <v>0</v>
      </c>
      <c r="P3739" s="8">
        <v>0</v>
      </c>
      <c r="Q3739" s="8">
        <v>0</v>
      </c>
      <c r="R3739" s="8">
        <v>0</v>
      </c>
      <c r="S3739" s="8">
        <v>0</v>
      </c>
      <c r="T3739" s="5">
        <v>0</v>
      </c>
      <c r="U3739" s="5">
        <v>50</v>
      </c>
      <c r="V3739" s="5">
        <f>VLOOKUP(A3739,Planilha1!B:E,4,0)</f>
        <v>5.819800475298738</v>
      </c>
    </row>
    <row r="3740" spans="1:22" x14ac:dyDescent="0.3">
      <c r="A3740" t="str">
        <f t="shared" si="116"/>
        <v>MERC + AROMITAMBÉ</v>
      </c>
      <c r="B3740" t="str">
        <f t="shared" si="117"/>
        <v>5008636MERC + AROMITAMBÉ</v>
      </c>
      <c r="C3740" s="5" t="s">
        <v>149</v>
      </c>
      <c r="D3740" s="5" t="s">
        <v>150</v>
      </c>
      <c r="E3740" s="5" t="s">
        <v>151</v>
      </c>
      <c r="F3740" s="5">
        <v>5008636</v>
      </c>
      <c r="G3740" s="5" t="s">
        <v>200</v>
      </c>
      <c r="H3740" s="5" t="s">
        <v>154</v>
      </c>
      <c r="I3740" s="5" t="s">
        <v>27</v>
      </c>
      <c r="J3740" s="5" t="s">
        <v>230</v>
      </c>
      <c r="K3740" s="6">
        <v>0</v>
      </c>
      <c r="L3740" s="7">
        <v>0</v>
      </c>
      <c r="M3740" s="7">
        <v>0</v>
      </c>
      <c r="N3740" s="7">
        <v>0</v>
      </c>
      <c r="O3740" s="8">
        <v>0</v>
      </c>
      <c r="P3740" s="8">
        <v>0</v>
      </c>
      <c r="Q3740" s="8">
        <v>972</v>
      </c>
      <c r="R3740" s="8">
        <v>0</v>
      </c>
      <c r="S3740" s="8">
        <v>0</v>
      </c>
      <c r="T3740" s="5">
        <v>0</v>
      </c>
      <c r="U3740" s="5">
        <v>0</v>
      </c>
      <c r="V3740" s="5">
        <f>VLOOKUP(A3740,Planilha1!B:E,4,0)</f>
        <v>1.0384020099151063</v>
      </c>
    </row>
    <row r="3741" spans="1:22" x14ac:dyDescent="0.3">
      <c r="A3741" t="str">
        <f t="shared" si="116"/>
        <v>LEITE EM PÓITAMBÉ</v>
      </c>
      <c r="B3741" t="str">
        <f t="shared" si="117"/>
        <v>5145924LEITE EM PÓITAMBÉ</v>
      </c>
      <c r="C3741" s="5" t="s">
        <v>16</v>
      </c>
      <c r="D3741" s="5" t="s">
        <v>17</v>
      </c>
      <c r="E3741" s="5" t="s">
        <v>66</v>
      </c>
      <c r="F3741" s="5">
        <v>5145924</v>
      </c>
      <c r="G3741" s="5" t="s">
        <v>94</v>
      </c>
      <c r="H3741" s="5" t="s">
        <v>25</v>
      </c>
      <c r="I3741" s="5" t="s">
        <v>27</v>
      </c>
      <c r="J3741" s="5" t="s">
        <v>84</v>
      </c>
      <c r="K3741" s="6">
        <v>0</v>
      </c>
      <c r="L3741" s="7">
        <v>8000</v>
      </c>
      <c r="M3741" s="8">
        <v>3083.333333333333</v>
      </c>
      <c r="N3741" s="8">
        <v>3500</v>
      </c>
      <c r="O3741" s="8">
        <v>0</v>
      </c>
      <c r="P3741" s="8">
        <v>0</v>
      </c>
      <c r="Q3741" s="8">
        <v>0</v>
      </c>
      <c r="R3741" s="8">
        <v>0</v>
      </c>
      <c r="S3741" s="8">
        <v>0</v>
      </c>
      <c r="T3741" s="5">
        <v>0</v>
      </c>
      <c r="U3741" s="5">
        <v>0</v>
      </c>
      <c r="V3741" s="5">
        <f>VLOOKUP(A3741,Planilha1!B:E,4,0)</f>
        <v>4.5971522734997743</v>
      </c>
    </row>
    <row r="3742" spans="1:22" x14ac:dyDescent="0.3">
      <c r="A3742" t="str">
        <f t="shared" si="116"/>
        <v>LPD 25KGITAMBÉ</v>
      </c>
      <c r="B3742" t="str">
        <f t="shared" si="117"/>
        <v>5145924LPD 25KGITAMBÉ</v>
      </c>
      <c r="C3742" s="5" t="s">
        <v>16</v>
      </c>
      <c r="D3742" s="5" t="s">
        <v>17</v>
      </c>
      <c r="E3742" s="5" t="s">
        <v>66</v>
      </c>
      <c r="F3742" s="5">
        <v>5145924</v>
      </c>
      <c r="G3742" s="5" t="s">
        <v>94</v>
      </c>
      <c r="H3742" s="5" t="s">
        <v>25</v>
      </c>
      <c r="I3742" s="5" t="s">
        <v>27</v>
      </c>
      <c r="J3742" s="5" t="s">
        <v>43</v>
      </c>
      <c r="K3742" s="6">
        <v>0</v>
      </c>
      <c r="L3742" s="7">
        <v>24000</v>
      </c>
      <c r="M3742" s="8">
        <v>24000</v>
      </c>
      <c r="N3742" s="8">
        <v>32000</v>
      </c>
      <c r="O3742" s="8">
        <v>57686.344575630494</v>
      </c>
      <c r="P3742" s="8">
        <v>0</v>
      </c>
      <c r="Q3742" s="8">
        <v>49000</v>
      </c>
      <c r="R3742" s="8">
        <v>0</v>
      </c>
      <c r="S3742" s="8">
        <v>0</v>
      </c>
      <c r="T3742" s="5">
        <v>72000</v>
      </c>
      <c r="U3742" s="5">
        <v>0</v>
      </c>
      <c r="V3742" s="5">
        <f>VLOOKUP(A3742,Planilha1!B:E,4,0)</f>
        <v>3.3372177319587628</v>
      </c>
    </row>
    <row r="3743" spans="1:22" x14ac:dyDescent="0.3">
      <c r="A3743" t="str">
        <f t="shared" si="116"/>
        <v>LPD 25KGITAMBÉ</v>
      </c>
      <c r="B3743" t="str">
        <f t="shared" si="117"/>
        <v>5157826LPD 25KGITAMBÉ</v>
      </c>
      <c r="C3743" s="5" t="s">
        <v>16</v>
      </c>
      <c r="D3743" s="5" t="s">
        <v>28</v>
      </c>
      <c r="E3743" s="5" t="s">
        <v>28</v>
      </c>
      <c r="F3743" s="5">
        <v>5157826</v>
      </c>
      <c r="G3743" s="5" t="s">
        <v>1639</v>
      </c>
      <c r="H3743" s="5" t="s">
        <v>30</v>
      </c>
      <c r="I3743" s="5" t="s">
        <v>27</v>
      </c>
      <c r="J3743" s="5" t="s">
        <v>43</v>
      </c>
      <c r="K3743" s="6">
        <v>0</v>
      </c>
      <c r="L3743" s="7">
        <v>24000</v>
      </c>
      <c r="M3743" s="8">
        <v>7891.6666666666661</v>
      </c>
      <c r="N3743" s="8">
        <v>8000</v>
      </c>
      <c r="O3743" s="8">
        <v>3737.0249134994228</v>
      </c>
      <c r="P3743" s="8">
        <v>0</v>
      </c>
      <c r="Q3743" s="8">
        <v>0</v>
      </c>
      <c r="R3743" s="8">
        <v>0</v>
      </c>
      <c r="S3743" s="8">
        <v>0</v>
      </c>
      <c r="T3743" s="5">
        <v>0</v>
      </c>
      <c r="U3743" s="5">
        <v>0</v>
      </c>
      <c r="V3743" s="5">
        <f>VLOOKUP(A3743,Planilha1!B:E,4,0)</f>
        <v>3.3372177319587628</v>
      </c>
    </row>
    <row r="3744" spans="1:22" x14ac:dyDescent="0.3">
      <c r="A3744" t="str">
        <f t="shared" si="116"/>
        <v>LEITE EM PÓITAMBÉ</v>
      </c>
      <c r="B3744" t="str">
        <f t="shared" si="117"/>
        <v>5160241LEITE EM PÓITAMBÉ</v>
      </c>
      <c r="C3744" s="5" t="s">
        <v>16</v>
      </c>
      <c r="D3744" s="5" t="s">
        <v>17</v>
      </c>
      <c r="E3744" s="5" t="s">
        <v>66</v>
      </c>
      <c r="F3744" s="5">
        <v>5160241</v>
      </c>
      <c r="G3744" s="5" t="s">
        <v>95</v>
      </c>
      <c r="H3744" s="5" t="s">
        <v>96</v>
      </c>
      <c r="I3744" s="5" t="s">
        <v>27</v>
      </c>
      <c r="J3744" s="5" t="s">
        <v>84</v>
      </c>
      <c r="K3744" s="6">
        <v>0</v>
      </c>
      <c r="L3744" s="7">
        <v>3000</v>
      </c>
      <c r="M3744" s="7">
        <v>0</v>
      </c>
      <c r="N3744" s="8">
        <v>0</v>
      </c>
      <c r="O3744" s="8">
        <v>367.92597460070556</v>
      </c>
      <c r="P3744" s="8">
        <v>0</v>
      </c>
      <c r="Q3744" s="8">
        <v>0</v>
      </c>
      <c r="R3744" s="8">
        <v>0</v>
      </c>
      <c r="S3744" s="8">
        <v>0</v>
      </c>
      <c r="T3744" s="5">
        <v>0</v>
      </c>
      <c r="U3744" s="5">
        <v>0</v>
      </c>
      <c r="V3744" s="5">
        <f>VLOOKUP(A3744,Planilha1!B:E,4,0)</f>
        <v>4.5971522734997743</v>
      </c>
    </row>
    <row r="3745" spans="1:22" x14ac:dyDescent="0.3">
      <c r="A3745" t="str">
        <f t="shared" si="116"/>
        <v>LPD 25KGITAMBÉ</v>
      </c>
      <c r="B3745" t="str">
        <f t="shared" si="117"/>
        <v>5160241LPD 25KGITAMBÉ</v>
      </c>
      <c r="C3745" s="5" t="s">
        <v>16</v>
      </c>
      <c r="D3745" s="5" t="s">
        <v>17</v>
      </c>
      <c r="E3745" s="5" t="s">
        <v>66</v>
      </c>
      <c r="F3745" s="5">
        <v>5160241</v>
      </c>
      <c r="G3745" s="5" t="s">
        <v>95</v>
      </c>
      <c r="H3745" s="5" t="s">
        <v>96</v>
      </c>
      <c r="I3745" s="5" t="s">
        <v>27</v>
      </c>
      <c r="J3745" s="5" t="s">
        <v>43</v>
      </c>
      <c r="K3745" s="6">
        <v>0</v>
      </c>
      <c r="L3745" s="7">
        <v>48000</v>
      </c>
      <c r="M3745" s="8">
        <v>32000</v>
      </c>
      <c r="N3745" s="8">
        <v>32000</v>
      </c>
      <c r="O3745" s="8">
        <v>19784.771898479321</v>
      </c>
      <c r="P3745" s="8">
        <v>0</v>
      </c>
      <c r="Q3745" s="8">
        <v>24000</v>
      </c>
      <c r="R3745" s="8">
        <v>0</v>
      </c>
      <c r="S3745" s="8">
        <v>0</v>
      </c>
      <c r="T3745" s="5">
        <v>24000</v>
      </c>
      <c r="U3745" s="5">
        <v>0</v>
      </c>
      <c r="V3745" s="5">
        <f>VLOOKUP(A3745,Planilha1!B:E,4,0)</f>
        <v>3.3372177319587628</v>
      </c>
    </row>
    <row r="3746" spans="1:22" x14ac:dyDescent="0.3">
      <c r="A3746" t="str">
        <f t="shared" si="116"/>
        <v>LPI 25KGLACTALIS</v>
      </c>
      <c r="B3746" t="str">
        <f t="shared" si="117"/>
        <v>5160918LPI 25KGLACTALIS</v>
      </c>
      <c r="C3746" s="5" t="s">
        <v>16</v>
      </c>
      <c r="D3746" s="5" t="s">
        <v>53</v>
      </c>
      <c r="E3746" s="5" t="s">
        <v>54</v>
      </c>
      <c r="F3746" s="5">
        <v>5160918</v>
      </c>
      <c r="G3746" s="5" t="s">
        <v>1640</v>
      </c>
      <c r="H3746" s="5" t="s">
        <v>103</v>
      </c>
      <c r="I3746" s="5" t="s">
        <v>22</v>
      </c>
      <c r="J3746" s="5" t="s">
        <v>21</v>
      </c>
      <c r="K3746" s="6">
        <v>0</v>
      </c>
      <c r="L3746" s="7">
        <v>0</v>
      </c>
      <c r="M3746" s="8">
        <v>36000</v>
      </c>
      <c r="N3746" s="8">
        <v>56000</v>
      </c>
      <c r="O3746" s="8">
        <v>18387.207351771885</v>
      </c>
      <c r="P3746" s="8">
        <v>0</v>
      </c>
      <c r="Q3746" s="8">
        <v>0</v>
      </c>
      <c r="R3746" s="8">
        <v>0</v>
      </c>
      <c r="S3746" s="8">
        <v>0</v>
      </c>
      <c r="T3746" s="5">
        <v>0</v>
      </c>
      <c r="U3746" s="5">
        <v>0</v>
      </c>
      <c r="V3746" s="5">
        <f>VLOOKUP(A3746,Planilha1!B:E,4,0)</f>
        <v>-4.3046759024811481</v>
      </c>
    </row>
    <row r="3747" spans="1:22" x14ac:dyDescent="0.3">
      <c r="A3747" t="str">
        <f t="shared" si="116"/>
        <v>MANTEIGA 5KGLACTALIS</v>
      </c>
      <c r="B3747" t="str">
        <f t="shared" si="117"/>
        <v>5363684MANTEIGA 5KGLACTALIS</v>
      </c>
      <c r="C3747" s="5" t="s">
        <v>226</v>
      </c>
      <c r="D3747" s="5" t="s">
        <v>227</v>
      </c>
      <c r="E3747" s="5" t="s">
        <v>1722</v>
      </c>
      <c r="F3747" s="5">
        <v>5363684</v>
      </c>
      <c r="G3747" s="5" t="s">
        <v>1641</v>
      </c>
      <c r="H3747" s="5" t="s">
        <v>30</v>
      </c>
      <c r="I3747" s="5" t="s">
        <v>22</v>
      </c>
      <c r="J3747" s="5" t="s">
        <v>60</v>
      </c>
      <c r="K3747" s="6">
        <v>0</v>
      </c>
      <c r="L3747" s="7">
        <v>0</v>
      </c>
      <c r="M3747" s="7">
        <v>0</v>
      </c>
      <c r="N3747" s="7">
        <v>0</v>
      </c>
      <c r="O3747" s="8">
        <v>0</v>
      </c>
      <c r="P3747" s="8">
        <v>0</v>
      </c>
      <c r="Q3747" s="8">
        <v>0</v>
      </c>
      <c r="R3747" s="8">
        <v>0</v>
      </c>
      <c r="S3747" s="8">
        <v>85</v>
      </c>
      <c r="T3747" s="5">
        <v>85</v>
      </c>
      <c r="U3747" s="5">
        <v>45</v>
      </c>
      <c r="V3747" s="5">
        <f>VLOOKUP(A3747,Planilha1!B:E,4,0)</f>
        <v>11.476197020267191</v>
      </c>
    </row>
    <row r="3748" spans="1:22" x14ac:dyDescent="0.3">
      <c r="A3748" t="str">
        <f t="shared" si="116"/>
        <v>IOGURTESLACTALIS</v>
      </c>
      <c r="B3748" t="str">
        <f t="shared" si="117"/>
        <v>5296689IOGURTESLACTALIS</v>
      </c>
      <c r="C3748" s="5" t="e">
        <v>#N/A</v>
      </c>
      <c r="D3748" s="5" t="e">
        <v>#N/A</v>
      </c>
      <c r="E3748" s="5" t="e">
        <v>#N/A</v>
      </c>
      <c r="F3748" s="5">
        <v>5296689</v>
      </c>
      <c r="G3748" s="5" t="s">
        <v>1542</v>
      </c>
      <c r="H3748" s="5" t="s">
        <v>1636</v>
      </c>
      <c r="I3748" s="5" t="s">
        <v>22</v>
      </c>
      <c r="J3748" s="5" t="s">
        <v>153</v>
      </c>
      <c r="K3748" s="6">
        <v>0</v>
      </c>
      <c r="L3748" s="7">
        <v>0</v>
      </c>
      <c r="M3748" s="7">
        <v>0</v>
      </c>
      <c r="N3748" s="7">
        <v>0</v>
      </c>
      <c r="O3748" s="8">
        <v>0</v>
      </c>
      <c r="P3748" s="8">
        <v>0</v>
      </c>
      <c r="Q3748" s="8">
        <v>0</v>
      </c>
      <c r="R3748" s="8">
        <v>0</v>
      </c>
      <c r="S3748" s="8">
        <v>0</v>
      </c>
      <c r="T3748" s="5">
        <v>0</v>
      </c>
      <c r="U3748" s="5">
        <v>0</v>
      </c>
      <c r="V3748" s="5">
        <f>VLOOKUP(A3748,Planilha1!B:E,4,0)</f>
        <v>3.0503167986984403</v>
      </c>
    </row>
    <row r="3749" spans="1:22" x14ac:dyDescent="0.3">
      <c r="A3749" t="str">
        <f t="shared" si="116"/>
        <v>IOGURTESLACTALIS</v>
      </c>
      <c r="B3749" t="str">
        <f t="shared" si="117"/>
        <v>5363625IOGURTESLACTALIS</v>
      </c>
      <c r="C3749" s="5" t="e">
        <v>#N/A</v>
      </c>
      <c r="D3749" s="5" t="e">
        <v>#N/A</v>
      </c>
      <c r="E3749" s="5" t="e">
        <v>#N/A</v>
      </c>
      <c r="F3749" s="5">
        <v>5363625</v>
      </c>
      <c r="G3749" s="5" t="s">
        <v>1542</v>
      </c>
      <c r="H3749" s="5" t="s">
        <v>1636</v>
      </c>
      <c r="I3749" s="5" t="s">
        <v>22</v>
      </c>
      <c r="J3749" s="5" t="s">
        <v>153</v>
      </c>
      <c r="K3749" s="6">
        <v>0</v>
      </c>
      <c r="L3749" s="7">
        <v>0</v>
      </c>
      <c r="M3749" s="7">
        <v>0</v>
      </c>
      <c r="N3749" s="7">
        <v>0</v>
      </c>
      <c r="O3749" s="8">
        <v>0</v>
      </c>
      <c r="P3749" s="8">
        <v>0</v>
      </c>
      <c r="Q3749" s="8">
        <v>0</v>
      </c>
      <c r="R3749" s="8">
        <v>0</v>
      </c>
      <c r="S3749" s="8">
        <v>0</v>
      </c>
      <c r="T3749" s="5">
        <v>0</v>
      </c>
      <c r="U3749" s="5">
        <v>0</v>
      </c>
      <c r="V3749" s="5">
        <f>VLOOKUP(A3749,Planilha1!B:E,4,0)</f>
        <v>3.0503167986984403</v>
      </c>
    </row>
    <row r="3750" spans="1:22" x14ac:dyDescent="0.3">
      <c r="A3750" t="str">
        <f t="shared" si="116"/>
        <v>LEITE EM PÓLACTALIS</v>
      </c>
      <c r="B3750" t="str">
        <f t="shared" si="117"/>
        <v>5363625LEITE EM PÓLACTALIS</v>
      </c>
      <c r="C3750" s="5" t="e">
        <v>#N/A</v>
      </c>
      <c r="D3750" s="5" t="e">
        <v>#N/A</v>
      </c>
      <c r="E3750" s="5" t="e">
        <v>#N/A</v>
      </c>
      <c r="F3750" s="5">
        <v>5363625</v>
      </c>
      <c r="G3750" s="5" t="s">
        <v>1542</v>
      </c>
      <c r="H3750" s="5" t="s">
        <v>1636</v>
      </c>
      <c r="I3750" s="5" t="s">
        <v>22</v>
      </c>
      <c r="J3750" s="5" t="s">
        <v>84</v>
      </c>
      <c r="K3750" s="6">
        <v>0</v>
      </c>
      <c r="L3750" s="7">
        <v>0</v>
      </c>
      <c r="M3750" s="7">
        <v>0</v>
      </c>
      <c r="N3750" s="7">
        <v>0</v>
      </c>
      <c r="O3750" s="8">
        <v>0</v>
      </c>
      <c r="P3750" s="8">
        <v>0</v>
      </c>
      <c r="Q3750" s="8">
        <v>0</v>
      </c>
      <c r="R3750" s="8">
        <v>0</v>
      </c>
      <c r="S3750" s="8">
        <v>0</v>
      </c>
      <c r="T3750" s="5">
        <v>0</v>
      </c>
      <c r="U3750" s="5">
        <v>0</v>
      </c>
      <c r="V3750" s="5">
        <f>VLOOKUP(A3750,Planilha1!B:E,4,0)</f>
        <v>-2.8055507108797499</v>
      </c>
    </row>
    <row r="3751" spans="1:22" x14ac:dyDescent="0.3">
      <c r="A3751" t="str">
        <f t="shared" si="116"/>
        <v>LEITE UHTLACTALIS</v>
      </c>
      <c r="B3751" t="str">
        <f t="shared" si="117"/>
        <v>5058881LEITE UHTLACTALIS</v>
      </c>
      <c r="C3751" s="5" t="s">
        <v>149</v>
      </c>
      <c r="D3751" s="5" t="s">
        <v>150</v>
      </c>
      <c r="E3751" s="5" t="s">
        <v>151</v>
      </c>
      <c r="F3751" s="5">
        <v>5058881</v>
      </c>
      <c r="G3751" s="5" t="s">
        <v>200</v>
      </c>
      <c r="H3751" s="5" t="s">
        <v>30</v>
      </c>
      <c r="I3751" s="5" t="s">
        <v>22</v>
      </c>
      <c r="J3751" s="5" t="s">
        <v>156</v>
      </c>
      <c r="K3751" s="6">
        <v>0</v>
      </c>
      <c r="L3751" s="7">
        <v>0</v>
      </c>
      <c r="M3751" s="7">
        <v>0</v>
      </c>
      <c r="N3751" s="7">
        <v>0</v>
      </c>
      <c r="O3751" s="8">
        <v>0</v>
      </c>
      <c r="P3751" s="8">
        <v>0</v>
      </c>
      <c r="Q3751" s="8">
        <v>720</v>
      </c>
      <c r="R3751" s="8">
        <v>0</v>
      </c>
      <c r="S3751" s="8">
        <v>0</v>
      </c>
      <c r="T3751" s="5">
        <v>0</v>
      </c>
      <c r="U3751" s="5">
        <v>0</v>
      </c>
      <c r="V3751" s="5">
        <f>VLOOKUP(A3751,Planilha1!B:E,4,0)</f>
        <v>0.37177548115779385</v>
      </c>
    </row>
    <row r="3752" spans="1:22" x14ac:dyDescent="0.3">
      <c r="A3752" t="str">
        <f t="shared" si="116"/>
        <v>LEITE UHTLACTALIS</v>
      </c>
      <c r="B3752" t="str">
        <f t="shared" si="117"/>
        <v>5262254LEITE UHTLACTALIS</v>
      </c>
      <c r="C3752" s="5" t="e">
        <v>#N/A</v>
      </c>
      <c r="D3752" s="5" t="e">
        <v>#N/A</v>
      </c>
      <c r="E3752" s="5" t="e">
        <v>#N/A</v>
      </c>
      <c r="F3752" s="5">
        <v>5262254</v>
      </c>
      <c r="G3752" s="5" t="s">
        <v>1542</v>
      </c>
      <c r="H3752" s="5" t="s">
        <v>1636</v>
      </c>
      <c r="I3752" s="5" t="s">
        <v>22</v>
      </c>
      <c r="J3752" s="5" t="s">
        <v>156</v>
      </c>
      <c r="K3752" s="6">
        <v>0</v>
      </c>
      <c r="L3752" s="7">
        <v>0</v>
      </c>
      <c r="M3752" s="7">
        <v>0</v>
      </c>
      <c r="N3752" s="7">
        <v>0</v>
      </c>
      <c r="O3752" s="8">
        <v>0</v>
      </c>
      <c r="P3752" s="8">
        <v>0</v>
      </c>
      <c r="Q3752" s="8">
        <v>0</v>
      </c>
      <c r="R3752" s="8">
        <v>0</v>
      </c>
      <c r="S3752" s="8">
        <v>0</v>
      </c>
      <c r="T3752" s="5">
        <v>0</v>
      </c>
      <c r="U3752" s="5">
        <v>0</v>
      </c>
      <c r="V3752" s="5">
        <f>VLOOKUP(A3752,Planilha1!B:E,4,0)</f>
        <v>0.37177548115779385</v>
      </c>
    </row>
    <row r="3753" spans="1:22" x14ac:dyDescent="0.3">
      <c r="A3753" t="str">
        <f t="shared" si="116"/>
        <v>LEITE UHTLACTALIS</v>
      </c>
      <c r="B3753" t="str">
        <f t="shared" si="117"/>
        <v>5296689LEITE UHTLACTALIS</v>
      </c>
      <c r="C3753" s="5" t="e">
        <v>#N/A</v>
      </c>
      <c r="D3753" s="5" t="e">
        <v>#N/A</v>
      </c>
      <c r="E3753" s="5" t="e">
        <v>#N/A</v>
      </c>
      <c r="F3753" s="5">
        <v>5296689</v>
      </c>
      <c r="G3753" s="5" t="s">
        <v>1542</v>
      </c>
      <c r="H3753" s="5" t="s">
        <v>1636</v>
      </c>
      <c r="I3753" s="5" t="s">
        <v>22</v>
      </c>
      <c r="J3753" s="5" t="s">
        <v>156</v>
      </c>
      <c r="K3753" s="6">
        <v>0</v>
      </c>
      <c r="L3753" s="7">
        <v>0</v>
      </c>
      <c r="M3753" s="7">
        <v>0</v>
      </c>
      <c r="N3753" s="7">
        <v>0</v>
      </c>
      <c r="O3753" s="8">
        <v>0</v>
      </c>
      <c r="P3753" s="8">
        <v>0</v>
      </c>
      <c r="Q3753" s="8">
        <v>0</v>
      </c>
      <c r="R3753" s="8">
        <v>0</v>
      </c>
      <c r="S3753" s="8">
        <v>0</v>
      </c>
      <c r="T3753" s="5">
        <v>0</v>
      </c>
      <c r="U3753" s="5">
        <v>0</v>
      </c>
      <c r="V3753" s="5">
        <f>VLOOKUP(A3753,Planilha1!B:E,4,0)</f>
        <v>0.37177548115779385</v>
      </c>
    </row>
    <row r="3754" spans="1:22" x14ac:dyDescent="0.3">
      <c r="A3754" t="str">
        <f t="shared" si="116"/>
        <v>LEITE UHTLACTALIS</v>
      </c>
      <c r="B3754" t="str">
        <f t="shared" si="117"/>
        <v>5352967LEITE UHTLACTALIS</v>
      </c>
      <c r="C3754" s="5" t="e">
        <v>#N/A</v>
      </c>
      <c r="D3754" s="5" t="e">
        <v>#N/A</v>
      </c>
      <c r="E3754" s="5" t="e">
        <v>#N/A</v>
      </c>
      <c r="F3754" s="5">
        <v>5352967</v>
      </c>
      <c r="G3754" s="5" t="s">
        <v>1542</v>
      </c>
      <c r="H3754" s="5" t="s">
        <v>1636</v>
      </c>
      <c r="I3754" s="5" t="s">
        <v>22</v>
      </c>
      <c r="J3754" s="5" t="s">
        <v>156</v>
      </c>
      <c r="K3754" s="6">
        <v>0</v>
      </c>
      <c r="L3754" s="7">
        <v>0</v>
      </c>
      <c r="M3754" s="7">
        <v>0</v>
      </c>
      <c r="N3754" s="7">
        <v>0</v>
      </c>
      <c r="O3754" s="8">
        <v>0</v>
      </c>
      <c r="P3754" s="8">
        <v>0</v>
      </c>
      <c r="Q3754" s="8">
        <v>60</v>
      </c>
      <c r="R3754" s="8">
        <v>0</v>
      </c>
      <c r="S3754" s="8">
        <v>0</v>
      </c>
      <c r="T3754" s="5">
        <v>0</v>
      </c>
      <c r="U3754" s="5">
        <v>0</v>
      </c>
      <c r="V3754" s="5">
        <f>VLOOKUP(A3754,Planilha1!B:E,4,0)</f>
        <v>0.37177548115779385</v>
      </c>
    </row>
    <row r="3755" spans="1:22" x14ac:dyDescent="0.3">
      <c r="A3755" t="str">
        <f t="shared" si="116"/>
        <v>CREME UHTITAMBÉ</v>
      </c>
      <c r="B3755" t="str">
        <f t="shared" si="117"/>
        <v>5161583CREME UHTITAMBÉ</v>
      </c>
      <c r="C3755" s="5" t="s">
        <v>16</v>
      </c>
      <c r="D3755" s="5" t="s">
        <v>17</v>
      </c>
      <c r="E3755" s="5" t="s">
        <v>44</v>
      </c>
      <c r="F3755" s="5">
        <v>5161583</v>
      </c>
      <c r="G3755" s="5" t="s">
        <v>59</v>
      </c>
      <c r="H3755" s="5" t="s">
        <v>30</v>
      </c>
      <c r="I3755" s="5" t="s">
        <v>27</v>
      </c>
      <c r="J3755" s="5" t="s">
        <v>34</v>
      </c>
      <c r="K3755" s="6">
        <v>0</v>
      </c>
      <c r="L3755" s="7">
        <v>666.59999999999991</v>
      </c>
      <c r="M3755" s="8">
        <v>264.62</v>
      </c>
      <c r="N3755" s="8">
        <v>380</v>
      </c>
      <c r="O3755" s="8">
        <v>35.998600054442335</v>
      </c>
      <c r="P3755" s="8">
        <v>0</v>
      </c>
      <c r="Q3755" s="8">
        <v>0</v>
      </c>
      <c r="R3755" s="8">
        <v>0</v>
      </c>
      <c r="S3755" s="8">
        <v>0</v>
      </c>
      <c r="T3755" s="5">
        <v>0</v>
      </c>
      <c r="U3755" s="5">
        <v>0</v>
      </c>
      <c r="V3755" s="5">
        <f>VLOOKUP(A3755,Planilha1!B:E,4,0)</f>
        <v>1.2362540170747773</v>
      </c>
    </row>
    <row r="3756" spans="1:22" x14ac:dyDescent="0.3">
      <c r="A3756" t="str">
        <f t="shared" si="116"/>
        <v>LPD 25KGITAMBÉ</v>
      </c>
      <c r="B3756" t="str">
        <f t="shared" si="117"/>
        <v>5162170LPD 25KGITAMBÉ</v>
      </c>
      <c r="C3756" s="5" t="s">
        <v>16</v>
      </c>
      <c r="D3756" s="5" t="s">
        <v>17</v>
      </c>
      <c r="E3756" s="5" t="s">
        <v>66</v>
      </c>
      <c r="F3756" s="5">
        <v>5162170</v>
      </c>
      <c r="G3756" s="5" t="s">
        <v>97</v>
      </c>
      <c r="H3756" s="5" t="s">
        <v>30</v>
      </c>
      <c r="I3756" s="5" t="s">
        <v>27</v>
      </c>
      <c r="J3756" s="5" t="s">
        <v>43</v>
      </c>
      <c r="K3756" s="6">
        <v>0</v>
      </c>
      <c r="L3756" s="7">
        <v>0</v>
      </c>
      <c r="M3756" s="8">
        <v>45833.333333333336</v>
      </c>
      <c r="N3756" s="8">
        <v>66666.666666666672</v>
      </c>
      <c r="O3756" s="8">
        <v>0</v>
      </c>
      <c r="P3756" s="8">
        <v>0</v>
      </c>
      <c r="Q3756" s="8">
        <v>225000</v>
      </c>
      <c r="R3756" s="8">
        <v>0</v>
      </c>
      <c r="S3756" s="8">
        <v>0</v>
      </c>
      <c r="T3756" s="5">
        <v>225000</v>
      </c>
      <c r="U3756" s="5">
        <v>0</v>
      </c>
      <c r="V3756" s="5">
        <f>VLOOKUP(A3756,Planilha1!B:E,4,0)</f>
        <v>3.3372177319587628</v>
      </c>
    </row>
    <row r="3757" spans="1:22" x14ac:dyDescent="0.3">
      <c r="A3757" t="str">
        <f t="shared" si="116"/>
        <v>LPI 25KGITAMBÉ</v>
      </c>
      <c r="B3757" t="str">
        <f t="shared" si="117"/>
        <v>5162170LPI 25KGITAMBÉ</v>
      </c>
      <c r="C3757" s="5" t="s">
        <v>16</v>
      </c>
      <c r="D3757" s="5" t="s">
        <v>17</v>
      </c>
      <c r="E3757" s="5" t="s">
        <v>66</v>
      </c>
      <c r="F3757" s="5">
        <v>5162170</v>
      </c>
      <c r="G3757" s="5" t="s">
        <v>97</v>
      </c>
      <c r="H3757" s="5" t="s">
        <v>30</v>
      </c>
      <c r="I3757" s="5" t="s">
        <v>27</v>
      </c>
      <c r="J3757" s="5" t="s">
        <v>21</v>
      </c>
      <c r="K3757" s="6">
        <v>0</v>
      </c>
      <c r="L3757" s="7">
        <v>0</v>
      </c>
      <c r="M3757" s="8">
        <v>95666.666666666657</v>
      </c>
      <c r="N3757" s="8">
        <v>174666.66666666666</v>
      </c>
      <c r="O3757" s="8">
        <v>0</v>
      </c>
      <c r="P3757" s="8">
        <v>0</v>
      </c>
      <c r="Q3757" s="8">
        <v>100000</v>
      </c>
      <c r="R3757" s="8">
        <v>0</v>
      </c>
      <c r="S3757" s="8">
        <v>0</v>
      </c>
      <c r="T3757" s="5">
        <v>100000</v>
      </c>
      <c r="U3757" s="5">
        <v>0</v>
      </c>
      <c r="V3757" s="5">
        <f>VLOOKUP(A3757,Planilha1!B:E,4,0)</f>
        <v>-1.218192805504376</v>
      </c>
    </row>
    <row r="3758" spans="1:22" x14ac:dyDescent="0.3">
      <c r="A3758" t="str">
        <f t="shared" si="116"/>
        <v>COMPOSTOITAMBÉ</v>
      </c>
      <c r="B3758" t="str">
        <f t="shared" si="117"/>
        <v>5168003COMPOSTOITAMBÉ</v>
      </c>
      <c r="C3758" s="5" t="s">
        <v>16</v>
      </c>
      <c r="D3758" s="5" t="s">
        <v>17</v>
      </c>
      <c r="E3758" s="5" t="s">
        <v>17</v>
      </c>
      <c r="F3758" s="5">
        <v>5168003</v>
      </c>
      <c r="G3758" s="5" t="s">
        <v>1642</v>
      </c>
      <c r="H3758" s="5" t="s">
        <v>40</v>
      </c>
      <c r="I3758" s="5" t="s">
        <v>27</v>
      </c>
      <c r="J3758" s="5" t="s">
        <v>26</v>
      </c>
      <c r="K3758" s="6">
        <v>0</v>
      </c>
      <c r="L3758" s="7">
        <v>0</v>
      </c>
      <c r="M3758" s="7">
        <v>0</v>
      </c>
      <c r="N3758" s="7">
        <v>0</v>
      </c>
      <c r="O3758" s="7">
        <v>0</v>
      </c>
      <c r="P3758" s="8">
        <v>0</v>
      </c>
      <c r="Q3758" s="8">
        <v>0</v>
      </c>
      <c r="R3758" s="8">
        <v>0</v>
      </c>
      <c r="S3758" s="8">
        <v>0</v>
      </c>
      <c r="T3758" s="5">
        <v>0</v>
      </c>
      <c r="U3758" s="5">
        <v>0</v>
      </c>
      <c r="V3758" s="5">
        <f>VLOOKUP(A3758,Planilha1!B:E,4,0)</f>
        <v>0.15618217875936719</v>
      </c>
    </row>
    <row r="3759" spans="1:22" x14ac:dyDescent="0.3">
      <c r="A3759" t="str">
        <f t="shared" si="116"/>
        <v>LPD 25KGLACTALIS</v>
      </c>
      <c r="B3759" t="str">
        <f t="shared" si="117"/>
        <v>5170056LPD 25KGLACTALIS</v>
      </c>
      <c r="C3759" s="5" t="s">
        <v>16</v>
      </c>
      <c r="D3759" s="5" t="s">
        <v>53</v>
      </c>
      <c r="E3759" s="5" t="s">
        <v>54</v>
      </c>
      <c r="F3759" s="5">
        <v>5170056</v>
      </c>
      <c r="G3759" s="5" t="s">
        <v>1643</v>
      </c>
      <c r="H3759" s="5" t="s">
        <v>30</v>
      </c>
      <c r="I3759" s="5" t="s">
        <v>22</v>
      </c>
      <c r="J3759" s="5" t="s">
        <v>43</v>
      </c>
      <c r="K3759" s="6">
        <v>0</v>
      </c>
      <c r="L3759" s="7">
        <v>-125</v>
      </c>
      <c r="M3759" s="8">
        <v>41.666666666666664</v>
      </c>
      <c r="N3759" s="8">
        <v>0</v>
      </c>
      <c r="O3759" s="8">
        <v>20.081202330390859</v>
      </c>
      <c r="P3759" s="8">
        <v>0</v>
      </c>
      <c r="Q3759" s="8">
        <v>0</v>
      </c>
      <c r="R3759" s="8">
        <v>0</v>
      </c>
      <c r="S3759" s="8">
        <v>0</v>
      </c>
      <c r="T3759" s="5">
        <v>0</v>
      </c>
      <c r="U3759" s="5">
        <v>0</v>
      </c>
      <c r="V3759" s="5">
        <f>VLOOKUP(A3759,Planilha1!B:E,4,0)</f>
        <v>5.893629113453061</v>
      </c>
    </row>
    <row r="3760" spans="1:22" x14ac:dyDescent="0.3">
      <c r="A3760" t="str">
        <f t="shared" si="116"/>
        <v>LPI 25KGLACTALIS</v>
      </c>
      <c r="B3760" t="str">
        <f t="shared" si="117"/>
        <v>5170056LPI 25KGLACTALIS</v>
      </c>
      <c r="C3760" s="5" t="s">
        <v>16</v>
      </c>
      <c r="D3760" s="5" t="s">
        <v>53</v>
      </c>
      <c r="E3760" s="5" t="s">
        <v>54</v>
      </c>
      <c r="F3760" s="5">
        <v>5170056</v>
      </c>
      <c r="G3760" s="5" t="s">
        <v>1643</v>
      </c>
      <c r="H3760" s="5" t="s">
        <v>30</v>
      </c>
      <c r="I3760" s="5" t="s">
        <v>22</v>
      </c>
      <c r="J3760" s="5" t="s">
        <v>21</v>
      </c>
      <c r="K3760" s="6">
        <v>0</v>
      </c>
      <c r="L3760" s="7">
        <v>250</v>
      </c>
      <c r="M3760" s="8">
        <v>166.66666666666666</v>
      </c>
      <c r="N3760" s="8">
        <v>125</v>
      </c>
      <c r="O3760" s="8">
        <v>127.67460644521601</v>
      </c>
      <c r="P3760" s="8">
        <v>0</v>
      </c>
      <c r="Q3760" s="8">
        <v>0</v>
      </c>
      <c r="R3760" s="8">
        <v>0</v>
      </c>
      <c r="S3760" s="8">
        <v>0</v>
      </c>
      <c r="T3760" s="5">
        <v>0</v>
      </c>
      <c r="U3760" s="5">
        <v>0</v>
      </c>
      <c r="V3760" s="5">
        <f>VLOOKUP(A3760,Planilha1!B:E,4,0)</f>
        <v>-4.3046759024811481</v>
      </c>
    </row>
    <row r="3761" spans="1:22" ht="15" customHeight="1" x14ac:dyDescent="0.3">
      <c r="A3761" t="str">
        <f t="shared" si="116"/>
        <v>MANTEIGA 5KGLACTALIS</v>
      </c>
      <c r="B3761" t="str">
        <f t="shared" si="117"/>
        <v>5171400MANTEIGA 5KGLACTALIS</v>
      </c>
      <c r="C3761" s="5" t="s">
        <v>16</v>
      </c>
      <c r="D3761" s="5" t="s">
        <v>17</v>
      </c>
      <c r="E3761" s="5" t="s">
        <v>44</v>
      </c>
      <c r="F3761" s="5">
        <v>5171400</v>
      </c>
      <c r="G3761" s="5" t="s">
        <v>62</v>
      </c>
      <c r="H3761" s="5" t="s">
        <v>30</v>
      </c>
      <c r="I3761" s="5" t="s">
        <v>22</v>
      </c>
      <c r="J3761" s="5" t="s">
        <v>60</v>
      </c>
      <c r="K3761" s="6">
        <v>0</v>
      </c>
      <c r="L3761" s="7">
        <v>5000</v>
      </c>
      <c r="M3761" s="8">
        <v>3293.333333333333</v>
      </c>
      <c r="N3761" s="8">
        <v>3633.3333333333335</v>
      </c>
      <c r="O3761" s="8">
        <v>477.20960469745074</v>
      </c>
      <c r="P3761" s="8">
        <v>0</v>
      </c>
      <c r="Q3761" s="8">
        <v>2500</v>
      </c>
      <c r="R3761" s="8">
        <v>0</v>
      </c>
      <c r="S3761" s="8">
        <v>0</v>
      </c>
      <c r="T3761" s="5">
        <v>2500</v>
      </c>
      <c r="U3761" s="5">
        <v>0</v>
      </c>
      <c r="V3761" s="5">
        <f>VLOOKUP(A3761,Planilha1!B:E,4,0)</f>
        <v>11.476197020267191</v>
      </c>
    </row>
    <row r="3762" spans="1:22" x14ac:dyDescent="0.3">
      <c r="A3762" t="str">
        <f t="shared" si="116"/>
        <v>IOGURTESLACTALIS</v>
      </c>
      <c r="B3762" t="str">
        <f t="shared" si="117"/>
        <v>5171625IOGURTESLACTALIS</v>
      </c>
      <c r="C3762" s="5" t="s">
        <v>16</v>
      </c>
      <c r="D3762" s="5" t="s">
        <v>16</v>
      </c>
      <c r="E3762" s="5" t="s">
        <v>132</v>
      </c>
      <c r="F3762" s="5">
        <v>5171625</v>
      </c>
      <c r="G3762" s="5" t="s">
        <v>155</v>
      </c>
      <c r="H3762" s="5" t="s">
        <v>30</v>
      </c>
      <c r="I3762" s="5" t="s">
        <v>22</v>
      </c>
      <c r="J3762" s="5" t="s">
        <v>153</v>
      </c>
      <c r="K3762" s="6">
        <v>0</v>
      </c>
      <c r="L3762" s="7">
        <v>51275.519999999997</v>
      </c>
      <c r="M3762" s="8">
        <v>47180.160000000003</v>
      </c>
      <c r="N3762" s="8">
        <v>44161.920000000006</v>
      </c>
      <c r="O3762" s="8">
        <v>52877</v>
      </c>
      <c r="P3762" s="8">
        <v>0</v>
      </c>
      <c r="Q3762" s="8">
        <v>55365.119999999995</v>
      </c>
      <c r="R3762" s="8">
        <v>0</v>
      </c>
      <c r="S3762" s="8">
        <v>0</v>
      </c>
      <c r="T3762" s="5">
        <v>13063.68</v>
      </c>
      <c r="U3762" s="5">
        <v>0</v>
      </c>
      <c r="V3762" s="5">
        <f>VLOOKUP(A3762,Planilha1!B:E,4,0)</f>
        <v>3.0503167986984403</v>
      </c>
    </row>
    <row r="3763" spans="1:22" x14ac:dyDescent="0.3">
      <c r="A3763" t="str">
        <f t="shared" si="116"/>
        <v>SORVETESLACTALIS</v>
      </c>
      <c r="B3763" t="str">
        <f t="shared" si="117"/>
        <v>5171625SORVETESLACTALIS</v>
      </c>
      <c r="C3763" s="5" t="s">
        <v>16</v>
      </c>
      <c r="D3763" s="5" t="s">
        <v>16</v>
      </c>
      <c r="E3763" s="5" t="s">
        <v>132</v>
      </c>
      <c r="F3763" s="5">
        <v>5171625</v>
      </c>
      <c r="G3763" s="5" t="s">
        <v>155</v>
      </c>
      <c r="H3763" s="5" t="s">
        <v>30</v>
      </c>
      <c r="I3763" s="5" t="s">
        <v>22</v>
      </c>
      <c r="J3763" s="5" t="s">
        <v>1008</v>
      </c>
      <c r="K3763" s="6">
        <v>0</v>
      </c>
      <c r="L3763" s="7">
        <v>1302400</v>
      </c>
      <c r="M3763" s="8">
        <v>835066.66666666663</v>
      </c>
      <c r="N3763" s="8">
        <v>826400</v>
      </c>
      <c r="O3763" s="8">
        <v>0</v>
      </c>
      <c r="P3763" s="8">
        <v>0</v>
      </c>
      <c r="Q3763" s="8">
        <v>581600</v>
      </c>
      <c r="R3763" s="8">
        <v>0</v>
      </c>
      <c r="S3763" s="8">
        <v>0</v>
      </c>
      <c r="T3763" s="5">
        <v>173897.59999999998</v>
      </c>
      <c r="U3763" s="5">
        <v>0</v>
      </c>
      <c r="V3763" s="5">
        <f>VLOOKUP(A3763,Planilha1!B:E,4,0)</f>
        <v>0.96240440322290499</v>
      </c>
    </row>
    <row r="3764" spans="1:22" x14ac:dyDescent="0.3">
      <c r="A3764" t="str">
        <f t="shared" si="116"/>
        <v>LPI 25KGITAMBÉ</v>
      </c>
      <c r="B3764" t="str">
        <f t="shared" si="117"/>
        <v>5173434LPI 25KGITAMBÉ</v>
      </c>
      <c r="C3764" s="5" t="s">
        <v>16</v>
      </c>
      <c r="D3764" s="5" t="s">
        <v>17</v>
      </c>
      <c r="E3764" s="5" t="s">
        <v>44</v>
      </c>
      <c r="F3764" s="5">
        <v>5173434</v>
      </c>
      <c r="G3764" s="5" t="s">
        <v>951</v>
      </c>
      <c r="H3764" s="5" t="s">
        <v>25</v>
      </c>
      <c r="I3764" s="5" t="s">
        <v>27</v>
      </c>
      <c r="J3764" s="5" t="s">
        <v>21</v>
      </c>
      <c r="K3764" s="6">
        <v>0</v>
      </c>
      <c r="L3764" s="7">
        <v>975</v>
      </c>
      <c r="M3764" s="8">
        <v>1029.1666666666667</v>
      </c>
      <c r="N3764" s="8">
        <v>1016.6666666666666</v>
      </c>
      <c r="O3764" s="8">
        <v>3783.4341725879663</v>
      </c>
      <c r="P3764" s="8">
        <v>0</v>
      </c>
      <c r="Q3764" s="8">
        <v>100</v>
      </c>
      <c r="R3764" s="8">
        <v>0</v>
      </c>
      <c r="S3764" s="8">
        <v>0</v>
      </c>
      <c r="T3764" s="5">
        <v>1000</v>
      </c>
      <c r="U3764" s="5">
        <v>0</v>
      </c>
      <c r="V3764" s="5">
        <f>VLOOKUP(A3764,Planilha1!B:E,4,0)</f>
        <v>-1.218192805504376</v>
      </c>
    </row>
    <row r="3765" spans="1:22" x14ac:dyDescent="0.3">
      <c r="A3765" t="str">
        <f t="shared" si="116"/>
        <v>LPI 25KGLACTALIS</v>
      </c>
      <c r="B3765" t="str">
        <f t="shared" si="117"/>
        <v>5173775LPI 25KGLACTALIS</v>
      </c>
      <c r="C3765" s="5" t="s">
        <v>16</v>
      </c>
      <c r="D3765" s="5" t="s">
        <v>53</v>
      </c>
      <c r="E3765" s="5" t="s">
        <v>54</v>
      </c>
      <c r="F3765" s="5">
        <v>5173775</v>
      </c>
      <c r="G3765" s="5" t="s">
        <v>1644</v>
      </c>
      <c r="H3765" s="5" t="s">
        <v>113</v>
      </c>
      <c r="I3765" s="5" t="s">
        <v>22</v>
      </c>
      <c r="J3765" s="5" t="s">
        <v>21</v>
      </c>
      <c r="K3765" s="6">
        <v>0</v>
      </c>
      <c r="L3765" s="7">
        <v>10000</v>
      </c>
      <c r="M3765" s="8">
        <v>0</v>
      </c>
      <c r="N3765" s="8">
        <v>0</v>
      </c>
      <c r="O3765" s="8">
        <v>0</v>
      </c>
      <c r="P3765" s="8">
        <v>0</v>
      </c>
      <c r="Q3765" s="8">
        <v>0</v>
      </c>
      <c r="R3765" s="8">
        <v>0</v>
      </c>
      <c r="S3765" s="8">
        <v>0</v>
      </c>
      <c r="T3765" s="5">
        <v>0</v>
      </c>
      <c r="U3765" s="5">
        <v>0</v>
      </c>
      <c r="V3765" s="5">
        <f>VLOOKUP(A3765,Planilha1!B:E,4,0)</f>
        <v>-4.3046759024811481</v>
      </c>
    </row>
    <row r="3766" spans="1:22" x14ac:dyDescent="0.3">
      <c r="A3766" t="str">
        <f t="shared" si="116"/>
        <v>COMPOSTOITAMBÉ</v>
      </c>
      <c r="B3766" t="str">
        <f t="shared" si="117"/>
        <v>5174699COMPOSTOITAMBÉ</v>
      </c>
      <c r="C3766" s="5" t="s">
        <v>16</v>
      </c>
      <c r="D3766" s="5" t="s">
        <v>53</v>
      </c>
      <c r="E3766" s="5" t="s">
        <v>23</v>
      </c>
      <c r="F3766" s="5">
        <v>5174699</v>
      </c>
      <c r="G3766" s="5" t="s">
        <v>1645</v>
      </c>
      <c r="H3766" s="5" t="s">
        <v>113</v>
      </c>
      <c r="I3766" s="5" t="s">
        <v>27</v>
      </c>
      <c r="J3766" s="5" t="s">
        <v>26</v>
      </c>
      <c r="K3766" s="6">
        <v>0</v>
      </c>
      <c r="L3766" s="7">
        <v>5000</v>
      </c>
      <c r="M3766" s="8">
        <v>2175</v>
      </c>
      <c r="N3766" s="8">
        <v>1783.3333333333333</v>
      </c>
      <c r="O3766" s="8">
        <v>0</v>
      </c>
      <c r="P3766" s="8">
        <v>0</v>
      </c>
      <c r="Q3766" s="8">
        <v>0</v>
      </c>
      <c r="R3766" s="8">
        <v>0</v>
      </c>
      <c r="S3766" s="8">
        <v>0</v>
      </c>
      <c r="T3766" s="5">
        <v>5000</v>
      </c>
      <c r="U3766" s="5">
        <v>0</v>
      </c>
      <c r="V3766" s="5">
        <f>VLOOKUP(A3766,Planilha1!B:E,4,0)</f>
        <v>0.15618217875936719</v>
      </c>
    </row>
    <row r="3767" spans="1:22" x14ac:dyDescent="0.3">
      <c r="A3767" t="str">
        <f t="shared" si="116"/>
        <v>LEITE CONDENSADOITAMBÉ</v>
      </c>
      <c r="B3767" t="str">
        <f t="shared" si="117"/>
        <v>5176053LEITE CONDENSADOITAMBÉ</v>
      </c>
      <c r="C3767" s="5" t="s">
        <v>16</v>
      </c>
      <c r="D3767" s="5" t="s">
        <v>28</v>
      </c>
      <c r="E3767" s="5" t="s">
        <v>28</v>
      </c>
      <c r="F3767" s="5">
        <v>5176053</v>
      </c>
      <c r="G3767" s="5" t="s">
        <v>1646</v>
      </c>
      <c r="H3767" s="5" t="s">
        <v>30</v>
      </c>
      <c r="I3767" s="5" t="s">
        <v>27</v>
      </c>
      <c r="J3767" s="5" t="s">
        <v>33</v>
      </c>
      <c r="K3767" s="6">
        <v>0</v>
      </c>
      <c r="L3767" s="7">
        <v>800</v>
      </c>
      <c r="M3767" s="8">
        <v>449.99999999999994</v>
      </c>
      <c r="N3767" s="8">
        <v>566.66666666666663</v>
      </c>
      <c r="O3767" s="8">
        <v>419.99244013607756</v>
      </c>
      <c r="P3767" s="8">
        <v>0</v>
      </c>
      <c r="Q3767" s="8">
        <v>0</v>
      </c>
      <c r="R3767" s="8">
        <v>0</v>
      </c>
      <c r="S3767" s="8">
        <v>0</v>
      </c>
      <c r="T3767" s="5">
        <v>400</v>
      </c>
      <c r="U3767" s="5">
        <v>0</v>
      </c>
      <c r="V3767" s="5">
        <f>VLOOKUP(A3767,Planilha1!B:E,4,0)</f>
        <v>1.4766792698630664</v>
      </c>
    </row>
    <row r="3768" spans="1:22" x14ac:dyDescent="0.3">
      <c r="A3768" t="str">
        <f t="shared" si="116"/>
        <v>LEITE CONDENSADOITAMBÉ</v>
      </c>
      <c r="B3768" t="str">
        <f t="shared" si="117"/>
        <v>5181144LEITE CONDENSADOITAMBÉ</v>
      </c>
      <c r="C3768" s="5" t="s">
        <v>16</v>
      </c>
      <c r="D3768" s="5" t="s">
        <v>28</v>
      </c>
      <c r="E3768" s="5" t="s">
        <v>28</v>
      </c>
      <c r="F3768" s="5">
        <v>5181144</v>
      </c>
      <c r="G3768" s="5" t="s">
        <v>1021</v>
      </c>
      <c r="H3768" s="5" t="s">
        <v>30</v>
      </c>
      <c r="I3768" s="5" t="s">
        <v>27</v>
      </c>
      <c r="J3768" s="5" t="s">
        <v>33</v>
      </c>
      <c r="K3768" s="6">
        <v>0</v>
      </c>
      <c r="L3768" s="7">
        <v>0</v>
      </c>
      <c r="M3768" s="8">
        <v>666.66666666666663</v>
      </c>
      <c r="N3768" s="8">
        <v>1333.3333333333333</v>
      </c>
      <c r="O3768" s="8">
        <v>0</v>
      </c>
      <c r="P3768" s="8">
        <v>0</v>
      </c>
      <c r="Q3768" s="8">
        <v>2500</v>
      </c>
      <c r="R3768" s="8">
        <v>0</v>
      </c>
      <c r="S3768" s="8">
        <v>0</v>
      </c>
      <c r="T3768" s="5">
        <v>5000</v>
      </c>
      <c r="U3768" s="5">
        <v>0</v>
      </c>
      <c r="V3768" s="5">
        <f>VLOOKUP(A3768,Planilha1!B:E,4,0)</f>
        <v>1.4766792698630664</v>
      </c>
    </row>
    <row r="3769" spans="1:22" x14ac:dyDescent="0.3">
      <c r="A3769" t="str">
        <f t="shared" si="116"/>
        <v>MANTEIGA 5KGLACTALIS</v>
      </c>
      <c r="B3769" t="str">
        <f t="shared" si="117"/>
        <v>5181144MANTEIGA 5KGLACTALIS</v>
      </c>
      <c r="C3769" s="5" t="s">
        <v>16</v>
      </c>
      <c r="D3769" s="5" t="s">
        <v>28</v>
      </c>
      <c r="E3769" s="5" t="s">
        <v>28</v>
      </c>
      <c r="F3769" s="5">
        <v>5181144</v>
      </c>
      <c r="G3769" s="5" t="s">
        <v>1021</v>
      </c>
      <c r="H3769" s="5" t="s">
        <v>30</v>
      </c>
      <c r="I3769" s="5" t="s">
        <v>22</v>
      </c>
      <c r="J3769" s="5" t="s">
        <v>60</v>
      </c>
      <c r="K3769" s="6">
        <v>0</v>
      </c>
      <c r="L3769" s="7">
        <v>0</v>
      </c>
      <c r="M3769" s="8">
        <v>216.66666666666669</v>
      </c>
      <c r="N3769" s="8">
        <v>233.33333333333334</v>
      </c>
      <c r="O3769" s="8">
        <v>16.83399392092068</v>
      </c>
      <c r="P3769" s="8">
        <v>0</v>
      </c>
      <c r="Q3769" s="8">
        <v>0</v>
      </c>
      <c r="R3769" s="8">
        <v>0</v>
      </c>
      <c r="S3769" s="8">
        <v>0</v>
      </c>
      <c r="T3769" s="5">
        <v>0</v>
      </c>
      <c r="U3769" s="5">
        <v>0</v>
      </c>
      <c r="V3769" s="5">
        <f>VLOOKUP(A3769,Planilha1!B:E,4,0)</f>
        <v>11.476197020267191</v>
      </c>
    </row>
    <row r="3770" spans="1:22" x14ac:dyDescent="0.3">
      <c r="A3770" t="str">
        <f t="shared" si="116"/>
        <v>LPD 25KGLACTALIS</v>
      </c>
      <c r="B3770" t="str">
        <f t="shared" si="117"/>
        <v>5181258LPD 25KGLACTALIS</v>
      </c>
      <c r="C3770" s="5" t="s">
        <v>16</v>
      </c>
      <c r="D3770" s="5" t="s">
        <v>53</v>
      </c>
      <c r="E3770" s="5" t="s">
        <v>54</v>
      </c>
      <c r="F3770" s="5">
        <v>5181258</v>
      </c>
      <c r="G3770" s="5" t="s">
        <v>996</v>
      </c>
      <c r="H3770" s="5" t="s">
        <v>30</v>
      </c>
      <c r="I3770" s="5" t="s">
        <v>22</v>
      </c>
      <c r="J3770" s="5" t="s">
        <v>43</v>
      </c>
      <c r="K3770" s="6">
        <v>0</v>
      </c>
      <c r="L3770" s="7">
        <v>6000</v>
      </c>
      <c r="M3770" s="8">
        <v>8166.666666666667</v>
      </c>
      <c r="N3770" s="8">
        <v>9666.6666666666661</v>
      </c>
      <c r="O3770" s="8">
        <v>1285.2843854396322</v>
      </c>
      <c r="P3770" s="8">
        <v>0</v>
      </c>
      <c r="Q3770" s="8">
        <v>16000</v>
      </c>
      <c r="R3770" s="8">
        <v>0</v>
      </c>
      <c r="S3770" s="8">
        <v>0</v>
      </c>
      <c r="T3770" s="5">
        <v>16000</v>
      </c>
      <c r="U3770" s="5">
        <v>0</v>
      </c>
      <c r="V3770" s="5">
        <f>VLOOKUP(A3770,Planilha1!B:E,4,0)</f>
        <v>5.893629113453061</v>
      </c>
    </row>
    <row r="3771" spans="1:22" x14ac:dyDescent="0.3">
      <c r="A3771" t="str">
        <f t="shared" si="116"/>
        <v>COMPOSTOITAMBÉ</v>
      </c>
      <c r="B3771" t="str">
        <f t="shared" si="117"/>
        <v>5181665COMPOSTOITAMBÉ</v>
      </c>
      <c r="C3771" s="5" t="s">
        <v>16</v>
      </c>
      <c r="D3771" s="5" t="s">
        <v>17</v>
      </c>
      <c r="E3771" s="5" t="s">
        <v>23</v>
      </c>
      <c r="F3771" s="5">
        <v>5181665</v>
      </c>
      <c r="G3771" s="5" t="s">
        <v>1647</v>
      </c>
      <c r="H3771" s="5" t="s">
        <v>36</v>
      </c>
      <c r="I3771" s="5" t="s">
        <v>27</v>
      </c>
      <c r="J3771" s="5" t="s">
        <v>26</v>
      </c>
      <c r="K3771" s="6">
        <v>0</v>
      </c>
      <c r="L3771" s="7">
        <v>0</v>
      </c>
      <c r="M3771" s="8">
        <v>1833.3333333333335</v>
      </c>
      <c r="N3771" s="8">
        <v>2000</v>
      </c>
      <c r="O3771" s="8">
        <v>2318.595302138368</v>
      </c>
      <c r="P3771" s="8">
        <v>0</v>
      </c>
      <c r="Q3771" s="8">
        <v>0</v>
      </c>
      <c r="R3771" s="8">
        <v>0</v>
      </c>
      <c r="S3771" s="8">
        <v>0</v>
      </c>
      <c r="T3771" s="5">
        <v>0</v>
      </c>
      <c r="U3771" s="5">
        <v>0</v>
      </c>
      <c r="V3771" s="5">
        <f>VLOOKUP(A3771,Planilha1!B:E,4,0)</f>
        <v>0.15618217875936719</v>
      </c>
    </row>
    <row r="3772" spans="1:22" x14ac:dyDescent="0.3">
      <c r="A3772" t="str">
        <f t="shared" si="116"/>
        <v>COMPOSTOITAMBÉ</v>
      </c>
      <c r="B3772" t="str">
        <f t="shared" si="117"/>
        <v>5181722COMPOSTOITAMBÉ</v>
      </c>
      <c r="C3772" s="5" t="s">
        <v>16</v>
      </c>
      <c r="D3772" s="5" t="s">
        <v>17</v>
      </c>
      <c r="E3772" s="5" t="s">
        <v>23</v>
      </c>
      <c r="F3772" s="5">
        <v>5181722</v>
      </c>
      <c r="G3772" s="5" t="s">
        <v>1648</v>
      </c>
      <c r="H3772" s="5" t="s">
        <v>32</v>
      </c>
      <c r="I3772" s="5" t="s">
        <v>27</v>
      </c>
      <c r="J3772" s="5" t="s">
        <v>26</v>
      </c>
      <c r="K3772" s="6">
        <v>0</v>
      </c>
      <c r="L3772" s="7">
        <v>0</v>
      </c>
      <c r="M3772" s="8">
        <v>416.66666666666669</v>
      </c>
      <c r="N3772" s="8">
        <v>416.66666666666669</v>
      </c>
      <c r="O3772" s="8">
        <v>1275.4411772672645</v>
      </c>
      <c r="P3772" s="8">
        <v>0</v>
      </c>
      <c r="Q3772" s="8">
        <v>0</v>
      </c>
      <c r="R3772" s="8">
        <v>0</v>
      </c>
      <c r="S3772" s="8">
        <v>0</v>
      </c>
      <c r="T3772" s="5">
        <v>0</v>
      </c>
      <c r="U3772" s="5">
        <v>0</v>
      </c>
      <c r="V3772" s="5">
        <f>VLOOKUP(A3772,Planilha1!B:E,4,0)</f>
        <v>0.15618217875936719</v>
      </c>
    </row>
    <row r="3773" spans="1:22" x14ac:dyDescent="0.3">
      <c r="A3773" t="str">
        <f t="shared" si="116"/>
        <v>LPI 25KGITAMBÉ</v>
      </c>
      <c r="B3773" t="str">
        <f t="shared" si="117"/>
        <v>5190033LPI 25KGITAMBÉ</v>
      </c>
      <c r="C3773" s="5" t="s">
        <v>16</v>
      </c>
      <c r="D3773" s="5" t="s">
        <v>17</v>
      </c>
      <c r="E3773" s="5" t="s">
        <v>44</v>
      </c>
      <c r="F3773" s="5">
        <v>5190033</v>
      </c>
      <c r="G3773" s="5" t="s">
        <v>1649</v>
      </c>
      <c r="H3773" s="5" t="s">
        <v>25</v>
      </c>
      <c r="I3773" s="5" t="s">
        <v>27</v>
      </c>
      <c r="J3773" s="5" t="s">
        <v>21</v>
      </c>
      <c r="K3773" s="6">
        <v>0</v>
      </c>
      <c r="L3773" s="7">
        <v>1000</v>
      </c>
      <c r="M3773" s="8">
        <v>166.66666666666666</v>
      </c>
      <c r="N3773" s="8">
        <v>0</v>
      </c>
      <c r="O3773" s="8">
        <v>0</v>
      </c>
      <c r="P3773" s="8">
        <v>0</v>
      </c>
      <c r="Q3773" s="8">
        <v>0</v>
      </c>
      <c r="R3773" s="8">
        <v>0</v>
      </c>
      <c r="S3773" s="8">
        <v>0</v>
      </c>
      <c r="T3773" s="5">
        <v>0</v>
      </c>
      <c r="U3773" s="5">
        <v>0</v>
      </c>
      <c r="V3773" s="5">
        <f>VLOOKUP(A3773,Planilha1!B:E,4,0)</f>
        <v>-1.218192805504376</v>
      </c>
    </row>
    <row r="3774" spans="1:22" x14ac:dyDescent="0.3">
      <c r="A3774" t="str">
        <f t="shared" si="116"/>
        <v>LPI 25KGLACTALIS</v>
      </c>
      <c r="B3774" t="str">
        <f t="shared" si="117"/>
        <v>(vazio)LPI 25KGLACTALIS</v>
      </c>
      <c r="C3774" s="5" t="s">
        <v>16</v>
      </c>
      <c r="D3774" s="5" t="s">
        <v>1650</v>
      </c>
      <c r="E3774" s="5" t="s">
        <v>1651</v>
      </c>
      <c r="F3774" s="5" t="s">
        <v>1652</v>
      </c>
      <c r="G3774" s="5" t="s">
        <v>1653</v>
      </c>
      <c r="H3774" s="5" t="s">
        <v>1654</v>
      </c>
      <c r="I3774" s="5" t="s">
        <v>22</v>
      </c>
      <c r="J3774" s="5" t="s">
        <v>21</v>
      </c>
      <c r="K3774" s="6">
        <v>0</v>
      </c>
      <c r="L3774" s="7">
        <v>0</v>
      </c>
      <c r="M3774" s="7">
        <v>0</v>
      </c>
      <c r="N3774" s="7">
        <v>0</v>
      </c>
      <c r="O3774" s="8">
        <v>0</v>
      </c>
      <c r="P3774" s="8">
        <v>0</v>
      </c>
      <c r="Q3774" s="8">
        <v>0</v>
      </c>
      <c r="R3774" s="8">
        <v>0</v>
      </c>
      <c r="S3774" s="8">
        <v>0</v>
      </c>
      <c r="T3774" s="5">
        <v>0</v>
      </c>
      <c r="U3774" s="5">
        <v>0</v>
      </c>
      <c r="V3774" s="5">
        <f>VLOOKUP(A3774,Planilha1!B:E,4,0)</f>
        <v>-4.3046759024811481</v>
      </c>
    </row>
    <row r="3775" spans="1:22" x14ac:dyDescent="0.3">
      <c r="A3775" t="str">
        <f t="shared" si="116"/>
        <v>BLISTERITAMBÉ</v>
      </c>
      <c r="B3775" t="str">
        <f t="shared" si="117"/>
        <v>5012641BLISTERITAMBÉ</v>
      </c>
      <c r="C3775" s="5" t="str">
        <f>VLOOKUP(F3775,'[1]DEPARA FOOD'!$B:$M,11,0)</f>
        <v>RODRIGO</v>
      </c>
      <c r="D3775" s="5" t="s">
        <v>227</v>
      </c>
      <c r="E3775" s="5" t="s">
        <v>703</v>
      </c>
      <c r="F3775" s="5">
        <v>5012641</v>
      </c>
      <c r="G3775" s="5" t="s">
        <v>1542</v>
      </c>
      <c r="H3775" s="5" t="s">
        <v>1636</v>
      </c>
      <c r="I3775" s="5" t="s">
        <v>27</v>
      </c>
      <c r="J3775" s="5" t="s">
        <v>199</v>
      </c>
      <c r="K3775" s="6">
        <v>0</v>
      </c>
      <c r="L3775" s="7">
        <v>0</v>
      </c>
      <c r="M3775" s="7">
        <v>0</v>
      </c>
      <c r="N3775" s="7">
        <v>0</v>
      </c>
      <c r="O3775" s="8">
        <v>0</v>
      </c>
      <c r="P3775" s="8">
        <v>0</v>
      </c>
      <c r="Q3775" s="8">
        <v>0</v>
      </c>
      <c r="R3775" s="8">
        <v>0</v>
      </c>
      <c r="S3775" s="8">
        <v>0</v>
      </c>
      <c r="T3775" s="5">
        <v>0</v>
      </c>
      <c r="U3775" s="5">
        <v>0</v>
      </c>
      <c r="V3775" s="5">
        <f>VLOOKUP(A3775,Planilha1!B:E,4,0)</f>
        <v>10.339882680976428</v>
      </c>
    </row>
    <row r="3776" spans="1:22" x14ac:dyDescent="0.3">
      <c r="A3776" t="str">
        <f t="shared" si="116"/>
        <v>BLISTERITAMBÉ</v>
      </c>
      <c r="B3776" t="str">
        <f t="shared" si="117"/>
        <v>5014500BLISTERITAMBÉ</v>
      </c>
      <c r="C3776" s="5" t="str">
        <f>VLOOKUP(F3776,'[1]DEPARA FOOD'!$B:$M,11,0)</f>
        <v>RODRIGO</v>
      </c>
      <c r="D3776" s="5" t="s">
        <v>903</v>
      </c>
      <c r="E3776" s="5" t="s">
        <v>904</v>
      </c>
      <c r="F3776" s="5">
        <v>5014500</v>
      </c>
      <c r="G3776" s="5" t="s">
        <v>906</v>
      </c>
      <c r="H3776" s="5" t="s">
        <v>113</v>
      </c>
      <c r="I3776" s="5" t="s">
        <v>27</v>
      </c>
      <c r="J3776" s="5" t="s">
        <v>199</v>
      </c>
      <c r="K3776" s="6">
        <v>0</v>
      </c>
      <c r="L3776" s="7">
        <v>0</v>
      </c>
      <c r="M3776" s="7">
        <v>0</v>
      </c>
      <c r="N3776" s="7">
        <v>0</v>
      </c>
      <c r="O3776" s="8">
        <v>0</v>
      </c>
      <c r="P3776" s="8">
        <v>0</v>
      </c>
      <c r="Q3776" s="8">
        <v>0</v>
      </c>
      <c r="R3776" s="8">
        <v>0</v>
      </c>
      <c r="S3776" s="8">
        <v>0</v>
      </c>
      <c r="T3776" s="5">
        <v>0</v>
      </c>
      <c r="U3776" s="5">
        <v>0</v>
      </c>
      <c r="V3776" s="5">
        <f>VLOOKUP(A3776,Planilha1!B:E,4,0)</f>
        <v>10.339882680976428</v>
      </c>
    </row>
    <row r="3777" spans="1:22" x14ac:dyDescent="0.3">
      <c r="A3777" t="str">
        <f t="shared" si="116"/>
        <v>BLISTERITAMBÉ</v>
      </c>
      <c r="B3777" t="str">
        <f t="shared" si="117"/>
        <v>5019640BLISTERITAMBÉ</v>
      </c>
      <c r="C3777" s="5" t="str">
        <f>VLOOKUP(F3777,'[1]DEPARA FOOD'!$B:$M,11,0)</f>
        <v>MAURICIO</v>
      </c>
      <c r="D3777" s="5" t="s">
        <v>17</v>
      </c>
      <c r="E3777" s="5" t="s">
        <v>44</v>
      </c>
      <c r="F3777" s="5">
        <v>5019640</v>
      </c>
      <c r="G3777" s="5" t="s">
        <v>1542</v>
      </c>
      <c r="H3777" s="5" t="s">
        <v>1636</v>
      </c>
      <c r="I3777" s="5" t="s">
        <v>27</v>
      </c>
      <c r="J3777" s="5" t="s">
        <v>199</v>
      </c>
      <c r="K3777" s="6">
        <v>0</v>
      </c>
      <c r="L3777" s="7">
        <v>0</v>
      </c>
      <c r="M3777" s="7">
        <v>0</v>
      </c>
      <c r="N3777" s="7">
        <v>0</v>
      </c>
      <c r="O3777" s="8">
        <v>0</v>
      </c>
      <c r="P3777" s="8">
        <v>0</v>
      </c>
      <c r="Q3777" s="8">
        <v>0</v>
      </c>
      <c r="R3777" s="8">
        <v>0</v>
      </c>
      <c r="S3777" s="8">
        <v>0</v>
      </c>
      <c r="T3777" s="5">
        <v>0</v>
      </c>
      <c r="U3777" s="5">
        <v>0</v>
      </c>
      <c r="V3777" s="5">
        <f>VLOOKUP(A3777,Planilha1!B:E,4,0)</f>
        <v>10.339882680976428</v>
      </c>
    </row>
    <row r="3778" spans="1:22" x14ac:dyDescent="0.3">
      <c r="A3778" t="str">
        <f t="shared" ref="A3778:A3841" si="118">J3778&amp;I3778</f>
        <v>BLISTERITAMBÉ</v>
      </c>
      <c r="B3778" t="str">
        <f t="shared" si="117"/>
        <v>5023997BLISTERITAMBÉ</v>
      </c>
      <c r="C3778" s="5" t="str">
        <f>VLOOKUP(F3778,'[1]DEPARA FOOD'!$B:$M,11,0)</f>
        <v>RODRIGO</v>
      </c>
      <c r="D3778" s="5" t="s">
        <v>727</v>
      </c>
      <c r="E3778" s="5" t="s">
        <v>733</v>
      </c>
      <c r="F3778" s="5">
        <v>5023997</v>
      </c>
      <c r="G3778" s="5" t="s">
        <v>738</v>
      </c>
      <c r="H3778" s="5" t="s">
        <v>25</v>
      </c>
      <c r="I3778" s="5" t="s">
        <v>27</v>
      </c>
      <c r="J3778" s="5" t="s">
        <v>199</v>
      </c>
      <c r="K3778" s="6">
        <v>0</v>
      </c>
      <c r="L3778" s="7">
        <v>0</v>
      </c>
      <c r="M3778" s="7">
        <v>0</v>
      </c>
      <c r="N3778" s="7">
        <v>0</v>
      </c>
      <c r="O3778" s="8">
        <v>0</v>
      </c>
      <c r="P3778" s="8">
        <v>0</v>
      </c>
      <c r="Q3778" s="8">
        <v>0</v>
      </c>
      <c r="R3778" s="8">
        <v>0</v>
      </c>
      <c r="S3778" s="8">
        <v>0</v>
      </c>
      <c r="T3778" s="5">
        <v>0</v>
      </c>
      <c r="U3778" s="5">
        <v>0</v>
      </c>
      <c r="V3778" s="5">
        <f>VLOOKUP(A3778,Planilha1!B:E,4,0)</f>
        <v>10.339882680976428</v>
      </c>
    </row>
    <row r="3779" spans="1:22" x14ac:dyDescent="0.3">
      <c r="A3779" t="str">
        <f t="shared" si="118"/>
        <v>BLISTERITAMBÉ</v>
      </c>
      <c r="B3779" t="str">
        <f t="shared" ref="B3779:B3842" si="119">F3779&amp;J3779&amp;I3779</f>
        <v>5083008BLISTERITAMBÉ</v>
      </c>
      <c r="C3779" s="5" t="str">
        <f>VLOOKUP(F3779,'[1]DEPARA FOOD'!$B:$M,11,0)</f>
        <v>RODRIGO</v>
      </c>
      <c r="D3779" s="5" t="s">
        <v>893</v>
      </c>
      <c r="E3779" s="5" t="s">
        <v>231</v>
      </c>
      <c r="F3779" s="5">
        <v>5083008</v>
      </c>
      <c r="G3779" s="5" t="s">
        <v>898</v>
      </c>
      <c r="H3779" s="5" t="s">
        <v>30</v>
      </c>
      <c r="I3779" s="5" t="s">
        <v>27</v>
      </c>
      <c r="J3779" s="5" t="s">
        <v>199</v>
      </c>
      <c r="K3779" s="6">
        <v>0</v>
      </c>
      <c r="L3779" s="7">
        <v>0</v>
      </c>
      <c r="M3779" s="7">
        <v>0</v>
      </c>
      <c r="N3779" s="7">
        <v>0</v>
      </c>
      <c r="O3779" s="8">
        <v>0</v>
      </c>
      <c r="P3779" s="8">
        <v>0</v>
      </c>
      <c r="Q3779" s="8">
        <v>0</v>
      </c>
      <c r="R3779" s="8">
        <v>0</v>
      </c>
      <c r="S3779" s="8">
        <v>0</v>
      </c>
      <c r="T3779" s="5">
        <v>0</v>
      </c>
      <c r="U3779" s="5">
        <v>0</v>
      </c>
      <c r="V3779" s="5">
        <f>VLOOKUP(A3779,Planilha1!B:E,4,0)</f>
        <v>10.339882680976428</v>
      </c>
    </row>
    <row r="3780" spans="1:22" x14ac:dyDescent="0.3">
      <c r="A3780" t="str">
        <f t="shared" si="118"/>
        <v>BLISTERITAMBÉ</v>
      </c>
      <c r="B3780" t="str">
        <f t="shared" si="119"/>
        <v>5115191BLISTERITAMBÉ</v>
      </c>
      <c r="C3780" s="5" t="str">
        <f>VLOOKUP(F3780,'[1]DEPARA FOOD'!$B:$M,11,0)</f>
        <v>RODRIGO</v>
      </c>
      <c r="D3780" s="5" t="s">
        <v>903</v>
      </c>
      <c r="E3780" s="5" t="s">
        <v>904</v>
      </c>
      <c r="F3780" s="5">
        <v>5115191</v>
      </c>
      <c r="G3780" s="5" t="s">
        <v>916</v>
      </c>
      <c r="H3780" s="5" t="s">
        <v>113</v>
      </c>
      <c r="I3780" s="5" t="s">
        <v>27</v>
      </c>
      <c r="J3780" s="5" t="s">
        <v>199</v>
      </c>
      <c r="K3780" s="6">
        <v>0</v>
      </c>
      <c r="L3780" s="7">
        <v>0</v>
      </c>
      <c r="M3780" s="7">
        <v>0</v>
      </c>
      <c r="N3780" s="7">
        <v>0</v>
      </c>
      <c r="O3780" s="8">
        <v>0</v>
      </c>
      <c r="P3780" s="8">
        <v>0</v>
      </c>
      <c r="Q3780" s="8">
        <v>0</v>
      </c>
      <c r="R3780" s="8">
        <v>0</v>
      </c>
      <c r="S3780" s="8">
        <v>0</v>
      </c>
      <c r="T3780" s="5">
        <v>0</v>
      </c>
      <c r="U3780" s="5">
        <v>0</v>
      </c>
      <c r="V3780" s="5">
        <f>VLOOKUP(A3780,Planilha1!B:E,4,0)</f>
        <v>10.339882680976428</v>
      </c>
    </row>
    <row r="3781" spans="1:22" x14ac:dyDescent="0.3">
      <c r="A3781" t="str">
        <f t="shared" si="118"/>
        <v>BLISTERITAMBÉ</v>
      </c>
      <c r="B3781" t="str">
        <f t="shared" si="119"/>
        <v>5127549BLISTERITAMBÉ</v>
      </c>
      <c r="C3781" s="5" t="str">
        <f>VLOOKUP(F3781,'[1]DEPARA FOOD'!$B:$M,11,0)</f>
        <v>MAURICIO</v>
      </c>
      <c r="D3781" s="5" t="s">
        <v>17</v>
      </c>
      <c r="E3781" s="5" t="s">
        <v>44</v>
      </c>
      <c r="F3781" s="5">
        <v>5127549</v>
      </c>
      <c r="G3781" s="5" t="s">
        <v>1542</v>
      </c>
      <c r="H3781" s="5" t="s">
        <v>1636</v>
      </c>
      <c r="I3781" s="5" t="s">
        <v>27</v>
      </c>
      <c r="J3781" s="5" t="s">
        <v>199</v>
      </c>
      <c r="K3781" s="6">
        <v>0</v>
      </c>
      <c r="L3781" s="7">
        <v>0</v>
      </c>
      <c r="M3781" s="7">
        <v>0</v>
      </c>
      <c r="N3781" s="7">
        <v>0</v>
      </c>
      <c r="O3781" s="8">
        <v>0</v>
      </c>
      <c r="P3781" s="8">
        <v>0</v>
      </c>
      <c r="Q3781" s="8">
        <v>0</v>
      </c>
      <c r="R3781" s="8">
        <v>0</v>
      </c>
      <c r="S3781" s="8">
        <v>0</v>
      </c>
      <c r="T3781" s="5">
        <v>0</v>
      </c>
      <c r="U3781" s="5">
        <v>0</v>
      </c>
      <c r="V3781" s="5">
        <f>VLOOKUP(A3781,Planilha1!B:E,4,0)</f>
        <v>10.339882680976428</v>
      </c>
    </row>
    <row r="3782" spans="1:22" x14ac:dyDescent="0.3">
      <c r="A3782" t="str">
        <f t="shared" si="118"/>
        <v>BLISTERITAMBÉ</v>
      </c>
      <c r="B3782" t="str">
        <f t="shared" si="119"/>
        <v>5138371BLISTERITAMBÉ</v>
      </c>
      <c r="C3782" s="5" t="str">
        <f>VLOOKUP(F3782,'[1]DEPARA FOOD'!$B:$M,11,0)</f>
        <v>PEDRO</v>
      </c>
      <c r="D3782" s="5" t="s">
        <v>150</v>
      </c>
      <c r="E3782" s="5" t="s">
        <v>186</v>
      </c>
      <c r="F3782" s="5">
        <v>5138371</v>
      </c>
      <c r="G3782" s="5" t="s">
        <v>189</v>
      </c>
      <c r="H3782" s="5" t="s">
        <v>113</v>
      </c>
      <c r="I3782" s="5" t="s">
        <v>27</v>
      </c>
      <c r="J3782" s="5" t="s">
        <v>199</v>
      </c>
      <c r="K3782" s="6">
        <v>0</v>
      </c>
      <c r="L3782" s="7">
        <v>0</v>
      </c>
      <c r="M3782" s="7">
        <v>0</v>
      </c>
      <c r="N3782" s="7">
        <v>0</v>
      </c>
      <c r="O3782" s="8">
        <v>0</v>
      </c>
      <c r="P3782" s="8">
        <v>0</v>
      </c>
      <c r="Q3782" s="8">
        <v>0</v>
      </c>
      <c r="R3782" s="8">
        <v>0</v>
      </c>
      <c r="S3782" s="8">
        <v>0</v>
      </c>
      <c r="T3782" s="5">
        <v>0</v>
      </c>
      <c r="U3782" s="5">
        <v>0</v>
      </c>
      <c r="V3782" s="5">
        <f>VLOOKUP(A3782,Planilha1!B:E,4,0)</f>
        <v>10.339882680976428</v>
      </c>
    </row>
    <row r="3783" spans="1:22" x14ac:dyDescent="0.3">
      <c r="A3783" t="str">
        <f t="shared" si="118"/>
        <v>BLISTERITAMBÉ</v>
      </c>
      <c r="B3783" t="str">
        <f t="shared" si="119"/>
        <v>5149985BLISTERITAMBÉ</v>
      </c>
      <c r="C3783" s="5" t="str">
        <f>VLOOKUP(F3783,'[1]DEPARA FOOD'!$B:$M,11,0)</f>
        <v>RODRIGO</v>
      </c>
      <c r="D3783" s="5" t="s">
        <v>227</v>
      </c>
      <c r="E3783" s="5" t="s">
        <v>703</v>
      </c>
      <c r="F3783" s="5">
        <v>5149985</v>
      </c>
      <c r="G3783" s="5" t="s">
        <v>713</v>
      </c>
      <c r="H3783" s="5" t="s">
        <v>30</v>
      </c>
      <c r="I3783" s="5" t="s">
        <v>27</v>
      </c>
      <c r="J3783" s="5" t="s">
        <v>199</v>
      </c>
      <c r="K3783" s="6">
        <v>0</v>
      </c>
      <c r="L3783" s="7">
        <v>0</v>
      </c>
      <c r="M3783" s="7">
        <v>0</v>
      </c>
      <c r="N3783" s="7">
        <v>0</v>
      </c>
      <c r="O3783" s="8">
        <v>0</v>
      </c>
      <c r="P3783" s="8">
        <v>0</v>
      </c>
      <c r="Q3783" s="8">
        <v>0</v>
      </c>
      <c r="R3783" s="8">
        <v>0</v>
      </c>
      <c r="S3783" s="8">
        <v>0</v>
      </c>
      <c r="T3783" s="5">
        <v>0</v>
      </c>
      <c r="U3783" s="5">
        <v>0</v>
      </c>
      <c r="V3783" s="5">
        <f>VLOOKUP(A3783,Planilha1!B:E,4,0)</f>
        <v>10.339882680976428</v>
      </c>
    </row>
    <row r="3784" spans="1:22" x14ac:dyDescent="0.3">
      <c r="A3784" t="str">
        <f t="shared" si="118"/>
        <v>BLISTERITAMBÉ</v>
      </c>
      <c r="B3784" t="str">
        <f t="shared" si="119"/>
        <v>5151763BLISTERITAMBÉ</v>
      </c>
      <c r="C3784" s="5" t="str">
        <f>VLOOKUP(F3784,'[1]DEPARA FOOD'!$B:$M,11,0)</f>
        <v>RODRIGO</v>
      </c>
      <c r="D3784" s="5" t="s">
        <v>727</v>
      </c>
      <c r="E3784" s="5" t="s">
        <v>733</v>
      </c>
      <c r="F3784" s="5">
        <v>5151763</v>
      </c>
      <c r="G3784" s="5" t="s">
        <v>742</v>
      </c>
      <c r="H3784" s="5" t="s">
        <v>25</v>
      </c>
      <c r="I3784" s="5" t="s">
        <v>27</v>
      </c>
      <c r="J3784" s="5" t="s">
        <v>199</v>
      </c>
      <c r="K3784" s="6">
        <v>0</v>
      </c>
      <c r="L3784" s="7">
        <v>0</v>
      </c>
      <c r="M3784" s="7">
        <v>0</v>
      </c>
      <c r="N3784" s="7">
        <v>0</v>
      </c>
      <c r="O3784" s="8">
        <v>0</v>
      </c>
      <c r="P3784" s="8">
        <v>0</v>
      </c>
      <c r="Q3784" s="8">
        <v>0</v>
      </c>
      <c r="R3784" s="8">
        <v>0</v>
      </c>
      <c r="S3784" s="8">
        <v>0</v>
      </c>
      <c r="T3784" s="5">
        <v>0</v>
      </c>
      <c r="U3784" s="5">
        <v>0</v>
      </c>
      <c r="V3784" s="5">
        <f>VLOOKUP(A3784,Planilha1!B:E,4,0)</f>
        <v>10.339882680976428</v>
      </c>
    </row>
    <row r="3785" spans="1:22" x14ac:dyDescent="0.3">
      <c r="A3785" t="str">
        <f t="shared" si="118"/>
        <v>BLISTERITAMBÉ</v>
      </c>
      <c r="B3785" t="str">
        <f t="shared" si="119"/>
        <v>5183495BLISTERITAMBÉ</v>
      </c>
      <c r="C3785" s="5" t="str">
        <f>VLOOKUP(F3785,'[1]DEPARA FOOD'!$B:$M,11,0)</f>
        <v>MAURICIO</v>
      </c>
      <c r="D3785" s="5" t="s">
        <v>17</v>
      </c>
      <c r="E3785" s="5" t="s">
        <v>44</v>
      </c>
      <c r="F3785" s="5">
        <v>5183495</v>
      </c>
      <c r="G3785" s="5" t="s">
        <v>64</v>
      </c>
      <c r="H3785" s="5" t="s">
        <v>25</v>
      </c>
      <c r="I3785" s="5" t="s">
        <v>27</v>
      </c>
      <c r="J3785" s="5" t="s">
        <v>199</v>
      </c>
      <c r="K3785" s="6">
        <v>0</v>
      </c>
      <c r="L3785" s="7">
        <v>0</v>
      </c>
      <c r="M3785" s="7">
        <v>0</v>
      </c>
      <c r="N3785" s="7">
        <v>0</v>
      </c>
      <c r="O3785" s="8">
        <v>0</v>
      </c>
      <c r="P3785" s="8">
        <v>0</v>
      </c>
      <c r="Q3785" s="8">
        <v>0</v>
      </c>
      <c r="R3785" s="8">
        <v>0</v>
      </c>
      <c r="S3785" s="8">
        <v>0</v>
      </c>
      <c r="T3785" s="5">
        <v>0</v>
      </c>
      <c r="U3785" s="5">
        <v>0</v>
      </c>
      <c r="V3785" s="5">
        <f>VLOOKUP(A3785,Planilha1!B:E,4,0)</f>
        <v>10.339882680976428</v>
      </c>
    </row>
    <row r="3786" spans="1:22" x14ac:dyDescent="0.3">
      <c r="A3786" t="str">
        <f t="shared" si="118"/>
        <v>BLISTERITAMBÉ</v>
      </c>
      <c r="B3786" t="str">
        <f t="shared" si="119"/>
        <v>5192822BLISTERITAMBÉ</v>
      </c>
      <c r="C3786" s="5" t="str">
        <f>VLOOKUP(F3786,'[1]DEPARA FOOD'!$B:$M,11,0)</f>
        <v>RODRIGO</v>
      </c>
      <c r="D3786" s="5" t="s">
        <v>815</v>
      </c>
      <c r="E3786" s="5" t="s">
        <v>816</v>
      </c>
      <c r="F3786" s="5">
        <v>5192822</v>
      </c>
      <c r="G3786" s="5" t="s">
        <v>826</v>
      </c>
      <c r="H3786" s="5" t="s">
        <v>30</v>
      </c>
      <c r="I3786" s="5" t="s">
        <v>27</v>
      </c>
      <c r="J3786" s="5" t="s">
        <v>199</v>
      </c>
      <c r="K3786" s="6">
        <v>0</v>
      </c>
      <c r="L3786" s="7">
        <v>0</v>
      </c>
      <c r="M3786" s="7">
        <v>0</v>
      </c>
      <c r="N3786" s="7">
        <v>0</v>
      </c>
      <c r="O3786" s="8">
        <v>0</v>
      </c>
      <c r="P3786" s="8">
        <v>0</v>
      </c>
      <c r="Q3786" s="8">
        <v>0</v>
      </c>
      <c r="R3786" s="8">
        <v>0</v>
      </c>
      <c r="S3786" s="8">
        <v>0</v>
      </c>
      <c r="T3786" s="5">
        <v>0</v>
      </c>
      <c r="U3786" s="5">
        <v>0</v>
      </c>
      <c r="V3786" s="5">
        <f>VLOOKUP(A3786,Planilha1!B:E,4,0)</f>
        <v>10.339882680976428</v>
      </c>
    </row>
    <row r="3787" spans="1:22" x14ac:dyDescent="0.3">
      <c r="A3787" t="str">
        <f t="shared" si="118"/>
        <v>BLISTERITAMBÉ</v>
      </c>
      <c r="B3787" t="str">
        <f t="shared" si="119"/>
        <v>5200125BLISTERITAMBÉ</v>
      </c>
      <c r="C3787" s="5" t="str">
        <f>VLOOKUP(F3787,'[1]DEPARA FOOD'!$B:$M,11,0)</f>
        <v>RODRIGO</v>
      </c>
      <c r="D3787" s="5" t="s">
        <v>833</v>
      </c>
      <c r="E3787" s="5" t="s">
        <v>875</v>
      </c>
      <c r="F3787" s="5">
        <v>5200125</v>
      </c>
      <c r="G3787" s="5" t="s">
        <v>1542</v>
      </c>
      <c r="H3787" s="5" t="s">
        <v>1636</v>
      </c>
      <c r="I3787" s="5" t="s">
        <v>27</v>
      </c>
      <c r="J3787" s="5" t="s">
        <v>199</v>
      </c>
      <c r="K3787" s="6">
        <v>0</v>
      </c>
      <c r="L3787" s="7">
        <v>0</v>
      </c>
      <c r="M3787" s="7">
        <v>0</v>
      </c>
      <c r="N3787" s="7">
        <v>0</v>
      </c>
      <c r="O3787" s="8">
        <v>0</v>
      </c>
      <c r="P3787" s="8">
        <v>0</v>
      </c>
      <c r="Q3787" s="8">
        <v>0</v>
      </c>
      <c r="R3787" s="8">
        <v>0</v>
      </c>
      <c r="S3787" s="8">
        <v>0</v>
      </c>
      <c r="T3787" s="5">
        <v>0</v>
      </c>
      <c r="U3787" s="5">
        <v>0</v>
      </c>
      <c r="V3787" s="5">
        <f>VLOOKUP(A3787,Planilha1!B:E,4,0)</f>
        <v>10.339882680976428</v>
      </c>
    </row>
    <row r="3788" spans="1:22" x14ac:dyDescent="0.3">
      <c r="A3788" t="str">
        <f t="shared" si="118"/>
        <v>BLISTERITAMBÉ</v>
      </c>
      <c r="B3788" t="str">
        <f t="shared" si="119"/>
        <v>5204180BLISTERITAMBÉ</v>
      </c>
      <c r="C3788" s="5" t="str">
        <f>VLOOKUP(F3788,'[1]DEPARA FOOD'!$B:$M,11,0)</f>
        <v>RODRIGO</v>
      </c>
      <c r="D3788" s="5" t="s">
        <v>752</v>
      </c>
      <c r="E3788" s="5" t="s">
        <v>774</v>
      </c>
      <c r="F3788" s="5">
        <v>5204180</v>
      </c>
      <c r="G3788" s="5" t="s">
        <v>790</v>
      </c>
      <c r="H3788" s="5" t="s">
        <v>32</v>
      </c>
      <c r="I3788" s="5" t="s">
        <v>27</v>
      </c>
      <c r="J3788" s="5" t="s">
        <v>199</v>
      </c>
      <c r="K3788" s="6">
        <v>0</v>
      </c>
      <c r="L3788" s="7">
        <v>0</v>
      </c>
      <c r="M3788" s="7">
        <v>0</v>
      </c>
      <c r="N3788" s="7">
        <v>0</v>
      </c>
      <c r="O3788" s="8">
        <v>0</v>
      </c>
      <c r="P3788" s="8">
        <v>0</v>
      </c>
      <c r="Q3788" s="8">
        <v>0</v>
      </c>
      <c r="R3788" s="8">
        <v>0</v>
      </c>
      <c r="S3788" s="8">
        <v>0</v>
      </c>
      <c r="T3788" s="5">
        <v>0</v>
      </c>
      <c r="U3788" s="5">
        <v>0</v>
      </c>
      <c r="V3788" s="5">
        <f>VLOOKUP(A3788,Planilha1!B:E,4,0)</f>
        <v>10.339882680976428</v>
      </c>
    </row>
    <row r="3789" spans="1:22" x14ac:dyDescent="0.3">
      <c r="A3789" t="str">
        <f t="shared" si="118"/>
        <v>BLISTERITAMBÉ</v>
      </c>
      <c r="B3789" t="str">
        <f t="shared" si="119"/>
        <v>5216898BLISTERITAMBÉ</v>
      </c>
      <c r="C3789" s="5" t="str">
        <f>VLOOKUP(F3789,'[1]DEPARA FOOD'!$B:$M,11,0)</f>
        <v>RODRIGO</v>
      </c>
      <c r="D3789" s="5" t="s">
        <v>752</v>
      </c>
      <c r="E3789" s="5" t="s">
        <v>774</v>
      </c>
      <c r="F3789" s="5">
        <v>5216898</v>
      </c>
      <c r="G3789" s="5" t="s">
        <v>792</v>
      </c>
      <c r="H3789" s="5" t="s">
        <v>32</v>
      </c>
      <c r="I3789" s="5" t="s">
        <v>27</v>
      </c>
      <c r="J3789" s="5" t="s">
        <v>199</v>
      </c>
      <c r="K3789" s="6">
        <v>0</v>
      </c>
      <c r="L3789" s="7">
        <v>0</v>
      </c>
      <c r="M3789" s="7">
        <v>0</v>
      </c>
      <c r="N3789" s="7">
        <v>0</v>
      </c>
      <c r="O3789" s="8">
        <v>0</v>
      </c>
      <c r="P3789" s="8">
        <v>0</v>
      </c>
      <c r="Q3789" s="8">
        <v>0</v>
      </c>
      <c r="R3789" s="8">
        <v>0</v>
      </c>
      <c r="S3789" s="8">
        <v>0</v>
      </c>
      <c r="T3789" s="5">
        <v>0</v>
      </c>
      <c r="U3789" s="5">
        <v>0</v>
      </c>
      <c r="V3789" s="5">
        <f>VLOOKUP(A3789,Planilha1!B:E,4,0)</f>
        <v>10.339882680976428</v>
      </c>
    </row>
    <row r="3790" spans="1:22" x14ac:dyDescent="0.3">
      <c r="A3790" t="str">
        <f t="shared" si="118"/>
        <v>BLISTERITAMBÉ</v>
      </c>
      <c r="B3790" t="str">
        <f t="shared" si="119"/>
        <v>5220998BLISTERITAMBÉ</v>
      </c>
      <c r="C3790" s="5" t="str">
        <f>VLOOKUP(F3790,'[1]DEPARA FOOD'!$B:$M,11,0)</f>
        <v>RODRIGO</v>
      </c>
      <c r="D3790" s="5" t="s">
        <v>833</v>
      </c>
      <c r="E3790" s="5" t="s">
        <v>852</v>
      </c>
      <c r="F3790" s="5">
        <v>5220998</v>
      </c>
      <c r="G3790" s="5" t="s">
        <v>1542</v>
      </c>
      <c r="H3790" s="5" t="s">
        <v>1636</v>
      </c>
      <c r="I3790" s="5" t="s">
        <v>27</v>
      </c>
      <c r="J3790" s="5" t="s">
        <v>199</v>
      </c>
      <c r="K3790" s="6">
        <v>0</v>
      </c>
      <c r="L3790" s="7">
        <v>0</v>
      </c>
      <c r="M3790" s="7">
        <v>0</v>
      </c>
      <c r="N3790" s="7">
        <v>0</v>
      </c>
      <c r="O3790" s="8">
        <v>0</v>
      </c>
      <c r="P3790" s="8">
        <v>0</v>
      </c>
      <c r="Q3790" s="8">
        <v>0</v>
      </c>
      <c r="R3790" s="8">
        <v>0</v>
      </c>
      <c r="S3790" s="8">
        <v>0</v>
      </c>
      <c r="T3790" s="5">
        <v>0</v>
      </c>
      <c r="U3790" s="5">
        <v>0</v>
      </c>
      <c r="V3790" s="5">
        <f>VLOOKUP(A3790,Planilha1!B:E,4,0)</f>
        <v>10.339882680976428</v>
      </c>
    </row>
    <row r="3791" spans="1:22" x14ac:dyDescent="0.3">
      <c r="A3791" t="str">
        <f t="shared" si="118"/>
        <v>BLISTERITAMBÉ</v>
      </c>
      <c r="B3791" t="str">
        <f t="shared" si="119"/>
        <v>5224404BLISTERITAMBÉ</v>
      </c>
      <c r="C3791" s="5" t="str">
        <f>VLOOKUP(F3791,'[1]DEPARA FOOD'!$B:$M,11,0)</f>
        <v>RODRIGO</v>
      </c>
      <c r="D3791" s="5" t="s">
        <v>727</v>
      </c>
      <c r="E3791" s="5" t="s">
        <v>733</v>
      </c>
      <c r="F3791" s="5">
        <v>5224404</v>
      </c>
      <c r="G3791" s="5" t="s">
        <v>1542</v>
      </c>
      <c r="H3791" s="5" t="s">
        <v>1636</v>
      </c>
      <c r="I3791" s="5" t="s">
        <v>27</v>
      </c>
      <c r="J3791" s="5" t="s">
        <v>199</v>
      </c>
      <c r="K3791" s="6">
        <v>0</v>
      </c>
      <c r="L3791" s="7">
        <v>0</v>
      </c>
      <c r="M3791" s="7">
        <v>0</v>
      </c>
      <c r="N3791" s="7">
        <v>0</v>
      </c>
      <c r="O3791" s="8">
        <v>0</v>
      </c>
      <c r="P3791" s="8">
        <v>0</v>
      </c>
      <c r="Q3791" s="8">
        <v>0</v>
      </c>
      <c r="R3791" s="8">
        <v>0</v>
      </c>
      <c r="S3791" s="8">
        <v>0</v>
      </c>
      <c r="T3791" s="5">
        <v>0</v>
      </c>
      <c r="U3791" s="5">
        <v>0</v>
      </c>
      <c r="V3791" s="5">
        <f>VLOOKUP(A3791,Planilha1!B:E,4,0)</f>
        <v>10.339882680976428</v>
      </c>
    </row>
    <row r="3792" spans="1:22" x14ac:dyDescent="0.3">
      <c r="A3792" t="str">
        <f t="shared" si="118"/>
        <v>BLISTERITAMBÉ</v>
      </c>
      <c r="B3792" t="str">
        <f t="shared" si="119"/>
        <v>5226360BLISTERITAMBÉ</v>
      </c>
      <c r="C3792" s="5" t="str">
        <f>VLOOKUP(F3792,'[1]DEPARA FOOD'!$B:$M,11,0)</f>
        <v>RODRIGO</v>
      </c>
      <c r="D3792" s="5" t="s">
        <v>833</v>
      </c>
      <c r="E3792" s="5" t="s">
        <v>852</v>
      </c>
      <c r="F3792" s="5">
        <v>5226360</v>
      </c>
      <c r="G3792" s="5" t="s">
        <v>1542</v>
      </c>
      <c r="H3792" s="5" t="s">
        <v>1636</v>
      </c>
      <c r="I3792" s="5" t="s">
        <v>27</v>
      </c>
      <c r="J3792" s="5" t="s">
        <v>199</v>
      </c>
      <c r="K3792" s="6">
        <v>0</v>
      </c>
      <c r="L3792" s="7">
        <v>0</v>
      </c>
      <c r="M3792" s="7">
        <v>0</v>
      </c>
      <c r="N3792" s="7">
        <v>0</v>
      </c>
      <c r="O3792" s="8">
        <v>0</v>
      </c>
      <c r="P3792" s="8">
        <v>0</v>
      </c>
      <c r="Q3792" s="8">
        <v>0</v>
      </c>
      <c r="R3792" s="8">
        <v>0</v>
      </c>
      <c r="S3792" s="8">
        <v>0</v>
      </c>
      <c r="T3792" s="5">
        <v>0</v>
      </c>
      <c r="U3792" s="5">
        <v>0</v>
      </c>
      <c r="V3792" s="5">
        <f>VLOOKUP(A3792,Planilha1!B:E,4,0)</f>
        <v>10.339882680976428</v>
      </c>
    </row>
    <row r="3793" spans="1:22" x14ac:dyDescent="0.3">
      <c r="A3793" t="str">
        <f t="shared" si="118"/>
        <v>BLISTERITAMBÉ</v>
      </c>
      <c r="B3793" t="str">
        <f t="shared" si="119"/>
        <v>5227772BLISTERITAMBÉ</v>
      </c>
      <c r="C3793" s="5" t="str">
        <f>VLOOKUP(F3793,'[1]DEPARA FOOD'!$B:$M,11,0)</f>
        <v>MAURICIO</v>
      </c>
      <c r="D3793" s="5" t="s">
        <v>28</v>
      </c>
      <c r="E3793" s="5" t="s">
        <v>28</v>
      </c>
      <c r="F3793" s="5">
        <v>5227772</v>
      </c>
      <c r="G3793" s="5" t="s">
        <v>177</v>
      </c>
      <c r="H3793" s="5" t="s">
        <v>154</v>
      </c>
      <c r="I3793" s="5" t="s">
        <v>27</v>
      </c>
      <c r="J3793" s="5" t="s">
        <v>199</v>
      </c>
      <c r="K3793" s="6">
        <v>0</v>
      </c>
      <c r="L3793" s="7">
        <v>0</v>
      </c>
      <c r="M3793" s="7">
        <v>0</v>
      </c>
      <c r="N3793" s="7">
        <v>0</v>
      </c>
      <c r="O3793" s="8">
        <v>0</v>
      </c>
      <c r="P3793" s="8">
        <v>0</v>
      </c>
      <c r="Q3793" s="8">
        <v>0</v>
      </c>
      <c r="R3793" s="8">
        <v>0</v>
      </c>
      <c r="S3793" s="8">
        <v>0</v>
      </c>
      <c r="T3793" s="5">
        <v>0</v>
      </c>
      <c r="U3793" s="5">
        <v>0</v>
      </c>
      <c r="V3793" s="5">
        <f>VLOOKUP(A3793,Planilha1!B:E,4,0)</f>
        <v>10.339882680976428</v>
      </c>
    </row>
    <row r="3794" spans="1:22" x14ac:dyDescent="0.3">
      <c r="A3794" t="str">
        <f t="shared" si="118"/>
        <v>BLISTERITAMBÉ</v>
      </c>
      <c r="B3794" t="str">
        <f t="shared" si="119"/>
        <v>5229130BLISTERITAMBÉ</v>
      </c>
      <c r="C3794" s="5" t="str">
        <f>VLOOKUP(F3794,'[1]DEPARA FOOD'!$B:$M,11,0)</f>
        <v>PEDRO</v>
      </c>
      <c r="D3794" s="5" t="s">
        <v>210</v>
      </c>
      <c r="E3794" s="5" t="s">
        <v>210</v>
      </c>
      <c r="F3794" s="5">
        <v>5229130</v>
      </c>
      <c r="G3794" s="5" t="s">
        <v>1542</v>
      </c>
      <c r="H3794" s="5" t="s">
        <v>1636</v>
      </c>
      <c r="I3794" s="5" t="s">
        <v>27</v>
      </c>
      <c r="J3794" s="5" t="s">
        <v>199</v>
      </c>
      <c r="K3794" s="6">
        <v>0</v>
      </c>
      <c r="L3794" s="7">
        <v>0</v>
      </c>
      <c r="M3794" s="7">
        <v>0</v>
      </c>
      <c r="N3794" s="7">
        <v>0</v>
      </c>
      <c r="O3794" s="8">
        <v>0</v>
      </c>
      <c r="P3794" s="8">
        <v>0</v>
      </c>
      <c r="Q3794" s="8">
        <v>0</v>
      </c>
      <c r="R3794" s="8">
        <v>0</v>
      </c>
      <c r="S3794" s="8">
        <v>0</v>
      </c>
      <c r="T3794" s="5">
        <v>0</v>
      </c>
      <c r="U3794" s="5">
        <v>0</v>
      </c>
      <c r="V3794" s="5">
        <f>VLOOKUP(A3794,Planilha1!B:E,4,0)</f>
        <v>10.339882680976428</v>
      </c>
    </row>
    <row r="3795" spans="1:22" x14ac:dyDescent="0.3">
      <c r="A3795" t="str">
        <f t="shared" si="118"/>
        <v>BLISTERITAMBÉ</v>
      </c>
      <c r="B3795" t="str">
        <f t="shared" si="119"/>
        <v>5230104BLISTERITAMBÉ</v>
      </c>
      <c r="C3795" s="5" t="str">
        <f>VLOOKUP(F3795,'[1]DEPARA FOOD'!$B:$M,11,0)</f>
        <v>RODRIGO</v>
      </c>
      <c r="D3795" s="5" t="s">
        <v>903</v>
      </c>
      <c r="E3795" s="5" t="s">
        <v>904</v>
      </c>
      <c r="F3795" s="5">
        <v>5230104</v>
      </c>
      <c r="G3795" s="5" t="s">
        <v>1542</v>
      </c>
      <c r="H3795" s="5" t="s">
        <v>1636</v>
      </c>
      <c r="I3795" s="5" t="s">
        <v>27</v>
      </c>
      <c r="J3795" s="5" t="s">
        <v>199</v>
      </c>
      <c r="K3795" s="6">
        <v>0</v>
      </c>
      <c r="L3795" s="7">
        <v>0</v>
      </c>
      <c r="M3795" s="7">
        <v>0</v>
      </c>
      <c r="N3795" s="7">
        <v>0</v>
      </c>
      <c r="O3795" s="8">
        <v>0</v>
      </c>
      <c r="P3795" s="8">
        <v>0</v>
      </c>
      <c r="Q3795" s="8">
        <v>0</v>
      </c>
      <c r="R3795" s="8">
        <v>0</v>
      </c>
      <c r="S3795" s="8">
        <v>0</v>
      </c>
      <c r="T3795" s="5">
        <v>0</v>
      </c>
      <c r="U3795" s="5">
        <v>0</v>
      </c>
      <c r="V3795" s="5">
        <f>VLOOKUP(A3795,Planilha1!B:E,4,0)</f>
        <v>10.339882680976428</v>
      </c>
    </row>
    <row r="3796" spans="1:22" x14ac:dyDescent="0.3">
      <c r="A3796" t="str">
        <f t="shared" si="118"/>
        <v>BLISTERITAMBÉ</v>
      </c>
      <c r="B3796" t="str">
        <f t="shared" si="119"/>
        <v>5338667BLISTERITAMBÉ</v>
      </c>
      <c r="C3796" s="5" t="str">
        <f>VLOOKUP(F3796,'[1]DEPARA FOOD'!$B:$M,11,0)</f>
        <v>MAURICIO</v>
      </c>
      <c r="D3796" s="5" t="s">
        <v>28</v>
      </c>
      <c r="E3796" s="5" t="s">
        <v>28</v>
      </c>
      <c r="F3796" s="5">
        <v>5338667</v>
      </c>
      <c r="G3796" s="5" t="s">
        <v>1655</v>
      </c>
      <c r="H3796" s="5" t="s">
        <v>32</v>
      </c>
      <c r="I3796" s="5" t="s">
        <v>27</v>
      </c>
      <c r="J3796" s="5" t="s">
        <v>199</v>
      </c>
      <c r="K3796" s="6">
        <v>0</v>
      </c>
      <c r="L3796" s="7">
        <v>0</v>
      </c>
      <c r="M3796" s="7">
        <v>0</v>
      </c>
      <c r="N3796" s="7">
        <v>0</v>
      </c>
      <c r="O3796" s="8">
        <v>0</v>
      </c>
      <c r="P3796" s="8">
        <v>0</v>
      </c>
      <c r="Q3796" s="8">
        <v>0</v>
      </c>
      <c r="R3796" s="8">
        <v>0</v>
      </c>
      <c r="S3796" s="8">
        <v>0</v>
      </c>
      <c r="T3796" s="5">
        <v>0</v>
      </c>
      <c r="U3796" s="5">
        <v>0</v>
      </c>
      <c r="V3796" s="5">
        <f>VLOOKUP(A3796,Planilha1!B:E,4,0)</f>
        <v>10.339882680976428</v>
      </c>
    </row>
    <row r="3797" spans="1:22" x14ac:dyDescent="0.3">
      <c r="A3797" t="str">
        <f t="shared" si="118"/>
        <v>BLISTERITAMBÉ</v>
      </c>
      <c r="B3797" t="str">
        <f t="shared" si="119"/>
        <v>5349486BLISTERITAMBÉ</v>
      </c>
      <c r="C3797" s="5" t="str">
        <f>VLOOKUP(F3797,'[1]DEPARA FOOD'!$B:$M,11,0)</f>
        <v>RODRIGO</v>
      </c>
      <c r="D3797" s="5" t="s">
        <v>727</v>
      </c>
      <c r="E3797" s="5" t="s">
        <v>733</v>
      </c>
      <c r="F3797" s="5">
        <v>5349486</v>
      </c>
      <c r="G3797" s="5" t="s">
        <v>1542</v>
      </c>
      <c r="H3797" s="5" t="s">
        <v>1636</v>
      </c>
      <c r="I3797" s="5" t="s">
        <v>27</v>
      </c>
      <c r="J3797" s="5" t="s">
        <v>199</v>
      </c>
      <c r="K3797" s="6">
        <v>0</v>
      </c>
      <c r="L3797" s="7">
        <v>0</v>
      </c>
      <c r="M3797" s="7">
        <v>0</v>
      </c>
      <c r="N3797" s="7">
        <v>0</v>
      </c>
      <c r="O3797" s="8">
        <v>0</v>
      </c>
      <c r="P3797" s="8">
        <v>0</v>
      </c>
      <c r="Q3797" s="8">
        <v>0</v>
      </c>
      <c r="R3797" s="8">
        <v>0</v>
      </c>
      <c r="S3797" s="8">
        <v>0</v>
      </c>
      <c r="T3797" s="5">
        <v>0</v>
      </c>
      <c r="U3797" s="5">
        <v>0</v>
      </c>
      <c r="V3797" s="5">
        <f>VLOOKUP(A3797,Planilha1!B:E,4,0)</f>
        <v>10.339882680976428</v>
      </c>
    </row>
    <row r="3798" spans="1:22" x14ac:dyDescent="0.3">
      <c r="A3798" t="str">
        <f t="shared" si="118"/>
        <v>COMPOSTOITAMBÉ</v>
      </c>
      <c r="B3798" t="str">
        <f t="shared" si="119"/>
        <v>5019245COMPOSTOITAMBÉ</v>
      </c>
      <c r="C3798" s="5" t="str">
        <f>VLOOKUP(F3798,'[1]DEPARA FOOD'!$B:$M,11,0)</f>
        <v>RODRIGO</v>
      </c>
      <c r="D3798" s="5" t="s">
        <v>797</v>
      </c>
      <c r="E3798" s="5" t="s">
        <v>753</v>
      </c>
      <c r="F3798" s="5">
        <v>5019245</v>
      </c>
      <c r="G3798" s="5" t="s">
        <v>1656</v>
      </c>
      <c r="H3798" s="5" t="s">
        <v>20</v>
      </c>
      <c r="I3798" s="5" t="s">
        <v>27</v>
      </c>
      <c r="J3798" s="5" t="s">
        <v>26</v>
      </c>
      <c r="K3798" s="6">
        <v>0</v>
      </c>
      <c r="L3798" s="7">
        <v>0</v>
      </c>
      <c r="M3798" s="7">
        <v>0</v>
      </c>
      <c r="N3798" s="7">
        <v>0</v>
      </c>
      <c r="O3798" s="8">
        <v>0</v>
      </c>
      <c r="P3798" s="8">
        <v>0</v>
      </c>
      <c r="Q3798" s="8">
        <v>0</v>
      </c>
      <c r="R3798" s="8">
        <v>0</v>
      </c>
      <c r="S3798" s="8">
        <v>0</v>
      </c>
      <c r="T3798" s="5">
        <v>0</v>
      </c>
      <c r="U3798" s="5">
        <v>0</v>
      </c>
      <c r="V3798" s="5">
        <f>VLOOKUP(A3798,Planilha1!B:E,4,0)</f>
        <v>0.15618217875936719</v>
      </c>
    </row>
    <row r="3799" spans="1:22" x14ac:dyDescent="0.3">
      <c r="A3799" t="str">
        <f t="shared" si="118"/>
        <v>COMPOSTOITAMBÉ</v>
      </c>
      <c r="B3799" t="str">
        <f t="shared" si="119"/>
        <v>5104419COMPOSTOITAMBÉ</v>
      </c>
      <c r="C3799" s="5" t="str">
        <f>VLOOKUP(F3799,'[1]DEPARA FOOD'!$B:$M,11,0)</f>
        <v>RODRIGO</v>
      </c>
      <c r="D3799" s="5" t="s">
        <v>815</v>
      </c>
      <c r="E3799" s="5" t="s">
        <v>816</v>
      </c>
      <c r="F3799" s="5">
        <v>5104419</v>
      </c>
      <c r="G3799" s="5" t="s">
        <v>821</v>
      </c>
      <c r="H3799" s="5" t="s">
        <v>30</v>
      </c>
      <c r="I3799" s="5" t="s">
        <v>27</v>
      </c>
      <c r="J3799" s="5" t="s">
        <v>26</v>
      </c>
      <c r="K3799" s="6">
        <v>0</v>
      </c>
      <c r="L3799" s="7">
        <v>0</v>
      </c>
      <c r="M3799" s="7">
        <v>0</v>
      </c>
      <c r="N3799" s="7">
        <v>0</v>
      </c>
      <c r="O3799" s="8">
        <v>0</v>
      </c>
      <c r="P3799" s="8">
        <v>0</v>
      </c>
      <c r="Q3799" s="8">
        <v>0</v>
      </c>
      <c r="R3799" s="8">
        <v>0</v>
      </c>
      <c r="S3799" s="8">
        <v>0</v>
      </c>
      <c r="T3799" s="5">
        <v>0</v>
      </c>
      <c r="U3799" s="5">
        <v>0</v>
      </c>
      <c r="V3799" s="5">
        <f>VLOOKUP(A3799,Planilha1!B:E,4,0)</f>
        <v>0.15618217875936719</v>
      </c>
    </row>
    <row r="3800" spans="1:22" x14ac:dyDescent="0.3">
      <c r="A3800" t="str">
        <f t="shared" si="118"/>
        <v>COMPOSTOITAMBÉ</v>
      </c>
      <c r="B3800" t="str">
        <f t="shared" si="119"/>
        <v>5114516COMPOSTOITAMBÉ</v>
      </c>
      <c r="C3800" s="5" t="str">
        <f>VLOOKUP(F3800,'[1]DEPARA FOOD'!$B:$M,11,0)</f>
        <v>MAURICIO</v>
      </c>
      <c r="D3800" s="5" t="s">
        <v>28</v>
      </c>
      <c r="E3800" s="5" t="s">
        <v>28</v>
      </c>
      <c r="F3800" s="5">
        <v>5114516</v>
      </c>
      <c r="G3800" s="5" t="s">
        <v>166</v>
      </c>
      <c r="H3800" s="5" t="s">
        <v>154</v>
      </c>
      <c r="I3800" s="5" t="s">
        <v>27</v>
      </c>
      <c r="J3800" s="5" t="s">
        <v>26</v>
      </c>
      <c r="K3800" s="6">
        <v>0</v>
      </c>
      <c r="L3800" s="7">
        <v>0</v>
      </c>
      <c r="M3800" s="7">
        <v>0</v>
      </c>
      <c r="N3800" s="7">
        <v>0</v>
      </c>
      <c r="O3800" s="8">
        <v>0</v>
      </c>
      <c r="P3800" s="8">
        <v>0</v>
      </c>
      <c r="Q3800" s="8">
        <v>0</v>
      </c>
      <c r="R3800" s="8">
        <v>0</v>
      </c>
      <c r="S3800" s="8">
        <v>0</v>
      </c>
      <c r="T3800" s="5">
        <v>0</v>
      </c>
      <c r="U3800" s="5">
        <v>0</v>
      </c>
      <c r="V3800" s="5">
        <f>VLOOKUP(A3800,Planilha1!B:E,4,0)</f>
        <v>0.15618217875936719</v>
      </c>
    </row>
    <row r="3801" spans="1:22" x14ac:dyDescent="0.3">
      <c r="A3801" t="str">
        <f t="shared" si="118"/>
        <v>COMPOSTOITAMBÉ</v>
      </c>
      <c r="B3801" t="str">
        <f t="shared" si="119"/>
        <v>5118035COMPOSTOITAMBÉ</v>
      </c>
      <c r="C3801" s="5" t="str">
        <f>VLOOKUP(F3801,'[1]DEPARA FOOD'!$B:$M,11,0)</f>
        <v>RODRIGO</v>
      </c>
      <c r="D3801" s="5" t="s">
        <v>833</v>
      </c>
      <c r="E3801" s="5" t="s">
        <v>852</v>
      </c>
      <c r="F3801" s="5">
        <v>5118035</v>
      </c>
      <c r="G3801" s="5" t="s">
        <v>857</v>
      </c>
      <c r="H3801" s="5" t="s">
        <v>40</v>
      </c>
      <c r="I3801" s="5" t="s">
        <v>27</v>
      </c>
      <c r="J3801" s="5" t="s">
        <v>26</v>
      </c>
      <c r="K3801" s="6">
        <v>0</v>
      </c>
      <c r="L3801" s="7">
        <v>0</v>
      </c>
      <c r="M3801" s="7">
        <v>0</v>
      </c>
      <c r="N3801" s="7">
        <v>0</v>
      </c>
      <c r="O3801" s="8">
        <v>0</v>
      </c>
      <c r="P3801" s="8">
        <v>0</v>
      </c>
      <c r="Q3801" s="8">
        <v>0</v>
      </c>
      <c r="R3801" s="8">
        <v>0</v>
      </c>
      <c r="S3801" s="8">
        <v>0</v>
      </c>
      <c r="T3801" s="5">
        <v>0</v>
      </c>
      <c r="U3801" s="5">
        <v>0</v>
      </c>
      <c r="V3801" s="5">
        <f>VLOOKUP(A3801,Planilha1!B:E,4,0)</f>
        <v>0.15618217875936719</v>
      </c>
    </row>
    <row r="3802" spans="1:22" x14ac:dyDescent="0.3">
      <c r="A3802" t="str">
        <f t="shared" si="118"/>
        <v>COMPOSTOITAMBÉ</v>
      </c>
      <c r="B3802" t="str">
        <f t="shared" si="119"/>
        <v>5142828COMPOSTOITAMBÉ</v>
      </c>
      <c r="C3802" s="5" t="str">
        <f>VLOOKUP(F3802,'[1]DEPARA FOOD'!$B:$M,11,0)</f>
        <v>RODRIGO</v>
      </c>
      <c r="D3802" s="5" t="s">
        <v>903</v>
      </c>
      <c r="E3802" s="5" t="s">
        <v>904</v>
      </c>
      <c r="F3802" s="5">
        <v>5142828</v>
      </c>
      <c r="G3802" s="5" t="s">
        <v>1542</v>
      </c>
      <c r="H3802" s="5" t="s">
        <v>1636</v>
      </c>
      <c r="I3802" s="5" t="s">
        <v>27</v>
      </c>
      <c r="J3802" s="5" t="s">
        <v>26</v>
      </c>
      <c r="K3802" s="6">
        <v>0</v>
      </c>
      <c r="L3802" s="7">
        <v>0</v>
      </c>
      <c r="M3802" s="7">
        <v>0</v>
      </c>
      <c r="N3802" s="7">
        <v>0</v>
      </c>
      <c r="O3802" s="8">
        <v>0</v>
      </c>
      <c r="P3802" s="8">
        <v>0</v>
      </c>
      <c r="Q3802" s="8">
        <v>0</v>
      </c>
      <c r="R3802" s="8">
        <v>0</v>
      </c>
      <c r="S3802" s="8">
        <v>0</v>
      </c>
      <c r="T3802" s="5">
        <v>0</v>
      </c>
      <c r="U3802" s="5">
        <v>0</v>
      </c>
      <c r="V3802" s="5">
        <f>VLOOKUP(A3802,Planilha1!B:E,4,0)</f>
        <v>0.15618217875936719</v>
      </c>
    </row>
    <row r="3803" spans="1:22" x14ac:dyDescent="0.3">
      <c r="A3803" t="str">
        <f t="shared" si="118"/>
        <v>COMPOSTOITAMBÉ</v>
      </c>
      <c r="B3803" t="str">
        <f t="shared" si="119"/>
        <v>5168007COMPOSTOITAMBÉ</v>
      </c>
      <c r="C3803" s="5" t="str">
        <f>VLOOKUP(F3803,'[1]DEPARA FOOD'!$B:$M,11,0)</f>
        <v>MAURICIO</v>
      </c>
      <c r="D3803" s="5" t="s">
        <v>53</v>
      </c>
      <c r="E3803" s="5" t="s">
        <v>54</v>
      </c>
      <c r="F3803" s="5">
        <v>5168007</v>
      </c>
      <c r="G3803" s="5" t="s">
        <v>131</v>
      </c>
      <c r="H3803" s="5" t="s">
        <v>25</v>
      </c>
      <c r="I3803" s="5" t="s">
        <v>27</v>
      </c>
      <c r="J3803" s="5" t="s">
        <v>26</v>
      </c>
      <c r="K3803" s="6">
        <v>0</v>
      </c>
      <c r="L3803" s="7">
        <v>0</v>
      </c>
      <c r="M3803" s="7">
        <v>0</v>
      </c>
      <c r="N3803" s="7">
        <v>0</v>
      </c>
      <c r="O3803" s="8">
        <v>0</v>
      </c>
      <c r="P3803" s="8">
        <v>0</v>
      </c>
      <c r="Q3803" s="8">
        <v>0</v>
      </c>
      <c r="R3803" s="8">
        <v>0</v>
      </c>
      <c r="S3803" s="8">
        <v>0</v>
      </c>
      <c r="T3803" s="5">
        <v>0</v>
      </c>
      <c r="U3803" s="5">
        <v>0</v>
      </c>
      <c r="V3803" s="5">
        <f>VLOOKUP(A3803,Planilha1!B:E,4,0)</f>
        <v>0.15618217875936719</v>
      </c>
    </row>
    <row r="3804" spans="1:22" x14ac:dyDescent="0.3">
      <c r="A3804" t="str">
        <f t="shared" si="118"/>
        <v>COMPOSTOITAMBÉ</v>
      </c>
      <c r="B3804" t="str">
        <f t="shared" si="119"/>
        <v>5169969COMPOSTOITAMBÉ</v>
      </c>
      <c r="C3804" s="5" t="str">
        <f>VLOOKUP(F3804,'[1]DEPARA FOOD'!$B:$M,11,0)</f>
        <v>RODRIGO</v>
      </c>
      <c r="D3804" s="5" t="s">
        <v>833</v>
      </c>
      <c r="E3804" s="5" t="s">
        <v>852</v>
      </c>
      <c r="F3804" s="5">
        <v>5169969</v>
      </c>
      <c r="G3804" s="5" t="s">
        <v>861</v>
      </c>
      <c r="H3804" s="5" t="s">
        <v>40</v>
      </c>
      <c r="I3804" s="5" t="s">
        <v>27</v>
      </c>
      <c r="J3804" s="5" t="s">
        <v>26</v>
      </c>
      <c r="K3804" s="6">
        <v>0</v>
      </c>
      <c r="L3804" s="7">
        <v>0</v>
      </c>
      <c r="M3804" s="7">
        <v>0</v>
      </c>
      <c r="N3804" s="7">
        <v>0</v>
      </c>
      <c r="O3804" s="8">
        <v>0</v>
      </c>
      <c r="P3804" s="8">
        <v>0</v>
      </c>
      <c r="Q3804" s="8">
        <v>0</v>
      </c>
      <c r="R3804" s="8">
        <v>0</v>
      </c>
      <c r="S3804" s="8">
        <v>0</v>
      </c>
      <c r="T3804" s="5">
        <v>0</v>
      </c>
      <c r="U3804" s="5">
        <v>0</v>
      </c>
      <c r="V3804" s="5">
        <f>VLOOKUP(A3804,Planilha1!B:E,4,0)</f>
        <v>0.15618217875936719</v>
      </c>
    </row>
    <row r="3805" spans="1:22" x14ac:dyDescent="0.3">
      <c r="A3805" t="str">
        <f t="shared" si="118"/>
        <v>COMPOSTOITAMBÉ</v>
      </c>
      <c r="B3805" t="str">
        <f t="shared" si="119"/>
        <v>5173434COMPOSTOITAMBÉ</v>
      </c>
      <c r="C3805" s="5" t="str">
        <f>VLOOKUP(F3805,'[1]DEPARA FOOD'!$B:$M,11,0)</f>
        <v>MAURICIO</v>
      </c>
      <c r="D3805" s="5" t="s">
        <v>17</v>
      </c>
      <c r="E3805" s="5" t="s">
        <v>44</v>
      </c>
      <c r="F3805" s="5">
        <v>5173434</v>
      </c>
      <c r="G3805" s="5" t="s">
        <v>951</v>
      </c>
      <c r="H3805" s="5" t="s">
        <v>25</v>
      </c>
      <c r="I3805" s="5" t="s">
        <v>27</v>
      </c>
      <c r="J3805" s="5" t="s">
        <v>26</v>
      </c>
      <c r="K3805" s="6">
        <v>0</v>
      </c>
      <c r="L3805" s="7">
        <v>0</v>
      </c>
      <c r="M3805" s="7">
        <v>0</v>
      </c>
      <c r="N3805" s="7">
        <v>0</v>
      </c>
      <c r="O3805" s="8">
        <v>0</v>
      </c>
      <c r="P3805" s="8">
        <v>0</v>
      </c>
      <c r="Q3805" s="8">
        <v>0</v>
      </c>
      <c r="R3805" s="8">
        <v>0</v>
      </c>
      <c r="S3805" s="8">
        <v>0</v>
      </c>
      <c r="T3805" s="5">
        <v>0</v>
      </c>
      <c r="U3805" s="5">
        <v>0</v>
      </c>
      <c r="V3805" s="5">
        <f>VLOOKUP(A3805,Planilha1!B:E,4,0)</f>
        <v>0.15618217875936719</v>
      </c>
    </row>
    <row r="3806" spans="1:22" x14ac:dyDescent="0.3">
      <c r="A3806" t="str">
        <f t="shared" si="118"/>
        <v>COMPOSTOITAMBÉ</v>
      </c>
      <c r="B3806" t="str">
        <f t="shared" si="119"/>
        <v>5176053COMPOSTOITAMBÉ</v>
      </c>
      <c r="C3806" s="5" t="str">
        <f>VLOOKUP(F3806,'[1]DEPARA FOOD'!$B:$M,11,0)</f>
        <v>MAURICIO</v>
      </c>
      <c r="D3806" s="5" t="s">
        <v>28</v>
      </c>
      <c r="E3806" s="5" t="s">
        <v>28</v>
      </c>
      <c r="F3806" s="5">
        <v>5176053</v>
      </c>
      <c r="G3806" s="5" t="s">
        <v>1646</v>
      </c>
      <c r="H3806" s="5" t="s">
        <v>30</v>
      </c>
      <c r="I3806" s="5" t="s">
        <v>27</v>
      </c>
      <c r="J3806" s="5" t="s">
        <v>26</v>
      </c>
      <c r="K3806" s="6">
        <v>0</v>
      </c>
      <c r="L3806" s="7">
        <v>0</v>
      </c>
      <c r="M3806" s="7">
        <v>0</v>
      </c>
      <c r="N3806" s="7">
        <v>0</v>
      </c>
      <c r="O3806" s="8">
        <v>0</v>
      </c>
      <c r="P3806" s="8">
        <v>0</v>
      </c>
      <c r="Q3806" s="8">
        <v>0</v>
      </c>
      <c r="R3806" s="8">
        <v>0</v>
      </c>
      <c r="S3806" s="8">
        <v>0</v>
      </c>
      <c r="T3806" s="5">
        <v>0</v>
      </c>
      <c r="U3806" s="5">
        <v>0</v>
      </c>
      <c r="V3806" s="5">
        <f>VLOOKUP(A3806,Planilha1!B:E,4,0)</f>
        <v>0.15618217875936719</v>
      </c>
    </row>
    <row r="3807" spans="1:22" x14ac:dyDescent="0.3">
      <c r="A3807" t="str">
        <f t="shared" si="118"/>
        <v>COMPOSTOITAMBÉ</v>
      </c>
      <c r="B3807" t="str">
        <f t="shared" si="119"/>
        <v>5184851COMPOSTOITAMBÉ</v>
      </c>
      <c r="C3807" s="5" t="str">
        <f>VLOOKUP(F3807,'[1]DEPARA FOOD'!$B:$M,11,0)</f>
        <v>RODRIGO</v>
      </c>
      <c r="D3807" s="5" t="s">
        <v>893</v>
      </c>
      <c r="E3807" s="5" t="s">
        <v>231</v>
      </c>
      <c r="F3807" s="5">
        <v>5184851</v>
      </c>
      <c r="G3807" s="5" t="s">
        <v>899</v>
      </c>
      <c r="H3807" s="5" t="s">
        <v>30</v>
      </c>
      <c r="I3807" s="5" t="s">
        <v>27</v>
      </c>
      <c r="J3807" s="5" t="s">
        <v>26</v>
      </c>
      <c r="K3807" s="6">
        <v>0</v>
      </c>
      <c r="L3807" s="7">
        <v>0</v>
      </c>
      <c r="M3807" s="7">
        <v>0</v>
      </c>
      <c r="N3807" s="7">
        <v>0</v>
      </c>
      <c r="O3807" s="8">
        <v>0</v>
      </c>
      <c r="P3807" s="8">
        <v>0</v>
      </c>
      <c r="Q3807" s="8">
        <v>0</v>
      </c>
      <c r="R3807" s="8">
        <v>0</v>
      </c>
      <c r="S3807" s="8">
        <v>0</v>
      </c>
      <c r="T3807" s="5">
        <v>0</v>
      </c>
      <c r="U3807" s="5">
        <v>0</v>
      </c>
      <c r="V3807" s="5">
        <f>VLOOKUP(A3807,Planilha1!B:E,4,0)</f>
        <v>0.15618217875936719</v>
      </c>
    </row>
    <row r="3808" spans="1:22" x14ac:dyDescent="0.3">
      <c r="A3808" t="str">
        <f t="shared" si="118"/>
        <v>COMPOSTOITAMBÉ</v>
      </c>
      <c r="B3808" t="str">
        <f t="shared" si="119"/>
        <v>5191490COMPOSTOITAMBÉ</v>
      </c>
      <c r="C3808" s="5" t="str">
        <f>VLOOKUP(F3808,'[1]DEPARA FOOD'!$B:$M,11,0)</f>
        <v>RODRIGO</v>
      </c>
      <c r="D3808" s="5" t="s">
        <v>833</v>
      </c>
      <c r="E3808" s="5" t="s">
        <v>875</v>
      </c>
      <c r="F3808" s="5">
        <v>5191490</v>
      </c>
      <c r="G3808" s="5" t="s">
        <v>884</v>
      </c>
      <c r="H3808" s="5" t="s">
        <v>91</v>
      </c>
      <c r="I3808" s="5" t="s">
        <v>27</v>
      </c>
      <c r="J3808" s="5" t="s">
        <v>26</v>
      </c>
      <c r="K3808" s="6">
        <v>0</v>
      </c>
      <c r="L3808" s="7">
        <v>0</v>
      </c>
      <c r="M3808" s="7">
        <v>0</v>
      </c>
      <c r="N3808" s="7">
        <v>0</v>
      </c>
      <c r="O3808" s="8">
        <v>0</v>
      </c>
      <c r="P3808" s="8">
        <v>0</v>
      </c>
      <c r="Q3808" s="8">
        <v>0</v>
      </c>
      <c r="R3808" s="8">
        <v>0</v>
      </c>
      <c r="S3808" s="8">
        <v>0</v>
      </c>
      <c r="T3808" s="5">
        <v>0</v>
      </c>
      <c r="U3808" s="5">
        <v>0</v>
      </c>
      <c r="V3808" s="5">
        <f>VLOOKUP(A3808,Planilha1!B:E,4,0)</f>
        <v>0.15618217875936719</v>
      </c>
    </row>
    <row r="3809" spans="1:22" x14ac:dyDescent="0.3">
      <c r="A3809" t="str">
        <f t="shared" si="118"/>
        <v>COMPOSTOITAMBÉ</v>
      </c>
      <c r="B3809" t="str">
        <f t="shared" si="119"/>
        <v>5196675COMPOSTOITAMBÉ</v>
      </c>
      <c r="C3809" s="5" t="str">
        <f>VLOOKUP(F3809,'[1]DEPARA FOOD'!$B:$M,11,0)</f>
        <v>RODRIGO</v>
      </c>
      <c r="D3809" s="5" t="s">
        <v>797</v>
      </c>
      <c r="E3809" s="5" t="s">
        <v>753</v>
      </c>
      <c r="F3809" s="5">
        <v>5196675</v>
      </c>
      <c r="G3809" s="5" t="s">
        <v>1542</v>
      </c>
      <c r="H3809" s="5" t="s">
        <v>1636</v>
      </c>
      <c r="I3809" s="5" t="s">
        <v>27</v>
      </c>
      <c r="J3809" s="5" t="s">
        <v>26</v>
      </c>
      <c r="K3809" s="6">
        <v>0</v>
      </c>
      <c r="L3809" s="7">
        <v>0</v>
      </c>
      <c r="M3809" s="7">
        <v>0</v>
      </c>
      <c r="N3809" s="7">
        <v>0</v>
      </c>
      <c r="O3809" s="8">
        <v>0</v>
      </c>
      <c r="P3809" s="8">
        <v>0</v>
      </c>
      <c r="Q3809" s="8">
        <v>0</v>
      </c>
      <c r="R3809" s="8">
        <v>0</v>
      </c>
      <c r="S3809" s="8">
        <v>0</v>
      </c>
      <c r="T3809" s="5">
        <v>0</v>
      </c>
      <c r="U3809" s="5">
        <v>0</v>
      </c>
      <c r="V3809" s="5">
        <f>VLOOKUP(A3809,Planilha1!B:E,4,0)</f>
        <v>0.15618217875936719</v>
      </c>
    </row>
    <row r="3810" spans="1:22" x14ac:dyDescent="0.3">
      <c r="A3810" t="str">
        <f t="shared" si="118"/>
        <v>COMPOSTOITAMBÉ</v>
      </c>
      <c r="B3810" t="str">
        <f t="shared" si="119"/>
        <v>5204939COMPOSTOITAMBÉ</v>
      </c>
      <c r="C3810" s="5" t="str">
        <f>VLOOKUP(F3810,'[1]DEPARA FOOD'!$B:$M,11,0)</f>
        <v>PEDRO</v>
      </c>
      <c r="D3810" s="5" t="s">
        <v>150</v>
      </c>
      <c r="E3810" s="5" t="s">
        <v>186</v>
      </c>
      <c r="F3810" s="5">
        <v>5204939</v>
      </c>
      <c r="G3810" s="5" t="s">
        <v>1542</v>
      </c>
      <c r="H3810" s="5" t="s">
        <v>1636</v>
      </c>
      <c r="I3810" s="5" t="s">
        <v>27</v>
      </c>
      <c r="J3810" s="5" t="s">
        <v>26</v>
      </c>
      <c r="K3810" s="6">
        <v>0</v>
      </c>
      <c r="L3810" s="7">
        <v>0</v>
      </c>
      <c r="M3810" s="7">
        <v>0</v>
      </c>
      <c r="N3810" s="7">
        <v>0</v>
      </c>
      <c r="O3810" s="8">
        <v>0</v>
      </c>
      <c r="P3810" s="8">
        <v>0</v>
      </c>
      <c r="Q3810" s="8">
        <v>0</v>
      </c>
      <c r="R3810" s="8">
        <v>0</v>
      </c>
      <c r="S3810" s="8">
        <v>0</v>
      </c>
      <c r="T3810" s="5">
        <v>0</v>
      </c>
      <c r="U3810" s="5">
        <v>0</v>
      </c>
      <c r="V3810" s="5">
        <f>VLOOKUP(A3810,Planilha1!B:E,4,0)</f>
        <v>0.15618217875936719</v>
      </c>
    </row>
    <row r="3811" spans="1:22" x14ac:dyDescent="0.3">
      <c r="A3811" t="str">
        <f t="shared" si="118"/>
        <v>COMPOSTOITAMBÉ</v>
      </c>
      <c r="B3811" t="str">
        <f t="shared" si="119"/>
        <v>5213905COMPOSTOITAMBÉ</v>
      </c>
      <c r="C3811" s="5" t="str">
        <f>VLOOKUP(F3811,'[1]DEPARA FOOD'!$B:$M,11,0)</f>
        <v>RODRIGO</v>
      </c>
      <c r="D3811" s="5" t="s">
        <v>752</v>
      </c>
      <c r="E3811" s="5" t="s">
        <v>774</v>
      </c>
      <c r="F3811" s="5">
        <v>5213905</v>
      </c>
      <c r="G3811" s="5" t="s">
        <v>791</v>
      </c>
      <c r="H3811" s="5" t="s">
        <v>32</v>
      </c>
      <c r="I3811" s="5" t="s">
        <v>27</v>
      </c>
      <c r="J3811" s="5" t="s">
        <v>26</v>
      </c>
      <c r="K3811" s="6">
        <v>0</v>
      </c>
      <c r="L3811" s="7">
        <v>0</v>
      </c>
      <c r="M3811" s="7">
        <v>0</v>
      </c>
      <c r="N3811" s="7">
        <v>0</v>
      </c>
      <c r="O3811" s="8">
        <v>0</v>
      </c>
      <c r="P3811" s="8">
        <v>0</v>
      </c>
      <c r="Q3811" s="8">
        <v>0</v>
      </c>
      <c r="R3811" s="8">
        <v>0</v>
      </c>
      <c r="S3811" s="8">
        <v>0</v>
      </c>
      <c r="T3811" s="5">
        <v>0</v>
      </c>
      <c r="U3811" s="5">
        <v>0</v>
      </c>
      <c r="V3811" s="5">
        <f>VLOOKUP(A3811,Planilha1!B:E,4,0)</f>
        <v>0.15618217875936719</v>
      </c>
    </row>
    <row r="3812" spans="1:22" x14ac:dyDescent="0.3">
      <c r="A3812" t="str">
        <f t="shared" si="118"/>
        <v>COMPOSTOITAMBÉ</v>
      </c>
      <c r="B3812" t="str">
        <f t="shared" si="119"/>
        <v>5216004COMPOSTOITAMBÉ</v>
      </c>
      <c r="C3812" s="5" t="str">
        <f>VLOOKUP(F3812,'[1]DEPARA FOOD'!$B:$M,11,0)</f>
        <v>RODRIGO</v>
      </c>
      <c r="D3812" s="5" t="s">
        <v>833</v>
      </c>
      <c r="E3812" s="5" t="s">
        <v>753</v>
      </c>
      <c r="F3812" s="5">
        <v>5216004</v>
      </c>
      <c r="G3812" s="5" t="s">
        <v>1542</v>
      </c>
      <c r="H3812" s="5" t="s">
        <v>1636</v>
      </c>
      <c r="I3812" s="5" t="s">
        <v>27</v>
      </c>
      <c r="J3812" s="5" t="s">
        <v>26</v>
      </c>
      <c r="K3812" s="6">
        <v>0</v>
      </c>
      <c r="L3812" s="7">
        <v>0</v>
      </c>
      <c r="M3812" s="7">
        <v>0</v>
      </c>
      <c r="N3812" s="7">
        <v>0</v>
      </c>
      <c r="O3812" s="8">
        <v>0</v>
      </c>
      <c r="P3812" s="8">
        <v>0</v>
      </c>
      <c r="Q3812" s="8">
        <v>0</v>
      </c>
      <c r="R3812" s="8">
        <v>0</v>
      </c>
      <c r="S3812" s="8">
        <v>0</v>
      </c>
      <c r="T3812" s="5">
        <v>0</v>
      </c>
      <c r="U3812" s="5">
        <v>0</v>
      </c>
      <c r="V3812" s="5">
        <f>VLOOKUP(A3812,Planilha1!B:E,4,0)</f>
        <v>0.15618217875936719</v>
      </c>
    </row>
    <row r="3813" spans="1:22" x14ac:dyDescent="0.3">
      <c r="A3813" t="str">
        <f t="shared" si="118"/>
        <v>COMPOSTOITAMBÉ</v>
      </c>
      <c r="B3813" t="str">
        <f t="shared" si="119"/>
        <v>5218945COMPOSTOITAMBÉ</v>
      </c>
      <c r="C3813" s="5" t="str">
        <f>VLOOKUP(F3813,'[1]DEPARA FOOD'!$B:$M,11,0)</f>
        <v>RODRIGO</v>
      </c>
      <c r="D3813" s="5" t="s">
        <v>833</v>
      </c>
      <c r="E3813" s="5" t="s">
        <v>852</v>
      </c>
      <c r="F3813" s="5">
        <v>5218945</v>
      </c>
      <c r="G3813" s="5" t="s">
        <v>1620</v>
      </c>
      <c r="H3813" s="5" t="s">
        <v>40</v>
      </c>
      <c r="I3813" s="5" t="s">
        <v>27</v>
      </c>
      <c r="J3813" s="5" t="s">
        <v>26</v>
      </c>
      <c r="K3813" s="6">
        <v>0</v>
      </c>
      <c r="L3813" s="7">
        <v>0</v>
      </c>
      <c r="M3813" s="7">
        <v>0</v>
      </c>
      <c r="N3813" s="7">
        <v>0</v>
      </c>
      <c r="O3813" s="8">
        <v>0</v>
      </c>
      <c r="P3813" s="8">
        <v>0</v>
      </c>
      <c r="Q3813" s="8">
        <v>0</v>
      </c>
      <c r="R3813" s="8">
        <v>0</v>
      </c>
      <c r="S3813" s="8">
        <v>0</v>
      </c>
      <c r="T3813" s="5">
        <v>0</v>
      </c>
      <c r="U3813" s="5">
        <v>0</v>
      </c>
      <c r="V3813" s="5">
        <f>VLOOKUP(A3813,Planilha1!B:E,4,0)</f>
        <v>0.15618217875936719</v>
      </c>
    </row>
    <row r="3814" spans="1:22" x14ac:dyDescent="0.3">
      <c r="A3814" t="str">
        <f t="shared" si="118"/>
        <v>COMPOSTOITAMBÉ</v>
      </c>
      <c r="B3814" t="str">
        <f t="shared" si="119"/>
        <v>5227605COMPOSTOITAMBÉ</v>
      </c>
      <c r="C3814" s="5" t="str">
        <f>VLOOKUP(F3814,'[1]DEPARA FOOD'!$B:$M,11,0)</f>
        <v>RODRIGO</v>
      </c>
      <c r="D3814" s="5" t="s">
        <v>833</v>
      </c>
      <c r="E3814" s="5" t="s">
        <v>852</v>
      </c>
      <c r="F3814" s="5">
        <v>5227605</v>
      </c>
      <c r="G3814" s="5" t="s">
        <v>1542</v>
      </c>
      <c r="H3814" s="5" t="s">
        <v>1636</v>
      </c>
      <c r="I3814" s="5" t="s">
        <v>27</v>
      </c>
      <c r="J3814" s="5" t="s">
        <v>26</v>
      </c>
      <c r="K3814" s="6">
        <v>0</v>
      </c>
      <c r="L3814" s="7">
        <v>0</v>
      </c>
      <c r="M3814" s="7">
        <v>0</v>
      </c>
      <c r="N3814" s="7">
        <v>0</v>
      </c>
      <c r="O3814" s="8">
        <v>0</v>
      </c>
      <c r="P3814" s="8">
        <v>0</v>
      </c>
      <c r="Q3814" s="8">
        <v>0</v>
      </c>
      <c r="R3814" s="8">
        <v>0</v>
      </c>
      <c r="S3814" s="8">
        <v>0</v>
      </c>
      <c r="T3814" s="5">
        <v>0</v>
      </c>
      <c r="U3814" s="5">
        <v>0</v>
      </c>
      <c r="V3814" s="5">
        <f>VLOOKUP(A3814,Planilha1!B:E,4,0)</f>
        <v>0.15618217875936719</v>
      </c>
    </row>
    <row r="3815" spans="1:22" x14ac:dyDescent="0.3">
      <c r="A3815" t="str">
        <f t="shared" si="118"/>
        <v>COMPOSTOITAMBÉ</v>
      </c>
      <c r="B3815" t="str">
        <f t="shared" si="119"/>
        <v>5229017COMPOSTOITAMBÉ</v>
      </c>
      <c r="C3815" s="5" t="str">
        <f>VLOOKUP(F3815,'[1]DEPARA FOOD'!$B:$M,11,0)</f>
        <v>RODRIGO</v>
      </c>
      <c r="D3815" s="5" t="s">
        <v>833</v>
      </c>
      <c r="E3815" s="5" t="s">
        <v>753</v>
      </c>
      <c r="F3815" s="5">
        <v>5229017</v>
      </c>
      <c r="G3815" s="5" t="s">
        <v>1542</v>
      </c>
      <c r="H3815" s="5" t="s">
        <v>1636</v>
      </c>
      <c r="I3815" s="5" t="s">
        <v>27</v>
      </c>
      <c r="J3815" s="5" t="s">
        <v>26</v>
      </c>
      <c r="K3815" s="6">
        <v>0</v>
      </c>
      <c r="L3815" s="7">
        <v>0</v>
      </c>
      <c r="M3815" s="7">
        <v>0</v>
      </c>
      <c r="N3815" s="7">
        <v>0</v>
      </c>
      <c r="O3815" s="8">
        <v>0</v>
      </c>
      <c r="P3815" s="8">
        <v>0</v>
      </c>
      <c r="Q3815" s="8">
        <v>0</v>
      </c>
      <c r="R3815" s="8">
        <v>0</v>
      </c>
      <c r="S3815" s="8">
        <v>0</v>
      </c>
      <c r="T3815" s="5">
        <v>0</v>
      </c>
      <c r="U3815" s="5">
        <v>0</v>
      </c>
      <c r="V3815" s="5">
        <f>VLOOKUP(A3815,Planilha1!B:E,4,0)</f>
        <v>0.15618217875936719</v>
      </c>
    </row>
    <row r="3816" spans="1:22" x14ac:dyDescent="0.3">
      <c r="A3816" t="str">
        <f t="shared" si="118"/>
        <v>COMPOSTOITAMBÉ</v>
      </c>
      <c r="B3816" t="str">
        <f t="shared" si="119"/>
        <v>5320045COMPOSTOITAMBÉ</v>
      </c>
      <c r="C3816" s="5" t="str">
        <f>VLOOKUP(F3816,'[1]DEPARA FOOD'!$B:$M,11,0)</f>
        <v>RODRIGO</v>
      </c>
      <c r="D3816" s="5" t="s">
        <v>903</v>
      </c>
      <c r="E3816" s="5" t="s">
        <v>904</v>
      </c>
      <c r="F3816" s="5">
        <v>5320045</v>
      </c>
      <c r="G3816" s="5" t="s">
        <v>934</v>
      </c>
      <c r="H3816" s="5" t="s">
        <v>113</v>
      </c>
      <c r="I3816" s="5" t="s">
        <v>27</v>
      </c>
      <c r="J3816" s="5" t="s">
        <v>26</v>
      </c>
      <c r="K3816" s="6">
        <v>0</v>
      </c>
      <c r="L3816" s="7">
        <v>0</v>
      </c>
      <c r="M3816" s="7">
        <v>0</v>
      </c>
      <c r="N3816" s="7">
        <v>0</v>
      </c>
      <c r="O3816" s="8">
        <v>0</v>
      </c>
      <c r="P3816" s="8">
        <v>0</v>
      </c>
      <c r="Q3816" s="8">
        <v>0</v>
      </c>
      <c r="R3816" s="8">
        <v>0</v>
      </c>
      <c r="S3816" s="8">
        <v>0</v>
      </c>
      <c r="T3816" s="5">
        <v>0</v>
      </c>
      <c r="U3816" s="5">
        <v>0</v>
      </c>
      <c r="V3816" s="5">
        <f>VLOOKUP(A3816,Planilha1!B:E,4,0)</f>
        <v>0.15618217875936719</v>
      </c>
    </row>
    <row r="3817" spans="1:22" x14ac:dyDescent="0.3">
      <c r="A3817" t="str">
        <f t="shared" si="118"/>
        <v>COMPOSTOITAMBÉ</v>
      </c>
      <c r="B3817" t="str">
        <f t="shared" si="119"/>
        <v>5321782COMPOSTOITAMBÉ</v>
      </c>
      <c r="C3817" s="5" t="str">
        <f>VLOOKUP(F3817,'[1]DEPARA FOOD'!$B:$M,11,0)</f>
        <v>RODRIGO</v>
      </c>
      <c r="D3817" s="5" t="s">
        <v>903</v>
      </c>
      <c r="E3817" s="5" t="s">
        <v>904</v>
      </c>
      <c r="F3817" s="5">
        <v>5321782</v>
      </c>
      <c r="G3817" s="5" t="s">
        <v>1542</v>
      </c>
      <c r="H3817" s="5" t="s">
        <v>1636</v>
      </c>
      <c r="I3817" s="5" t="s">
        <v>27</v>
      </c>
      <c r="J3817" s="5" t="s">
        <v>26</v>
      </c>
      <c r="K3817" s="6">
        <v>0</v>
      </c>
      <c r="L3817" s="7">
        <v>0</v>
      </c>
      <c r="M3817" s="7">
        <v>0</v>
      </c>
      <c r="N3817" s="7">
        <v>0</v>
      </c>
      <c r="O3817" s="8">
        <v>0</v>
      </c>
      <c r="P3817" s="8">
        <v>0</v>
      </c>
      <c r="Q3817" s="8">
        <v>0</v>
      </c>
      <c r="R3817" s="8">
        <v>0</v>
      </c>
      <c r="S3817" s="8">
        <v>0</v>
      </c>
      <c r="T3817" s="5">
        <v>0</v>
      </c>
      <c r="U3817" s="5">
        <v>0</v>
      </c>
      <c r="V3817" s="5">
        <f>VLOOKUP(A3817,Planilha1!B:E,4,0)</f>
        <v>0.15618217875936719</v>
      </c>
    </row>
    <row r="3818" spans="1:22" x14ac:dyDescent="0.3">
      <c r="A3818" t="str">
        <f t="shared" si="118"/>
        <v>COMPOSTOITAMBÉ</v>
      </c>
      <c r="B3818" t="str">
        <f t="shared" si="119"/>
        <v>5332247COMPOSTOITAMBÉ</v>
      </c>
      <c r="C3818" s="5" t="str">
        <f>VLOOKUP(F3818,'[1]DEPARA FOOD'!$B:$M,11,0)</f>
        <v>RODRIGO</v>
      </c>
      <c r="D3818" s="5" t="s">
        <v>833</v>
      </c>
      <c r="E3818" s="5" t="s">
        <v>875</v>
      </c>
      <c r="F3818" s="5">
        <v>5332247</v>
      </c>
      <c r="G3818" s="5" t="s">
        <v>892</v>
      </c>
      <c r="H3818" s="5" t="s">
        <v>91</v>
      </c>
      <c r="I3818" s="5" t="s">
        <v>27</v>
      </c>
      <c r="J3818" s="5" t="s">
        <v>26</v>
      </c>
      <c r="K3818" s="6">
        <v>0</v>
      </c>
      <c r="L3818" s="7">
        <v>0</v>
      </c>
      <c r="M3818" s="7">
        <v>0</v>
      </c>
      <c r="N3818" s="7">
        <v>0</v>
      </c>
      <c r="O3818" s="8">
        <v>0</v>
      </c>
      <c r="P3818" s="8">
        <v>0</v>
      </c>
      <c r="Q3818" s="8">
        <v>0</v>
      </c>
      <c r="R3818" s="8">
        <v>0</v>
      </c>
      <c r="S3818" s="8">
        <v>0</v>
      </c>
      <c r="T3818" s="5">
        <v>0</v>
      </c>
      <c r="U3818" s="5">
        <v>0</v>
      </c>
      <c r="V3818" s="5">
        <f>VLOOKUP(A3818,Planilha1!B:E,4,0)</f>
        <v>0.15618217875936719</v>
      </c>
    </row>
    <row r="3819" spans="1:22" x14ac:dyDescent="0.3">
      <c r="A3819" t="str">
        <f t="shared" si="118"/>
        <v>COMPOSTOITAMBÉ</v>
      </c>
      <c r="B3819" t="str">
        <f t="shared" si="119"/>
        <v>5336828COMPOSTOITAMBÉ</v>
      </c>
      <c r="C3819" s="5" t="str">
        <f>VLOOKUP(F3819,'[1]DEPARA FOOD'!$B:$M,11,0)</f>
        <v>PEDRO</v>
      </c>
      <c r="D3819" s="5" t="s">
        <v>210</v>
      </c>
      <c r="E3819" s="5" t="s">
        <v>210</v>
      </c>
      <c r="F3819" s="5">
        <v>5336828</v>
      </c>
      <c r="G3819" s="5" t="s">
        <v>225</v>
      </c>
      <c r="H3819" s="5" t="s">
        <v>30</v>
      </c>
      <c r="I3819" s="5" t="s">
        <v>27</v>
      </c>
      <c r="J3819" s="5" t="s">
        <v>26</v>
      </c>
      <c r="K3819" s="6">
        <v>0</v>
      </c>
      <c r="L3819" s="7">
        <v>0</v>
      </c>
      <c r="M3819" s="7">
        <v>0</v>
      </c>
      <c r="N3819" s="7">
        <v>0</v>
      </c>
      <c r="O3819" s="8">
        <v>0</v>
      </c>
      <c r="P3819" s="8">
        <v>0</v>
      </c>
      <c r="Q3819" s="8">
        <v>0</v>
      </c>
      <c r="R3819" s="8">
        <v>0</v>
      </c>
      <c r="S3819" s="8">
        <v>0</v>
      </c>
      <c r="T3819" s="5">
        <v>0</v>
      </c>
      <c r="U3819" s="5">
        <v>0</v>
      </c>
      <c r="V3819" s="5">
        <f>VLOOKUP(A3819,Planilha1!B:E,4,0)</f>
        <v>0.15618217875936719</v>
      </c>
    </row>
    <row r="3820" spans="1:22" x14ac:dyDescent="0.3">
      <c r="A3820" t="str">
        <f t="shared" si="118"/>
        <v>COMPOSTOITAMBÉ</v>
      </c>
      <c r="B3820" t="str">
        <f t="shared" si="119"/>
        <v>5339674COMPOSTOITAMBÉ</v>
      </c>
      <c r="C3820" s="5" t="str">
        <f>VLOOKUP(F3820,'[1]DEPARA FOOD'!$B:$M,11,0)</f>
        <v>RODRIGO</v>
      </c>
      <c r="D3820" s="5" t="s">
        <v>227</v>
      </c>
      <c r="E3820" s="5" t="s">
        <v>703</v>
      </c>
      <c r="F3820" s="5">
        <v>5339674</v>
      </c>
      <c r="G3820" s="5" t="s">
        <v>725</v>
      </c>
      <c r="H3820" s="5" t="s">
        <v>30</v>
      </c>
      <c r="I3820" s="5" t="s">
        <v>27</v>
      </c>
      <c r="J3820" s="5" t="s">
        <v>26</v>
      </c>
      <c r="K3820" s="6">
        <v>0</v>
      </c>
      <c r="L3820" s="7">
        <v>0</v>
      </c>
      <c r="M3820" s="7">
        <v>0</v>
      </c>
      <c r="N3820" s="7">
        <v>0</v>
      </c>
      <c r="O3820" s="8">
        <v>0</v>
      </c>
      <c r="P3820" s="8">
        <v>0</v>
      </c>
      <c r="Q3820" s="8">
        <v>0</v>
      </c>
      <c r="R3820" s="8">
        <v>0</v>
      </c>
      <c r="S3820" s="8">
        <v>0</v>
      </c>
      <c r="T3820" s="5">
        <v>0</v>
      </c>
      <c r="U3820" s="5">
        <v>0</v>
      </c>
      <c r="V3820" s="5">
        <f>VLOOKUP(A3820,Planilha1!B:E,4,0)</f>
        <v>0.15618217875936719</v>
      </c>
    </row>
    <row r="3821" spans="1:22" x14ac:dyDescent="0.3">
      <c r="A3821" t="str">
        <f t="shared" si="118"/>
        <v>COMPOSTOITAMBÉ</v>
      </c>
      <c r="B3821" t="str">
        <f t="shared" si="119"/>
        <v>5341225COMPOSTOITAMBÉ</v>
      </c>
      <c r="C3821" s="5" t="str">
        <f>VLOOKUP(F3821,'[1]DEPARA FOOD'!$B:$M,11,0)</f>
        <v>MAURICIO</v>
      </c>
      <c r="D3821" s="5" t="s">
        <v>28</v>
      </c>
      <c r="E3821" s="5" t="s">
        <v>28</v>
      </c>
      <c r="F3821" s="5">
        <v>5341225</v>
      </c>
      <c r="G3821" s="5" t="s">
        <v>1542</v>
      </c>
      <c r="H3821" s="5" t="s">
        <v>1636</v>
      </c>
      <c r="I3821" s="5" t="s">
        <v>27</v>
      </c>
      <c r="J3821" s="5" t="s">
        <v>26</v>
      </c>
      <c r="K3821" s="6">
        <v>0</v>
      </c>
      <c r="L3821" s="7">
        <v>0</v>
      </c>
      <c r="M3821" s="7">
        <v>0</v>
      </c>
      <c r="N3821" s="7">
        <v>0</v>
      </c>
      <c r="O3821" s="8">
        <v>0</v>
      </c>
      <c r="P3821" s="8">
        <v>0</v>
      </c>
      <c r="Q3821" s="8">
        <v>0</v>
      </c>
      <c r="R3821" s="8">
        <v>0</v>
      </c>
      <c r="S3821" s="8">
        <v>0</v>
      </c>
      <c r="T3821" s="5">
        <v>0</v>
      </c>
      <c r="U3821" s="5">
        <v>0</v>
      </c>
      <c r="V3821" s="5">
        <f>VLOOKUP(A3821,Planilha1!B:E,4,0)</f>
        <v>0.15618217875936719</v>
      </c>
    </row>
    <row r="3822" spans="1:22" x14ac:dyDescent="0.3">
      <c r="A3822" t="str">
        <f t="shared" si="118"/>
        <v>COMPOSTOITAMBÉ</v>
      </c>
      <c r="B3822" t="str">
        <f t="shared" si="119"/>
        <v>5346063COMPOSTOITAMBÉ</v>
      </c>
      <c r="C3822" s="5" t="str">
        <f>VLOOKUP(F3822,'[1]DEPARA FOOD'!$B:$M,11,0)</f>
        <v>RODRIGO</v>
      </c>
      <c r="D3822" s="5" t="s">
        <v>752</v>
      </c>
      <c r="E3822" s="5" t="s">
        <v>767</v>
      </c>
      <c r="F3822" s="5">
        <v>5346063</v>
      </c>
      <c r="G3822" s="5" t="s">
        <v>773</v>
      </c>
      <c r="H3822" s="5" t="s">
        <v>154</v>
      </c>
      <c r="I3822" s="5" t="s">
        <v>27</v>
      </c>
      <c r="J3822" s="5" t="s">
        <v>26</v>
      </c>
      <c r="K3822" s="6">
        <v>0</v>
      </c>
      <c r="L3822" s="7">
        <v>0</v>
      </c>
      <c r="M3822" s="7">
        <v>0</v>
      </c>
      <c r="N3822" s="7">
        <v>0</v>
      </c>
      <c r="O3822" s="8">
        <v>0</v>
      </c>
      <c r="P3822" s="8">
        <v>0</v>
      </c>
      <c r="Q3822" s="8">
        <v>0</v>
      </c>
      <c r="R3822" s="8">
        <v>0</v>
      </c>
      <c r="S3822" s="8">
        <v>0</v>
      </c>
      <c r="T3822" s="5">
        <v>0</v>
      </c>
      <c r="U3822" s="5">
        <v>0</v>
      </c>
      <c r="V3822" s="5">
        <f>VLOOKUP(A3822,Planilha1!B:E,4,0)</f>
        <v>0.15618217875936719</v>
      </c>
    </row>
    <row r="3823" spans="1:22" x14ac:dyDescent="0.3">
      <c r="A3823" t="str">
        <f t="shared" si="118"/>
        <v>COMPOSTOITAMBÉ</v>
      </c>
      <c r="B3823" t="str">
        <f t="shared" si="119"/>
        <v>5347568COMPOSTOITAMBÉ</v>
      </c>
      <c r="C3823" s="5" t="str">
        <f>VLOOKUP(F3823,'[1]DEPARA FOOD'!$B:$M,11,0)</f>
        <v>MAURICIO</v>
      </c>
      <c r="D3823" s="5" t="s">
        <v>28</v>
      </c>
      <c r="E3823" s="5" t="s">
        <v>28</v>
      </c>
      <c r="F3823" s="5">
        <v>5347568</v>
      </c>
      <c r="G3823" s="5" t="s">
        <v>1657</v>
      </c>
      <c r="H3823" s="5" t="s">
        <v>30</v>
      </c>
      <c r="I3823" s="5" t="s">
        <v>27</v>
      </c>
      <c r="J3823" s="5" t="s">
        <v>26</v>
      </c>
      <c r="K3823" s="6">
        <v>0</v>
      </c>
      <c r="L3823" s="7">
        <v>0</v>
      </c>
      <c r="M3823" s="7">
        <v>0</v>
      </c>
      <c r="N3823" s="7">
        <v>0</v>
      </c>
      <c r="O3823" s="8">
        <v>0</v>
      </c>
      <c r="P3823" s="8">
        <v>0</v>
      </c>
      <c r="Q3823" s="8">
        <v>0</v>
      </c>
      <c r="R3823" s="8">
        <v>0</v>
      </c>
      <c r="S3823" s="8">
        <v>0</v>
      </c>
      <c r="T3823" s="5">
        <v>0</v>
      </c>
      <c r="U3823" s="5">
        <v>0</v>
      </c>
      <c r="V3823" s="5">
        <f>VLOOKUP(A3823,Planilha1!B:E,4,0)</f>
        <v>0.15618217875936719</v>
      </c>
    </row>
    <row r="3824" spans="1:22" x14ac:dyDescent="0.3">
      <c r="A3824" t="str">
        <f t="shared" si="118"/>
        <v>COMPOSTOITAMBÉ</v>
      </c>
      <c r="B3824" t="str">
        <f t="shared" si="119"/>
        <v>5349074COMPOSTOITAMBÉ</v>
      </c>
      <c r="C3824" s="5" t="str">
        <f>VLOOKUP(F3824,'[1]DEPARA FOOD'!$B:$M,11,0)</f>
        <v>RODRIGO</v>
      </c>
      <c r="D3824" s="5" t="s">
        <v>815</v>
      </c>
      <c r="E3824" s="5" t="s">
        <v>816</v>
      </c>
      <c r="F3824" s="5">
        <v>5349074</v>
      </c>
      <c r="G3824" s="5" t="s">
        <v>828</v>
      </c>
      <c r="H3824" s="5" t="s">
        <v>30</v>
      </c>
      <c r="I3824" s="5" t="s">
        <v>27</v>
      </c>
      <c r="J3824" s="5" t="s">
        <v>26</v>
      </c>
      <c r="K3824" s="6">
        <v>0</v>
      </c>
      <c r="L3824" s="7">
        <v>0</v>
      </c>
      <c r="M3824" s="7">
        <v>0</v>
      </c>
      <c r="N3824" s="7">
        <v>0</v>
      </c>
      <c r="O3824" s="8">
        <v>0</v>
      </c>
      <c r="P3824" s="8">
        <v>0</v>
      </c>
      <c r="Q3824" s="8">
        <v>0</v>
      </c>
      <c r="R3824" s="8">
        <v>0</v>
      </c>
      <c r="S3824" s="8">
        <v>0</v>
      </c>
      <c r="T3824" s="5">
        <v>0</v>
      </c>
      <c r="U3824" s="5">
        <v>0</v>
      </c>
      <c r="V3824" s="5">
        <f>VLOOKUP(A3824,Planilha1!B:E,4,0)</f>
        <v>0.15618217875936719</v>
      </c>
    </row>
    <row r="3825" spans="1:22" x14ac:dyDescent="0.3">
      <c r="A3825" t="str">
        <f t="shared" si="118"/>
        <v>COMPOSTOITAMBÉ</v>
      </c>
      <c r="B3825" t="str">
        <f t="shared" si="119"/>
        <v>5354378COMPOSTOITAMBÉ</v>
      </c>
      <c r="C3825" s="5" t="str">
        <f>VLOOKUP(F3825,'[1]DEPARA FOOD'!$B:$M,11,0)</f>
        <v>PEDRO</v>
      </c>
      <c r="D3825" s="5" t="s">
        <v>150</v>
      </c>
      <c r="E3825" s="5" t="s">
        <v>186</v>
      </c>
      <c r="F3825" s="5">
        <v>5354378</v>
      </c>
      <c r="G3825" s="5" t="s">
        <v>197</v>
      </c>
      <c r="H3825" s="5" t="s">
        <v>113</v>
      </c>
      <c r="I3825" s="5" t="s">
        <v>27</v>
      </c>
      <c r="J3825" s="5" t="s">
        <v>26</v>
      </c>
      <c r="K3825" s="6">
        <v>0</v>
      </c>
      <c r="L3825" s="7">
        <v>0</v>
      </c>
      <c r="M3825" s="7">
        <v>0</v>
      </c>
      <c r="N3825" s="7">
        <v>0</v>
      </c>
      <c r="O3825" s="8">
        <v>0</v>
      </c>
      <c r="P3825" s="8">
        <v>0</v>
      </c>
      <c r="Q3825" s="8">
        <v>0</v>
      </c>
      <c r="R3825" s="8">
        <v>0</v>
      </c>
      <c r="S3825" s="8">
        <v>0</v>
      </c>
      <c r="T3825" s="5">
        <v>0</v>
      </c>
      <c r="U3825" s="5">
        <v>0</v>
      </c>
      <c r="V3825" s="5">
        <f>VLOOKUP(A3825,Planilha1!B:E,4,0)</f>
        <v>0.15618217875936719</v>
      </c>
    </row>
    <row r="3826" spans="1:22" x14ac:dyDescent="0.3">
      <c r="A3826" t="str">
        <f t="shared" si="118"/>
        <v>COMPOSTOITAMBÉ</v>
      </c>
      <c r="B3826" t="str">
        <f t="shared" si="119"/>
        <v>5355986COMPOSTOITAMBÉ</v>
      </c>
      <c r="C3826" s="5" t="str">
        <f>VLOOKUP(F3826,'[1]DEPARA FOOD'!$B:$M,11,0)</f>
        <v>RODRIGO</v>
      </c>
      <c r="D3826" s="5" t="s">
        <v>815</v>
      </c>
      <c r="E3826" s="5" t="s">
        <v>816</v>
      </c>
      <c r="F3826" s="5">
        <v>5355986</v>
      </c>
      <c r="G3826" s="5" t="s">
        <v>1542</v>
      </c>
      <c r="H3826" s="5" t="s">
        <v>1636</v>
      </c>
      <c r="I3826" s="5" t="s">
        <v>27</v>
      </c>
      <c r="J3826" s="5" t="s">
        <v>26</v>
      </c>
      <c r="K3826" s="6">
        <v>0</v>
      </c>
      <c r="L3826" s="7">
        <v>0</v>
      </c>
      <c r="M3826" s="7">
        <v>0</v>
      </c>
      <c r="N3826" s="7">
        <v>0</v>
      </c>
      <c r="O3826" s="8">
        <v>0</v>
      </c>
      <c r="P3826" s="8">
        <v>0</v>
      </c>
      <c r="Q3826" s="8">
        <v>0</v>
      </c>
      <c r="R3826" s="8">
        <v>0</v>
      </c>
      <c r="S3826" s="8">
        <v>0</v>
      </c>
      <c r="T3826" s="5">
        <v>0</v>
      </c>
      <c r="U3826" s="5">
        <v>0</v>
      </c>
      <c r="V3826" s="5">
        <f>VLOOKUP(A3826,Planilha1!B:E,4,0)</f>
        <v>0.15618217875936719</v>
      </c>
    </row>
    <row r="3827" spans="1:22" x14ac:dyDescent="0.3">
      <c r="A3827" t="str">
        <f t="shared" si="118"/>
        <v>COMPOSTOITAMBÉ</v>
      </c>
      <c r="B3827" t="str">
        <f t="shared" si="119"/>
        <v>5359869COMPOSTOITAMBÉ</v>
      </c>
      <c r="C3827" s="5" t="str">
        <f>VLOOKUP(F3827,'[1]DEPARA FOOD'!$B:$M,11,0)</f>
        <v>MAURICIO</v>
      </c>
      <c r="D3827" s="5" t="s">
        <v>17</v>
      </c>
      <c r="E3827" s="5" t="s">
        <v>44</v>
      </c>
      <c r="F3827" s="5">
        <v>5359869</v>
      </c>
      <c r="G3827" s="5" t="s">
        <v>1658</v>
      </c>
      <c r="H3827" s="5" t="s">
        <v>30</v>
      </c>
      <c r="I3827" s="5" t="s">
        <v>27</v>
      </c>
      <c r="J3827" s="5" t="s">
        <v>26</v>
      </c>
      <c r="K3827" s="6">
        <v>0</v>
      </c>
      <c r="L3827" s="7">
        <v>0</v>
      </c>
      <c r="M3827" s="7">
        <v>0</v>
      </c>
      <c r="N3827" s="7">
        <v>0</v>
      </c>
      <c r="O3827" s="8">
        <v>0</v>
      </c>
      <c r="P3827" s="8">
        <v>0</v>
      </c>
      <c r="Q3827" s="8">
        <v>0</v>
      </c>
      <c r="R3827" s="8">
        <v>0</v>
      </c>
      <c r="S3827" s="8">
        <v>0</v>
      </c>
      <c r="T3827" s="5">
        <v>0</v>
      </c>
      <c r="U3827" s="5">
        <v>0</v>
      </c>
      <c r="V3827" s="5">
        <f>VLOOKUP(A3827,Planilha1!B:E,4,0)</f>
        <v>0.15618217875936719</v>
      </c>
    </row>
    <row r="3828" spans="1:22" x14ac:dyDescent="0.3">
      <c r="A3828" t="str">
        <f t="shared" si="118"/>
        <v>CREME UHTITAMBÉ</v>
      </c>
      <c r="B3828" t="str">
        <f t="shared" si="119"/>
        <v>5002549CREME UHTITAMBÉ</v>
      </c>
      <c r="C3828" s="5" t="str">
        <f>VLOOKUP(F3828,'[1]DEPARA FOOD'!$B:$M,11,0)</f>
        <v>PEDRO</v>
      </c>
      <c r="D3828" s="5" t="s">
        <v>210</v>
      </c>
      <c r="E3828" s="5" t="s">
        <v>210</v>
      </c>
      <c r="F3828" s="5">
        <v>5002549</v>
      </c>
      <c r="G3828" s="5" t="s">
        <v>1542</v>
      </c>
      <c r="H3828" s="5" t="s">
        <v>1636</v>
      </c>
      <c r="I3828" s="5" t="s">
        <v>27</v>
      </c>
      <c r="J3828" s="5" t="s">
        <v>34</v>
      </c>
      <c r="K3828" s="6">
        <v>0</v>
      </c>
      <c r="L3828" s="7">
        <v>0</v>
      </c>
      <c r="M3828" s="7">
        <v>0</v>
      </c>
      <c r="N3828" s="7">
        <v>0</v>
      </c>
      <c r="O3828" s="8">
        <v>0</v>
      </c>
      <c r="P3828" s="8">
        <v>0</v>
      </c>
      <c r="Q3828" s="8">
        <v>0</v>
      </c>
      <c r="R3828" s="8">
        <v>0</v>
      </c>
      <c r="S3828" s="8">
        <v>0</v>
      </c>
      <c r="T3828" s="5">
        <v>0</v>
      </c>
      <c r="U3828" s="5">
        <v>0</v>
      </c>
      <c r="V3828" s="5">
        <f>VLOOKUP(A3828,Planilha1!B:E,4,0)</f>
        <v>1.2362540170747773</v>
      </c>
    </row>
    <row r="3829" spans="1:22" x14ac:dyDescent="0.3">
      <c r="A3829" t="str">
        <f t="shared" si="118"/>
        <v>CREME UHTITAMBÉ</v>
      </c>
      <c r="B3829" t="str">
        <f t="shared" si="119"/>
        <v>5006835CREME UHTITAMBÉ</v>
      </c>
      <c r="C3829" s="5" t="str">
        <f>VLOOKUP(F3829,'[1]DEPARA FOOD'!$B:$M,11,0)</f>
        <v>RODRIGO</v>
      </c>
      <c r="D3829" s="5" t="s">
        <v>727</v>
      </c>
      <c r="E3829" s="5" t="s">
        <v>733</v>
      </c>
      <c r="F3829" s="5">
        <v>5006835</v>
      </c>
      <c r="G3829" s="5" t="s">
        <v>1247</v>
      </c>
      <c r="H3829" s="5" t="s">
        <v>25</v>
      </c>
      <c r="I3829" s="5" t="s">
        <v>27</v>
      </c>
      <c r="J3829" s="5" t="s">
        <v>34</v>
      </c>
      <c r="K3829" s="6">
        <v>0</v>
      </c>
      <c r="L3829" s="7">
        <v>0</v>
      </c>
      <c r="M3829" s="7">
        <v>0</v>
      </c>
      <c r="N3829" s="7">
        <v>0</v>
      </c>
      <c r="O3829" s="8">
        <v>0</v>
      </c>
      <c r="P3829" s="8">
        <v>0</v>
      </c>
      <c r="Q3829" s="8">
        <v>0</v>
      </c>
      <c r="R3829" s="8">
        <v>0</v>
      </c>
      <c r="S3829" s="8">
        <v>0</v>
      </c>
      <c r="T3829" s="5">
        <v>0</v>
      </c>
      <c r="U3829" s="5">
        <v>0</v>
      </c>
      <c r="V3829" s="5">
        <f>VLOOKUP(A3829,Planilha1!B:E,4,0)</f>
        <v>1.2362540170747773</v>
      </c>
    </row>
    <row r="3830" spans="1:22" x14ac:dyDescent="0.3">
      <c r="A3830" t="str">
        <f t="shared" si="118"/>
        <v>CREME UHTITAMBÉ</v>
      </c>
      <c r="B3830" t="str">
        <f t="shared" si="119"/>
        <v>5013871CREME UHTITAMBÉ</v>
      </c>
      <c r="C3830" s="5" t="str">
        <f>VLOOKUP(F3830,'[1]DEPARA FOOD'!$B:$M,11,0)</f>
        <v>RODRIGO</v>
      </c>
      <c r="D3830" s="5" t="s">
        <v>727</v>
      </c>
      <c r="E3830" s="5" t="s">
        <v>733</v>
      </c>
      <c r="F3830" s="5">
        <v>5013871</v>
      </c>
      <c r="G3830" s="5" t="s">
        <v>1542</v>
      </c>
      <c r="H3830" s="5" t="s">
        <v>1636</v>
      </c>
      <c r="I3830" s="5" t="s">
        <v>27</v>
      </c>
      <c r="J3830" s="5" t="s">
        <v>34</v>
      </c>
      <c r="K3830" s="6">
        <v>0</v>
      </c>
      <c r="L3830" s="7">
        <v>0</v>
      </c>
      <c r="M3830" s="7">
        <v>0</v>
      </c>
      <c r="N3830" s="7">
        <v>0</v>
      </c>
      <c r="O3830" s="8">
        <v>0</v>
      </c>
      <c r="P3830" s="8">
        <v>0</v>
      </c>
      <c r="Q3830" s="8">
        <v>0</v>
      </c>
      <c r="R3830" s="8">
        <v>0</v>
      </c>
      <c r="S3830" s="8">
        <v>0</v>
      </c>
      <c r="T3830" s="5">
        <v>0</v>
      </c>
      <c r="U3830" s="5">
        <v>0</v>
      </c>
      <c r="V3830" s="5">
        <f>VLOOKUP(A3830,Planilha1!B:E,4,0)</f>
        <v>1.2362540170747773</v>
      </c>
    </row>
    <row r="3831" spans="1:22" x14ac:dyDescent="0.3">
      <c r="A3831" t="str">
        <f t="shared" si="118"/>
        <v>CREME UHTITAMBÉ</v>
      </c>
      <c r="B3831" t="str">
        <f t="shared" si="119"/>
        <v>5027769CREME UHTITAMBÉ</v>
      </c>
      <c r="C3831" s="5" t="str">
        <f>VLOOKUP(F3831,'[1]DEPARA FOOD'!$B:$M,11,0)</f>
        <v>RODRIGO</v>
      </c>
      <c r="D3831" s="5" t="s">
        <v>833</v>
      </c>
      <c r="E3831" s="5" t="s">
        <v>852</v>
      </c>
      <c r="F3831" s="5">
        <v>5027769</v>
      </c>
      <c r="G3831" s="5" t="s">
        <v>1542</v>
      </c>
      <c r="H3831" s="5" t="s">
        <v>1636</v>
      </c>
      <c r="I3831" s="5" t="s">
        <v>27</v>
      </c>
      <c r="J3831" s="5" t="s">
        <v>34</v>
      </c>
      <c r="K3831" s="6">
        <v>0</v>
      </c>
      <c r="L3831" s="7">
        <v>0</v>
      </c>
      <c r="M3831" s="7">
        <v>0</v>
      </c>
      <c r="N3831" s="7">
        <v>0</v>
      </c>
      <c r="O3831" s="8">
        <v>0</v>
      </c>
      <c r="P3831" s="8">
        <v>0</v>
      </c>
      <c r="Q3831" s="8">
        <v>0</v>
      </c>
      <c r="R3831" s="8">
        <v>0</v>
      </c>
      <c r="S3831" s="8">
        <v>0</v>
      </c>
      <c r="T3831" s="5">
        <v>0</v>
      </c>
      <c r="U3831" s="5">
        <v>0</v>
      </c>
      <c r="V3831" s="5">
        <f>VLOOKUP(A3831,Planilha1!B:E,4,0)</f>
        <v>1.2362540170747773</v>
      </c>
    </row>
    <row r="3832" spans="1:22" x14ac:dyDescent="0.3">
      <c r="A3832" t="str">
        <f t="shared" si="118"/>
        <v>CREME UHTITAMBÉ</v>
      </c>
      <c r="B3832" t="str">
        <f t="shared" si="119"/>
        <v>5031156CREME UHTITAMBÉ</v>
      </c>
      <c r="C3832" s="5" t="str">
        <f>VLOOKUP(F3832,'[1]DEPARA FOOD'!$B:$M,11,0)</f>
        <v>RODRIGO</v>
      </c>
      <c r="D3832" s="5" t="s">
        <v>227</v>
      </c>
      <c r="E3832" s="5" t="s">
        <v>703</v>
      </c>
      <c r="F3832" s="5">
        <v>5031156</v>
      </c>
      <c r="G3832" s="5" t="s">
        <v>707</v>
      </c>
      <c r="H3832" s="5" t="s">
        <v>30</v>
      </c>
      <c r="I3832" s="5" t="s">
        <v>27</v>
      </c>
      <c r="J3832" s="5" t="s">
        <v>34</v>
      </c>
      <c r="K3832" s="6">
        <v>0</v>
      </c>
      <c r="L3832" s="7">
        <v>0</v>
      </c>
      <c r="M3832" s="7">
        <v>0</v>
      </c>
      <c r="N3832" s="7">
        <v>0</v>
      </c>
      <c r="O3832" s="8">
        <v>0</v>
      </c>
      <c r="P3832" s="8">
        <v>0</v>
      </c>
      <c r="Q3832" s="8">
        <v>0</v>
      </c>
      <c r="R3832" s="8">
        <v>0</v>
      </c>
      <c r="S3832" s="8">
        <v>0</v>
      </c>
      <c r="T3832" s="5">
        <v>0</v>
      </c>
      <c r="U3832" s="5">
        <v>0</v>
      </c>
      <c r="V3832" s="5">
        <f>VLOOKUP(A3832,Planilha1!B:E,4,0)</f>
        <v>1.2362540170747773</v>
      </c>
    </row>
    <row r="3833" spans="1:22" x14ac:dyDescent="0.3">
      <c r="A3833" t="str">
        <f t="shared" si="118"/>
        <v>CREME UHTITAMBÉ</v>
      </c>
      <c r="B3833" t="str">
        <f t="shared" si="119"/>
        <v>5042001CREME UHTITAMBÉ</v>
      </c>
      <c r="C3833" s="5" t="str">
        <f>VLOOKUP(F3833,'[1]DEPARA FOOD'!$B:$M,11,0)</f>
        <v>RODRIGO</v>
      </c>
      <c r="D3833" s="5" t="s">
        <v>752</v>
      </c>
      <c r="E3833" s="5" t="s">
        <v>774</v>
      </c>
      <c r="F3833" s="5">
        <v>5042001</v>
      </c>
      <c r="G3833" s="5" t="s">
        <v>780</v>
      </c>
      <c r="H3833" s="5" t="s">
        <v>32</v>
      </c>
      <c r="I3833" s="5" t="s">
        <v>27</v>
      </c>
      <c r="J3833" s="5" t="s">
        <v>34</v>
      </c>
      <c r="K3833" s="6">
        <v>0</v>
      </c>
      <c r="L3833" s="7">
        <v>0</v>
      </c>
      <c r="M3833" s="7">
        <v>0</v>
      </c>
      <c r="N3833" s="7">
        <v>0</v>
      </c>
      <c r="O3833" s="8">
        <v>0</v>
      </c>
      <c r="P3833" s="8">
        <v>0</v>
      </c>
      <c r="Q3833" s="8">
        <v>0</v>
      </c>
      <c r="R3833" s="8">
        <v>0</v>
      </c>
      <c r="S3833" s="8">
        <v>0</v>
      </c>
      <c r="T3833" s="5">
        <v>0</v>
      </c>
      <c r="U3833" s="5">
        <v>0</v>
      </c>
      <c r="V3833" s="5">
        <f>VLOOKUP(A3833,Planilha1!B:E,4,0)</f>
        <v>1.2362540170747773</v>
      </c>
    </row>
    <row r="3834" spans="1:22" x14ac:dyDescent="0.3">
      <c r="A3834" t="str">
        <f t="shared" si="118"/>
        <v>CREME UHTITAMBÉ</v>
      </c>
      <c r="B3834" t="str">
        <f t="shared" si="119"/>
        <v>5077482CREME UHTITAMBÉ</v>
      </c>
      <c r="C3834" s="5" t="str">
        <f>VLOOKUP(F3834,'[1]DEPARA FOOD'!$B:$M,11,0)</f>
        <v>MAURICIO</v>
      </c>
      <c r="D3834" s="5" t="s">
        <v>28</v>
      </c>
      <c r="E3834" s="5" t="s">
        <v>28</v>
      </c>
      <c r="F3834" s="5">
        <v>5077482</v>
      </c>
      <c r="G3834" s="5" t="s">
        <v>164</v>
      </c>
      <c r="H3834" s="5" t="s">
        <v>30</v>
      </c>
      <c r="I3834" s="5" t="s">
        <v>27</v>
      </c>
      <c r="J3834" s="5" t="s">
        <v>34</v>
      </c>
      <c r="K3834" s="6">
        <v>0</v>
      </c>
      <c r="L3834" s="7">
        <v>0</v>
      </c>
      <c r="M3834" s="7">
        <v>0</v>
      </c>
      <c r="N3834" s="7">
        <v>0</v>
      </c>
      <c r="O3834" s="8">
        <v>0</v>
      </c>
      <c r="P3834" s="8">
        <v>0</v>
      </c>
      <c r="Q3834" s="8">
        <v>0</v>
      </c>
      <c r="R3834" s="8">
        <v>0</v>
      </c>
      <c r="S3834" s="8">
        <v>0</v>
      </c>
      <c r="T3834" s="5">
        <v>0</v>
      </c>
      <c r="U3834" s="5">
        <v>0</v>
      </c>
      <c r="V3834" s="5">
        <f>VLOOKUP(A3834,Planilha1!B:E,4,0)</f>
        <v>1.2362540170747773</v>
      </c>
    </row>
    <row r="3835" spans="1:22" x14ac:dyDescent="0.3">
      <c r="A3835" t="str">
        <f t="shared" si="118"/>
        <v>CREME UHTITAMBÉ</v>
      </c>
      <c r="B3835" t="str">
        <f t="shared" si="119"/>
        <v>5105940CREME UHTITAMBÉ</v>
      </c>
      <c r="C3835" s="5" t="str">
        <f>VLOOKUP(F3835,'[1]DEPARA FOOD'!$B:$M,11,0)</f>
        <v>RODRIGO</v>
      </c>
      <c r="D3835" s="5" t="s">
        <v>815</v>
      </c>
      <c r="E3835" s="5" t="s">
        <v>816</v>
      </c>
      <c r="F3835" s="5">
        <v>5105940</v>
      </c>
      <c r="G3835" s="5" t="s">
        <v>822</v>
      </c>
      <c r="H3835" s="5" t="s">
        <v>30</v>
      </c>
      <c r="I3835" s="5" t="s">
        <v>27</v>
      </c>
      <c r="J3835" s="5" t="s">
        <v>34</v>
      </c>
      <c r="K3835" s="6">
        <v>0</v>
      </c>
      <c r="L3835" s="7">
        <v>0</v>
      </c>
      <c r="M3835" s="7">
        <v>0</v>
      </c>
      <c r="N3835" s="7">
        <v>0</v>
      </c>
      <c r="O3835" s="8">
        <v>0</v>
      </c>
      <c r="P3835" s="8">
        <v>0</v>
      </c>
      <c r="Q3835" s="8">
        <v>0</v>
      </c>
      <c r="R3835" s="8">
        <v>0</v>
      </c>
      <c r="S3835" s="8">
        <v>0</v>
      </c>
      <c r="T3835" s="5">
        <v>0</v>
      </c>
      <c r="U3835" s="5">
        <v>0</v>
      </c>
      <c r="V3835" s="5">
        <f>VLOOKUP(A3835,Planilha1!B:E,4,0)</f>
        <v>1.2362540170747773</v>
      </c>
    </row>
    <row r="3836" spans="1:22" x14ac:dyDescent="0.3">
      <c r="A3836" t="str">
        <f t="shared" si="118"/>
        <v>CREME UHTITAMBÉ</v>
      </c>
      <c r="B3836" t="str">
        <f t="shared" si="119"/>
        <v>5115814CREME UHTITAMBÉ</v>
      </c>
      <c r="C3836" s="5" t="str">
        <f>VLOOKUP(F3836,'[1]DEPARA FOOD'!$B:$M,11,0)</f>
        <v>RODRIGO</v>
      </c>
      <c r="D3836" s="5" t="s">
        <v>752</v>
      </c>
      <c r="E3836" s="5" t="s">
        <v>1216</v>
      </c>
      <c r="F3836" s="5">
        <v>5115814</v>
      </c>
      <c r="G3836" s="5" t="s">
        <v>1542</v>
      </c>
      <c r="H3836" s="5" t="s">
        <v>1636</v>
      </c>
      <c r="I3836" s="5" t="s">
        <v>27</v>
      </c>
      <c r="J3836" s="5" t="s">
        <v>34</v>
      </c>
      <c r="K3836" s="6">
        <v>0</v>
      </c>
      <c r="L3836" s="7">
        <v>0</v>
      </c>
      <c r="M3836" s="7">
        <v>0</v>
      </c>
      <c r="N3836" s="7">
        <v>0</v>
      </c>
      <c r="O3836" s="8">
        <v>0</v>
      </c>
      <c r="P3836" s="8">
        <v>0</v>
      </c>
      <c r="Q3836" s="8">
        <v>0</v>
      </c>
      <c r="R3836" s="8">
        <v>0</v>
      </c>
      <c r="S3836" s="8">
        <v>0</v>
      </c>
      <c r="T3836" s="5">
        <v>0</v>
      </c>
      <c r="U3836" s="5">
        <v>0</v>
      </c>
      <c r="V3836" s="5">
        <f>VLOOKUP(A3836,Planilha1!B:E,4,0)</f>
        <v>1.2362540170747773</v>
      </c>
    </row>
    <row r="3837" spans="1:22" x14ac:dyDescent="0.3">
      <c r="A3837" t="str">
        <f t="shared" si="118"/>
        <v>CREME UHTITAMBÉ</v>
      </c>
      <c r="B3837" t="str">
        <f t="shared" si="119"/>
        <v>5118346CREME UHTITAMBÉ</v>
      </c>
      <c r="C3837" s="5" t="str">
        <f>VLOOKUP(F3837,'[1]DEPARA FOOD'!$B:$M,11,0)</f>
        <v>RODRIGO</v>
      </c>
      <c r="D3837" s="5" t="s">
        <v>227</v>
      </c>
      <c r="E3837" s="5" t="s">
        <v>703</v>
      </c>
      <c r="F3837" s="5">
        <v>5118346</v>
      </c>
      <c r="G3837" s="5" t="s">
        <v>711</v>
      </c>
      <c r="H3837" s="5" t="s">
        <v>30</v>
      </c>
      <c r="I3837" s="5" t="s">
        <v>27</v>
      </c>
      <c r="J3837" s="5" t="s">
        <v>34</v>
      </c>
      <c r="K3837" s="6">
        <v>0</v>
      </c>
      <c r="L3837" s="7">
        <v>0</v>
      </c>
      <c r="M3837" s="7">
        <v>0</v>
      </c>
      <c r="N3837" s="7">
        <v>0</v>
      </c>
      <c r="O3837" s="8">
        <v>0</v>
      </c>
      <c r="P3837" s="8">
        <v>0</v>
      </c>
      <c r="Q3837" s="8">
        <v>0</v>
      </c>
      <c r="R3837" s="8">
        <v>0</v>
      </c>
      <c r="S3837" s="8">
        <v>0</v>
      </c>
      <c r="T3837" s="5">
        <v>0</v>
      </c>
      <c r="U3837" s="5">
        <v>0</v>
      </c>
      <c r="V3837" s="5">
        <f>VLOOKUP(A3837,Planilha1!B:E,4,0)</f>
        <v>1.2362540170747773</v>
      </c>
    </row>
    <row r="3838" spans="1:22" x14ac:dyDescent="0.3">
      <c r="A3838" t="str">
        <f t="shared" si="118"/>
        <v>CREME UHTITAMBÉ</v>
      </c>
      <c r="B3838" t="str">
        <f t="shared" si="119"/>
        <v>5131228CREME UHTITAMBÉ</v>
      </c>
      <c r="C3838" s="5" t="str">
        <f>VLOOKUP(F3838,'[1]DEPARA FOOD'!$B:$M,11,0)</f>
        <v>MAURICIO</v>
      </c>
      <c r="D3838" s="5" t="s">
        <v>28</v>
      </c>
      <c r="E3838" s="5" t="s">
        <v>28</v>
      </c>
      <c r="F3838" s="5">
        <v>5131228</v>
      </c>
      <c r="G3838" s="5" t="s">
        <v>1542</v>
      </c>
      <c r="H3838" s="5" t="s">
        <v>1636</v>
      </c>
      <c r="I3838" s="5" t="s">
        <v>27</v>
      </c>
      <c r="J3838" s="5" t="s">
        <v>34</v>
      </c>
      <c r="K3838" s="6">
        <v>0</v>
      </c>
      <c r="L3838" s="7">
        <v>0</v>
      </c>
      <c r="M3838" s="7">
        <v>0</v>
      </c>
      <c r="N3838" s="7">
        <v>0</v>
      </c>
      <c r="O3838" s="8">
        <v>0</v>
      </c>
      <c r="P3838" s="8">
        <v>0</v>
      </c>
      <c r="Q3838" s="8">
        <v>0</v>
      </c>
      <c r="R3838" s="8">
        <v>0</v>
      </c>
      <c r="S3838" s="8">
        <v>0</v>
      </c>
      <c r="T3838" s="5">
        <v>0</v>
      </c>
      <c r="U3838" s="5">
        <v>0</v>
      </c>
      <c r="V3838" s="5">
        <f>VLOOKUP(A3838,Planilha1!B:E,4,0)</f>
        <v>1.2362540170747773</v>
      </c>
    </row>
    <row r="3839" spans="1:22" x14ac:dyDescent="0.3">
      <c r="A3839" t="str">
        <f t="shared" si="118"/>
        <v>CREME UHTITAMBÉ</v>
      </c>
      <c r="B3839" t="str">
        <f t="shared" si="119"/>
        <v>5151341CREME UHTITAMBÉ</v>
      </c>
      <c r="C3839" s="5" t="str">
        <f>VLOOKUP(F3839,'[1]DEPARA FOOD'!$B:$M,11,0)</f>
        <v>RODRIGO</v>
      </c>
      <c r="D3839" s="5" t="s">
        <v>833</v>
      </c>
      <c r="E3839" s="5" t="s">
        <v>753</v>
      </c>
      <c r="F3839" s="5">
        <v>5151341</v>
      </c>
      <c r="G3839" s="5" t="s">
        <v>1542</v>
      </c>
      <c r="H3839" s="5" t="s">
        <v>1636</v>
      </c>
      <c r="I3839" s="5" t="s">
        <v>27</v>
      </c>
      <c r="J3839" s="5" t="s">
        <v>34</v>
      </c>
      <c r="K3839" s="6">
        <v>0</v>
      </c>
      <c r="L3839" s="7">
        <v>0</v>
      </c>
      <c r="M3839" s="7">
        <v>0</v>
      </c>
      <c r="N3839" s="7">
        <v>0</v>
      </c>
      <c r="O3839" s="8">
        <v>0</v>
      </c>
      <c r="P3839" s="8">
        <v>0</v>
      </c>
      <c r="Q3839" s="8">
        <v>0</v>
      </c>
      <c r="R3839" s="8">
        <v>0</v>
      </c>
      <c r="S3839" s="8">
        <v>0</v>
      </c>
      <c r="T3839" s="5">
        <v>0</v>
      </c>
      <c r="U3839" s="5">
        <v>0</v>
      </c>
      <c r="V3839" s="5">
        <f>VLOOKUP(A3839,Planilha1!B:E,4,0)</f>
        <v>1.2362540170747773</v>
      </c>
    </row>
    <row r="3840" spans="1:22" x14ac:dyDescent="0.3">
      <c r="A3840" t="str">
        <f t="shared" si="118"/>
        <v>CREME UHTITAMBÉ</v>
      </c>
      <c r="B3840" t="str">
        <f t="shared" si="119"/>
        <v>5162498CREME UHTITAMBÉ</v>
      </c>
      <c r="C3840" s="5" t="str">
        <f>VLOOKUP(F3840,'[1]DEPARA FOOD'!$B:$M,11,0)</f>
        <v>MAURICIO</v>
      </c>
      <c r="D3840" s="5" t="s">
        <v>53</v>
      </c>
      <c r="E3840" s="5" t="s">
        <v>54</v>
      </c>
      <c r="F3840" s="5">
        <v>5162498</v>
      </c>
      <c r="G3840" s="5" t="s">
        <v>1542</v>
      </c>
      <c r="H3840" s="5" t="s">
        <v>1636</v>
      </c>
      <c r="I3840" s="5" t="s">
        <v>27</v>
      </c>
      <c r="J3840" s="5" t="s">
        <v>34</v>
      </c>
      <c r="K3840" s="6">
        <v>0</v>
      </c>
      <c r="L3840" s="7">
        <v>0</v>
      </c>
      <c r="M3840" s="7">
        <v>0</v>
      </c>
      <c r="N3840" s="7">
        <v>0</v>
      </c>
      <c r="O3840" s="8">
        <v>0</v>
      </c>
      <c r="P3840" s="8">
        <v>0</v>
      </c>
      <c r="Q3840" s="8">
        <v>0</v>
      </c>
      <c r="R3840" s="8">
        <v>0</v>
      </c>
      <c r="S3840" s="8">
        <v>0</v>
      </c>
      <c r="T3840" s="5">
        <v>0</v>
      </c>
      <c r="U3840" s="5">
        <v>0</v>
      </c>
      <c r="V3840" s="5">
        <f>VLOOKUP(A3840,Planilha1!B:E,4,0)</f>
        <v>1.2362540170747773</v>
      </c>
    </row>
    <row r="3841" spans="1:22" x14ac:dyDescent="0.3">
      <c r="A3841" t="str">
        <f t="shared" si="118"/>
        <v>CREME UHTITAMBÉ</v>
      </c>
      <c r="B3841" t="str">
        <f t="shared" si="119"/>
        <v>5166253CREME UHTITAMBÉ</v>
      </c>
      <c r="C3841" s="5" t="str">
        <f>VLOOKUP(F3841,'[1]DEPARA FOOD'!$B:$M,11,0)</f>
        <v>MAURICIO</v>
      </c>
      <c r="D3841" s="5" t="s">
        <v>17</v>
      </c>
      <c r="E3841" s="5" t="s">
        <v>44</v>
      </c>
      <c r="F3841" s="5">
        <v>5166253</v>
      </c>
      <c r="G3841" s="5" t="s">
        <v>61</v>
      </c>
      <c r="H3841" s="5" t="s">
        <v>30</v>
      </c>
      <c r="I3841" s="5" t="s">
        <v>27</v>
      </c>
      <c r="J3841" s="5" t="s">
        <v>34</v>
      </c>
      <c r="K3841" s="6">
        <v>0</v>
      </c>
      <c r="L3841" s="7">
        <v>0</v>
      </c>
      <c r="M3841" s="7">
        <v>0</v>
      </c>
      <c r="N3841" s="7">
        <v>0</v>
      </c>
      <c r="O3841" s="8">
        <v>0</v>
      </c>
      <c r="P3841" s="8">
        <v>0</v>
      </c>
      <c r="Q3841" s="8">
        <v>0</v>
      </c>
      <c r="R3841" s="8">
        <v>0</v>
      </c>
      <c r="S3841" s="8">
        <v>0</v>
      </c>
      <c r="T3841" s="5">
        <v>0</v>
      </c>
      <c r="U3841" s="5">
        <v>0</v>
      </c>
      <c r="V3841" s="5">
        <f>VLOOKUP(A3841,Planilha1!B:E,4,0)</f>
        <v>1.2362540170747773</v>
      </c>
    </row>
    <row r="3842" spans="1:22" x14ac:dyDescent="0.3">
      <c r="A3842" t="str">
        <f t="shared" ref="A3842:A3905" si="120">J3842&amp;I3842</f>
        <v>CREME UHTITAMBÉ</v>
      </c>
      <c r="B3842" t="str">
        <f t="shared" si="119"/>
        <v>5172699CREME UHTITAMBÉ</v>
      </c>
      <c r="C3842" s="5" t="str">
        <f>VLOOKUP(F3842,'[1]DEPARA FOOD'!$B:$M,11,0)</f>
        <v>RODRIGO</v>
      </c>
      <c r="D3842" s="5" t="s">
        <v>227</v>
      </c>
      <c r="E3842" s="5" t="s">
        <v>703</v>
      </c>
      <c r="F3842" s="5">
        <v>5172699</v>
      </c>
      <c r="G3842" s="5" t="s">
        <v>1542</v>
      </c>
      <c r="H3842" s="5" t="s">
        <v>1636</v>
      </c>
      <c r="I3842" s="5" t="s">
        <v>27</v>
      </c>
      <c r="J3842" s="5" t="s">
        <v>34</v>
      </c>
      <c r="K3842" s="6">
        <v>0</v>
      </c>
      <c r="L3842" s="7">
        <v>0</v>
      </c>
      <c r="M3842" s="7">
        <v>0</v>
      </c>
      <c r="N3842" s="7">
        <v>0</v>
      </c>
      <c r="O3842" s="8">
        <v>0</v>
      </c>
      <c r="P3842" s="8">
        <v>0</v>
      </c>
      <c r="Q3842" s="8">
        <v>0</v>
      </c>
      <c r="R3842" s="8">
        <v>0</v>
      </c>
      <c r="S3842" s="8">
        <v>0</v>
      </c>
      <c r="T3842" s="5">
        <v>0</v>
      </c>
      <c r="U3842" s="5">
        <v>0</v>
      </c>
      <c r="V3842" s="5">
        <f>VLOOKUP(A3842,Planilha1!B:E,4,0)</f>
        <v>1.2362540170747773</v>
      </c>
    </row>
    <row r="3843" spans="1:22" x14ac:dyDescent="0.3">
      <c r="A3843" t="str">
        <f t="shared" si="120"/>
        <v>CREME UHTITAMBÉ</v>
      </c>
      <c r="B3843" t="str">
        <f t="shared" ref="B3843:B3906" si="121">F3843&amp;J3843&amp;I3843</f>
        <v>5175205CREME UHTITAMBÉ</v>
      </c>
      <c r="C3843" s="5" t="str">
        <f>VLOOKUP(F3843,'[1]DEPARA FOOD'!$B:$M,11,0)</f>
        <v>RODRIGO</v>
      </c>
      <c r="D3843" s="5" t="s">
        <v>752</v>
      </c>
      <c r="E3843" s="5" t="s">
        <v>774</v>
      </c>
      <c r="F3843" s="5">
        <v>5175205</v>
      </c>
      <c r="G3843" s="5" t="s">
        <v>786</v>
      </c>
      <c r="H3843" s="5" t="s">
        <v>32</v>
      </c>
      <c r="I3843" s="5" t="s">
        <v>27</v>
      </c>
      <c r="J3843" s="5" t="s">
        <v>34</v>
      </c>
      <c r="K3843" s="6">
        <v>0</v>
      </c>
      <c r="L3843" s="7">
        <v>0</v>
      </c>
      <c r="M3843" s="7">
        <v>0</v>
      </c>
      <c r="N3843" s="7">
        <v>0</v>
      </c>
      <c r="O3843" s="8">
        <v>0</v>
      </c>
      <c r="P3843" s="8">
        <v>0</v>
      </c>
      <c r="Q3843" s="8">
        <v>0</v>
      </c>
      <c r="R3843" s="8">
        <v>0</v>
      </c>
      <c r="S3843" s="8">
        <v>0</v>
      </c>
      <c r="T3843" s="5">
        <v>0</v>
      </c>
      <c r="U3843" s="5">
        <v>0</v>
      </c>
      <c r="V3843" s="5">
        <f>VLOOKUP(A3843,Planilha1!B:E,4,0)</f>
        <v>1.2362540170747773</v>
      </c>
    </row>
    <row r="3844" spans="1:22" x14ac:dyDescent="0.3">
      <c r="A3844" t="str">
        <f t="shared" si="120"/>
        <v>CREME UHTITAMBÉ</v>
      </c>
      <c r="B3844" t="str">
        <f t="shared" si="121"/>
        <v>5180088CREME UHTITAMBÉ</v>
      </c>
      <c r="C3844" s="5" t="str">
        <f>VLOOKUP(F3844,'[1]DEPARA FOOD'!$B:$M,11,0)</f>
        <v>MAURICIO</v>
      </c>
      <c r="D3844" s="5" t="s">
        <v>53</v>
      </c>
      <c r="E3844" s="5" t="s">
        <v>54</v>
      </c>
      <c r="F3844" s="5">
        <v>5180088</v>
      </c>
      <c r="G3844" s="5" t="s">
        <v>1542</v>
      </c>
      <c r="H3844" s="5" t="s">
        <v>1636</v>
      </c>
      <c r="I3844" s="5" t="s">
        <v>27</v>
      </c>
      <c r="J3844" s="5" t="s">
        <v>34</v>
      </c>
      <c r="K3844" s="6">
        <v>0</v>
      </c>
      <c r="L3844" s="7">
        <v>0</v>
      </c>
      <c r="M3844" s="7">
        <v>0</v>
      </c>
      <c r="N3844" s="7">
        <v>0</v>
      </c>
      <c r="O3844" s="8">
        <v>0</v>
      </c>
      <c r="P3844" s="8">
        <v>0</v>
      </c>
      <c r="Q3844" s="8">
        <v>0</v>
      </c>
      <c r="R3844" s="8">
        <v>0</v>
      </c>
      <c r="S3844" s="8">
        <v>0</v>
      </c>
      <c r="T3844" s="5">
        <v>0</v>
      </c>
      <c r="U3844" s="5">
        <v>0</v>
      </c>
      <c r="V3844" s="5">
        <f>VLOOKUP(A3844,Planilha1!B:E,4,0)</f>
        <v>1.2362540170747773</v>
      </c>
    </row>
    <row r="3845" spans="1:22" x14ac:dyDescent="0.3">
      <c r="A3845" t="str">
        <f t="shared" si="120"/>
        <v>CREME UHTITAMBÉ</v>
      </c>
      <c r="B3845" t="str">
        <f t="shared" si="121"/>
        <v>5191804CREME UHTITAMBÉ</v>
      </c>
      <c r="C3845" s="5" t="str">
        <f>VLOOKUP(F3845,'[1]DEPARA FOOD'!$B:$M,11,0)</f>
        <v>RODRIGO</v>
      </c>
      <c r="D3845" s="5" t="s">
        <v>752</v>
      </c>
      <c r="E3845" s="5" t="s">
        <v>1216</v>
      </c>
      <c r="F3845" s="5">
        <v>5191804</v>
      </c>
      <c r="G3845" s="5" t="s">
        <v>762</v>
      </c>
      <c r="H3845" s="5" t="s">
        <v>154</v>
      </c>
      <c r="I3845" s="5" t="s">
        <v>27</v>
      </c>
      <c r="J3845" s="5" t="s">
        <v>34</v>
      </c>
      <c r="K3845" s="6">
        <v>0</v>
      </c>
      <c r="L3845" s="7">
        <v>0</v>
      </c>
      <c r="M3845" s="7">
        <v>0</v>
      </c>
      <c r="N3845" s="7">
        <v>0</v>
      </c>
      <c r="O3845" s="8">
        <v>0</v>
      </c>
      <c r="P3845" s="8">
        <v>0</v>
      </c>
      <c r="Q3845" s="8">
        <v>0</v>
      </c>
      <c r="R3845" s="8">
        <v>0</v>
      </c>
      <c r="S3845" s="8">
        <v>0</v>
      </c>
      <c r="T3845" s="5">
        <v>0</v>
      </c>
      <c r="U3845" s="5">
        <v>0</v>
      </c>
      <c r="V3845" s="5">
        <f>VLOOKUP(A3845,Planilha1!B:E,4,0)</f>
        <v>1.2362540170747773</v>
      </c>
    </row>
    <row r="3846" spans="1:22" x14ac:dyDescent="0.3">
      <c r="A3846" t="str">
        <f t="shared" si="120"/>
        <v>CREME UHTITAMBÉ</v>
      </c>
      <c r="B3846" t="str">
        <f t="shared" si="121"/>
        <v>5207394CREME UHTITAMBÉ</v>
      </c>
      <c r="C3846" s="5" t="str">
        <f>VLOOKUP(F3846,'[1]DEPARA FOOD'!$B:$M,11,0)</f>
        <v>PEDRO</v>
      </c>
      <c r="D3846" s="5" t="s">
        <v>210</v>
      </c>
      <c r="E3846" s="5" t="s">
        <v>210</v>
      </c>
      <c r="F3846" s="5">
        <v>5207394</v>
      </c>
      <c r="G3846" s="5" t="s">
        <v>1542</v>
      </c>
      <c r="H3846" s="5" t="s">
        <v>1636</v>
      </c>
      <c r="I3846" s="5" t="s">
        <v>27</v>
      </c>
      <c r="J3846" s="5" t="s">
        <v>34</v>
      </c>
      <c r="K3846" s="6">
        <v>0</v>
      </c>
      <c r="L3846" s="7">
        <v>0</v>
      </c>
      <c r="M3846" s="7">
        <v>0</v>
      </c>
      <c r="N3846" s="7">
        <v>0</v>
      </c>
      <c r="O3846" s="8">
        <v>0</v>
      </c>
      <c r="P3846" s="8">
        <v>0</v>
      </c>
      <c r="Q3846" s="8">
        <v>0</v>
      </c>
      <c r="R3846" s="8">
        <v>0</v>
      </c>
      <c r="S3846" s="8">
        <v>0</v>
      </c>
      <c r="T3846" s="5">
        <v>0</v>
      </c>
      <c r="U3846" s="5">
        <v>0</v>
      </c>
      <c r="V3846" s="5">
        <f>VLOOKUP(A3846,Planilha1!B:E,4,0)</f>
        <v>1.2362540170747773</v>
      </c>
    </row>
    <row r="3847" spans="1:22" x14ac:dyDescent="0.3">
      <c r="A3847" t="str">
        <f t="shared" si="120"/>
        <v>CREME UHTITAMBÉ</v>
      </c>
      <c r="B3847" t="str">
        <f t="shared" si="121"/>
        <v>5216067CREME UHTITAMBÉ</v>
      </c>
      <c r="C3847" s="5" t="str">
        <f>VLOOKUP(F3847,'[1]DEPARA FOOD'!$B:$M,11,0)</f>
        <v>RODRIGO</v>
      </c>
      <c r="D3847" s="5" t="s">
        <v>903</v>
      </c>
      <c r="E3847" s="5" t="s">
        <v>904</v>
      </c>
      <c r="F3847" s="5">
        <v>5216067</v>
      </c>
      <c r="G3847" s="5" t="s">
        <v>926</v>
      </c>
      <c r="H3847" s="5" t="s">
        <v>113</v>
      </c>
      <c r="I3847" s="5" t="s">
        <v>27</v>
      </c>
      <c r="J3847" s="5" t="s">
        <v>34</v>
      </c>
      <c r="K3847" s="6">
        <v>0</v>
      </c>
      <c r="L3847" s="7">
        <v>0</v>
      </c>
      <c r="M3847" s="7">
        <v>0</v>
      </c>
      <c r="N3847" s="7">
        <v>0</v>
      </c>
      <c r="O3847" s="8">
        <v>0</v>
      </c>
      <c r="P3847" s="8">
        <v>0</v>
      </c>
      <c r="Q3847" s="8">
        <v>0</v>
      </c>
      <c r="R3847" s="8">
        <v>0</v>
      </c>
      <c r="S3847" s="8">
        <v>0</v>
      </c>
      <c r="T3847" s="5">
        <v>0</v>
      </c>
      <c r="U3847" s="5">
        <v>0</v>
      </c>
      <c r="V3847" s="5">
        <f>VLOOKUP(A3847,Planilha1!B:E,4,0)</f>
        <v>1.2362540170747773</v>
      </c>
    </row>
    <row r="3848" spans="1:22" x14ac:dyDescent="0.3">
      <c r="A3848" t="str">
        <f t="shared" si="120"/>
        <v>CREME UHTITAMBÉ</v>
      </c>
      <c r="B3848" t="str">
        <f t="shared" si="121"/>
        <v>5224043CREME UHTITAMBÉ</v>
      </c>
      <c r="C3848" s="5" t="str">
        <f>VLOOKUP(F3848,'[1]DEPARA FOOD'!$B:$M,11,0)</f>
        <v>PEDRO</v>
      </c>
      <c r="D3848" s="5" t="s">
        <v>210</v>
      </c>
      <c r="E3848" s="5" t="s">
        <v>210</v>
      </c>
      <c r="F3848" s="5">
        <v>5224043</v>
      </c>
      <c r="G3848" s="5" t="s">
        <v>1542</v>
      </c>
      <c r="H3848" s="5" t="s">
        <v>1636</v>
      </c>
      <c r="I3848" s="5" t="s">
        <v>27</v>
      </c>
      <c r="J3848" s="5" t="s">
        <v>34</v>
      </c>
      <c r="K3848" s="6">
        <v>0</v>
      </c>
      <c r="L3848" s="7">
        <v>0</v>
      </c>
      <c r="M3848" s="7">
        <v>0</v>
      </c>
      <c r="N3848" s="7">
        <v>0</v>
      </c>
      <c r="O3848" s="8">
        <v>0</v>
      </c>
      <c r="P3848" s="8">
        <v>0</v>
      </c>
      <c r="Q3848" s="8">
        <v>0</v>
      </c>
      <c r="R3848" s="8">
        <v>0</v>
      </c>
      <c r="S3848" s="8">
        <v>0</v>
      </c>
      <c r="T3848" s="5">
        <v>0</v>
      </c>
      <c r="U3848" s="5">
        <v>0</v>
      </c>
      <c r="V3848" s="5">
        <f>VLOOKUP(A3848,Planilha1!B:E,4,0)</f>
        <v>1.2362540170747773</v>
      </c>
    </row>
    <row r="3849" spans="1:22" x14ac:dyDescent="0.3">
      <c r="A3849" t="str">
        <f t="shared" si="120"/>
        <v>CREME UHTITAMBÉ</v>
      </c>
      <c r="B3849" t="str">
        <f t="shared" si="121"/>
        <v>5224070CREME UHTITAMBÉ</v>
      </c>
      <c r="C3849" s="5" t="str">
        <f>VLOOKUP(F3849,'[1]DEPARA FOOD'!$B:$M,11,0)</f>
        <v>RODRIGO</v>
      </c>
      <c r="D3849" s="5" t="s">
        <v>833</v>
      </c>
      <c r="E3849" s="5" t="s">
        <v>875</v>
      </c>
      <c r="F3849" s="5">
        <v>5224070</v>
      </c>
      <c r="G3849" s="5" t="s">
        <v>889</v>
      </c>
      <c r="H3849" s="5" t="s">
        <v>91</v>
      </c>
      <c r="I3849" s="5" t="s">
        <v>27</v>
      </c>
      <c r="J3849" s="5" t="s">
        <v>34</v>
      </c>
      <c r="K3849" s="6">
        <v>0</v>
      </c>
      <c r="L3849" s="7">
        <v>0</v>
      </c>
      <c r="M3849" s="7">
        <v>0</v>
      </c>
      <c r="N3849" s="7">
        <v>0</v>
      </c>
      <c r="O3849" s="8">
        <v>0</v>
      </c>
      <c r="P3849" s="8">
        <v>0</v>
      </c>
      <c r="Q3849" s="8">
        <v>0</v>
      </c>
      <c r="R3849" s="8">
        <v>0</v>
      </c>
      <c r="S3849" s="8">
        <v>0</v>
      </c>
      <c r="T3849" s="5">
        <v>0</v>
      </c>
      <c r="U3849" s="5">
        <v>0</v>
      </c>
      <c r="V3849" s="5">
        <f>VLOOKUP(A3849,Planilha1!B:E,4,0)</f>
        <v>1.2362540170747773</v>
      </c>
    </row>
    <row r="3850" spans="1:22" x14ac:dyDescent="0.3">
      <c r="A3850" t="str">
        <f t="shared" si="120"/>
        <v>CREME UHTITAMBÉ</v>
      </c>
      <c r="B3850" t="str">
        <f t="shared" si="121"/>
        <v>5226476CREME UHTITAMBÉ</v>
      </c>
      <c r="C3850" s="5" t="str">
        <f>VLOOKUP(F3850,'[1]DEPARA FOOD'!$B:$M,11,0)</f>
        <v>RODRIGO</v>
      </c>
      <c r="D3850" s="5" t="s">
        <v>833</v>
      </c>
      <c r="E3850" s="5" t="s">
        <v>852</v>
      </c>
      <c r="F3850" s="5">
        <v>5226476</v>
      </c>
      <c r="G3850" s="5" t="s">
        <v>868</v>
      </c>
      <c r="H3850" s="5" t="s">
        <v>40</v>
      </c>
      <c r="I3850" s="5" t="s">
        <v>27</v>
      </c>
      <c r="J3850" s="5" t="s">
        <v>34</v>
      </c>
      <c r="K3850" s="6">
        <v>0</v>
      </c>
      <c r="L3850" s="7">
        <v>0</v>
      </c>
      <c r="M3850" s="7">
        <v>0</v>
      </c>
      <c r="N3850" s="7">
        <v>0</v>
      </c>
      <c r="O3850" s="8">
        <v>0</v>
      </c>
      <c r="P3850" s="8">
        <v>0</v>
      </c>
      <c r="Q3850" s="8">
        <v>0</v>
      </c>
      <c r="R3850" s="8">
        <v>0</v>
      </c>
      <c r="S3850" s="8">
        <v>0</v>
      </c>
      <c r="T3850" s="5">
        <v>0</v>
      </c>
      <c r="U3850" s="5">
        <v>0</v>
      </c>
      <c r="V3850" s="5">
        <f>VLOOKUP(A3850,Planilha1!B:E,4,0)</f>
        <v>1.2362540170747773</v>
      </c>
    </row>
    <row r="3851" spans="1:22" x14ac:dyDescent="0.3">
      <c r="A3851" t="str">
        <f t="shared" si="120"/>
        <v>CREME UHTITAMBÉ</v>
      </c>
      <c r="B3851" t="str">
        <f t="shared" si="121"/>
        <v>5228735CREME UHTITAMBÉ</v>
      </c>
      <c r="C3851" s="5" t="str">
        <f>VLOOKUP(F3851,'[1]DEPARA FOOD'!$B:$M,11,0)</f>
        <v>MAURICIO</v>
      </c>
      <c r="D3851" s="5" t="s">
        <v>53</v>
      </c>
      <c r="E3851" s="5" t="s">
        <v>23</v>
      </c>
      <c r="F3851" s="5">
        <v>5228735</v>
      </c>
      <c r="G3851" s="5" t="s">
        <v>1542</v>
      </c>
      <c r="H3851" s="5" t="s">
        <v>1636</v>
      </c>
      <c r="I3851" s="5" t="s">
        <v>27</v>
      </c>
      <c r="J3851" s="5" t="s">
        <v>34</v>
      </c>
      <c r="K3851" s="6">
        <v>0</v>
      </c>
      <c r="L3851" s="7">
        <v>0</v>
      </c>
      <c r="M3851" s="7">
        <v>0</v>
      </c>
      <c r="N3851" s="7">
        <v>0</v>
      </c>
      <c r="O3851" s="8">
        <v>0</v>
      </c>
      <c r="P3851" s="8">
        <v>0</v>
      </c>
      <c r="Q3851" s="8">
        <v>0</v>
      </c>
      <c r="R3851" s="8">
        <v>0</v>
      </c>
      <c r="S3851" s="8">
        <v>0</v>
      </c>
      <c r="T3851" s="5">
        <v>0</v>
      </c>
      <c r="U3851" s="5">
        <v>0</v>
      </c>
      <c r="V3851" s="5">
        <f>VLOOKUP(A3851,Planilha1!B:E,4,0)</f>
        <v>1.2362540170747773</v>
      </c>
    </row>
    <row r="3852" spans="1:22" x14ac:dyDescent="0.3">
      <c r="A3852" t="str">
        <f t="shared" si="120"/>
        <v>CREME UHTITAMBÉ</v>
      </c>
      <c r="B3852" t="str">
        <f t="shared" si="121"/>
        <v>5229526CREME UHTITAMBÉ</v>
      </c>
      <c r="C3852" s="5" t="str">
        <f>VLOOKUP(F3852,'[1]DEPARA FOOD'!$B:$M,11,0)</f>
        <v>MAURICIO</v>
      </c>
      <c r="D3852" s="5" t="s">
        <v>53</v>
      </c>
      <c r="E3852" s="5" t="s">
        <v>23</v>
      </c>
      <c r="F3852" s="5">
        <v>5229526</v>
      </c>
      <c r="G3852" s="5" t="s">
        <v>117</v>
      </c>
      <c r="H3852" s="5" t="s">
        <v>103</v>
      </c>
      <c r="I3852" s="5" t="s">
        <v>27</v>
      </c>
      <c r="J3852" s="5" t="s">
        <v>34</v>
      </c>
      <c r="K3852" s="6">
        <v>0</v>
      </c>
      <c r="L3852" s="7">
        <v>0</v>
      </c>
      <c r="M3852" s="7">
        <v>0</v>
      </c>
      <c r="N3852" s="7">
        <v>0</v>
      </c>
      <c r="O3852" s="8">
        <v>0</v>
      </c>
      <c r="P3852" s="8">
        <v>0</v>
      </c>
      <c r="Q3852" s="8">
        <v>0</v>
      </c>
      <c r="R3852" s="8">
        <v>0</v>
      </c>
      <c r="S3852" s="8">
        <v>0</v>
      </c>
      <c r="T3852" s="5">
        <v>0</v>
      </c>
      <c r="U3852" s="5">
        <v>0</v>
      </c>
      <c r="V3852" s="5">
        <f>VLOOKUP(A3852,Planilha1!B:E,4,0)</f>
        <v>1.2362540170747773</v>
      </c>
    </row>
    <row r="3853" spans="1:22" x14ac:dyDescent="0.3">
      <c r="A3853" t="str">
        <f t="shared" si="120"/>
        <v>CREME UHTITAMBÉ</v>
      </c>
      <c r="B3853" t="str">
        <f t="shared" si="121"/>
        <v>5275629CREME UHTITAMBÉ</v>
      </c>
      <c r="C3853" s="5" t="str">
        <f>VLOOKUP(F3853,'[1]DEPARA FOOD'!$B:$M,11,0)</f>
        <v>RODRIGO</v>
      </c>
      <c r="D3853" s="5" t="s">
        <v>833</v>
      </c>
      <c r="E3853" s="5" t="s">
        <v>852</v>
      </c>
      <c r="F3853" s="5">
        <v>5275629</v>
      </c>
      <c r="G3853" s="5" t="s">
        <v>872</v>
      </c>
      <c r="H3853" s="5" t="s">
        <v>40</v>
      </c>
      <c r="I3853" s="5" t="s">
        <v>27</v>
      </c>
      <c r="J3853" s="5" t="s">
        <v>34</v>
      </c>
      <c r="K3853" s="6">
        <v>0</v>
      </c>
      <c r="L3853" s="7">
        <v>0</v>
      </c>
      <c r="M3853" s="7">
        <v>0</v>
      </c>
      <c r="N3853" s="7">
        <v>0</v>
      </c>
      <c r="O3853" s="8">
        <v>0</v>
      </c>
      <c r="P3853" s="8">
        <v>0</v>
      </c>
      <c r="Q3853" s="8">
        <v>0</v>
      </c>
      <c r="R3853" s="8">
        <v>0</v>
      </c>
      <c r="S3853" s="8">
        <v>0</v>
      </c>
      <c r="T3853" s="5">
        <v>0</v>
      </c>
      <c r="U3853" s="5">
        <v>0</v>
      </c>
      <c r="V3853" s="5">
        <f>VLOOKUP(A3853,Planilha1!B:E,4,0)</f>
        <v>1.2362540170747773</v>
      </c>
    </row>
    <row r="3854" spans="1:22" x14ac:dyDescent="0.3">
      <c r="A3854" t="str">
        <f t="shared" si="120"/>
        <v>CREME UHTITAMBÉ</v>
      </c>
      <c r="B3854" t="str">
        <f t="shared" si="121"/>
        <v>5314195CREME UHTITAMBÉ</v>
      </c>
      <c r="C3854" s="5" t="str">
        <f>VLOOKUP(F3854,'[1]DEPARA FOOD'!$B:$M,11,0)</f>
        <v>RODRIGO</v>
      </c>
      <c r="D3854" s="5" t="s">
        <v>903</v>
      </c>
      <c r="E3854" s="5" t="s">
        <v>904</v>
      </c>
      <c r="F3854" s="5">
        <v>5314195</v>
      </c>
      <c r="G3854" s="5" t="s">
        <v>1542</v>
      </c>
      <c r="H3854" s="5" t="s">
        <v>1636</v>
      </c>
      <c r="I3854" s="5" t="s">
        <v>27</v>
      </c>
      <c r="J3854" s="5" t="s">
        <v>34</v>
      </c>
      <c r="K3854" s="6">
        <v>0</v>
      </c>
      <c r="L3854" s="7">
        <v>0</v>
      </c>
      <c r="M3854" s="7">
        <v>0</v>
      </c>
      <c r="N3854" s="7">
        <v>0</v>
      </c>
      <c r="O3854" s="8">
        <v>0</v>
      </c>
      <c r="P3854" s="8">
        <v>0</v>
      </c>
      <c r="Q3854" s="8">
        <v>0</v>
      </c>
      <c r="R3854" s="8">
        <v>0</v>
      </c>
      <c r="S3854" s="8">
        <v>0</v>
      </c>
      <c r="T3854" s="5">
        <v>0</v>
      </c>
      <c r="U3854" s="5">
        <v>0</v>
      </c>
      <c r="V3854" s="5">
        <f>VLOOKUP(A3854,Planilha1!B:E,4,0)</f>
        <v>1.2362540170747773</v>
      </c>
    </row>
    <row r="3855" spans="1:22" x14ac:dyDescent="0.3">
      <c r="A3855" t="str">
        <f t="shared" si="120"/>
        <v>CREME UHTITAMBÉ</v>
      </c>
      <c r="B3855" t="str">
        <f t="shared" si="121"/>
        <v>5335146CREME UHTITAMBÉ</v>
      </c>
      <c r="C3855" s="5" t="str">
        <f>VLOOKUP(F3855,'[1]DEPARA FOOD'!$B:$M,11,0)</f>
        <v>MAURICIO</v>
      </c>
      <c r="D3855" s="5" t="s">
        <v>17</v>
      </c>
      <c r="E3855" s="5" t="s">
        <v>44</v>
      </c>
      <c r="F3855" s="5">
        <v>5335146</v>
      </c>
      <c r="G3855" s="5" t="s">
        <v>1542</v>
      </c>
      <c r="H3855" s="5" t="s">
        <v>1636</v>
      </c>
      <c r="I3855" s="5" t="s">
        <v>27</v>
      </c>
      <c r="J3855" s="5" t="s">
        <v>34</v>
      </c>
      <c r="K3855" s="6">
        <v>0</v>
      </c>
      <c r="L3855" s="7">
        <v>0</v>
      </c>
      <c r="M3855" s="7">
        <v>0</v>
      </c>
      <c r="N3855" s="7">
        <v>0</v>
      </c>
      <c r="O3855" s="8">
        <v>0</v>
      </c>
      <c r="P3855" s="8">
        <v>0</v>
      </c>
      <c r="Q3855" s="8">
        <v>0</v>
      </c>
      <c r="R3855" s="8">
        <v>0</v>
      </c>
      <c r="S3855" s="8">
        <v>0</v>
      </c>
      <c r="T3855" s="5">
        <v>0</v>
      </c>
      <c r="U3855" s="5">
        <v>0</v>
      </c>
      <c r="V3855" s="5">
        <f>VLOOKUP(A3855,Planilha1!B:E,4,0)</f>
        <v>1.2362540170747773</v>
      </c>
    </row>
    <row r="3856" spans="1:22" x14ac:dyDescent="0.3">
      <c r="A3856" t="str">
        <f t="shared" si="120"/>
        <v>CREME UHTITAMBÉ</v>
      </c>
      <c r="B3856" t="str">
        <f t="shared" si="121"/>
        <v>5340677CREME UHTITAMBÉ</v>
      </c>
      <c r="C3856" s="5" t="str">
        <f>VLOOKUP(F3856,'[1]DEPARA FOOD'!$B:$M,11,0)</f>
        <v>MAURICIO</v>
      </c>
      <c r="D3856" s="5" t="s">
        <v>28</v>
      </c>
      <c r="E3856" s="5" t="s">
        <v>28</v>
      </c>
      <c r="F3856" s="5">
        <v>5340677</v>
      </c>
      <c r="G3856" s="5" t="s">
        <v>1542</v>
      </c>
      <c r="H3856" s="5" t="s">
        <v>1636</v>
      </c>
      <c r="I3856" s="5" t="s">
        <v>27</v>
      </c>
      <c r="J3856" s="5" t="s">
        <v>34</v>
      </c>
      <c r="K3856" s="6">
        <v>0</v>
      </c>
      <c r="L3856" s="7">
        <v>0</v>
      </c>
      <c r="M3856" s="7">
        <v>0</v>
      </c>
      <c r="N3856" s="7">
        <v>0</v>
      </c>
      <c r="O3856" s="8">
        <v>0</v>
      </c>
      <c r="P3856" s="8">
        <v>0</v>
      </c>
      <c r="Q3856" s="8">
        <v>0</v>
      </c>
      <c r="R3856" s="8">
        <v>0</v>
      </c>
      <c r="S3856" s="8">
        <v>0</v>
      </c>
      <c r="T3856" s="5">
        <v>0</v>
      </c>
      <c r="U3856" s="5">
        <v>0</v>
      </c>
      <c r="V3856" s="5">
        <f>VLOOKUP(A3856,Planilha1!B:E,4,0)</f>
        <v>1.2362540170747773</v>
      </c>
    </row>
    <row r="3857" spans="1:22" x14ac:dyDescent="0.3">
      <c r="A3857" t="str">
        <f t="shared" si="120"/>
        <v>CREME UHTITAMBÉ</v>
      </c>
      <c r="B3857" t="str">
        <f t="shared" si="121"/>
        <v>5349403CREME UHTITAMBÉ</v>
      </c>
      <c r="C3857" s="5" t="str">
        <f>VLOOKUP(F3857,'[1]DEPARA FOOD'!$B:$M,11,0)</f>
        <v>RODRIGO</v>
      </c>
      <c r="D3857" s="5" t="s">
        <v>752</v>
      </c>
      <c r="E3857" s="5" t="s">
        <v>1216</v>
      </c>
      <c r="F3857" s="5">
        <v>5349403</v>
      </c>
      <c r="G3857" s="5" t="s">
        <v>1542</v>
      </c>
      <c r="H3857" s="5" t="s">
        <v>1636</v>
      </c>
      <c r="I3857" s="5" t="s">
        <v>27</v>
      </c>
      <c r="J3857" s="5" t="s">
        <v>34</v>
      </c>
      <c r="K3857" s="6">
        <v>0</v>
      </c>
      <c r="L3857" s="7">
        <v>0</v>
      </c>
      <c r="M3857" s="7">
        <v>0</v>
      </c>
      <c r="N3857" s="7">
        <v>0</v>
      </c>
      <c r="O3857" s="8">
        <v>0</v>
      </c>
      <c r="P3857" s="8">
        <v>0</v>
      </c>
      <c r="Q3857" s="8">
        <v>0</v>
      </c>
      <c r="R3857" s="8">
        <v>0</v>
      </c>
      <c r="S3857" s="8">
        <v>0</v>
      </c>
      <c r="T3857" s="5">
        <v>0</v>
      </c>
      <c r="U3857" s="5">
        <v>0</v>
      </c>
      <c r="V3857" s="5">
        <f>VLOOKUP(A3857,Planilha1!B:E,4,0)</f>
        <v>1.2362540170747773</v>
      </c>
    </row>
    <row r="3858" spans="1:22" x14ac:dyDescent="0.3">
      <c r="A3858" t="str">
        <f t="shared" si="120"/>
        <v>CREME UHTITAMBÉ</v>
      </c>
      <c r="B3858" t="str">
        <f t="shared" si="121"/>
        <v>5351400CREME UHTITAMBÉ</v>
      </c>
      <c r="C3858" s="5" t="str">
        <f>VLOOKUP(F3858,'[1]DEPARA FOOD'!$B:$M,11,0)</f>
        <v>MAURICIO</v>
      </c>
      <c r="D3858" s="5" t="s">
        <v>28</v>
      </c>
      <c r="E3858" s="5" t="s">
        <v>28</v>
      </c>
      <c r="F3858" s="5">
        <v>5351400</v>
      </c>
      <c r="G3858" s="5" t="s">
        <v>1542</v>
      </c>
      <c r="H3858" s="5" t="s">
        <v>1636</v>
      </c>
      <c r="I3858" s="5" t="s">
        <v>27</v>
      </c>
      <c r="J3858" s="5" t="s">
        <v>34</v>
      </c>
      <c r="K3858" s="6">
        <v>0</v>
      </c>
      <c r="L3858" s="7">
        <v>0</v>
      </c>
      <c r="M3858" s="7">
        <v>0</v>
      </c>
      <c r="N3858" s="7">
        <v>0</v>
      </c>
      <c r="O3858" s="8">
        <v>0</v>
      </c>
      <c r="P3858" s="8">
        <v>0</v>
      </c>
      <c r="Q3858" s="8">
        <v>0</v>
      </c>
      <c r="R3858" s="8">
        <v>0</v>
      </c>
      <c r="S3858" s="8">
        <v>0</v>
      </c>
      <c r="T3858" s="5">
        <v>0</v>
      </c>
      <c r="U3858" s="5">
        <v>0</v>
      </c>
      <c r="V3858" s="5">
        <f>VLOOKUP(A3858,Planilha1!B:E,4,0)</f>
        <v>1.2362540170747773</v>
      </c>
    </row>
    <row r="3859" spans="1:22" x14ac:dyDescent="0.3">
      <c r="A3859" t="str">
        <f t="shared" si="120"/>
        <v>CREME UHTITAMBÉ</v>
      </c>
      <c r="B3859" t="str">
        <f t="shared" si="121"/>
        <v>5353844CREME UHTITAMBÉ</v>
      </c>
      <c r="C3859" s="5" t="str">
        <f>VLOOKUP(F3859,'[1]DEPARA FOOD'!$B:$M,11,0)</f>
        <v>RODRIGO</v>
      </c>
      <c r="D3859" s="5" t="s">
        <v>903</v>
      </c>
      <c r="E3859" s="5" t="s">
        <v>904</v>
      </c>
      <c r="F3859" s="5">
        <v>5353844</v>
      </c>
      <c r="G3859" s="5" t="s">
        <v>1542</v>
      </c>
      <c r="H3859" s="5" t="s">
        <v>1636</v>
      </c>
      <c r="I3859" s="5" t="s">
        <v>27</v>
      </c>
      <c r="J3859" s="5" t="s">
        <v>34</v>
      </c>
      <c r="K3859" s="6">
        <v>0</v>
      </c>
      <c r="L3859" s="7">
        <v>0</v>
      </c>
      <c r="M3859" s="7">
        <v>0</v>
      </c>
      <c r="N3859" s="7">
        <v>0</v>
      </c>
      <c r="O3859" s="8">
        <v>0</v>
      </c>
      <c r="P3859" s="8">
        <v>0</v>
      </c>
      <c r="Q3859" s="8">
        <v>0</v>
      </c>
      <c r="R3859" s="8">
        <v>0</v>
      </c>
      <c r="S3859" s="8">
        <v>24.24</v>
      </c>
      <c r="T3859" s="5">
        <v>24.24</v>
      </c>
      <c r="U3859" s="5">
        <v>0</v>
      </c>
      <c r="V3859" s="5">
        <f>VLOOKUP(A3859,Planilha1!B:E,4,0)</f>
        <v>1.2362540170747773</v>
      </c>
    </row>
    <row r="3860" spans="1:22" x14ac:dyDescent="0.3">
      <c r="A3860" t="str">
        <f t="shared" si="120"/>
        <v>CREME UHTITAMBÉ</v>
      </c>
      <c r="B3860" t="str">
        <f t="shared" si="121"/>
        <v>5354761CREME UHTITAMBÉ</v>
      </c>
      <c r="C3860" s="5" t="str">
        <f>VLOOKUP(F3860,'[1]DEPARA FOOD'!$B:$M,11,0)</f>
        <v>MAURICIO</v>
      </c>
      <c r="D3860" s="5" t="s">
        <v>17</v>
      </c>
      <c r="E3860" s="5" t="s">
        <v>44</v>
      </c>
      <c r="F3860" s="5">
        <v>5354761</v>
      </c>
      <c r="G3860" s="5" t="s">
        <v>83</v>
      </c>
      <c r="H3860" s="5" t="s">
        <v>25</v>
      </c>
      <c r="I3860" s="5" t="s">
        <v>27</v>
      </c>
      <c r="J3860" s="5" t="s">
        <v>34</v>
      </c>
      <c r="K3860" s="6">
        <v>0</v>
      </c>
      <c r="L3860" s="7">
        <v>0</v>
      </c>
      <c r="M3860" s="7">
        <v>0</v>
      </c>
      <c r="N3860" s="7">
        <v>0</v>
      </c>
      <c r="O3860" s="8">
        <v>0</v>
      </c>
      <c r="P3860" s="8">
        <v>0</v>
      </c>
      <c r="Q3860" s="8">
        <v>0</v>
      </c>
      <c r="R3860" s="8">
        <v>0</v>
      </c>
      <c r="S3860" s="8">
        <v>0</v>
      </c>
      <c r="T3860" s="5">
        <v>0</v>
      </c>
      <c r="U3860" s="5">
        <v>0</v>
      </c>
      <c r="V3860" s="5">
        <f>VLOOKUP(A3860,Planilha1!B:E,4,0)</f>
        <v>1.2362540170747773</v>
      </c>
    </row>
    <row r="3861" spans="1:22" x14ac:dyDescent="0.3">
      <c r="A3861" t="str">
        <f t="shared" si="120"/>
        <v>DOCE DE LEITEITAMBÉ</v>
      </c>
      <c r="B3861" t="str">
        <f t="shared" si="121"/>
        <v>5009122DOCE DE LEITEITAMBÉ</v>
      </c>
      <c r="C3861" s="5" t="str">
        <f>VLOOKUP(F3861,'[1]DEPARA FOOD'!$B:$M,11,0)</f>
        <v>RODRIGO</v>
      </c>
      <c r="D3861" s="5" t="s">
        <v>903</v>
      </c>
      <c r="E3861" s="5" t="s">
        <v>904</v>
      </c>
      <c r="F3861" s="5">
        <v>5009122</v>
      </c>
      <c r="G3861" s="5" t="s">
        <v>1542</v>
      </c>
      <c r="H3861" s="5" t="s">
        <v>1636</v>
      </c>
      <c r="I3861" s="5" t="s">
        <v>27</v>
      </c>
      <c r="J3861" s="5" t="s">
        <v>46</v>
      </c>
      <c r="K3861" s="6">
        <v>0</v>
      </c>
      <c r="L3861" s="7">
        <v>0</v>
      </c>
      <c r="M3861" s="7">
        <v>0</v>
      </c>
      <c r="N3861" s="7">
        <v>0</v>
      </c>
      <c r="O3861" s="8">
        <v>0</v>
      </c>
      <c r="P3861" s="8">
        <v>0</v>
      </c>
      <c r="Q3861" s="8">
        <v>0</v>
      </c>
      <c r="R3861" s="8">
        <v>0</v>
      </c>
      <c r="S3861" s="8">
        <v>0</v>
      </c>
      <c r="T3861" s="5">
        <v>0</v>
      </c>
      <c r="U3861" s="5">
        <v>0</v>
      </c>
      <c r="V3861" s="5">
        <f>VLOOKUP(A3861,Planilha1!B:E,4,0)</f>
        <v>5.8210743907543439</v>
      </c>
    </row>
    <row r="3862" spans="1:22" x14ac:dyDescent="0.3">
      <c r="A3862" t="str">
        <f t="shared" si="120"/>
        <v>DOCE DE LEITEITAMBÉ</v>
      </c>
      <c r="B3862" t="str">
        <f t="shared" si="121"/>
        <v>5019031DOCE DE LEITEITAMBÉ</v>
      </c>
      <c r="C3862" s="5" t="str">
        <f>VLOOKUP(F3862,'[1]DEPARA FOOD'!$B:$M,11,0)</f>
        <v>RODRIGO</v>
      </c>
      <c r="D3862" s="5" t="s">
        <v>893</v>
      </c>
      <c r="E3862" s="5" t="s">
        <v>231</v>
      </c>
      <c r="F3862" s="5">
        <v>5019031</v>
      </c>
      <c r="G3862" s="5" t="s">
        <v>895</v>
      </c>
      <c r="H3862" s="5" t="s">
        <v>30</v>
      </c>
      <c r="I3862" s="5" t="s">
        <v>27</v>
      </c>
      <c r="J3862" s="5" t="s">
        <v>46</v>
      </c>
      <c r="K3862" s="6">
        <v>0</v>
      </c>
      <c r="L3862" s="7">
        <v>0</v>
      </c>
      <c r="M3862" s="7">
        <v>0</v>
      </c>
      <c r="N3862" s="7">
        <v>0</v>
      </c>
      <c r="O3862" s="8">
        <v>0</v>
      </c>
      <c r="P3862" s="8">
        <v>0</v>
      </c>
      <c r="Q3862" s="8">
        <v>0</v>
      </c>
      <c r="R3862" s="8">
        <v>0</v>
      </c>
      <c r="S3862" s="8">
        <v>0</v>
      </c>
      <c r="T3862" s="5">
        <v>0</v>
      </c>
      <c r="U3862" s="5">
        <v>0</v>
      </c>
      <c r="V3862" s="5">
        <f>VLOOKUP(A3862,Planilha1!B:E,4,0)</f>
        <v>5.8210743907543439</v>
      </c>
    </row>
    <row r="3863" spans="1:22" x14ac:dyDescent="0.3">
      <c r="A3863" t="str">
        <f t="shared" si="120"/>
        <v>DOCE DE LEITEITAMBÉ</v>
      </c>
      <c r="B3863" t="str">
        <f t="shared" si="121"/>
        <v>5026855DOCE DE LEITEITAMBÉ</v>
      </c>
      <c r="C3863" s="5" t="str">
        <f>VLOOKUP(F3863,'[1]DEPARA FOOD'!$B:$M,11,0)</f>
        <v>MAURICIO</v>
      </c>
      <c r="D3863" s="5" t="s">
        <v>17</v>
      </c>
      <c r="E3863" s="5" t="s">
        <v>44</v>
      </c>
      <c r="F3863" s="5">
        <v>5026855</v>
      </c>
      <c r="G3863" s="5" t="s">
        <v>1542</v>
      </c>
      <c r="H3863" s="5" t="s">
        <v>1636</v>
      </c>
      <c r="I3863" s="5" t="s">
        <v>27</v>
      </c>
      <c r="J3863" s="5" t="s">
        <v>46</v>
      </c>
      <c r="K3863" s="6">
        <v>0</v>
      </c>
      <c r="L3863" s="7">
        <v>0</v>
      </c>
      <c r="M3863" s="7">
        <v>0</v>
      </c>
      <c r="N3863" s="7">
        <v>0</v>
      </c>
      <c r="O3863" s="8">
        <v>0</v>
      </c>
      <c r="P3863" s="8">
        <v>0</v>
      </c>
      <c r="Q3863" s="8">
        <v>0</v>
      </c>
      <c r="R3863" s="8">
        <v>0</v>
      </c>
      <c r="S3863" s="8">
        <v>0</v>
      </c>
      <c r="T3863" s="5">
        <v>0</v>
      </c>
      <c r="U3863" s="5">
        <v>0</v>
      </c>
      <c r="V3863" s="5">
        <f>VLOOKUP(A3863,Planilha1!B:E,4,0)</f>
        <v>5.8210743907543439</v>
      </c>
    </row>
    <row r="3864" spans="1:22" x14ac:dyDescent="0.3">
      <c r="A3864" t="str">
        <f t="shared" si="120"/>
        <v>DOCE DE LEITEITAMBÉ</v>
      </c>
      <c r="B3864" t="str">
        <f t="shared" si="121"/>
        <v>5043271DOCE DE LEITEITAMBÉ</v>
      </c>
      <c r="C3864" s="5" t="str">
        <f>VLOOKUP(F3864,'[1]DEPARA FOOD'!$B:$M,11,0)</f>
        <v>MAURICIO</v>
      </c>
      <c r="D3864" s="5" t="s">
        <v>17</v>
      </c>
      <c r="E3864" s="5" t="s">
        <v>66</v>
      </c>
      <c r="F3864" s="5">
        <v>5043271</v>
      </c>
      <c r="G3864" s="5" t="s">
        <v>1542</v>
      </c>
      <c r="H3864" s="5" t="s">
        <v>1636</v>
      </c>
      <c r="I3864" s="5" t="s">
        <v>27</v>
      </c>
      <c r="J3864" s="5" t="s">
        <v>46</v>
      </c>
      <c r="K3864" s="6">
        <v>0</v>
      </c>
      <c r="L3864" s="7">
        <v>0</v>
      </c>
      <c r="M3864" s="7">
        <v>0</v>
      </c>
      <c r="N3864" s="7">
        <v>0</v>
      </c>
      <c r="O3864" s="8">
        <v>0</v>
      </c>
      <c r="P3864" s="8">
        <v>0</v>
      </c>
      <c r="Q3864" s="8">
        <v>0</v>
      </c>
      <c r="R3864" s="8">
        <v>0</v>
      </c>
      <c r="S3864" s="8">
        <v>0</v>
      </c>
      <c r="T3864" s="5">
        <v>0</v>
      </c>
      <c r="U3864" s="5">
        <v>0</v>
      </c>
      <c r="V3864" s="5">
        <f>VLOOKUP(A3864,Planilha1!B:E,4,0)</f>
        <v>5.8210743907543439</v>
      </c>
    </row>
    <row r="3865" spans="1:22" x14ac:dyDescent="0.3">
      <c r="A3865" t="str">
        <f t="shared" si="120"/>
        <v>DOCE DE LEITEITAMBÉ</v>
      </c>
      <c r="B3865" t="str">
        <f t="shared" si="121"/>
        <v>5107358DOCE DE LEITEITAMBÉ</v>
      </c>
      <c r="C3865" s="5" t="str">
        <f>VLOOKUP(F3865,'[1]DEPARA FOOD'!$B:$M,11,0)</f>
        <v>PEDRO</v>
      </c>
      <c r="D3865" s="5" t="s">
        <v>150</v>
      </c>
      <c r="E3865" s="5" t="s">
        <v>151</v>
      </c>
      <c r="F3865" s="5">
        <v>5107358</v>
      </c>
      <c r="G3865" s="5" t="s">
        <v>202</v>
      </c>
      <c r="H3865" s="5" t="s">
        <v>30</v>
      </c>
      <c r="I3865" s="5" t="s">
        <v>27</v>
      </c>
      <c r="J3865" s="5" t="s">
        <v>46</v>
      </c>
      <c r="K3865" s="6">
        <v>0</v>
      </c>
      <c r="L3865" s="7">
        <v>0</v>
      </c>
      <c r="M3865" s="7">
        <v>0</v>
      </c>
      <c r="N3865" s="7">
        <v>0</v>
      </c>
      <c r="O3865" s="8">
        <v>0</v>
      </c>
      <c r="P3865" s="8">
        <v>0</v>
      </c>
      <c r="Q3865" s="8">
        <v>0</v>
      </c>
      <c r="R3865" s="8">
        <v>0</v>
      </c>
      <c r="S3865" s="8">
        <v>0</v>
      </c>
      <c r="T3865" s="5">
        <v>0</v>
      </c>
      <c r="U3865" s="5">
        <v>0</v>
      </c>
      <c r="V3865" s="5">
        <f>VLOOKUP(A3865,Planilha1!B:E,4,0)</f>
        <v>5.8210743907543439</v>
      </c>
    </row>
    <row r="3866" spans="1:22" x14ac:dyDescent="0.3">
      <c r="A3866" t="str">
        <f t="shared" si="120"/>
        <v>DOCE DE LEITEITAMBÉ</v>
      </c>
      <c r="B3866" t="str">
        <f t="shared" si="121"/>
        <v>5114515DOCE DE LEITEITAMBÉ</v>
      </c>
      <c r="C3866" s="5" t="str">
        <f>VLOOKUP(F3866,'[1]DEPARA FOOD'!$B:$M,11,0)</f>
        <v>MAURICIO</v>
      </c>
      <c r="D3866" s="5" t="s">
        <v>28</v>
      </c>
      <c r="E3866" s="5" t="s">
        <v>28</v>
      </c>
      <c r="F3866" s="5">
        <v>5114515</v>
      </c>
      <c r="G3866" s="5" t="s">
        <v>165</v>
      </c>
      <c r="H3866" s="5" t="s">
        <v>154</v>
      </c>
      <c r="I3866" s="5" t="s">
        <v>27</v>
      </c>
      <c r="J3866" s="5" t="s">
        <v>46</v>
      </c>
      <c r="K3866" s="6">
        <v>0</v>
      </c>
      <c r="L3866" s="7">
        <v>0</v>
      </c>
      <c r="M3866" s="7">
        <v>0</v>
      </c>
      <c r="N3866" s="7">
        <v>0</v>
      </c>
      <c r="O3866" s="8">
        <v>0</v>
      </c>
      <c r="P3866" s="8">
        <v>0</v>
      </c>
      <c r="Q3866" s="8">
        <v>0</v>
      </c>
      <c r="R3866" s="8">
        <v>0</v>
      </c>
      <c r="S3866" s="8">
        <v>0</v>
      </c>
      <c r="T3866" s="5">
        <v>0</v>
      </c>
      <c r="U3866" s="5">
        <v>0</v>
      </c>
      <c r="V3866" s="5">
        <f>VLOOKUP(A3866,Planilha1!B:E,4,0)</f>
        <v>5.8210743907543439</v>
      </c>
    </row>
    <row r="3867" spans="1:22" x14ac:dyDescent="0.3">
      <c r="A3867" t="str">
        <f t="shared" si="120"/>
        <v>DOCE DE LEITEITAMBÉ</v>
      </c>
      <c r="B3867" t="str">
        <f t="shared" si="121"/>
        <v>5128991DOCE DE LEITEITAMBÉ</v>
      </c>
      <c r="C3867" s="5" t="str">
        <f>VLOOKUP(F3867,'[1]DEPARA FOOD'!$B:$M,11,0)</f>
        <v>RODRIGO</v>
      </c>
      <c r="D3867" s="5" t="s">
        <v>833</v>
      </c>
      <c r="E3867" s="5" t="s">
        <v>875</v>
      </c>
      <c r="F3867" s="5">
        <v>5128991</v>
      </c>
      <c r="G3867" s="5" t="s">
        <v>879</v>
      </c>
      <c r="H3867" s="5" t="s">
        <v>91</v>
      </c>
      <c r="I3867" s="5" t="s">
        <v>27</v>
      </c>
      <c r="J3867" s="5" t="s">
        <v>46</v>
      </c>
      <c r="K3867" s="6">
        <v>0</v>
      </c>
      <c r="L3867" s="7">
        <v>0</v>
      </c>
      <c r="M3867" s="7">
        <v>0</v>
      </c>
      <c r="N3867" s="7">
        <v>0</v>
      </c>
      <c r="O3867" s="8">
        <v>0</v>
      </c>
      <c r="P3867" s="8">
        <v>0</v>
      </c>
      <c r="Q3867" s="8">
        <v>0</v>
      </c>
      <c r="R3867" s="8">
        <v>0</v>
      </c>
      <c r="S3867" s="8">
        <v>0</v>
      </c>
      <c r="T3867" s="5">
        <v>0</v>
      </c>
      <c r="U3867" s="5">
        <v>0</v>
      </c>
      <c r="V3867" s="5">
        <f>VLOOKUP(A3867,Planilha1!B:E,4,0)</f>
        <v>5.8210743907543439</v>
      </c>
    </row>
    <row r="3868" spans="1:22" x14ac:dyDescent="0.3">
      <c r="A3868" t="str">
        <f t="shared" si="120"/>
        <v>DOCE DE LEITEITAMBÉ</v>
      </c>
      <c r="B3868" t="str">
        <f t="shared" si="121"/>
        <v>5130771DOCE DE LEITEITAMBÉ</v>
      </c>
      <c r="C3868" s="5" t="str">
        <f>VLOOKUP(F3868,'[1]DEPARA FOOD'!$B:$M,11,0)</f>
        <v>MAURICIO</v>
      </c>
      <c r="D3868" s="5" t="s">
        <v>17</v>
      </c>
      <c r="E3868" s="5" t="s">
        <v>44</v>
      </c>
      <c r="F3868" s="5">
        <v>5130771</v>
      </c>
      <c r="G3868" s="5" t="s">
        <v>1619</v>
      </c>
      <c r="H3868" s="5" t="s">
        <v>30</v>
      </c>
      <c r="I3868" s="5" t="s">
        <v>27</v>
      </c>
      <c r="J3868" s="5" t="s">
        <v>46</v>
      </c>
      <c r="K3868" s="6">
        <v>0</v>
      </c>
      <c r="L3868" s="7">
        <v>0</v>
      </c>
      <c r="M3868" s="7">
        <v>0</v>
      </c>
      <c r="N3868" s="7">
        <v>0</v>
      </c>
      <c r="O3868" s="8">
        <v>0</v>
      </c>
      <c r="P3868" s="8">
        <v>0</v>
      </c>
      <c r="Q3868" s="8">
        <v>0</v>
      </c>
      <c r="R3868" s="8">
        <v>0</v>
      </c>
      <c r="S3868" s="8">
        <v>0</v>
      </c>
      <c r="T3868" s="5">
        <v>0</v>
      </c>
      <c r="U3868" s="5">
        <v>0</v>
      </c>
      <c r="V3868" s="5">
        <f>VLOOKUP(A3868,Planilha1!B:E,4,0)</f>
        <v>5.8210743907543439</v>
      </c>
    </row>
    <row r="3869" spans="1:22" x14ac:dyDescent="0.3">
      <c r="A3869" t="str">
        <f t="shared" si="120"/>
        <v>DOCE DE LEITEITAMBÉ</v>
      </c>
      <c r="B3869" t="str">
        <f t="shared" si="121"/>
        <v>5133455DOCE DE LEITEITAMBÉ</v>
      </c>
      <c r="C3869" s="5" t="str">
        <f>VLOOKUP(F3869,'[1]DEPARA FOOD'!$B:$M,11,0)</f>
        <v>MAURICIO</v>
      </c>
      <c r="D3869" s="5" t="s">
        <v>17</v>
      </c>
      <c r="E3869" s="5" t="s">
        <v>44</v>
      </c>
      <c r="F3869" s="5">
        <v>5133455</v>
      </c>
      <c r="G3869" s="5" t="s">
        <v>52</v>
      </c>
      <c r="H3869" s="5" t="s">
        <v>25</v>
      </c>
      <c r="I3869" s="5" t="s">
        <v>27</v>
      </c>
      <c r="J3869" s="5" t="s">
        <v>46</v>
      </c>
      <c r="K3869" s="6">
        <v>0</v>
      </c>
      <c r="L3869" s="7">
        <v>0</v>
      </c>
      <c r="M3869" s="7">
        <v>0</v>
      </c>
      <c r="N3869" s="7">
        <v>0</v>
      </c>
      <c r="O3869" s="8">
        <v>0</v>
      </c>
      <c r="P3869" s="8">
        <v>0</v>
      </c>
      <c r="Q3869" s="8">
        <v>0</v>
      </c>
      <c r="R3869" s="8">
        <v>0</v>
      </c>
      <c r="S3869" s="8">
        <v>0</v>
      </c>
      <c r="T3869" s="5">
        <v>0</v>
      </c>
      <c r="U3869" s="5">
        <v>0</v>
      </c>
      <c r="V3869" s="5">
        <f>VLOOKUP(A3869,Planilha1!B:E,4,0)</f>
        <v>5.8210743907543439</v>
      </c>
    </row>
    <row r="3870" spans="1:22" x14ac:dyDescent="0.3">
      <c r="A3870" t="str">
        <f t="shared" si="120"/>
        <v>DOCE DE LEITEITAMBÉ</v>
      </c>
      <c r="B3870" t="str">
        <f t="shared" si="121"/>
        <v>5136048DOCE DE LEITEITAMBÉ</v>
      </c>
      <c r="C3870" s="5" t="str">
        <f>VLOOKUP(F3870,'[1]DEPARA FOOD'!$B:$M,11,0)</f>
        <v>RODRIGO</v>
      </c>
      <c r="D3870" s="5" t="s">
        <v>833</v>
      </c>
      <c r="E3870" s="5" t="s">
        <v>847</v>
      </c>
      <c r="F3870" s="5">
        <v>5136048</v>
      </c>
      <c r="G3870" s="5" t="s">
        <v>1542</v>
      </c>
      <c r="H3870" s="5" t="s">
        <v>1636</v>
      </c>
      <c r="I3870" s="5" t="s">
        <v>27</v>
      </c>
      <c r="J3870" s="5" t="s">
        <v>46</v>
      </c>
      <c r="K3870" s="6">
        <v>0</v>
      </c>
      <c r="L3870" s="7">
        <v>0</v>
      </c>
      <c r="M3870" s="7">
        <v>0</v>
      </c>
      <c r="N3870" s="7">
        <v>0</v>
      </c>
      <c r="O3870" s="8">
        <v>0</v>
      </c>
      <c r="P3870" s="8">
        <v>0</v>
      </c>
      <c r="Q3870" s="8">
        <v>0</v>
      </c>
      <c r="R3870" s="8">
        <v>0</v>
      </c>
      <c r="S3870" s="8">
        <v>0</v>
      </c>
      <c r="T3870" s="5">
        <v>0</v>
      </c>
      <c r="U3870" s="5">
        <v>0</v>
      </c>
      <c r="V3870" s="5">
        <f>VLOOKUP(A3870,Planilha1!B:E,4,0)</f>
        <v>5.8210743907543439</v>
      </c>
    </row>
    <row r="3871" spans="1:22" x14ac:dyDescent="0.3">
      <c r="A3871" t="str">
        <f t="shared" si="120"/>
        <v>DOCE DE LEITEITAMBÉ</v>
      </c>
      <c r="B3871" t="str">
        <f t="shared" si="121"/>
        <v>5139714DOCE DE LEITEITAMBÉ</v>
      </c>
      <c r="C3871" s="5" t="str">
        <f>VLOOKUP(F3871,'[1]DEPARA FOOD'!$B:$M,11,0)</f>
        <v>MAURICIO</v>
      </c>
      <c r="D3871" s="5" t="s">
        <v>17</v>
      </c>
      <c r="E3871" s="5" t="s">
        <v>44</v>
      </c>
      <c r="F3871" s="5">
        <v>5139714</v>
      </c>
      <c r="G3871" s="5" t="s">
        <v>1542</v>
      </c>
      <c r="H3871" s="5" t="s">
        <v>1636</v>
      </c>
      <c r="I3871" s="5" t="s">
        <v>27</v>
      </c>
      <c r="J3871" s="5" t="s">
        <v>46</v>
      </c>
      <c r="K3871" s="6">
        <v>0</v>
      </c>
      <c r="L3871" s="7">
        <v>0</v>
      </c>
      <c r="M3871" s="7">
        <v>0</v>
      </c>
      <c r="N3871" s="7">
        <v>0</v>
      </c>
      <c r="O3871" s="8">
        <v>0</v>
      </c>
      <c r="P3871" s="8">
        <v>0</v>
      </c>
      <c r="Q3871" s="8">
        <v>0</v>
      </c>
      <c r="R3871" s="8">
        <v>0</v>
      </c>
      <c r="S3871" s="8">
        <v>0</v>
      </c>
      <c r="T3871" s="5">
        <v>0</v>
      </c>
      <c r="U3871" s="5">
        <v>0</v>
      </c>
      <c r="V3871" s="5">
        <f>VLOOKUP(A3871,Planilha1!B:E,4,0)</f>
        <v>5.8210743907543439</v>
      </c>
    </row>
    <row r="3872" spans="1:22" x14ac:dyDescent="0.3">
      <c r="A3872" t="str">
        <f t="shared" si="120"/>
        <v>DOCE DE LEITEITAMBÉ</v>
      </c>
      <c r="B3872" t="str">
        <f t="shared" si="121"/>
        <v>5159508DOCE DE LEITEITAMBÉ</v>
      </c>
      <c r="C3872" s="5" t="str">
        <f>VLOOKUP(F3872,'[1]DEPARA FOOD'!$B:$M,11,0)</f>
        <v>RODRIGO</v>
      </c>
      <c r="D3872" s="5" t="s">
        <v>727</v>
      </c>
      <c r="E3872" s="5" t="s">
        <v>733</v>
      </c>
      <c r="F3872" s="5">
        <v>5159508</v>
      </c>
      <c r="G3872" s="5" t="s">
        <v>1542</v>
      </c>
      <c r="H3872" s="5" t="s">
        <v>1636</v>
      </c>
      <c r="I3872" s="5" t="s">
        <v>27</v>
      </c>
      <c r="J3872" s="5" t="s">
        <v>46</v>
      </c>
      <c r="K3872" s="6">
        <v>0</v>
      </c>
      <c r="L3872" s="7">
        <v>0</v>
      </c>
      <c r="M3872" s="7">
        <v>0</v>
      </c>
      <c r="N3872" s="7">
        <v>0</v>
      </c>
      <c r="O3872" s="8">
        <v>0</v>
      </c>
      <c r="P3872" s="8">
        <v>0</v>
      </c>
      <c r="Q3872" s="8">
        <v>0</v>
      </c>
      <c r="R3872" s="8">
        <v>0</v>
      </c>
      <c r="S3872" s="8">
        <v>0</v>
      </c>
      <c r="T3872" s="5">
        <v>0</v>
      </c>
      <c r="U3872" s="5">
        <v>0</v>
      </c>
      <c r="V3872" s="5">
        <f>VLOOKUP(A3872,Planilha1!B:E,4,0)</f>
        <v>5.8210743907543439</v>
      </c>
    </row>
    <row r="3873" spans="1:22" x14ac:dyDescent="0.3">
      <c r="A3873" t="str">
        <f t="shared" si="120"/>
        <v>DOCE DE LEITEITAMBÉ</v>
      </c>
      <c r="B3873" t="str">
        <f t="shared" si="121"/>
        <v>5178343DOCE DE LEITEITAMBÉ</v>
      </c>
      <c r="C3873" s="5" t="str">
        <f>VLOOKUP(F3873,'[1]DEPARA FOOD'!$B:$M,11,0)</f>
        <v>RODRIGO</v>
      </c>
      <c r="D3873" s="5" t="s">
        <v>797</v>
      </c>
      <c r="E3873" s="5" t="s">
        <v>753</v>
      </c>
      <c r="F3873" s="5">
        <v>5178343</v>
      </c>
      <c r="G3873" s="5" t="s">
        <v>1542</v>
      </c>
      <c r="H3873" s="5" t="s">
        <v>1636</v>
      </c>
      <c r="I3873" s="5" t="s">
        <v>27</v>
      </c>
      <c r="J3873" s="5" t="s">
        <v>46</v>
      </c>
      <c r="K3873" s="6">
        <v>0</v>
      </c>
      <c r="L3873" s="7">
        <v>0</v>
      </c>
      <c r="M3873" s="7">
        <v>0</v>
      </c>
      <c r="N3873" s="7">
        <v>0</v>
      </c>
      <c r="O3873" s="8">
        <v>0</v>
      </c>
      <c r="P3873" s="8">
        <v>0</v>
      </c>
      <c r="Q3873" s="8">
        <v>0</v>
      </c>
      <c r="R3873" s="8">
        <v>0</v>
      </c>
      <c r="S3873" s="8">
        <v>0</v>
      </c>
      <c r="T3873" s="5">
        <v>0</v>
      </c>
      <c r="U3873" s="5">
        <v>0</v>
      </c>
      <c r="V3873" s="5">
        <f>VLOOKUP(A3873,Planilha1!B:E,4,0)</f>
        <v>5.8210743907543439</v>
      </c>
    </row>
    <row r="3874" spans="1:22" x14ac:dyDescent="0.3">
      <c r="A3874" t="str">
        <f t="shared" si="120"/>
        <v>DOCE DE LEITEITAMBÉ</v>
      </c>
      <c r="B3874" t="str">
        <f t="shared" si="121"/>
        <v>5186815DOCE DE LEITEITAMBÉ</v>
      </c>
      <c r="C3874" s="5" t="str">
        <f>VLOOKUP(F3874,'[1]DEPARA FOOD'!$B:$M,11,0)</f>
        <v>RODRIGO</v>
      </c>
      <c r="D3874" s="5" t="s">
        <v>752</v>
      </c>
      <c r="E3874" s="5" t="s">
        <v>774</v>
      </c>
      <c r="F3874" s="5">
        <v>5186815</v>
      </c>
      <c r="G3874" s="5" t="s">
        <v>1542</v>
      </c>
      <c r="H3874" s="5" t="s">
        <v>1636</v>
      </c>
      <c r="I3874" s="5" t="s">
        <v>27</v>
      </c>
      <c r="J3874" s="5" t="s">
        <v>46</v>
      </c>
      <c r="K3874" s="6">
        <v>0</v>
      </c>
      <c r="L3874" s="7">
        <v>0</v>
      </c>
      <c r="M3874" s="7">
        <v>0</v>
      </c>
      <c r="N3874" s="7">
        <v>0</v>
      </c>
      <c r="O3874" s="8">
        <v>0</v>
      </c>
      <c r="P3874" s="8">
        <v>0</v>
      </c>
      <c r="Q3874" s="8">
        <v>0</v>
      </c>
      <c r="R3874" s="8">
        <v>0</v>
      </c>
      <c r="S3874" s="8">
        <v>0</v>
      </c>
      <c r="T3874" s="5">
        <v>0</v>
      </c>
      <c r="U3874" s="5">
        <v>0</v>
      </c>
      <c r="V3874" s="5">
        <f>VLOOKUP(A3874,Planilha1!B:E,4,0)</f>
        <v>5.8210743907543439</v>
      </c>
    </row>
    <row r="3875" spans="1:22" x14ac:dyDescent="0.3">
      <c r="A3875" t="str">
        <f t="shared" si="120"/>
        <v>DOCE DE LEITEITAMBÉ</v>
      </c>
      <c r="B3875" t="str">
        <f t="shared" si="121"/>
        <v>5194510DOCE DE LEITEITAMBÉ</v>
      </c>
      <c r="C3875" s="5" t="str">
        <f>VLOOKUP(F3875,'[1]DEPARA FOOD'!$B:$M,11,0)</f>
        <v>RODRIGO</v>
      </c>
      <c r="D3875" s="5" t="s">
        <v>833</v>
      </c>
      <c r="E3875" s="5" t="s">
        <v>852</v>
      </c>
      <c r="F3875" s="5">
        <v>5194510</v>
      </c>
      <c r="G3875" s="5" t="s">
        <v>864</v>
      </c>
      <c r="H3875" s="5" t="s">
        <v>40</v>
      </c>
      <c r="I3875" s="5" t="s">
        <v>27</v>
      </c>
      <c r="J3875" s="5" t="s">
        <v>46</v>
      </c>
      <c r="K3875" s="6">
        <v>0</v>
      </c>
      <c r="L3875" s="7">
        <v>0</v>
      </c>
      <c r="M3875" s="7">
        <v>0</v>
      </c>
      <c r="N3875" s="7">
        <v>0</v>
      </c>
      <c r="O3875" s="8">
        <v>0</v>
      </c>
      <c r="P3875" s="8">
        <v>0</v>
      </c>
      <c r="Q3875" s="8">
        <v>0</v>
      </c>
      <c r="R3875" s="8">
        <v>0</v>
      </c>
      <c r="S3875" s="8">
        <v>0</v>
      </c>
      <c r="T3875" s="5">
        <v>0</v>
      </c>
      <c r="U3875" s="5">
        <v>0</v>
      </c>
      <c r="V3875" s="5">
        <f>VLOOKUP(A3875,Planilha1!B:E,4,0)</f>
        <v>5.8210743907543439</v>
      </c>
    </row>
    <row r="3876" spans="1:22" x14ac:dyDescent="0.3">
      <c r="A3876" t="str">
        <f t="shared" si="120"/>
        <v>DOCE DE LEITEITAMBÉ</v>
      </c>
      <c r="B3876" t="str">
        <f t="shared" si="121"/>
        <v>5198408DOCE DE LEITEITAMBÉ</v>
      </c>
      <c r="C3876" s="5" t="str">
        <f>VLOOKUP(F3876,'[1]DEPARA FOOD'!$B:$M,11,0)</f>
        <v>MAURICIO</v>
      </c>
      <c r="D3876" s="5" t="s">
        <v>17</v>
      </c>
      <c r="E3876" s="5" t="s">
        <v>44</v>
      </c>
      <c r="F3876" s="5">
        <v>5198408</v>
      </c>
      <c r="G3876" s="5" t="s">
        <v>1542</v>
      </c>
      <c r="H3876" s="5" t="s">
        <v>1636</v>
      </c>
      <c r="I3876" s="5" t="s">
        <v>27</v>
      </c>
      <c r="J3876" s="5" t="s">
        <v>46</v>
      </c>
      <c r="K3876" s="6">
        <v>0</v>
      </c>
      <c r="L3876" s="7">
        <v>0</v>
      </c>
      <c r="M3876" s="7">
        <v>0</v>
      </c>
      <c r="N3876" s="7">
        <v>0</v>
      </c>
      <c r="O3876" s="8">
        <v>0</v>
      </c>
      <c r="P3876" s="8">
        <v>0</v>
      </c>
      <c r="Q3876" s="8">
        <v>0</v>
      </c>
      <c r="R3876" s="8">
        <v>0</v>
      </c>
      <c r="S3876" s="8">
        <v>0</v>
      </c>
      <c r="T3876" s="5">
        <v>0</v>
      </c>
      <c r="U3876" s="5">
        <v>0</v>
      </c>
      <c r="V3876" s="5">
        <f>VLOOKUP(A3876,Planilha1!B:E,4,0)</f>
        <v>5.8210743907543439</v>
      </c>
    </row>
    <row r="3877" spans="1:22" x14ac:dyDescent="0.3">
      <c r="A3877" t="str">
        <f t="shared" si="120"/>
        <v>DOCE DE LEITEITAMBÉ</v>
      </c>
      <c r="B3877" t="str">
        <f t="shared" si="121"/>
        <v>5213747DOCE DE LEITEITAMBÉ</v>
      </c>
      <c r="C3877" s="5" t="str">
        <f>VLOOKUP(F3877,'[1]DEPARA FOOD'!$B:$M,11,0)</f>
        <v>MAURICIO</v>
      </c>
      <c r="D3877" s="5" t="s">
        <v>28</v>
      </c>
      <c r="E3877" s="5" t="s">
        <v>23</v>
      </c>
      <c r="F3877" s="5">
        <v>5213747</v>
      </c>
      <c r="G3877" s="5" t="s">
        <v>159</v>
      </c>
      <c r="H3877" s="5" t="s">
        <v>30</v>
      </c>
      <c r="I3877" s="5" t="s">
        <v>27</v>
      </c>
      <c r="J3877" s="5" t="s">
        <v>46</v>
      </c>
      <c r="K3877" s="6">
        <v>0</v>
      </c>
      <c r="L3877" s="7">
        <v>0</v>
      </c>
      <c r="M3877" s="7">
        <v>0</v>
      </c>
      <c r="N3877" s="7">
        <v>0</v>
      </c>
      <c r="O3877" s="8">
        <v>0</v>
      </c>
      <c r="P3877" s="8">
        <v>0</v>
      </c>
      <c r="Q3877" s="8">
        <v>0</v>
      </c>
      <c r="R3877" s="8">
        <v>0</v>
      </c>
      <c r="S3877" s="8">
        <v>0</v>
      </c>
      <c r="T3877" s="5">
        <v>0</v>
      </c>
      <c r="U3877" s="5">
        <v>0</v>
      </c>
      <c r="V3877" s="5">
        <f>VLOOKUP(A3877,Planilha1!B:E,4,0)</f>
        <v>5.8210743907543439</v>
      </c>
    </row>
    <row r="3878" spans="1:22" x14ac:dyDescent="0.3">
      <c r="A3878" t="str">
        <f t="shared" si="120"/>
        <v>DOCE DE LEITEITAMBÉ</v>
      </c>
      <c r="B3878" t="str">
        <f t="shared" si="121"/>
        <v>5214670DOCE DE LEITEITAMBÉ</v>
      </c>
      <c r="C3878" s="5" t="str">
        <f>VLOOKUP(F3878,'[1]DEPARA FOOD'!$B:$M,11,0)</f>
        <v>RODRIGO</v>
      </c>
      <c r="D3878" s="5" t="s">
        <v>797</v>
      </c>
      <c r="E3878" s="5" t="s">
        <v>753</v>
      </c>
      <c r="F3878" s="5">
        <v>5214670</v>
      </c>
      <c r="G3878" s="5" t="s">
        <v>1542</v>
      </c>
      <c r="H3878" s="5" t="s">
        <v>1636</v>
      </c>
      <c r="I3878" s="5" t="s">
        <v>27</v>
      </c>
      <c r="J3878" s="5" t="s">
        <v>46</v>
      </c>
      <c r="K3878" s="6">
        <v>0</v>
      </c>
      <c r="L3878" s="7">
        <v>0</v>
      </c>
      <c r="M3878" s="7">
        <v>0</v>
      </c>
      <c r="N3878" s="7">
        <v>0</v>
      </c>
      <c r="O3878" s="8">
        <v>0</v>
      </c>
      <c r="P3878" s="8">
        <v>0</v>
      </c>
      <c r="Q3878" s="8">
        <v>0</v>
      </c>
      <c r="R3878" s="8">
        <v>0</v>
      </c>
      <c r="S3878" s="8">
        <v>0</v>
      </c>
      <c r="T3878" s="5">
        <v>0</v>
      </c>
      <c r="U3878" s="5">
        <v>0</v>
      </c>
      <c r="V3878" s="5">
        <f>VLOOKUP(A3878,Planilha1!B:E,4,0)</f>
        <v>5.8210743907543439</v>
      </c>
    </row>
    <row r="3879" spans="1:22" x14ac:dyDescent="0.3">
      <c r="A3879" t="str">
        <f t="shared" si="120"/>
        <v>DOCE DE LEITEITAMBÉ</v>
      </c>
      <c r="B3879" t="str">
        <f t="shared" si="121"/>
        <v>5218199DOCE DE LEITEITAMBÉ</v>
      </c>
      <c r="C3879" s="5" t="str">
        <f>VLOOKUP(F3879,'[1]DEPARA FOOD'!$B:$M,11,0)</f>
        <v>RODRIGO</v>
      </c>
      <c r="D3879" s="5" t="s">
        <v>833</v>
      </c>
      <c r="E3879" s="5" t="s">
        <v>852</v>
      </c>
      <c r="F3879" s="5">
        <v>5218199</v>
      </c>
      <c r="G3879" s="5" t="s">
        <v>865</v>
      </c>
      <c r="H3879" s="5" t="s">
        <v>40</v>
      </c>
      <c r="I3879" s="5" t="s">
        <v>27</v>
      </c>
      <c r="J3879" s="5" t="s">
        <v>46</v>
      </c>
      <c r="K3879" s="6">
        <v>0</v>
      </c>
      <c r="L3879" s="7">
        <v>0</v>
      </c>
      <c r="M3879" s="7">
        <v>0</v>
      </c>
      <c r="N3879" s="7">
        <v>0</v>
      </c>
      <c r="O3879" s="8">
        <v>0</v>
      </c>
      <c r="P3879" s="8">
        <v>0</v>
      </c>
      <c r="Q3879" s="8">
        <v>0</v>
      </c>
      <c r="R3879" s="8">
        <v>0</v>
      </c>
      <c r="S3879" s="8">
        <v>0</v>
      </c>
      <c r="T3879" s="5">
        <v>0</v>
      </c>
      <c r="U3879" s="5">
        <v>0</v>
      </c>
      <c r="V3879" s="5">
        <f>VLOOKUP(A3879,Planilha1!B:E,4,0)</f>
        <v>5.8210743907543439</v>
      </c>
    </row>
    <row r="3880" spans="1:22" x14ac:dyDescent="0.3">
      <c r="A3880" t="str">
        <f t="shared" si="120"/>
        <v>DOCE DE LEITEITAMBÉ</v>
      </c>
      <c r="B3880" t="str">
        <f t="shared" si="121"/>
        <v>5227253DOCE DE LEITEITAMBÉ</v>
      </c>
      <c r="C3880" s="5" t="str">
        <f>VLOOKUP(F3880,'[1]DEPARA FOOD'!$B:$M,11,0)</f>
        <v>PEDRO</v>
      </c>
      <c r="D3880" s="5" t="s">
        <v>210</v>
      </c>
      <c r="E3880" s="5" t="s">
        <v>210</v>
      </c>
      <c r="F3880" s="5">
        <v>5227253</v>
      </c>
      <c r="G3880" s="5" t="s">
        <v>218</v>
      </c>
      <c r="H3880" s="5" t="s">
        <v>30</v>
      </c>
      <c r="I3880" s="5" t="s">
        <v>27</v>
      </c>
      <c r="J3880" s="5" t="s">
        <v>46</v>
      </c>
      <c r="K3880" s="6">
        <v>0</v>
      </c>
      <c r="L3880" s="7">
        <v>0</v>
      </c>
      <c r="M3880" s="7">
        <v>0</v>
      </c>
      <c r="N3880" s="7">
        <v>0</v>
      </c>
      <c r="O3880" s="8">
        <v>0</v>
      </c>
      <c r="P3880" s="8">
        <v>0</v>
      </c>
      <c r="Q3880" s="8">
        <v>0</v>
      </c>
      <c r="R3880" s="8">
        <v>0</v>
      </c>
      <c r="S3880" s="8">
        <v>0</v>
      </c>
      <c r="T3880" s="5">
        <v>0</v>
      </c>
      <c r="U3880" s="5">
        <v>0</v>
      </c>
      <c r="V3880" s="5">
        <f>VLOOKUP(A3880,Planilha1!B:E,4,0)</f>
        <v>5.8210743907543439</v>
      </c>
    </row>
    <row r="3881" spans="1:22" x14ac:dyDescent="0.3">
      <c r="A3881" t="str">
        <f t="shared" si="120"/>
        <v>DOCE DE LEITEITAMBÉ</v>
      </c>
      <c r="B3881" t="str">
        <f t="shared" si="121"/>
        <v>5230508DOCE DE LEITEITAMBÉ</v>
      </c>
      <c r="C3881" s="5" t="str">
        <f>VLOOKUP(F3881,'[1]DEPARA FOOD'!$B:$M,11,0)</f>
        <v>RODRIGO</v>
      </c>
      <c r="D3881" s="5" t="s">
        <v>833</v>
      </c>
      <c r="E3881" s="5" t="s">
        <v>875</v>
      </c>
      <c r="F3881" s="5">
        <v>5230508</v>
      </c>
      <c r="G3881" s="5" t="s">
        <v>891</v>
      </c>
      <c r="H3881" s="5" t="s">
        <v>91</v>
      </c>
      <c r="I3881" s="5" t="s">
        <v>27</v>
      </c>
      <c r="J3881" s="5" t="s">
        <v>46</v>
      </c>
      <c r="K3881" s="6">
        <v>0</v>
      </c>
      <c r="L3881" s="7">
        <v>0</v>
      </c>
      <c r="M3881" s="7">
        <v>0</v>
      </c>
      <c r="N3881" s="7">
        <v>0</v>
      </c>
      <c r="O3881" s="8">
        <v>0</v>
      </c>
      <c r="P3881" s="8">
        <v>0</v>
      </c>
      <c r="Q3881" s="8">
        <v>0</v>
      </c>
      <c r="R3881" s="8">
        <v>0</v>
      </c>
      <c r="S3881" s="8">
        <v>0</v>
      </c>
      <c r="T3881" s="5">
        <v>0</v>
      </c>
      <c r="U3881" s="5">
        <v>0</v>
      </c>
      <c r="V3881" s="5">
        <f>VLOOKUP(A3881,Planilha1!B:E,4,0)</f>
        <v>5.8210743907543439</v>
      </c>
    </row>
    <row r="3882" spans="1:22" x14ac:dyDescent="0.3">
      <c r="A3882" t="str">
        <f t="shared" si="120"/>
        <v>DOCE DE LEITEITAMBÉ</v>
      </c>
      <c r="B3882" t="str">
        <f t="shared" si="121"/>
        <v>5256539DOCE DE LEITEITAMBÉ</v>
      </c>
      <c r="C3882" s="5" t="str">
        <f>VLOOKUP(F3882,'[1]DEPARA FOOD'!$B:$M,11,0)</f>
        <v>PEDRO</v>
      </c>
      <c r="D3882" s="5" t="s">
        <v>150</v>
      </c>
      <c r="E3882" s="5" t="s">
        <v>186</v>
      </c>
      <c r="F3882" s="5">
        <v>5256539</v>
      </c>
      <c r="G3882" s="5" t="s">
        <v>193</v>
      </c>
      <c r="H3882" s="5" t="s">
        <v>154</v>
      </c>
      <c r="I3882" s="5" t="s">
        <v>27</v>
      </c>
      <c r="J3882" s="5" t="s">
        <v>46</v>
      </c>
      <c r="K3882" s="6">
        <v>0</v>
      </c>
      <c r="L3882" s="7">
        <v>0</v>
      </c>
      <c r="M3882" s="7">
        <v>0</v>
      </c>
      <c r="N3882" s="7">
        <v>0</v>
      </c>
      <c r="O3882" s="8">
        <v>0</v>
      </c>
      <c r="P3882" s="8">
        <v>0</v>
      </c>
      <c r="Q3882" s="8">
        <v>0</v>
      </c>
      <c r="R3882" s="8">
        <v>0</v>
      </c>
      <c r="S3882" s="8">
        <v>0</v>
      </c>
      <c r="T3882" s="5">
        <v>0</v>
      </c>
      <c r="U3882" s="5">
        <v>0</v>
      </c>
      <c r="V3882" s="5">
        <f>VLOOKUP(A3882,Planilha1!B:E,4,0)</f>
        <v>5.8210743907543439</v>
      </c>
    </row>
    <row r="3883" spans="1:22" x14ac:dyDescent="0.3">
      <c r="A3883" t="str">
        <f t="shared" si="120"/>
        <v>DOCE DE LEITEITAMBÉ</v>
      </c>
      <c r="B3883" t="str">
        <f t="shared" si="121"/>
        <v>5302744DOCE DE LEITEITAMBÉ</v>
      </c>
      <c r="C3883" s="5" t="str">
        <f>VLOOKUP(F3883,'[1]DEPARA FOOD'!$B:$M,11,0)</f>
        <v>RODRIGO</v>
      </c>
      <c r="D3883" s="5" t="s">
        <v>227</v>
      </c>
      <c r="E3883" s="5" t="s">
        <v>703</v>
      </c>
      <c r="F3883" s="5">
        <v>5302744</v>
      </c>
      <c r="G3883" s="5" t="s">
        <v>1542</v>
      </c>
      <c r="H3883" s="5" t="s">
        <v>1636</v>
      </c>
      <c r="I3883" s="5" t="s">
        <v>27</v>
      </c>
      <c r="J3883" s="5" t="s">
        <v>46</v>
      </c>
      <c r="K3883" s="6">
        <v>0</v>
      </c>
      <c r="L3883" s="7">
        <v>0</v>
      </c>
      <c r="M3883" s="7">
        <v>0</v>
      </c>
      <c r="N3883" s="7">
        <v>0</v>
      </c>
      <c r="O3883" s="8">
        <v>0</v>
      </c>
      <c r="P3883" s="8">
        <v>0</v>
      </c>
      <c r="Q3883" s="8">
        <v>0</v>
      </c>
      <c r="R3883" s="8">
        <v>0</v>
      </c>
      <c r="S3883" s="8">
        <v>0</v>
      </c>
      <c r="T3883" s="5">
        <v>0</v>
      </c>
      <c r="U3883" s="5">
        <v>0</v>
      </c>
      <c r="V3883" s="5">
        <f>VLOOKUP(A3883,Planilha1!B:E,4,0)</f>
        <v>5.8210743907543439</v>
      </c>
    </row>
    <row r="3884" spans="1:22" x14ac:dyDescent="0.3">
      <c r="A3884" t="str">
        <f t="shared" si="120"/>
        <v>DOCE DE LEITEITAMBÉ</v>
      </c>
      <c r="B3884" t="str">
        <f t="shared" si="121"/>
        <v>5316368DOCE DE LEITEITAMBÉ</v>
      </c>
      <c r="C3884" s="5" t="str">
        <f>VLOOKUP(F3884,'[1]DEPARA FOOD'!$B:$M,11,0)</f>
        <v>RODRIGO</v>
      </c>
      <c r="D3884" s="5" t="s">
        <v>833</v>
      </c>
      <c r="E3884" s="5" t="s">
        <v>852</v>
      </c>
      <c r="F3884" s="5">
        <v>5316368</v>
      </c>
      <c r="G3884" s="5" t="s">
        <v>873</v>
      </c>
      <c r="H3884" s="5" t="s">
        <v>40</v>
      </c>
      <c r="I3884" s="5" t="s">
        <v>27</v>
      </c>
      <c r="J3884" s="5" t="s">
        <v>46</v>
      </c>
      <c r="K3884" s="6">
        <v>0</v>
      </c>
      <c r="L3884" s="7">
        <v>0</v>
      </c>
      <c r="M3884" s="7">
        <v>0</v>
      </c>
      <c r="N3884" s="7">
        <v>0</v>
      </c>
      <c r="O3884" s="8">
        <v>0</v>
      </c>
      <c r="P3884" s="8">
        <v>0</v>
      </c>
      <c r="Q3884" s="8">
        <v>0</v>
      </c>
      <c r="R3884" s="8">
        <v>0</v>
      </c>
      <c r="S3884" s="8">
        <v>0</v>
      </c>
      <c r="T3884" s="5">
        <v>0</v>
      </c>
      <c r="U3884" s="5">
        <v>0</v>
      </c>
      <c r="V3884" s="5">
        <f>VLOOKUP(A3884,Planilha1!B:E,4,0)</f>
        <v>5.8210743907543439</v>
      </c>
    </row>
    <row r="3885" spans="1:22" x14ac:dyDescent="0.3">
      <c r="A3885" t="str">
        <f t="shared" si="120"/>
        <v>DOCE DE LEITEITAMBÉ</v>
      </c>
      <c r="B3885" t="str">
        <f t="shared" si="121"/>
        <v>5324461DOCE DE LEITEITAMBÉ</v>
      </c>
      <c r="C3885" s="5" t="str">
        <f>VLOOKUP(F3885,'[1]DEPARA FOOD'!$B:$M,11,0)</f>
        <v>PEDRO</v>
      </c>
      <c r="D3885" s="5" t="s">
        <v>210</v>
      </c>
      <c r="E3885" s="5" t="s">
        <v>210</v>
      </c>
      <c r="F3885" s="5">
        <v>5324461</v>
      </c>
      <c r="G3885" s="5" t="s">
        <v>1542</v>
      </c>
      <c r="H3885" s="5" t="s">
        <v>1636</v>
      </c>
      <c r="I3885" s="5" t="s">
        <v>27</v>
      </c>
      <c r="J3885" s="5" t="s">
        <v>46</v>
      </c>
      <c r="K3885" s="6">
        <v>0</v>
      </c>
      <c r="L3885" s="7">
        <v>0</v>
      </c>
      <c r="M3885" s="7">
        <v>0</v>
      </c>
      <c r="N3885" s="7">
        <v>0</v>
      </c>
      <c r="O3885" s="8">
        <v>0</v>
      </c>
      <c r="P3885" s="8">
        <v>0</v>
      </c>
      <c r="Q3885" s="8">
        <v>0</v>
      </c>
      <c r="R3885" s="8">
        <v>0</v>
      </c>
      <c r="S3885" s="8">
        <v>0</v>
      </c>
      <c r="T3885" s="5">
        <v>0</v>
      </c>
      <c r="U3885" s="5">
        <v>0</v>
      </c>
      <c r="V3885" s="5">
        <f>VLOOKUP(A3885,Planilha1!B:E,4,0)</f>
        <v>5.8210743907543439</v>
      </c>
    </row>
    <row r="3886" spans="1:22" x14ac:dyDescent="0.3">
      <c r="A3886" t="str">
        <f t="shared" si="120"/>
        <v>DOCE DE LEITEITAMBÉ</v>
      </c>
      <c r="B3886" t="str">
        <f t="shared" si="121"/>
        <v>5338420DOCE DE LEITEITAMBÉ</v>
      </c>
      <c r="C3886" s="5" t="str">
        <f>VLOOKUP(F3886,'[1]DEPARA FOOD'!$B:$M,11,0)</f>
        <v>MAURICIO</v>
      </c>
      <c r="D3886" s="5" t="s">
        <v>17</v>
      </c>
      <c r="E3886" s="5" t="s">
        <v>44</v>
      </c>
      <c r="F3886" s="5">
        <v>5338420</v>
      </c>
      <c r="G3886" s="5" t="s">
        <v>1542</v>
      </c>
      <c r="H3886" s="5" t="s">
        <v>1636</v>
      </c>
      <c r="I3886" s="5" t="s">
        <v>27</v>
      </c>
      <c r="J3886" s="5" t="s">
        <v>46</v>
      </c>
      <c r="K3886" s="6">
        <v>0</v>
      </c>
      <c r="L3886" s="7">
        <v>0</v>
      </c>
      <c r="M3886" s="7">
        <v>0</v>
      </c>
      <c r="N3886" s="7">
        <v>0</v>
      </c>
      <c r="O3886" s="8">
        <v>0</v>
      </c>
      <c r="P3886" s="8">
        <v>0</v>
      </c>
      <c r="Q3886" s="8">
        <v>0</v>
      </c>
      <c r="R3886" s="8">
        <v>0</v>
      </c>
      <c r="S3886" s="8">
        <v>0</v>
      </c>
      <c r="T3886" s="5">
        <v>0</v>
      </c>
      <c r="U3886" s="5">
        <v>0</v>
      </c>
      <c r="V3886" s="5">
        <f>VLOOKUP(A3886,Planilha1!B:E,4,0)</f>
        <v>5.8210743907543439</v>
      </c>
    </row>
    <row r="3887" spans="1:22" x14ac:dyDescent="0.3">
      <c r="A3887" t="str">
        <f t="shared" si="120"/>
        <v>DOCE DE LEITEITAMBÉ</v>
      </c>
      <c r="B3887" t="str">
        <f t="shared" si="121"/>
        <v>5348916DOCE DE LEITEITAMBÉ</v>
      </c>
      <c r="C3887" s="5" t="str">
        <f>VLOOKUP(F3887,'[1]DEPARA FOOD'!$B:$M,11,0)</f>
        <v>MAURICIO</v>
      </c>
      <c r="D3887" s="5" t="s">
        <v>28</v>
      </c>
      <c r="E3887" s="5" t="s">
        <v>23</v>
      </c>
      <c r="F3887" s="5">
        <v>5348916</v>
      </c>
      <c r="G3887" s="5" t="s">
        <v>1542</v>
      </c>
      <c r="H3887" s="5" t="s">
        <v>1636</v>
      </c>
      <c r="I3887" s="5" t="s">
        <v>27</v>
      </c>
      <c r="J3887" s="5" t="s">
        <v>46</v>
      </c>
      <c r="K3887" s="6">
        <v>0</v>
      </c>
      <c r="L3887" s="7">
        <v>0</v>
      </c>
      <c r="M3887" s="7">
        <v>0</v>
      </c>
      <c r="N3887" s="7">
        <v>0</v>
      </c>
      <c r="O3887" s="8">
        <v>0</v>
      </c>
      <c r="P3887" s="8">
        <v>0</v>
      </c>
      <c r="Q3887" s="8">
        <v>0</v>
      </c>
      <c r="R3887" s="8">
        <v>0</v>
      </c>
      <c r="S3887" s="8">
        <v>0</v>
      </c>
      <c r="T3887" s="5">
        <v>0</v>
      </c>
      <c r="U3887" s="5">
        <v>0</v>
      </c>
      <c r="V3887" s="5">
        <f>VLOOKUP(A3887,Planilha1!B:E,4,0)</f>
        <v>5.8210743907543439</v>
      </c>
    </row>
    <row r="3888" spans="1:22" x14ac:dyDescent="0.3">
      <c r="A3888" t="str">
        <f t="shared" si="120"/>
        <v>DOCE DE LEITEITAMBÉ</v>
      </c>
      <c r="B3888" t="str">
        <f t="shared" si="121"/>
        <v>5353215DOCE DE LEITEITAMBÉ</v>
      </c>
      <c r="C3888" s="5" t="str">
        <f>VLOOKUP(F3888,'[1]DEPARA FOOD'!$B:$M,11,0)</f>
        <v>MAURICIO</v>
      </c>
      <c r="D3888" s="5" t="s">
        <v>17</v>
      </c>
      <c r="E3888" s="5" t="s">
        <v>44</v>
      </c>
      <c r="F3888" s="5">
        <v>5353215</v>
      </c>
      <c r="G3888" s="5" t="s">
        <v>1542</v>
      </c>
      <c r="H3888" s="5" t="s">
        <v>1636</v>
      </c>
      <c r="I3888" s="5" t="s">
        <v>27</v>
      </c>
      <c r="J3888" s="5" t="s">
        <v>46</v>
      </c>
      <c r="K3888" s="6">
        <v>0</v>
      </c>
      <c r="L3888" s="7">
        <v>0</v>
      </c>
      <c r="M3888" s="7">
        <v>0</v>
      </c>
      <c r="N3888" s="7">
        <v>0</v>
      </c>
      <c r="O3888" s="8">
        <v>0</v>
      </c>
      <c r="P3888" s="8">
        <v>0</v>
      </c>
      <c r="Q3888" s="8">
        <v>0</v>
      </c>
      <c r="R3888" s="8">
        <v>0</v>
      </c>
      <c r="S3888" s="8">
        <v>0</v>
      </c>
      <c r="T3888" s="5">
        <v>0</v>
      </c>
      <c r="U3888" s="5">
        <v>0</v>
      </c>
      <c r="V3888" s="5">
        <f>VLOOKUP(A3888,Planilha1!B:E,4,0)</f>
        <v>5.8210743907543439</v>
      </c>
    </row>
    <row r="3889" spans="1:22" x14ac:dyDescent="0.3">
      <c r="A3889" t="str">
        <f t="shared" si="120"/>
        <v>DOCE DE LEITEITAMBÉ</v>
      </c>
      <c r="B3889" t="str">
        <f t="shared" si="121"/>
        <v>5355742DOCE DE LEITEITAMBÉ</v>
      </c>
      <c r="C3889" s="5" t="str">
        <f>VLOOKUP(F3889,'[1]DEPARA FOOD'!$B:$M,11,0)</f>
        <v>MAURICIO</v>
      </c>
      <c r="D3889" s="5" t="s">
        <v>28</v>
      </c>
      <c r="E3889" s="5" t="s">
        <v>23</v>
      </c>
      <c r="F3889" s="5">
        <v>5355742</v>
      </c>
      <c r="G3889" s="5" t="s">
        <v>163</v>
      </c>
      <c r="H3889" s="5" t="s">
        <v>25</v>
      </c>
      <c r="I3889" s="5" t="s">
        <v>27</v>
      </c>
      <c r="J3889" s="5" t="s">
        <v>46</v>
      </c>
      <c r="K3889" s="6">
        <v>0</v>
      </c>
      <c r="L3889" s="7">
        <v>0</v>
      </c>
      <c r="M3889" s="7">
        <v>0</v>
      </c>
      <c r="N3889" s="7">
        <v>0</v>
      </c>
      <c r="O3889" s="8">
        <v>0</v>
      </c>
      <c r="P3889" s="8">
        <v>0</v>
      </c>
      <c r="Q3889" s="8">
        <v>0</v>
      </c>
      <c r="R3889" s="8">
        <v>0</v>
      </c>
      <c r="S3889" s="8">
        <v>0</v>
      </c>
      <c r="T3889" s="5">
        <v>0</v>
      </c>
      <c r="U3889" s="5">
        <v>0</v>
      </c>
      <c r="V3889" s="5">
        <f>VLOOKUP(A3889,Planilha1!B:E,4,0)</f>
        <v>5.8210743907543439</v>
      </c>
    </row>
    <row r="3890" spans="1:22" x14ac:dyDescent="0.3">
      <c r="A3890" t="str">
        <f t="shared" si="120"/>
        <v>DOCE DE LEITEITAMBÉ</v>
      </c>
      <c r="B3890" t="str">
        <f t="shared" si="121"/>
        <v>5356025DOCE DE LEITEITAMBÉ</v>
      </c>
      <c r="C3890" s="5" t="str">
        <f>VLOOKUP(F3890,'[1]DEPARA FOOD'!$B:$M,11,0)</f>
        <v>MAURICIO</v>
      </c>
      <c r="D3890" s="5" t="s">
        <v>28</v>
      </c>
      <c r="E3890" s="5" t="s">
        <v>28</v>
      </c>
      <c r="F3890" s="5">
        <v>5356025</v>
      </c>
      <c r="G3890" s="5" t="s">
        <v>185</v>
      </c>
      <c r="H3890" s="5" t="s">
        <v>30</v>
      </c>
      <c r="I3890" s="5" t="s">
        <v>27</v>
      </c>
      <c r="J3890" s="5" t="s">
        <v>46</v>
      </c>
      <c r="K3890" s="6">
        <v>0</v>
      </c>
      <c r="L3890" s="7">
        <v>0</v>
      </c>
      <c r="M3890" s="7">
        <v>0</v>
      </c>
      <c r="N3890" s="7">
        <v>0</v>
      </c>
      <c r="O3890" s="8">
        <v>0</v>
      </c>
      <c r="P3890" s="8">
        <v>0</v>
      </c>
      <c r="Q3890" s="8">
        <v>0</v>
      </c>
      <c r="R3890" s="8">
        <v>0</v>
      </c>
      <c r="S3890" s="8">
        <v>0</v>
      </c>
      <c r="T3890" s="5">
        <v>0</v>
      </c>
      <c r="U3890" s="5">
        <v>0</v>
      </c>
      <c r="V3890" s="5">
        <f>VLOOKUP(A3890,Planilha1!B:E,4,0)</f>
        <v>5.8210743907543439</v>
      </c>
    </row>
    <row r="3891" spans="1:22" x14ac:dyDescent="0.3">
      <c r="A3891" t="str">
        <f t="shared" si="120"/>
        <v>IOGURTESITAMBÉ</v>
      </c>
      <c r="B3891" t="str">
        <f t="shared" si="121"/>
        <v>5026400IOGURTESITAMBÉ</v>
      </c>
      <c r="C3891" s="5" t="str">
        <f>VLOOKUP(F3891,'[1]DEPARA FOOD'!$B:$M,11,0)</f>
        <v>RODRIGO</v>
      </c>
      <c r="D3891" s="5" t="s">
        <v>903</v>
      </c>
      <c r="E3891" s="5" t="s">
        <v>904</v>
      </c>
      <c r="F3891" s="5">
        <v>5026400</v>
      </c>
      <c r="G3891" s="5" t="s">
        <v>1542</v>
      </c>
      <c r="H3891" s="5" t="s">
        <v>1636</v>
      </c>
      <c r="I3891" s="5" t="s">
        <v>27</v>
      </c>
      <c r="J3891" s="5" t="s">
        <v>153</v>
      </c>
      <c r="K3891" s="6">
        <v>0</v>
      </c>
      <c r="L3891" s="7">
        <v>0</v>
      </c>
      <c r="M3891" s="7">
        <v>0</v>
      </c>
      <c r="N3891" s="7">
        <v>0</v>
      </c>
      <c r="O3891" s="8">
        <v>0</v>
      </c>
      <c r="P3891" s="8">
        <v>0</v>
      </c>
      <c r="Q3891" s="8">
        <v>0</v>
      </c>
      <c r="R3891" s="8">
        <v>0</v>
      </c>
      <c r="S3891" s="8">
        <v>0</v>
      </c>
      <c r="T3891" s="5">
        <v>0</v>
      </c>
      <c r="U3891" s="5">
        <v>0</v>
      </c>
      <c r="V3891" s="5">
        <f>VLOOKUP(A3891,Planilha1!B:E,4,0)</f>
        <v>3.2554443184120534</v>
      </c>
    </row>
    <row r="3892" spans="1:22" x14ac:dyDescent="0.3">
      <c r="A3892" t="str">
        <f t="shared" si="120"/>
        <v>IOGURTESITAMBÉ</v>
      </c>
      <c r="B3892" t="str">
        <f t="shared" si="121"/>
        <v>5114387IOGURTESITAMBÉ</v>
      </c>
      <c r="C3892" s="5" t="str">
        <f>VLOOKUP(F3892,'[1]DEPARA FOOD'!$B:$M,11,0)</f>
        <v>MAURICIO</v>
      </c>
      <c r="D3892" s="5" t="s">
        <v>17</v>
      </c>
      <c r="E3892" s="5" t="s">
        <v>44</v>
      </c>
      <c r="F3892" s="5">
        <v>5114387</v>
      </c>
      <c r="G3892" s="5" t="s">
        <v>50</v>
      </c>
      <c r="H3892" s="5" t="s">
        <v>30</v>
      </c>
      <c r="I3892" s="5" t="s">
        <v>27</v>
      </c>
      <c r="J3892" s="5" t="s">
        <v>153</v>
      </c>
      <c r="K3892" s="6">
        <v>0</v>
      </c>
      <c r="L3892" s="7">
        <v>0</v>
      </c>
      <c r="M3892" s="7">
        <v>0</v>
      </c>
      <c r="N3892" s="7">
        <v>0</v>
      </c>
      <c r="O3892" s="8">
        <v>0</v>
      </c>
      <c r="P3892" s="8">
        <v>0</v>
      </c>
      <c r="Q3892" s="8">
        <v>0</v>
      </c>
      <c r="R3892" s="8">
        <v>0</v>
      </c>
      <c r="S3892" s="8">
        <v>0</v>
      </c>
      <c r="T3892" s="5">
        <v>0</v>
      </c>
      <c r="U3892" s="5">
        <v>0</v>
      </c>
      <c r="V3892" s="5">
        <f>VLOOKUP(A3892,Planilha1!B:E,4,0)</f>
        <v>3.2554443184120534</v>
      </c>
    </row>
    <row r="3893" spans="1:22" x14ac:dyDescent="0.3">
      <c r="A3893" t="str">
        <f t="shared" si="120"/>
        <v>LEITE CONDENSADOITAMBÉ</v>
      </c>
      <c r="B3893" t="str">
        <f t="shared" si="121"/>
        <v>5009420LEITE CONDENSADOITAMBÉ</v>
      </c>
      <c r="C3893" s="5" t="str">
        <f>VLOOKUP(F3893,'[1]DEPARA FOOD'!$B:$M,11,0)</f>
        <v>MAURICIO</v>
      </c>
      <c r="D3893" s="5" t="s">
        <v>17</v>
      </c>
      <c r="E3893" s="5" t="s">
        <v>44</v>
      </c>
      <c r="F3893" s="5">
        <v>5009420</v>
      </c>
      <c r="G3893" s="5" t="s">
        <v>1542</v>
      </c>
      <c r="H3893" s="5" t="s">
        <v>1636</v>
      </c>
      <c r="I3893" s="5" t="s">
        <v>27</v>
      </c>
      <c r="J3893" s="5" t="s">
        <v>33</v>
      </c>
      <c r="K3893" s="6">
        <v>0</v>
      </c>
      <c r="L3893" s="7">
        <v>0</v>
      </c>
      <c r="M3893" s="7">
        <v>0</v>
      </c>
      <c r="N3893" s="7">
        <v>0</v>
      </c>
      <c r="O3893" s="8">
        <v>0</v>
      </c>
      <c r="P3893" s="8">
        <v>0</v>
      </c>
      <c r="Q3893" s="8">
        <v>0</v>
      </c>
      <c r="R3893" s="8">
        <v>0</v>
      </c>
      <c r="S3893" s="8">
        <v>0</v>
      </c>
      <c r="T3893" s="5">
        <v>0</v>
      </c>
      <c r="U3893" s="5">
        <v>0</v>
      </c>
      <c r="V3893" s="5">
        <f>VLOOKUP(A3893,Planilha1!B:E,4,0)</f>
        <v>1.4766792698630664</v>
      </c>
    </row>
    <row r="3894" spans="1:22" x14ac:dyDescent="0.3">
      <c r="A3894" t="str">
        <f t="shared" si="120"/>
        <v>LEITE CONDENSADOITAMBÉ</v>
      </c>
      <c r="B3894" t="str">
        <f t="shared" si="121"/>
        <v>5016060LEITE CONDENSADOITAMBÉ</v>
      </c>
      <c r="C3894" s="5" t="str">
        <f>VLOOKUP(F3894,'[1]DEPARA FOOD'!$B:$M,11,0)</f>
        <v>RODRIGO</v>
      </c>
      <c r="D3894" s="5" t="s">
        <v>727</v>
      </c>
      <c r="E3894" s="5" t="s">
        <v>733</v>
      </c>
      <c r="F3894" s="5">
        <v>5016060</v>
      </c>
      <c r="G3894" s="5" t="s">
        <v>737</v>
      </c>
      <c r="H3894" s="5" t="s">
        <v>25</v>
      </c>
      <c r="I3894" s="5" t="s">
        <v>27</v>
      </c>
      <c r="J3894" s="5" t="s">
        <v>33</v>
      </c>
      <c r="K3894" s="6">
        <v>0</v>
      </c>
      <c r="L3894" s="7">
        <v>0</v>
      </c>
      <c r="M3894" s="7">
        <v>0</v>
      </c>
      <c r="N3894" s="7">
        <v>0</v>
      </c>
      <c r="O3894" s="8">
        <v>0</v>
      </c>
      <c r="P3894" s="8">
        <v>0</v>
      </c>
      <c r="Q3894" s="8">
        <v>0</v>
      </c>
      <c r="R3894" s="8">
        <v>0</v>
      </c>
      <c r="S3894" s="8">
        <v>0</v>
      </c>
      <c r="T3894" s="5">
        <v>0</v>
      </c>
      <c r="U3894" s="5">
        <v>0</v>
      </c>
      <c r="V3894" s="5">
        <f>VLOOKUP(A3894,Planilha1!B:E,4,0)</f>
        <v>1.4766792698630664</v>
      </c>
    </row>
    <row r="3895" spans="1:22" x14ac:dyDescent="0.3">
      <c r="A3895" t="str">
        <f t="shared" si="120"/>
        <v>LEITE CONDENSADOITAMBÉ</v>
      </c>
      <c r="B3895" t="str">
        <f t="shared" si="121"/>
        <v>5041698LEITE CONDENSADOITAMBÉ</v>
      </c>
      <c r="C3895" s="5" t="str">
        <f>VLOOKUP(F3895,'[1]DEPARA FOOD'!$B:$M,11,0)</f>
        <v>MAURICIO</v>
      </c>
      <c r="D3895" s="5" t="s">
        <v>17</v>
      </c>
      <c r="E3895" s="5" t="s">
        <v>44</v>
      </c>
      <c r="F3895" s="5">
        <v>5041698</v>
      </c>
      <c r="G3895" s="5" t="s">
        <v>1542</v>
      </c>
      <c r="H3895" s="5" t="s">
        <v>1636</v>
      </c>
      <c r="I3895" s="5" t="s">
        <v>27</v>
      </c>
      <c r="J3895" s="5" t="s">
        <v>33</v>
      </c>
      <c r="K3895" s="6">
        <v>0</v>
      </c>
      <c r="L3895" s="7">
        <v>0</v>
      </c>
      <c r="M3895" s="7">
        <v>0</v>
      </c>
      <c r="N3895" s="7">
        <v>0</v>
      </c>
      <c r="O3895" s="8">
        <v>0</v>
      </c>
      <c r="P3895" s="8">
        <v>0</v>
      </c>
      <c r="Q3895" s="8">
        <v>0</v>
      </c>
      <c r="R3895" s="8">
        <v>0</v>
      </c>
      <c r="S3895" s="8">
        <v>0</v>
      </c>
      <c r="T3895" s="5">
        <v>0</v>
      </c>
      <c r="U3895" s="5">
        <v>0</v>
      </c>
      <c r="V3895" s="5">
        <f>VLOOKUP(A3895,Planilha1!B:E,4,0)</f>
        <v>1.4766792698630664</v>
      </c>
    </row>
    <row r="3896" spans="1:22" x14ac:dyDescent="0.3">
      <c r="A3896" t="str">
        <f t="shared" si="120"/>
        <v>LEITE CONDENSADOITAMBÉ</v>
      </c>
      <c r="B3896" t="str">
        <f t="shared" si="121"/>
        <v>5044511LEITE CONDENSADOITAMBÉ</v>
      </c>
      <c r="C3896" s="5" t="str">
        <f>VLOOKUP(F3896,'[1]DEPARA FOOD'!$B:$M,11,0)</f>
        <v>MAURICIO</v>
      </c>
      <c r="D3896" s="5" t="s">
        <v>17</v>
      </c>
      <c r="E3896" s="5" t="s">
        <v>44</v>
      </c>
      <c r="F3896" s="5">
        <v>5044511</v>
      </c>
      <c r="G3896" s="5" t="s">
        <v>49</v>
      </c>
      <c r="H3896" s="5" t="s">
        <v>25</v>
      </c>
      <c r="I3896" s="5" t="s">
        <v>27</v>
      </c>
      <c r="J3896" s="5" t="s">
        <v>33</v>
      </c>
      <c r="K3896" s="6">
        <v>0</v>
      </c>
      <c r="L3896" s="7">
        <v>0</v>
      </c>
      <c r="M3896" s="7">
        <v>0</v>
      </c>
      <c r="N3896" s="7">
        <v>0</v>
      </c>
      <c r="O3896" s="8">
        <v>0</v>
      </c>
      <c r="P3896" s="8">
        <v>0</v>
      </c>
      <c r="Q3896" s="8">
        <v>0</v>
      </c>
      <c r="R3896" s="8">
        <v>0</v>
      </c>
      <c r="S3896" s="8">
        <v>0</v>
      </c>
      <c r="T3896" s="5">
        <v>0</v>
      </c>
      <c r="U3896" s="5">
        <v>0</v>
      </c>
      <c r="V3896" s="5">
        <f>VLOOKUP(A3896,Planilha1!B:E,4,0)</f>
        <v>1.4766792698630664</v>
      </c>
    </row>
    <row r="3897" spans="1:22" x14ac:dyDescent="0.3">
      <c r="A3897" t="str">
        <f t="shared" si="120"/>
        <v>LEITE CONDENSADOITAMBÉ</v>
      </c>
      <c r="B3897" t="str">
        <f t="shared" si="121"/>
        <v>5075754LEITE CONDENSADOITAMBÉ</v>
      </c>
      <c r="C3897" s="5" t="str">
        <f>VLOOKUP(F3897,'[1]DEPARA FOOD'!$B:$M,11,0)</f>
        <v>RODRIGO</v>
      </c>
      <c r="D3897" s="5" t="s">
        <v>833</v>
      </c>
      <c r="E3897" s="5" t="s">
        <v>875</v>
      </c>
      <c r="F3897" s="5">
        <v>5075754</v>
      </c>
      <c r="G3897" s="5" t="s">
        <v>878</v>
      </c>
      <c r="H3897" s="5" t="s">
        <v>91</v>
      </c>
      <c r="I3897" s="5" t="s">
        <v>27</v>
      </c>
      <c r="J3897" s="5" t="s">
        <v>33</v>
      </c>
      <c r="K3897" s="6">
        <v>0</v>
      </c>
      <c r="L3897" s="7">
        <v>0</v>
      </c>
      <c r="M3897" s="7">
        <v>0</v>
      </c>
      <c r="N3897" s="7">
        <v>0</v>
      </c>
      <c r="O3897" s="8">
        <v>0</v>
      </c>
      <c r="P3897" s="8">
        <v>0</v>
      </c>
      <c r="Q3897" s="8">
        <v>0</v>
      </c>
      <c r="R3897" s="8">
        <v>0</v>
      </c>
      <c r="S3897" s="8">
        <v>0</v>
      </c>
      <c r="T3897" s="5">
        <v>0</v>
      </c>
      <c r="U3897" s="5">
        <v>0</v>
      </c>
      <c r="V3897" s="5">
        <f>VLOOKUP(A3897,Planilha1!B:E,4,0)</f>
        <v>1.4766792698630664</v>
      </c>
    </row>
    <row r="3898" spans="1:22" x14ac:dyDescent="0.3">
      <c r="A3898" t="str">
        <f t="shared" si="120"/>
        <v>LEITE CONDENSADOITAMBÉ</v>
      </c>
      <c r="B3898" t="str">
        <f t="shared" si="121"/>
        <v>5086953LEITE CONDENSADOITAMBÉ</v>
      </c>
      <c r="C3898" s="5" t="str">
        <f>VLOOKUP(F3898,'[1]DEPARA FOOD'!$B:$M,11,0)</f>
        <v>MAURICIO</v>
      </c>
      <c r="D3898" s="5" t="s">
        <v>17</v>
      </c>
      <c r="E3898" s="5" t="s">
        <v>66</v>
      </c>
      <c r="F3898" s="5">
        <v>5086953</v>
      </c>
      <c r="G3898" s="5" t="s">
        <v>1542</v>
      </c>
      <c r="H3898" s="5" t="s">
        <v>1636</v>
      </c>
      <c r="I3898" s="5" t="s">
        <v>27</v>
      </c>
      <c r="J3898" s="5" t="s">
        <v>33</v>
      </c>
      <c r="K3898" s="6">
        <v>0</v>
      </c>
      <c r="L3898" s="7">
        <v>0</v>
      </c>
      <c r="M3898" s="7">
        <v>0</v>
      </c>
      <c r="N3898" s="7">
        <v>0</v>
      </c>
      <c r="O3898" s="8">
        <v>0</v>
      </c>
      <c r="P3898" s="8">
        <v>0</v>
      </c>
      <c r="Q3898" s="8">
        <v>0</v>
      </c>
      <c r="R3898" s="8">
        <v>0</v>
      </c>
      <c r="S3898" s="8">
        <v>0</v>
      </c>
      <c r="T3898" s="5">
        <v>0</v>
      </c>
      <c r="U3898" s="5">
        <v>0</v>
      </c>
      <c r="V3898" s="5">
        <f>VLOOKUP(A3898,Planilha1!B:E,4,0)</f>
        <v>1.4766792698630664</v>
      </c>
    </row>
    <row r="3899" spans="1:22" x14ac:dyDescent="0.3">
      <c r="A3899" t="str">
        <f t="shared" si="120"/>
        <v>LEITE CONDENSADOITAMBÉ</v>
      </c>
      <c r="B3899" t="str">
        <f t="shared" si="121"/>
        <v>5110910LEITE CONDENSADOITAMBÉ</v>
      </c>
      <c r="C3899" s="5" t="str">
        <f>VLOOKUP(F3899,'[1]DEPARA FOOD'!$B:$M,11,0)</f>
        <v>RODRIGO</v>
      </c>
      <c r="D3899" s="5" t="s">
        <v>833</v>
      </c>
      <c r="E3899" s="5" t="s">
        <v>852</v>
      </c>
      <c r="F3899" s="5">
        <v>5110910</v>
      </c>
      <c r="G3899" s="5" t="s">
        <v>1518</v>
      </c>
      <c r="H3899" s="5" t="s">
        <v>40</v>
      </c>
      <c r="I3899" s="5" t="s">
        <v>27</v>
      </c>
      <c r="J3899" s="5" t="s">
        <v>33</v>
      </c>
      <c r="K3899" s="6">
        <v>0</v>
      </c>
      <c r="L3899" s="7">
        <v>0</v>
      </c>
      <c r="M3899" s="7">
        <v>0</v>
      </c>
      <c r="N3899" s="7">
        <v>0</v>
      </c>
      <c r="O3899" s="8">
        <v>0</v>
      </c>
      <c r="P3899" s="8">
        <v>0</v>
      </c>
      <c r="Q3899" s="8">
        <v>0</v>
      </c>
      <c r="R3899" s="8">
        <v>0</v>
      </c>
      <c r="S3899" s="8">
        <v>0</v>
      </c>
      <c r="T3899" s="5">
        <v>0</v>
      </c>
      <c r="U3899" s="5">
        <v>0</v>
      </c>
      <c r="V3899" s="5">
        <f>VLOOKUP(A3899,Planilha1!B:E,4,0)</f>
        <v>1.4766792698630664</v>
      </c>
    </row>
    <row r="3900" spans="1:22" x14ac:dyDescent="0.3">
      <c r="A3900" t="str">
        <f t="shared" si="120"/>
        <v>LEITE CONDENSADOITAMBÉ</v>
      </c>
      <c r="B3900" t="str">
        <f t="shared" si="121"/>
        <v>5121735LEITE CONDENSADOITAMBÉ</v>
      </c>
      <c r="C3900" s="5" t="str">
        <f>VLOOKUP(F3900,'[1]DEPARA FOOD'!$B:$M,11,0)</f>
        <v>MAURICIO</v>
      </c>
      <c r="D3900" s="5" t="s">
        <v>28</v>
      </c>
      <c r="E3900" s="5" t="s">
        <v>28</v>
      </c>
      <c r="F3900" s="5">
        <v>5121735</v>
      </c>
      <c r="G3900" s="5" t="s">
        <v>1017</v>
      </c>
      <c r="H3900" s="5" t="s">
        <v>30</v>
      </c>
      <c r="I3900" s="5" t="s">
        <v>27</v>
      </c>
      <c r="J3900" s="5" t="s">
        <v>33</v>
      </c>
      <c r="K3900" s="6">
        <v>0</v>
      </c>
      <c r="L3900" s="7">
        <v>0</v>
      </c>
      <c r="M3900" s="7">
        <v>0</v>
      </c>
      <c r="N3900" s="7">
        <v>0</v>
      </c>
      <c r="O3900" s="8">
        <v>0</v>
      </c>
      <c r="P3900" s="8">
        <v>0</v>
      </c>
      <c r="Q3900" s="8">
        <v>0</v>
      </c>
      <c r="R3900" s="8">
        <v>0</v>
      </c>
      <c r="S3900" s="8">
        <v>0</v>
      </c>
      <c r="T3900" s="5">
        <v>0</v>
      </c>
      <c r="U3900" s="5">
        <v>0</v>
      </c>
      <c r="V3900" s="5">
        <f>VLOOKUP(A3900,Planilha1!B:E,4,0)</f>
        <v>1.4766792698630664</v>
      </c>
    </row>
    <row r="3901" spans="1:22" x14ac:dyDescent="0.3">
      <c r="A3901" t="str">
        <f t="shared" si="120"/>
        <v>LEITE CONDENSADOITAMBÉ</v>
      </c>
      <c r="B3901" t="str">
        <f t="shared" si="121"/>
        <v>5130343LEITE CONDENSADOITAMBÉ</v>
      </c>
      <c r="C3901" s="5" t="str">
        <f>VLOOKUP(F3901,'[1]DEPARA FOOD'!$B:$M,11,0)</f>
        <v>RODRIGO</v>
      </c>
      <c r="D3901" s="5" t="s">
        <v>227</v>
      </c>
      <c r="E3901" s="5" t="s">
        <v>703</v>
      </c>
      <c r="F3901" s="5">
        <v>5130343</v>
      </c>
      <c r="G3901" s="5" t="s">
        <v>712</v>
      </c>
      <c r="H3901" s="5" t="s">
        <v>30</v>
      </c>
      <c r="I3901" s="5" t="s">
        <v>27</v>
      </c>
      <c r="J3901" s="5" t="s">
        <v>33</v>
      </c>
      <c r="K3901" s="6">
        <v>0</v>
      </c>
      <c r="L3901" s="7">
        <v>0</v>
      </c>
      <c r="M3901" s="7">
        <v>0</v>
      </c>
      <c r="N3901" s="7">
        <v>0</v>
      </c>
      <c r="O3901" s="8">
        <v>0</v>
      </c>
      <c r="P3901" s="8">
        <v>0</v>
      </c>
      <c r="Q3901" s="8">
        <v>0</v>
      </c>
      <c r="R3901" s="8">
        <v>0</v>
      </c>
      <c r="S3901" s="8">
        <v>0</v>
      </c>
      <c r="T3901" s="5">
        <v>0</v>
      </c>
      <c r="U3901" s="5">
        <v>0</v>
      </c>
      <c r="V3901" s="5">
        <f>VLOOKUP(A3901,Planilha1!B:E,4,0)</f>
        <v>1.4766792698630664</v>
      </c>
    </row>
    <row r="3902" spans="1:22" x14ac:dyDescent="0.3">
      <c r="A3902" t="str">
        <f t="shared" si="120"/>
        <v>LEITE CONDENSADOITAMBÉ</v>
      </c>
      <c r="B3902" t="str">
        <f t="shared" si="121"/>
        <v>5138561LEITE CONDENSADOITAMBÉ</v>
      </c>
      <c r="C3902" s="5" t="str">
        <f>VLOOKUP(F3902,'[1]DEPARA FOOD'!$B:$M,11,0)</f>
        <v>MAURICIO</v>
      </c>
      <c r="D3902" s="5" t="s">
        <v>17</v>
      </c>
      <c r="E3902" s="5" t="s">
        <v>44</v>
      </c>
      <c r="F3902" s="5">
        <v>5138561</v>
      </c>
      <c r="G3902" s="5" t="s">
        <v>1542</v>
      </c>
      <c r="H3902" s="5" t="s">
        <v>1636</v>
      </c>
      <c r="I3902" s="5" t="s">
        <v>27</v>
      </c>
      <c r="J3902" s="5" t="s">
        <v>33</v>
      </c>
      <c r="K3902" s="6">
        <v>0</v>
      </c>
      <c r="L3902" s="7">
        <v>0</v>
      </c>
      <c r="M3902" s="7">
        <v>0</v>
      </c>
      <c r="N3902" s="7">
        <v>0</v>
      </c>
      <c r="O3902" s="8">
        <v>0</v>
      </c>
      <c r="P3902" s="8">
        <v>0</v>
      </c>
      <c r="Q3902" s="8">
        <v>0</v>
      </c>
      <c r="R3902" s="8">
        <v>0</v>
      </c>
      <c r="S3902" s="8">
        <v>0</v>
      </c>
      <c r="T3902" s="5">
        <v>0</v>
      </c>
      <c r="U3902" s="5">
        <v>0</v>
      </c>
      <c r="V3902" s="5">
        <f>VLOOKUP(A3902,Planilha1!B:E,4,0)</f>
        <v>1.4766792698630664</v>
      </c>
    </row>
    <row r="3903" spans="1:22" x14ac:dyDescent="0.3">
      <c r="A3903" t="str">
        <f t="shared" si="120"/>
        <v>LEITE CONDENSADOITAMBÉ</v>
      </c>
      <c r="B3903" t="str">
        <f t="shared" si="121"/>
        <v>5143288LEITE CONDENSADOITAMBÉ</v>
      </c>
      <c r="C3903" s="5" t="str">
        <f>VLOOKUP(F3903,'[1]DEPARA FOOD'!$B:$M,11,0)</f>
        <v>MAURICIO</v>
      </c>
      <c r="D3903" s="5" t="s">
        <v>17</v>
      </c>
      <c r="E3903" s="5" t="s">
        <v>66</v>
      </c>
      <c r="F3903" s="5">
        <v>5143288</v>
      </c>
      <c r="G3903" s="5" t="s">
        <v>93</v>
      </c>
      <c r="H3903" s="5" t="s">
        <v>25</v>
      </c>
      <c r="I3903" s="5" t="s">
        <v>27</v>
      </c>
      <c r="J3903" s="5" t="s">
        <v>33</v>
      </c>
      <c r="K3903" s="6">
        <v>0</v>
      </c>
      <c r="L3903" s="7">
        <v>0</v>
      </c>
      <c r="M3903" s="7">
        <v>0</v>
      </c>
      <c r="N3903" s="7">
        <v>0</v>
      </c>
      <c r="O3903" s="8">
        <v>0</v>
      </c>
      <c r="P3903" s="8">
        <v>0</v>
      </c>
      <c r="Q3903" s="8">
        <v>0</v>
      </c>
      <c r="R3903" s="8">
        <v>0</v>
      </c>
      <c r="S3903" s="8">
        <v>0</v>
      </c>
      <c r="T3903" s="5">
        <v>0</v>
      </c>
      <c r="U3903" s="5">
        <v>0</v>
      </c>
      <c r="V3903" s="5">
        <f>VLOOKUP(A3903,Planilha1!B:E,4,0)</f>
        <v>1.4766792698630664</v>
      </c>
    </row>
    <row r="3904" spans="1:22" x14ac:dyDescent="0.3">
      <c r="A3904" t="str">
        <f t="shared" si="120"/>
        <v>LEITE CONDENSADOITAMBÉ</v>
      </c>
      <c r="B3904" t="str">
        <f t="shared" si="121"/>
        <v>5145238LEITE CONDENSADOITAMBÉ</v>
      </c>
      <c r="C3904" s="5" t="str">
        <f>VLOOKUP(F3904,'[1]DEPARA FOOD'!$B:$M,11,0)</f>
        <v>MAURICIO</v>
      </c>
      <c r="D3904" s="5" t="s">
        <v>28</v>
      </c>
      <c r="E3904" s="5" t="s">
        <v>28</v>
      </c>
      <c r="F3904" s="5">
        <v>5145238</v>
      </c>
      <c r="G3904" s="5" t="s">
        <v>169</v>
      </c>
      <c r="H3904" s="5" t="s">
        <v>30</v>
      </c>
      <c r="I3904" s="5" t="s">
        <v>27</v>
      </c>
      <c r="J3904" s="5" t="s">
        <v>33</v>
      </c>
      <c r="K3904" s="6">
        <v>0</v>
      </c>
      <c r="L3904" s="7">
        <v>0</v>
      </c>
      <c r="M3904" s="7">
        <v>0</v>
      </c>
      <c r="N3904" s="7">
        <v>0</v>
      </c>
      <c r="O3904" s="8">
        <v>0</v>
      </c>
      <c r="P3904" s="8">
        <v>0</v>
      </c>
      <c r="Q3904" s="8">
        <v>0</v>
      </c>
      <c r="R3904" s="8">
        <v>0</v>
      </c>
      <c r="S3904" s="8">
        <v>0</v>
      </c>
      <c r="T3904" s="5">
        <v>0</v>
      </c>
      <c r="U3904" s="5">
        <v>0</v>
      </c>
      <c r="V3904" s="5">
        <f>VLOOKUP(A3904,Planilha1!B:E,4,0)</f>
        <v>1.4766792698630664</v>
      </c>
    </row>
    <row r="3905" spans="1:22" x14ac:dyDescent="0.3">
      <c r="A3905" t="str">
        <f t="shared" si="120"/>
        <v>LEITE CONDENSADOITAMBÉ</v>
      </c>
      <c r="B3905" t="str">
        <f t="shared" si="121"/>
        <v>5147526LEITE CONDENSADOITAMBÉ</v>
      </c>
      <c r="C3905" s="5" t="str">
        <f>VLOOKUP(F3905,'[1]DEPARA FOOD'!$B:$M,11,0)</f>
        <v>PEDRO</v>
      </c>
      <c r="D3905" s="5" t="s">
        <v>150</v>
      </c>
      <c r="E3905" s="5" t="s">
        <v>151</v>
      </c>
      <c r="F3905" s="5">
        <v>5147526</v>
      </c>
      <c r="G3905" s="5" t="s">
        <v>1542</v>
      </c>
      <c r="H3905" s="5" t="s">
        <v>1636</v>
      </c>
      <c r="I3905" s="5" t="s">
        <v>27</v>
      </c>
      <c r="J3905" s="5" t="s">
        <v>33</v>
      </c>
      <c r="K3905" s="6">
        <v>0</v>
      </c>
      <c r="L3905" s="7">
        <v>0</v>
      </c>
      <c r="M3905" s="7">
        <v>0</v>
      </c>
      <c r="N3905" s="7">
        <v>0</v>
      </c>
      <c r="O3905" s="8">
        <v>0</v>
      </c>
      <c r="P3905" s="8">
        <v>0</v>
      </c>
      <c r="Q3905" s="8">
        <v>0</v>
      </c>
      <c r="R3905" s="8">
        <v>0</v>
      </c>
      <c r="S3905" s="8">
        <v>0</v>
      </c>
      <c r="T3905" s="5">
        <v>0</v>
      </c>
      <c r="U3905" s="5">
        <v>0</v>
      </c>
      <c r="V3905" s="5">
        <f>VLOOKUP(A3905,Planilha1!B:E,4,0)</f>
        <v>1.4766792698630664</v>
      </c>
    </row>
    <row r="3906" spans="1:22" x14ac:dyDescent="0.3">
      <c r="A3906" t="str">
        <f t="shared" ref="A3906:A3969" si="122">J3906&amp;I3906</f>
        <v>LEITE CONDENSADOITAMBÉ</v>
      </c>
      <c r="B3906" t="str">
        <f t="shared" si="121"/>
        <v>5157826LEITE CONDENSADOITAMBÉ</v>
      </c>
      <c r="C3906" s="5" t="str">
        <f>VLOOKUP(F3906,'[1]DEPARA FOOD'!$B:$M,11,0)</f>
        <v>MAURICIO</v>
      </c>
      <c r="D3906" s="5" t="s">
        <v>28</v>
      </c>
      <c r="E3906" s="5" t="s">
        <v>28</v>
      </c>
      <c r="F3906" s="5">
        <v>5157826</v>
      </c>
      <c r="G3906" s="5" t="s">
        <v>1639</v>
      </c>
      <c r="H3906" s="5" t="s">
        <v>30</v>
      </c>
      <c r="I3906" s="5" t="s">
        <v>27</v>
      </c>
      <c r="J3906" s="5" t="s">
        <v>33</v>
      </c>
      <c r="K3906" s="6">
        <v>0</v>
      </c>
      <c r="L3906" s="7">
        <v>0</v>
      </c>
      <c r="M3906" s="7">
        <v>0</v>
      </c>
      <c r="N3906" s="7">
        <v>0</v>
      </c>
      <c r="O3906" s="8">
        <v>0</v>
      </c>
      <c r="P3906" s="8">
        <v>0</v>
      </c>
      <c r="Q3906" s="8">
        <v>0</v>
      </c>
      <c r="R3906" s="8">
        <v>0</v>
      </c>
      <c r="S3906" s="8">
        <v>0</v>
      </c>
      <c r="T3906" s="5">
        <v>0</v>
      </c>
      <c r="U3906" s="5">
        <v>0</v>
      </c>
      <c r="V3906" s="5">
        <f>VLOOKUP(A3906,Planilha1!B:E,4,0)</f>
        <v>1.4766792698630664</v>
      </c>
    </row>
    <row r="3907" spans="1:22" x14ac:dyDescent="0.3">
      <c r="A3907" t="str">
        <f t="shared" si="122"/>
        <v>LEITE CONDENSADOITAMBÉ</v>
      </c>
      <c r="B3907" t="str">
        <f t="shared" ref="B3907:B3970" si="123">F3907&amp;J3907&amp;I3907</f>
        <v>5160241LEITE CONDENSADOITAMBÉ</v>
      </c>
      <c r="C3907" s="5" t="str">
        <f>VLOOKUP(F3907,'[1]DEPARA FOOD'!$B:$M,11,0)</f>
        <v>MAURICIO</v>
      </c>
      <c r="D3907" s="5" t="s">
        <v>17</v>
      </c>
      <c r="E3907" s="5" t="s">
        <v>66</v>
      </c>
      <c r="F3907" s="5">
        <v>5160241</v>
      </c>
      <c r="G3907" s="5" t="s">
        <v>95</v>
      </c>
      <c r="H3907" s="5" t="s">
        <v>96</v>
      </c>
      <c r="I3907" s="5" t="s">
        <v>27</v>
      </c>
      <c r="J3907" s="5" t="s">
        <v>33</v>
      </c>
      <c r="K3907" s="6">
        <v>0</v>
      </c>
      <c r="L3907" s="7">
        <v>0</v>
      </c>
      <c r="M3907" s="7">
        <v>0</v>
      </c>
      <c r="N3907" s="7">
        <v>0</v>
      </c>
      <c r="O3907" s="8">
        <v>0</v>
      </c>
      <c r="P3907" s="8">
        <v>0</v>
      </c>
      <c r="Q3907" s="8">
        <v>0</v>
      </c>
      <c r="R3907" s="8">
        <v>0</v>
      </c>
      <c r="S3907" s="8">
        <v>0</v>
      </c>
      <c r="T3907" s="5">
        <v>0</v>
      </c>
      <c r="U3907" s="5">
        <v>0</v>
      </c>
      <c r="V3907" s="5">
        <f>VLOOKUP(A3907,Planilha1!B:E,4,0)</f>
        <v>1.4766792698630664</v>
      </c>
    </row>
    <row r="3908" spans="1:22" x14ac:dyDescent="0.3">
      <c r="A3908" t="str">
        <f t="shared" si="122"/>
        <v>LEITE CONDENSADOITAMBÉ</v>
      </c>
      <c r="B3908" t="str">
        <f t="shared" si="123"/>
        <v>5169592LEITE CONDENSADOITAMBÉ</v>
      </c>
      <c r="C3908" s="5" t="str">
        <f>VLOOKUP(F3908,'[1]DEPARA FOOD'!$B:$M,11,0)</f>
        <v>MAURICIO</v>
      </c>
      <c r="D3908" s="5" t="s">
        <v>28</v>
      </c>
      <c r="E3908" s="5" t="s">
        <v>23</v>
      </c>
      <c r="F3908" s="5">
        <v>5169592</v>
      </c>
      <c r="G3908" s="5" t="s">
        <v>157</v>
      </c>
      <c r="H3908" s="5" t="s">
        <v>30</v>
      </c>
      <c r="I3908" s="5" t="s">
        <v>27</v>
      </c>
      <c r="J3908" s="5" t="s">
        <v>33</v>
      </c>
      <c r="K3908" s="6">
        <v>0</v>
      </c>
      <c r="L3908" s="7">
        <v>0</v>
      </c>
      <c r="M3908" s="7">
        <v>0</v>
      </c>
      <c r="N3908" s="7">
        <v>0</v>
      </c>
      <c r="O3908" s="8">
        <v>0</v>
      </c>
      <c r="P3908" s="8">
        <v>0</v>
      </c>
      <c r="Q3908" s="8">
        <v>0</v>
      </c>
      <c r="R3908" s="8">
        <v>0</v>
      </c>
      <c r="S3908" s="8">
        <v>0</v>
      </c>
      <c r="T3908" s="5">
        <v>0</v>
      </c>
      <c r="U3908" s="5">
        <v>0</v>
      </c>
      <c r="V3908" s="5">
        <f>VLOOKUP(A3908,Planilha1!B:E,4,0)</f>
        <v>1.4766792698630664</v>
      </c>
    </row>
    <row r="3909" spans="1:22" x14ac:dyDescent="0.3">
      <c r="A3909" t="str">
        <f t="shared" si="122"/>
        <v>LEITE CONDENSADOITAMBÉ</v>
      </c>
      <c r="B3909" t="str">
        <f t="shared" si="123"/>
        <v>5171400LEITE CONDENSADOITAMBÉ</v>
      </c>
      <c r="C3909" s="5" t="str">
        <f>VLOOKUP(F3909,'[1]DEPARA FOOD'!$B:$M,11,0)</f>
        <v>MAURICIO</v>
      </c>
      <c r="D3909" s="5" t="s">
        <v>17</v>
      </c>
      <c r="E3909" s="5" t="s">
        <v>44</v>
      </c>
      <c r="F3909" s="5">
        <v>5171400</v>
      </c>
      <c r="G3909" s="5" t="s">
        <v>62</v>
      </c>
      <c r="H3909" s="5" t="s">
        <v>30</v>
      </c>
      <c r="I3909" s="5" t="s">
        <v>27</v>
      </c>
      <c r="J3909" s="5" t="s">
        <v>33</v>
      </c>
      <c r="K3909" s="6">
        <v>0</v>
      </c>
      <c r="L3909" s="7">
        <v>0</v>
      </c>
      <c r="M3909" s="7">
        <v>0</v>
      </c>
      <c r="N3909" s="7">
        <v>0</v>
      </c>
      <c r="O3909" s="8">
        <v>0</v>
      </c>
      <c r="P3909" s="8">
        <v>0</v>
      </c>
      <c r="Q3909" s="8">
        <v>0</v>
      </c>
      <c r="R3909" s="8">
        <v>0</v>
      </c>
      <c r="S3909" s="8">
        <v>0</v>
      </c>
      <c r="T3909" s="5">
        <v>0</v>
      </c>
      <c r="U3909" s="5">
        <v>0</v>
      </c>
      <c r="V3909" s="5">
        <f>VLOOKUP(A3909,Planilha1!B:E,4,0)</f>
        <v>1.4766792698630664</v>
      </c>
    </row>
    <row r="3910" spans="1:22" x14ac:dyDescent="0.3">
      <c r="A3910" t="str">
        <f t="shared" si="122"/>
        <v>LEITE CONDENSADOITAMBÉ</v>
      </c>
      <c r="B3910" t="str">
        <f t="shared" si="123"/>
        <v>5173427LEITE CONDENSADOITAMBÉ</v>
      </c>
      <c r="C3910" s="5" t="str">
        <f>VLOOKUP(F3910,'[1]DEPARA FOOD'!$B:$M,11,0)</f>
        <v>MAURICIO</v>
      </c>
      <c r="D3910" s="5" t="s">
        <v>17</v>
      </c>
      <c r="E3910" s="5" t="s">
        <v>23</v>
      </c>
      <c r="F3910" s="5">
        <v>5173427</v>
      </c>
      <c r="G3910" s="5" t="s">
        <v>1542</v>
      </c>
      <c r="H3910" s="5" t="s">
        <v>1636</v>
      </c>
      <c r="I3910" s="5" t="s">
        <v>27</v>
      </c>
      <c r="J3910" s="5" t="s">
        <v>33</v>
      </c>
      <c r="K3910" s="6">
        <v>0</v>
      </c>
      <c r="L3910" s="7">
        <v>0</v>
      </c>
      <c r="M3910" s="7">
        <v>0</v>
      </c>
      <c r="N3910" s="7">
        <v>0</v>
      </c>
      <c r="O3910" s="8">
        <v>0</v>
      </c>
      <c r="P3910" s="8">
        <v>0</v>
      </c>
      <c r="Q3910" s="8">
        <v>0</v>
      </c>
      <c r="R3910" s="8">
        <v>0</v>
      </c>
      <c r="S3910" s="8">
        <v>0</v>
      </c>
      <c r="T3910" s="5">
        <v>0</v>
      </c>
      <c r="U3910" s="5">
        <v>0</v>
      </c>
      <c r="V3910" s="5">
        <f>VLOOKUP(A3910,Planilha1!B:E,4,0)</f>
        <v>1.4766792698630664</v>
      </c>
    </row>
    <row r="3911" spans="1:22" x14ac:dyDescent="0.3">
      <c r="A3911" t="str">
        <f t="shared" si="122"/>
        <v>LEITE CONDENSADOITAMBÉ</v>
      </c>
      <c r="B3911" t="str">
        <f t="shared" si="123"/>
        <v>5181665LEITE CONDENSADOITAMBÉ</v>
      </c>
      <c r="C3911" s="5" t="str">
        <f>VLOOKUP(F3911,'[1]DEPARA FOOD'!$B:$M,11,0)</f>
        <v>MAURICIO</v>
      </c>
      <c r="D3911" s="5" t="s">
        <v>17</v>
      </c>
      <c r="E3911" s="5" t="s">
        <v>23</v>
      </c>
      <c r="F3911" s="5">
        <v>5181665</v>
      </c>
      <c r="G3911" s="5" t="s">
        <v>1647</v>
      </c>
      <c r="H3911" s="5" t="s">
        <v>36</v>
      </c>
      <c r="I3911" s="5" t="s">
        <v>27</v>
      </c>
      <c r="J3911" s="5" t="s">
        <v>33</v>
      </c>
      <c r="K3911" s="6">
        <v>0</v>
      </c>
      <c r="L3911" s="7">
        <v>0</v>
      </c>
      <c r="M3911" s="7">
        <v>0</v>
      </c>
      <c r="N3911" s="7">
        <v>0</v>
      </c>
      <c r="O3911" s="8">
        <v>0</v>
      </c>
      <c r="P3911" s="8">
        <v>0</v>
      </c>
      <c r="Q3911" s="8">
        <v>0</v>
      </c>
      <c r="R3911" s="8">
        <v>0</v>
      </c>
      <c r="S3911" s="8">
        <v>0</v>
      </c>
      <c r="T3911" s="5">
        <v>0</v>
      </c>
      <c r="U3911" s="5">
        <v>0</v>
      </c>
      <c r="V3911" s="5">
        <f>VLOOKUP(A3911,Planilha1!B:E,4,0)</f>
        <v>1.4766792698630664</v>
      </c>
    </row>
    <row r="3912" spans="1:22" x14ac:dyDescent="0.3">
      <c r="A3912" t="str">
        <f t="shared" si="122"/>
        <v>LEITE CONDENSADOITAMBÉ</v>
      </c>
      <c r="B3912" t="str">
        <f t="shared" si="123"/>
        <v>5186822LEITE CONDENSADOITAMBÉ</v>
      </c>
      <c r="C3912" s="5" t="str">
        <f>VLOOKUP(F3912,'[1]DEPARA FOOD'!$B:$M,11,0)</f>
        <v>MAURICIO</v>
      </c>
      <c r="D3912" s="5" t="s">
        <v>53</v>
      </c>
      <c r="E3912" s="5" t="s">
        <v>23</v>
      </c>
      <c r="F3912" s="5">
        <v>5186822</v>
      </c>
      <c r="G3912" s="5" t="s">
        <v>1542</v>
      </c>
      <c r="H3912" s="5" t="s">
        <v>1636</v>
      </c>
      <c r="I3912" s="5" t="s">
        <v>27</v>
      </c>
      <c r="J3912" s="5" t="s">
        <v>33</v>
      </c>
      <c r="K3912" s="6">
        <v>0</v>
      </c>
      <c r="L3912" s="7">
        <v>0</v>
      </c>
      <c r="M3912" s="7">
        <v>0</v>
      </c>
      <c r="N3912" s="7">
        <v>0</v>
      </c>
      <c r="O3912" s="8">
        <v>0</v>
      </c>
      <c r="P3912" s="8">
        <v>0</v>
      </c>
      <c r="Q3912" s="8">
        <v>0</v>
      </c>
      <c r="R3912" s="8">
        <v>0</v>
      </c>
      <c r="S3912" s="8">
        <v>0</v>
      </c>
      <c r="T3912" s="5">
        <v>0</v>
      </c>
      <c r="U3912" s="5">
        <v>0</v>
      </c>
      <c r="V3912" s="5">
        <f>VLOOKUP(A3912,Planilha1!B:E,4,0)</f>
        <v>1.4766792698630664</v>
      </c>
    </row>
    <row r="3913" spans="1:22" x14ac:dyDescent="0.3">
      <c r="A3913" t="str">
        <f t="shared" si="122"/>
        <v>LEITE CONDENSADOITAMBÉ</v>
      </c>
      <c r="B3913" t="str">
        <f t="shared" si="123"/>
        <v>5190347LEITE CONDENSADOITAMBÉ</v>
      </c>
      <c r="C3913" s="5" t="str">
        <f>VLOOKUP(F3913,'[1]DEPARA FOOD'!$B:$M,11,0)</f>
        <v>RODRIGO</v>
      </c>
      <c r="D3913" s="5" t="s">
        <v>833</v>
      </c>
      <c r="E3913" s="5" t="s">
        <v>852</v>
      </c>
      <c r="F3913" s="5">
        <v>5190347</v>
      </c>
      <c r="G3913" s="5" t="s">
        <v>863</v>
      </c>
      <c r="H3913" s="5" t="s">
        <v>40</v>
      </c>
      <c r="I3913" s="5" t="s">
        <v>27</v>
      </c>
      <c r="J3913" s="5" t="s">
        <v>33</v>
      </c>
      <c r="K3913" s="6">
        <v>0</v>
      </c>
      <c r="L3913" s="7">
        <v>0</v>
      </c>
      <c r="M3913" s="7">
        <v>0</v>
      </c>
      <c r="N3913" s="7">
        <v>0</v>
      </c>
      <c r="O3913" s="8">
        <v>0</v>
      </c>
      <c r="P3913" s="8">
        <v>0</v>
      </c>
      <c r="Q3913" s="8">
        <v>0</v>
      </c>
      <c r="R3913" s="8">
        <v>0</v>
      </c>
      <c r="S3913" s="8">
        <v>0</v>
      </c>
      <c r="T3913" s="5">
        <v>0</v>
      </c>
      <c r="U3913" s="5">
        <v>0</v>
      </c>
      <c r="V3913" s="5">
        <f>VLOOKUP(A3913,Planilha1!B:E,4,0)</f>
        <v>1.4766792698630664</v>
      </c>
    </row>
    <row r="3914" spans="1:22" x14ac:dyDescent="0.3">
      <c r="A3914" t="str">
        <f t="shared" si="122"/>
        <v>LEITE CONDENSADOITAMBÉ</v>
      </c>
      <c r="B3914" t="str">
        <f t="shared" si="123"/>
        <v>5192611LEITE CONDENSADOITAMBÉ</v>
      </c>
      <c r="C3914" s="5" t="str">
        <f>VLOOKUP(F3914,'[1]DEPARA FOOD'!$B:$M,11,0)</f>
        <v>RODRIGO</v>
      </c>
      <c r="D3914" s="5" t="s">
        <v>752</v>
      </c>
      <c r="E3914" s="5" t="s">
        <v>1216</v>
      </c>
      <c r="F3914" s="5">
        <v>5192611</v>
      </c>
      <c r="G3914" s="5" t="s">
        <v>763</v>
      </c>
      <c r="H3914" s="5" t="s">
        <v>154</v>
      </c>
      <c r="I3914" s="5" t="s">
        <v>27</v>
      </c>
      <c r="J3914" s="5" t="s">
        <v>33</v>
      </c>
      <c r="K3914" s="6">
        <v>0</v>
      </c>
      <c r="L3914" s="7">
        <v>0</v>
      </c>
      <c r="M3914" s="7">
        <v>0</v>
      </c>
      <c r="N3914" s="7">
        <v>0</v>
      </c>
      <c r="O3914" s="8">
        <v>0</v>
      </c>
      <c r="P3914" s="8">
        <v>0</v>
      </c>
      <c r="Q3914" s="8">
        <v>0</v>
      </c>
      <c r="R3914" s="8">
        <v>0</v>
      </c>
      <c r="S3914" s="8">
        <v>0</v>
      </c>
      <c r="T3914" s="5">
        <v>0</v>
      </c>
      <c r="U3914" s="5">
        <v>0</v>
      </c>
      <c r="V3914" s="5">
        <f>VLOOKUP(A3914,Planilha1!B:E,4,0)</f>
        <v>1.4766792698630664</v>
      </c>
    </row>
    <row r="3915" spans="1:22" x14ac:dyDescent="0.3">
      <c r="A3915" t="str">
        <f t="shared" si="122"/>
        <v>LEITE CONDENSADOITAMBÉ</v>
      </c>
      <c r="B3915" t="str">
        <f t="shared" si="123"/>
        <v>5199005LEITE CONDENSADOITAMBÉ</v>
      </c>
      <c r="C3915" s="5" t="str">
        <f>VLOOKUP(F3915,'[1]DEPARA FOOD'!$B:$M,11,0)</f>
        <v>RODRIGO</v>
      </c>
      <c r="D3915" s="5" t="s">
        <v>833</v>
      </c>
      <c r="E3915" s="5" t="s">
        <v>875</v>
      </c>
      <c r="F3915" s="5">
        <v>5199005</v>
      </c>
      <c r="G3915" s="5" t="s">
        <v>1542</v>
      </c>
      <c r="H3915" s="5" t="s">
        <v>1636</v>
      </c>
      <c r="I3915" s="5" t="s">
        <v>27</v>
      </c>
      <c r="J3915" s="5" t="s">
        <v>33</v>
      </c>
      <c r="K3915" s="6">
        <v>0</v>
      </c>
      <c r="L3915" s="7">
        <v>0</v>
      </c>
      <c r="M3915" s="7">
        <v>0</v>
      </c>
      <c r="N3915" s="7">
        <v>0</v>
      </c>
      <c r="O3915" s="8">
        <v>0</v>
      </c>
      <c r="P3915" s="8">
        <v>0</v>
      </c>
      <c r="Q3915" s="8">
        <v>0</v>
      </c>
      <c r="R3915" s="8">
        <v>0</v>
      </c>
      <c r="S3915" s="8">
        <v>0</v>
      </c>
      <c r="T3915" s="5">
        <v>0</v>
      </c>
      <c r="U3915" s="5">
        <v>0</v>
      </c>
      <c r="V3915" s="5">
        <f>VLOOKUP(A3915,Planilha1!B:E,4,0)</f>
        <v>1.4766792698630664</v>
      </c>
    </row>
    <row r="3916" spans="1:22" x14ac:dyDescent="0.3">
      <c r="A3916" t="str">
        <f t="shared" si="122"/>
        <v>LEITE CONDENSADOITAMBÉ</v>
      </c>
      <c r="B3916" t="str">
        <f t="shared" si="123"/>
        <v>5201973LEITE CONDENSADOITAMBÉ</v>
      </c>
      <c r="C3916" s="5" t="str">
        <f>VLOOKUP(F3916,'[1]DEPARA FOOD'!$B:$M,11,0)</f>
        <v>RODRIGO</v>
      </c>
      <c r="D3916" s="5" t="s">
        <v>833</v>
      </c>
      <c r="E3916" s="5" t="s">
        <v>875</v>
      </c>
      <c r="F3916" s="5">
        <v>5201973</v>
      </c>
      <c r="G3916" s="5" t="s">
        <v>887</v>
      </c>
      <c r="H3916" s="5" t="s">
        <v>91</v>
      </c>
      <c r="I3916" s="5" t="s">
        <v>27</v>
      </c>
      <c r="J3916" s="5" t="s">
        <v>33</v>
      </c>
      <c r="K3916" s="6">
        <v>0</v>
      </c>
      <c r="L3916" s="7">
        <v>0</v>
      </c>
      <c r="M3916" s="7">
        <v>0</v>
      </c>
      <c r="N3916" s="7">
        <v>0</v>
      </c>
      <c r="O3916" s="8">
        <v>0</v>
      </c>
      <c r="P3916" s="8">
        <v>0</v>
      </c>
      <c r="Q3916" s="8">
        <v>0</v>
      </c>
      <c r="R3916" s="8">
        <v>0</v>
      </c>
      <c r="S3916" s="8">
        <v>0</v>
      </c>
      <c r="T3916" s="5">
        <v>0</v>
      </c>
      <c r="U3916" s="5">
        <v>0</v>
      </c>
      <c r="V3916" s="5">
        <f>VLOOKUP(A3916,Planilha1!B:E,4,0)</f>
        <v>1.4766792698630664</v>
      </c>
    </row>
    <row r="3917" spans="1:22" x14ac:dyDescent="0.3">
      <c r="A3917" t="str">
        <f t="shared" si="122"/>
        <v>LEITE CONDENSADOITAMBÉ</v>
      </c>
      <c r="B3917" t="str">
        <f t="shared" si="123"/>
        <v>5220538LEITE CONDENSADOITAMBÉ</v>
      </c>
      <c r="C3917" s="5" t="str">
        <f>VLOOKUP(F3917,'[1]DEPARA FOOD'!$B:$M,11,0)</f>
        <v>RODRIGO</v>
      </c>
      <c r="D3917" s="5" t="s">
        <v>833</v>
      </c>
      <c r="E3917" s="5" t="s">
        <v>753</v>
      </c>
      <c r="F3917" s="5">
        <v>5220538</v>
      </c>
      <c r="G3917" s="5" t="s">
        <v>841</v>
      </c>
      <c r="H3917" s="5" t="s">
        <v>101</v>
      </c>
      <c r="I3917" s="5" t="s">
        <v>27</v>
      </c>
      <c r="J3917" s="5" t="s">
        <v>33</v>
      </c>
      <c r="K3917" s="6">
        <v>0</v>
      </c>
      <c r="L3917" s="7">
        <v>0</v>
      </c>
      <c r="M3917" s="7">
        <v>0</v>
      </c>
      <c r="N3917" s="7">
        <v>0</v>
      </c>
      <c r="O3917" s="8">
        <v>0</v>
      </c>
      <c r="P3917" s="8">
        <v>0</v>
      </c>
      <c r="Q3917" s="8">
        <v>0</v>
      </c>
      <c r="R3917" s="8">
        <v>0</v>
      </c>
      <c r="S3917" s="8">
        <v>0</v>
      </c>
      <c r="T3917" s="5">
        <v>0</v>
      </c>
      <c r="U3917" s="5">
        <v>0</v>
      </c>
      <c r="V3917" s="5">
        <f>VLOOKUP(A3917,Planilha1!B:E,4,0)</f>
        <v>1.4766792698630664</v>
      </c>
    </row>
    <row r="3918" spans="1:22" x14ac:dyDescent="0.3">
      <c r="A3918" t="str">
        <f t="shared" si="122"/>
        <v>LEITE CONDENSADOITAMBÉ</v>
      </c>
      <c r="B3918" t="str">
        <f t="shared" si="123"/>
        <v>5230884LEITE CONDENSADOITAMBÉ</v>
      </c>
      <c r="C3918" s="5" t="str">
        <f>VLOOKUP(F3918,'[1]DEPARA FOOD'!$B:$M,11,0)</f>
        <v>MAURICIO</v>
      </c>
      <c r="D3918" s="5" t="s">
        <v>17</v>
      </c>
      <c r="E3918" s="5" t="s">
        <v>44</v>
      </c>
      <c r="F3918" s="5">
        <v>5230884</v>
      </c>
      <c r="G3918" s="5" t="s">
        <v>1542</v>
      </c>
      <c r="H3918" s="5" t="s">
        <v>1636</v>
      </c>
      <c r="I3918" s="5" t="s">
        <v>27</v>
      </c>
      <c r="J3918" s="5" t="s">
        <v>33</v>
      </c>
      <c r="K3918" s="6">
        <v>0</v>
      </c>
      <c r="L3918" s="7">
        <v>0</v>
      </c>
      <c r="M3918" s="7">
        <v>0</v>
      </c>
      <c r="N3918" s="7">
        <v>0</v>
      </c>
      <c r="O3918" s="8">
        <v>0</v>
      </c>
      <c r="P3918" s="8">
        <v>0</v>
      </c>
      <c r="Q3918" s="8">
        <v>0</v>
      </c>
      <c r="R3918" s="8">
        <v>0</v>
      </c>
      <c r="S3918" s="8">
        <v>0</v>
      </c>
      <c r="T3918" s="5">
        <v>0</v>
      </c>
      <c r="U3918" s="5">
        <v>0</v>
      </c>
      <c r="V3918" s="5">
        <f>VLOOKUP(A3918,Planilha1!B:E,4,0)</f>
        <v>1.4766792698630664</v>
      </c>
    </row>
    <row r="3919" spans="1:22" x14ac:dyDescent="0.3">
      <c r="A3919" t="str">
        <f t="shared" si="122"/>
        <v>LEITE CONDENSADOITAMBÉ</v>
      </c>
      <c r="B3919" t="str">
        <f t="shared" si="123"/>
        <v>5260909LEITE CONDENSADOITAMBÉ</v>
      </c>
      <c r="C3919" s="5" t="str">
        <f>VLOOKUP(F3919,'[1]DEPARA FOOD'!$B:$M,11,0)</f>
        <v>MAURICIO</v>
      </c>
      <c r="D3919" s="5" t="s">
        <v>17</v>
      </c>
      <c r="E3919" s="5" t="s">
        <v>44</v>
      </c>
      <c r="F3919" s="5">
        <v>5260909</v>
      </c>
      <c r="G3919" s="5" t="s">
        <v>1542</v>
      </c>
      <c r="H3919" s="5" t="s">
        <v>1636</v>
      </c>
      <c r="I3919" s="5" t="s">
        <v>27</v>
      </c>
      <c r="J3919" s="5" t="s">
        <v>33</v>
      </c>
      <c r="K3919" s="6">
        <v>0</v>
      </c>
      <c r="L3919" s="7">
        <v>0</v>
      </c>
      <c r="M3919" s="7">
        <v>0</v>
      </c>
      <c r="N3919" s="7">
        <v>0</v>
      </c>
      <c r="O3919" s="8">
        <v>0</v>
      </c>
      <c r="P3919" s="8">
        <v>0</v>
      </c>
      <c r="Q3919" s="8">
        <v>0</v>
      </c>
      <c r="R3919" s="8">
        <v>0</v>
      </c>
      <c r="S3919" s="8">
        <v>0</v>
      </c>
      <c r="T3919" s="5">
        <v>0</v>
      </c>
      <c r="U3919" s="5">
        <v>0</v>
      </c>
      <c r="V3919" s="5">
        <f>VLOOKUP(A3919,Planilha1!B:E,4,0)</f>
        <v>1.4766792698630664</v>
      </c>
    </row>
    <row r="3920" spans="1:22" x14ac:dyDescent="0.3">
      <c r="A3920" t="str">
        <f t="shared" si="122"/>
        <v>LEITE CONDENSADOITAMBÉ</v>
      </c>
      <c r="B3920" t="str">
        <f t="shared" si="123"/>
        <v>5317846LEITE CONDENSADOITAMBÉ</v>
      </c>
      <c r="C3920" s="5" t="str">
        <f>VLOOKUP(F3920,'[1]DEPARA FOOD'!$B:$M,11,0)</f>
        <v>MAURICIO</v>
      </c>
      <c r="D3920" s="5" t="s">
        <v>28</v>
      </c>
      <c r="E3920" s="5" t="s">
        <v>23</v>
      </c>
      <c r="F3920" s="5">
        <v>5317846</v>
      </c>
      <c r="G3920" s="5" t="s">
        <v>160</v>
      </c>
      <c r="H3920" s="5" t="s">
        <v>154</v>
      </c>
      <c r="I3920" s="5" t="s">
        <v>27</v>
      </c>
      <c r="J3920" s="5" t="s">
        <v>33</v>
      </c>
      <c r="K3920" s="6">
        <v>0</v>
      </c>
      <c r="L3920" s="7">
        <v>0</v>
      </c>
      <c r="M3920" s="7">
        <v>0</v>
      </c>
      <c r="N3920" s="7">
        <v>0</v>
      </c>
      <c r="O3920" s="8">
        <v>0</v>
      </c>
      <c r="P3920" s="8">
        <v>0</v>
      </c>
      <c r="Q3920" s="8">
        <v>0</v>
      </c>
      <c r="R3920" s="8">
        <v>0</v>
      </c>
      <c r="S3920" s="8">
        <v>0</v>
      </c>
      <c r="T3920" s="5">
        <v>0</v>
      </c>
      <c r="U3920" s="5">
        <v>0</v>
      </c>
      <c r="V3920" s="5">
        <f>VLOOKUP(A3920,Planilha1!B:E,4,0)</f>
        <v>1.4766792698630664</v>
      </c>
    </row>
    <row r="3921" spans="1:22" x14ac:dyDescent="0.3">
      <c r="A3921" t="str">
        <f t="shared" si="122"/>
        <v>LEITE CONDENSADOITAMBÉ</v>
      </c>
      <c r="B3921" t="str">
        <f t="shared" si="123"/>
        <v>5321120LEITE CONDENSADOITAMBÉ</v>
      </c>
      <c r="C3921" s="5" t="str">
        <f>VLOOKUP(F3921,'[1]DEPARA FOOD'!$B:$M,11,0)</f>
        <v>MAURICIO</v>
      </c>
      <c r="D3921" s="5" t="s">
        <v>53</v>
      </c>
      <c r="E3921" s="5" t="s">
        <v>23</v>
      </c>
      <c r="F3921" s="5">
        <v>5321120</v>
      </c>
      <c r="G3921" s="5" t="s">
        <v>118</v>
      </c>
      <c r="H3921" s="5" t="s">
        <v>110</v>
      </c>
      <c r="I3921" s="5" t="s">
        <v>27</v>
      </c>
      <c r="J3921" s="5" t="s">
        <v>33</v>
      </c>
      <c r="K3921" s="6">
        <v>0</v>
      </c>
      <c r="L3921" s="7">
        <v>0</v>
      </c>
      <c r="M3921" s="7">
        <v>0</v>
      </c>
      <c r="N3921" s="7">
        <v>0</v>
      </c>
      <c r="O3921" s="8">
        <v>0</v>
      </c>
      <c r="P3921" s="8">
        <v>0</v>
      </c>
      <c r="Q3921" s="8">
        <v>0</v>
      </c>
      <c r="R3921" s="8">
        <v>0</v>
      </c>
      <c r="S3921" s="8">
        <v>0</v>
      </c>
      <c r="T3921" s="5">
        <v>0</v>
      </c>
      <c r="U3921" s="5">
        <v>0</v>
      </c>
      <c r="V3921" s="5">
        <f>VLOOKUP(A3921,Planilha1!B:E,4,0)</f>
        <v>1.4766792698630664</v>
      </c>
    </row>
    <row r="3922" spans="1:22" x14ac:dyDescent="0.3">
      <c r="A3922" t="str">
        <f t="shared" si="122"/>
        <v>LEITE CONDENSADOITAMBÉ</v>
      </c>
      <c r="B3922" t="str">
        <f t="shared" si="123"/>
        <v>5335459LEITE CONDENSADOITAMBÉ</v>
      </c>
      <c r="C3922" s="5" t="str">
        <f>VLOOKUP(F3922,'[1]DEPARA FOOD'!$B:$M,11,0)</f>
        <v>MAURICIO</v>
      </c>
      <c r="D3922" s="5" t="s">
        <v>17</v>
      </c>
      <c r="E3922" s="5" t="s">
        <v>44</v>
      </c>
      <c r="F3922" s="5">
        <v>5335459</v>
      </c>
      <c r="G3922" s="5" t="s">
        <v>79</v>
      </c>
      <c r="H3922" s="5" t="s">
        <v>25</v>
      </c>
      <c r="I3922" s="5" t="s">
        <v>27</v>
      </c>
      <c r="J3922" s="5" t="s">
        <v>33</v>
      </c>
      <c r="K3922" s="6">
        <v>0</v>
      </c>
      <c r="L3922" s="7">
        <v>0</v>
      </c>
      <c r="M3922" s="7">
        <v>0</v>
      </c>
      <c r="N3922" s="7">
        <v>0</v>
      </c>
      <c r="O3922" s="8">
        <v>0</v>
      </c>
      <c r="P3922" s="8">
        <v>0</v>
      </c>
      <c r="Q3922" s="8">
        <v>0</v>
      </c>
      <c r="R3922" s="8">
        <v>0</v>
      </c>
      <c r="S3922" s="8">
        <v>0</v>
      </c>
      <c r="T3922" s="5">
        <v>0</v>
      </c>
      <c r="U3922" s="5">
        <v>0</v>
      </c>
      <c r="V3922" s="5">
        <f>VLOOKUP(A3922,Planilha1!B:E,4,0)</f>
        <v>1.4766792698630664</v>
      </c>
    </row>
    <row r="3923" spans="1:22" x14ac:dyDescent="0.3">
      <c r="A3923" t="str">
        <f t="shared" si="122"/>
        <v>LEITE CONDENSADOITAMBÉ</v>
      </c>
      <c r="B3923" t="str">
        <f t="shared" si="123"/>
        <v>5354300LEITE CONDENSADOITAMBÉ</v>
      </c>
      <c r="C3923" s="5" t="str">
        <f>VLOOKUP(F3923,'[1]DEPARA FOOD'!$B:$M,11,0)</f>
        <v>MAURICIO</v>
      </c>
      <c r="D3923" s="5" t="s">
        <v>53</v>
      </c>
      <c r="E3923" s="5" t="s">
        <v>54</v>
      </c>
      <c r="F3923" s="5">
        <v>5354300</v>
      </c>
      <c r="G3923" s="5" t="s">
        <v>145</v>
      </c>
      <c r="H3923" s="5" t="s">
        <v>113</v>
      </c>
      <c r="I3923" s="5" t="s">
        <v>27</v>
      </c>
      <c r="J3923" s="5" t="s">
        <v>33</v>
      </c>
      <c r="K3923" s="6">
        <v>0</v>
      </c>
      <c r="L3923" s="7">
        <v>0</v>
      </c>
      <c r="M3923" s="7">
        <v>0</v>
      </c>
      <c r="N3923" s="7">
        <v>0</v>
      </c>
      <c r="O3923" s="8">
        <v>0</v>
      </c>
      <c r="P3923" s="8">
        <v>0</v>
      </c>
      <c r="Q3923" s="8">
        <v>0</v>
      </c>
      <c r="R3923" s="8">
        <v>0</v>
      </c>
      <c r="S3923" s="8">
        <v>0</v>
      </c>
      <c r="T3923" s="5">
        <v>0</v>
      </c>
      <c r="U3923" s="5">
        <v>0</v>
      </c>
      <c r="V3923" s="5">
        <f>VLOOKUP(A3923,Planilha1!B:E,4,0)</f>
        <v>1.4766792698630664</v>
      </c>
    </row>
    <row r="3924" spans="1:22" x14ac:dyDescent="0.3">
      <c r="A3924" t="str">
        <f t="shared" si="122"/>
        <v>LEITE EM PÓITAMBÉ</v>
      </c>
      <c r="B3924" t="str">
        <f t="shared" si="123"/>
        <v>5011698LEITE EM PÓITAMBÉ</v>
      </c>
      <c r="C3924" s="5" t="str">
        <f>VLOOKUP(F3924,'[1]DEPARA FOOD'!$B:$M,11,0)</f>
        <v>RODRIGO</v>
      </c>
      <c r="D3924" s="5" t="s">
        <v>797</v>
      </c>
      <c r="E3924" s="5" t="s">
        <v>753</v>
      </c>
      <c r="F3924" s="5">
        <v>5011698</v>
      </c>
      <c r="G3924" s="5" t="s">
        <v>798</v>
      </c>
      <c r="H3924" s="5" t="s">
        <v>110</v>
      </c>
      <c r="I3924" s="5" t="s">
        <v>27</v>
      </c>
      <c r="J3924" s="5" t="s">
        <v>84</v>
      </c>
      <c r="K3924" s="6">
        <v>0</v>
      </c>
      <c r="L3924" s="7">
        <v>0</v>
      </c>
      <c r="M3924" s="7">
        <v>0</v>
      </c>
      <c r="N3924" s="7">
        <v>0</v>
      </c>
      <c r="O3924" s="8">
        <v>0</v>
      </c>
      <c r="P3924" s="8">
        <v>0</v>
      </c>
      <c r="Q3924" s="8">
        <v>0</v>
      </c>
      <c r="R3924" s="8">
        <v>0</v>
      </c>
      <c r="S3924" s="8">
        <v>0</v>
      </c>
      <c r="T3924" s="5">
        <v>0</v>
      </c>
      <c r="U3924" s="5">
        <v>0</v>
      </c>
      <c r="V3924" s="5">
        <f>VLOOKUP(A3924,Planilha1!B:E,4,0)</f>
        <v>4.5971522734997743</v>
      </c>
    </row>
    <row r="3925" spans="1:22" x14ac:dyDescent="0.3">
      <c r="A3925" t="str">
        <f t="shared" si="122"/>
        <v>LEITE EM PÓITAMBÉ</v>
      </c>
      <c r="B3925" t="str">
        <f t="shared" si="123"/>
        <v>5036214LEITE EM PÓITAMBÉ</v>
      </c>
      <c r="C3925" s="5" t="str">
        <f>VLOOKUP(F3925,'[1]DEPARA FOOD'!$B:$M,11,0)</f>
        <v>RODRIGO</v>
      </c>
      <c r="D3925" s="5" t="s">
        <v>833</v>
      </c>
      <c r="E3925" s="5" t="s">
        <v>875</v>
      </c>
      <c r="F3925" s="5">
        <v>5036214</v>
      </c>
      <c r="G3925" s="5" t="s">
        <v>836</v>
      </c>
      <c r="H3925" s="5" t="s">
        <v>91</v>
      </c>
      <c r="I3925" s="5" t="s">
        <v>27</v>
      </c>
      <c r="J3925" s="5" t="s">
        <v>84</v>
      </c>
      <c r="K3925" s="6">
        <v>0</v>
      </c>
      <c r="L3925" s="7">
        <v>0</v>
      </c>
      <c r="M3925" s="7">
        <v>0</v>
      </c>
      <c r="N3925" s="7">
        <v>0</v>
      </c>
      <c r="O3925" s="8">
        <v>0</v>
      </c>
      <c r="P3925" s="8">
        <v>0</v>
      </c>
      <c r="Q3925" s="8">
        <v>0</v>
      </c>
      <c r="R3925" s="8">
        <v>0</v>
      </c>
      <c r="S3925" s="8">
        <v>0</v>
      </c>
      <c r="T3925" s="5">
        <v>0</v>
      </c>
      <c r="U3925" s="5">
        <v>0</v>
      </c>
      <c r="V3925" s="5">
        <f>VLOOKUP(A3925,Planilha1!B:E,4,0)</f>
        <v>4.5971522734997743</v>
      </c>
    </row>
    <row r="3926" spans="1:22" x14ac:dyDescent="0.3">
      <c r="A3926" t="str">
        <f t="shared" si="122"/>
        <v>LEITE EM PÓITAMBÉ</v>
      </c>
      <c r="B3926" t="str">
        <f t="shared" si="123"/>
        <v>5174977LEITE EM PÓITAMBÉ</v>
      </c>
      <c r="C3926" s="5" t="str">
        <f>VLOOKUP(F3926,'[1]DEPARA FOOD'!$B:$M,11,0)</f>
        <v>PEDRO</v>
      </c>
      <c r="D3926" s="5" t="s">
        <v>210</v>
      </c>
      <c r="E3926" s="5" t="s">
        <v>210</v>
      </c>
      <c r="F3926" s="5">
        <v>5174977</v>
      </c>
      <c r="G3926" s="5" t="s">
        <v>214</v>
      </c>
      <c r="H3926" s="5" t="s">
        <v>30</v>
      </c>
      <c r="I3926" s="5" t="s">
        <v>27</v>
      </c>
      <c r="J3926" s="5" t="s">
        <v>84</v>
      </c>
      <c r="K3926" s="6">
        <v>0</v>
      </c>
      <c r="L3926" s="7">
        <v>0</v>
      </c>
      <c r="M3926" s="7">
        <v>0</v>
      </c>
      <c r="N3926" s="7">
        <v>0</v>
      </c>
      <c r="O3926" s="8">
        <v>0</v>
      </c>
      <c r="P3926" s="8">
        <v>0</v>
      </c>
      <c r="Q3926" s="8">
        <v>0</v>
      </c>
      <c r="R3926" s="8">
        <v>0</v>
      </c>
      <c r="S3926" s="8">
        <v>0</v>
      </c>
      <c r="T3926" s="5">
        <v>0</v>
      </c>
      <c r="U3926" s="5">
        <v>0</v>
      </c>
      <c r="V3926" s="5">
        <f>VLOOKUP(A3926,Planilha1!B:E,4,0)</f>
        <v>4.5971522734997743</v>
      </c>
    </row>
    <row r="3927" spans="1:22" x14ac:dyDescent="0.3">
      <c r="A3927" t="str">
        <f t="shared" si="122"/>
        <v>LEITE EM PÓITAMBÉ</v>
      </c>
      <c r="B3927" t="str">
        <f t="shared" si="123"/>
        <v>5198698LEITE EM PÓITAMBÉ</v>
      </c>
      <c r="C3927" s="5" t="str">
        <f>VLOOKUP(F3927,'[1]DEPARA FOOD'!$B:$M,11,0)</f>
        <v>MAURICIO</v>
      </c>
      <c r="D3927" s="5" t="s">
        <v>17</v>
      </c>
      <c r="E3927" s="5" t="s">
        <v>66</v>
      </c>
      <c r="F3927" s="5">
        <v>5198698</v>
      </c>
      <c r="G3927" s="5" t="s">
        <v>1542</v>
      </c>
      <c r="H3927" s="5" t="s">
        <v>1636</v>
      </c>
      <c r="I3927" s="5" t="s">
        <v>27</v>
      </c>
      <c r="J3927" s="5" t="s">
        <v>84</v>
      </c>
      <c r="K3927" s="6">
        <v>0</v>
      </c>
      <c r="L3927" s="7">
        <v>0</v>
      </c>
      <c r="M3927" s="7">
        <v>0</v>
      </c>
      <c r="N3927" s="7">
        <v>0</v>
      </c>
      <c r="O3927" s="8">
        <v>0</v>
      </c>
      <c r="P3927" s="8">
        <v>0</v>
      </c>
      <c r="Q3927" s="8">
        <v>0</v>
      </c>
      <c r="R3927" s="8">
        <v>0</v>
      </c>
      <c r="S3927" s="8">
        <v>0</v>
      </c>
      <c r="T3927" s="5">
        <v>0</v>
      </c>
      <c r="U3927" s="5">
        <v>0</v>
      </c>
      <c r="V3927" s="5">
        <f>VLOOKUP(A3927,Planilha1!B:E,4,0)</f>
        <v>4.5971522734997743</v>
      </c>
    </row>
    <row r="3928" spans="1:22" x14ac:dyDescent="0.3">
      <c r="A3928" t="str">
        <f t="shared" si="122"/>
        <v>LEITE EM PÓITAMBÉ</v>
      </c>
      <c r="B3928" t="str">
        <f t="shared" si="123"/>
        <v>5219741LEITE EM PÓITAMBÉ</v>
      </c>
      <c r="C3928" s="5" t="str">
        <f>VLOOKUP(F3928,'[1]DEPARA FOOD'!$B:$M,11,0)</f>
        <v>RODRIGO</v>
      </c>
      <c r="D3928" s="5" t="s">
        <v>752</v>
      </c>
      <c r="E3928" s="5" t="s">
        <v>774</v>
      </c>
      <c r="F3928" s="5">
        <v>5219741</v>
      </c>
      <c r="G3928" s="5" t="s">
        <v>793</v>
      </c>
      <c r="H3928" s="5" t="s">
        <v>32</v>
      </c>
      <c r="I3928" s="5" t="s">
        <v>27</v>
      </c>
      <c r="J3928" s="5" t="s">
        <v>84</v>
      </c>
      <c r="K3928" s="6">
        <v>0</v>
      </c>
      <c r="L3928" s="7">
        <v>0</v>
      </c>
      <c r="M3928" s="7">
        <v>0</v>
      </c>
      <c r="N3928" s="7">
        <v>0</v>
      </c>
      <c r="O3928" s="8">
        <v>0</v>
      </c>
      <c r="P3928" s="8">
        <v>0</v>
      </c>
      <c r="Q3928" s="8">
        <v>0</v>
      </c>
      <c r="R3928" s="8">
        <v>0</v>
      </c>
      <c r="S3928" s="8">
        <v>0</v>
      </c>
      <c r="T3928" s="5">
        <v>0</v>
      </c>
      <c r="U3928" s="5">
        <v>0</v>
      </c>
      <c r="V3928" s="5">
        <f>VLOOKUP(A3928,Planilha1!B:E,4,0)</f>
        <v>4.5971522734997743</v>
      </c>
    </row>
    <row r="3929" spans="1:22" x14ac:dyDescent="0.3">
      <c r="A3929" t="str">
        <f t="shared" si="122"/>
        <v>LEITE EM PÓITAMBÉ</v>
      </c>
      <c r="B3929" t="str">
        <f t="shared" si="123"/>
        <v>5221359LEITE EM PÓITAMBÉ</v>
      </c>
      <c r="C3929" s="5" t="str">
        <f>VLOOKUP(F3929,'[1]DEPARA FOOD'!$B:$M,11,0)</f>
        <v>RODRIGO</v>
      </c>
      <c r="D3929" s="5" t="s">
        <v>833</v>
      </c>
      <c r="E3929" s="5" t="s">
        <v>852</v>
      </c>
      <c r="F3929" s="5">
        <v>5221359</v>
      </c>
      <c r="G3929" s="5" t="s">
        <v>866</v>
      </c>
      <c r="H3929" s="5" t="s">
        <v>40</v>
      </c>
      <c r="I3929" s="5" t="s">
        <v>27</v>
      </c>
      <c r="J3929" s="5" t="s">
        <v>84</v>
      </c>
      <c r="K3929" s="6">
        <v>0</v>
      </c>
      <c r="L3929" s="7">
        <v>0</v>
      </c>
      <c r="M3929" s="7">
        <v>0</v>
      </c>
      <c r="N3929" s="7">
        <v>0</v>
      </c>
      <c r="O3929" s="8">
        <v>0</v>
      </c>
      <c r="P3929" s="8">
        <v>0</v>
      </c>
      <c r="Q3929" s="8">
        <v>0</v>
      </c>
      <c r="R3929" s="8">
        <v>0</v>
      </c>
      <c r="S3929" s="8">
        <v>0</v>
      </c>
      <c r="T3929" s="5">
        <v>0</v>
      </c>
      <c r="U3929" s="5">
        <v>0</v>
      </c>
      <c r="V3929" s="5">
        <f>VLOOKUP(A3929,Planilha1!B:E,4,0)</f>
        <v>4.5971522734997743</v>
      </c>
    </row>
    <row r="3930" spans="1:22" x14ac:dyDescent="0.3">
      <c r="A3930" t="str">
        <f t="shared" si="122"/>
        <v>LEITE EM PÓITAMBÉ</v>
      </c>
      <c r="B3930" t="str">
        <f t="shared" si="123"/>
        <v>5227283LEITE EM PÓITAMBÉ</v>
      </c>
      <c r="C3930" s="5" t="str">
        <f>VLOOKUP(F3930,'[1]DEPARA FOOD'!$B:$M,11,0)</f>
        <v>MAURICIO</v>
      </c>
      <c r="D3930" s="5" t="s">
        <v>17</v>
      </c>
      <c r="E3930" s="5" t="s">
        <v>44</v>
      </c>
      <c r="F3930" s="5">
        <v>5227283</v>
      </c>
      <c r="G3930" s="5" t="s">
        <v>1542</v>
      </c>
      <c r="H3930" s="5" t="s">
        <v>1636</v>
      </c>
      <c r="I3930" s="5" t="s">
        <v>27</v>
      </c>
      <c r="J3930" s="5" t="s">
        <v>84</v>
      </c>
      <c r="K3930" s="6">
        <v>0</v>
      </c>
      <c r="L3930" s="7">
        <v>0</v>
      </c>
      <c r="M3930" s="7">
        <v>0</v>
      </c>
      <c r="N3930" s="7">
        <v>0</v>
      </c>
      <c r="O3930" s="8">
        <v>0</v>
      </c>
      <c r="P3930" s="8">
        <v>0</v>
      </c>
      <c r="Q3930" s="8">
        <v>0</v>
      </c>
      <c r="R3930" s="8">
        <v>0</v>
      </c>
      <c r="S3930" s="8">
        <v>0</v>
      </c>
      <c r="T3930" s="5">
        <v>0</v>
      </c>
      <c r="U3930" s="5">
        <v>0</v>
      </c>
      <c r="V3930" s="5">
        <f>VLOOKUP(A3930,Planilha1!B:E,4,0)</f>
        <v>4.5971522734997743</v>
      </c>
    </row>
    <row r="3931" spans="1:22" x14ac:dyDescent="0.3">
      <c r="A3931" t="str">
        <f t="shared" si="122"/>
        <v>LEITE EM PÓITAMBÉ</v>
      </c>
      <c r="B3931" t="str">
        <f t="shared" si="123"/>
        <v>5292367LEITE EM PÓITAMBÉ</v>
      </c>
      <c r="C3931" s="5" t="str">
        <f>VLOOKUP(F3931,'[1]DEPARA FOOD'!$B:$M,11,0)</f>
        <v>RODRIGO</v>
      </c>
      <c r="D3931" s="5" t="s">
        <v>903</v>
      </c>
      <c r="E3931" s="5" t="s">
        <v>904</v>
      </c>
      <c r="F3931" s="5">
        <v>5292367</v>
      </c>
      <c r="G3931" s="5" t="s">
        <v>932</v>
      </c>
      <c r="H3931" s="5" t="s">
        <v>88</v>
      </c>
      <c r="I3931" s="5" t="s">
        <v>27</v>
      </c>
      <c r="J3931" s="5" t="s">
        <v>84</v>
      </c>
      <c r="K3931" s="6">
        <v>0</v>
      </c>
      <c r="L3931" s="7">
        <v>0</v>
      </c>
      <c r="M3931" s="7">
        <v>0</v>
      </c>
      <c r="N3931" s="7">
        <v>0</v>
      </c>
      <c r="O3931" s="8">
        <v>0</v>
      </c>
      <c r="P3931" s="8">
        <v>0</v>
      </c>
      <c r="Q3931" s="8">
        <v>0</v>
      </c>
      <c r="R3931" s="8">
        <v>0</v>
      </c>
      <c r="S3931" s="8">
        <v>0</v>
      </c>
      <c r="T3931" s="5">
        <v>0</v>
      </c>
      <c r="U3931" s="5">
        <v>0</v>
      </c>
      <c r="V3931" s="5">
        <f>VLOOKUP(A3931,Planilha1!B:E,4,0)</f>
        <v>4.5971522734997743</v>
      </c>
    </row>
    <row r="3932" spans="1:22" x14ac:dyDescent="0.3">
      <c r="A3932" t="str">
        <f t="shared" si="122"/>
        <v>LEITE EM PÓITAMBÉ</v>
      </c>
      <c r="B3932" t="str">
        <f t="shared" si="123"/>
        <v>5347144LEITE EM PÓITAMBÉ</v>
      </c>
      <c r="C3932" s="5" t="str">
        <f>VLOOKUP(F3932,'[1]DEPARA FOOD'!$B:$M,11,0)</f>
        <v>MAURICIO</v>
      </c>
      <c r="D3932" s="5" t="s">
        <v>28</v>
      </c>
      <c r="E3932" s="5" t="s">
        <v>28</v>
      </c>
      <c r="F3932" s="5">
        <v>5347144</v>
      </c>
      <c r="G3932" s="5" t="s">
        <v>1542</v>
      </c>
      <c r="H3932" s="5" t="s">
        <v>1636</v>
      </c>
      <c r="I3932" s="5" t="s">
        <v>27</v>
      </c>
      <c r="J3932" s="5" t="s">
        <v>84</v>
      </c>
      <c r="K3932" s="6">
        <v>0</v>
      </c>
      <c r="L3932" s="7">
        <v>0</v>
      </c>
      <c r="M3932" s="7">
        <v>0</v>
      </c>
      <c r="N3932" s="7">
        <v>0</v>
      </c>
      <c r="O3932" s="8">
        <v>0</v>
      </c>
      <c r="P3932" s="8">
        <v>0</v>
      </c>
      <c r="Q3932" s="8">
        <v>0</v>
      </c>
      <c r="R3932" s="8">
        <v>0</v>
      </c>
      <c r="S3932" s="8">
        <v>0</v>
      </c>
      <c r="T3932" s="5">
        <v>0</v>
      </c>
      <c r="U3932" s="5">
        <v>0</v>
      </c>
      <c r="V3932" s="5">
        <f>VLOOKUP(A3932,Planilha1!B:E,4,0)</f>
        <v>4.5971522734997743</v>
      </c>
    </row>
    <row r="3933" spans="1:22" x14ac:dyDescent="0.3">
      <c r="A3933" t="str">
        <f t="shared" si="122"/>
        <v>LEITE EM PÓITAMBÉ</v>
      </c>
      <c r="B3933" t="str">
        <f t="shared" si="123"/>
        <v>5352113LEITE EM PÓITAMBÉ</v>
      </c>
      <c r="C3933" s="5" t="str">
        <f>VLOOKUP(F3933,'[1]DEPARA FOOD'!$B:$M,11,0)</f>
        <v>RODRIGO</v>
      </c>
      <c r="D3933" s="5" t="s">
        <v>815</v>
      </c>
      <c r="E3933" s="5" t="s">
        <v>816</v>
      </c>
      <c r="F3933" s="5">
        <v>5352113</v>
      </c>
      <c r="G3933" s="5" t="s">
        <v>829</v>
      </c>
      <c r="H3933" s="5" t="s">
        <v>30</v>
      </c>
      <c r="I3933" s="5" t="s">
        <v>27</v>
      </c>
      <c r="J3933" s="5" t="s">
        <v>84</v>
      </c>
      <c r="K3933" s="6">
        <v>0</v>
      </c>
      <c r="L3933" s="7">
        <v>0</v>
      </c>
      <c r="M3933" s="7">
        <v>0</v>
      </c>
      <c r="N3933" s="7">
        <v>0</v>
      </c>
      <c r="O3933" s="8">
        <v>0</v>
      </c>
      <c r="P3933" s="8">
        <v>0</v>
      </c>
      <c r="Q3933" s="8">
        <v>0</v>
      </c>
      <c r="R3933" s="8">
        <v>0</v>
      </c>
      <c r="S3933" s="8">
        <v>0</v>
      </c>
      <c r="T3933" s="5">
        <v>0</v>
      </c>
      <c r="U3933" s="5">
        <v>0</v>
      </c>
      <c r="V3933" s="5">
        <f>VLOOKUP(A3933,Planilha1!B:E,4,0)</f>
        <v>4.5971522734997743</v>
      </c>
    </row>
    <row r="3934" spans="1:22" x14ac:dyDescent="0.3">
      <c r="A3934" t="str">
        <f t="shared" si="122"/>
        <v>LEITE UHTITAMBÉ</v>
      </c>
      <c r="B3934" t="str">
        <f t="shared" si="123"/>
        <v>5023831LEITE UHTITAMBÉ</v>
      </c>
      <c r="C3934" s="5" t="str">
        <f>VLOOKUP(F3934,'[1]DEPARA FOOD'!$B:$M,11,0)</f>
        <v>RODRIGO</v>
      </c>
      <c r="D3934" s="5" t="s">
        <v>815</v>
      </c>
      <c r="E3934" s="5" t="s">
        <v>816</v>
      </c>
      <c r="F3934" s="5">
        <v>5023831</v>
      </c>
      <c r="G3934" s="5" t="s">
        <v>819</v>
      </c>
      <c r="H3934" s="5" t="s">
        <v>30</v>
      </c>
      <c r="I3934" s="5" t="s">
        <v>27</v>
      </c>
      <c r="J3934" s="5" t="s">
        <v>156</v>
      </c>
      <c r="K3934" s="6">
        <v>0</v>
      </c>
      <c r="L3934" s="7">
        <v>0</v>
      </c>
      <c r="M3934" s="7">
        <v>0</v>
      </c>
      <c r="N3934" s="7">
        <v>0</v>
      </c>
      <c r="O3934" s="8">
        <v>0</v>
      </c>
      <c r="P3934" s="8">
        <v>0</v>
      </c>
      <c r="Q3934" s="8">
        <v>0</v>
      </c>
      <c r="R3934" s="8">
        <v>0</v>
      </c>
      <c r="S3934" s="8">
        <v>0</v>
      </c>
      <c r="T3934" s="5">
        <v>0</v>
      </c>
      <c r="U3934" s="5">
        <v>0</v>
      </c>
      <c r="V3934" s="5">
        <f>VLOOKUP(A3934,Planilha1!B:E,4,0)</f>
        <v>-0.14425288609148015</v>
      </c>
    </row>
    <row r="3935" spans="1:22" x14ac:dyDescent="0.3">
      <c r="A3935" t="str">
        <f t="shared" si="122"/>
        <v>LEITE UHTITAMBÉ</v>
      </c>
      <c r="B3935" t="str">
        <f t="shared" si="123"/>
        <v>5068894LEITE UHTITAMBÉ</v>
      </c>
      <c r="C3935" s="5" t="str">
        <f>VLOOKUP(F3935,'[1]DEPARA FOOD'!$B:$M,11,0)</f>
        <v>MAURICIO</v>
      </c>
      <c r="D3935" s="5" t="s">
        <v>53</v>
      </c>
      <c r="E3935" s="5" t="s">
        <v>54</v>
      </c>
      <c r="F3935" s="5">
        <v>5068894</v>
      </c>
      <c r="G3935" s="5" t="s">
        <v>1542</v>
      </c>
      <c r="H3935" s="5" t="s">
        <v>1636</v>
      </c>
      <c r="I3935" s="5" t="s">
        <v>27</v>
      </c>
      <c r="J3935" s="5" t="s">
        <v>156</v>
      </c>
      <c r="K3935" s="6">
        <v>0</v>
      </c>
      <c r="L3935" s="7">
        <v>0</v>
      </c>
      <c r="M3935" s="7">
        <v>0</v>
      </c>
      <c r="N3935" s="7">
        <v>0</v>
      </c>
      <c r="O3935" s="8">
        <v>0</v>
      </c>
      <c r="P3935" s="8">
        <v>0</v>
      </c>
      <c r="Q3935" s="8">
        <v>0</v>
      </c>
      <c r="R3935" s="8">
        <v>0</v>
      </c>
      <c r="S3935" s="8">
        <v>0</v>
      </c>
      <c r="T3935" s="5">
        <v>0</v>
      </c>
      <c r="U3935" s="5">
        <v>0</v>
      </c>
      <c r="V3935" s="5">
        <f>VLOOKUP(A3935,Planilha1!B:E,4,0)</f>
        <v>-0.14425288609148015</v>
      </c>
    </row>
    <row r="3936" spans="1:22" x14ac:dyDescent="0.3">
      <c r="A3936" t="str">
        <f t="shared" si="122"/>
        <v>LEITE UHTITAMBÉ</v>
      </c>
      <c r="B3936" t="str">
        <f t="shared" si="123"/>
        <v>5079293LEITE UHTITAMBÉ</v>
      </c>
      <c r="C3936" s="5" t="str">
        <f>VLOOKUP(F3936,'[1]DEPARA FOOD'!$B:$M,11,0)</f>
        <v>RODRIGO</v>
      </c>
      <c r="D3936" s="5" t="s">
        <v>227</v>
      </c>
      <c r="E3936" s="5" t="s">
        <v>703</v>
      </c>
      <c r="F3936" s="5">
        <v>5079293</v>
      </c>
      <c r="G3936" s="5" t="s">
        <v>709</v>
      </c>
      <c r="H3936" s="5" t="s">
        <v>30</v>
      </c>
      <c r="I3936" s="5" t="s">
        <v>27</v>
      </c>
      <c r="J3936" s="5" t="s">
        <v>156</v>
      </c>
      <c r="K3936" s="6">
        <v>0</v>
      </c>
      <c r="L3936" s="7">
        <v>0</v>
      </c>
      <c r="M3936" s="7">
        <v>0</v>
      </c>
      <c r="N3936" s="7">
        <v>0</v>
      </c>
      <c r="O3936" s="8">
        <v>0</v>
      </c>
      <c r="P3936" s="8">
        <v>0</v>
      </c>
      <c r="Q3936" s="8">
        <v>0</v>
      </c>
      <c r="R3936" s="8">
        <v>0</v>
      </c>
      <c r="S3936" s="8">
        <v>0</v>
      </c>
      <c r="T3936" s="5">
        <v>0</v>
      </c>
      <c r="U3936" s="5">
        <v>0</v>
      </c>
      <c r="V3936" s="5">
        <f>VLOOKUP(A3936,Planilha1!B:E,4,0)</f>
        <v>-0.14425288609148015</v>
      </c>
    </row>
    <row r="3937" spans="1:22" x14ac:dyDescent="0.3">
      <c r="A3937" t="str">
        <f t="shared" si="122"/>
        <v>LEITE UHTITAMBÉ</v>
      </c>
      <c r="B3937" t="str">
        <f t="shared" si="123"/>
        <v>5109682LEITE UHTITAMBÉ</v>
      </c>
      <c r="C3937" s="5" t="str">
        <f>VLOOKUP(F3937,'[1]DEPARA FOOD'!$B:$M,11,0)</f>
        <v>RODRIGO</v>
      </c>
      <c r="D3937" s="5" t="s">
        <v>815</v>
      </c>
      <c r="E3937" s="5" t="s">
        <v>816</v>
      </c>
      <c r="F3937" s="5">
        <v>5109682</v>
      </c>
      <c r="G3937" s="5" t="s">
        <v>823</v>
      </c>
      <c r="H3937" s="5" t="s">
        <v>30</v>
      </c>
      <c r="I3937" s="5" t="s">
        <v>27</v>
      </c>
      <c r="J3937" s="5" t="s">
        <v>156</v>
      </c>
      <c r="K3937" s="6">
        <v>0</v>
      </c>
      <c r="L3937" s="7">
        <v>0</v>
      </c>
      <c r="M3937" s="7">
        <v>0</v>
      </c>
      <c r="N3937" s="7">
        <v>0</v>
      </c>
      <c r="O3937" s="8">
        <v>0</v>
      </c>
      <c r="P3937" s="8">
        <v>0</v>
      </c>
      <c r="Q3937" s="8">
        <v>0</v>
      </c>
      <c r="R3937" s="8">
        <v>0</v>
      </c>
      <c r="S3937" s="8">
        <v>0</v>
      </c>
      <c r="T3937" s="5">
        <v>0</v>
      </c>
      <c r="U3937" s="5">
        <v>0</v>
      </c>
      <c r="V3937" s="5">
        <f>VLOOKUP(A3937,Planilha1!B:E,4,0)</f>
        <v>-0.14425288609148015</v>
      </c>
    </row>
    <row r="3938" spans="1:22" x14ac:dyDescent="0.3">
      <c r="A3938" t="str">
        <f t="shared" si="122"/>
        <v>LEITE UHTITAMBÉ</v>
      </c>
      <c r="B3938" t="str">
        <f t="shared" si="123"/>
        <v>5207685LEITE UHTITAMBÉ</v>
      </c>
      <c r="C3938" s="5" t="str">
        <f>VLOOKUP(F3938,'[1]DEPARA FOOD'!$B:$M,11,0)</f>
        <v>MAURICIO</v>
      </c>
      <c r="D3938" s="5" t="s">
        <v>17</v>
      </c>
      <c r="E3938" s="5" t="s">
        <v>44</v>
      </c>
      <c r="F3938" s="5">
        <v>5207685</v>
      </c>
      <c r="G3938" s="5" t="s">
        <v>1542</v>
      </c>
      <c r="H3938" s="5" t="s">
        <v>1636</v>
      </c>
      <c r="I3938" s="5" t="s">
        <v>27</v>
      </c>
      <c r="J3938" s="5" t="s">
        <v>156</v>
      </c>
      <c r="K3938" s="6">
        <v>0</v>
      </c>
      <c r="L3938" s="7">
        <v>0</v>
      </c>
      <c r="M3938" s="7">
        <v>0</v>
      </c>
      <c r="N3938" s="7">
        <v>0</v>
      </c>
      <c r="O3938" s="8">
        <v>0</v>
      </c>
      <c r="P3938" s="8">
        <v>0</v>
      </c>
      <c r="Q3938" s="8">
        <v>0</v>
      </c>
      <c r="R3938" s="8">
        <v>0</v>
      </c>
      <c r="S3938" s="8">
        <v>0</v>
      </c>
      <c r="T3938" s="5">
        <v>0</v>
      </c>
      <c r="U3938" s="5">
        <v>0</v>
      </c>
      <c r="V3938" s="5">
        <f>VLOOKUP(A3938,Planilha1!B:E,4,0)</f>
        <v>-0.14425288609148015</v>
      </c>
    </row>
    <row r="3939" spans="1:22" x14ac:dyDescent="0.3">
      <c r="A3939" t="str">
        <f t="shared" si="122"/>
        <v>LEITE UHTITAMBÉ</v>
      </c>
      <c r="B3939" t="str">
        <f t="shared" si="123"/>
        <v>5224055LEITE UHTITAMBÉ</v>
      </c>
      <c r="C3939" s="5" t="str">
        <f>VLOOKUP(F3939,'[1]DEPARA FOOD'!$B:$M,11,0)</f>
        <v>MAURICIO</v>
      </c>
      <c r="D3939" s="5" t="s">
        <v>17</v>
      </c>
      <c r="E3939" s="5" t="s">
        <v>44</v>
      </c>
      <c r="F3939" s="5">
        <v>5224055</v>
      </c>
      <c r="G3939" s="5" t="s">
        <v>1542</v>
      </c>
      <c r="H3939" s="5" t="s">
        <v>1636</v>
      </c>
      <c r="I3939" s="5" t="s">
        <v>27</v>
      </c>
      <c r="J3939" s="5" t="s">
        <v>156</v>
      </c>
      <c r="K3939" s="6">
        <v>0</v>
      </c>
      <c r="L3939" s="7">
        <v>0</v>
      </c>
      <c r="M3939" s="7">
        <v>0</v>
      </c>
      <c r="N3939" s="7">
        <v>0</v>
      </c>
      <c r="O3939" s="8">
        <v>0</v>
      </c>
      <c r="P3939" s="8">
        <v>0</v>
      </c>
      <c r="Q3939" s="8">
        <v>0</v>
      </c>
      <c r="R3939" s="8">
        <v>0</v>
      </c>
      <c r="S3939" s="8">
        <v>0</v>
      </c>
      <c r="T3939" s="5">
        <v>0</v>
      </c>
      <c r="U3939" s="5">
        <v>0</v>
      </c>
      <c r="V3939" s="5">
        <f>VLOOKUP(A3939,Planilha1!B:E,4,0)</f>
        <v>-0.14425288609148015</v>
      </c>
    </row>
    <row r="3940" spans="1:22" x14ac:dyDescent="0.3">
      <c r="A3940" t="str">
        <f t="shared" si="122"/>
        <v>LEITE UHTITAMBÉ</v>
      </c>
      <c r="B3940" t="str">
        <f t="shared" si="123"/>
        <v>5338003LEITE UHTITAMBÉ</v>
      </c>
      <c r="C3940" s="5" t="str">
        <f>VLOOKUP(F3940,'[1]DEPARA FOOD'!$B:$M,11,0)</f>
        <v>RODRIGO</v>
      </c>
      <c r="D3940" s="5" t="s">
        <v>833</v>
      </c>
      <c r="E3940" s="5" t="s">
        <v>852</v>
      </c>
      <c r="F3940" s="5">
        <v>5338003</v>
      </c>
      <c r="G3940" s="5" t="s">
        <v>874</v>
      </c>
      <c r="H3940" s="5" t="s">
        <v>40</v>
      </c>
      <c r="I3940" s="5" t="s">
        <v>27</v>
      </c>
      <c r="J3940" s="5" t="s">
        <v>156</v>
      </c>
      <c r="K3940" s="6">
        <v>0</v>
      </c>
      <c r="L3940" s="7">
        <v>0</v>
      </c>
      <c r="M3940" s="7">
        <v>0</v>
      </c>
      <c r="N3940" s="7">
        <v>0</v>
      </c>
      <c r="O3940" s="8">
        <v>0</v>
      </c>
      <c r="P3940" s="8">
        <v>0</v>
      </c>
      <c r="Q3940" s="8">
        <v>0</v>
      </c>
      <c r="R3940" s="8">
        <v>0</v>
      </c>
      <c r="S3940" s="8">
        <v>0</v>
      </c>
      <c r="T3940" s="5">
        <v>0</v>
      </c>
      <c r="U3940" s="5">
        <v>0</v>
      </c>
      <c r="V3940" s="5">
        <f>VLOOKUP(A3940,Planilha1!B:E,4,0)</f>
        <v>-0.14425288609148015</v>
      </c>
    </row>
    <row r="3941" spans="1:22" x14ac:dyDescent="0.3">
      <c r="A3941" t="str">
        <f t="shared" si="122"/>
        <v>LPD 25KGITAMBÉ</v>
      </c>
      <c r="B3941" t="str">
        <f t="shared" si="123"/>
        <v>5027659LPD 25KGITAMBÉ</v>
      </c>
      <c r="C3941" s="5" t="str">
        <f>VLOOKUP(F3941,'[1]DEPARA FOOD'!$B:$M,11,0)</f>
        <v>RODRIGO</v>
      </c>
      <c r="D3941" s="5" t="s">
        <v>903</v>
      </c>
      <c r="E3941" s="5" t="s">
        <v>904</v>
      </c>
      <c r="F3941" s="5">
        <v>5027659</v>
      </c>
      <c r="G3941" s="5" t="s">
        <v>914</v>
      </c>
      <c r="H3941" s="5" t="s">
        <v>88</v>
      </c>
      <c r="I3941" s="5" t="s">
        <v>27</v>
      </c>
      <c r="J3941" s="5" t="s">
        <v>43</v>
      </c>
      <c r="K3941" s="6">
        <v>0</v>
      </c>
      <c r="L3941" s="7">
        <v>0</v>
      </c>
      <c r="M3941" s="7">
        <v>0</v>
      </c>
      <c r="N3941" s="7">
        <v>0</v>
      </c>
      <c r="O3941" s="8">
        <v>0</v>
      </c>
      <c r="P3941" s="8">
        <v>0</v>
      </c>
      <c r="Q3941" s="8">
        <v>0</v>
      </c>
      <c r="R3941" s="8">
        <v>0</v>
      </c>
      <c r="S3941" s="8">
        <v>0</v>
      </c>
      <c r="T3941" s="5">
        <v>0</v>
      </c>
      <c r="U3941" s="5">
        <v>0</v>
      </c>
      <c r="V3941" s="5">
        <f>VLOOKUP(A3941,Planilha1!B:E,4,0)</f>
        <v>3.3372177319587628</v>
      </c>
    </row>
    <row r="3942" spans="1:22" x14ac:dyDescent="0.3">
      <c r="A3942" t="str">
        <f t="shared" si="122"/>
        <v>LPD 25KGITAMBÉ</v>
      </c>
      <c r="B3942" t="str">
        <f t="shared" si="123"/>
        <v>5044784LPD 25KGITAMBÉ</v>
      </c>
      <c r="C3942" s="5" t="str">
        <f>VLOOKUP(F3942,'[1]DEPARA FOOD'!$B:$M,11,0)</f>
        <v>RODRIGO</v>
      </c>
      <c r="D3942" s="5" t="s">
        <v>752</v>
      </c>
      <c r="E3942" s="5" t="s">
        <v>774</v>
      </c>
      <c r="F3942" s="5">
        <v>5044784</v>
      </c>
      <c r="G3942" s="5" t="s">
        <v>1542</v>
      </c>
      <c r="H3942" s="5" t="s">
        <v>1636</v>
      </c>
      <c r="I3942" s="5" t="s">
        <v>27</v>
      </c>
      <c r="J3942" s="5" t="s">
        <v>43</v>
      </c>
      <c r="K3942" s="6">
        <v>0</v>
      </c>
      <c r="L3942" s="7">
        <v>0</v>
      </c>
      <c r="M3942" s="7">
        <v>0</v>
      </c>
      <c r="N3942" s="7">
        <v>0</v>
      </c>
      <c r="O3942" s="8">
        <v>0</v>
      </c>
      <c r="P3942" s="8">
        <v>0</v>
      </c>
      <c r="Q3942" s="8">
        <v>0</v>
      </c>
      <c r="R3942" s="8">
        <v>0</v>
      </c>
      <c r="S3942" s="8">
        <v>0</v>
      </c>
      <c r="T3942" s="5">
        <v>0</v>
      </c>
      <c r="U3942" s="5">
        <v>0</v>
      </c>
      <c r="V3942" s="5">
        <f>VLOOKUP(A3942,Planilha1!B:E,4,0)</f>
        <v>3.3372177319587628</v>
      </c>
    </row>
    <row r="3943" spans="1:22" x14ac:dyDescent="0.3">
      <c r="A3943" t="str">
        <f t="shared" si="122"/>
        <v>LPD 25KGITAMBÉ</v>
      </c>
      <c r="B3943" t="str">
        <f t="shared" si="123"/>
        <v>5144654LPD 25KGITAMBÉ</v>
      </c>
      <c r="C3943" s="5" t="str">
        <f>VLOOKUP(F3943,'[1]DEPARA FOOD'!$B:$M,11,0)</f>
        <v>RODRIGO</v>
      </c>
      <c r="D3943" s="5" t="s">
        <v>833</v>
      </c>
      <c r="E3943" s="5" t="s">
        <v>852</v>
      </c>
      <c r="F3943" s="5">
        <v>5144654</v>
      </c>
      <c r="G3943" s="5" t="s">
        <v>1542</v>
      </c>
      <c r="H3943" s="5" t="s">
        <v>1636</v>
      </c>
      <c r="I3943" s="5" t="s">
        <v>27</v>
      </c>
      <c r="J3943" s="5" t="s">
        <v>43</v>
      </c>
      <c r="K3943" s="6">
        <v>0</v>
      </c>
      <c r="L3943" s="7">
        <v>0</v>
      </c>
      <c r="M3943" s="7">
        <v>0</v>
      </c>
      <c r="N3943" s="7">
        <v>0</v>
      </c>
      <c r="O3943" s="8">
        <v>0</v>
      </c>
      <c r="P3943" s="8">
        <v>0</v>
      </c>
      <c r="Q3943" s="8">
        <v>0</v>
      </c>
      <c r="R3943" s="8">
        <v>0</v>
      </c>
      <c r="S3943" s="8">
        <v>0</v>
      </c>
      <c r="T3943" s="5">
        <v>0</v>
      </c>
      <c r="U3943" s="5">
        <v>0</v>
      </c>
      <c r="V3943" s="5">
        <f>VLOOKUP(A3943,Planilha1!B:E,4,0)</f>
        <v>3.3372177319587628</v>
      </c>
    </row>
    <row r="3944" spans="1:22" x14ac:dyDescent="0.3">
      <c r="A3944" t="str">
        <f t="shared" si="122"/>
        <v>LPD 25KGITAMBÉ</v>
      </c>
      <c r="B3944" t="str">
        <f t="shared" si="123"/>
        <v>5147016LPD 25KGITAMBÉ</v>
      </c>
      <c r="C3944" s="5" t="str">
        <f>VLOOKUP(F3944,'[1]DEPARA FOOD'!$B:$M,11,0)</f>
        <v>RODRIGO</v>
      </c>
      <c r="D3944" s="5" t="s">
        <v>903</v>
      </c>
      <c r="E3944" s="5" t="s">
        <v>904</v>
      </c>
      <c r="F3944" s="5">
        <v>5147016</v>
      </c>
      <c r="G3944" s="5" t="s">
        <v>918</v>
      </c>
      <c r="H3944" s="5" t="s">
        <v>113</v>
      </c>
      <c r="I3944" s="5" t="s">
        <v>27</v>
      </c>
      <c r="J3944" s="5" t="s">
        <v>43</v>
      </c>
      <c r="K3944" s="6">
        <v>0</v>
      </c>
      <c r="L3944" s="7">
        <v>0</v>
      </c>
      <c r="M3944" s="7">
        <v>0</v>
      </c>
      <c r="N3944" s="7">
        <v>0</v>
      </c>
      <c r="O3944" s="8">
        <v>0</v>
      </c>
      <c r="P3944" s="8">
        <v>0</v>
      </c>
      <c r="Q3944" s="8">
        <v>0</v>
      </c>
      <c r="R3944" s="8">
        <v>0</v>
      </c>
      <c r="S3944" s="8">
        <v>0</v>
      </c>
      <c r="T3944" s="5">
        <v>0</v>
      </c>
      <c r="U3944" s="5">
        <v>0</v>
      </c>
      <c r="V3944" s="5">
        <f>VLOOKUP(A3944,Planilha1!B:E,4,0)</f>
        <v>3.3372177319587628</v>
      </c>
    </row>
    <row r="3945" spans="1:22" x14ac:dyDescent="0.3">
      <c r="A3945" t="str">
        <f t="shared" si="122"/>
        <v>LPD 25KGITAMBÉ</v>
      </c>
      <c r="B3945" t="str">
        <f t="shared" si="123"/>
        <v>5157891LPD 25KGITAMBÉ</v>
      </c>
      <c r="C3945" s="5" t="str">
        <f>VLOOKUP(F3945,'[1]DEPARA FOOD'!$B:$M,11,0)</f>
        <v>RODRIGO</v>
      </c>
      <c r="D3945" s="5" t="s">
        <v>815</v>
      </c>
      <c r="E3945" s="5" t="s">
        <v>815</v>
      </c>
      <c r="F3945" s="5">
        <v>5157891</v>
      </c>
      <c r="G3945" s="5" t="s">
        <v>1542</v>
      </c>
      <c r="H3945" s="5" t="s">
        <v>1636</v>
      </c>
      <c r="I3945" s="5" t="s">
        <v>27</v>
      </c>
      <c r="J3945" s="5" t="s">
        <v>43</v>
      </c>
      <c r="K3945" s="6">
        <v>0</v>
      </c>
      <c r="L3945" s="7">
        <v>0</v>
      </c>
      <c r="M3945" s="7">
        <v>0</v>
      </c>
      <c r="N3945" s="7">
        <v>0</v>
      </c>
      <c r="O3945" s="8">
        <v>0</v>
      </c>
      <c r="P3945" s="8">
        <v>0</v>
      </c>
      <c r="Q3945" s="8">
        <v>0</v>
      </c>
      <c r="R3945" s="8">
        <v>0</v>
      </c>
      <c r="S3945" s="8">
        <v>0</v>
      </c>
      <c r="T3945" s="5">
        <v>0</v>
      </c>
      <c r="U3945" s="5">
        <v>0</v>
      </c>
      <c r="V3945" s="5">
        <f>VLOOKUP(A3945,Planilha1!B:E,4,0)</f>
        <v>3.3372177319587628</v>
      </c>
    </row>
    <row r="3946" spans="1:22" x14ac:dyDescent="0.3">
      <c r="A3946" t="str">
        <f t="shared" si="122"/>
        <v>LPD 25KGITAMBÉ</v>
      </c>
      <c r="B3946" t="str">
        <f t="shared" si="123"/>
        <v>5160852LPD 25KGITAMBÉ</v>
      </c>
      <c r="C3946" s="5" t="str">
        <f>VLOOKUP(F3946,'[1]DEPARA FOOD'!$B:$M,11,0)</f>
        <v>RODRIGO</v>
      </c>
      <c r="D3946" s="5" t="s">
        <v>727</v>
      </c>
      <c r="E3946" s="5" t="s">
        <v>733</v>
      </c>
      <c r="F3946" s="5">
        <v>5160852</v>
      </c>
      <c r="G3946" s="5" t="s">
        <v>745</v>
      </c>
      <c r="H3946" s="5" t="s">
        <v>25</v>
      </c>
      <c r="I3946" s="5" t="s">
        <v>27</v>
      </c>
      <c r="J3946" s="5" t="s">
        <v>43</v>
      </c>
      <c r="K3946" s="6">
        <v>0</v>
      </c>
      <c r="L3946" s="7">
        <v>0</v>
      </c>
      <c r="M3946" s="7">
        <v>0</v>
      </c>
      <c r="N3946" s="7">
        <v>0</v>
      </c>
      <c r="O3946" s="8">
        <v>0</v>
      </c>
      <c r="P3946" s="8">
        <v>0</v>
      </c>
      <c r="Q3946" s="8">
        <v>0</v>
      </c>
      <c r="R3946" s="8">
        <v>0</v>
      </c>
      <c r="S3946" s="8">
        <v>0</v>
      </c>
      <c r="T3946" s="5">
        <v>0</v>
      </c>
      <c r="U3946" s="5">
        <v>0</v>
      </c>
      <c r="V3946" s="5">
        <f>VLOOKUP(A3946,Planilha1!B:E,4,0)</f>
        <v>3.3372177319587628</v>
      </c>
    </row>
    <row r="3947" spans="1:22" x14ac:dyDescent="0.3">
      <c r="A3947" t="str">
        <f t="shared" si="122"/>
        <v>LPD 25KGITAMBÉ</v>
      </c>
      <c r="B3947" t="str">
        <f t="shared" si="123"/>
        <v>5166328LPD 25KGITAMBÉ</v>
      </c>
      <c r="C3947" s="5" t="str">
        <f>VLOOKUP(F3947,'[1]DEPARA FOOD'!$B:$M,11,0)</f>
        <v>RODRIGO</v>
      </c>
      <c r="D3947" s="5" t="s">
        <v>903</v>
      </c>
      <c r="E3947" s="5" t="s">
        <v>904</v>
      </c>
      <c r="F3947" s="5">
        <v>5166328</v>
      </c>
      <c r="G3947" s="5" t="s">
        <v>1542</v>
      </c>
      <c r="H3947" s="5" t="s">
        <v>1636</v>
      </c>
      <c r="I3947" s="5" t="s">
        <v>27</v>
      </c>
      <c r="J3947" s="5" t="s">
        <v>43</v>
      </c>
      <c r="K3947" s="6">
        <v>0</v>
      </c>
      <c r="L3947" s="7">
        <v>0</v>
      </c>
      <c r="M3947" s="7">
        <v>0</v>
      </c>
      <c r="N3947" s="7">
        <v>0</v>
      </c>
      <c r="O3947" s="8">
        <v>0</v>
      </c>
      <c r="P3947" s="8">
        <v>0</v>
      </c>
      <c r="Q3947" s="8">
        <v>0</v>
      </c>
      <c r="R3947" s="8">
        <v>0</v>
      </c>
      <c r="S3947" s="8">
        <v>0</v>
      </c>
      <c r="T3947" s="5">
        <v>0</v>
      </c>
      <c r="U3947" s="5">
        <v>0</v>
      </c>
      <c r="V3947" s="5">
        <f>VLOOKUP(A3947,Planilha1!B:E,4,0)</f>
        <v>3.3372177319587628</v>
      </c>
    </row>
    <row r="3948" spans="1:22" x14ac:dyDescent="0.3">
      <c r="A3948" t="str">
        <f t="shared" si="122"/>
        <v>LPD 25KGITAMBÉ</v>
      </c>
      <c r="B3948" t="str">
        <f t="shared" si="123"/>
        <v>5261089LPD 25KGITAMBÉ</v>
      </c>
      <c r="C3948" s="5" t="str">
        <f>VLOOKUP(F3948,'[1]DEPARA FOOD'!$B:$M,11,0)</f>
        <v>RODRIGO</v>
      </c>
      <c r="D3948" s="5" t="s">
        <v>227</v>
      </c>
      <c r="E3948" s="5" t="s">
        <v>703</v>
      </c>
      <c r="F3948" s="5">
        <v>5261089</v>
      </c>
      <c r="G3948" s="5" t="s">
        <v>1542</v>
      </c>
      <c r="H3948" s="5" t="s">
        <v>1636</v>
      </c>
      <c r="I3948" s="5" t="s">
        <v>27</v>
      </c>
      <c r="J3948" s="5" t="s">
        <v>43</v>
      </c>
      <c r="K3948" s="6">
        <v>0</v>
      </c>
      <c r="L3948" s="7">
        <v>0</v>
      </c>
      <c r="M3948" s="7">
        <v>0</v>
      </c>
      <c r="N3948" s="7">
        <v>0</v>
      </c>
      <c r="O3948" s="8">
        <v>0</v>
      </c>
      <c r="P3948" s="8">
        <v>0</v>
      </c>
      <c r="Q3948" s="8">
        <v>0</v>
      </c>
      <c r="R3948" s="8">
        <v>0</v>
      </c>
      <c r="S3948" s="8">
        <v>0</v>
      </c>
      <c r="T3948" s="5">
        <v>0</v>
      </c>
      <c r="U3948" s="5">
        <v>0</v>
      </c>
      <c r="V3948" s="5">
        <f>VLOOKUP(A3948,Planilha1!B:E,4,0)</f>
        <v>3.3372177319587628</v>
      </c>
    </row>
    <row r="3949" spans="1:22" x14ac:dyDescent="0.3">
      <c r="A3949" t="str">
        <f t="shared" si="122"/>
        <v>LPD 25KGITAMBÉ</v>
      </c>
      <c r="B3949" t="str">
        <f t="shared" si="123"/>
        <v>5338666LPD 25KGITAMBÉ</v>
      </c>
      <c r="C3949" s="5" t="str">
        <f>VLOOKUP(F3949,'[1]DEPARA FOOD'!$B:$M,11,0)</f>
        <v>RODRIGO</v>
      </c>
      <c r="D3949" s="5" t="s">
        <v>833</v>
      </c>
      <c r="E3949" s="5" t="s">
        <v>843</v>
      </c>
      <c r="F3949" s="5">
        <v>5338666</v>
      </c>
      <c r="G3949" s="5" t="s">
        <v>845</v>
      </c>
      <c r="H3949" s="5" t="s">
        <v>846</v>
      </c>
      <c r="I3949" s="5" t="s">
        <v>27</v>
      </c>
      <c r="J3949" s="5" t="s">
        <v>43</v>
      </c>
      <c r="K3949" s="6">
        <v>0</v>
      </c>
      <c r="L3949" s="7">
        <v>0</v>
      </c>
      <c r="M3949" s="7">
        <v>0</v>
      </c>
      <c r="N3949" s="7">
        <v>0</v>
      </c>
      <c r="O3949" s="8">
        <v>0</v>
      </c>
      <c r="P3949" s="8">
        <v>0</v>
      </c>
      <c r="Q3949" s="8">
        <v>0</v>
      </c>
      <c r="R3949" s="8">
        <v>0</v>
      </c>
      <c r="S3949" s="8">
        <v>0</v>
      </c>
      <c r="T3949" s="5">
        <v>0</v>
      </c>
      <c r="U3949" s="5">
        <v>0</v>
      </c>
      <c r="V3949" s="5">
        <f>VLOOKUP(A3949,Planilha1!B:E,4,0)</f>
        <v>3.3372177319587628</v>
      </c>
    </row>
    <row r="3950" spans="1:22" x14ac:dyDescent="0.3">
      <c r="A3950" t="str">
        <f t="shared" si="122"/>
        <v>LPI 25KGITAMBÉ</v>
      </c>
      <c r="B3950" t="str">
        <f t="shared" si="123"/>
        <v>5043898LPI 25KGITAMBÉ</v>
      </c>
      <c r="C3950" s="5" t="str">
        <f>VLOOKUP(F3950,'[1]DEPARA FOOD'!$B:$M,11,0)</f>
        <v>PEDRO</v>
      </c>
      <c r="D3950" s="5" t="s">
        <v>150</v>
      </c>
      <c r="E3950" s="5" t="s">
        <v>186</v>
      </c>
      <c r="F3950" s="5">
        <v>5043898</v>
      </c>
      <c r="G3950" s="5" t="s">
        <v>187</v>
      </c>
      <c r="H3950" s="5" t="s">
        <v>113</v>
      </c>
      <c r="I3950" s="5" t="s">
        <v>27</v>
      </c>
      <c r="J3950" s="5" t="s">
        <v>21</v>
      </c>
      <c r="K3950" s="6">
        <v>0</v>
      </c>
      <c r="L3950" s="7">
        <v>0</v>
      </c>
      <c r="M3950" s="7">
        <v>0</v>
      </c>
      <c r="N3950" s="7">
        <v>0</v>
      </c>
      <c r="O3950" s="8">
        <v>0</v>
      </c>
      <c r="P3950" s="8">
        <v>0</v>
      </c>
      <c r="Q3950" s="8">
        <v>0</v>
      </c>
      <c r="R3950" s="8">
        <v>0</v>
      </c>
      <c r="S3950" s="8">
        <v>0</v>
      </c>
      <c r="T3950" s="5">
        <v>0</v>
      </c>
      <c r="U3950" s="5">
        <v>0</v>
      </c>
      <c r="V3950" s="5">
        <f>VLOOKUP(A3950,Planilha1!B:E,4,0)</f>
        <v>-1.218192805504376</v>
      </c>
    </row>
    <row r="3951" spans="1:22" x14ac:dyDescent="0.3">
      <c r="A3951" t="str">
        <f t="shared" si="122"/>
        <v>LPI 25KGITAMBÉ</v>
      </c>
      <c r="B3951" t="str">
        <f t="shared" si="123"/>
        <v>5127060LPI 25KGITAMBÉ</v>
      </c>
      <c r="C3951" s="5" t="str">
        <f>VLOOKUP(F3951,'[1]DEPARA FOOD'!$B:$M,11,0)</f>
        <v>RODRIGO</v>
      </c>
      <c r="D3951" s="5" t="s">
        <v>727</v>
      </c>
      <c r="E3951" s="5" t="s">
        <v>733</v>
      </c>
      <c r="F3951" s="5">
        <v>5127060</v>
      </c>
      <c r="G3951" s="5" t="s">
        <v>741</v>
      </c>
      <c r="H3951" s="5" t="s">
        <v>25</v>
      </c>
      <c r="I3951" s="5" t="s">
        <v>27</v>
      </c>
      <c r="J3951" s="5" t="s">
        <v>21</v>
      </c>
      <c r="K3951" s="6">
        <v>0</v>
      </c>
      <c r="L3951" s="7">
        <v>0</v>
      </c>
      <c r="M3951" s="7">
        <v>0</v>
      </c>
      <c r="N3951" s="7">
        <v>0</v>
      </c>
      <c r="O3951" s="8">
        <v>0</v>
      </c>
      <c r="P3951" s="8">
        <v>0</v>
      </c>
      <c r="Q3951" s="8">
        <v>0</v>
      </c>
      <c r="R3951" s="8">
        <v>0</v>
      </c>
      <c r="S3951" s="8">
        <v>0</v>
      </c>
      <c r="T3951" s="5">
        <v>0</v>
      </c>
      <c r="U3951" s="5">
        <v>0</v>
      </c>
      <c r="V3951" s="5">
        <f>VLOOKUP(A3951,Planilha1!B:E,4,0)</f>
        <v>-1.218192805504376</v>
      </c>
    </row>
    <row r="3952" spans="1:22" x14ac:dyDescent="0.3">
      <c r="A3952" t="str">
        <f t="shared" si="122"/>
        <v>LPI 25KGITAMBÉ</v>
      </c>
      <c r="B3952" t="str">
        <f t="shared" si="123"/>
        <v>5174259LPI 25KGITAMBÉ</v>
      </c>
      <c r="C3952" s="5" t="str">
        <f>VLOOKUP(F3952,'[1]DEPARA FOOD'!$B:$M,11,0)</f>
        <v>RODRIGO</v>
      </c>
      <c r="D3952" s="5" t="s">
        <v>752</v>
      </c>
      <c r="E3952" s="5" t="s">
        <v>774</v>
      </c>
      <c r="F3952" s="5">
        <v>5174259</v>
      </c>
      <c r="G3952" s="5" t="s">
        <v>1542</v>
      </c>
      <c r="H3952" s="5" t="s">
        <v>1636</v>
      </c>
      <c r="I3952" s="5" t="s">
        <v>27</v>
      </c>
      <c r="J3952" s="5" t="s">
        <v>21</v>
      </c>
      <c r="K3952" s="6">
        <v>0</v>
      </c>
      <c r="L3952" s="7">
        <v>0</v>
      </c>
      <c r="M3952" s="7">
        <v>0</v>
      </c>
      <c r="N3952" s="7">
        <v>0</v>
      </c>
      <c r="O3952" s="8">
        <v>0</v>
      </c>
      <c r="P3952" s="8">
        <v>0</v>
      </c>
      <c r="Q3952" s="8">
        <v>0</v>
      </c>
      <c r="R3952" s="8">
        <v>0</v>
      </c>
      <c r="S3952" s="8">
        <v>0</v>
      </c>
      <c r="T3952" s="5">
        <v>0</v>
      </c>
      <c r="U3952" s="5">
        <v>0</v>
      </c>
      <c r="V3952" s="5">
        <f>VLOOKUP(A3952,Planilha1!B:E,4,0)</f>
        <v>-1.218192805504376</v>
      </c>
    </row>
    <row r="3953" spans="1:22" x14ac:dyDescent="0.3">
      <c r="A3953" t="str">
        <f t="shared" si="122"/>
        <v>LPI 25KGITAMBÉ</v>
      </c>
      <c r="B3953" t="str">
        <f t="shared" si="123"/>
        <v>5208028LPI 25KGITAMBÉ</v>
      </c>
      <c r="C3953" s="5" t="str">
        <f>VLOOKUP(F3953,'[1]DEPARA FOOD'!$B:$M,11,0)</f>
        <v>MAURICIO</v>
      </c>
      <c r="D3953" s="5" t="s">
        <v>28</v>
      </c>
      <c r="E3953" s="5" t="s">
        <v>28</v>
      </c>
      <c r="F3953" s="5">
        <v>5208028</v>
      </c>
      <c r="G3953" s="5" t="s">
        <v>1542</v>
      </c>
      <c r="H3953" s="5" t="s">
        <v>1636</v>
      </c>
      <c r="I3953" s="5" t="s">
        <v>27</v>
      </c>
      <c r="J3953" s="5" t="s">
        <v>21</v>
      </c>
      <c r="K3953" s="6">
        <v>0</v>
      </c>
      <c r="L3953" s="7">
        <v>0</v>
      </c>
      <c r="M3953" s="7">
        <v>0</v>
      </c>
      <c r="N3953" s="7">
        <v>0</v>
      </c>
      <c r="O3953" s="8">
        <v>0</v>
      </c>
      <c r="P3953" s="8">
        <v>0</v>
      </c>
      <c r="Q3953" s="8">
        <v>0</v>
      </c>
      <c r="R3953" s="8">
        <v>0</v>
      </c>
      <c r="S3953" s="8">
        <v>0</v>
      </c>
      <c r="T3953" s="5">
        <v>0</v>
      </c>
      <c r="U3953" s="5">
        <v>0</v>
      </c>
      <c r="V3953" s="5">
        <f>VLOOKUP(A3953,Planilha1!B:E,4,0)</f>
        <v>-1.218192805504376</v>
      </c>
    </row>
    <row r="3954" spans="1:22" x14ac:dyDescent="0.3">
      <c r="A3954" t="str">
        <f t="shared" si="122"/>
        <v>LPI 25KGITAMBÉ</v>
      </c>
      <c r="B3954" t="str">
        <f t="shared" si="123"/>
        <v>5213484LPI 25KGITAMBÉ</v>
      </c>
      <c r="C3954" s="5" t="str">
        <f>VLOOKUP(F3954,'[1]DEPARA FOOD'!$B:$M,11,0)</f>
        <v>RODRIGO</v>
      </c>
      <c r="D3954" s="5" t="s">
        <v>227</v>
      </c>
      <c r="E3954" s="5" t="s">
        <v>231</v>
      </c>
      <c r="F3954" s="5">
        <v>5213484</v>
      </c>
      <c r="G3954" s="5" t="s">
        <v>1542</v>
      </c>
      <c r="H3954" s="5" t="s">
        <v>1636</v>
      </c>
      <c r="I3954" s="5" t="s">
        <v>27</v>
      </c>
      <c r="J3954" s="5" t="s">
        <v>21</v>
      </c>
      <c r="K3954" s="6">
        <v>0</v>
      </c>
      <c r="L3954" s="7">
        <v>0</v>
      </c>
      <c r="M3954" s="7">
        <v>0</v>
      </c>
      <c r="N3954" s="7">
        <v>0</v>
      </c>
      <c r="O3954" s="8">
        <v>0</v>
      </c>
      <c r="P3954" s="8">
        <v>0</v>
      </c>
      <c r="Q3954" s="8">
        <v>0</v>
      </c>
      <c r="R3954" s="8">
        <v>0</v>
      </c>
      <c r="S3954" s="8">
        <v>0</v>
      </c>
      <c r="T3954" s="5">
        <v>0</v>
      </c>
      <c r="U3954" s="5">
        <v>0</v>
      </c>
      <c r="V3954" s="5">
        <f>VLOOKUP(A3954,Planilha1!B:E,4,0)</f>
        <v>-1.218192805504376</v>
      </c>
    </row>
    <row r="3955" spans="1:22" x14ac:dyDescent="0.3">
      <c r="A3955" t="str">
        <f t="shared" si="122"/>
        <v>LPI 25KGITAMBÉ</v>
      </c>
      <c r="B3955" t="str">
        <f t="shared" si="123"/>
        <v>5342745LPI 25KGITAMBÉ</v>
      </c>
      <c r="C3955" s="5" t="str">
        <f>VLOOKUP(F3955,'[1]DEPARA FOOD'!$B:$M,11,0)</f>
        <v>MAURICIO</v>
      </c>
      <c r="D3955" s="5" t="s">
        <v>53</v>
      </c>
      <c r="E3955" s="5" t="s">
        <v>23</v>
      </c>
      <c r="F3955" s="5">
        <v>5342745</v>
      </c>
      <c r="G3955" s="5" t="s">
        <v>120</v>
      </c>
      <c r="H3955" s="5" t="s">
        <v>110</v>
      </c>
      <c r="I3955" s="5" t="s">
        <v>27</v>
      </c>
      <c r="J3955" s="5" t="s">
        <v>21</v>
      </c>
      <c r="K3955" s="6">
        <v>0</v>
      </c>
      <c r="L3955" s="7">
        <v>0</v>
      </c>
      <c r="M3955" s="7">
        <v>0</v>
      </c>
      <c r="N3955" s="7">
        <v>0</v>
      </c>
      <c r="O3955" s="8">
        <v>0</v>
      </c>
      <c r="P3955" s="8">
        <v>0</v>
      </c>
      <c r="Q3955" s="8">
        <v>0</v>
      </c>
      <c r="R3955" s="8">
        <v>0</v>
      </c>
      <c r="S3955" s="8">
        <v>0</v>
      </c>
      <c r="T3955" s="5">
        <v>0</v>
      </c>
      <c r="U3955" s="5">
        <v>0</v>
      </c>
      <c r="V3955" s="5">
        <f>VLOOKUP(A3955,Planilha1!B:E,4,0)</f>
        <v>-1.218192805504376</v>
      </c>
    </row>
    <row r="3956" spans="1:22" x14ac:dyDescent="0.3">
      <c r="A3956" t="str">
        <f t="shared" si="122"/>
        <v>LPI 25KGITAMBÉ</v>
      </c>
      <c r="B3956" t="str">
        <f t="shared" si="123"/>
        <v>5347237LPI 25KGITAMBÉ</v>
      </c>
      <c r="C3956" s="5" t="str">
        <f>VLOOKUP(F3956,'[1]DEPARA FOOD'!$B:$M,11,0)</f>
        <v>MAURICIO</v>
      </c>
      <c r="D3956" s="5" t="s">
        <v>28</v>
      </c>
      <c r="E3956" s="5" t="s">
        <v>23</v>
      </c>
      <c r="F3956" s="5">
        <v>5347237</v>
      </c>
      <c r="G3956" s="5" t="s">
        <v>161</v>
      </c>
      <c r="H3956" s="5" t="s">
        <v>30</v>
      </c>
      <c r="I3956" s="5" t="s">
        <v>27</v>
      </c>
      <c r="J3956" s="5" t="s">
        <v>21</v>
      </c>
      <c r="K3956" s="6">
        <v>0</v>
      </c>
      <c r="L3956" s="7">
        <v>0</v>
      </c>
      <c r="M3956" s="7">
        <v>0</v>
      </c>
      <c r="N3956" s="7">
        <v>0</v>
      </c>
      <c r="O3956" s="8">
        <v>0</v>
      </c>
      <c r="P3956" s="8">
        <v>0</v>
      </c>
      <c r="Q3956" s="8">
        <v>0</v>
      </c>
      <c r="R3956" s="8">
        <v>0</v>
      </c>
      <c r="S3956" s="8">
        <v>0</v>
      </c>
      <c r="T3956" s="5">
        <v>0</v>
      </c>
      <c r="U3956" s="5">
        <v>0</v>
      </c>
      <c r="V3956" s="5">
        <f>VLOOKUP(A3956,Planilha1!B:E,4,0)</f>
        <v>-1.218192805504376</v>
      </c>
    </row>
    <row r="3957" spans="1:22" x14ac:dyDescent="0.3">
      <c r="A3957" t="str">
        <f t="shared" si="122"/>
        <v>LPI 25KGITAMBÉ</v>
      </c>
      <c r="B3957" t="str">
        <f t="shared" si="123"/>
        <v>5351706LPI 25KGITAMBÉ</v>
      </c>
      <c r="C3957" s="5" t="str">
        <f>VLOOKUP(F3957,'[1]DEPARA FOOD'!$B:$M,11,0)</f>
        <v>MAURICIO</v>
      </c>
      <c r="D3957" s="5" t="s">
        <v>53</v>
      </c>
      <c r="E3957" s="5" t="s">
        <v>54</v>
      </c>
      <c r="F3957" s="5">
        <v>5351706</v>
      </c>
      <c r="G3957" s="5" t="s">
        <v>1542</v>
      </c>
      <c r="H3957" s="5" t="s">
        <v>1636</v>
      </c>
      <c r="I3957" s="5" t="s">
        <v>27</v>
      </c>
      <c r="J3957" s="5" t="s">
        <v>21</v>
      </c>
      <c r="K3957" s="6">
        <v>0</v>
      </c>
      <c r="L3957" s="7">
        <v>0</v>
      </c>
      <c r="M3957" s="7">
        <v>0</v>
      </c>
      <c r="N3957" s="7">
        <v>0</v>
      </c>
      <c r="O3957" s="8">
        <v>0</v>
      </c>
      <c r="P3957" s="8">
        <v>0</v>
      </c>
      <c r="Q3957" s="8">
        <v>0</v>
      </c>
      <c r="R3957" s="8">
        <v>0</v>
      </c>
      <c r="S3957" s="8">
        <v>0</v>
      </c>
      <c r="T3957" s="5">
        <v>0</v>
      </c>
      <c r="U3957" s="5">
        <v>0</v>
      </c>
      <c r="V3957" s="5">
        <f>VLOOKUP(A3957,Planilha1!B:E,4,0)</f>
        <v>-1.218192805504376</v>
      </c>
    </row>
    <row r="3958" spans="1:22" x14ac:dyDescent="0.3">
      <c r="A3958" t="str">
        <f t="shared" si="122"/>
        <v>MANTEIGA 25KGITAMBÉ</v>
      </c>
      <c r="B3958" t="str">
        <f t="shared" si="123"/>
        <v>5339140MANTEIGA 25KGITAMBÉ</v>
      </c>
      <c r="C3958" s="5" t="str">
        <f>VLOOKUP(F3958,'[1]DEPARA FOOD'!$B:$M,11,0)</f>
        <v>MAURICIO</v>
      </c>
      <c r="D3958" s="5" t="s">
        <v>53</v>
      </c>
      <c r="E3958" s="5" t="s">
        <v>23</v>
      </c>
      <c r="F3958" s="5">
        <v>5339140</v>
      </c>
      <c r="G3958" s="5" t="s">
        <v>119</v>
      </c>
      <c r="H3958" s="5" t="s">
        <v>110</v>
      </c>
      <c r="I3958" s="5" t="s">
        <v>27</v>
      </c>
      <c r="J3958" s="5" t="s">
        <v>92</v>
      </c>
      <c r="K3958" s="6">
        <v>0</v>
      </c>
      <c r="L3958" s="7">
        <v>0</v>
      </c>
      <c r="M3958" s="7">
        <v>0</v>
      </c>
      <c r="N3958" s="7">
        <v>0</v>
      </c>
      <c r="O3958" s="8">
        <v>0</v>
      </c>
      <c r="P3958" s="8">
        <v>0</v>
      </c>
      <c r="Q3958" s="8">
        <v>0</v>
      </c>
      <c r="R3958" s="8">
        <v>0</v>
      </c>
      <c r="S3958" s="8">
        <v>0</v>
      </c>
      <c r="T3958" s="5">
        <v>0</v>
      </c>
      <c r="U3958" s="5">
        <v>0</v>
      </c>
      <c r="V3958" s="5">
        <f>VLOOKUP(A3958,Planilha1!B:E,4,0)</f>
        <v>-0.89302458333333634</v>
      </c>
    </row>
    <row r="3959" spans="1:22" x14ac:dyDescent="0.3">
      <c r="A3959" t="str">
        <f t="shared" si="122"/>
        <v>MANTEIGA 5KGITAMBÉ</v>
      </c>
      <c r="B3959" t="str">
        <f t="shared" si="123"/>
        <v>5161553MANTEIGA 5KGITAMBÉ</v>
      </c>
      <c r="C3959" s="5" t="str">
        <f>VLOOKUP(F3959,'[1]DEPARA FOOD'!$B:$M,11,0)</f>
        <v>PEDRO</v>
      </c>
      <c r="D3959" s="5" t="s">
        <v>150</v>
      </c>
      <c r="E3959" s="5" t="s">
        <v>151</v>
      </c>
      <c r="F3959" s="5">
        <v>5161553</v>
      </c>
      <c r="G3959" s="5" t="s">
        <v>1542</v>
      </c>
      <c r="H3959" s="5" t="s">
        <v>1636</v>
      </c>
      <c r="I3959" s="5" t="s">
        <v>27</v>
      </c>
      <c r="J3959" s="5" t="s">
        <v>60</v>
      </c>
      <c r="K3959" s="6">
        <v>0</v>
      </c>
      <c r="L3959" s="7">
        <v>0</v>
      </c>
      <c r="M3959" s="7">
        <v>0</v>
      </c>
      <c r="N3959" s="7">
        <v>0</v>
      </c>
      <c r="O3959" s="8">
        <v>0</v>
      </c>
      <c r="P3959" s="8">
        <v>0</v>
      </c>
      <c r="Q3959" s="8">
        <v>0</v>
      </c>
      <c r="R3959" s="8">
        <v>0</v>
      </c>
      <c r="S3959" s="8">
        <v>0</v>
      </c>
      <c r="T3959" s="5">
        <v>0</v>
      </c>
      <c r="U3959" s="5">
        <v>0</v>
      </c>
      <c r="V3959" s="5">
        <f>VLOOKUP(A3959,Planilha1!B:E,4,0)</f>
        <v>5.819800475298738</v>
      </c>
    </row>
    <row r="3960" spans="1:22" x14ac:dyDescent="0.3">
      <c r="A3960" t="str">
        <f t="shared" si="122"/>
        <v>MANTEIGA 5KGITAMBÉ</v>
      </c>
      <c r="B3960" t="str">
        <f t="shared" si="123"/>
        <v>5171550MANTEIGA 5KGITAMBÉ</v>
      </c>
      <c r="C3960" s="5" t="str">
        <f>VLOOKUP(F3960,'[1]DEPARA FOOD'!$B:$M,11,0)</f>
        <v>PEDRO</v>
      </c>
      <c r="D3960" s="5" t="s">
        <v>150</v>
      </c>
      <c r="E3960" s="5" t="s">
        <v>186</v>
      </c>
      <c r="F3960" s="5">
        <v>5171550</v>
      </c>
      <c r="G3960" s="5" t="s">
        <v>1542</v>
      </c>
      <c r="H3960" s="5" t="s">
        <v>1636</v>
      </c>
      <c r="I3960" s="5" t="s">
        <v>27</v>
      </c>
      <c r="J3960" s="5" t="s">
        <v>60</v>
      </c>
      <c r="K3960" s="6">
        <v>0</v>
      </c>
      <c r="L3960" s="7">
        <v>0</v>
      </c>
      <c r="M3960" s="7">
        <v>0</v>
      </c>
      <c r="N3960" s="7">
        <v>0</v>
      </c>
      <c r="O3960" s="8">
        <v>0</v>
      </c>
      <c r="P3960" s="8">
        <v>0</v>
      </c>
      <c r="Q3960" s="8">
        <v>0</v>
      </c>
      <c r="R3960" s="8">
        <v>0</v>
      </c>
      <c r="S3960" s="8">
        <v>0</v>
      </c>
      <c r="T3960" s="5">
        <v>0</v>
      </c>
      <c r="U3960" s="5">
        <v>0</v>
      </c>
      <c r="V3960" s="5">
        <f>VLOOKUP(A3960,Planilha1!B:E,4,0)</f>
        <v>5.819800475298738</v>
      </c>
    </row>
    <row r="3961" spans="1:22" x14ac:dyDescent="0.3">
      <c r="A3961" t="str">
        <f t="shared" si="122"/>
        <v>MANTEIGA 5KGITAMBÉ</v>
      </c>
      <c r="B3961" t="str">
        <f t="shared" si="123"/>
        <v>5198979MANTEIGA 5KGITAMBÉ</v>
      </c>
      <c r="C3961" s="5" t="str">
        <f>VLOOKUP(F3961,'[1]DEPARA FOOD'!$B:$M,11,0)</f>
        <v>RODRIGO</v>
      </c>
      <c r="D3961" s="5" t="s">
        <v>903</v>
      </c>
      <c r="E3961" s="5" t="s">
        <v>904</v>
      </c>
      <c r="F3961" s="5">
        <v>5198979</v>
      </c>
      <c r="G3961" s="5" t="s">
        <v>1542</v>
      </c>
      <c r="H3961" s="5" t="s">
        <v>1636</v>
      </c>
      <c r="I3961" s="5" t="s">
        <v>27</v>
      </c>
      <c r="J3961" s="5" t="s">
        <v>60</v>
      </c>
      <c r="K3961" s="6">
        <v>0</v>
      </c>
      <c r="L3961" s="7">
        <v>0</v>
      </c>
      <c r="M3961" s="7">
        <v>0</v>
      </c>
      <c r="N3961" s="7">
        <v>0</v>
      </c>
      <c r="O3961" s="8">
        <v>0</v>
      </c>
      <c r="P3961" s="8">
        <v>0</v>
      </c>
      <c r="Q3961" s="8">
        <v>0</v>
      </c>
      <c r="R3961" s="8">
        <v>0</v>
      </c>
      <c r="S3961" s="8">
        <v>0</v>
      </c>
      <c r="T3961" s="5">
        <v>0</v>
      </c>
      <c r="U3961" s="5">
        <v>0</v>
      </c>
      <c r="V3961" s="5">
        <f>VLOOKUP(A3961,Planilha1!B:E,4,0)</f>
        <v>5.819800475298738</v>
      </c>
    </row>
    <row r="3962" spans="1:22" x14ac:dyDescent="0.3">
      <c r="A3962" t="str">
        <f t="shared" si="122"/>
        <v>MANTEIGA 5KGITAMBÉ</v>
      </c>
      <c r="B3962" t="str">
        <f t="shared" si="123"/>
        <v>5199893MANTEIGA 5KGITAMBÉ</v>
      </c>
      <c r="C3962" s="5" t="str">
        <f>VLOOKUP(F3962,'[1]DEPARA FOOD'!$B:$M,11,0)</f>
        <v>RODRIGO</v>
      </c>
      <c r="D3962" s="5" t="s">
        <v>903</v>
      </c>
      <c r="E3962" s="5" t="s">
        <v>904</v>
      </c>
      <c r="F3962" s="5">
        <v>5199893</v>
      </c>
      <c r="G3962" s="5" t="s">
        <v>1542</v>
      </c>
      <c r="H3962" s="5" t="s">
        <v>1636</v>
      </c>
      <c r="I3962" s="5" t="s">
        <v>27</v>
      </c>
      <c r="J3962" s="5" t="s">
        <v>60</v>
      </c>
      <c r="K3962" s="6">
        <v>0</v>
      </c>
      <c r="L3962" s="7">
        <v>0</v>
      </c>
      <c r="M3962" s="7">
        <v>0</v>
      </c>
      <c r="N3962" s="7">
        <v>0</v>
      </c>
      <c r="O3962" s="8">
        <v>0</v>
      </c>
      <c r="P3962" s="8">
        <v>0</v>
      </c>
      <c r="Q3962" s="8">
        <v>0</v>
      </c>
      <c r="R3962" s="8">
        <v>0</v>
      </c>
      <c r="S3962" s="8">
        <v>0</v>
      </c>
      <c r="T3962" s="5">
        <v>0</v>
      </c>
      <c r="U3962" s="5">
        <v>0</v>
      </c>
      <c r="V3962" s="5">
        <f>VLOOKUP(A3962,Planilha1!B:E,4,0)</f>
        <v>5.819800475298738</v>
      </c>
    </row>
    <row r="3963" spans="1:22" x14ac:dyDescent="0.3">
      <c r="A3963" t="str">
        <f t="shared" si="122"/>
        <v>MANTEIGA 5KGITAMBÉ</v>
      </c>
      <c r="B3963" t="str">
        <f t="shared" si="123"/>
        <v>5204235MANTEIGA 5KGITAMBÉ</v>
      </c>
      <c r="C3963" s="5" t="str">
        <f>VLOOKUP(F3963,'[1]DEPARA FOOD'!$B:$M,11,0)</f>
        <v>MAURICIO</v>
      </c>
      <c r="D3963" s="5" t="s">
        <v>28</v>
      </c>
      <c r="E3963" s="5" t="s">
        <v>28</v>
      </c>
      <c r="F3963" s="5">
        <v>5204235</v>
      </c>
      <c r="G3963" s="5" t="s">
        <v>1022</v>
      </c>
      <c r="H3963" s="5" t="s">
        <v>30</v>
      </c>
      <c r="I3963" s="5" t="s">
        <v>27</v>
      </c>
      <c r="J3963" s="5" t="s">
        <v>60</v>
      </c>
      <c r="K3963" s="6">
        <v>0</v>
      </c>
      <c r="L3963" s="7">
        <v>0</v>
      </c>
      <c r="M3963" s="7">
        <v>0</v>
      </c>
      <c r="N3963" s="7">
        <v>0</v>
      </c>
      <c r="O3963" s="8">
        <v>0</v>
      </c>
      <c r="P3963" s="8">
        <v>0</v>
      </c>
      <c r="Q3963" s="8">
        <v>0</v>
      </c>
      <c r="R3963" s="8">
        <v>0</v>
      </c>
      <c r="S3963" s="8">
        <v>0</v>
      </c>
      <c r="T3963" s="5">
        <v>0</v>
      </c>
      <c r="U3963" s="5">
        <v>0</v>
      </c>
      <c r="V3963" s="5">
        <f>VLOOKUP(A3963,Planilha1!B:E,4,0)</f>
        <v>5.819800475298738</v>
      </c>
    </row>
    <row r="3964" spans="1:22" x14ac:dyDescent="0.3">
      <c r="A3964" t="str">
        <f t="shared" si="122"/>
        <v>MANTEIGA 5KGITAMBÉ</v>
      </c>
      <c r="B3964" t="str">
        <f t="shared" si="123"/>
        <v>5279458MANTEIGA 5KGITAMBÉ</v>
      </c>
      <c r="C3964" s="5" t="str">
        <f>VLOOKUP(F3964,'[1]DEPARA FOOD'!$B:$M,11,0)</f>
        <v>MAURICIO</v>
      </c>
      <c r="D3964" s="5" t="s">
        <v>53</v>
      </c>
      <c r="E3964" s="5" t="s">
        <v>54</v>
      </c>
      <c r="F3964" s="5">
        <v>5279458</v>
      </c>
      <c r="G3964" s="5" t="s">
        <v>1542</v>
      </c>
      <c r="H3964" s="5" t="s">
        <v>1636</v>
      </c>
      <c r="I3964" s="5" t="s">
        <v>27</v>
      </c>
      <c r="J3964" s="5" t="s">
        <v>60</v>
      </c>
      <c r="K3964" s="6">
        <v>0</v>
      </c>
      <c r="L3964" s="7">
        <v>0</v>
      </c>
      <c r="M3964" s="7">
        <v>0</v>
      </c>
      <c r="N3964" s="7">
        <v>0</v>
      </c>
      <c r="O3964" s="8">
        <v>0</v>
      </c>
      <c r="P3964" s="8">
        <v>0</v>
      </c>
      <c r="Q3964" s="8">
        <v>0</v>
      </c>
      <c r="R3964" s="8">
        <v>0</v>
      </c>
      <c r="S3964" s="8">
        <v>0</v>
      </c>
      <c r="T3964" s="5">
        <v>0</v>
      </c>
      <c r="U3964" s="5">
        <v>0</v>
      </c>
      <c r="V3964" s="5">
        <f>VLOOKUP(A3964,Planilha1!B:E,4,0)</f>
        <v>5.819800475298738</v>
      </c>
    </row>
    <row r="3965" spans="1:22" x14ac:dyDescent="0.3">
      <c r="A3965" t="str">
        <f t="shared" si="122"/>
        <v>MANTEIGA 5KGITAMBÉ</v>
      </c>
      <c r="B3965" t="str">
        <f t="shared" si="123"/>
        <v>5319281MANTEIGA 5KGITAMBÉ</v>
      </c>
      <c r="C3965" s="5" t="str">
        <f>VLOOKUP(F3965,'[1]DEPARA FOOD'!$B:$M,11,0)</f>
        <v>MAURICIO</v>
      </c>
      <c r="D3965" s="5" t="s">
        <v>17</v>
      </c>
      <c r="E3965" s="5" t="s">
        <v>23</v>
      </c>
      <c r="F3965" s="5">
        <v>5319281</v>
      </c>
      <c r="G3965" s="5" t="s">
        <v>38</v>
      </c>
      <c r="H3965" s="5" t="s">
        <v>36</v>
      </c>
      <c r="I3965" s="5" t="s">
        <v>27</v>
      </c>
      <c r="J3965" s="5" t="s">
        <v>60</v>
      </c>
      <c r="K3965" s="6">
        <v>0</v>
      </c>
      <c r="L3965" s="7">
        <v>0</v>
      </c>
      <c r="M3965" s="7">
        <v>0</v>
      </c>
      <c r="N3965" s="7">
        <v>0</v>
      </c>
      <c r="O3965" s="8">
        <v>0</v>
      </c>
      <c r="P3965" s="8">
        <v>0</v>
      </c>
      <c r="Q3965" s="8">
        <v>0</v>
      </c>
      <c r="R3965" s="8">
        <v>0</v>
      </c>
      <c r="S3965" s="8">
        <v>0</v>
      </c>
      <c r="T3965" s="5">
        <v>0</v>
      </c>
      <c r="U3965" s="5">
        <v>0</v>
      </c>
      <c r="V3965" s="5">
        <f>VLOOKUP(A3965,Planilha1!B:E,4,0)</f>
        <v>5.819800475298738</v>
      </c>
    </row>
    <row r="3966" spans="1:22" x14ac:dyDescent="0.3">
      <c r="A3966" t="str">
        <f t="shared" si="122"/>
        <v>MANTEIGA 5KGITAMBÉ</v>
      </c>
      <c r="B3966" t="str">
        <f t="shared" si="123"/>
        <v>5330544MANTEIGA 5KGITAMBÉ</v>
      </c>
      <c r="C3966" s="5" t="str">
        <f>VLOOKUP(F3966,'[1]DEPARA FOOD'!$B:$M,11,0)</f>
        <v>RODRIGO</v>
      </c>
      <c r="D3966" s="5" t="s">
        <v>893</v>
      </c>
      <c r="E3966" s="5" t="s">
        <v>231</v>
      </c>
      <c r="F3966" s="5">
        <v>5330544</v>
      </c>
      <c r="G3966" s="5" t="s">
        <v>900</v>
      </c>
      <c r="H3966" s="5" t="s">
        <v>30</v>
      </c>
      <c r="I3966" s="5" t="s">
        <v>27</v>
      </c>
      <c r="J3966" s="5" t="s">
        <v>60</v>
      </c>
      <c r="K3966" s="6">
        <v>0</v>
      </c>
      <c r="L3966" s="7">
        <v>0</v>
      </c>
      <c r="M3966" s="7">
        <v>0</v>
      </c>
      <c r="N3966" s="7">
        <v>0</v>
      </c>
      <c r="O3966" s="8">
        <v>0</v>
      </c>
      <c r="P3966" s="8">
        <v>0</v>
      </c>
      <c r="Q3966" s="8">
        <v>0</v>
      </c>
      <c r="R3966" s="8">
        <v>0</v>
      </c>
      <c r="S3966" s="8">
        <v>0</v>
      </c>
      <c r="T3966" s="5">
        <v>0</v>
      </c>
      <c r="U3966" s="5">
        <v>0</v>
      </c>
      <c r="V3966" s="5">
        <f>VLOOKUP(A3966,Planilha1!B:E,4,0)</f>
        <v>5.819800475298738</v>
      </c>
    </row>
    <row r="3967" spans="1:22" x14ac:dyDescent="0.3">
      <c r="A3967" t="str">
        <f t="shared" si="122"/>
        <v>MERC + AROMITAMBÉ</v>
      </c>
      <c r="B3967" t="str">
        <f t="shared" si="123"/>
        <v>5161583MERC + AROMITAMBÉ</v>
      </c>
      <c r="C3967" s="5" t="str">
        <f>VLOOKUP(F3967,'[1]DEPARA FOOD'!$B:$M,11,0)</f>
        <v>MAURICIO</v>
      </c>
      <c r="D3967" s="5" t="s">
        <v>17</v>
      </c>
      <c r="E3967" s="5" t="s">
        <v>44</v>
      </c>
      <c r="F3967" s="5">
        <v>5161583</v>
      </c>
      <c r="G3967" s="5" t="s">
        <v>1542</v>
      </c>
      <c r="H3967" s="5" t="s">
        <v>1636</v>
      </c>
      <c r="I3967" s="5" t="s">
        <v>27</v>
      </c>
      <c r="J3967" s="5" t="s">
        <v>230</v>
      </c>
      <c r="K3967" s="6">
        <v>0</v>
      </c>
      <c r="L3967" s="7">
        <v>0</v>
      </c>
      <c r="M3967" s="7">
        <v>0</v>
      </c>
      <c r="N3967" s="7">
        <v>0</v>
      </c>
      <c r="O3967" s="8">
        <v>0</v>
      </c>
      <c r="P3967" s="8">
        <v>0</v>
      </c>
      <c r="Q3967" s="8">
        <v>0</v>
      </c>
      <c r="R3967" s="8">
        <v>0</v>
      </c>
      <c r="S3967" s="8">
        <v>0</v>
      </c>
      <c r="T3967" s="5">
        <v>0</v>
      </c>
      <c r="U3967" s="5">
        <v>0</v>
      </c>
      <c r="V3967" s="5">
        <f>VLOOKUP(A3967,Planilha1!B:E,4,0)</f>
        <v>1.0384020099151063</v>
      </c>
    </row>
    <row r="3968" spans="1:22" x14ac:dyDescent="0.3">
      <c r="A3968" t="str">
        <f t="shared" si="122"/>
        <v>MERC + AROMITAMBÉ</v>
      </c>
      <c r="B3968" t="str">
        <f t="shared" si="123"/>
        <v>5335635MERC + AROMITAMBÉ</v>
      </c>
      <c r="C3968" s="5" t="str">
        <f>VLOOKUP(F3968,'[1]DEPARA FOOD'!$B:$M,11,0)</f>
        <v>MAURICIO</v>
      </c>
      <c r="D3968" s="5" t="s">
        <v>17</v>
      </c>
      <c r="E3968" s="5" t="s">
        <v>23</v>
      </c>
      <c r="F3968" s="5">
        <v>5335635</v>
      </c>
      <c r="G3968" s="5" t="s">
        <v>1542</v>
      </c>
      <c r="H3968" s="5" t="s">
        <v>1636</v>
      </c>
      <c r="I3968" s="5" t="s">
        <v>27</v>
      </c>
      <c r="J3968" s="5" t="s">
        <v>230</v>
      </c>
      <c r="K3968" s="6">
        <v>0</v>
      </c>
      <c r="L3968" s="7">
        <v>0</v>
      </c>
      <c r="M3968" s="7">
        <v>0</v>
      </c>
      <c r="N3968" s="7">
        <v>0</v>
      </c>
      <c r="O3968" s="8">
        <v>0</v>
      </c>
      <c r="P3968" s="8">
        <v>0</v>
      </c>
      <c r="Q3968" s="8">
        <v>0</v>
      </c>
      <c r="R3968" s="8">
        <v>0</v>
      </c>
      <c r="S3968" s="8">
        <v>0</v>
      </c>
      <c r="T3968" s="5">
        <v>0</v>
      </c>
      <c r="U3968" s="5">
        <v>0</v>
      </c>
      <c r="V3968" s="5">
        <f>VLOOKUP(A3968,Planilha1!B:E,4,0)</f>
        <v>1.0384020099151063</v>
      </c>
    </row>
    <row r="3969" spans="1:22" x14ac:dyDescent="0.3">
      <c r="A3969" t="str">
        <f t="shared" si="122"/>
        <v>SPREADSITAMBÉ</v>
      </c>
      <c r="B3969" t="str">
        <f t="shared" si="123"/>
        <v>5021079SPREADSITAMBÉ</v>
      </c>
      <c r="C3969" s="5" t="str">
        <f>VLOOKUP(F3969,'[1]DEPARA FOOD'!$B:$M,11,0)</f>
        <v>PEDRO</v>
      </c>
      <c r="D3969" s="5" t="s">
        <v>150</v>
      </c>
      <c r="E3969" s="5" t="s">
        <v>151</v>
      </c>
      <c r="F3969" s="5">
        <v>5021079</v>
      </c>
      <c r="G3969" s="5" t="s">
        <v>1542</v>
      </c>
      <c r="H3969" s="5" t="s">
        <v>1636</v>
      </c>
      <c r="I3969" s="5" t="s">
        <v>27</v>
      </c>
      <c r="J3969" s="5" t="s">
        <v>945</v>
      </c>
      <c r="K3969" s="6">
        <v>0</v>
      </c>
      <c r="L3969" s="7">
        <v>0</v>
      </c>
      <c r="M3969" s="7">
        <v>0</v>
      </c>
      <c r="N3969" s="7">
        <v>0</v>
      </c>
      <c r="O3969" s="8">
        <v>0</v>
      </c>
      <c r="P3969" s="8">
        <v>0</v>
      </c>
      <c r="Q3969" s="8">
        <v>0</v>
      </c>
      <c r="R3969" s="8">
        <v>0</v>
      </c>
      <c r="S3969" s="8">
        <v>0</v>
      </c>
      <c r="T3969" s="5">
        <v>0</v>
      </c>
      <c r="U3969" s="5">
        <v>0</v>
      </c>
      <c r="V3969" s="5">
        <f>VLOOKUP(A3969,Planilha1!B:E,4,0)</f>
        <v>9.2962610783648607</v>
      </c>
    </row>
    <row r="3970" spans="1:22" x14ac:dyDescent="0.3">
      <c r="A3970" t="str">
        <f t="shared" ref="A3970:A4033" si="124">J3970&amp;I3970</f>
        <v>SPREADSITAMBÉ</v>
      </c>
      <c r="B3970" t="str">
        <f t="shared" si="123"/>
        <v>5174274SPREADSITAMBÉ</v>
      </c>
      <c r="C3970" s="5" t="str">
        <f>VLOOKUP(F3970,'[1]DEPARA FOOD'!$B:$M,11,0)</f>
        <v>PEDRO</v>
      </c>
      <c r="D3970" s="5" t="s">
        <v>150</v>
      </c>
      <c r="E3970" s="5" t="s">
        <v>186</v>
      </c>
      <c r="F3970" s="5">
        <v>5174274</v>
      </c>
      <c r="G3970" s="5" t="s">
        <v>191</v>
      </c>
      <c r="H3970" s="5" t="s">
        <v>30</v>
      </c>
      <c r="I3970" s="5" t="s">
        <v>27</v>
      </c>
      <c r="J3970" s="5" t="s">
        <v>945</v>
      </c>
      <c r="K3970" s="6">
        <v>0</v>
      </c>
      <c r="L3970" s="7">
        <v>0</v>
      </c>
      <c r="M3970" s="7">
        <v>0</v>
      </c>
      <c r="N3970" s="7">
        <v>0</v>
      </c>
      <c r="O3970" s="8">
        <v>0</v>
      </c>
      <c r="P3970" s="8">
        <v>0</v>
      </c>
      <c r="Q3970" s="8">
        <v>0</v>
      </c>
      <c r="R3970" s="8">
        <v>0</v>
      </c>
      <c r="S3970" s="8">
        <v>0</v>
      </c>
      <c r="T3970" s="5">
        <v>0</v>
      </c>
      <c r="U3970" s="5">
        <v>0</v>
      </c>
      <c r="V3970" s="5">
        <f>VLOOKUP(A3970,Planilha1!B:E,4,0)</f>
        <v>9.2962610783648607</v>
      </c>
    </row>
    <row r="3971" spans="1:22" x14ac:dyDescent="0.3">
      <c r="A3971" t="str">
        <f t="shared" si="124"/>
        <v>SPREADSITAMBÉ</v>
      </c>
      <c r="B3971" t="str">
        <f t="shared" ref="B3971:B4034" si="125">F3971&amp;J3971&amp;I3971</f>
        <v>5216557SPREADSITAMBÉ</v>
      </c>
      <c r="C3971" s="5" t="str">
        <f>VLOOKUP(F3971,'[1]DEPARA FOOD'!$B:$M,11,0)</f>
        <v>RODRIGO</v>
      </c>
      <c r="D3971" s="5" t="s">
        <v>227</v>
      </c>
      <c r="E3971" s="5" t="s">
        <v>703</v>
      </c>
      <c r="F3971" s="5">
        <v>5216557</v>
      </c>
      <c r="G3971" s="5" t="s">
        <v>1542</v>
      </c>
      <c r="H3971" s="5" t="s">
        <v>1636</v>
      </c>
      <c r="I3971" s="5" t="s">
        <v>27</v>
      </c>
      <c r="J3971" s="5" t="s">
        <v>945</v>
      </c>
      <c r="K3971" s="6">
        <v>0</v>
      </c>
      <c r="L3971" s="7">
        <v>0</v>
      </c>
      <c r="M3971" s="7">
        <v>0</v>
      </c>
      <c r="N3971" s="7">
        <v>0</v>
      </c>
      <c r="O3971" s="8">
        <v>0</v>
      </c>
      <c r="P3971" s="8">
        <v>0</v>
      </c>
      <c r="Q3971" s="8">
        <v>0</v>
      </c>
      <c r="R3971" s="8">
        <v>0</v>
      </c>
      <c r="S3971" s="8">
        <v>0</v>
      </c>
      <c r="T3971" s="5">
        <v>0</v>
      </c>
      <c r="U3971" s="5">
        <v>0</v>
      </c>
      <c r="V3971" s="5">
        <f>VLOOKUP(A3971,Planilha1!B:E,4,0)</f>
        <v>9.2962610783648607</v>
      </c>
    </row>
    <row r="3972" spans="1:22" x14ac:dyDescent="0.3">
      <c r="A3972" t="str">
        <f t="shared" si="124"/>
        <v>SPREADSITAMBÉ</v>
      </c>
      <c r="B3972" t="str">
        <f t="shared" si="125"/>
        <v>5220002SPREADSITAMBÉ</v>
      </c>
      <c r="C3972" s="5" t="str">
        <f>VLOOKUP(F3972,'[1]DEPARA FOOD'!$B:$M,11,0)</f>
        <v>RODRIGO</v>
      </c>
      <c r="D3972" s="5" t="s">
        <v>903</v>
      </c>
      <c r="E3972" s="5" t="s">
        <v>904</v>
      </c>
      <c r="F3972" s="5">
        <v>5220002</v>
      </c>
      <c r="G3972" s="5" t="s">
        <v>928</v>
      </c>
      <c r="H3972" s="5" t="s">
        <v>113</v>
      </c>
      <c r="I3972" s="5" t="s">
        <v>27</v>
      </c>
      <c r="J3972" s="5" t="s">
        <v>945</v>
      </c>
      <c r="K3972" s="6">
        <v>0</v>
      </c>
      <c r="L3972" s="7">
        <v>0</v>
      </c>
      <c r="M3972" s="7">
        <v>0</v>
      </c>
      <c r="N3972" s="7">
        <v>0</v>
      </c>
      <c r="O3972" s="8">
        <v>0</v>
      </c>
      <c r="P3972" s="8">
        <v>0</v>
      </c>
      <c r="Q3972" s="8">
        <v>0</v>
      </c>
      <c r="R3972" s="8">
        <v>0</v>
      </c>
      <c r="S3972" s="8">
        <v>0</v>
      </c>
      <c r="T3972" s="5">
        <v>0</v>
      </c>
      <c r="U3972" s="5">
        <v>0</v>
      </c>
      <c r="V3972" s="5">
        <f>VLOOKUP(A3972,Planilha1!B:E,4,0)</f>
        <v>9.2962610783648607</v>
      </c>
    </row>
    <row r="3973" spans="1:22" x14ac:dyDescent="0.3">
      <c r="A3973" t="str">
        <f t="shared" si="124"/>
        <v>SPREADSITAMBÉ</v>
      </c>
      <c r="B3973" t="str">
        <f t="shared" si="125"/>
        <v>5223816SPREADSITAMBÉ</v>
      </c>
      <c r="C3973" s="5" t="str">
        <f>VLOOKUP(F3973,'[1]DEPARA FOOD'!$B:$M,11,0)</f>
        <v>RODRIGO</v>
      </c>
      <c r="D3973" s="5" t="s">
        <v>752</v>
      </c>
      <c r="E3973" s="5" t="s">
        <v>774</v>
      </c>
      <c r="F3973" s="5">
        <v>5223816</v>
      </c>
      <c r="G3973" s="5" t="s">
        <v>794</v>
      </c>
      <c r="H3973" s="5" t="s">
        <v>32</v>
      </c>
      <c r="I3973" s="5" t="s">
        <v>27</v>
      </c>
      <c r="J3973" s="5" t="s">
        <v>945</v>
      </c>
      <c r="K3973" s="6">
        <v>0</v>
      </c>
      <c r="L3973" s="7">
        <v>0</v>
      </c>
      <c r="M3973" s="7">
        <v>0</v>
      </c>
      <c r="N3973" s="7">
        <v>0</v>
      </c>
      <c r="O3973" s="8">
        <v>0</v>
      </c>
      <c r="P3973" s="8">
        <v>0</v>
      </c>
      <c r="Q3973" s="8">
        <v>0</v>
      </c>
      <c r="R3973" s="8">
        <v>0</v>
      </c>
      <c r="S3973" s="8">
        <v>0</v>
      </c>
      <c r="T3973" s="5">
        <v>0</v>
      </c>
      <c r="U3973" s="5">
        <v>0</v>
      </c>
      <c r="V3973" s="5">
        <f>VLOOKUP(A3973,Planilha1!B:E,4,0)</f>
        <v>9.2962610783648607</v>
      </c>
    </row>
    <row r="3974" spans="1:22" x14ac:dyDescent="0.3">
      <c r="A3974" t="str">
        <f t="shared" si="124"/>
        <v>SPREADSITAMBÉ</v>
      </c>
      <c r="B3974" t="str">
        <f t="shared" si="125"/>
        <v>5226985SPREADSITAMBÉ</v>
      </c>
      <c r="C3974" s="5" t="str">
        <f>VLOOKUP(F3974,'[1]DEPARA FOOD'!$B:$M,11,0)</f>
        <v>RODRIGO</v>
      </c>
      <c r="D3974" s="5" t="s">
        <v>815</v>
      </c>
      <c r="E3974" s="5" t="s">
        <v>815</v>
      </c>
      <c r="F3974" s="5">
        <v>5226985</v>
      </c>
      <c r="G3974" s="5" t="s">
        <v>1542</v>
      </c>
      <c r="H3974" s="5" t="s">
        <v>1636</v>
      </c>
      <c r="I3974" s="5" t="s">
        <v>27</v>
      </c>
      <c r="J3974" s="5" t="s">
        <v>945</v>
      </c>
      <c r="K3974" s="6">
        <v>0</v>
      </c>
      <c r="L3974" s="7">
        <v>0</v>
      </c>
      <c r="M3974" s="7">
        <v>0</v>
      </c>
      <c r="N3974" s="7">
        <v>0</v>
      </c>
      <c r="O3974" s="8">
        <v>0</v>
      </c>
      <c r="P3974" s="8">
        <v>178</v>
      </c>
      <c r="Q3974" s="8">
        <v>0</v>
      </c>
      <c r="R3974" s="8">
        <v>0</v>
      </c>
      <c r="S3974" s="8">
        <v>0</v>
      </c>
      <c r="T3974" s="5">
        <v>0</v>
      </c>
      <c r="U3974" s="5">
        <v>0</v>
      </c>
      <c r="V3974" s="5">
        <f>VLOOKUP(A3974,Planilha1!B:E,4,0)</f>
        <v>9.2962610783648607</v>
      </c>
    </row>
    <row r="3975" spans="1:22" x14ac:dyDescent="0.3">
      <c r="A3975" t="str">
        <f t="shared" si="124"/>
        <v>BLISTERLACTALIS</v>
      </c>
      <c r="B3975" t="str">
        <f t="shared" si="125"/>
        <v>5356134BLISTERLACTALIS</v>
      </c>
      <c r="C3975" s="5" t="e">
        <v>#N/A</v>
      </c>
      <c r="D3975" s="5" t="e">
        <v>#N/A</v>
      </c>
      <c r="E3975" s="5" t="e">
        <v>#N/A</v>
      </c>
      <c r="F3975" s="5">
        <v>5356134</v>
      </c>
      <c r="G3975" s="5" t="s">
        <v>1542</v>
      </c>
      <c r="H3975" s="5" t="s">
        <v>1636</v>
      </c>
      <c r="I3975" s="5" t="s">
        <v>22</v>
      </c>
      <c r="J3975" s="5" t="s">
        <v>199</v>
      </c>
      <c r="K3975" s="6">
        <v>0</v>
      </c>
      <c r="L3975" s="7">
        <v>0</v>
      </c>
      <c r="M3975" s="7">
        <v>0</v>
      </c>
      <c r="N3975" s="7">
        <v>0</v>
      </c>
      <c r="O3975" s="7">
        <v>0</v>
      </c>
      <c r="P3975" s="8">
        <v>0</v>
      </c>
      <c r="Q3975" s="8">
        <v>0</v>
      </c>
      <c r="R3975" s="8">
        <v>0</v>
      </c>
      <c r="S3975" s="8">
        <v>4</v>
      </c>
      <c r="T3975" s="5">
        <v>4</v>
      </c>
      <c r="U3975" s="5">
        <v>0</v>
      </c>
      <c r="V3975" s="5">
        <f>VLOOKUP(A3975,Planilha1!B:E,4,0)</f>
        <v>13.783871706210666</v>
      </c>
    </row>
    <row r="3976" spans="1:22" x14ac:dyDescent="0.3">
      <c r="A3976" t="str">
        <f t="shared" si="124"/>
        <v>IOGURTESLACTALIS</v>
      </c>
      <c r="B3976" t="str">
        <f t="shared" si="125"/>
        <v>5109334IOGURTESLACTALIS</v>
      </c>
      <c r="C3976" s="5" t="s">
        <v>16</v>
      </c>
      <c r="D3976" s="5" t="s">
        <v>28</v>
      </c>
      <c r="E3976" s="5" t="s">
        <v>23</v>
      </c>
      <c r="F3976" s="5">
        <v>5109334</v>
      </c>
      <c r="G3976" s="5" t="s">
        <v>1659</v>
      </c>
      <c r="H3976" s="5" t="s">
        <v>30</v>
      </c>
      <c r="I3976" s="5" t="s">
        <v>22</v>
      </c>
      <c r="J3976" s="5" t="s">
        <v>153</v>
      </c>
      <c r="K3976" s="6">
        <v>0</v>
      </c>
      <c r="L3976" s="7">
        <v>0</v>
      </c>
      <c r="M3976" s="7">
        <v>0</v>
      </c>
      <c r="N3976" s="7">
        <v>0</v>
      </c>
      <c r="O3976" s="7">
        <v>0</v>
      </c>
      <c r="P3976" s="8">
        <v>0</v>
      </c>
      <c r="Q3976" s="8">
        <v>0</v>
      </c>
      <c r="R3976" s="8">
        <v>0</v>
      </c>
      <c r="S3976" s="8">
        <v>0</v>
      </c>
      <c r="T3976" s="5">
        <v>0</v>
      </c>
      <c r="U3976" s="5">
        <v>0</v>
      </c>
      <c r="V3976" s="5">
        <f>VLOOKUP(A3976,Planilha1!B:E,4,0)</f>
        <v>3.0503167986984403</v>
      </c>
    </row>
    <row r="3977" spans="1:22" x14ac:dyDescent="0.3">
      <c r="A3977" t="str">
        <f t="shared" si="124"/>
        <v>IOGURTESLACTALIS</v>
      </c>
      <c r="B3977" t="str">
        <f t="shared" si="125"/>
        <v>5261001IOGURTESLACTALIS</v>
      </c>
      <c r="C3977" s="5" t="e">
        <v>#N/A</v>
      </c>
      <c r="D3977" s="5" t="e">
        <v>#N/A</v>
      </c>
      <c r="E3977" s="5" t="e">
        <v>#N/A</v>
      </c>
      <c r="F3977" s="5">
        <v>5261001</v>
      </c>
      <c r="G3977" s="5" t="s">
        <v>1542</v>
      </c>
      <c r="H3977" s="5" t="s">
        <v>1636</v>
      </c>
      <c r="I3977" s="5" t="s">
        <v>22</v>
      </c>
      <c r="J3977" s="5" t="s">
        <v>153</v>
      </c>
      <c r="K3977" s="6">
        <v>0</v>
      </c>
      <c r="L3977" s="7">
        <v>0</v>
      </c>
      <c r="M3977" s="7">
        <v>0</v>
      </c>
      <c r="N3977" s="7">
        <v>0</v>
      </c>
      <c r="O3977" s="7">
        <v>0</v>
      </c>
      <c r="P3977" s="8">
        <v>0</v>
      </c>
      <c r="Q3977" s="8">
        <v>0</v>
      </c>
      <c r="R3977" s="8">
        <v>0</v>
      </c>
      <c r="S3977" s="8">
        <v>0</v>
      </c>
      <c r="T3977" s="5">
        <v>0</v>
      </c>
      <c r="U3977" s="5">
        <v>0</v>
      </c>
      <c r="V3977" s="5">
        <f>VLOOKUP(A3977,Planilha1!B:E,4,0)</f>
        <v>3.0503167986984403</v>
      </c>
    </row>
    <row r="3978" spans="1:22" x14ac:dyDescent="0.3">
      <c r="A3978" t="str">
        <f t="shared" si="124"/>
        <v>LEITE CONDENSADOLACTALIS</v>
      </c>
      <c r="B3978" t="str">
        <f t="shared" si="125"/>
        <v>5261001LEITE CONDENSADOLACTALIS</v>
      </c>
      <c r="C3978" s="5" t="e">
        <v>#N/A</v>
      </c>
      <c r="D3978" s="5" t="e">
        <v>#N/A</v>
      </c>
      <c r="E3978" s="5" t="e">
        <v>#N/A</v>
      </c>
      <c r="F3978" s="5">
        <v>5261001</v>
      </c>
      <c r="G3978" s="5" t="s">
        <v>1542</v>
      </c>
      <c r="H3978" s="5" t="s">
        <v>1636</v>
      </c>
      <c r="I3978" s="5" t="s">
        <v>22</v>
      </c>
      <c r="J3978" s="5" t="s">
        <v>33</v>
      </c>
      <c r="K3978" s="6">
        <v>0</v>
      </c>
      <c r="L3978" s="7">
        <v>0</v>
      </c>
      <c r="M3978" s="7">
        <v>0</v>
      </c>
      <c r="N3978" s="7">
        <v>0</v>
      </c>
      <c r="O3978" s="7">
        <v>0</v>
      </c>
      <c r="P3978" s="8">
        <v>0</v>
      </c>
      <c r="Q3978" s="8">
        <v>0</v>
      </c>
      <c r="R3978" s="8">
        <v>0</v>
      </c>
      <c r="S3978" s="8">
        <v>9</v>
      </c>
      <c r="T3978" s="5">
        <v>9</v>
      </c>
      <c r="U3978" s="5">
        <v>9</v>
      </c>
      <c r="V3978" s="5">
        <f>VLOOKUP(A3978,Planilha1!B:E,4,0)</f>
        <v>1.8665071822970765</v>
      </c>
    </row>
    <row r="3979" spans="1:22" x14ac:dyDescent="0.3">
      <c r="A3979" t="str">
        <f t="shared" si="124"/>
        <v>LEITE UHTLACTALIS</v>
      </c>
      <c r="B3979" t="str">
        <f t="shared" si="125"/>
        <v>5261001LEITE UHTLACTALIS</v>
      </c>
      <c r="C3979" s="5" t="e">
        <v>#N/A</v>
      </c>
      <c r="D3979" s="5" t="e">
        <v>#N/A</v>
      </c>
      <c r="E3979" s="5" t="e">
        <v>#N/A</v>
      </c>
      <c r="F3979" s="5">
        <v>5261001</v>
      </c>
      <c r="G3979" s="5" t="s">
        <v>1542</v>
      </c>
      <c r="H3979" s="5" t="s">
        <v>1636</v>
      </c>
      <c r="I3979" s="5" t="s">
        <v>22</v>
      </c>
      <c r="J3979" s="5" t="s">
        <v>156</v>
      </c>
      <c r="K3979" s="6">
        <v>0</v>
      </c>
      <c r="L3979" s="7">
        <v>0</v>
      </c>
      <c r="M3979" s="7">
        <v>0</v>
      </c>
      <c r="N3979" s="7">
        <v>0</v>
      </c>
      <c r="O3979" s="7">
        <v>0</v>
      </c>
      <c r="P3979" s="8">
        <v>0</v>
      </c>
      <c r="Q3979" s="8">
        <v>0</v>
      </c>
      <c r="R3979" s="8">
        <v>0</v>
      </c>
      <c r="S3979" s="8">
        <v>0</v>
      </c>
      <c r="T3979" s="5">
        <v>0</v>
      </c>
      <c r="U3979" s="5">
        <v>0</v>
      </c>
      <c r="V3979" s="5">
        <f>VLOOKUP(A3979,Planilha1!B:E,4,0)</f>
        <v>0.37177548115779385</v>
      </c>
    </row>
    <row r="3980" spans="1:22" x14ac:dyDescent="0.3">
      <c r="A3980" t="str">
        <f t="shared" si="124"/>
        <v>LEITE UHTLACTALIS</v>
      </c>
      <c r="B3980" t="str">
        <f t="shared" si="125"/>
        <v>5356134LEITE UHTLACTALIS</v>
      </c>
      <c r="C3980" s="5" t="e">
        <v>#N/A</v>
      </c>
      <c r="D3980" s="5" t="e">
        <v>#N/A</v>
      </c>
      <c r="E3980" s="5" t="e">
        <v>#N/A</v>
      </c>
      <c r="F3980" s="5">
        <v>5356134</v>
      </c>
      <c r="G3980" s="5" t="s">
        <v>1542</v>
      </c>
      <c r="H3980" s="5" t="s">
        <v>1636</v>
      </c>
      <c r="I3980" s="5" t="s">
        <v>22</v>
      </c>
      <c r="J3980" s="5" t="s">
        <v>156</v>
      </c>
      <c r="K3980" s="6">
        <v>0</v>
      </c>
      <c r="L3980" s="7">
        <v>0</v>
      </c>
      <c r="M3980" s="7">
        <v>0</v>
      </c>
      <c r="N3980" s="7">
        <v>0</v>
      </c>
      <c r="O3980" s="7">
        <v>0</v>
      </c>
      <c r="P3980" s="8">
        <v>0</v>
      </c>
      <c r="Q3980" s="8">
        <v>0</v>
      </c>
      <c r="R3980" s="8">
        <v>0</v>
      </c>
      <c r="S3980" s="8">
        <v>0</v>
      </c>
      <c r="T3980" s="5">
        <v>0</v>
      </c>
      <c r="U3980" s="5">
        <v>0</v>
      </c>
      <c r="V3980" s="5">
        <f>VLOOKUP(A3980,Planilha1!B:E,4,0)</f>
        <v>0.37177548115779385</v>
      </c>
    </row>
    <row r="3981" spans="1:22" x14ac:dyDescent="0.3">
      <c r="A3981" t="str">
        <f t="shared" si="124"/>
        <v>MANTEIGA 5KGITAMBÉ</v>
      </c>
      <c r="B3981" t="str">
        <f t="shared" si="125"/>
        <v>5002549MANTEIGA 5KGITAMBÉ</v>
      </c>
      <c r="C3981" s="5" t="s">
        <v>149</v>
      </c>
      <c r="D3981" s="5" t="s">
        <v>210</v>
      </c>
      <c r="E3981" s="5" t="s">
        <v>210</v>
      </c>
      <c r="F3981" s="5">
        <v>5002549</v>
      </c>
      <c r="G3981" s="5" t="s">
        <v>212</v>
      </c>
      <c r="H3981" s="5" t="s">
        <v>30</v>
      </c>
      <c r="I3981" s="5" t="s">
        <v>27</v>
      </c>
      <c r="J3981" s="5" t="s">
        <v>60</v>
      </c>
      <c r="K3981" s="6">
        <v>0</v>
      </c>
      <c r="L3981" s="7">
        <v>0</v>
      </c>
      <c r="M3981" s="7">
        <v>0</v>
      </c>
      <c r="N3981" s="7">
        <v>0</v>
      </c>
      <c r="O3981" s="7">
        <v>0</v>
      </c>
      <c r="P3981" s="8">
        <v>0</v>
      </c>
      <c r="Q3981" s="8">
        <v>0</v>
      </c>
      <c r="R3981" s="8">
        <v>0</v>
      </c>
      <c r="S3981" s="8">
        <v>300</v>
      </c>
      <c r="T3981" s="5">
        <v>300</v>
      </c>
      <c r="U3981" s="5">
        <v>200</v>
      </c>
      <c r="V3981" s="5">
        <f>VLOOKUP(A3981,Planilha1!B:E,4,0)</f>
        <v>5.819800475298738</v>
      </c>
    </row>
    <row r="3982" spans="1:22" x14ac:dyDescent="0.3">
      <c r="A3982" t="str">
        <f t="shared" si="124"/>
        <v>MANTEIGA 5KGITAMBÉ</v>
      </c>
      <c r="B3982" t="str">
        <f t="shared" si="125"/>
        <v>5041289MANTEIGA 5KGITAMBÉ</v>
      </c>
      <c r="C3982" s="5" t="s">
        <v>149</v>
      </c>
      <c r="D3982" s="5" t="s">
        <v>150</v>
      </c>
      <c r="E3982" s="5" t="s">
        <v>186</v>
      </c>
      <c r="F3982" s="5">
        <v>5041289</v>
      </c>
      <c r="G3982" s="5" t="s">
        <v>1660</v>
      </c>
      <c r="H3982" s="5" t="s">
        <v>801</v>
      </c>
      <c r="I3982" s="5" t="s">
        <v>27</v>
      </c>
      <c r="J3982" s="5" t="s">
        <v>60</v>
      </c>
      <c r="K3982" s="6">
        <v>0</v>
      </c>
      <c r="L3982" s="7">
        <v>0</v>
      </c>
      <c r="M3982" s="7">
        <v>0</v>
      </c>
      <c r="N3982" s="7">
        <v>0</v>
      </c>
      <c r="O3982" s="7">
        <v>0</v>
      </c>
      <c r="P3982" s="8">
        <v>0</v>
      </c>
      <c r="Q3982" s="8">
        <v>0</v>
      </c>
      <c r="R3982" s="8">
        <v>0</v>
      </c>
      <c r="S3982" s="8">
        <v>0</v>
      </c>
      <c r="T3982" s="5">
        <v>3500</v>
      </c>
      <c r="U3982" s="5">
        <v>50</v>
      </c>
      <c r="V3982" s="5">
        <f>VLOOKUP(A3982,Planilha1!B:E,4,0)</f>
        <v>5.819800475298738</v>
      </c>
    </row>
    <row r="3983" spans="1:22" x14ac:dyDescent="0.3">
      <c r="A3983" t="str">
        <f t="shared" si="124"/>
        <v>MANTEIGA 5KGITAMBÉ</v>
      </c>
      <c r="B3983" t="str">
        <f t="shared" si="125"/>
        <v>5181144MANTEIGA 5KGITAMBÉ</v>
      </c>
      <c r="C3983" s="5" t="s">
        <v>16</v>
      </c>
      <c r="D3983" s="5" t="s">
        <v>28</v>
      </c>
      <c r="E3983" s="5" t="s">
        <v>28</v>
      </c>
      <c r="F3983" s="5">
        <v>5181144</v>
      </c>
      <c r="G3983" s="5" t="s">
        <v>1021</v>
      </c>
      <c r="H3983" s="5" t="s">
        <v>30</v>
      </c>
      <c r="I3983" s="5" t="s">
        <v>27</v>
      </c>
      <c r="J3983" s="5" t="s">
        <v>60</v>
      </c>
      <c r="K3983" s="6">
        <v>0</v>
      </c>
      <c r="L3983" s="7">
        <v>0</v>
      </c>
      <c r="M3983" s="7">
        <v>0</v>
      </c>
      <c r="N3983" s="7">
        <v>0</v>
      </c>
      <c r="O3983" s="7">
        <v>0</v>
      </c>
      <c r="P3983" s="8">
        <v>0</v>
      </c>
      <c r="Q3983" s="8">
        <v>0</v>
      </c>
      <c r="R3983" s="8">
        <v>0</v>
      </c>
      <c r="S3983" s="8">
        <v>0</v>
      </c>
      <c r="T3983" s="5">
        <v>0</v>
      </c>
      <c r="U3983" s="5">
        <v>0</v>
      </c>
      <c r="V3983" s="5">
        <f>VLOOKUP(A3983,Planilha1!B:E,4,0)</f>
        <v>5.819800475298738</v>
      </c>
    </row>
    <row r="3984" spans="1:22" x14ac:dyDescent="0.3">
      <c r="A3984" t="str">
        <f t="shared" si="124"/>
        <v>MANTEIGA 5KGITAMBÉ</v>
      </c>
      <c r="B3984" t="str">
        <f t="shared" si="125"/>
        <v>5223622MANTEIGA 5KGITAMBÉ</v>
      </c>
      <c r="C3984" s="5" t="s">
        <v>149</v>
      </c>
      <c r="D3984" s="5" t="s">
        <v>150</v>
      </c>
      <c r="E3984" s="5" t="s">
        <v>186</v>
      </c>
      <c r="F3984" s="5">
        <v>5223622</v>
      </c>
      <c r="G3984" s="5" t="s">
        <v>1661</v>
      </c>
      <c r="H3984" s="5" t="s">
        <v>110</v>
      </c>
      <c r="I3984" s="5" t="s">
        <v>27</v>
      </c>
      <c r="J3984" s="5" t="s">
        <v>60</v>
      </c>
      <c r="K3984" s="6">
        <v>0</v>
      </c>
      <c r="L3984" s="7">
        <v>0</v>
      </c>
      <c r="M3984" s="7">
        <v>0</v>
      </c>
      <c r="N3984" s="7">
        <v>0</v>
      </c>
      <c r="O3984" s="7">
        <v>0</v>
      </c>
      <c r="P3984" s="8">
        <v>0</v>
      </c>
      <c r="Q3984" s="8">
        <v>70</v>
      </c>
      <c r="R3984" s="8">
        <v>0</v>
      </c>
      <c r="S3984" s="8">
        <v>0</v>
      </c>
      <c r="T3984" s="5">
        <v>0</v>
      </c>
      <c r="U3984" s="5">
        <v>70</v>
      </c>
      <c r="V3984" s="5">
        <f>VLOOKUP(A3984,Planilha1!B:E,4,0)</f>
        <v>5.819800475298738</v>
      </c>
    </row>
    <row r="3985" spans="1:22" x14ac:dyDescent="0.3">
      <c r="A3985" t="str">
        <f t="shared" si="124"/>
        <v>MANTEIGA 5KGITAMBÉ</v>
      </c>
      <c r="B3985" t="str">
        <f t="shared" si="125"/>
        <v>5233833MANTEIGA 5KGITAMBÉ</v>
      </c>
      <c r="C3985" s="5" t="e">
        <v>#N/A</v>
      </c>
      <c r="D3985" s="5" t="e">
        <v>#N/A</v>
      </c>
      <c r="E3985" s="5" t="e">
        <v>#N/A</v>
      </c>
      <c r="F3985" s="5">
        <v>5233833</v>
      </c>
      <c r="G3985" s="5" t="s">
        <v>1542</v>
      </c>
      <c r="H3985" s="5" t="s">
        <v>1636</v>
      </c>
      <c r="I3985" s="5" t="s">
        <v>27</v>
      </c>
      <c r="J3985" s="5" t="s">
        <v>60</v>
      </c>
      <c r="K3985" s="6">
        <v>0</v>
      </c>
      <c r="L3985" s="7">
        <v>0</v>
      </c>
      <c r="M3985" s="7">
        <v>0</v>
      </c>
      <c r="N3985" s="7">
        <v>0</v>
      </c>
      <c r="O3985" s="7">
        <v>0</v>
      </c>
      <c r="P3985" s="8">
        <v>0</v>
      </c>
      <c r="Q3985" s="8">
        <v>0</v>
      </c>
      <c r="R3985" s="8">
        <v>0</v>
      </c>
      <c r="S3985" s="8">
        <v>0</v>
      </c>
      <c r="T3985" s="5">
        <v>0</v>
      </c>
      <c r="U3985" s="5">
        <v>50</v>
      </c>
      <c r="V3985" s="5">
        <f>VLOOKUP(A3985,Planilha1!B:E,4,0)</f>
        <v>5.819800475298738</v>
      </c>
    </row>
    <row r="3986" spans="1:22" x14ac:dyDescent="0.3">
      <c r="A3986" t="str">
        <f t="shared" si="124"/>
        <v>MANTEIGA 5KGITAMBÉ</v>
      </c>
      <c r="B3986" t="str">
        <f t="shared" si="125"/>
        <v>5315925MANTEIGA 5KGITAMBÉ</v>
      </c>
      <c r="C3986" s="5" t="s">
        <v>149</v>
      </c>
      <c r="D3986" s="5" t="s">
        <v>150</v>
      </c>
      <c r="E3986" s="5" t="s">
        <v>186</v>
      </c>
      <c r="F3986" s="5">
        <v>5315925</v>
      </c>
      <c r="G3986" s="5" t="s">
        <v>1662</v>
      </c>
      <c r="H3986" s="5" t="s">
        <v>32</v>
      </c>
      <c r="I3986" s="5" t="s">
        <v>27</v>
      </c>
      <c r="J3986" s="5" t="s">
        <v>60</v>
      </c>
      <c r="K3986" s="6">
        <v>0</v>
      </c>
      <c r="L3986" s="7">
        <v>0</v>
      </c>
      <c r="M3986" s="7">
        <v>0</v>
      </c>
      <c r="N3986" s="7">
        <v>0</v>
      </c>
      <c r="O3986" s="7">
        <v>0</v>
      </c>
      <c r="P3986" s="8">
        <v>0</v>
      </c>
      <c r="Q3986" s="8">
        <v>0</v>
      </c>
      <c r="R3986" s="8">
        <v>0</v>
      </c>
      <c r="S3986" s="8">
        <v>0</v>
      </c>
      <c r="T3986" s="5">
        <v>0</v>
      </c>
      <c r="U3986" s="5">
        <v>160</v>
      </c>
      <c r="V3986" s="5">
        <f>VLOOKUP(A3986,Planilha1!B:E,4,0)</f>
        <v>5.819800475298738</v>
      </c>
    </row>
    <row r="3987" spans="1:22" x14ac:dyDescent="0.3">
      <c r="A3987" t="str">
        <f t="shared" si="124"/>
        <v>MANTEIGA 5KGITAMBÉ</v>
      </c>
      <c r="B3987" t="str">
        <f t="shared" si="125"/>
        <v>5332394MANTEIGA 5KGITAMBÉ</v>
      </c>
      <c r="C3987" s="5" t="e">
        <v>#N/A</v>
      </c>
      <c r="D3987" s="5" t="e">
        <v>#N/A</v>
      </c>
      <c r="E3987" s="5" t="e">
        <v>#N/A</v>
      </c>
      <c r="F3987" s="5">
        <v>5332394</v>
      </c>
      <c r="G3987" s="5" t="s">
        <v>1542</v>
      </c>
      <c r="H3987" s="5" t="s">
        <v>1636</v>
      </c>
      <c r="I3987" s="5" t="s">
        <v>27</v>
      </c>
      <c r="J3987" s="5" t="s">
        <v>60</v>
      </c>
      <c r="K3987" s="6">
        <v>0</v>
      </c>
      <c r="L3987" s="7">
        <v>0</v>
      </c>
      <c r="M3987" s="7">
        <v>0</v>
      </c>
      <c r="N3987" s="7">
        <v>0</v>
      </c>
      <c r="O3987" s="7">
        <v>0</v>
      </c>
      <c r="P3987" s="8">
        <v>0</v>
      </c>
      <c r="Q3987" s="8">
        <v>0</v>
      </c>
      <c r="R3987" s="8">
        <v>0</v>
      </c>
      <c r="S3987" s="8">
        <v>0</v>
      </c>
      <c r="T3987" s="5">
        <v>0</v>
      </c>
      <c r="U3987" s="5">
        <v>50</v>
      </c>
      <c r="V3987" s="5">
        <f>VLOOKUP(A3987,Planilha1!B:E,4,0)</f>
        <v>5.819800475298738</v>
      </c>
    </row>
    <row r="3988" spans="1:22" x14ac:dyDescent="0.3">
      <c r="A3988" t="str">
        <f t="shared" si="124"/>
        <v>MANTEIGA 5KGITAMBÉ</v>
      </c>
      <c r="B3988" t="str">
        <f t="shared" si="125"/>
        <v>5350655MANTEIGA 5KGITAMBÉ</v>
      </c>
      <c r="C3988" s="5" t="s">
        <v>149</v>
      </c>
      <c r="D3988" s="5" t="s">
        <v>150</v>
      </c>
      <c r="E3988" s="5" t="s">
        <v>186</v>
      </c>
      <c r="F3988" s="5">
        <v>5350655</v>
      </c>
      <c r="G3988" s="5" t="s">
        <v>1663</v>
      </c>
      <c r="H3988" s="5" t="s">
        <v>30</v>
      </c>
      <c r="I3988" s="5" t="s">
        <v>27</v>
      </c>
      <c r="J3988" s="5" t="s">
        <v>60</v>
      </c>
      <c r="K3988" s="6">
        <v>0</v>
      </c>
      <c r="L3988" s="7">
        <v>0</v>
      </c>
      <c r="M3988" s="7">
        <v>0</v>
      </c>
      <c r="N3988" s="7">
        <v>0</v>
      </c>
      <c r="O3988" s="7">
        <v>0</v>
      </c>
      <c r="P3988" s="8">
        <v>0</v>
      </c>
      <c r="Q3988" s="8">
        <v>50</v>
      </c>
      <c r="R3988" s="8">
        <v>0</v>
      </c>
      <c r="S3988" s="8">
        <v>0</v>
      </c>
      <c r="T3988" s="5">
        <v>0</v>
      </c>
      <c r="U3988" s="5">
        <v>0</v>
      </c>
      <c r="V3988" s="5">
        <f>VLOOKUP(A3988,Planilha1!B:E,4,0)</f>
        <v>5.819800475298738</v>
      </c>
    </row>
    <row r="3989" spans="1:22" x14ac:dyDescent="0.3">
      <c r="A3989" t="str">
        <f t="shared" si="124"/>
        <v>MANTEIGA 5KGITAMBÉ</v>
      </c>
      <c r="B3989" t="str">
        <f t="shared" si="125"/>
        <v>5350677MANTEIGA 5KGITAMBÉ</v>
      </c>
      <c r="C3989" s="5" t="s">
        <v>149</v>
      </c>
      <c r="D3989" s="5" t="s">
        <v>150</v>
      </c>
      <c r="E3989" s="5" t="s">
        <v>186</v>
      </c>
      <c r="F3989" s="5">
        <v>5350677</v>
      </c>
      <c r="G3989" s="5" t="s">
        <v>1664</v>
      </c>
      <c r="H3989" s="5" t="s">
        <v>30</v>
      </c>
      <c r="I3989" s="5" t="s">
        <v>27</v>
      </c>
      <c r="J3989" s="5" t="s">
        <v>60</v>
      </c>
      <c r="K3989" s="6">
        <v>0</v>
      </c>
      <c r="L3989" s="7">
        <v>0</v>
      </c>
      <c r="M3989" s="7">
        <v>0</v>
      </c>
      <c r="N3989" s="7">
        <v>0</v>
      </c>
      <c r="O3989" s="7">
        <v>0</v>
      </c>
      <c r="P3989" s="8">
        <v>0</v>
      </c>
      <c r="Q3989" s="8">
        <v>0</v>
      </c>
      <c r="R3989" s="8">
        <v>0</v>
      </c>
      <c r="S3989" s="8">
        <v>0</v>
      </c>
      <c r="T3989" s="5">
        <v>0</v>
      </c>
      <c r="U3989" s="5">
        <v>80</v>
      </c>
      <c r="V3989" s="5">
        <f>VLOOKUP(A3989,Planilha1!B:E,4,0)</f>
        <v>5.819800475298738</v>
      </c>
    </row>
    <row r="3990" spans="1:22" x14ac:dyDescent="0.3">
      <c r="A3990" t="str">
        <f t="shared" si="124"/>
        <v>MANTEIGA 5KGITAMBÉ</v>
      </c>
      <c r="B3990" t="str">
        <f t="shared" si="125"/>
        <v>5350696MANTEIGA 5KGITAMBÉ</v>
      </c>
      <c r="C3990" s="5" t="s">
        <v>149</v>
      </c>
      <c r="D3990" s="5" t="s">
        <v>150</v>
      </c>
      <c r="E3990" s="5" t="s">
        <v>186</v>
      </c>
      <c r="F3990" s="5">
        <v>5350696</v>
      </c>
      <c r="G3990" s="5" t="s">
        <v>1231</v>
      </c>
      <c r="H3990" s="5" t="s">
        <v>30</v>
      </c>
      <c r="I3990" s="5" t="s">
        <v>27</v>
      </c>
      <c r="J3990" s="5" t="s">
        <v>60</v>
      </c>
      <c r="K3990" s="6">
        <v>0</v>
      </c>
      <c r="L3990" s="7">
        <v>0</v>
      </c>
      <c r="M3990" s="7">
        <v>0</v>
      </c>
      <c r="N3990" s="7">
        <v>0</v>
      </c>
      <c r="O3990" s="7">
        <v>0</v>
      </c>
      <c r="P3990" s="8">
        <v>0</v>
      </c>
      <c r="Q3990" s="8">
        <v>80</v>
      </c>
      <c r="R3990" s="8">
        <v>0</v>
      </c>
      <c r="S3990" s="8">
        <v>0</v>
      </c>
      <c r="T3990" s="5">
        <v>0</v>
      </c>
      <c r="U3990" s="5">
        <v>0</v>
      </c>
      <c r="V3990" s="5">
        <f>VLOOKUP(A3990,Planilha1!B:E,4,0)</f>
        <v>5.819800475298738</v>
      </c>
    </row>
    <row r="3991" spans="1:22" x14ac:dyDescent="0.3">
      <c r="A3991" t="str">
        <f t="shared" si="124"/>
        <v>MANTEIGA 5KGITAMBÉ</v>
      </c>
      <c r="B3991" t="str">
        <f t="shared" si="125"/>
        <v>5350697MANTEIGA 5KGITAMBÉ</v>
      </c>
      <c r="C3991" s="5" t="e">
        <v>#N/A</v>
      </c>
      <c r="D3991" s="5" t="e">
        <v>#N/A</v>
      </c>
      <c r="E3991" s="5" t="e">
        <v>#N/A</v>
      </c>
      <c r="F3991" s="5">
        <v>5350697</v>
      </c>
      <c r="G3991" s="5" t="s">
        <v>1542</v>
      </c>
      <c r="H3991" s="5" t="s">
        <v>1636</v>
      </c>
      <c r="I3991" s="5" t="s">
        <v>27</v>
      </c>
      <c r="J3991" s="5" t="s">
        <v>60</v>
      </c>
      <c r="K3991" s="6">
        <v>0</v>
      </c>
      <c r="L3991" s="7">
        <v>0</v>
      </c>
      <c r="M3991" s="7">
        <v>0</v>
      </c>
      <c r="N3991" s="7">
        <v>0</v>
      </c>
      <c r="O3991" s="7">
        <v>0</v>
      </c>
      <c r="P3991" s="8">
        <v>0</v>
      </c>
      <c r="Q3991" s="8">
        <v>0</v>
      </c>
      <c r="R3991" s="8">
        <v>0</v>
      </c>
      <c r="S3991" s="8">
        <v>0</v>
      </c>
      <c r="T3991" s="5">
        <v>0</v>
      </c>
      <c r="U3991" s="5">
        <v>0</v>
      </c>
      <c r="V3991" s="5">
        <f>VLOOKUP(A3991,Planilha1!B:E,4,0)</f>
        <v>5.819800475298738</v>
      </c>
    </row>
    <row r="3992" spans="1:22" x14ac:dyDescent="0.3">
      <c r="A3992" t="str">
        <f t="shared" si="124"/>
        <v>MANTEIGA 5KGITAMBÉ</v>
      </c>
      <c r="B3992" t="str">
        <f t="shared" si="125"/>
        <v>5350699MANTEIGA 5KGITAMBÉ</v>
      </c>
      <c r="C3992" s="5" t="s">
        <v>149</v>
      </c>
      <c r="D3992" s="5" t="s">
        <v>150</v>
      </c>
      <c r="E3992" s="5" t="s">
        <v>186</v>
      </c>
      <c r="F3992" s="5">
        <v>5350699</v>
      </c>
      <c r="G3992" s="5" t="s">
        <v>1665</v>
      </c>
      <c r="H3992" s="5" t="s">
        <v>30</v>
      </c>
      <c r="I3992" s="5" t="s">
        <v>27</v>
      </c>
      <c r="J3992" s="5" t="s">
        <v>60</v>
      </c>
      <c r="K3992" s="6">
        <v>0</v>
      </c>
      <c r="L3992" s="7">
        <v>0</v>
      </c>
      <c r="M3992" s="7">
        <v>0</v>
      </c>
      <c r="N3992" s="7">
        <v>0</v>
      </c>
      <c r="O3992" s="7">
        <v>0</v>
      </c>
      <c r="P3992" s="8">
        <v>0</v>
      </c>
      <c r="Q3992" s="8">
        <v>0</v>
      </c>
      <c r="R3992" s="8">
        <v>0</v>
      </c>
      <c r="S3992" s="8">
        <v>0</v>
      </c>
      <c r="T3992" s="5">
        <v>0</v>
      </c>
      <c r="U3992" s="5">
        <v>0</v>
      </c>
      <c r="V3992" s="5">
        <f>VLOOKUP(A3992,Planilha1!B:E,4,0)</f>
        <v>5.819800475298738</v>
      </c>
    </row>
    <row r="3993" spans="1:22" x14ac:dyDescent="0.3">
      <c r="A3993" t="str">
        <f t="shared" si="124"/>
        <v>MANTEIGA 5KGITAMBÉ</v>
      </c>
      <c r="B3993" t="str">
        <f t="shared" si="125"/>
        <v>5350701MANTEIGA 5KGITAMBÉ</v>
      </c>
      <c r="C3993" s="5" t="e">
        <v>#N/A</v>
      </c>
      <c r="D3993" s="5" t="e">
        <v>#N/A</v>
      </c>
      <c r="E3993" s="5" t="e">
        <v>#N/A</v>
      </c>
      <c r="F3993" s="5">
        <v>5350701</v>
      </c>
      <c r="G3993" s="5" t="s">
        <v>1542</v>
      </c>
      <c r="H3993" s="5" t="s">
        <v>1636</v>
      </c>
      <c r="I3993" s="5" t="s">
        <v>27</v>
      </c>
      <c r="J3993" s="5" t="s">
        <v>60</v>
      </c>
      <c r="K3993" s="6">
        <v>0</v>
      </c>
      <c r="L3993" s="7">
        <v>0</v>
      </c>
      <c r="M3993" s="7">
        <v>0</v>
      </c>
      <c r="N3993" s="7">
        <v>0</v>
      </c>
      <c r="O3993" s="7">
        <v>0</v>
      </c>
      <c r="P3993" s="8">
        <v>0</v>
      </c>
      <c r="Q3993" s="8">
        <v>0</v>
      </c>
      <c r="R3993" s="8">
        <v>0</v>
      </c>
      <c r="S3993" s="8">
        <v>0</v>
      </c>
      <c r="T3993" s="5">
        <v>0</v>
      </c>
      <c r="U3993" s="5">
        <v>120</v>
      </c>
      <c r="V3993" s="5">
        <f>VLOOKUP(A3993,Planilha1!B:E,4,0)</f>
        <v>5.819800475298738</v>
      </c>
    </row>
    <row r="3994" spans="1:22" x14ac:dyDescent="0.3">
      <c r="A3994" t="str">
        <f t="shared" si="124"/>
        <v>MANTEIGA 5KGITAMBÉ</v>
      </c>
      <c r="B3994" t="str">
        <f t="shared" si="125"/>
        <v>5350702MANTEIGA 5KGITAMBÉ</v>
      </c>
      <c r="C3994" s="5" t="e">
        <v>#N/A</v>
      </c>
      <c r="D3994" s="5" t="e">
        <v>#N/A</v>
      </c>
      <c r="E3994" s="5" t="e">
        <v>#N/A</v>
      </c>
      <c r="F3994" s="5">
        <v>5350702</v>
      </c>
      <c r="G3994" s="5" t="s">
        <v>1542</v>
      </c>
      <c r="H3994" s="5" t="s">
        <v>1636</v>
      </c>
      <c r="I3994" s="5" t="s">
        <v>27</v>
      </c>
      <c r="J3994" s="5" t="s">
        <v>60</v>
      </c>
      <c r="K3994" s="6">
        <v>0</v>
      </c>
      <c r="L3994" s="7">
        <v>0</v>
      </c>
      <c r="M3994" s="7">
        <v>0</v>
      </c>
      <c r="N3994" s="7">
        <v>0</v>
      </c>
      <c r="O3994" s="7">
        <v>0</v>
      </c>
      <c r="P3994" s="8">
        <v>0</v>
      </c>
      <c r="Q3994" s="8">
        <v>80</v>
      </c>
      <c r="R3994" s="8">
        <v>0</v>
      </c>
      <c r="S3994" s="8">
        <v>0</v>
      </c>
      <c r="T3994" s="5">
        <v>0</v>
      </c>
      <c r="U3994" s="5">
        <v>0</v>
      </c>
      <c r="V3994" s="5">
        <f>VLOOKUP(A3994,Planilha1!B:E,4,0)</f>
        <v>5.819800475298738</v>
      </c>
    </row>
    <row r="3995" spans="1:22" x14ac:dyDescent="0.3">
      <c r="A3995" t="str">
        <f t="shared" si="124"/>
        <v>MANTEIGA 5KGITAMBÉ</v>
      </c>
      <c r="B3995" t="str">
        <f t="shared" si="125"/>
        <v>5350704MANTEIGA 5KGITAMBÉ</v>
      </c>
      <c r="C3995" s="5" t="s">
        <v>149</v>
      </c>
      <c r="D3995" s="5" t="s">
        <v>150</v>
      </c>
      <c r="E3995" s="5" t="s">
        <v>186</v>
      </c>
      <c r="F3995" s="5">
        <v>5350704</v>
      </c>
      <c r="G3995" s="5" t="s">
        <v>1666</v>
      </c>
      <c r="H3995" s="5" t="s">
        <v>30</v>
      </c>
      <c r="I3995" s="5" t="s">
        <v>27</v>
      </c>
      <c r="J3995" s="5" t="s">
        <v>60</v>
      </c>
      <c r="K3995" s="6">
        <v>0</v>
      </c>
      <c r="L3995" s="7">
        <v>0</v>
      </c>
      <c r="M3995" s="7">
        <v>0</v>
      </c>
      <c r="N3995" s="7">
        <v>0</v>
      </c>
      <c r="O3995" s="7">
        <v>0</v>
      </c>
      <c r="P3995" s="8">
        <v>0</v>
      </c>
      <c r="Q3995" s="8">
        <v>0</v>
      </c>
      <c r="R3995" s="8">
        <v>0</v>
      </c>
      <c r="S3995" s="8">
        <v>0</v>
      </c>
      <c r="T3995" s="5">
        <v>0</v>
      </c>
      <c r="U3995" s="5">
        <v>50</v>
      </c>
      <c r="V3995" s="5">
        <f>VLOOKUP(A3995,Planilha1!B:E,4,0)</f>
        <v>5.819800475298738</v>
      </c>
    </row>
    <row r="3996" spans="1:22" x14ac:dyDescent="0.3">
      <c r="A3996" t="str">
        <f t="shared" si="124"/>
        <v>MANTEIGA 5KGITAMBÉ</v>
      </c>
      <c r="B3996" t="str">
        <f t="shared" si="125"/>
        <v>5350705MANTEIGA 5KGITAMBÉ</v>
      </c>
      <c r="C3996" s="5" t="e">
        <v>#N/A</v>
      </c>
      <c r="D3996" s="5" t="e">
        <v>#N/A</v>
      </c>
      <c r="E3996" s="5" t="e">
        <v>#N/A</v>
      </c>
      <c r="F3996" s="5">
        <v>5350705</v>
      </c>
      <c r="G3996" s="5" t="s">
        <v>1542</v>
      </c>
      <c r="H3996" s="5" t="s">
        <v>1636</v>
      </c>
      <c r="I3996" s="5" t="s">
        <v>27</v>
      </c>
      <c r="J3996" s="5" t="s">
        <v>60</v>
      </c>
      <c r="K3996" s="6">
        <v>0</v>
      </c>
      <c r="L3996" s="7">
        <v>0</v>
      </c>
      <c r="M3996" s="7">
        <v>0</v>
      </c>
      <c r="N3996" s="7">
        <v>0</v>
      </c>
      <c r="O3996" s="7">
        <v>0</v>
      </c>
      <c r="P3996" s="8">
        <v>0</v>
      </c>
      <c r="Q3996" s="8">
        <v>0</v>
      </c>
      <c r="R3996" s="8">
        <v>0</v>
      </c>
      <c r="S3996" s="8">
        <v>0</v>
      </c>
      <c r="T3996" s="5">
        <v>0</v>
      </c>
      <c r="U3996" s="5">
        <v>0</v>
      </c>
      <c r="V3996" s="5">
        <f>VLOOKUP(A3996,Planilha1!B:E,4,0)</f>
        <v>5.819800475298738</v>
      </c>
    </row>
    <row r="3997" spans="1:22" x14ac:dyDescent="0.3">
      <c r="A3997" t="str">
        <f t="shared" si="124"/>
        <v>MANTEIGA 5KGITAMBÉ</v>
      </c>
      <c r="B3997" t="str">
        <f t="shared" si="125"/>
        <v>5351708MANTEIGA 5KGITAMBÉ</v>
      </c>
      <c r="C3997" s="5" t="e">
        <v>#N/A</v>
      </c>
      <c r="D3997" s="5" t="e">
        <v>#N/A</v>
      </c>
      <c r="E3997" s="5" t="e">
        <v>#N/A</v>
      </c>
      <c r="F3997" s="5">
        <v>5351708</v>
      </c>
      <c r="G3997" s="5" t="s">
        <v>1542</v>
      </c>
      <c r="H3997" s="5" t="s">
        <v>1636</v>
      </c>
      <c r="I3997" s="5" t="s">
        <v>27</v>
      </c>
      <c r="J3997" s="5" t="s">
        <v>60</v>
      </c>
      <c r="K3997" s="6">
        <v>0</v>
      </c>
      <c r="L3997" s="7">
        <v>0</v>
      </c>
      <c r="M3997" s="7">
        <v>0</v>
      </c>
      <c r="N3997" s="7">
        <v>0</v>
      </c>
      <c r="O3997" s="7">
        <v>0</v>
      </c>
      <c r="P3997" s="8">
        <v>0</v>
      </c>
      <c r="Q3997" s="8">
        <v>0</v>
      </c>
      <c r="R3997" s="8">
        <v>0</v>
      </c>
      <c r="S3997" s="8">
        <v>0</v>
      </c>
      <c r="T3997" s="5">
        <v>0</v>
      </c>
      <c r="U3997" s="5">
        <v>0</v>
      </c>
      <c r="V3997" s="5">
        <f>VLOOKUP(A3997,Planilha1!B:E,4,0)</f>
        <v>5.819800475298738</v>
      </c>
    </row>
    <row r="3998" spans="1:22" x14ac:dyDescent="0.3">
      <c r="A3998" t="str">
        <f t="shared" si="124"/>
        <v>MANTEIGA 5KGITAMBÉ</v>
      </c>
      <c r="B3998" t="str">
        <f t="shared" si="125"/>
        <v>5351859MANTEIGA 5KGITAMBÉ</v>
      </c>
      <c r="C3998" s="5" t="e">
        <v>#N/A</v>
      </c>
      <c r="D3998" s="5" t="e">
        <v>#N/A</v>
      </c>
      <c r="E3998" s="5" t="e">
        <v>#N/A</v>
      </c>
      <c r="F3998" s="5">
        <v>5351859</v>
      </c>
      <c r="G3998" s="5" t="s">
        <v>1542</v>
      </c>
      <c r="H3998" s="5" t="s">
        <v>1636</v>
      </c>
      <c r="I3998" s="5" t="s">
        <v>27</v>
      </c>
      <c r="J3998" s="5" t="s">
        <v>60</v>
      </c>
      <c r="K3998" s="6">
        <v>0</v>
      </c>
      <c r="L3998" s="7">
        <v>0</v>
      </c>
      <c r="M3998" s="7">
        <v>0</v>
      </c>
      <c r="N3998" s="7">
        <v>0</v>
      </c>
      <c r="O3998" s="7">
        <v>0</v>
      </c>
      <c r="P3998" s="8">
        <v>0</v>
      </c>
      <c r="Q3998" s="8">
        <v>120</v>
      </c>
      <c r="R3998" s="8">
        <v>0</v>
      </c>
      <c r="S3998" s="8">
        <v>0</v>
      </c>
      <c r="T3998" s="5">
        <v>0</v>
      </c>
      <c r="U3998" s="5">
        <v>0</v>
      </c>
      <c r="V3998" s="5">
        <f>VLOOKUP(A3998,Planilha1!B:E,4,0)</f>
        <v>5.819800475298738</v>
      </c>
    </row>
    <row r="3999" spans="1:22" x14ac:dyDescent="0.3">
      <c r="A3999" t="str">
        <f t="shared" si="124"/>
        <v>MANTEIGA 5KGITAMBÉ</v>
      </c>
      <c r="B3999" t="str">
        <f t="shared" si="125"/>
        <v>5351862MANTEIGA 5KGITAMBÉ</v>
      </c>
      <c r="C3999" s="5" t="e">
        <v>#N/A</v>
      </c>
      <c r="D3999" s="5" t="e">
        <v>#N/A</v>
      </c>
      <c r="E3999" s="5" t="e">
        <v>#N/A</v>
      </c>
      <c r="F3999" s="5">
        <v>5351862</v>
      </c>
      <c r="G3999" s="5" t="s">
        <v>1542</v>
      </c>
      <c r="H3999" s="5" t="s">
        <v>1636</v>
      </c>
      <c r="I3999" s="5" t="s">
        <v>27</v>
      </c>
      <c r="J3999" s="5" t="s">
        <v>60</v>
      </c>
      <c r="K3999" s="6">
        <v>0</v>
      </c>
      <c r="L3999" s="7">
        <v>0</v>
      </c>
      <c r="M3999" s="7">
        <v>0</v>
      </c>
      <c r="N3999" s="7">
        <v>0</v>
      </c>
      <c r="O3999" s="7">
        <v>0</v>
      </c>
      <c r="P3999" s="8">
        <v>0</v>
      </c>
      <c r="Q3999" s="8">
        <v>55</v>
      </c>
      <c r="R3999" s="8">
        <v>0</v>
      </c>
      <c r="S3999" s="8">
        <v>0</v>
      </c>
      <c r="T3999" s="5">
        <v>0</v>
      </c>
      <c r="U3999" s="5">
        <v>0</v>
      </c>
      <c r="V3999" s="5">
        <f>VLOOKUP(A3999,Planilha1!B:E,4,0)</f>
        <v>5.819800475298738</v>
      </c>
    </row>
    <row r="4000" spans="1:22" x14ac:dyDescent="0.3">
      <c r="A4000" t="str">
        <f t="shared" si="124"/>
        <v>MANTEIGA 5KGITAMBÉ</v>
      </c>
      <c r="B4000" t="str">
        <f t="shared" si="125"/>
        <v>5351871MANTEIGA 5KGITAMBÉ</v>
      </c>
      <c r="C4000" s="5" t="e">
        <v>#N/A</v>
      </c>
      <c r="D4000" s="5" t="e">
        <v>#N/A</v>
      </c>
      <c r="E4000" s="5" t="e">
        <v>#N/A</v>
      </c>
      <c r="F4000" s="5">
        <v>5351871</v>
      </c>
      <c r="G4000" s="5" t="s">
        <v>1542</v>
      </c>
      <c r="H4000" s="5" t="s">
        <v>1636</v>
      </c>
      <c r="I4000" s="5" t="s">
        <v>27</v>
      </c>
      <c r="J4000" s="5" t="s">
        <v>60</v>
      </c>
      <c r="K4000" s="6">
        <v>0</v>
      </c>
      <c r="L4000" s="7">
        <v>0</v>
      </c>
      <c r="M4000" s="7">
        <v>0</v>
      </c>
      <c r="N4000" s="7">
        <v>0</v>
      </c>
      <c r="O4000" s="7">
        <v>0</v>
      </c>
      <c r="P4000" s="8">
        <v>0</v>
      </c>
      <c r="Q4000" s="8">
        <v>0</v>
      </c>
      <c r="R4000" s="8">
        <v>0</v>
      </c>
      <c r="S4000" s="8">
        <v>0</v>
      </c>
      <c r="T4000" s="5">
        <v>0</v>
      </c>
      <c r="U4000" s="5">
        <v>0</v>
      </c>
      <c r="V4000" s="5">
        <f>VLOOKUP(A4000,Planilha1!B:E,4,0)</f>
        <v>5.819800475298738</v>
      </c>
    </row>
    <row r="4001" spans="1:22" x14ac:dyDescent="0.3">
      <c r="A4001" t="str">
        <f t="shared" si="124"/>
        <v>MANTEIGA 5KGITAMBÉ</v>
      </c>
      <c r="B4001" t="str">
        <f t="shared" si="125"/>
        <v>5351894MANTEIGA 5KGITAMBÉ</v>
      </c>
      <c r="C4001" s="5" t="s">
        <v>149</v>
      </c>
      <c r="D4001" s="5" t="s">
        <v>150</v>
      </c>
      <c r="E4001" s="5" t="s">
        <v>186</v>
      </c>
      <c r="F4001" s="5">
        <v>5351894</v>
      </c>
      <c r="G4001" s="5" t="s">
        <v>1667</v>
      </c>
      <c r="H4001" s="5" t="s">
        <v>154</v>
      </c>
      <c r="I4001" s="5" t="s">
        <v>27</v>
      </c>
      <c r="J4001" s="5" t="s">
        <v>60</v>
      </c>
      <c r="K4001" s="6">
        <v>0</v>
      </c>
      <c r="L4001" s="7">
        <v>0</v>
      </c>
      <c r="M4001" s="7">
        <v>0</v>
      </c>
      <c r="N4001" s="7">
        <v>0</v>
      </c>
      <c r="O4001" s="7">
        <v>0</v>
      </c>
      <c r="P4001" s="8">
        <v>0</v>
      </c>
      <c r="Q4001" s="8">
        <v>0</v>
      </c>
      <c r="R4001" s="8">
        <v>0</v>
      </c>
      <c r="S4001" s="8">
        <v>0</v>
      </c>
      <c r="T4001" s="5">
        <v>0</v>
      </c>
      <c r="U4001" s="5">
        <v>5</v>
      </c>
      <c r="V4001" s="5">
        <f>VLOOKUP(A4001,Planilha1!B:E,4,0)</f>
        <v>5.819800475298738</v>
      </c>
    </row>
    <row r="4002" spans="1:22" x14ac:dyDescent="0.3">
      <c r="A4002" t="str">
        <f t="shared" si="124"/>
        <v>MANTEIGA 5KGITAMBÉ</v>
      </c>
      <c r="B4002" t="str">
        <f t="shared" si="125"/>
        <v>5351895MANTEIGA 5KGITAMBÉ</v>
      </c>
      <c r="C4002" s="5" t="e">
        <v>#N/A</v>
      </c>
      <c r="D4002" s="5" t="e">
        <v>#N/A</v>
      </c>
      <c r="E4002" s="5" t="e">
        <v>#N/A</v>
      </c>
      <c r="F4002" s="5">
        <v>5351895</v>
      </c>
      <c r="G4002" s="5" t="s">
        <v>1542</v>
      </c>
      <c r="H4002" s="5" t="s">
        <v>1636</v>
      </c>
      <c r="I4002" s="5" t="s">
        <v>27</v>
      </c>
      <c r="J4002" s="5" t="s">
        <v>60</v>
      </c>
      <c r="K4002" s="6">
        <v>0</v>
      </c>
      <c r="L4002" s="7">
        <v>0</v>
      </c>
      <c r="M4002" s="7">
        <v>0</v>
      </c>
      <c r="N4002" s="7">
        <v>0</v>
      </c>
      <c r="O4002" s="7">
        <v>0</v>
      </c>
      <c r="P4002" s="8">
        <v>0</v>
      </c>
      <c r="Q4002" s="8">
        <v>0</v>
      </c>
      <c r="R4002" s="8">
        <v>0</v>
      </c>
      <c r="S4002" s="8">
        <v>0</v>
      </c>
      <c r="T4002" s="5">
        <v>0</v>
      </c>
      <c r="U4002" s="5">
        <v>0</v>
      </c>
      <c r="V4002" s="5">
        <f>VLOOKUP(A4002,Planilha1!B:E,4,0)</f>
        <v>5.819800475298738</v>
      </c>
    </row>
    <row r="4003" spans="1:22" x14ac:dyDescent="0.3">
      <c r="A4003" t="str">
        <f t="shared" si="124"/>
        <v>MANTEIGA 5KGITAMBÉ</v>
      </c>
      <c r="B4003" t="str">
        <f t="shared" si="125"/>
        <v>5352110MANTEIGA 5KGITAMBÉ</v>
      </c>
      <c r="C4003" s="5" t="e">
        <v>#N/A</v>
      </c>
      <c r="D4003" s="5" t="e">
        <v>#N/A</v>
      </c>
      <c r="E4003" s="5" t="e">
        <v>#N/A</v>
      </c>
      <c r="F4003" s="5">
        <v>5352110</v>
      </c>
      <c r="G4003" s="5" t="s">
        <v>1542</v>
      </c>
      <c r="H4003" s="5" t="s">
        <v>1636</v>
      </c>
      <c r="I4003" s="5" t="s">
        <v>27</v>
      </c>
      <c r="J4003" s="5" t="s">
        <v>60</v>
      </c>
      <c r="K4003" s="6">
        <v>0</v>
      </c>
      <c r="L4003" s="7">
        <v>0</v>
      </c>
      <c r="M4003" s="7">
        <v>0</v>
      </c>
      <c r="N4003" s="7">
        <v>0</v>
      </c>
      <c r="O4003" s="7">
        <v>0</v>
      </c>
      <c r="P4003" s="8">
        <v>0</v>
      </c>
      <c r="Q4003" s="8">
        <v>120</v>
      </c>
      <c r="R4003" s="8">
        <v>0</v>
      </c>
      <c r="S4003" s="8">
        <v>0</v>
      </c>
      <c r="T4003" s="5">
        <v>0</v>
      </c>
      <c r="U4003" s="5">
        <v>120</v>
      </c>
      <c r="V4003" s="5">
        <f>VLOOKUP(A4003,Planilha1!B:E,4,0)</f>
        <v>5.819800475298738</v>
      </c>
    </row>
    <row r="4004" spans="1:22" x14ac:dyDescent="0.3">
      <c r="A4004" t="str">
        <f t="shared" si="124"/>
        <v>MANTEIGA 5KGITAMBÉ</v>
      </c>
      <c r="B4004" t="str">
        <f t="shared" si="125"/>
        <v>5352111MANTEIGA 5KGITAMBÉ</v>
      </c>
      <c r="C4004" s="5" t="s">
        <v>149</v>
      </c>
      <c r="D4004" s="5" t="s">
        <v>150</v>
      </c>
      <c r="E4004" s="5" t="s">
        <v>186</v>
      </c>
      <c r="F4004" s="5">
        <v>5352111</v>
      </c>
      <c r="G4004" s="5" t="s">
        <v>1668</v>
      </c>
      <c r="H4004" s="5" t="s">
        <v>91</v>
      </c>
      <c r="I4004" s="5" t="s">
        <v>27</v>
      </c>
      <c r="J4004" s="5" t="s">
        <v>60</v>
      </c>
      <c r="K4004" s="6">
        <v>0</v>
      </c>
      <c r="L4004" s="7">
        <v>0</v>
      </c>
      <c r="M4004" s="7">
        <v>0</v>
      </c>
      <c r="N4004" s="7">
        <v>0</v>
      </c>
      <c r="O4004" s="7">
        <v>0</v>
      </c>
      <c r="P4004" s="8">
        <v>0</v>
      </c>
      <c r="Q4004" s="8">
        <v>0</v>
      </c>
      <c r="R4004" s="8">
        <v>0</v>
      </c>
      <c r="S4004" s="8">
        <v>0</v>
      </c>
      <c r="T4004" s="5">
        <v>0</v>
      </c>
      <c r="U4004" s="5">
        <v>100</v>
      </c>
      <c r="V4004" s="5">
        <f>VLOOKUP(A4004,Planilha1!B:E,4,0)</f>
        <v>5.819800475298738</v>
      </c>
    </row>
    <row r="4005" spans="1:22" x14ac:dyDescent="0.3">
      <c r="A4005" t="str">
        <f t="shared" si="124"/>
        <v>MANTEIGA 5KGITAMBÉ</v>
      </c>
      <c r="B4005" t="str">
        <f t="shared" si="125"/>
        <v>5352345MANTEIGA 5KGITAMBÉ</v>
      </c>
      <c r="C4005" s="5" t="s">
        <v>149</v>
      </c>
      <c r="D4005" s="5" t="s">
        <v>150</v>
      </c>
      <c r="E4005" s="5" t="s">
        <v>186</v>
      </c>
      <c r="F4005" s="5">
        <v>5352345</v>
      </c>
      <c r="G4005" s="5" t="s">
        <v>1669</v>
      </c>
      <c r="H4005" s="5" t="s">
        <v>1228</v>
      </c>
      <c r="I4005" s="5" t="s">
        <v>27</v>
      </c>
      <c r="J4005" s="5" t="s">
        <v>60</v>
      </c>
      <c r="K4005" s="6">
        <v>0</v>
      </c>
      <c r="L4005" s="7">
        <v>0</v>
      </c>
      <c r="M4005" s="7">
        <v>0</v>
      </c>
      <c r="N4005" s="7">
        <v>0</v>
      </c>
      <c r="O4005" s="7">
        <v>0</v>
      </c>
      <c r="P4005" s="8">
        <v>0</v>
      </c>
      <c r="Q4005" s="8">
        <v>110</v>
      </c>
      <c r="R4005" s="8">
        <v>0</v>
      </c>
      <c r="S4005" s="8">
        <v>0</v>
      </c>
      <c r="T4005" s="5">
        <v>0</v>
      </c>
      <c r="U4005" s="5">
        <v>300</v>
      </c>
      <c r="V4005" s="5">
        <f>VLOOKUP(A4005,Planilha1!B:E,4,0)</f>
        <v>5.819800475298738</v>
      </c>
    </row>
    <row r="4006" spans="1:22" x14ac:dyDescent="0.3">
      <c r="A4006" t="str">
        <f t="shared" si="124"/>
        <v>MANTEIGA 5KGITAMBÉ</v>
      </c>
      <c r="B4006" t="str">
        <f t="shared" si="125"/>
        <v>5352346MANTEIGA 5KGITAMBÉ</v>
      </c>
      <c r="C4006" s="5" t="s">
        <v>149</v>
      </c>
      <c r="D4006" s="5" t="s">
        <v>150</v>
      </c>
      <c r="E4006" s="5" t="s">
        <v>186</v>
      </c>
      <c r="F4006" s="5">
        <v>5352346</v>
      </c>
      <c r="G4006" s="5" t="s">
        <v>1670</v>
      </c>
      <c r="H4006" s="5" t="s">
        <v>40</v>
      </c>
      <c r="I4006" s="5" t="s">
        <v>27</v>
      </c>
      <c r="J4006" s="5" t="s">
        <v>60</v>
      </c>
      <c r="K4006" s="6">
        <v>0</v>
      </c>
      <c r="L4006" s="7">
        <v>0</v>
      </c>
      <c r="M4006" s="7">
        <v>0</v>
      </c>
      <c r="N4006" s="7">
        <v>0</v>
      </c>
      <c r="O4006" s="7">
        <v>0</v>
      </c>
      <c r="P4006" s="8">
        <v>0</v>
      </c>
      <c r="Q4006" s="8">
        <v>0</v>
      </c>
      <c r="R4006" s="8">
        <v>0</v>
      </c>
      <c r="S4006" s="8">
        <v>120</v>
      </c>
      <c r="T4006" s="5">
        <v>120</v>
      </c>
      <c r="U4006" s="5">
        <v>120</v>
      </c>
      <c r="V4006" s="5">
        <f>VLOOKUP(A4006,Planilha1!B:E,4,0)</f>
        <v>5.819800475298738</v>
      </c>
    </row>
    <row r="4007" spans="1:22" x14ac:dyDescent="0.3">
      <c r="A4007" t="str">
        <f t="shared" si="124"/>
        <v>MANTEIGA 5KGITAMBÉ</v>
      </c>
      <c r="B4007" t="str">
        <f t="shared" si="125"/>
        <v>5352420MANTEIGA 5KGITAMBÉ</v>
      </c>
      <c r="C4007" s="5" t="s">
        <v>149</v>
      </c>
      <c r="D4007" s="5" t="s">
        <v>150</v>
      </c>
      <c r="E4007" s="5" t="s">
        <v>186</v>
      </c>
      <c r="F4007" s="5">
        <v>5352420</v>
      </c>
      <c r="G4007" s="5" t="s">
        <v>1671</v>
      </c>
      <c r="H4007" s="5" t="s">
        <v>801</v>
      </c>
      <c r="I4007" s="5" t="s">
        <v>27</v>
      </c>
      <c r="J4007" s="5" t="s">
        <v>60</v>
      </c>
      <c r="K4007" s="6">
        <v>0</v>
      </c>
      <c r="L4007" s="7">
        <v>0</v>
      </c>
      <c r="M4007" s="7">
        <v>0</v>
      </c>
      <c r="N4007" s="7">
        <v>0</v>
      </c>
      <c r="O4007" s="7">
        <v>0</v>
      </c>
      <c r="P4007" s="8">
        <v>0</v>
      </c>
      <c r="Q4007" s="8">
        <v>280</v>
      </c>
      <c r="R4007" s="8">
        <v>0</v>
      </c>
      <c r="S4007" s="8">
        <v>0</v>
      </c>
      <c r="T4007" s="5">
        <v>0</v>
      </c>
      <c r="U4007" s="5">
        <v>100</v>
      </c>
      <c r="V4007" s="5">
        <f>VLOOKUP(A4007,Planilha1!B:E,4,0)</f>
        <v>5.819800475298738</v>
      </c>
    </row>
    <row r="4008" spans="1:22" x14ac:dyDescent="0.3">
      <c r="A4008" t="str">
        <f t="shared" si="124"/>
        <v>MANTEIGA 5KGITAMBÉ</v>
      </c>
      <c r="B4008" t="str">
        <f t="shared" si="125"/>
        <v>5352421MANTEIGA 5KGITAMBÉ</v>
      </c>
      <c r="C4008" s="5" t="s">
        <v>149</v>
      </c>
      <c r="D4008" s="5" t="s">
        <v>150</v>
      </c>
      <c r="E4008" s="5" t="s">
        <v>186</v>
      </c>
      <c r="F4008" s="5">
        <v>5352421</v>
      </c>
      <c r="G4008" s="5" t="s">
        <v>1672</v>
      </c>
      <c r="H4008" s="5" t="s">
        <v>801</v>
      </c>
      <c r="I4008" s="5" t="s">
        <v>27</v>
      </c>
      <c r="J4008" s="5" t="s">
        <v>60</v>
      </c>
      <c r="K4008" s="6">
        <v>0</v>
      </c>
      <c r="L4008" s="7">
        <v>0</v>
      </c>
      <c r="M4008" s="7">
        <v>0</v>
      </c>
      <c r="N4008" s="7">
        <v>0</v>
      </c>
      <c r="O4008" s="7">
        <v>0</v>
      </c>
      <c r="P4008" s="8">
        <v>0</v>
      </c>
      <c r="Q4008" s="8">
        <v>50</v>
      </c>
      <c r="R4008" s="8">
        <v>0</v>
      </c>
      <c r="S4008" s="8">
        <v>0</v>
      </c>
      <c r="T4008" s="5">
        <v>0</v>
      </c>
      <c r="U4008" s="5">
        <v>40</v>
      </c>
      <c r="V4008" s="5">
        <f>VLOOKUP(A4008,Planilha1!B:E,4,0)</f>
        <v>5.819800475298738</v>
      </c>
    </row>
    <row r="4009" spans="1:22" x14ac:dyDescent="0.3">
      <c r="A4009" t="str">
        <f t="shared" si="124"/>
        <v>MANTEIGA 5KGITAMBÉ</v>
      </c>
      <c r="B4009" t="str">
        <f t="shared" si="125"/>
        <v>5352423MANTEIGA 5KGITAMBÉ</v>
      </c>
      <c r="C4009" s="5" t="s">
        <v>149</v>
      </c>
      <c r="D4009" s="5" t="s">
        <v>150</v>
      </c>
      <c r="E4009" s="5" t="s">
        <v>186</v>
      </c>
      <c r="F4009" s="5">
        <v>5352423</v>
      </c>
      <c r="G4009" s="5" t="s">
        <v>1673</v>
      </c>
      <c r="H4009" s="5" t="s">
        <v>801</v>
      </c>
      <c r="I4009" s="5" t="s">
        <v>27</v>
      </c>
      <c r="J4009" s="5" t="s">
        <v>60</v>
      </c>
      <c r="K4009" s="6">
        <v>0</v>
      </c>
      <c r="L4009" s="7">
        <v>0</v>
      </c>
      <c r="M4009" s="7">
        <v>0</v>
      </c>
      <c r="N4009" s="7">
        <v>0</v>
      </c>
      <c r="O4009" s="7">
        <v>0</v>
      </c>
      <c r="P4009" s="8">
        <v>0</v>
      </c>
      <c r="Q4009" s="8">
        <v>110</v>
      </c>
      <c r="R4009" s="8">
        <v>0</v>
      </c>
      <c r="S4009" s="8">
        <v>0</v>
      </c>
      <c r="T4009" s="5">
        <v>0</v>
      </c>
      <c r="U4009" s="5">
        <v>0</v>
      </c>
      <c r="V4009" s="5">
        <f>VLOOKUP(A4009,Planilha1!B:E,4,0)</f>
        <v>5.819800475298738</v>
      </c>
    </row>
    <row r="4010" spans="1:22" x14ac:dyDescent="0.3">
      <c r="A4010" t="str">
        <f t="shared" si="124"/>
        <v>MANTEIGA 5KGITAMBÉ</v>
      </c>
      <c r="B4010" t="str">
        <f t="shared" si="125"/>
        <v>5352459MANTEIGA 5KGITAMBÉ</v>
      </c>
      <c r="C4010" s="5" t="s">
        <v>149</v>
      </c>
      <c r="D4010" s="5" t="s">
        <v>150</v>
      </c>
      <c r="E4010" s="5" t="s">
        <v>186</v>
      </c>
      <c r="F4010" s="5">
        <v>5352459</v>
      </c>
      <c r="G4010" s="5" t="s">
        <v>1674</v>
      </c>
      <c r="H4010" s="5" t="s">
        <v>801</v>
      </c>
      <c r="I4010" s="5" t="s">
        <v>27</v>
      </c>
      <c r="J4010" s="5" t="s">
        <v>60</v>
      </c>
      <c r="K4010" s="6">
        <v>0</v>
      </c>
      <c r="L4010" s="7">
        <v>0</v>
      </c>
      <c r="M4010" s="7">
        <v>0</v>
      </c>
      <c r="N4010" s="7">
        <v>0</v>
      </c>
      <c r="O4010" s="7">
        <v>0</v>
      </c>
      <c r="P4010" s="8">
        <v>0</v>
      </c>
      <c r="Q4010" s="8">
        <v>0</v>
      </c>
      <c r="R4010" s="8">
        <v>0</v>
      </c>
      <c r="S4010" s="8">
        <v>0</v>
      </c>
      <c r="T4010" s="5">
        <v>0</v>
      </c>
      <c r="U4010" s="5">
        <v>25</v>
      </c>
      <c r="V4010" s="5">
        <f>VLOOKUP(A4010,Planilha1!B:E,4,0)</f>
        <v>5.819800475298738</v>
      </c>
    </row>
    <row r="4011" spans="1:22" x14ac:dyDescent="0.3">
      <c r="A4011" t="str">
        <f t="shared" si="124"/>
        <v>MANTEIGA 5KGITAMBÉ</v>
      </c>
      <c r="B4011" t="str">
        <f t="shared" si="125"/>
        <v>5353735MANTEIGA 5KGITAMBÉ</v>
      </c>
      <c r="C4011" s="5" t="e">
        <v>#N/A</v>
      </c>
      <c r="D4011" s="5" t="e">
        <v>#N/A</v>
      </c>
      <c r="E4011" s="5" t="e">
        <v>#N/A</v>
      </c>
      <c r="F4011" s="5">
        <v>5353735</v>
      </c>
      <c r="G4011" s="5" t="s">
        <v>1542</v>
      </c>
      <c r="H4011" s="5" t="s">
        <v>1636</v>
      </c>
      <c r="I4011" s="5" t="s">
        <v>27</v>
      </c>
      <c r="J4011" s="5" t="s">
        <v>60</v>
      </c>
      <c r="K4011" s="6">
        <v>0</v>
      </c>
      <c r="L4011" s="7">
        <v>0</v>
      </c>
      <c r="M4011" s="7">
        <v>0</v>
      </c>
      <c r="N4011" s="7">
        <v>0</v>
      </c>
      <c r="O4011" s="7">
        <v>0</v>
      </c>
      <c r="P4011" s="8">
        <v>0</v>
      </c>
      <c r="Q4011" s="8">
        <v>170</v>
      </c>
      <c r="R4011" s="8">
        <v>0</v>
      </c>
      <c r="S4011" s="8">
        <v>0</v>
      </c>
      <c r="T4011" s="5">
        <v>0</v>
      </c>
      <c r="U4011" s="5">
        <v>120</v>
      </c>
      <c r="V4011" s="5">
        <f>VLOOKUP(A4011,Planilha1!B:E,4,0)</f>
        <v>5.819800475298738</v>
      </c>
    </row>
    <row r="4012" spans="1:22" x14ac:dyDescent="0.3">
      <c r="A4012" t="str">
        <f t="shared" si="124"/>
        <v>MANTEIGA 5KGITAMBÉ</v>
      </c>
      <c r="B4012" t="str">
        <f t="shared" si="125"/>
        <v>5363597MANTEIGA 5KGITAMBÉ</v>
      </c>
      <c r="C4012" s="5" t="e">
        <v>#N/A</v>
      </c>
      <c r="D4012" s="5" t="e">
        <v>#N/A</v>
      </c>
      <c r="E4012" s="5" t="e">
        <v>#N/A</v>
      </c>
      <c r="F4012" s="5">
        <v>5363597</v>
      </c>
      <c r="G4012" s="5" t="s">
        <v>1542</v>
      </c>
      <c r="H4012" s="5" t="s">
        <v>1636</v>
      </c>
      <c r="I4012" s="5" t="s">
        <v>27</v>
      </c>
      <c r="J4012" s="5" t="s">
        <v>60</v>
      </c>
      <c r="K4012" s="6">
        <v>0</v>
      </c>
      <c r="L4012" s="7">
        <v>0</v>
      </c>
      <c r="M4012" s="7">
        <v>0</v>
      </c>
      <c r="N4012" s="7">
        <v>0</v>
      </c>
      <c r="O4012" s="7">
        <v>0</v>
      </c>
      <c r="P4012" s="8">
        <v>0</v>
      </c>
      <c r="Q4012" s="8">
        <v>130</v>
      </c>
      <c r="R4012" s="8">
        <v>0</v>
      </c>
      <c r="S4012" s="8">
        <v>0</v>
      </c>
      <c r="T4012" s="5">
        <v>0</v>
      </c>
      <c r="U4012" s="5">
        <v>0</v>
      </c>
      <c r="V4012" s="5">
        <f>VLOOKUP(A4012,Planilha1!B:E,4,0)</f>
        <v>5.819800475298738</v>
      </c>
    </row>
    <row r="4013" spans="1:22" x14ac:dyDescent="0.3">
      <c r="A4013" t="str">
        <f t="shared" si="124"/>
        <v>MANTEIGA 5KGITAMBÉ</v>
      </c>
      <c r="B4013" t="str">
        <f t="shared" si="125"/>
        <v>5363598MANTEIGA 5KGITAMBÉ</v>
      </c>
      <c r="C4013" s="5" t="e">
        <v>#N/A</v>
      </c>
      <c r="D4013" s="5" t="e">
        <v>#N/A</v>
      </c>
      <c r="E4013" s="5" t="e">
        <v>#N/A</v>
      </c>
      <c r="F4013" s="5">
        <v>5363598</v>
      </c>
      <c r="G4013" s="5" t="s">
        <v>1542</v>
      </c>
      <c r="H4013" s="5" t="s">
        <v>1636</v>
      </c>
      <c r="I4013" s="5" t="s">
        <v>27</v>
      </c>
      <c r="J4013" s="5" t="s">
        <v>60</v>
      </c>
      <c r="K4013" s="6">
        <v>0</v>
      </c>
      <c r="L4013" s="7">
        <v>0</v>
      </c>
      <c r="M4013" s="7">
        <v>0</v>
      </c>
      <c r="N4013" s="7">
        <v>0</v>
      </c>
      <c r="O4013" s="7">
        <v>0</v>
      </c>
      <c r="P4013" s="8">
        <v>0</v>
      </c>
      <c r="Q4013" s="8">
        <v>0</v>
      </c>
      <c r="R4013" s="8">
        <v>0</v>
      </c>
      <c r="S4013" s="8">
        <v>0</v>
      </c>
      <c r="T4013" s="5">
        <v>0</v>
      </c>
      <c r="U4013" s="5">
        <v>45</v>
      </c>
      <c r="V4013" s="5">
        <f>VLOOKUP(A4013,Planilha1!B:E,4,0)</f>
        <v>5.819800475298738</v>
      </c>
    </row>
    <row r="4014" spans="1:22" x14ac:dyDescent="0.3">
      <c r="A4014" t="str">
        <f t="shared" si="124"/>
        <v>MANTEIGA 5KGLACTALIS</v>
      </c>
      <c r="B4014" t="str">
        <f t="shared" si="125"/>
        <v>5335946MANTEIGA 5KGLACTALIS</v>
      </c>
      <c r="C4014" s="5" t="e">
        <v>#N/A</v>
      </c>
      <c r="D4014" s="5" t="e">
        <v>#N/A</v>
      </c>
      <c r="E4014" s="5" t="e">
        <v>#N/A</v>
      </c>
      <c r="F4014" s="5">
        <v>5335946</v>
      </c>
      <c r="G4014" s="5" t="s">
        <v>1542</v>
      </c>
      <c r="H4014" s="5" t="s">
        <v>1636</v>
      </c>
      <c r="I4014" s="5" t="s">
        <v>22</v>
      </c>
      <c r="J4014" s="5" t="s">
        <v>60</v>
      </c>
      <c r="K4014" s="6">
        <v>0</v>
      </c>
      <c r="L4014" s="7">
        <v>0</v>
      </c>
      <c r="M4014" s="7">
        <v>0</v>
      </c>
      <c r="N4014" s="7">
        <v>0</v>
      </c>
      <c r="O4014" s="7">
        <v>0</v>
      </c>
      <c r="P4014" s="8">
        <v>0</v>
      </c>
      <c r="Q4014" s="8">
        <v>0</v>
      </c>
      <c r="R4014" s="8">
        <v>0</v>
      </c>
      <c r="S4014" s="8">
        <v>5</v>
      </c>
      <c r="T4014" s="5">
        <v>5</v>
      </c>
      <c r="U4014" s="5">
        <v>5</v>
      </c>
      <c r="V4014" s="5">
        <f>VLOOKUP(A4014,Planilha1!B:E,4,0)</f>
        <v>11.476197020267191</v>
      </c>
    </row>
    <row r="4015" spans="1:22" x14ac:dyDescent="0.3">
      <c r="A4015" t="str">
        <f t="shared" si="124"/>
        <v>MANTEIGA 5KGLACTALIS</v>
      </c>
      <c r="B4015" t="str">
        <f t="shared" si="125"/>
        <v>5361702MANTEIGA 5KGLACTALIS</v>
      </c>
      <c r="C4015" s="5" t="e">
        <v>#N/A</v>
      </c>
      <c r="D4015" s="5" t="e">
        <v>#N/A</v>
      </c>
      <c r="E4015" s="5" t="e">
        <v>#N/A</v>
      </c>
      <c r="F4015" s="5">
        <v>5361702</v>
      </c>
      <c r="G4015" s="5" t="s">
        <v>1542</v>
      </c>
      <c r="H4015" s="5" t="s">
        <v>1636</v>
      </c>
      <c r="I4015" s="5" t="s">
        <v>22</v>
      </c>
      <c r="J4015" s="5" t="s">
        <v>60</v>
      </c>
      <c r="K4015" s="6">
        <v>0</v>
      </c>
      <c r="L4015" s="7">
        <v>0</v>
      </c>
      <c r="M4015" s="7">
        <v>0</v>
      </c>
      <c r="N4015" s="7">
        <v>0</v>
      </c>
      <c r="O4015" s="7">
        <v>0</v>
      </c>
      <c r="P4015" s="8">
        <v>0</v>
      </c>
      <c r="Q4015" s="8">
        <v>0</v>
      </c>
      <c r="R4015" s="8">
        <v>0</v>
      </c>
      <c r="S4015" s="8">
        <v>5</v>
      </c>
      <c r="T4015" s="5">
        <v>10</v>
      </c>
      <c r="U4015" s="5">
        <v>5</v>
      </c>
      <c r="V4015" s="5">
        <f>VLOOKUP(A4015,Planilha1!B:E,4,0)</f>
        <v>11.476197020267191</v>
      </c>
    </row>
    <row r="4016" spans="1:22" x14ac:dyDescent="0.3">
      <c r="A4016" t="str">
        <f t="shared" si="124"/>
        <v>MERC + AROMLACTALIS</v>
      </c>
      <c r="B4016" t="str">
        <f t="shared" si="125"/>
        <v>5222398MERC + AROMLACTALIS</v>
      </c>
      <c r="C4016" s="5" t="s">
        <v>226</v>
      </c>
      <c r="D4016" s="5" t="s">
        <v>227</v>
      </c>
      <c r="E4016" s="5" t="s">
        <v>1722</v>
      </c>
      <c r="F4016" s="5">
        <v>5222398</v>
      </c>
      <c r="G4016" s="5" t="s">
        <v>394</v>
      </c>
      <c r="H4016" s="5" t="s">
        <v>30</v>
      </c>
      <c r="I4016" s="5" t="s">
        <v>22</v>
      </c>
      <c r="J4016" s="5" t="s">
        <v>230</v>
      </c>
      <c r="K4016" s="6">
        <v>0</v>
      </c>
      <c r="L4016" s="7">
        <v>0</v>
      </c>
      <c r="M4016" s="7">
        <v>0</v>
      </c>
      <c r="N4016" s="7">
        <v>0</v>
      </c>
      <c r="O4016" s="7">
        <v>0</v>
      </c>
      <c r="P4016" s="8">
        <v>0</v>
      </c>
      <c r="Q4016" s="8">
        <v>0</v>
      </c>
      <c r="R4016" s="8">
        <v>0</v>
      </c>
      <c r="S4016" s="8">
        <v>0</v>
      </c>
      <c r="T4016" s="5">
        <v>0</v>
      </c>
      <c r="U4016" s="5">
        <v>0</v>
      </c>
      <c r="V4016" s="5">
        <f>VLOOKUP(A4016,Planilha1!B:E,4,0)</f>
        <v>0.86907188046232187</v>
      </c>
    </row>
    <row r="4017" spans="1:22" x14ac:dyDescent="0.3">
      <c r="A4017" t="str">
        <f t="shared" si="124"/>
        <v>QUEIJOSLACTALIS</v>
      </c>
      <c r="B4017" t="str">
        <f t="shared" si="125"/>
        <v>5109334QUEIJOSLACTALIS</v>
      </c>
      <c r="C4017" s="5" t="s">
        <v>16</v>
      </c>
      <c r="D4017" s="5" t="s">
        <v>28</v>
      </c>
      <c r="E4017" s="5" t="s">
        <v>23</v>
      </c>
      <c r="F4017" s="5">
        <v>5109334</v>
      </c>
      <c r="G4017" s="5" t="s">
        <v>1659</v>
      </c>
      <c r="H4017" s="5" t="s">
        <v>30</v>
      </c>
      <c r="I4017" s="5" t="s">
        <v>22</v>
      </c>
      <c r="J4017" s="5" t="s">
        <v>63</v>
      </c>
      <c r="K4017" s="6">
        <v>0</v>
      </c>
      <c r="L4017" s="7">
        <v>0</v>
      </c>
      <c r="M4017" s="7">
        <v>0</v>
      </c>
      <c r="N4017" s="7">
        <v>0</v>
      </c>
      <c r="O4017" s="7">
        <v>0</v>
      </c>
      <c r="P4017" s="8">
        <v>0</v>
      </c>
      <c r="Q4017" s="8">
        <v>0</v>
      </c>
      <c r="R4017" s="8">
        <v>0</v>
      </c>
      <c r="S4017" s="8">
        <v>0</v>
      </c>
      <c r="T4017" s="5">
        <v>0</v>
      </c>
      <c r="U4017" s="5">
        <v>0</v>
      </c>
      <c r="V4017" s="5">
        <f>VLOOKUP(A4017,Planilha1!B:E,4,0)</f>
        <v>-1.9171310037550682</v>
      </c>
    </row>
    <row r="4018" spans="1:22" x14ac:dyDescent="0.3">
      <c r="A4018" t="str">
        <f t="shared" si="124"/>
        <v>QUEIJOSLACTALIS</v>
      </c>
      <c r="B4018" t="str">
        <f t="shared" si="125"/>
        <v>5261001QUEIJOSLACTALIS</v>
      </c>
      <c r="C4018" s="5" t="e">
        <v>#N/A</v>
      </c>
      <c r="D4018" s="5" t="e">
        <v>#N/A</v>
      </c>
      <c r="E4018" s="5" t="e">
        <v>#N/A</v>
      </c>
      <c r="F4018" s="5">
        <v>5261001</v>
      </c>
      <c r="G4018" s="5" t="s">
        <v>1542</v>
      </c>
      <c r="H4018" s="5" t="s">
        <v>1636</v>
      </c>
      <c r="I4018" s="5" t="s">
        <v>22</v>
      </c>
      <c r="J4018" s="5" t="s">
        <v>63</v>
      </c>
      <c r="K4018" s="6">
        <v>0</v>
      </c>
      <c r="L4018" s="7">
        <v>0</v>
      </c>
      <c r="M4018" s="7">
        <v>0</v>
      </c>
      <c r="N4018" s="7">
        <v>0</v>
      </c>
      <c r="O4018" s="7">
        <v>0</v>
      </c>
      <c r="P4018" s="8">
        <v>0</v>
      </c>
      <c r="Q4018" s="8">
        <v>0</v>
      </c>
      <c r="R4018" s="8">
        <v>0</v>
      </c>
      <c r="S4018" s="8">
        <v>0</v>
      </c>
      <c r="T4018" s="5">
        <v>0</v>
      </c>
      <c r="U4018" s="5">
        <v>0</v>
      </c>
      <c r="V4018" s="5">
        <f>VLOOKUP(A4018,Planilha1!B:E,4,0)</f>
        <v>-1.9171310037550682</v>
      </c>
    </row>
    <row r="4019" spans="1:22" x14ac:dyDescent="0.3">
      <c r="A4019" t="str">
        <f t="shared" si="124"/>
        <v>SPREADSLACTALIS</v>
      </c>
      <c r="B4019" t="str">
        <f t="shared" si="125"/>
        <v>5356134SPREADSLACTALIS</v>
      </c>
      <c r="C4019" s="5" t="e">
        <v>#N/A</v>
      </c>
      <c r="D4019" s="5" t="e">
        <v>#N/A</v>
      </c>
      <c r="E4019" s="5" t="e">
        <v>#N/A</v>
      </c>
      <c r="F4019" s="5">
        <v>5356134</v>
      </c>
      <c r="G4019" s="5" t="s">
        <v>1542</v>
      </c>
      <c r="H4019" s="5" t="s">
        <v>1636</v>
      </c>
      <c r="I4019" s="5" t="s">
        <v>22</v>
      </c>
      <c r="J4019" s="5" t="s">
        <v>945</v>
      </c>
      <c r="K4019" s="6">
        <v>0</v>
      </c>
      <c r="L4019" s="7">
        <v>0</v>
      </c>
      <c r="M4019" s="7">
        <v>0</v>
      </c>
      <c r="N4019" s="7">
        <v>0</v>
      </c>
      <c r="O4019" s="7">
        <v>0</v>
      </c>
      <c r="P4019" s="8">
        <v>0</v>
      </c>
      <c r="Q4019" s="8">
        <v>0</v>
      </c>
      <c r="R4019" s="8">
        <v>0</v>
      </c>
      <c r="S4019" s="8">
        <v>0</v>
      </c>
      <c r="T4019" s="5">
        <v>0</v>
      </c>
      <c r="U4019" s="5">
        <v>0</v>
      </c>
      <c r="V4019" s="5">
        <f>VLOOKUP(A4019,Planilha1!B:E,4,0)</f>
        <v>13.599044988219518</v>
      </c>
    </row>
    <row r="4020" spans="1:22" x14ac:dyDescent="0.3">
      <c r="A4020" t="str">
        <f t="shared" si="124"/>
        <v>SPREADSLACTALIS</v>
      </c>
      <c r="B4020" t="str">
        <f t="shared" si="125"/>
        <v>5360961SPREADSLACTALIS</v>
      </c>
      <c r="C4020" s="5" t="s">
        <v>226</v>
      </c>
      <c r="D4020" s="5" t="s">
        <v>227</v>
      </c>
      <c r="E4020" s="5" t="s">
        <v>1722</v>
      </c>
      <c r="F4020" s="5">
        <v>5360961</v>
      </c>
      <c r="G4020" s="5" t="s">
        <v>1568</v>
      </c>
      <c r="H4020" s="5" t="s">
        <v>30</v>
      </c>
      <c r="I4020" s="5" t="s">
        <v>22</v>
      </c>
      <c r="J4020" s="5" t="s">
        <v>945</v>
      </c>
      <c r="K4020" s="6">
        <v>0</v>
      </c>
      <c r="L4020" s="7">
        <v>0</v>
      </c>
      <c r="M4020" s="7">
        <v>0</v>
      </c>
      <c r="N4020" s="7">
        <v>0</v>
      </c>
      <c r="O4020" s="7">
        <v>0</v>
      </c>
      <c r="P4020" s="8">
        <v>0</v>
      </c>
      <c r="Q4020" s="8">
        <v>0</v>
      </c>
      <c r="R4020" s="8">
        <v>0</v>
      </c>
      <c r="S4020" s="8">
        <v>0</v>
      </c>
      <c r="T4020" s="5">
        <v>0</v>
      </c>
      <c r="U4020" s="5">
        <v>0</v>
      </c>
      <c r="V4020" s="5">
        <f>VLOOKUP(A4020,Planilha1!B:E,4,0)</f>
        <v>13.599044988219518</v>
      </c>
    </row>
    <row r="4021" spans="1:22" x14ac:dyDescent="0.3">
      <c r="A4021" t="str">
        <f t="shared" si="124"/>
        <v>LPI 25KGITAMBÉ</v>
      </c>
      <c r="B4021" t="str">
        <f t="shared" si="125"/>
        <v>5190845LPI 25KGITAMBÉ</v>
      </c>
      <c r="C4021" s="5" t="s">
        <v>16</v>
      </c>
      <c r="D4021" s="5" t="s">
        <v>17</v>
      </c>
      <c r="E4021" s="5" t="s">
        <v>44</v>
      </c>
      <c r="F4021" s="5">
        <v>5190845</v>
      </c>
      <c r="G4021" s="5" t="s">
        <v>1235</v>
      </c>
      <c r="H4021" s="5" t="s">
        <v>30</v>
      </c>
      <c r="I4021" s="5" t="s">
        <v>27</v>
      </c>
      <c r="J4021" s="5" t="s">
        <v>21</v>
      </c>
      <c r="K4021" s="6">
        <v>0</v>
      </c>
      <c r="L4021" s="7">
        <v>0</v>
      </c>
      <c r="M4021" s="8">
        <v>1700</v>
      </c>
      <c r="N4021" s="8">
        <v>1400</v>
      </c>
      <c r="O4021" s="8">
        <v>0</v>
      </c>
      <c r="P4021" s="8">
        <v>0</v>
      </c>
      <c r="Q4021" s="8">
        <v>0</v>
      </c>
      <c r="R4021" s="8">
        <v>0</v>
      </c>
      <c r="S4021" s="8">
        <v>0</v>
      </c>
      <c r="T4021" s="5">
        <v>6000</v>
      </c>
      <c r="U4021" s="5">
        <v>0</v>
      </c>
      <c r="V4021" s="5">
        <f>VLOOKUP(A4021,Planilha1!B:E,4,0)</f>
        <v>-1.218192805504376</v>
      </c>
    </row>
    <row r="4022" spans="1:22" x14ac:dyDescent="0.3">
      <c r="A4022" t="str">
        <f t="shared" si="124"/>
        <v>COMPOSTOITAMBÉ</v>
      </c>
      <c r="B4022" t="str">
        <f t="shared" si="125"/>
        <v>5194641COMPOSTOITAMBÉ</v>
      </c>
      <c r="C4022" s="5" t="s">
        <v>16</v>
      </c>
      <c r="D4022" s="5" t="s">
        <v>17</v>
      </c>
      <c r="E4022" s="5" t="s">
        <v>44</v>
      </c>
      <c r="F4022" s="5">
        <v>5194641</v>
      </c>
      <c r="G4022" s="5" t="s">
        <v>68</v>
      </c>
      <c r="H4022" s="5" t="s">
        <v>25</v>
      </c>
      <c r="I4022" s="5" t="s">
        <v>27</v>
      </c>
      <c r="J4022" s="5" t="s">
        <v>26</v>
      </c>
      <c r="K4022" s="6">
        <v>0</v>
      </c>
      <c r="L4022" s="7">
        <v>200</v>
      </c>
      <c r="M4022" s="8">
        <v>204.33333333333331</v>
      </c>
      <c r="N4022" s="8">
        <v>100</v>
      </c>
      <c r="O4022" s="8">
        <v>649.83371713281861</v>
      </c>
      <c r="P4022" s="8">
        <v>0</v>
      </c>
      <c r="Q4022" s="8">
        <v>0</v>
      </c>
      <c r="R4022" s="8">
        <v>0</v>
      </c>
      <c r="S4022" s="8">
        <v>0</v>
      </c>
      <c r="T4022" s="5">
        <v>0</v>
      </c>
      <c r="U4022" s="5">
        <v>0</v>
      </c>
      <c r="V4022" s="5">
        <f>VLOOKUP(A4022,Planilha1!B:E,4,0)</f>
        <v>0.15618217875936719</v>
      </c>
    </row>
    <row r="4023" spans="1:22" x14ac:dyDescent="0.3">
      <c r="A4023" t="str">
        <f t="shared" si="124"/>
        <v>MANTEIGA 5KGITAMBÉ</v>
      </c>
      <c r="B4023" t="str">
        <f t="shared" si="125"/>
        <v>5198698MANTEIGA 5KGITAMBÉ</v>
      </c>
      <c r="C4023" s="5" t="s">
        <v>16</v>
      </c>
      <c r="D4023" s="5" t="s">
        <v>17</v>
      </c>
      <c r="E4023" s="5" t="s">
        <v>66</v>
      </c>
      <c r="F4023" s="5">
        <v>5198698</v>
      </c>
      <c r="G4023" s="5" t="s">
        <v>58</v>
      </c>
      <c r="H4023" s="5" t="s">
        <v>30</v>
      </c>
      <c r="I4023" s="5" t="s">
        <v>27</v>
      </c>
      <c r="J4023" s="5" t="s">
        <v>60</v>
      </c>
      <c r="K4023" s="6">
        <v>0</v>
      </c>
      <c r="L4023" s="7">
        <v>1880</v>
      </c>
      <c r="M4023" s="8">
        <v>496.66666666666663</v>
      </c>
      <c r="N4023" s="8">
        <v>660</v>
      </c>
      <c r="O4023" s="8">
        <v>732.975567481084</v>
      </c>
      <c r="P4023" s="8">
        <v>0</v>
      </c>
      <c r="Q4023" s="8">
        <v>1000</v>
      </c>
      <c r="R4023" s="8">
        <v>0</v>
      </c>
      <c r="S4023" s="8">
        <v>0</v>
      </c>
      <c r="T4023" s="5">
        <v>1000</v>
      </c>
      <c r="U4023" s="5">
        <v>0</v>
      </c>
      <c r="V4023" s="5">
        <f>VLOOKUP(A4023,Planilha1!B:E,4,0)</f>
        <v>5.819800475298738</v>
      </c>
    </row>
    <row r="4024" spans="1:22" x14ac:dyDescent="0.3">
      <c r="A4024" t="str">
        <f t="shared" si="124"/>
        <v>COMPOSTOITAMBÉ</v>
      </c>
      <c r="B4024" t="str">
        <f t="shared" si="125"/>
        <v>5204235COMPOSTOITAMBÉ</v>
      </c>
      <c r="C4024" s="5" t="s">
        <v>16</v>
      </c>
      <c r="D4024" s="5" t="s">
        <v>28</v>
      </c>
      <c r="E4024" s="5" t="s">
        <v>28</v>
      </c>
      <c r="F4024" s="5">
        <v>5204235</v>
      </c>
      <c r="G4024" s="5" t="s">
        <v>1022</v>
      </c>
      <c r="H4024" s="5" t="s">
        <v>30</v>
      </c>
      <c r="I4024" s="5" t="s">
        <v>27</v>
      </c>
      <c r="J4024" s="5" t="s">
        <v>26</v>
      </c>
      <c r="K4024" s="6">
        <v>0</v>
      </c>
      <c r="L4024" s="7">
        <v>0</v>
      </c>
      <c r="M4024" s="8">
        <v>2000</v>
      </c>
      <c r="N4024" s="8">
        <v>0</v>
      </c>
      <c r="O4024" s="8">
        <v>9499.5428912442294</v>
      </c>
      <c r="P4024" s="8">
        <v>0</v>
      </c>
      <c r="Q4024" s="8">
        <v>0</v>
      </c>
      <c r="R4024" s="8">
        <v>0</v>
      </c>
      <c r="S4024" s="8">
        <v>0</v>
      </c>
      <c r="T4024" s="5">
        <v>0</v>
      </c>
      <c r="U4024" s="5">
        <v>0</v>
      </c>
      <c r="V4024" s="5">
        <f>VLOOKUP(A4024,Planilha1!B:E,4,0)</f>
        <v>0.15618217875936719</v>
      </c>
    </row>
    <row r="4025" spans="1:22" x14ac:dyDescent="0.3">
      <c r="A4025" t="str">
        <f t="shared" si="124"/>
        <v>LPI 25KGLACTALIS</v>
      </c>
      <c r="B4025" t="str">
        <f t="shared" si="125"/>
        <v>5204301LPI 25KGLACTALIS</v>
      </c>
      <c r="C4025" s="5" t="s">
        <v>16</v>
      </c>
      <c r="D4025" s="5" t="s">
        <v>17</v>
      </c>
      <c r="E4025" s="5" t="s">
        <v>17</v>
      </c>
      <c r="F4025" s="5">
        <v>5204301</v>
      </c>
      <c r="G4025" s="5" t="s">
        <v>963</v>
      </c>
      <c r="H4025" s="5" t="s">
        <v>25</v>
      </c>
      <c r="I4025" s="5" t="s">
        <v>22</v>
      </c>
      <c r="J4025" s="5" t="s">
        <v>21</v>
      </c>
      <c r="K4025" s="6">
        <v>0</v>
      </c>
      <c r="L4025" s="7">
        <v>0</v>
      </c>
      <c r="M4025" s="7">
        <v>0</v>
      </c>
      <c r="N4025" s="7">
        <v>0</v>
      </c>
      <c r="O4025" s="7">
        <v>0</v>
      </c>
      <c r="P4025" s="8">
        <v>0</v>
      </c>
      <c r="Q4025" s="8">
        <v>0</v>
      </c>
      <c r="R4025" s="8">
        <v>0</v>
      </c>
      <c r="S4025" s="8">
        <v>0</v>
      </c>
      <c r="T4025" s="5">
        <v>0</v>
      </c>
      <c r="U4025" s="5">
        <v>0</v>
      </c>
      <c r="V4025" s="5">
        <f>VLOOKUP(A4025,Planilha1!B:E,4,0)</f>
        <v>-4.3046759024811481</v>
      </c>
    </row>
    <row r="4026" spans="1:22" x14ac:dyDescent="0.3">
      <c r="A4026" t="str">
        <f t="shared" si="124"/>
        <v>LEITE EM PÓLACTALIS</v>
      </c>
      <c r="B4026" t="str">
        <f t="shared" si="125"/>
        <v>5206038LEITE EM PÓLACTALIS</v>
      </c>
      <c r="C4026" s="5" t="s">
        <v>16</v>
      </c>
      <c r="D4026" s="5" t="s">
        <v>17</v>
      </c>
      <c r="E4026" s="5" t="s">
        <v>66</v>
      </c>
      <c r="F4026" s="5">
        <v>5206038</v>
      </c>
      <c r="G4026" s="5" t="s">
        <v>93</v>
      </c>
      <c r="H4026" s="5" t="s">
        <v>20</v>
      </c>
      <c r="I4026" s="5" t="s">
        <v>22</v>
      </c>
      <c r="J4026" s="5" t="s">
        <v>84</v>
      </c>
      <c r="K4026" s="6">
        <v>0</v>
      </c>
      <c r="L4026" s="7">
        <v>0</v>
      </c>
      <c r="M4026" s="8">
        <v>7170.833333333333</v>
      </c>
      <c r="N4026" s="8">
        <v>15733.333333333334</v>
      </c>
      <c r="O4026" s="8">
        <v>0</v>
      </c>
      <c r="P4026" s="8">
        <v>0</v>
      </c>
      <c r="Q4026" s="8">
        <v>0</v>
      </c>
      <c r="R4026" s="8">
        <v>0</v>
      </c>
      <c r="S4026" s="8">
        <v>0</v>
      </c>
      <c r="T4026" s="5">
        <v>0</v>
      </c>
      <c r="U4026" s="5">
        <v>0</v>
      </c>
      <c r="V4026" s="5">
        <f>VLOOKUP(A4026,Planilha1!B:E,4,0)</f>
        <v>-2.8055507108797499</v>
      </c>
    </row>
    <row r="4027" spans="1:22" x14ac:dyDescent="0.3">
      <c r="A4027" t="str">
        <f t="shared" si="124"/>
        <v>DOCE DE LEITEITAMBÉ</v>
      </c>
      <c r="B4027" t="str">
        <f t="shared" si="125"/>
        <v>5206830DOCE DE LEITEITAMBÉ</v>
      </c>
      <c r="C4027" s="5" t="s">
        <v>16</v>
      </c>
      <c r="D4027" s="5" t="s">
        <v>17</v>
      </c>
      <c r="E4027" s="5" t="s">
        <v>44</v>
      </c>
      <c r="F4027" s="5">
        <v>5206830</v>
      </c>
      <c r="G4027" s="5" t="s">
        <v>70</v>
      </c>
      <c r="H4027" s="5" t="s">
        <v>25</v>
      </c>
      <c r="I4027" s="5" t="s">
        <v>27</v>
      </c>
      <c r="J4027" s="5" t="s">
        <v>46</v>
      </c>
      <c r="K4027" s="6">
        <v>0</v>
      </c>
      <c r="L4027" s="7">
        <v>600</v>
      </c>
      <c r="M4027" s="8">
        <v>416.66666666666669</v>
      </c>
      <c r="N4027" s="8">
        <v>333.33333333333331</v>
      </c>
      <c r="O4027" s="8">
        <v>388.02217269558264</v>
      </c>
      <c r="P4027" s="8">
        <v>0</v>
      </c>
      <c r="Q4027" s="8">
        <v>0</v>
      </c>
      <c r="R4027" s="8">
        <v>0</v>
      </c>
      <c r="S4027" s="8">
        <v>0</v>
      </c>
      <c r="T4027" s="5">
        <v>0</v>
      </c>
      <c r="U4027" s="5">
        <v>0</v>
      </c>
      <c r="V4027" s="5">
        <f>VLOOKUP(A4027,Planilha1!B:E,4,0)</f>
        <v>5.8210743907543439</v>
      </c>
    </row>
    <row r="4028" spans="1:22" x14ac:dyDescent="0.3">
      <c r="A4028" t="str">
        <f t="shared" si="124"/>
        <v>CREME UHTLACTALIS</v>
      </c>
      <c r="B4028" t="str">
        <f t="shared" si="125"/>
        <v>5206830CREME UHTLACTALIS</v>
      </c>
      <c r="C4028" s="5" t="s">
        <v>16</v>
      </c>
      <c r="D4028" s="5" t="s">
        <v>17</v>
      </c>
      <c r="E4028" s="5" t="s">
        <v>1675</v>
      </c>
      <c r="F4028" s="5">
        <v>5206830</v>
      </c>
      <c r="G4028" s="5" t="s">
        <v>70</v>
      </c>
      <c r="H4028" s="5" t="s">
        <v>25</v>
      </c>
      <c r="I4028" s="5" t="s">
        <v>22</v>
      </c>
      <c r="J4028" s="5" t="s">
        <v>34</v>
      </c>
      <c r="K4028" s="6">
        <v>0</v>
      </c>
      <c r="L4028" s="7">
        <v>0</v>
      </c>
      <c r="M4028" s="7">
        <v>0</v>
      </c>
      <c r="N4028" s="7">
        <v>0</v>
      </c>
      <c r="O4028" s="7">
        <v>0</v>
      </c>
      <c r="P4028" s="8">
        <v>0</v>
      </c>
      <c r="Q4028" s="8">
        <v>0</v>
      </c>
      <c r="R4028" s="8">
        <v>0</v>
      </c>
      <c r="S4028" s="8">
        <v>0</v>
      </c>
      <c r="T4028" s="5">
        <v>0</v>
      </c>
      <c r="U4028" s="5">
        <v>0</v>
      </c>
      <c r="V4028" s="5">
        <f>VLOOKUP(A4028,Planilha1!B:E,4,0)</f>
        <v>-1.4094522863012933</v>
      </c>
    </row>
    <row r="4029" spans="1:22" x14ac:dyDescent="0.3">
      <c r="A4029" t="str">
        <f t="shared" si="124"/>
        <v>CREME UHTITAMBÉ</v>
      </c>
      <c r="B4029" t="str">
        <f t="shared" si="125"/>
        <v>5210640CREME UHTITAMBÉ</v>
      </c>
      <c r="C4029" s="5" t="s">
        <v>16</v>
      </c>
      <c r="D4029" s="5" t="s">
        <v>17</v>
      </c>
      <c r="E4029" s="5" t="s">
        <v>44</v>
      </c>
      <c r="F4029" s="5">
        <v>5210640</v>
      </c>
      <c r="G4029" s="5" t="s">
        <v>72</v>
      </c>
      <c r="H4029" s="5" t="s">
        <v>30</v>
      </c>
      <c r="I4029" s="5" t="s">
        <v>27</v>
      </c>
      <c r="J4029" s="5" t="s">
        <v>34</v>
      </c>
      <c r="K4029" s="6">
        <v>0</v>
      </c>
      <c r="L4029" s="7">
        <v>1624.08</v>
      </c>
      <c r="M4029" s="8">
        <v>5783.7650000000003</v>
      </c>
      <c r="N4029" s="8">
        <v>5151</v>
      </c>
      <c r="O4029" s="8">
        <v>4432.8276122595244</v>
      </c>
      <c r="P4029" s="8">
        <v>0</v>
      </c>
      <c r="Q4029" s="8">
        <v>0</v>
      </c>
      <c r="R4029" s="8">
        <v>0</v>
      </c>
      <c r="S4029" s="8">
        <v>0</v>
      </c>
      <c r="T4029" s="5">
        <v>0</v>
      </c>
      <c r="U4029" s="5">
        <v>0</v>
      </c>
      <c r="V4029" s="5">
        <f>VLOOKUP(A4029,Planilha1!B:E,4,0)</f>
        <v>1.2362540170747773</v>
      </c>
    </row>
    <row r="4030" spans="1:22" x14ac:dyDescent="0.3">
      <c r="A4030" t="str">
        <f t="shared" si="124"/>
        <v>LEITE CONDENSADOITAMBÉ</v>
      </c>
      <c r="B4030" t="str">
        <f t="shared" si="125"/>
        <v>5212486LEITE CONDENSADOITAMBÉ</v>
      </c>
      <c r="C4030" s="5" t="s">
        <v>16</v>
      </c>
      <c r="D4030" s="5" t="s">
        <v>17</v>
      </c>
      <c r="E4030" s="5" t="s">
        <v>44</v>
      </c>
      <c r="F4030" s="5">
        <v>5212486</v>
      </c>
      <c r="G4030" s="5" t="s">
        <v>73</v>
      </c>
      <c r="H4030" s="5" t="s">
        <v>25</v>
      </c>
      <c r="I4030" s="5" t="s">
        <v>27</v>
      </c>
      <c r="J4030" s="5" t="s">
        <v>33</v>
      </c>
      <c r="K4030" s="6">
        <v>0</v>
      </c>
      <c r="L4030" s="7">
        <v>115</v>
      </c>
      <c r="M4030" s="8">
        <v>322.5</v>
      </c>
      <c r="N4030" s="8">
        <v>300</v>
      </c>
      <c r="O4030" s="8">
        <v>1472.9734864772436</v>
      </c>
      <c r="P4030" s="8">
        <v>0</v>
      </c>
      <c r="Q4030" s="8">
        <v>0</v>
      </c>
      <c r="R4030" s="8">
        <v>0</v>
      </c>
      <c r="S4030" s="8">
        <v>0</v>
      </c>
      <c r="T4030" s="5">
        <v>0</v>
      </c>
      <c r="U4030" s="5">
        <v>0</v>
      </c>
      <c r="V4030" s="5">
        <f>VLOOKUP(A4030,Planilha1!B:E,4,0)</f>
        <v>1.4766792698630664</v>
      </c>
    </row>
    <row r="4031" spans="1:22" x14ac:dyDescent="0.3">
      <c r="A4031" t="str">
        <f t="shared" si="124"/>
        <v>MANTEIGA 25KGITAMBÉ</v>
      </c>
      <c r="B4031" t="str">
        <f t="shared" si="125"/>
        <v>5340614MANTEIGA 25KGITAMBÉ</v>
      </c>
      <c r="C4031" s="5" t="s">
        <v>16</v>
      </c>
      <c r="D4031" s="5" t="s">
        <v>17</v>
      </c>
      <c r="E4031" s="5" t="s">
        <v>1675</v>
      </c>
      <c r="F4031" s="5">
        <v>5340614</v>
      </c>
      <c r="G4031" s="5" t="s">
        <v>1218</v>
      </c>
      <c r="H4031" s="5" t="s">
        <v>25</v>
      </c>
      <c r="I4031" s="5" t="s">
        <v>27</v>
      </c>
      <c r="J4031" s="5" t="s">
        <v>92</v>
      </c>
      <c r="K4031" s="6">
        <v>0</v>
      </c>
      <c r="L4031" s="7">
        <v>0</v>
      </c>
      <c r="M4031" s="7">
        <v>0</v>
      </c>
      <c r="N4031" s="7">
        <v>0</v>
      </c>
      <c r="O4031" s="7">
        <v>0</v>
      </c>
      <c r="P4031" s="8">
        <v>0</v>
      </c>
      <c r="Q4031" s="8">
        <v>0</v>
      </c>
      <c r="R4031" s="8">
        <v>0</v>
      </c>
      <c r="S4031" s="8">
        <v>0</v>
      </c>
      <c r="T4031" s="5">
        <v>0</v>
      </c>
      <c r="U4031" s="5">
        <v>0</v>
      </c>
      <c r="V4031" s="5">
        <f>VLOOKUP(A4031,Planilha1!B:E,4,0)</f>
        <v>-0.89302458333333634</v>
      </c>
    </row>
    <row r="4032" spans="1:22" x14ac:dyDescent="0.3">
      <c r="A4032" t="str">
        <f t="shared" si="124"/>
        <v>LPI 25KGLACTALIS</v>
      </c>
      <c r="B4032" t="str">
        <f t="shared" si="125"/>
        <v>5225690LPI 25KGLACTALIS</v>
      </c>
      <c r="C4032" s="5" t="s">
        <v>16</v>
      </c>
      <c r="D4032" s="5" t="s">
        <v>53</v>
      </c>
      <c r="E4032" s="5" t="s">
        <v>54</v>
      </c>
      <c r="F4032" s="5">
        <v>5225690</v>
      </c>
      <c r="G4032" s="5" t="s">
        <v>137</v>
      </c>
      <c r="H4032" s="5" t="s">
        <v>103</v>
      </c>
      <c r="I4032" s="5" t="s">
        <v>22</v>
      </c>
      <c r="J4032" s="5" t="s">
        <v>21</v>
      </c>
      <c r="K4032" s="6">
        <v>0</v>
      </c>
      <c r="L4032" s="7">
        <v>0</v>
      </c>
      <c r="M4032" s="8">
        <v>69695.833333333343</v>
      </c>
      <c r="N4032" s="8">
        <v>47983.333333333336</v>
      </c>
      <c r="O4032" s="8">
        <v>18297.843551846603</v>
      </c>
      <c r="P4032" s="8">
        <v>0</v>
      </c>
      <c r="Q4032" s="8">
        <v>0</v>
      </c>
      <c r="R4032" s="8">
        <v>0</v>
      </c>
      <c r="S4032" s="8">
        <v>0</v>
      </c>
      <c r="T4032" s="5">
        <v>0</v>
      </c>
      <c r="U4032" s="5">
        <v>0</v>
      </c>
      <c r="V4032" s="5">
        <f>VLOOKUP(A4032,Planilha1!B:E,4,0)</f>
        <v>-4.3046759024811481</v>
      </c>
    </row>
    <row r="4033" spans="1:22" x14ac:dyDescent="0.3">
      <c r="A4033" t="str">
        <f t="shared" si="124"/>
        <v>LPI 25KGITAMBÉ</v>
      </c>
      <c r="B4033" t="str">
        <f t="shared" si="125"/>
        <v>5353215LPI 25KGITAMBÉ</v>
      </c>
      <c r="C4033" s="5" t="s">
        <v>16</v>
      </c>
      <c r="D4033" s="5" t="s">
        <v>17</v>
      </c>
      <c r="E4033" s="5" t="s">
        <v>1675</v>
      </c>
      <c r="F4033" s="5">
        <v>5353215</v>
      </c>
      <c r="G4033" s="5" t="s">
        <v>81</v>
      </c>
      <c r="H4033" s="5" t="s">
        <v>25</v>
      </c>
      <c r="I4033" s="5" t="s">
        <v>27</v>
      </c>
      <c r="J4033" s="5" t="s">
        <v>21</v>
      </c>
      <c r="K4033" s="6">
        <v>0</v>
      </c>
      <c r="L4033" s="7">
        <v>0</v>
      </c>
      <c r="M4033" s="7">
        <v>0</v>
      </c>
      <c r="N4033" s="7">
        <v>0</v>
      </c>
      <c r="O4033" s="7">
        <v>0</v>
      </c>
      <c r="P4033" s="8">
        <v>0</v>
      </c>
      <c r="Q4033" s="8">
        <v>0</v>
      </c>
      <c r="R4033" s="8">
        <v>0</v>
      </c>
      <c r="S4033" s="8">
        <v>0</v>
      </c>
      <c r="T4033" s="5">
        <v>0</v>
      </c>
      <c r="U4033" s="5">
        <v>0</v>
      </c>
      <c r="V4033" s="5">
        <f>VLOOKUP(A4033,Planilha1!B:E,4,0)</f>
        <v>-1.218192805504376</v>
      </c>
    </row>
    <row r="4034" spans="1:22" x14ac:dyDescent="0.3">
      <c r="A4034" t="str">
        <f t="shared" ref="A4034:A4097" si="126">J4034&amp;I4034</f>
        <v>LPI 25KGITAMBÉ</v>
      </c>
      <c r="B4034" t="str">
        <f t="shared" si="125"/>
        <v>5226511LPI 25KGITAMBÉ</v>
      </c>
      <c r="C4034" s="5" t="s">
        <v>16</v>
      </c>
      <c r="D4034" s="5" t="s">
        <v>53</v>
      </c>
      <c r="E4034" s="5" t="s">
        <v>53</v>
      </c>
      <c r="F4034" s="5">
        <v>5226511</v>
      </c>
      <c r="G4034" s="5" t="s">
        <v>1676</v>
      </c>
      <c r="H4034" s="5" t="s">
        <v>32</v>
      </c>
      <c r="I4034" s="5" t="s">
        <v>27</v>
      </c>
      <c r="J4034" s="5" t="s">
        <v>21</v>
      </c>
      <c r="K4034" s="6">
        <v>0</v>
      </c>
      <c r="L4034" s="7">
        <v>0</v>
      </c>
      <c r="M4034" s="7">
        <v>0</v>
      </c>
      <c r="N4034" s="7">
        <v>0</v>
      </c>
      <c r="O4034" s="7">
        <v>0</v>
      </c>
      <c r="P4034" s="8">
        <v>0</v>
      </c>
      <c r="Q4034" s="8">
        <v>275000</v>
      </c>
      <c r="R4034" s="8">
        <v>0</v>
      </c>
      <c r="S4034" s="8">
        <v>0</v>
      </c>
      <c r="T4034" s="5">
        <v>900000</v>
      </c>
      <c r="U4034" s="5">
        <v>0</v>
      </c>
      <c r="V4034" s="5">
        <f>VLOOKUP(A4034,Planilha1!B:E,4,0)</f>
        <v>-1.218192805504376</v>
      </c>
    </row>
    <row r="4035" spans="1:22" x14ac:dyDescent="0.3">
      <c r="A4035" t="str">
        <f t="shared" si="126"/>
        <v>LEITE EM PÓLACTALIS</v>
      </c>
      <c r="B4035" t="str">
        <f t="shared" ref="B4035:B4098" si="127">F4035&amp;J4035&amp;I4035</f>
        <v>5226651LEITE EM PÓLACTALIS</v>
      </c>
      <c r="C4035" s="5" t="s">
        <v>16</v>
      </c>
      <c r="D4035" s="5" t="s">
        <v>53</v>
      </c>
      <c r="E4035" s="5" t="s">
        <v>54</v>
      </c>
      <c r="F4035" s="5">
        <v>5226651</v>
      </c>
      <c r="G4035" s="5" t="s">
        <v>999</v>
      </c>
      <c r="H4035" s="5" t="s">
        <v>30</v>
      </c>
      <c r="I4035" s="5" t="s">
        <v>22</v>
      </c>
      <c r="J4035" s="5" t="s">
        <v>84</v>
      </c>
      <c r="K4035" s="6">
        <v>0</v>
      </c>
      <c r="L4035" s="7">
        <v>0</v>
      </c>
      <c r="M4035" s="8">
        <v>1750</v>
      </c>
      <c r="N4035" s="8">
        <v>1166.6666666666667</v>
      </c>
      <c r="O4035" s="8">
        <v>0</v>
      </c>
      <c r="P4035" s="8">
        <v>0</v>
      </c>
      <c r="Q4035" s="8">
        <v>3500</v>
      </c>
      <c r="R4035" s="8">
        <v>0</v>
      </c>
      <c r="S4035" s="8">
        <v>0</v>
      </c>
      <c r="T4035" s="5">
        <v>3500</v>
      </c>
      <c r="U4035" s="5">
        <v>0</v>
      </c>
      <c r="V4035" s="5">
        <f>VLOOKUP(A4035,Planilha1!B:E,4,0)</f>
        <v>-2.8055507108797499</v>
      </c>
    </row>
    <row r="4036" spans="1:22" x14ac:dyDescent="0.3">
      <c r="A4036" t="str">
        <f t="shared" si="126"/>
        <v>LPI 25KGLACTALIS</v>
      </c>
      <c r="B4036" t="str">
        <f t="shared" si="127"/>
        <v>5226651LPI 25KGLACTALIS</v>
      </c>
      <c r="C4036" s="5" t="s">
        <v>16</v>
      </c>
      <c r="D4036" s="5" t="s">
        <v>53</v>
      </c>
      <c r="E4036" s="5" t="s">
        <v>54</v>
      </c>
      <c r="F4036" s="5">
        <v>5226651</v>
      </c>
      <c r="G4036" s="5" t="s">
        <v>999</v>
      </c>
      <c r="H4036" s="5" t="s">
        <v>30</v>
      </c>
      <c r="I4036" s="5" t="s">
        <v>22</v>
      </c>
      <c r="J4036" s="5" t="s">
        <v>21</v>
      </c>
      <c r="K4036" s="6">
        <v>0</v>
      </c>
      <c r="L4036" s="7">
        <v>0</v>
      </c>
      <c r="M4036" s="8">
        <v>20991.666666666668</v>
      </c>
      <c r="N4036" s="8">
        <v>29983.333333333332</v>
      </c>
      <c r="O4036" s="8">
        <v>9193.6036758859427</v>
      </c>
      <c r="P4036" s="8">
        <v>0</v>
      </c>
      <c r="Q4036" s="8">
        <v>36000</v>
      </c>
      <c r="R4036" s="8">
        <v>0</v>
      </c>
      <c r="S4036" s="8">
        <v>0</v>
      </c>
      <c r="T4036" s="5">
        <v>36000</v>
      </c>
      <c r="U4036" s="5">
        <v>0</v>
      </c>
      <c r="V4036" s="5">
        <f>VLOOKUP(A4036,Planilha1!B:E,4,0)</f>
        <v>-4.3046759024811481</v>
      </c>
    </row>
    <row r="4037" spans="1:22" x14ac:dyDescent="0.3">
      <c r="A4037" t="str">
        <f t="shared" si="126"/>
        <v>COMPOSTOITAMBÉ</v>
      </c>
      <c r="B4037" t="str">
        <f t="shared" si="127"/>
        <v>5227311COMPOSTOITAMBÉ</v>
      </c>
      <c r="C4037" s="5" t="s">
        <v>16</v>
      </c>
      <c r="D4037" s="5" t="s">
        <v>53</v>
      </c>
      <c r="E4037" s="5" t="s">
        <v>54</v>
      </c>
      <c r="F4037" s="5">
        <v>5227311</v>
      </c>
      <c r="G4037" s="5" t="s">
        <v>138</v>
      </c>
      <c r="H4037" s="5" t="s">
        <v>113</v>
      </c>
      <c r="I4037" s="5" t="s">
        <v>27</v>
      </c>
      <c r="J4037" s="5" t="s">
        <v>26</v>
      </c>
      <c r="K4037" s="6">
        <v>0</v>
      </c>
      <c r="L4037" s="7">
        <v>0</v>
      </c>
      <c r="M4037" s="8">
        <v>250</v>
      </c>
      <c r="N4037" s="8">
        <v>0</v>
      </c>
      <c r="O4037" s="8">
        <v>2663.4631958799077</v>
      </c>
      <c r="P4037" s="8">
        <v>0</v>
      </c>
      <c r="Q4037" s="8">
        <v>0</v>
      </c>
      <c r="R4037" s="8">
        <v>0</v>
      </c>
      <c r="S4037" s="8">
        <v>0</v>
      </c>
      <c r="T4037" s="5">
        <v>0</v>
      </c>
      <c r="U4037" s="5">
        <v>0</v>
      </c>
      <c r="V4037" s="5">
        <f>VLOOKUP(A4037,Planilha1!B:E,4,0)</f>
        <v>0.15618217875936719</v>
      </c>
    </row>
    <row r="4038" spans="1:22" x14ac:dyDescent="0.3">
      <c r="A4038" t="str">
        <f t="shared" si="126"/>
        <v>LPI 25KGLACTALIS</v>
      </c>
      <c r="B4038" t="str">
        <f t="shared" si="127"/>
        <v>5233735LPI 25KGLACTALIS</v>
      </c>
      <c r="C4038" s="5" t="s">
        <v>16</v>
      </c>
      <c r="D4038" s="5" t="s">
        <v>17</v>
      </c>
      <c r="E4038" s="5" t="s">
        <v>18</v>
      </c>
      <c r="F4038" s="5">
        <v>5233735</v>
      </c>
      <c r="G4038" s="5" t="s">
        <v>1677</v>
      </c>
      <c r="H4038" s="5" t="s">
        <v>835</v>
      </c>
      <c r="I4038" s="5" t="s">
        <v>22</v>
      </c>
      <c r="J4038" s="5" t="s">
        <v>21</v>
      </c>
      <c r="K4038" s="6">
        <v>0</v>
      </c>
      <c r="L4038" s="7">
        <v>0</v>
      </c>
      <c r="M4038" s="7">
        <v>0</v>
      </c>
      <c r="N4038" s="8">
        <v>32350</v>
      </c>
      <c r="O4038" s="8">
        <v>0</v>
      </c>
      <c r="P4038" s="8">
        <v>0</v>
      </c>
      <c r="Q4038" s="8">
        <v>8600</v>
      </c>
      <c r="R4038" s="8">
        <v>0</v>
      </c>
      <c r="S4038" s="8">
        <v>0</v>
      </c>
      <c r="T4038" s="5">
        <v>8600</v>
      </c>
      <c r="U4038" s="5">
        <v>0</v>
      </c>
      <c r="V4038" s="5">
        <f>VLOOKUP(A4038,Planilha1!B:E,4,0)</f>
        <v>-4.3046759024811481</v>
      </c>
    </row>
    <row r="4039" spans="1:22" x14ac:dyDescent="0.3">
      <c r="A4039" t="str">
        <f t="shared" si="126"/>
        <v>CREME UHTITAMBÉ</v>
      </c>
      <c r="B4039" t="str">
        <f t="shared" si="127"/>
        <v>5234752CREME UHTITAMBÉ</v>
      </c>
      <c r="C4039" s="5" t="s">
        <v>16</v>
      </c>
      <c r="D4039" s="5" t="s">
        <v>17</v>
      </c>
      <c r="E4039" s="5" t="s">
        <v>44</v>
      </c>
      <c r="F4039" s="5">
        <v>5234752</v>
      </c>
      <c r="G4039" s="5" t="s">
        <v>1678</v>
      </c>
      <c r="H4039" s="5" t="s">
        <v>88</v>
      </c>
      <c r="I4039" s="5" t="s">
        <v>27</v>
      </c>
      <c r="J4039" s="5" t="s">
        <v>34</v>
      </c>
      <c r="K4039" s="6">
        <v>0</v>
      </c>
      <c r="L4039" s="7">
        <v>0</v>
      </c>
      <c r="M4039" s="8">
        <v>92.679999999999993</v>
      </c>
      <c r="N4039" s="8">
        <v>185.33333333333334</v>
      </c>
      <c r="O4039" s="8">
        <v>0</v>
      </c>
      <c r="P4039" s="8">
        <v>0</v>
      </c>
      <c r="Q4039" s="8">
        <v>0</v>
      </c>
      <c r="R4039" s="8">
        <v>0</v>
      </c>
      <c r="S4039" s="8">
        <v>0</v>
      </c>
      <c r="T4039" s="5">
        <v>0</v>
      </c>
      <c r="U4039" s="5">
        <v>0</v>
      </c>
      <c r="V4039" s="5">
        <f>VLOOKUP(A4039,Planilha1!B:E,4,0)</f>
        <v>1.2362540170747773</v>
      </c>
    </row>
    <row r="4040" spans="1:22" x14ac:dyDescent="0.3">
      <c r="A4040" t="str">
        <f t="shared" si="126"/>
        <v>CREME UHTLACTALIS</v>
      </c>
      <c r="B4040" t="str">
        <f t="shared" si="127"/>
        <v>5250288CREME UHTLACTALIS</v>
      </c>
      <c r="C4040" s="5" t="s">
        <v>16</v>
      </c>
      <c r="D4040" s="5" t="s">
        <v>53</v>
      </c>
      <c r="E4040" s="5" t="s">
        <v>53</v>
      </c>
      <c r="F4040" s="5">
        <v>5250288</v>
      </c>
      <c r="G4040" s="5" t="s">
        <v>131</v>
      </c>
      <c r="H4040" s="5" t="s">
        <v>113</v>
      </c>
      <c r="I4040" s="5" t="s">
        <v>22</v>
      </c>
      <c r="J4040" s="5" t="s">
        <v>34</v>
      </c>
      <c r="K4040" s="6">
        <v>0</v>
      </c>
      <c r="L4040" s="7">
        <v>0</v>
      </c>
      <c r="M4040" s="7">
        <v>0</v>
      </c>
      <c r="N4040" s="7">
        <v>0</v>
      </c>
      <c r="O4040" s="7">
        <v>0</v>
      </c>
      <c r="P4040" s="8">
        <v>0</v>
      </c>
      <c r="Q4040" s="8">
        <v>0</v>
      </c>
      <c r="R4040" s="8">
        <v>0</v>
      </c>
      <c r="S4040" s="8">
        <v>0</v>
      </c>
      <c r="T4040" s="5">
        <v>0</v>
      </c>
      <c r="U4040" s="5">
        <v>0</v>
      </c>
      <c r="V4040" s="5">
        <f>VLOOKUP(A4040,Planilha1!B:E,4,0)</f>
        <v>-1.4094522863012933</v>
      </c>
    </row>
    <row r="4041" spans="1:22" x14ac:dyDescent="0.3">
      <c r="A4041" t="str">
        <f t="shared" si="126"/>
        <v>CREME UHTLACTALIS</v>
      </c>
      <c r="B4041" t="str">
        <f t="shared" si="127"/>
        <v>5253978CREME UHTLACTALIS</v>
      </c>
      <c r="C4041" s="5" t="s">
        <v>16</v>
      </c>
      <c r="D4041" s="5" t="s">
        <v>53</v>
      </c>
      <c r="E4041" s="5" t="s">
        <v>53</v>
      </c>
      <c r="F4041" s="5">
        <v>5253978</v>
      </c>
      <c r="G4041" s="5" t="s">
        <v>131</v>
      </c>
      <c r="H4041" s="5" t="s">
        <v>30</v>
      </c>
      <c r="I4041" s="5" t="s">
        <v>22</v>
      </c>
      <c r="J4041" s="5" t="s">
        <v>34</v>
      </c>
      <c r="K4041" s="6">
        <v>0</v>
      </c>
      <c r="L4041" s="7">
        <v>0</v>
      </c>
      <c r="M4041" s="7">
        <v>0</v>
      </c>
      <c r="N4041" s="7">
        <v>0</v>
      </c>
      <c r="O4041" s="7">
        <v>0</v>
      </c>
      <c r="P4041" s="8">
        <v>0</v>
      </c>
      <c r="Q4041" s="8">
        <v>0</v>
      </c>
      <c r="R4041" s="8">
        <v>0</v>
      </c>
      <c r="S4041" s="8">
        <v>0</v>
      </c>
      <c r="T4041" s="5">
        <v>0</v>
      </c>
      <c r="U4041" s="5">
        <v>0</v>
      </c>
      <c r="V4041" s="5">
        <f>VLOOKUP(A4041,Planilha1!B:E,4,0)</f>
        <v>-1.4094522863012933</v>
      </c>
    </row>
    <row r="4042" spans="1:22" x14ac:dyDescent="0.3">
      <c r="A4042" t="str">
        <f t="shared" si="126"/>
        <v>QUEIJOSLACTALIS</v>
      </c>
      <c r="B4042" t="str">
        <f t="shared" si="127"/>
        <v>5273626QUEIJOSLACTALIS</v>
      </c>
      <c r="C4042" s="5" t="s">
        <v>16</v>
      </c>
      <c r="D4042" s="5" t="s">
        <v>17</v>
      </c>
      <c r="E4042" s="5" t="s">
        <v>66</v>
      </c>
      <c r="F4042" s="5">
        <v>5273626</v>
      </c>
      <c r="G4042" s="5" t="s">
        <v>1679</v>
      </c>
      <c r="H4042" s="5" t="s">
        <v>30</v>
      </c>
      <c r="I4042" s="5" t="s">
        <v>22</v>
      </c>
      <c r="J4042" s="5" t="s">
        <v>63</v>
      </c>
      <c r="K4042" s="6">
        <v>0</v>
      </c>
      <c r="L4042" s="7">
        <v>35453.408000000003</v>
      </c>
      <c r="M4042" s="8">
        <v>67304.886500000008</v>
      </c>
      <c r="N4042" s="8">
        <v>85176.115666666665</v>
      </c>
      <c r="O4042" s="8">
        <v>27553.646757893071</v>
      </c>
      <c r="P4042" s="8">
        <v>0</v>
      </c>
      <c r="Q4042" s="8">
        <v>113444</v>
      </c>
      <c r="R4042" s="8">
        <v>0</v>
      </c>
      <c r="S4042" s="8">
        <v>0</v>
      </c>
      <c r="T4042" s="5">
        <v>111000</v>
      </c>
      <c r="U4042" s="5">
        <v>0</v>
      </c>
      <c r="V4042" s="5">
        <f>VLOOKUP(A4042,Planilha1!B:E,4,0)</f>
        <v>-1.9171310037550682</v>
      </c>
    </row>
    <row r="4043" spans="1:22" x14ac:dyDescent="0.3">
      <c r="A4043" t="str">
        <f t="shared" si="126"/>
        <v>SORVETESLACTALIS</v>
      </c>
      <c r="B4043" t="str">
        <f t="shared" si="127"/>
        <v>5279462SORVETESLACTALIS</v>
      </c>
      <c r="C4043" s="5" t="s">
        <v>16</v>
      </c>
      <c r="D4043" s="5" t="s">
        <v>16</v>
      </c>
      <c r="E4043" s="5" t="s">
        <v>132</v>
      </c>
      <c r="F4043" s="5">
        <v>5279462</v>
      </c>
      <c r="G4043" s="5" t="s">
        <v>155</v>
      </c>
      <c r="H4043" s="5" t="s">
        <v>30</v>
      </c>
      <c r="I4043" s="5" t="s">
        <v>22</v>
      </c>
      <c r="J4043" s="5" t="s">
        <v>1008</v>
      </c>
      <c r="K4043" s="6">
        <v>0</v>
      </c>
      <c r="L4043" s="7">
        <v>43200</v>
      </c>
      <c r="M4043" s="8">
        <v>352800</v>
      </c>
      <c r="N4043" s="8">
        <v>676800</v>
      </c>
      <c r="O4043" s="8">
        <v>0</v>
      </c>
      <c r="P4043" s="8">
        <v>0</v>
      </c>
      <c r="Q4043" s="8">
        <v>129600</v>
      </c>
      <c r="R4043" s="8">
        <v>0</v>
      </c>
      <c r="S4043" s="8">
        <v>0</v>
      </c>
      <c r="T4043" s="5">
        <v>0</v>
      </c>
      <c r="U4043" s="5">
        <v>0</v>
      </c>
      <c r="V4043" s="5">
        <f>VLOOKUP(A4043,Planilha1!B:E,4,0)</f>
        <v>0.96240440322290499</v>
      </c>
    </row>
    <row r="4044" spans="1:22" x14ac:dyDescent="0.3">
      <c r="A4044" t="str">
        <f t="shared" si="126"/>
        <v>SORVETESLACTALIS</v>
      </c>
      <c r="B4044" t="str">
        <f t="shared" si="127"/>
        <v>5280734SORVETESLACTALIS</v>
      </c>
      <c r="C4044" s="5" t="s">
        <v>16</v>
      </c>
      <c r="D4044" s="5" t="s">
        <v>16</v>
      </c>
      <c r="E4044" s="5" t="s">
        <v>132</v>
      </c>
      <c r="F4044" s="5">
        <v>5280734</v>
      </c>
      <c r="G4044" s="5" t="s">
        <v>155</v>
      </c>
      <c r="H4044" s="5" t="s">
        <v>113</v>
      </c>
      <c r="I4044" s="5" t="s">
        <v>22</v>
      </c>
      <c r="J4044" s="5" t="s">
        <v>1008</v>
      </c>
      <c r="K4044" s="6">
        <v>0</v>
      </c>
      <c r="L4044" s="7">
        <v>410400</v>
      </c>
      <c r="M4044" s="8">
        <v>365196.66666666669</v>
      </c>
      <c r="N4044" s="8">
        <v>420800</v>
      </c>
      <c r="O4044" s="8">
        <v>0</v>
      </c>
      <c r="P4044" s="8">
        <v>0</v>
      </c>
      <c r="Q4044" s="8">
        <v>302400</v>
      </c>
      <c r="R4044" s="8">
        <v>0</v>
      </c>
      <c r="S4044" s="8">
        <v>0</v>
      </c>
      <c r="T4044" s="5">
        <v>119196</v>
      </c>
      <c r="U4044" s="5">
        <v>0</v>
      </c>
      <c r="V4044" s="5">
        <f>VLOOKUP(A4044,Planilha1!B:E,4,0)</f>
        <v>0.96240440322290499</v>
      </c>
    </row>
    <row r="4045" spans="1:22" x14ac:dyDescent="0.3">
      <c r="A4045" t="str">
        <f t="shared" si="126"/>
        <v>QUEIJOSLACTALIS</v>
      </c>
      <c r="B4045" t="str">
        <f t="shared" si="127"/>
        <v>5295540QUEIJOSLACTALIS</v>
      </c>
      <c r="C4045" s="5" t="s">
        <v>16</v>
      </c>
      <c r="D4045" s="5" t="s">
        <v>17</v>
      </c>
      <c r="E4045" s="5" t="s">
        <v>66</v>
      </c>
      <c r="F4045" s="5">
        <v>5295540</v>
      </c>
      <c r="G4045" s="5" t="s">
        <v>1680</v>
      </c>
      <c r="H4045" s="5" t="s">
        <v>30</v>
      </c>
      <c r="I4045" s="5" t="s">
        <v>22</v>
      </c>
      <c r="J4045" s="5" t="s">
        <v>63</v>
      </c>
      <c r="K4045" s="6">
        <v>0</v>
      </c>
      <c r="L4045" s="7">
        <v>11026.812999999998</v>
      </c>
      <c r="M4045" s="8">
        <v>10471.260666666667</v>
      </c>
      <c r="N4045" s="8">
        <v>8269.9616666666661</v>
      </c>
      <c r="O4045" s="8">
        <v>5938.4411736087104</v>
      </c>
      <c r="P4045" s="8">
        <v>0</v>
      </c>
      <c r="Q4045" s="8">
        <v>13065.43</v>
      </c>
      <c r="R4045" s="8">
        <v>0</v>
      </c>
      <c r="S4045" s="8">
        <v>0</v>
      </c>
      <c r="T4045" s="5">
        <v>13000</v>
      </c>
      <c r="U4045" s="5">
        <v>0</v>
      </c>
      <c r="V4045" s="5">
        <f>VLOOKUP(A4045,Planilha1!B:E,4,0)</f>
        <v>-1.9171310037550682</v>
      </c>
    </row>
    <row r="4046" spans="1:22" x14ac:dyDescent="0.3">
      <c r="A4046" t="str">
        <f t="shared" si="126"/>
        <v>COMPOSTOITAMBÉ</v>
      </c>
      <c r="B4046" t="str">
        <f t="shared" si="127"/>
        <v>5330552COMPOSTOITAMBÉ</v>
      </c>
      <c r="C4046" s="5" t="s">
        <v>16</v>
      </c>
      <c r="D4046" s="5" t="s">
        <v>17</v>
      </c>
      <c r="E4046" s="5" t="s">
        <v>23</v>
      </c>
      <c r="F4046" s="5">
        <v>5330552</v>
      </c>
      <c r="G4046" s="5" t="s">
        <v>1681</v>
      </c>
      <c r="H4046" s="5" t="s">
        <v>40</v>
      </c>
      <c r="I4046" s="5" t="s">
        <v>27</v>
      </c>
      <c r="J4046" s="5" t="s">
        <v>26</v>
      </c>
      <c r="K4046" s="6">
        <v>0</v>
      </c>
      <c r="L4046" s="7">
        <v>0</v>
      </c>
      <c r="M4046" s="8">
        <v>166.66666666666666</v>
      </c>
      <c r="N4046" s="8">
        <v>333.33333333333331</v>
      </c>
      <c r="O4046" s="8">
        <v>695.43608324740228</v>
      </c>
      <c r="P4046" s="8">
        <v>0</v>
      </c>
      <c r="Q4046" s="8">
        <v>0</v>
      </c>
      <c r="R4046" s="8">
        <v>0</v>
      </c>
      <c r="S4046" s="8">
        <v>0</v>
      </c>
      <c r="T4046" s="5">
        <v>0</v>
      </c>
      <c r="U4046" s="5">
        <v>0</v>
      </c>
      <c r="V4046" s="5">
        <f>VLOOKUP(A4046,Planilha1!B:E,4,0)</f>
        <v>0.15618217875936719</v>
      </c>
    </row>
    <row r="4047" spans="1:22" x14ac:dyDescent="0.3">
      <c r="A4047" t="str">
        <f t="shared" si="126"/>
        <v>COMPOSTOITAMBÉ</v>
      </c>
      <c r="B4047" t="str">
        <f t="shared" si="127"/>
        <v>5337138COMPOSTOITAMBÉ</v>
      </c>
      <c r="C4047" s="5" t="s">
        <v>16</v>
      </c>
      <c r="D4047" s="5" t="s">
        <v>53</v>
      </c>
      <c r="E4047" s="5" t="s">
        <v>23</v>
      </c>
      <c r="F4047" s="5">
        <v>5337138</v>
      </c>
      <c r="G4047" s="5" t="s">
        <v>1682</v>
      </c>
      <c r="H4047" s="5" t="s">
        <v>113</v>
      </c>
      <c r="I4047" s="5" t="s">
        <v>27</v>
      </c>
      <c r="J4047" s="5" t="s">
        <v>26</v>
      </c>
      <c r="K4047" s="6">
        <v>0</v>
      </c>
      <c r="L4047" s="7">
        <v>1000</v>
      </c>
      <c r="M4047" s="8">
        <v>333.33333333333331</v>
      </c>
      <c r="N4047" s="8">
        <v>333.33333333333331</v>
      </c>
      <c r="O4047" s="8">
        <v>0</v>
      </c>
      <c r="P4047" s="8">
        <v>0</v>
      </c>
      <c r="Q4047" s="8">
        <v>0</v>
      </c>
      <c r="R4047" s="8">
        <v>0</v>
      </c>
      <c r="S4047" s="8">
        <v>0</v>
      </c>
      <c r="T4047" s="5">
        <v>0</v>
      </c>
      <c r="U4047" s="5">
        <v>0</v>
      </c>
      <c r="V4047" s="5">
        <f>VLOOKUP(A4047,Planilha1!B:E,4,0)</f>
        <v>0.15618217875936719</v>
      </c>
    </row>
    <row r="4048" spans="1:22" x14ac:dyDescent="0.3">
      <c r="A4048" t="str">
        <f t="shared" si="126"/>
        <v>LPI 25KGLACTALIS</v>
      </c>
      <c r="B4048" t="str">
        <f t="shared" si="127"/>
        <v>5337960LPI 25KGLACTALIS</v>
      </c>
      <c r="C4048" s="5" t="s">
        <v>16</v>
      </c>
      <c r="D4048" s="5" t="s">
        <v>53</v>
      </c>
      <c r="E4048" s="5" t="s">
        <v>53</v>
      </c>
      <c r="F4048" s="5">
        <v>5337960</v>
      </c>
      <c r="G4048" s="5" t="s">
        <v>1005</v>
      </c>
      <c r="H4048" s="5" t="s">
        <v>30</v>
      </c>
      <c r="I4048" s="5" t="s">
        <v>22</v>
      </c>
      <c r="J4048" s="5" t="s">
        <v>21</v>
      </c>
      <c r="K4048" s="6">
        <v>0</v>
      </c>
      <c r="L4048" s="7">
        <v>0</v>
      </c>
      <c r="M4048" s="7">
        <v>0</v>
      </c>
      <c r="N4048" s="7">
        <v>0</v>
      </c>
      <c r="O4048" s="7">
        <v>0</v>
      </c>
      <c r="P4048" s="8">
        <v>0</v>
      </c>
      <c r="Q4048" s="8">
        <v>0</v>
      </c>
      <c r="R4048" s="8">
        <v>0</v>
      </c>
      <c r="S4048" s="8">
        <v>0</v>
      </c>
      <c r="T4048" s="5">
        <v>216000</v>
      </c>
      <c r="U4048" s="5">
        <v>0</v>
      </c>
      <c r="V4048" s="5">
        <f>VLOOKUP(A4048,Planilha1!B:E,4,0)</f>
        <v>-4.3046759024811481</v>
      </c>
    </row>
    <row r="4049" spans="1:22" x14ac:dyDescent="0.3">
      <c r="A4049" t="str">
        <f t="shared" si="126"/>
        <v>LPI 25KGLACTALIS</v>
      </c>
      <c r="B4049" t="str">
        <f t="shared" si="127"/>
        <v>5339004LPI 25KGLACTALIS</v>
      </c>
      <c r="C4049" s="5" t="s">
        <v>16</v>
      </c>
      <c r="D4049" s="5" t="s">
        <v>53</v>
      </c>
      <c r="E4049" s="5" t="s">
        <v>53</v>
      </c>
      <c r="F4049" s="5">
        <v>5339004</v>
      </c>
      <c r="G4049" s="5" t="s">
        <v>983</v>
      </c>
      <c r="H4049" s="5" t="s">
        <v>113</v>
      </c>
      <c r="I4049" s="5" t="s">
        <v>22</v>
      </c>
      <c r="J4049" s="5" t="s">
        <v>21</v>
      </c>
      <c r="K4049" s="6">
        <v>0</v>
      </c>
      <c r="L4049" s="7">
        <v>0</v>
      </c>
      <c r="M4049" s="7">
        <v>0</v>
      </c>
      <c r="N4049" s="7">
        <v>0</v>
      </c>
      <c r="O4049" s="7">
        <v>0</v>
      </c>
      <c r="P4049" s="8">
        <v>0</v>
      </c>
      <c r="Q4049" s="8">
        <v>0</v>
      </c>
      <c r="R4049" s="8">
        <v>0</v>
      </c>
      <c r="S4049" s="8">
        <v>0</v>
      </c>
      <c r="T4049" s="5">
        <v>0</v>
      </c>
      <c r="U4049" s="5">
        <v>0</v>
      </c>
      <c r="V4049" s="5">
        <f>VLOOKUP(A4049,Planilha1!B:E,4,0)</f>
        <v>-4.3046759024811481</v>
      </c>
    </row>
    <row r="4050" spans="1:22" x14ac:dyDescent="0.3">
      <c r="A4050" t="str">
        <f t="shared" si="126"/>
        <v>COMPOSTOITAMBÉ</v>
      </c>
      <c r="B4050" t="str">
        <f t="shared" si="127"/>
        <v>5339186COMPOSTOITAMBÉ</v>
      </c>
      <c r="C4050" s="5" t="s">
        <v>16</v>
      </c>
      <c r="D4050" s="5" t="s">
        <v>1650</v>
      </c>
      <c r="E4050" s="5" t="s">
        <v>1651</v>
      </c>
      <c r="F4050" s="5">
        <v>5339186</v>
      </c>
      <c r="G4050" s="5" t="s">
        <v>1683</v>
      </c>
      <c r="H4050" s="5" t="s">
        <v>30</v>
      </c>
      <c r="I4050" s="5" t="s">
        <v>27</v>
      </c>
      <c r="J4050" s="5" t="s">
        <v>26</v>
      </c>
      <c r="K4050" s="6">
        <v>0</v>
      </c>
      <c r="L4050" s="7">
        <v>0</v>
      </c>
      <c r="M4050" s="7">
        <v>0</v>
      </c>
      <c r="N4050" s="7">
        <v>0</v>
      </c>
      <c r="O4050" s="7">
        <v>0</v>
      </c>
      <c r="P4050" s="8">
        <v>0</v>
      </c>
      <c r="Q4050" s="8">
        <v>0</v>
      </c>
      <c r="R4050" s="8">
        <v>0</v>
      </c>
      <c r="S4050" s="8">
        <v>0</v>
      </c>
      <c r="T4050" s="5">
        <v>0</v>
      </c>
      <c r="U4050" s="5">
        <v>0</v>
      </c>
      <c r="V4050" s="5">
        <f>VLOOKUP(A4050,Planilha1!B:E,4,0)</f>
        <v>0.15618217875936719</v>
      </c>
    </row>
    <row r="4051" spans="1:22" x14ac:dyDescent="0.3">
      <c r="A4051" t="str">
        <f t="shared" si="126"/>
        <v>CREME UHTITAMBÉ</v>
      </c>
      <c r="B4051" t="str">
        <f t="shared" si="127"/>
        <v>5340507CREME UHTITAMBÉ</v>
      </c>
      <c r="C4051" s="5" t="s">
        <v>16</v>
      </c>
      <c r="D4051" s="5" t="s">
        <v>1650</v>
      </c>
      <c r="E4051" s="5" t="s">
        <v>1651</v>
      </c>
      <c r="F4051" s="5">
        <v>5340507</v>
      </c>
      <c r="G4051" s="5" t="s">
        <v>1684</v>
      </c>
      <c r="H4051" s="5" t="s">
        <v>30</v>
      </c>
      <c r="I4051" s="5" t="s">
        <v>27</v>
      </c>
      <c r="J4051" s="5" t="s">
        <v>34</v>
      </c>
      <c r="K4051" s="6">
        <v>0</v>
      </c>
      <c r="L4051" s="7">
        <v>0</v>
      </c>
      <c r="M4051" s="7">
        <v>0</v>
      </c>
      <c r="N4051" s="7">
        <v>0</v>
      </c>
      <c r="O4051" s="7">
        <v>0</v>
      </c>
      <c r="P4051" s="8">
        <v>0</v>
      </c>
      <c r="Q4051" s="8">
        <v>241.67999999999998</v>
      </c>
      <c r="R4051" s="8">
        <v>0</v>
      </c>
      <c r="S4051" s="8">
        <v>0</v>
      </c>
      <c r="T4051" s="5">
        <v>242</v>
      </c>
      <c r="U4051" s="5">
        <v>0</v>
      </c>
      <c r="V4051" s="5">
        <f>VLOOKUP(A4051,Planilha1!B:E,4,0)</f>
        <v>1.2362540170747773</v>
      </c>
    </row>
    <row r="4052" spans="1:22" x14ac:dyDescent="0.3">
      <c r="A4052" t="str">
        <f t="shared" si="126"/>
        <v>LEITE CONDENSADOITAMBÉ</v>
      </c>
      <c r="B4052" t="str">
        <f t="shared" si="127"/>
        <v>5340507LEITE CONDENSADOITAMBÉ</v>
      </c>
      <c r="C4052" s="5" t="s">
        <v>16</v>
      </c>
      <c r="D4052" s="5" t="s">
        <v>1650</v>
      </c>
      <c r="E4052" s="5" t="s">
        <v>1651</v>
      </c>
      <c r="F4052" s="5">
        <v>5340507</v>
      </c>
      <c r="G4052" s="5" t="s">
        <v>1684</v>
      </c>
      <c r="H4052" s="5" t="s">
        <v>30</v>
      </c>
      <c r="I4052" s="5" t="s">
        <v>27</v>
      </c>
      <c r="J4052" s="5" t="s">
        <v>33</v>
      </c>
      <c r="K4052" s="6">
        <v>0</v>
      </c>
      <c r="L4052" s="7">
        <v>0</v>
      </c>
      <c r="M4052" s="7">
        <v>0</v>
      </c>
      <c r="N4052" s="7">
        <v>0</v>
      </c>
      <c r="O4052" s="7">
        <v>0</v>
      </c>
      <c r="P4052" s="8">
        <v>0</v>
      </c>
      <c r="Q4052" s="8">
        <v>1000</v>
      </c>
      <c r="R4052" s="8">
        <v>0</v>
      </c>
      <c r="S4052" s="8">
        <v>0</v>
      </c>
      <c r="T4052" s="5">
        <v>1000</v>
      </c>
      <c r="U4052" s="5">
        <v>0</v>
      </c>
      <c r="V4052" s="5">
        <f>VLOOKUP(A4052,Planilha1!B:E,4,0)</f>
        <v>1.4766792698630664</v>
      </c>
    </row>
    <row r="4053" spans="1:22" x14ac:dyDescent="0.3">
      <c r="A4053" t="str">
        <f t="shared" si="126"/>
        <v>CREME UHTITAMBÉ</v>
      </c>
      <c r="B4053" t="str">
        <f t="shared" si="127"/>
        <v>5340614CREME UHTITAMBÉ</v>
      </c>
      <c r="C4053" s="5" t="s">
        <v>16</v>
      </c>
      <c r="D4053" s="5" t="s">
        <v>17</v>
      </c>
      <c r="E4053" s="5" t="s">
        <v>44</v>
      </c>
      <c r="F4053" s="5">
        <v>5340614</v>
      </c>
      <c r="G4053" s="5" t="s">
        <v>1218</v>
      </c>
      <c r="H4053" s="5" t="s">
        <v>25</v>
      </c>
      <c r="I4053" s="5" t="s">
        <v>27</v>
      </c>
      <c r="J4053" s="5" t="s">
        <v>34</v>
      </c>
      <c r="K4053" s="6">
        <v>0</v>
      </c>
      <c r="L4053" s="7">
        <v>0</v>
      </c>
      <c r="M4053" s="8">
        <v>92.92</v>
      </c>
      <c r="N4053" s="8">
        <v>186</v>
      </c>
      <c r="O4053" s="8">
        <v>0</v>
      </c>
      <c r="P4053" s="8">
        <v>0</v>
      </c>
      <c r="Q4053" s="8">
        <v>0</v>
      </c>
      <c r="R4053" s="8">
        <v>0</v>
      </c>
      <c r="S4053" s="8">
        <v>0</v>
      </c>
      <c r="T4053" s="5">
        <v>0</v>
      </c>
      <c r="U4053" s="5">
        <v>0</v>
      </c>
      <c r="V4053" s="5">
        <f>VLOOKUP(A4053,Planilha1!B:E,4,0)</f>
        <v>1.2362540170747773</v>
      </c>
    </row>
    <row r="4054" spans="1:22" x14ac:dyDescent="0.3">
      <c r="A4054" t="str">
        <f t="shared" si="126"/>
        <v>LPI 25KGITAMBÉ</v>
      </c>
      <c r="B4054" t="str">
        <f t="shared" si="127"/>
        <v>5344781LPI 25KGITAMBÉ</v>
      </c>
      <c r="C4054" s="5" t="s">
        <v>16</v>
      </c>
      <c r="D4054" s="5" t="s">
        <v>17</v>
      </c>
      <c r="E4054" s="5" t="s">
        <v>44</v>
      </c>
      <c r="F4054" s="5">
        <v>5344781</v>
      </c>
      <c r="G4054" s="5" t="s">
        <v>956</v>
      </c>
      <c r="H4054" s="5" t="s">
        <v>25</v>
      </c>
      <c r="I4054" s="5" t="s">
        <v>27</v>
      </c>
      <c r="J4054" s="5" t="s">
        <v>21</v>
      </c>
      <c r="K4054" s="6">
        <v>0</v>
      </c>
      <c r="L4054" s="7">
        <v>0</v>
      </c>
      <c r="M4054" s="8">
        <v>1091.6666666666667</v>
      </c>
      <c r="N4054" s="8">
        <v>2183.3333333333335</v>
      </c>
      <c r="O4054" s="8">
        <v>0</v>
      </c>
      <c r="P4054" s="8">
        <v>0</v>
      </c>
      <c r="Q4054" s="8">
        <v>0</v>
      </c>
      <c r="R4054" s="8">
        <v>0</v>
      </c>
      <c r="S4054" s="8">
        <v>0</v>
      </c>
      <c r="T4054" s="5">
        <v>0</v>
      </c>
      <c r="U4054" s="5">
        <v>0</v>
      </c>
      <c r="V4054" s="5">
        <f>VLOOKUP(A4054,Planilha1!B:E,4,0)</f>
        <v>-1.218192805504376</v>
      </c>
    </row>
    <row r="4055" spans="1:22" x14ac:dyDescent="0.3">
      <c r="A4055" t="str">
        <f t="shared" si="126"/>
        <v>LPI 25KGLACTALIS</v>
      </c>
      <c r="B4055" t="str">
        <f t="shared" si="127"/>
        <v>5325105LPI 25KGLACTALIS</v>
      </c>
      <c r="C4055" s="5" t="s">
        <v>16</v>
      </c>
      <c r="D4055" s="5" t="s">
        <v>53</v>
      </c>
      <c r="E4055" s="5" t="s">
        <v>53</v>
      </c>
      <c r="F4055" s="5">
        <v>5325105</v>
      </c>
      <c r="G4055" s="5" t="s">
        <v>1685</v>
      </c>
      <c r="H4055" s="5" t="s">
        <v>113</v>
      </c>
      <c r="I4055" s="5" t="s">
        <v>22</v>
      </c>
      <c r="J4055" s="5" t="s">
        <v>21</v>
      </c>
      <c r="K4055" s="6">
        <v>0</v>
      </c>
      <c r="L4055" s="7">
        <v>0</v>
      </c>
      <c r="M4055" s="7">
        <v>0</v>
      </c>
      <c r="N4055" s="7">
        <v>0</v>
      </c>
      <c r="O4055" s="7">
        <v>0</v>
      </c>
      <c r="P4055" s="8">
        <v>0</v>
      </c>
      <c r="Q4055" s="8">
        <v>0</v>
      </c>
      <c r="R4055" s="8">
        <v>0</v>
      </c>
      <c r="S4055" s="8">
        <v>0</v>
      </c>
      <c r="T4055" s="5">
        <v>0</v>
      </c>
      <c r="U4055" s="5">
        <v>0</v>
      </c>
      <c r="V4055" s="5">
        <f>VLOOKUP(A4055,Planilha1!B:E,4,0)</f>
        <v>-4.3046759024811481</v>
      </c>
    </row>
    <row r="4056" spans="1:22" x14ac:dyDescent="0.3">
      <c r="A4056" t="str">
        <f t="shared" si="126"/>
        <v>LEITE EM PÓLACTALIS</v>
      </c>
      <c r="B4056" t="str">
        <f t="shared" si="127"/>
        <v>5347103LEITE EM PÓLACTALIS</v>
      </c>
      <c r="C4056" s="5" t="s">
        <v>16</v>
      </c>
      <c r="D4056" s="5" t="s">
        <v>53</v>
      </c>
      <c r="E4056" s="5" t="s">
        <v>53</v>
      </c>
      <c r="F4056" s="5">
        <v>5347103</v>
      </c>
      <c r="G4056" s="5" t="s">
        <v>1686</v>
      </c>
      <c r="H4056" s="5" t="s">
        <v>25</v>
      </c>
      <c r="I4056" s="5" t="s">
        <v>22</v>
      </c>
      <c r="J4056" s="5" t="s">
        <v>84</v>
      </c>
      <c r="K4056" s="6">
        <v>0</v>
      </c>
      <c r="L4056" s="7">
        <v>0</v>
      </c>
      <c r="M4056" s="7">
        <v>0</v>
      </c>
      <c r="N4056" s="7">
        <v>0</v>
      </c>
      <c r="O4056" s="7">
        <v>0</v>
      </c>
      <c r="P4056" s="8">
        <v>0</v>
      </c>
      <c r="Q4056" s="8">
        <v>0</v>
      </c>
      <c r="R4056" s="8">
        <v>0</v>
      </c>
      <c r="S4056" s="8">
        <v>0</v>
      </c>
      <c r="T4056" s="5">
        <v>0</v>
      </c>
      <c r="U4056" s="5">
        <v>0</v>
      </c>
      <c r="V4056" s="5">
        <f>VLOOKUP(A4056,Planilha1!B:E,4,0)</f>
        <v>-2.8055507108797499</v>
      </c>
    </row>
    <row r="4057" spans="1:22" x14ac:dyDescent="0.3">
      <c r="A4057" t="str">
        <f t="shared" si="126"/>
        <v>LPI 25KGLACTALIS</v>
      </c>
      <c r="B4057" t="str">
        <f t="shared" si="127"/>
        <v>5347103LPI 25KGLACTALIS</v>
      </c>
      <c r="C4057" s="5" t="s">
        <v>16</v>
      </c>
      <c r="D4057" s="5" t="s">
        <v>53</v>
      </c>
      <c r="E4057" s="5" t="s">
        <v>53</v>
      </c>
      <c r="F4057" s="5">
        <v>5347103</v>
      </c>
      <c r="G4057" s="5" t="s">
        <v>1686</v>
      </c>
      <c r="H4057" s="5" t="s">
        <v>25</v>
      </c>
      <c r="I4057" s="5" t="s">
        <v>22</v>
      </c>
      <c r="J4057" s="5" t="s">
        <v>21</v>
      </c>
      <c r="K4057" s="6">
        <v>0</v>
      </c>
      <c r="L4057" s="7">
        <v>0</v>
      </c>
      <c r="M4057" s="7">
        <v>0</v>
      </c>
      <c r="N4057" s="7">
        <v>0</v>
      </c>
      <c r="O4057" s="7">
        <v>0</v>
      </c>
      <c r="P4057" s="8">
        <v>0</v>
      </c>
      <c r="Q4057" s="8">
        <v>0</v>
      </c>
      <c r="R4057" s="8">
        <v>0</v>
      </c>
      <c r="S4057" s="8">
        <v>0</v>
      </c>
      <c r="T4057" s="5">
        <v>0</v>
      </c>
      <c r="U4057" s="5">
        <v>0</v>
      </c>
      <c r="V4057" s="5">
        <f>VLOOKUP(A4057,Planilha1!B:E,4,0)</f>
        <v>-4.3046759024811481</v>
      </c>
    </row>
    <row r="4058" spans="1:22" x14ac:dyDescent="0.3">
      <c r="A4058" t="str">
        <f t="shared" si="126"/>
        <v>LPI 25KGITAMBÉ</v>
      </c>
      <c r="B4058" t="str">
        <f t="shared" si="127"/>
        <v>5347144LPI 25KGITAMBÉ</v>
      </c>
      <c r="C4058" s="5" t="s">
        <v>16</v>
      </c>
      <c r="D4058" s="5" t="s">
        <v>28</v>
      </c>
      <c r="E4058" s="5" t="s">
        <v>28</v>
      </c>
      <c r="F4058" s="5">
        <v>5347144</v>
      </c>
      <c r="G4058" s="5" t="s">
        <v>1687</v>
      </c>
      <c r="H4058" s="5" t="s">
        <v>30</v>
      </c>
      <c r="I4058" s="5" t="s">
        <v>27</v>
      </c>
      <c r="J4058" s="5" t="s">
        <v>21</v>
      </c>
      <c r="K4058" s="6">
        <v>0</v>
      </c>
      <c r="L4058" s="7">
        <v>0</v>
      </c>
      <c r="M4058" s="8">
        <v>570.83333333333326</v>
      </c>
      <c r="N4058" s="8">
        <v>408.33333333333331</v>
      </c>
      <c r="O4058" s="8">
        <v>2589.8884955850613</v>
      </c>
      <c r="P4058" s="8">
        <v>0</v>
      </c>
      <c r="Q4058" s="8">
        <v>1500</v>
      </c>
      <c r="R4058" s="8">
        <v>0</v>
      </c>
      <c r="S4058" s="8">
        <v>0</v>
      </c>
      <c r="T4058" s="5">
        <v>3000</v>
      </c>
      <c r="U4058" s="5">
        <v>0</v>
      </c>
      <c r="V4058" s="5">
        <f>VLOOKUP(A4058,Planilha1!B:E,4,0)</f>
        <v>-1.218192805504376</v>
      </c>
    </row>
    <row r="4059" spans="1:22" x14ac:dyDescent="0.3">
      <c r="A4059" t="str">
        <f t="shared" si="126"/>
        <v>DOCE DE LEITEITAMBÉ</v>
      </c>
      <c r="B4059" t="str">
        <f t="shared" si="127"/>
        <v>5347568DOCE DE LEITEITAMBÉ</v>
      </c>
      <c r="C4059" s="5" t="s">
        <v>16</v>
      </c>
      <c r="D4059" s="5" t="s">
        <v>28</v>
      </c>
      <c r="E4059" s="5" t="s">
        <v>28</v>
      </c>
      <c r="F4059" s="5">
        <v>5347568</v>
      </c>
      <c r="G4059" s="5" t="s">
        <v>1657</v>
      </c>
      <c r="H4059" s="5" t="s">
        <v>30</v>
      </c>
      <c r="I4059" s="5" t="s">
        <v>27</v>
      </c>
      <c r="J4059" s="5" t="s">
        <v>46</v>
      </c>
      <c r="K4059" s="6">
        <v>0</v>
      </c>
      <c r="L4059" s="7">
        <v>0</v>
      </c>
      <c r="M4059" s="8">
        <v>1791.6666666666667</v>
      </c>
      <c r="N4059" s="8">
        <v>1500</v>
      </c>
      <c r="O4059" s="8">
        <v>1574.0899479970287</v>
      </c>
      <c r="P4059" s="8">
        <v>0</v>
      </c>
      <c r="Q4059" s="8">
        <v>2000</v>
      </c>
      <c r="R4059" s="8">
        <v>0</v>
      </c>
      <c r="S4059" s="8">
        <v>0</v>
      </c>
      <c r="T4059" s="5">
        <v>2000</v>
      </c>
      <c r="U4059" s="5">
        <v>0</v>
      </c>
      <c r="V4059" s="5">
        <f>VLOOKUP(A4059,Planilha1!B:E,4,0)</f>
        <v>5.8210743907543439</v>
      </c>
    </row>
    <row r="4060" spans="1:22" x14ac:dyDescent="0.3">
      <c r="A4060" t="str">
        <f t="shared" si="126"/>
        <v>CREME UHTITAMBÉ</v>
      </c>
      <c r="B4060" t="str">
        <f t="shared" si="127"/>
        <v>5353215CREME UHTITAMBÉ</v>
      </c>
      <c r="C4060" s="5" t="s">
        <v>16</v>
      </c>
      <c r="D4060" s="5" t="s">
        <v>17</v>
      </c>
      <c r="E4060" s="5" t="s">
        <v>44</v>
      </c>
      <c r="F4060" s="5">
        <v>5353215</v>
      </c>
      <c r="G4060" s="5" t="s">
        <v>81</v>
      </c>
      <c r="H4060" s="5" t="s">
        <v>25</v>
      </c>
      <c r="I4060" s="5" t="s">
        <v>27</v>
      </c>
      <c r="J4060" s="5" t="s">
        <v>34</v>
      </c>
      <c r="K4060" s="6">
        <v>0</v>
      </c>
      <c r="L4060" s="7">
        <v>0</v>
      </c>
      <c r="M4060" s="8">
        <v>64.64</v>
      </c>
      <c r="N4060" s="8">
        <v>40.666666666666664</v>
      </c>
      <c r="O4060" s="8">
        <v>52.997938969040099</v>
      </c>
      <c r="P4060" s="8">
        <v>0</v>
      </c>
      <c r="Q4060" s="8">
        <v>0</v>
      </c>
      <c r="R4060" s="8">
        <v>0</v>
      </c>
      <c r="S4060" s="8">
        <v>0</v>
      </c>
      <c r="T4060" s="5">
        <v>0</v>
      </c>
      <c r="U4060" s="5">
        <v>0</v>
      </c>
      <c r="V4060" s="5">
        <f>VLOOKUP(A4060,Planilha1!B:E,4,0)</f>
        <v>1.2362540170747773</v>
      </c>
    </row>
    <row r="4061" spans="1:22" x14ac:dyDescent="0.3">
      <c r="A4061" t="str">
        <f t="shared" si="126"/>
        <v>LEITE UHTITAMBÉ</v>
      </c>
      <c r="B4061" t="str">
        <f t="shared" si="127"/>
        <v>5353215LEITE UHTITAMBÉ</v>
      </c>
      <c r="C4061" s="5" t="s">
        <v>16</v>
      </c>
      <c r="D4061" s="5" t="s">
        <v>17</v>
      </c>
      <c r="E4061" s="5" t="s">
        <v>44</v>
      </c>
      <c r="F4061" s="5">
        <v>5353215</v>
      </c>
      <c r="G4061" s="5" t="s">
        <v>81</v>
      </c>
      <c r="H4061" s="5" t="s">
        <v>25</v>
      </c>
      <c r="I4061" s="5" t="s">
        <v>27</v>
      </c>
      <c r="J4061" s="5" t="s">
        <v>156</v>
      </c>
      <c r="K4061" s="6">
        <v>0</v>
      </c>
      <c r="L4061" s="7">
        <v>0</v>
      </c>
      <c r="M4061" s="8">
        <v>38</v>
      </c>
      <c r="N4061" s="8">
        <v>44</v>
      </c>
      <c r="O4061" s="8">
        <v>0</v>
      </c>
      <c r="P4061" s="8">
        <v>0</v>
      </c>
      <c r="Q4061" s="8">
        <v>0</v>
      </c>
      <c r="R4061" s="8">
        <v>0</v>
      </c>
      <c r="S4061" s="8">
        <v>0</v>
      </c>
      <c r="T4061" s="5">
        <v>0</v>
      </c>
      <c r="U4061" s="5">
        <v>0</v>
      </c>
      <c r="V4061" s="5">
        <f>VLOOKUP(A4061,Planilha1!B:E,4,0)</f>
        <v>-0.14425288609148015</v>
      </c>
    </row>
    <row r="4062" spans="1:22" x14ac:dyDescent="0.3">
      <c r="A4062" t="str">
        <f t="shared" si="126"/>
        <v>LEITE CONDENSADOITAMBÉ</v>
      </c>
      <c r="B4062" t="str">
        <f t="shared" si="127"/>
        <v>5354761LEITE CONDENSADOITAMBÉ</v>
      </c>
      <c r="C4062" s="5" t="s">
        <v>16</v>
      </c>
      <c r="D4062" s="5" t="s">
        <v>17</v>
      </c>
      <c r="E4062" s="5" t="s">
        <v>44</v>
      </c>
      <c r="F4062" s="5">
        <v>5354761</v>
      </c>
      <c r="G4062" s="5" t="s">
        <v>83</v>
      </c>
      <c r="H4062" s="5" t="s">
        <v>25</v>
      </c>
      <c r="I4062" s="5" t="s">
        <v>27</v>
      </c>
      <c r="J4062" s="5" t="s">
        <v>33</v>
      </c>
      <c r="K4062" s="6">
        <v>0</v>
      </c>
      <c r="L4062" s="7">
        <v>0</v>
      </c>
      <c r="M4062" s="8">
        <v>330</v>
      </c>
      <c r="N4062" s="8">
        <v>413.33333333333331</v>
      </c>
      <c r="O4062" s="8">
        <v>0</v>
      </c>
      <c r="P4062" s="8">
        <v>0</v>
      </c>
      <c r="Q4062" s="8">
        <v>915</v>
      </c>
      <c r="R4062" s="8">
        <v>0</v>
      </c>
      <c r="S4062" s="8">
        <v>0</v>
      </c>
      <c r="T4062" s="5">
        <v>915</v>
      </c>
      <c r="U4062" s="5">
        <v>0</v>
      </c>
      <c r="V4062" s="5">
        <f>VLOOKUP(A4062,Planilha1!B:E,4,0)</f>
        <v>1.4766792698630664</v>
      </c>
    </row>
    <row r="4063" spans="1:22" x14ac:dyDescent="0.3">
      <c r="A4063" t="str">
        <f t="shared" si="126"/>
        <v>COMPOSTOITAMBÉ</v>
      </c>
      <c r="B4063" t="str">
        <f t="shared" si="127"/>
        <v>5355546COMPOSTOITAMBÉ</v>
      </c>
      <c r="C4063" s="5" t="s">
        <v>16</v>
      </c>
      <c r="D4063" s="5" t="s">
        <v>17</v>
      </c>
      <c r="E4063" s="5" t="s">
        <v>1688</v>
      </c>
      <c r="F4063" s="5">
        <v>5355546</v>
      </c>
      <c r="G4063" s="5" t="s">
        <v>1689</v>
      </c>
      <c r="H4063" s="5" t="s">
        <v>36</v>
      </c>
      <c r="I4063" s="5" t="s">
        <v>27</v>
      </c>
      <c r="J4063" s="5" t="s">
        <v>26</v>
      </c>
      <c r="K4063" s="6">
        <v>0</v>
      </c>
      <c r="L4063" s="7">
        <v>0</v>
      </c>
      <c r="M4063" s="7">
        <v>0</v>
      </c>
      <c r="N4063" s="7">
        <v>0</v>
      </c>
      <c r="O4063" s="7">
        <v>0</v>
      </c>
      <c r="P4063" s="8">
        <v>0</v>
      </c>
      <c r="Q4063" s="8">
        <v>0</v>
      </c>
      <c r="R4063" s="8">
        <v>0</v>
      </c>
      <c r="S4063" s="8">
        <v>0</v>
      </c>
      <c r="T4063" s="5">
        <v>0</v>
      </c>
      <c r="U4063" s="5">
        <v>0</v>
      </c>
      <c r="V4063" s="5">
        <f>VLOOKUP(A4063,Planilha1!B:E,4,0)</f>
        <v>0.15618217875936719</v>
      </c>
    </row>
    <row r="4064" spans="1:22" x14ac:dyDescent="0.3">
      <c r="A4064" t="str">
        <f t="shared" si="126"/>
        <v>COMPOSTOITAMBÉ</v>
      </c>
      <c r="B4064" t="str">
        <f t="shared" si="127"/>
        <v>5357614COMPOSTOITAMBÉ</v>
      </c>
      <c r="C4064" s="5" t="s">
        <v>16</v>
      </c>
      <c r="D4064" s="5" t="s">
        <v>28</v>
      </c>
      <c r="E4064" s="5" t="s">
        <v>28</v>
      </c>
      <c r="F4064" s="5">
        <v>5357614</v>
      </c>
      <c r="G4064" s="5" t="s">
        <v>1690</v>
      </c>
      <c r="H4064" s="5" t="s">
        <v>30</v>
      </c>
      <c r="I4064" s="5" t="s">
        <v>27</v>
      </c>
      <c r="J4064" s="5" t="s">
        <v>26</v>
      </c>
      <c r="K4064" s="6">
        <v>0</v>
      </c>
      <c r="L4064" s="7">
        <v>0</v>
      </c>
      <c r="M4064" s="8">
        <v>500</v>
      </c>
      <c r="N4064" s="8">
        <v>750</v>
      </c>
      <c r="O4064" s="8">
        <v>0</v>
      </c>
      <c r="P4064" s="8">
        <v>0</v>
      </c>
      <c r="Q4064" s="8">
        <v>0</v>
      </c>
      <c r="R4064" s="8">
        <v>0</v>
      </c>
      <c r="S4064" s="8">
        <v>0</v>
      </c>
      <c r="T4064" s="5">
        <v>1250</v>
      </c>
      <c r="U4064" s="5">
        <v>0</v>
      </c>
      <c r="V4064" s="5">
        <f>VLOOKUP(A4064,Planilha1!B:E,4,0)</f>
        <v>0.15618217875936719</v>
      </c>
    </row>
    <row r="4065" spans="1:22" x14ac:dyDescent="0.3">
      <c r="A4065" t="str">
        <f t="shared" si="126"/>
        <v>COMPOSTOITAMBÉ</v>
      </c>
      <c r="B4065" t="str">
        <f t="shared" si="127"/>
        <v>5358974COMPOSTOITAMBÉ</v>
      </c>
      <c r="C4065" s="5" t="s">
        <v>16</v>
      </c>
      <c r="D4065" s="5" t="s">
        <v>53</v>
      </c>
      <c r="E4065" s="5" t="s">
        <v>54</v>
      </c>
      <c r="F4065" s="5">
        <v>5358974</v>
      </c>
      <c r="G4065" s="5" t="s">
        <v>1691</v>
      </c>
      <c r="H4065" s="5" t="s">
        <v>113</v>
      </c>
      <c r="I4065" s="5" t="s">
        <v>27</v>
      </c>
      <c r="J4065" s="5" t="s">
        <v>26</v>
      </c>
      <c r="K4065" s="6">
        <v>0</v>
      </c>
      <c r="L4065" s="7">
        <v>0</v>
      </c>
      <c r="M4065" s="8">
        <v>75</v>
      </c>
      <c r="N4065" s="8">
        <v>83.333333333333343</v>
      </c>
      <c r="O4065" s="8">
        <v>0</v>
      </c>
      <c r="P4065" s="8">
        <v>0</v>
      </c>
      <c r="Q4065" s="8">
        <v>0</v>
      </c>
      <c r="R4065" s="8">
        <v>0</v>
      </c>
      <c r="S4065" s="8">
        <v>0</v>
      </c>
      <c r="T4065" s="5">
        <v>0</v>
      </c>
      <c r="U4065" s="5">
        <v>0</v>
      </c>
      <c r="V4065" s="5">
        <f>VLOOKUP(A4065,Planilha1!B:E,4,0)</f>
        <v>0.15618217875936719</v>
      </c>
    </row>
    <row r="4066" spans="1:22" x14ac:dyDescent="0.3">
      <c r="A4066" t="str">
        <f t="shared" si="126"/>
        <v>COMPOSTOITAMBÉ</v>
      </c>
      <c r="B4066" t="str">
        <f t="shared" si="127"/>
        <v>5359379COMPOSTOITAMBÉ</v>
      </c>
      <c r="C4066" s="5" t="s">
        <v>16</v>
      </c>
      <c r="D4066" s="5" t="s">
        <v>53</v>
      </c>
      <c r="E4066" s="5" t="s">
        <v>53</v>
      </c>
      <c r="F4066" s="5">
        <v>5359379</v>
      </c>
      <c r="G4066" s="5" t="s">
        <v>1692</v>
      </c>
      <c r="H4066" s="5" t="s">
        <v>88</v>
      </c>
      <c r="I4066" s="5" t="s">
        <v>27</v>
      </c>
      <c r="J4066" s="5" t="s">
        <v>26</v>
      </c>
      <c r="K4066" s="6">
        <v>0</v>
      </c>
      <c r="L4066" s="7">
        <v>0</v>
      </c>
      <c r="M4066" s="7">
        <v>0</v>
      </c>
      <c r="N4066" s="7">
        <v>0</v>
      </c>
      <c r="O4066" s="7">
        <v>0</v>
      </c>
      <c r="P4066" s="8">
        <v>0</v>
      </c>
      <c r="Q4066" s="8">
        <v>0</v>
      </c>
      <c r="R4066" s="8">
        <v>0</v>
      </c>
      <c r="S4066" s="8">
        <v>0</v>
      </c>
      <c r="T4066" s="5">
        <v>0</v>
      </c>
      <c r="U4066" s="5">
        <v>0</v>
      </c>
      <c r="V4066" s="5">
        <f>VLOOKUP(A4066,Planilha1!B:E,4,0)</f>
        <v>0.15618217875936719</v>
      </c>
    </row>
    <row r="4067" spans="1:22" x14ac:dyDescent="0.3">
      <c r="A4067" t="str">
        <f t="shared" si="126"/>
        <v>DOCE DE LEITEITAMBÉ</v>
      </c>
      <c r="B4067" t="str">
        <f t="shared" si="127"/>
        <v>5359869DOCE DE LEITEITAMBÉ</v>
      </c>
      <c r="C4067" s="5" t="s">
        <v>16</v>
      </c>
      <c r="D4067" s="5" t="s">
        <v>17</v>
      </c>
      <c r="E4067" s="5" t="s">
        <v>44</v>
      </c>
      <c r="F4067" s="5">
        <v>5359869</v>
      </c>
      <c r="G4067" s="5" t="s">
        <v>1658</v>
      </c>
      <c r="H4067" s="5" t="s">
        <v>30</v>
      </c>
      <c r="I4067" s="5" t="s">
        <v>27</v>
      </c>
      <c r="J4067" s="5" t="s">
        <v>46</v>
      </c>
      <c r="K4067" s="6">
        <v>0</v>
      </c>
      <c r="L4067" s="7">
        <v>0</v>
      </c>
      <c r="M4067" s="8">
        <v>113.33333333333334</v>
      </c>
      <c r="N4067" s="8">
        <v>160</v>
      </c>
      <c r="O4067" s="8">
        <v>52.002971598377059</v>
      </c>
      <c r="P4067" s="8">
        <v>0</v>
      </c>
      <c r="Q4067" s="8">
        <v>0</v>
      </c>
      <c r="R4067" s="8">
        <v>0</v>
      </c>
      <c r="S4067" s="8">
        <v>0</v>
      </c>
      <c r="T4067" s="5">
        <v>0</v>
      </c>
      <c r="U4067" s="5">
        <v>0</v>
      </c>
      <c r="V4067" s="5">
        <f>VLOOKUP(A4067,Planilha1!B:E,4,0)</f>
        <v>5.8210743907543439</v>
      </c>
    </row>
    <row r="4068" spans="1:22" x14ac:dyDescent="0.3">
      <c r="A4068" t="str">
        <f t="shared" si="126"/>
        <v>COMPOSTOITAMBÉ</v>
      </c>
      <c r="B4068" t="str">
        <f t="shared" si="127"/>
        <v>5362255COMPOSTOITAMBÉ</v>
      </c>
      <c r="C4068" s="5" t="s">
        <v>16</v>
      </c>
      <c r="D4068" s="5" t="s">
        <v>28</v>
      </c>
      <c r="E4068" s="5" t="s">
        <v>28</v>
      </c>
      <c r="F4068" s="5">
        <v>5362255</v>
      </c>
      <c r="G4068" s="5" t="s">
        <v>1693</v>
      </c>
      <c r="H4068" s="5" t="s">
        <v>25</v>
      </c>
      <c r="I4068" s="5" t="s">
        <v>27</v>
      </c>
      <c r="J4068" s="5" t="s">
        <v>26</v>
      </c>
      <c r="K4068" s="6">
        <v>0</v>
      </c>
      <c r="L4068" s="7">
        <v>0</v>
      </c>
      <c r="M4068" s="8">
        <v>8.3333333333333339</v>
      </c>
      <c r="N4068" s="8">
        <v>16.666666666666668</v>
      </c>
      <c r="O4068" s="8">
        <v>0</v>
      </c>
      <c r="P4068" s="8">
        <v>0</v>
      </c>
      <c r="Q4068" s="8">
        <v>0</v>
      </c>
      <c r="R4068" s="8">
        <v>0</v>
      </c>
      <c r="S4068" s="8">
        <v>0</v>
      </c>
      <c r="T4068" s="5">
        <v>0</v>
      </c>
      <c r="U4068" s="5">
        <v>0</v>
      </c>
      <c r="V4068" s="5">
        <f>VLOOKUP(A4068,Planilha1!B:E,4,0)</f>
        <v>0.15618217875936719</v>
      </c>
    </row>
    <row r="4069" spans="1:22" x14ac:dyDescent="0.3">
      <c r="A4069" t="str">
        <f t="shared" si="126"/>
        <v>COMPOSTOITAMBÉ</v>
      </c>
      <c r="B4069" t="str">
        <f t="shared" si="127"/>
        <v>5362876COMPOSTOITAMBÉ</v>
      </c>
      <c r="C4069" s="5" t="s">
        <v>16</v>
      </c>
      <c r="D4069" s="5" t="s">
        <v>17</v>
      </c>
      <c r="E4069" s="5" t="s">
        <v>1694</v>
      </c>
      <c r="F4069" s="5">
        <v>5362876</v>
      </c>
      <c r="G4069" s="5" t="s">
        <v>1695</v>
      </c>
      <c r="H4069" s="5" t="s">
        <v>96</v>
      </c>
      <c r="I4069" s="5" t="s">
        <v>27</v>
      </c>
      <c r="J4069" s="5" t="s">
        <v>26</v>
      </c>
      <c r="K4069" s="6">
        <v>0</v>
      </c>
      <c r="L4069" s="7">
        <v>0</v>
      </c>
      <c r="M4069" s="7">
        <v>0</v>
      </c>
      <c r="N4069" s="7">
        <v>0</v>
      </c>
      <c r="O4069" s="7">
        <v>0</v>
      </c>
      <c r="P4069" s="8">
        <v>0</v>
      </c>
      <c r="Q4069" s="8">
        <v>0</v>
      </c>
      <c r="R4069" s="8">
        <v>0</v>
      </c>
      <c r="S4069" s="8">
        <v>0</v>
      </c>
      <c r="T4069" s="5">
        <v>0</v>
      </c>
      <c r="U4069" s="5">
        <v>0</v>
      </c>
      <c r="V4069" s="5">
        <f>VLOOKUP(A4069,Planilha1!B:E,4,0)</f>
        <v>0.15618217875936719</v>
      </c>
    </row>
    <row r="4070" spans="1:22" x14ac:dyDescent="0.3">
      <c r="A4070" t="str">
        <f t="shared" si="126"/>
        <v>COMPOSTOITAMBÉ</v>
      </c>
      <c r="B4070" t="str">
        <f t="shared" si="127"/>
        <v>5363628COMPOSTOITAMBÉ</v>
      </c>
      <c r="C4070" s="5" t="s">
        <v>16</v>
      </c>
      <c r="D4070" s="5" t="s">
        <v>1650</v>
      </c>
      <c r="E4070" s="5" t="s">
        <v>1696</v>
      </c>
      <c r="F4070" s="5">
        <v>5363628</v>
      </c>
      <c r="G4070" s="5" t="s">
        <v>1697</v>
      </c>
      <c r="H4070" s="5" t="s">
        <v>25</v>
      </c>
      <c r="I4070" s="5" t="s">
        <v>27</v>
      </c>
      <c r="J4070" s="5" t="s">
        <v>26</v>
      </c>
      <c r="K4070" s="6">
        <v>0</v>
      </c>
      <c r="L4070" s="7">
        <v>0</v>
      </c>
      <c r="M4070" s="7">
        <v>0</v>
      </c>
      <c r="N4070" s="7">
        <v>0</v>
      </c>
      <c r="O4070" s="7">
        <v>0</v>
      </c>
      <c r="P4070" s="8">
        <v>0</v>
      </c>
      <c r="Q4070" s="8">
        <v>0</v>
      </c>
      <c r="R4070" s="8">
        <v>0</v>
      </c>
      <c r="S4070" s="8">
        <v>0</v>
      </c>
      <c r="T4070" s="5">
        <v>0</v>
      </c>
      <c r="U4070" s="5">
        <v>0</v>
      </c>
      <c r="V4070" s="5">
        <f>VLOOKUP(A4070,Planilha1!B:E,4,0)</f>
        <v>0.15618217875936719</v>
      </c>
    </row>
    <row r="4071" spans="1:22" x14ac:dyDescent="0.3">
      <c r="A4071" t="str">
        <f t="shared" si="126"/>
        <v>COMPOSTOITAMBÉ</v>
      </c>
      <c r="B4071" t="str">
        <f t="shared" si="127"/>
        <v>5363952COMPOSTOITAMBÉ</v>
      </c>
      <c r="C4071" s="5" t="s">
        <v>16</v>
      </c>
      <c r="D4071" s="5" t="s">
        <v>17</v>
      </c>
      <c r="E4071" s="5" t="s">
        <v>1694</v>
      </c>
      <c r="F4071" s="5">
        <v>5363952</v>
      </c>
      <c r="G4071" s="5" t="s">
        <v>1698</v>
      </c>
      <c r="H4071" s="5" t="s">
        <v>846</v>
      </c>
      <c r="I4071" s="5" t="s">
        <v>27</v>
      </c>
      <c r="J4071" s="5" t="s">
        <v>26</v>
      </c>
      <c r="K4071" s="6">
        <v>0</v>
      </c>
      <c r="L4071" s="7">
        <v>0</v>
      </c>
      <c r="M4071" s="7">
        <v>0</v>
      </c>
      <c r="N4071" s="7">
        <v>0</v>
      </c>
      <c r="O4071" s="7">
        <v>0</v>
      </c>
      <c r="P4071" s="8">
        <v>0</v>
      </c>
      <c r="Q4071" s="8">
        <v>0</v>
      </c>
      <c r="R4071" s="8">
        <v>0</v>
      </c>
      <c r="S4071" s="8">
        <v>0</v>
      </c>
      <c r="T4071" s="5">
        <v>0</v>
      </c>
      <c r="U4071" s="5">
        <v>0</v>
      </c>
      <c r="V4071" s="5">
        <f>VLOOKUP(A4071,Planilha1!B:E,4,0)</f>
        <v>0.15618217875936719</v>
      </c>
    </row>
    <row r="4072" spans="1:22" x14ac:dyDescent="0.3">
      <c r="A4072" t="str">
        <f t="shared" si="126"/>
        <v>BLISTERLACTALIS</v>
      </c>
      <c r="B4072" t="str">
        <f t="shared" si="127"/>
        <v>5001681BLISTERLACTALIS</v>
      </c>
      <c r="C4072" s="5" t="e">
        <v>#N/A</v>
      </c>
      <c r="D4072" s="5" t="e">
        <v>#N/A</v>
      </c>
      <c r="E4072" s="5" t="e">
        <v>#N/A</v>
      </c>
      <c r="F4072" s="5">
        <v>5001681</v>
      </c>
      <c r="G4072" s="5" t="s">
        <v>1542</v>
      </c>
      <c r="H4072" s="5" t="s">
        <v>1636</v>
      </c>
      <c r="I4072" s="5" t="s">
        <v>22</v>
      </c>
      <c r="J4072" s="5" t="s">
        <v>199</v>
      </c>
      <c r="K4072" s="6">
        <v>0</v>
      </c>
      <c r="L4072" s="7">
        <v>0</v>
      </c>
      <c r="M4072" s="7">
        <v>0</v>
      </c>
      <c r="N4072" s="7">
        <v>0</v>
      </c>
      <c r="O4072" s="7">
        <v>0</v>
      </c>
      <c r="P4072" s="8">
        <v>0</v>
      </c>
      <c r="Q4072" s="8">
        <v>38.4</v>
      </c>
      <c r="R4072" s="8">
        <v>0</v>
      </c>
      <c r="S4072" s="8">
        <v>50</v>
      </c>
      <c r="T4072" s="5">
        <v>50</v>
      </c>
      <c r="U4072" s="5">
        <v>0</v>
      </c>
      <c r="V4072" s="5">
        <f>VLOOKUP(A4072,Planilha1!B:E,4,0)</f>
        <v>13.783871706210666</v>
      </c>
    </row>
    <row r="4073" spans="1:22" x14ac:dyDescent="0.3">
      <c r="A4073" t="str">
        <f t="shared" si="126"/>
        <v>IOGURTESLACTALIS</v>
      </c>
      <c r="B4073" t="str">
        <f t="shared" si="127"/>
        <v>5293026IOGURTESLACTALIS</v>
      </c>
      <c r="C4073" s="5" t="s">
        <v>226</v>
      </c>
      <c r="D4073" s="5" t="s">
        <v>227</v>
      </c>
      <c r="E4073" s="5" t="s">
        <v>1722</v>
      </c>
      <c r="F4073" s="5">
        <v>5293026</v>
      </c>
      <c r="G4073" s="5" t="s">
        <v>1188</v>
      </c>
      <c r="H4073" s="5" t="s">
        <v>30</v>
      </c>
      <c r="I4073" s="5" t="s">
        <v>22</v>
      </c>
      <c r="J4073" s="5" t="s">
        <v>153</v>
      </c>
      <c r="K4073" s="6">
        <v>0</v>
      </c>
      <c r="L4073" s="7">
        <v>0</v>
      </c>
      <c r="M4073" s="7">
        <v>0</v>
      </c>
      <c r="N4073" s="7">
        <v>0</v>
      </c>
      <c r="O4073" s="7">
        <v>0</v>
      </c>
      <c r="P4073" s="8">
        <v>0</v>
      </c>
      <c r="Q4073" s="8">
        <v>0</v>
      </c>
      <c r="R4073" s="8">
        <v>0</v>
      </c>
      <c r="S4073" s="8">
        <v>0</v>
      </c>
      <c r="T4073" s="5">
        <v>0</v>
      </c>
      <c r="U4073" s="5">
        <v>0</v>
      </c>
      <c r="V4073" s="5">
        <f>VLOOKUP(A4073,Planilha1!B:E,4,0)</f>
        <v>3.0503167986984403</v>
      </c>
    </row>
    <row r="4074" spans="1:22" x14ac:dyDescent="0.3">
      <c r="A4074" t="str">
        <f t="shared" si="126"/>
        <v>LEITE UHTLACTALIS</v>
      </c>
      <c r="B4074" t="str">
        <f t="shared" si="127"/>
        <v>5349218LEITE UHTLACTALIS</v>
      </c>
      <c r="C4074" s="5" t="s">
        <v>226</v>
      </c>
      <c r="D4074" s="5" t="s">
        <v>227</v>
      </c>
      <c r="E4074" s="5" t="s">
        <v>1722</v>
      </c>
      <c r="F4074" s="5">
        <v>5349218</v>
      </c>
      <c r="G4074" s="5" t="s">
        <v>1469</v>
      </c>
      <c r="H4074" s="5" t="s">
        <v>30</v>
      </c>
      <c r="I4074" s="5" t="s">
        <v>22</v>
      </c>
      <c r="J4074" s="5" t="s">
        <v>156</v>
      </c>
      <c r="K4074" s="6">
        <v>0</v>
      </c>
      <c r="L4074" s="7">
        <v>0</v>
      </c>
      <c r="M4074" s="7">
        <v>0</v>
      </c>
      <c r="N4074" s="7">
        <v>0</v>
      </c>
      <c r="O4074" s="7">
        <v>0</v>
      </c>
      <c r="P4074" s="8">
        <v>0</v>
      </c>
      <c r="Q4074" s="8">
        <v>0</v>
      </c>
      <c r="R4074" s="8">
        <v>0</v>
      </c>
      <c r="S4074" s="8">
        <v>0</v>
      </c>
      <c r="T4074" s="5">
        <v>0</v>
      </c>
      <c r="U4074" s="5">
        <v>0</v>
      </c>
      <c r="V4074" s="5">
        <f>VLOOKUP(A4074,Planilha1!B:E,4,0)</f>
        <v>0.37177548115779385</v>
      </c>
    </row>
    <row r="4075" spans="1:22" x14ac:dyDescent="0.3">
      <c r="A4075" t="str">
        <f t="shared" si="126"/>
        <v>MANTEIGA 5KGITAMBÉ</v>
      </c>
      <c r="B4075" t="str">
        <f t="shared" si="127"/>
        <v>5350654MANTEIGA 5KGITAMBÉ</v>
      </c>
      <c r="C4075" s="5" t="e">
        <v>#N/A</v>
      </c>
      <c r="D4075" s="5" t="e">
        <v>#N/A</v>
      </c>
      <c r="E4075" s="5" t="e">
        <v>#N/A</v>
      </c>
      <c r="F4075" s="5">
        <v>5350654</v>
      </c>
      <c r="G4075" s="5" t="s">
        <v>1542</v>
      </c>
      <c r="H4075" s="5" t="s">
        <v>1636</v>
      </c>
      <c r="I4075" s="5" t="s">
        <v>27</v>
      </c>
      <c r="J4075" s="5" t="s">
        <v>60</v>
      </c>
      <c r="K4075" s="6">
        <v>0</v>
      </c>
      <c r="L4075" s="7">
        <v>0</v>
      </c>
      <c r="M4075" s="7">
        <v>0</v>
      </c>
      <c r="N4075" s="7">
        <v>0</v>
      </c>
      <c r="O4075" s="7">
        <v>0</v>
      </c>
      <c r="P4075" s="8">
        <v>0</v>
      </c>
      <c r="Q4075" s="8">
        <v>0</v>
      </c>
      <c r="R4075" s="8">
        <v>0</v>
      </c>
      <c r="S4075" s="8">
        <v>0</v>
      </c>
      <c r="T4075" s="5">
        <v>0</v>
      </c>
      <c r="U4075" s="5">
        <v>120</v>
      </c>
      <c r="V4075" s="5">
        <f>VLOOKUP(A4075,Planilha1!B:E,4,0)</f>
        <v>5.819800475298738</v>
      </c>
    </row>
    <row r="4076" spans="1:22" x14ac:dyDescent="0.3">
      <c r="A4076" t="str">
        <f t="shared" si="126"/>
        <v>MANTEIGA 5KGITAMBÉ</v>
      </c>
      <c r="B4076" t="str">
        <f t="shared" si="127"/>
        <v>5363589MANTEIGA 5KGITAMBÉ</v>
      </c>
      <c r="C4076" s="5" t="e">
        <v>#N/A</v>
      </c>
      <c r="D4076" s="5" t="e">
        <v>#N/A</v>
      </c>
      <c r="E4076" s="5" t="e">
        <v>#N/A</v>
      </c>
      <c r="F4076" s="5">
        <v>5363589</v>
      </c>
      <c r="G4076" s="5" t="s">
        <v>1542</v>
      </c>
      <c r="H4076" s="5" t="s">
        <v>1636</v>
      </c>
      <c r="I4076" s="5" t="s">
        <v>27</v>
      </c>
      <c r="J4076" s="5" t="s">
        <v>60</v>
      </c>
      <c r="K4076" s="6">
        <v>0</v>
      </c>
      <c r="L4076" s="7">
        <v>0</v>
      </c>
      <c r="M4076" s="7">
        <v>0</v>
      </c>
      <c r="N4076" s="7">
        <v>0</v>
      </c>
      <c r="O4076" s="7">
        <v>0</v>
      </c>
      <c r="P4076" s="8">
        <v>0</v>
      </c>
      <c r="Q4076" s="8">
        <v>0</v>
      </c>
      <c r="R4076" s="8">
        <v>0</v>
      </c>
      <c r="S4076" s="8">
        <v>0</v>
      </c>
      <c r="T4076" s="5">
        <v>0</v>
      </c>
      <c r="U4076" s="5">
        <v>0</v>
      </c>
      <c r="V4076" s="5">
        <f>VLOOKUP(A4076,Planilha1!B:E,4,0)</f>
        <v>5.819800475298738</v>
      </c>
    </row>
    <row r="4077" spans="1:22" x14ac:dyDescent="0.3">
      <c r="A4077" t="str">
        <f t="shared" si="126"/>
        <v>MANTEIGA 5KGLACTALIS</v>
      </c>
      <c r="B4077" t="str">
        <f t="shared" si="127"/>
        <v>5233833MANTEIGA 5KGLACTALIS</v>
      </c>
      <c r="C4077" s="5" t="s">
        <v>149</v>
      </c>
      <c r="D4077" s="5" t="s">
        <v>150</v>
      </c>
      <c r="E4077" s="5" t="s">
        <v>186</v>
      </c>
      <c r="F4077" s="5">
        <v>5233833</v>
      </c>
      <c r="G4077" s="5" t="s">
        <v>1699</v>
      </c>
      <c r="H4077" s="5" t="s">
        <v>30</v>
      </c>
      <c r="I4077" s="5" t="s">
        <v>22</v>
      </c>
      <c r="J4077" s="5" t="s">
        <v>60</v>
      </c>
      <c r="K4077" s="6">
        <v>0</v>
      </c>
      <c r="L4077" s="7">
        <v>0</v>
      </c>
      <c r="M4077" s="7">
        <v>0</v>
      </c>
      <c r="N4077" s="7">
        <v>0</v>
      </c>
      <c r="O4077" s="7">
        <v>0</v>
      </c>
      <c r="P4077" s="8">
        <v>0</v>
      </c>
      <c r="Q4077" s="8">
        <v>0</v>
      </c>
      <c r="R4077" s="8">
        <v>0</v>
      </c>
      <c r="S4077" s="8">
        <v>0</v>
      </c>
      <c r="T4077" s="5">
        <v>0</v>
      </c>
      <c r="U4077" s="5">
        <v>0</v>
      </c>
      <c r="V4077" s="5">
        <f>VLOOKUP(A4077,Planilha1!B:E,4,0)</f>
        <v>11.476197020267191</v>
      </c>
    </row>
    <row r="4078" spans="1:22" x14ac:dyDescent="0.3">
      <c r="A4078" t="str">
        <f t="shared" si="126"/>
        <v>MANTEIGA 5KGLACTALIS</v>
      </c>
      <c r="B4078" t="str">
        <f t="shared" si="127"/>
        <v>5332394MANTEIGA 5KGLACTALIS</v>
      </c>
      <c r="C4078" s="5" t="s">
        <v>149</v>
      </c>
      <c r="D4078" s="5" t="s">
        <v>150</v>
      </c>
      <c r="E4078" s="5" t="s">
        <v>186</v>
      </c>
      <c r="F4078" s="5">
        <v>5332394</v>
      </c>
      <c r="G4078" s="5" t="s">
        <v>1700</v>
      </c>
      <c r="H4078" s="5" t="s">
        <v>101</v>
      </c>
      <c r="I4078" s="5" t="s">
        <v>22</v>
      </c>
      <c r="J4078" s="5" t="s">
        <v>60</v>
      </c>
      <c r="K4078" s="6">
        <v>0</v>
      </c>
      <c r="L4078" s="7">
        <v>0</v>
      </c>
      <c r="M4078" s="7">
        <v>0</v>
      </c>
      <c r="N4078" s="7">
        <v>0</v>
      </c>
      <c r="O4078" s="7">
        <v>0</v>
      </c>
      <c r="P4078" s="8">
        <v>0</v>
      </c>
      <c r="Q4078" s="8">
        <v>0</v>
      </c>
      <c r="R4078" s="8">
        <v>0</v>
      </c>
      <c r="S4078" s="8">
        <v>0</v>
      </c>
      <c r="T4078" s="5">
        <v>0</v>
      </c>
      <c r="U4078" s="5">
        <v>0</v>
      </c>
      <c r="V4078" s="5">
        <f>VLOOKUP(A4078,Planilha1!B:E,4,0)</f>
        <v>11.476197020267191</v>
      </c>
    </row>
    <row r="4079" spans="1:22" x14ac:dyDescent="0.3">
      <c r="A4079" t="str">
        <f t="shared" si="126"/>
        <v>MANTEIGA 5KGLACTALIS</v>
      </c>
      <c r="B4079" t="str">
        <f t="shared" si="127"/>
        <v>5348319MANTEIGA 5KGLACTALIS</v>
      </c>
      <c r="C4079" s="5" t="e">
        <v>#N/A</v>
      </c>
      <c r="D4079" s="5" t="e">
        <v>#N/A</v>
      </c>
      <c r="E4079" s="5" t="e">
        <v>#N/A</v>
      </c>
      <c r="F4079" s="5">
        <v>5348319</v>
      </c>
      <c r="G4079" s="5" t="s">
        <v>1542</v>
      </c>
      <c r="H4079" s="5" t="s">
        <v>1636</v>
      </c>
      <c r="I4079" s="5" t="s">
        <v>22</v>
      </c>
      <c r="J4079" s="5" t="s">
        <v>60</v>
      </c>
      <c r="K4079" s="6">
        <v>0</v>
      </c>
      <c r="L4079" s="7">
        <v>0</v>
      </c>
      <c r="M4079" s="7">
        <v>0</v>
      </c>
      <c r="N4079" s="7">
        <v>0</v>
      </c>
      <c r="O4079" s="7">
        <v>0</v>
      </c>
      <c r="P4079" s="8">
        <v>0</v>
      </c>
      <c r="Q4079" s="8">
        <v>0</v>
      </c>
      <c r="R4079" s="8">
        <v>0</v>
      </c>
      <c r="S4079" s="8">
        <v>250</v>
      </c>
      <c r="T4079" s="5">
        <v>250</v>
      </c>
      <c r="U4079" s="5">
        <v>250</v>
      </c>
      <c r="V4079" s="5">
        <f>VLOOKUP(A4079,Planilha1!B:E,4,0)</f>
        <v>11.476197020267191</v>
      </c>
    </row>
    <row r="4080" spans="1:22" x14ac:dyDescent="0.3">
      <c r="A4080" t="str">
        <f t="shared" si="126"/>
        <v>MANTEIGA 5KGLACTALIS</v>
      </c>
      <c r="B4080" t="str">
        <f t="shared" si="127"/>
        <v>5350697MANTEIGA 5KGLACTALIS</v>
      </c>
      <c r="C4080" s="5" t="s">
        <v>149</v>
      </c>
      <c r="D4080" s="5" t="s">
        <v>150</v>
      </c>
      <c r="E4080" s="5" t="s">
        <v>186</v>
      </c>
      <c r="F4080" s="5">
        <v>5350697</v>
      </c>
      <c r="G4080" s="5" t="s">
        <v>1701</v>
      </c>
      <c r="H4080" s="5" t="s">
        <v>30</v>
      </c>
      <c r="I4080" s="5" t="s">
        <v>22</v>
      </c>
      <c r="J4080" s="5" t="s">
        <v>60</v>
      </c>
      <c r="K4080" s="6">
        <v>0</v>
      </c>
      <c r="L4080" s="7">
        <v>0</v>
      </c>
      <c r="M4080" s="7">
        <v>0</v>
      </c>
      <c r="N4080" s="7">
        <v>0</v>
      </c>
      <c r="O4080" s="7">
        <v>0</v>
      </c>
      <c r="P4080" s="8">
        <v>0</v>
      </c>
      <c r="Q4080" s="8">
        <v>0</v>
      </c>
      <c r="R4080" s="8">
        <v>0</v>
      </c>
      <c r="S4080" s="8">
        <v>0</v>
      </c>
      <c r="T4080" s="5">
        <v>0</v>
      </c>
      <c r="U4080" s="5">
        <v>0</v>
      </c>
      <c r="V4080" s="5">
        <f>VLOOKUP(A4080,Planilha1!B:E,4,0)</f>
        <v>11.476197020267191</v>
      </c>
    </row>
    <row r="4081" spans="1:22" x14ac:dyDescent="0.3">
      <c r="A4081" t="str">
        <f t="shared" si="126"/>
        <v>MANTEIGA 5KGLACTALIS</v>
      </c>
      <c r="B4081" t="str">
        <f t="shared" si="127"/>
        <v>5350701MANTEIGA 5KGLACTALIS</v>
      </c>
      <c r="C4081" s="5" t="s">
        <v>149</v>
      </c>
      <c r="D4081" s="5" t="s">
        <v>150</v>
      </c>
      <c r="E4081" s="5" t="s">
        <v>186</v>
      </c>
      <c r="F4081" s="5">
        <v>5350701</v>
      </c>
      <c r="G4081" s="5" t="s">
        <v>1702</v>
      </c>
      <c r="H4081" s="5" t="s">
        <v>30</v>
      </c>
      <c r="I4081" s="5" t="s">
        <v>22</v>
      </c>
      <c r="J4081" s="5" t="s">
        <v>60</v>
      </c>
      <c r="K4081" s="6">
        <v>0</v>
      </c>
      <c r="L4081" s="7">
        <v>0</v>
      </c>
      <c r="M4081" s="7">
        <v>0</v>
      </c>
      <c r="N4081" s="7">
        <v>0</v>
      </c>
      <c r="O4081" s="7">
        <v>0</v>
      </c>
      <c r="P4081" s="8">
        <v>0</v>
      </c>
      <c r="Q4081" s="8">
        <v>0</v>
      </c>
      <c r="R4081" s="8">
        <v>0</v>
      </c>
      <c r="S4081" s="8">
        <v>0</v>
      </c>
      <c r="T4081" s="5">
        <v>0</v>
      </c>
      <c r="U4081" s="5">
        <v>0</v>
      </c>
      <c r="V4081" s="5">
        <f>VLOOKUP(A4081,Planilha1!B:E,4,0)</f>
        <v>11.476197020267191</v>
      </c>
    </row>
    <row r="4082" spans="1:22" x14ac:dyDescent="0.3">
      <c r="A4082" t="str">
        <f t="shared" si="126"/>
        <v>MANTEIGA 5KGLACTALIS</v>
      </c>
      <c r="B4082" t="str">
        <f t="shared" si="127"/>
        <v>5350702MANTEIGA 5KGLACTALIS</v>
      </c>
      <c r="C4082" s="5" t="s">
        <v>149</v>
      </c>
      <c r="D4082" s="5" t="s">
        <v>150</v>
      </c>
      <c r="E4082" s="5" t="s">
        <v>186</v>
      </c>
      <c r="F4082" s="5">
        <v>5350702</v>
      </c>
      <c r="G4082" s="5" t="s">
        <v>1703</v>
      </c>
      <c r="H4082" s="5" t="s">
        <v>30</v>
      </c>
      <c r="I4082" s="5" t="s">
        <v>22</v>
      </c>
      <c r="J4082" s="5" t="s">
        <v>60</v>
      </c>
      <c r="K4082" s="6">
        <v>0</v>
      </c>
      <c r="L4082" s="7">
        <v>0</v>
      </c>
      <c r="M4082" s="7">
        <v>0</v>
      </c>
      <c r="N4082" s="7">
        <v>0</v>
      </c>
      <c r="O4082" s="7">
        <v>0</v>
      </c>
      <c r="P4082" s="8">
        <v>0</v>
      </c>
      <c r="Q4082" s="8">
        <v>0</v>
      </c>
      <c r="R4082" s="8">
        <v>0</v>
      </c>
      <c r="S4082" s="8">
        <v>0</v>
      </c>
      <c r="T4082" s="5">
        <v>0</v>
      </c>
      <c r="U4082" s="5">
        <v>0</v>
      </c>
      <c r="V4082" s="5">
        <f>VLOOKUP(A4082,Planilha1!B:E,4,0)</f>
        <v>11.476197020267191</v>
      </c>
    </row>
    <row r="4083" spans="1:22" x14ac:dyDescent="0.3">
      <c r="A4083" t="str">
        <f t="shared" si="126"/>
        <v>MANTEIGA 5KGLACTALIS</v>
      </c>
      <c r="B4083" t="str">
        <f t="shared" si="127"/>
        <v>5350705MANTEIGA 5KGLACTALIS</v>
      </c>
      <c r="C4083" s="5" t="s">
        <v>149</v>
      </c>
      <c r="D4083" s="5" t="s">
        <v>150</v>
      </c>
      <c r="E4083" s="5" t="s">
        <v>186</v>
      </c>
      <c r="F4083" s="5">
        <v>5350705</v>
      </c>
      <c r="G4083" s="5" t="s">
        <v>1704</v>
      </c>
      <c r="H4083" s="5" t="s">
        <v>30</v>
      </c>
      <c r="I4083" s="5" t="s">
        <v>22</v>
      </c>
      <c r="J4083" s="5" t="s">
        <v>60</v>
      </c>
      <c r="K4083" s="6">
        <v>0</v>
      </c>
      <c r="L4083" s="7">
        <v>0</v>
      </c>
      <c r="M4083" s="7">
        <v>0</v>
      </c>
      <c r="N4083" s="7">
        <v>0</v>
      </c>
      <c r="O4083" s="7">
        <v>0</v>
      </c>
      <c r="P4083" s="8">
        <v>0</v>
      </c>
      <c r="Q4083" s="8">
        <v>0</v>
      </c>
      <c r="R4083" s="8">
        <v>0</v>
      </c>
      <c r="S4083" s="8">
        <v>0</v>
      </c>
      <c r="T4083" s="5">
        <v>0</v>
      </c>
      <c r="U4083" s="5">
        <v>0</v>
      </c>
      <c r="V4083" s="5">
        <f>VLOOKUP(A4083,Planilha1!B:E,4,0)</f>
        <v>11.476197020267191</v>
      </c>
    </row>
    <row r="4084" spans="1:22" x14ac:dyDescent="0.3">
      <c r="A4084" t="str">
        <f t="shared" si="126"/>
        <v>MANTEIGA 5KGLACTALIS</v>
      </c>
      <c r="B4084" t="str">
        <f t="shared" si="127"/>
        <v>5351708MANTEIGA 5KGLACTALIS</v>
      </c>
      <c r="C4084" s="5" t="s">
        <v>149</v>
      </c>
      <c r="D4084" s="5" t="s">
        <v>150</v>
      </c>
      <c r="E4084" s="5" t="s">
        <v>186</v>
      </c>
      <c r="F4084" s="5">
        <v>5351708</v>
      </c>
      <c r="G4084" s="5" t="s">
        <v>1705</v>
      </c>
      <c r="H4084" s="5" t="s">
        <v>154</v>
      </c>
      <c r="I4084" s="5" t="s">
        <v>22</v>
      </c>
      <c r="J4084" s="5" t="s">
        <v>60</v>
      </c>
      <c r="K4084" s="6">
        <v>0</v>
      </c>
      <c r="L4084" s="7">
        <v>0</v>
      </c>
      <c r="M4084" s="7">
        <v>0</v>
      </c>
      <c r="N4084" s="7">
        <v>0</v>
      </c>
      <c r="O4084" s="7">
        <v>0</v>
      </c>
      <c r="P4084" s="8">
        <v>0</v>
      </c>
      <c r="Q4084" s="8">
        <v>0</v>
      </c>
      <c r="R4084" s="8">
        <v>0</v>
      </c>
      <c r="S4084" s="8">
        <v>0</v>
      </c>
      <c r="T4084" s="5">
        <v>0</v>
      </c>
      <c r="U4084" s="5">
        <v>0</v>
      </c>
      <c r="V4084" s="5">
        <f>VLOOKUP(A4084,Planilha1!B:E,4,0)</f>
        <v>11.476197020267191</v>
      </c>
    </row>
    <row r="4085" spans="1:22" x14ac:dyDescent="0.3">
      <c r="A4085" t="str">
        <f t="shared" si="126"/>
        <v>MANTEIGA 5KGLACTALIS</v>
      </c>
      <c r="B4085" t="str">
        <f t="shared" si="127"/>
        <v>5351859MANTEIGA 5KGLACTALIS</v>
      </c>
      <c r="C4085" s="5" t="s">
        <v>149</v>
      </c>
      <c r="D4085" s="5" t="s">
        <v>150</v>
      </c>
      <c r="E4085" s="5" t="s">
        <v>186</v>
      </c>
      <c r="F4085" s="5">
        <v>5351859</v>
      </c>
      <c r="G4085" s="5" t="s">
        <v>1706</v>
      </c>
      <c r="H4085" s="5" t="s">
        <v>972</v>
      </c>
      <c r="I4085" s="5" t="s">
        <v>22</v>
      </c>
      <c r="J4085" s="5" t="s">
        <v>60</v>
      </c>
      <c r="K4085" s="6">
        <v>0</v>
      </c>
      <c r="L4085" s="7">
        <v>0</v>
      </c>
      <c r="M4085" s="7">
        <v>0</v>
      </c>
      <c r="N4085" s="7">
        <v>0</v>
      </c>
      <c r="O4085" s="7">
        <v>0</v>
      </c>
      <c r="P4085" s="8">
        <v>0</v>
      </c>
      <c r="Q4085" s="8">
        <v>0</v>
      </c>
      <c r="R4085" s="8">
        <v>0</v>
      </c>
      <c r="S4085" s="8">
        <v>0</v>
      </c>
      <c r="T4085" s="5">
        <v>0</v>
      </c>
      <c r="U4085" s="5">
        <v>0</v>
      </c>
      <c r="V4085" s="5">
        <f>VLOOKUP(A4085,Planilha1!B:E,4,0)</f>
        <v>11.476197020267191</v>
      </c>
    </row>
    <row r="4086" spans="1:22" x14ac:dyDescent="0.3">
      <c r="A4086" t="str">
        <f t="shared" si="126"/>
        <v>MANTEIGA 5KGLACTALIS</v>
      </c>
      <c r="B4086" t="str">
        <f t="shared" si="127"/>
        <v>5351871MANTEIGA 5KGLACTALIS</v>
      </c>
      <c r="C4086" s="5" t="s">
        <v>149</v>
      </c>
      <c r="D4086" s="5" t="s">
        <v>150</v>
      </c>
      <c r="E4086" s="5" t="s">
        <v>186</v>
      </c>
      <c r="F4086" s="5">
        <v>5351871</v>
      </c>
      <c r="G4086" s="5" t="s">
        <v>1707</v>
      </c>
      <c r="H4086" s="5" t="s">
        <v>113</v>
      </c>
      <c r="I4086" s="5" t="s">
        <v>22</v>
      </c>
      <c r="J4086" s="5" t="s">
        <v>60</v>
      </c>
      <c r="K4086" s="6">
        <v>0</v>
      </c>
      <c r="L4086" s="7">
        <v>0</v>
      </c>
      <c r="M4086" s="7">
        <v>0</v>
      </c>
      <c r="N4086" s="7">
        <v>0</v>
      </c>
      <c r="O4086" s="7">
        <v>0</v>
      </c>
      <c r="P4086" s="8">
        <v>0</v>
      </c>
      <c r="Q4086" s="8">
        <v>0</v>
      </c>
      <c r="R4086" s="8">
        <v>0</v>
      </c>
      <c r="S4086" s="8">
        <v>0</v>
      </c>
      <c r="T4086" s="5">
        <v>0</v>
      </c>
      <c r="U4086" s="5">
        <v>0</v>
      </c>
      <c r="V4086" s="5">
        <f>VLOOKUP(A4086,Planilha1!B:E,4,0)</f>
        <v>11.476197020267191</v>
      </c>
    </row>
    <row r="4087" spans="1:22" x14ac:dyDescent="0.3">
      <c r="A4087" t="str">
        <f t="shared" si="126"/>
        <v>MANTEIGA 5KGLACTALIS</v>
      </c>
      <c r="B4087" t="str">
        <f t="shared" si="127"/>
        <v>5351895MANTEIGA 5KGLACTALIS</v>
      </c>
      <c r="C4087" s="5" t="s">
        <v>149</v>
      </c>
      <c r="D4087" s="5" t="s">
        <v>150</v>
      </c>
      <c r="E4087" s="5" t="s">
        <v>186</v>
      </c>
      <c r="F4087" s="5">
        <v>5351895</v>
      </c>
      <c r="G4087" s="5" t="s">
        <v>1705</v>
      </c>
      <c r="H4087" s="5" t="s">
        <v>154</v>
      </c>
      <c r="I4087" s="5" t="s">
        <v>22</v>
      </c>
      <c r="J4087" s="5" t="s">
        <v>60</v>
      </c>
      <c r="K4087" s="6">
        <v>0</v>
      </c>
      <c r="L4087" s="7">
        <v>0</v>
      </c>
      <c r="M4087" s="7">
        <v>0</v>
      </c>
      <c r="N4087" s="7">
        <v>0</v>
      </c>
      <c r="O4087" s="7">
        <v>0</v>
      </c>
      <c r="P4087" s="8">
        <v>0</v>
      </c>
      <c r="Q4087" s="8">
        <v>0</v>
      </c>
      <c r="R4087" s="8">
        <v>0</v>
      </c>
      <c r="S4087" s="8">
        <v>0</v>
      </c>
      <c r="T4087" s="5">
        <v>0</v>
      </c>
      <c r="U4087" s="5">
        <v>0</v>
      </c>
      <c r="V4087" s="5">
        <f>VLOOKUP(A4087,Planilha1!B:E,4,0)</f>
        <v>11.476197020267191</v>
      </c>
    </row>
    <row r="4088" spans="1:22" x14ac:dyDescent="0.3">
      <c r="A4088" t="str">
        <f t="shared" si="126"/>
        <v>MANTEIGA 5KGLACTALIS</v>
      </c>
      <c r="B4088" t="str">
        <f t="shared" si="127"/>
        <v>5352110MANTEIGA 5KGLACTALIS</v>
      </c>
      <c r="C4088" s="5" t="s">
        <v>149</v>
      </c>
      <c r="D4088" s="5" t="s">
        <v>150</v>
      </c>
      <c r="E4088" s="5" t="s">
        <v>186</v>
      </c>
      <c r="F4088" s="5">
        <v>5352110</v>
      </c>
      <c r="G4088" s="5" t="s">
        <v>1708</v>
      </c>
      <c r="H4088" s="5" t="s">
        <v>91</v>
      </c>
      <c r="I4088" s="5" t="s">
        <v>22</v>
      </c>
      <c r="J4088" s="5" t="s">
        <v>60</v>
      </c>
      <c r="K4088" s="6">
        <v>0</v>
      </c>
      <c r="L4088" s="7">
        <v>0</v>
      </c>
      <c r="M4088" s="7">
        <v>0</v>
      </c>
      <c r="N4088" s="7">
        <v>0</v>
      </c>
      <c r="O4088" s="7">
        <v>0</v>
      </c>
      <c r="P4088" s="8">
        <v>0</v>
      </c>
      <c r="Q4088" s="8">
        <v>0</v>
      </c>
      <c r="R4088" s="8">
        <v>0</v>
      </c>
      <c r="S4088" s="8">
        <v>0</v>
      </c>
      <c r="T4088" s="5">
        <v>0</v>
      </c>
      <c r="U4088" s="5">
        <v>0</v>
      </c>
      <c r="V4088" s="5">
        <f>VLOOKUP(A4088,Planilha1!B:E,4,0)</f>
        <v>11.476197020267191</v>
      </c>
    </row>
    <row r="4089" spans="1:22" x14ac:dyDescent="0.3">
      <c r="A4089" t="str">
        <f t="shared" si="126"/>
        <v>MANTEIGA 5KGLACTALIS</v>
      </c>
      <c r="B4089" t="str">
        <f t="shared" si="127"/>
        <v>5353735MANTEIGA 5KGLACTALIS</v>
      </c>
      <c r="C4089" s="5" t="s">
        <v>149</v>
      </c>
      <c r="D4089" s="5" t="s">
        <v>150</v>
      </c>
      <c r="E4089" s="5" t="s">
        <v>186</v>
      </c>
      <c r="F4089" s="5">
        <v>5353735</v>
      </c>
      <c r="G4089" s="5" t="s">
        <v>1709</v>
      </c>
      <c r="H4089" s="5" t="s">
        <v>20</v>
      </c>
      <c r="I4089" s="5" t="s">
        <v>22</v>
      </c>
      <c r="J4089" s="5" t="s">
        <v>60</v>
      </c>
      <c r="K4089" s="6">
        <v>0</v>
      </c>
      <c r="L4089" s="7">
        <v>0</v>
      </c>
      <c r="M4089" s="7">
        <v>0</v>
      </c>
      <c r="N4089" s="7">
        <v>0</v>
      </c>
      <c r="O4089" s="7">
        <v>0</v>
      </c>
      <c r="P4089" s="8">
        <v>0</v>
      </c>
      <c r="Q4089" s="8">
        <v>0</v>
      </c>
      <c r="R4089" s="8">
        <v>0</v>
      </c>
      <c r="S4089" s="8">
        <v>0</v>
      </c>
      <c r="T4089" s="5">
        <v>0</v>
      </c>
      <c r="U4089" s="5">
        <v>0</v>
      </c>
      <c r="V4089" s="5">
        <f>VLOOKUP(A4089,Planilha1!B:E,4,0)</f>
        <v>11.476197020267191</v>
      </c>
    </row>
    <row r="4090" spans="1:22" x14ac:dyDescent="0.3">
      <c r="A4090" t="str">
        <f t="shared" si="126"/>
        <v>MANTEIGA 5KGLACTALIS</v>
      </c>
      <c r="B4090" t="str">
        <f t="shared" si="127"/>
        <v>5363597MANTEIGA 5KGLACTALIS</v>
      </c>
      <c r="C4090" s="5" t="s">
        <v>149</v>
      </c>
      <c r="D4090" s="5" t="s">
        <v>150</v>
      </c>
      <c r="E4090" s="5" t="s">
        <v>186</v>
      </c>
      <c r="F4090" s="5">
        <v>5363597</v>
      </c>
      <c r="G4090" s="5" t="s">
        <v>1710</v>
      </c>
      <c r="H4090" s="5" t="s">
        <v>25</v>
      </c>
      <c r="I4090" s="5" t="s">
        <v>22</v>
      </c>
      <c r="J4090" s="5" t="s">
        <v>60</v>
      </c>
      <c r="K4090" s="6">
        <v>0</v>
      </c>
      <c r="L4090" s="7">
        <v>0</v>
      </c>
      <c r="M4090" s="7">
        <v>0</v>
      </c>
      <c r="N4090" s="7">
        <v>0</v>
      </c>
      <c r="O4090" s="7">
        <v>0</v>
      </c>
      <c r="P4090" s="8">
        <v>0</v>
      </c>
      <c r="Q4090" s="8">
        <v>0</v>
      </c>
      <c r="R4090" s="8">
        <v>0</v>
      </c>
      <c r="S4090" s="8">
        <v>0</v>
      </c>
      <c r="T4090" s="5">
        <v>0</v>
      </c>
      <c r="U4090" s="5">
        <v>0</v>
      </c>
      <c r="V4090" s="5">
        <f>VLOOKUP(A4090,Planilha1!B:E,4,0)</f>
        <v>11.476197020267191</v>
      </c>
    </row>
    <row r="4091" spans="1:22" x14ac:dyDescent="0.3">
      <c r="A4091" t="str">
        <f t="shared" si="126"/>
        <v>MANTEIGA 5KGLACTALIS</v>
      </c>
      <c r="B4091" t="str">
        <f t="shared" si="127"/>
        <v>5363598MANTEIGA 5KGLACTALIS</v>
      </c>
      <c r="C4091" s="5" t="s">
        <v>149</v>
      </c>
      <c r="D4091" s="5" t="s">
        <v>150</v>
      </c>
      <c r="E4091" s="5" t="s">
        <v>186</v>
      </c>
      <c r="F4091" s="5">
        <v>5363598</v>
      </c>
      <c r="G4091" s="5" t="s">
        <v>1711</v>
      </c>
      <c r="H4091" s="5" t="s">
        <v>154</v>
      </c>
      <c r="I4091" s="5" t="s">
        <v>22</v>
      </c>
      <c r="J4091" s="5" t="s">
        <v>60</v>
      </c>
      <c r="K4091" s="6">
        <v>0</v>
      </c>
      <c r="L4091" s="7">
        <v>0</v>
      </c>
      <c r="M4091" s="7">
        <v>0</v>
      </c>
      <c r="N4091" s="7">
        <v>0</v>
      </c>
      <c r="O4091" s="7">
        <v>0</v>
      </c>
      <c r="P4091" s="8">
        <v>0</v>
      </c>
      <c r="Q4091" s="8">
        <v>0</v>
      </c>
      <c r="R4091" s="8">
        <v>0</v>
      </c>
      <c r="S4091" s="8">
        <v>0</v>
      </c>
      <c r="T4091" s="5">
        <v>0</v>
      </c>
      <c r="U4091" s="5">
        <v>0</v>
      </c>
      <c r="V4091" s="5">
        <f>VLOOKUP(A4091,Planilha1!B:E,4,0)</f>
        <v>11.476197020267191</v>
      </c>
    </row>
    <row r="4092" spans="1:22" x14ac:dyDescent="0.3">
      <c r="A4092" t="str">
        <f t="shared" si="126"/>
        <v>QUEIJOSLACTALIS</v>
      </c>
      <c r="B4092" t="str">
        <f t="shared" si="127"/>
        <v>5292769QUEIJOSLACTALIS</v>
      </c>
      <c r="C4092" s="5" t="s">
        <v>226</v>
      </c>
      <c r="D4092" s="5" t="s">
        <v>227</v>
      </c>
      <c r="E4092" s="5" t="s">
        <v>1722</v>
      </c>
      <c r="F4092" s="5">
        <v>5292769</v>
      </c>
      <c r="G4092" s="5" t="s">
        <v>1092</v>
      </c>
      <c r="H4092" s="5" t="s">
        <v>30</v>
      </c>
      <c r="I4092" s="5" t="s">
        <v>22</v>
      </c>
      <c r="J4092" s="5" t="s">
        <v>63</v>
      </c>
      <c r="K4092" s="6">
        <v>0</v>
      </c>
      <c r="L4092" s="7">
        <v>0</v>
      </c>
      <c r="M4092" s="7">
        <v>0</v>
      </c>
      <c r="N4092" s="7">
        <v>0</v>
      </c>
      <c r="O4092" s="7">
        <v>0</v>
      </c>
      <c r="P4092" s="8">
        <v>0</v>
      </c>
      <c r="Q4092" s="8">
        <v>0</v>
      </c>
      <c r="R4092" s="8">
        <v>0</v>
      </c>
      <c r="S4092" s="8">
        <v>0</v>
      </c>
      <c r="T4092" s="5">
        <v>0</v>
      </c>
      <c r="U4092" s="5">
        <v>0</v>
      </c>
      <c r="V4092" s="5">
        <f>VLOOKUP(A4092,Planilha1!B:E,4,0)</f>
        <v>-1.9171310037550682</v>
      </c>
    </row>
    <row r="4093" spans="1:22" x14ac:dyDescent="0.3">
      <c r="A4093" t="str">
        <f t="shared" si="126"/>
        <v>SPREADSLACTALIS</v>
      </c>
      <c r="B4093" t="str">
        <f t="shared" si="127"/>
        <v>5330184SPREADSLACTALIS</v>
      </c>
      <c r="C4093" s="5" t="s">
        <v>226</v>
      </c>
      <c r="D4093" s="5" t="s">
        <v>227</v>
      </c>
      <c r="E4093" s="5" t="s">
        <v>1722</v>
      </c>
      <c r="F4093" s="5">
        <v>5330184</v>
      </c>
      <c r="G4093" s="5" t="s">
        <v>527</v>
      </c>
      <c r="H4093" s="5" t="s">
        <v>30</v>
      </c>
      <c r="I4093" s="5" t="s">
        <v>22</v>
      </c>
      <c r="J4093" s="5" t="s">
        <v>945</v>
      </c>
      <c r="K4093" s="6">
        <v>0</v>
      </c>
      <c r="L4093" s="7">
        <v>0</v>
      </c>
      <c r="M4093" s="7">
        <v>0</v>
      </c>
      <c r="N4093" s="7">
        <v>0</v>
      </c>
      <c r="O4093" s="7">
        <v>0</v>
      </c>
      <c r="P4093" s="8">
        <v>0</v>
      </c>
      <c r="Q4093" s="8">
        <v>0</v>
      </c>
      <c r="R4093" s="8">
        <v>0</v>
      </c>
      <c r="S4093" s="8">
        <v>0</v>
      </c>
      <c r="T4093" s="5">
        <v>0</v>
      </c>
      <c r="U4093" s="5">
        <v>0</v>
      </c>
      <c r="V4093" s="5">
        <f>VLOOKUP(A4093,Planilha1!B:E,4,0)</f>
        <v>13.599044988219518</v>
      </c>
    </row>
    <row r="4094" spans="1:22" x14ac:dyDescent="0.3">
      <c r="A4094" t="str">
        <f t="shared" si="126"/>
        <v>COMPOSTOITAMBÉ</v>
      </c>
      <c r="B4094" t="str">
        <f t="shared" si="127"/>
        <v>5363953COMPOSTOITAMBÉ</v>
      </c>
      <c r="C4094" s="5" t="s">
        <v>16</v>
      </c>
      <c r="D4094" s="5" t="s">
        <v>17</v>
      </c>
      <c r="E4094" s="5" t="s">
        <v>1694</v>
      </c>
      <c r="F4094" s="5">
        <v>5363953</v>
      </c>
      <c r="G4094" s="5" t="s">
        <v>1712</v>
      </c>
      <c r="H4094" s="5" t="s">
        <v>846</v>
      </c>
      <c r="I4094" s="5" t="s">
        <v>27</v>
      </c>
      <c r="J4094" s="5" t="s">
        <v>26</v>
      </c>
      <c r="K4094" s="6">
        <v>0</v>
      </c>
      <c r="L4094" s="7">
        <v>0</v>
      </c>
      <c r="M4094" s="7">
        <v>0</v>
      </c>
      <c r="N4094" s="7">
        <v>0</v>
      </c>
      <c r="O4094" s="7">
        <v>0</v>
      </c>
      <c r="P4094" s="8">
        <v>0</v>
      </c>
      <c r="Q4094" s="8">
        <v>0</v>
      </c>
      <c r="R4094" s="8">
        <v>0</v>
      </c>
      <c r="S4094" s="8">
        <v>0</v>
      </c>
      <c r="T4094" s="5">
        <v>500</v>
      </c>
      <c r="U4094" s="5">
        <v>0</v>
      </c>
      <c r="V4094" s="5">
        <f>VLOOKUP(A4094,Planilha1!B:E,4,0)</f>
        <v>0.15618217875936719</v>
      </c>
    </row>
    <row r="4095" spans="1:22" x14ac:dyDescent="0.3">
      <c r="A4095" t="str">
        <f t="shared" si="126"/>
        <v>DOCE DE LEITEITAMBÉ</v>
      </c>
      <c r="B4095" t="str">
        <f t="shared" si="127"/>
        <v>5033323DOCE DE LEITEITAMBÉ</v>
      </c>
      <c r="C4095" s="5" t="s">
        <v>226</v>
      </c>
      <c r="D4095" s="5" t="s">
        <v>752</v>
      </c>
      <c r="E4095" s="5" t="s">
        <v>774</v>
      </c>
      <c r="F4095" s="5">
        <v>5033323</v>
      </c>
      <c r="G4095" s="5" t="s">
        <v>1224</v>
      </c>
      <c r="H4095" s="5" t="s">
        <v>32</v>
      </c>
      <c r="I4095" s="5" t="s">
        <v>27</v>
      </c>
      <c r="J4095" s="5" t="s">
        <v>46</v>
      </c>
      <c r="K4095" s="6">
        <v>0</v>
      </c>
      <c r="L4095" s="7">
        <v>0</v>
      </c>
      <c r="M4095" s="7">
        <v>0</v>
      </c>
      <c r="N4095" s="7">
        <v>0</v>
      </c>
      <c r="O4095" s="7">
        <v>0</v>
      </c>
      <c r="P4095" s="8">
        <v>0</v>
      </c>
      <c r="Q4095" s="8">
        <v>0</v>
      </c>
      <c r="R4095" s="8">
        <v>0</v>
      </c>
      <c r="S4095" s="8">
        <v>0</v>
      </c>
      <c r="T4095" s="5">
        <v>0</v>
      </c>
      <c r="U4095" s="5">
        <v>0</v>
      </c>
      <c r="V4095" s="5">
        <f>VLOOKUP(A4095,Planilha1!B:E,4,0)</f>
        <v>5.8210743907543439</v>
      </c>
    </row>
    <row r="4096" spans="1:22" x14ac:dyDescent="0.3">
      <c r="A4096" t="str">
        <f t="shared" si="126"/>
        <v>IOGURTESLACTALIS</v>
      </c>
      <c r="B4096" t="str">
        <f t="shared" si="127"/>
        <v>5338457IOGURTESLACTALIS</v>
      </c>
      <c r="C4096" s="5" t="s">
        <v>226</v>
      </c>
      <c r="D4096" s="5" t="s">
        <v>227</v>
      </c>
      <c r="E4096" s="5" t="s">
        <v>1722</v>
      </c>
      <c r="F4096" s="5">
        <v>5338457</v>
      </c>
      <c r="G4096" s="5" t="s">
        <v>1713</v>
      </c>
      <c r="H4096" s="5" t="s">
        <v>30</v>
      </c>
      <c r="I4096" s="5" t="s">
        <v>22</v>
      </c>
      <c r="J4096" s="5" t="s">
        <v>153</v>
      </c>
      <c r="K4096" s="6">
        <v>0</v>
      </c>
      <c r="L4096" s="7">
        <v>0</v>
      </c>
      <c r="M4096" s="7">
        <v>0</v>
      </c>
      <c r="N4096" s="7">
        <v>0</v>
      </c>
      <c r="O4096" s="7">
        <v>0</v>
      </c>
      <c r="P4096" s="8">
        <v>0</v>
      </c>
      <c r="Q4096" s="8">
        <v>0</v>
      </c>
      <c r="R4096" s="8">
        <v>0</v>
      </c>
      <c r="S4096" s="8">
        <v>0</v>
      </c>
      <c r="T4096" s="5">
        <v>0</v>
      </c>
      <c r="U4096" s="5">
        <v>0</v>
      </c>
      <c r="V4096" s="5">
        <f>VLOOKUP(A4096,Planilha1!B:E,4,0)</f>
        <v>3.0503167986984403</v>
      </c>
    </row>
    <row r="4097" spans="1:22" x14ac:dyDescent="0.3">
      <c r="A4097" t="str">
        <f t="shared" si="126"/>
        <v>LEITE CONDENSADOITAMBÉ</v>
      </c>
      <c r="B4097" t="str">
        <f t="shared" si="127"/>
        <v>5014649LEITE CONDENSADOITAMBÉ</v>
      </c>
      <c r="C4097" s="5" t="s">
        <v>226</v>
      </c>
      <c r="D4097" s="5" t="s">
        <v>903</v>
      </c>
      <c r="E4097" s="5" t="s">
        <v>904</v>
      </c>
      <c r="F4097" s="5">
        <v>5014649</v>
      </c>
      <c r="G4097" s="5" t="s">
        <v>1714</v>
      </c>
      <c r="H4097" s="5" t="s">
        <v>113</v>
      </c>
      <c r="I4097" s="5" t="s">
        <v>27</v>
      </c>
      <c r="J4097" s="5" t="s">
        <v>33</v>
      </c>
      <c r="K4097" s="6">
        <v>0</v>
      </c>
      <c r="L4097" s="7">
        <v>0</v>
      </c>
      <c r="M4097" s="7">
        <v>0</v>
      </c>
      <c r="N4097" s="7">
        <v>0</v>
      </c>
      <c r="O4097" s="7">
        <v>0</v>
      </c>
      <c r="P4097" s="8">
        <v>0</v>
      </c>
      <c r="Q4097" s="8">
        <v>0</v>
      </c>
      <c r="R4097" s="8">
        <v>0</v>
      </c>
      <c r="S4097" s="8">
        <v>509</v>
      </c>
      <c r="T4097" s="5">
        <v>509</v>
      </c>
      <c r="U4097" s="5">
        <v>509</v>
      </c>
      <c r="V4097" s="5">
        <f>VLOOKUP(A4097,Planilha1!B:E,4,0)</f>
        <v>1.4766792698630664</v>
      </c>
    </row>
    <row r="4098" spans="1:22" x14ac:dyDescent="0.3">
      <c r="A4098" t="str">
        <f t="shared" ref="A4098:A4105" si="128">J4098&amp;I4098</f>
        <v>LEITE EM PÓLACTALIS</v>
      </c>
      <c r="B4098" t="str">
        <f t="shared" si="127"/>
        <v>5303461LEITE EM PÓLACTALIS</v>
      </c>
      <c r="C4098" s="5" t="s">
        <v>226</v>
      </c>
      <c r="D4098" s="5" t="s">
        <v>227</v>
      </c>
      <c r="E4098" s="5" t="s">
        <v>1722</v>
      </c>
      <c r="F4098" s="5">
        <v>5303461</v>
      </c>
      <c r="G4098" s="5" t="s">
        <v>643</v>
      </c>
      <c r="H4098" s="5" t="s">
        <v>30</v>
      </c>
      <c r="I4098" s="5" t="s">
        <v>22</v>
      </c>
      <c r="J4098" s="5" t="s">
        <v>84</v>
      </c>
      <c r="K4098" s="6">
        <v>0</v>
      </c>
      <c r="L4098" s="7">
        <v>0</v>
      </c>
      <c r="M4098" s="7">
        <v>0</v>
      </c>
      <c r="N4098" s="7">
        <v>0</v>
      </c>
      <c r="O4098" s="7">
        <v>0</v>
      </c>
      <c r="P4098" s="8">
        <v>0</v>
      </c>
      <c r="Q4098" s="8">
        <v>0</v>
      </c>
      <c r="R4098" s="8">
        <v>0</v>
      </c>
      <c r="S4098" s="8">
        <v>0</v>
      </c>
      <c r="T4098" s="5">
        <v>0</v>
      </c>
      <c r="U4098" s="5">
        <v>0</v>
      </c>
      <c r="V4098" s="5">
        <f>VLOOKUP(A4098,Planilha1!B:E,4,0)</f>
        <v>-2.8055507108797499</v>
      </c>
    </row>
    <row r="4099" spans="1:22" x14ac:dyDescent="0.3">
      <c r="A4099" t="str">
        <f t="shared" si="128"/>
        <v>LEITE UHTLACTALIS</v>
      </c>
      <c r="B4099" t="str">
        <f t="shared" ref="B4099:B4105" si="129">F4099&amp;J4099&amp;I4099</f>
        <v>5363625LEITE UHTLACTALIS</v>
      </c>
      <c r="C4099" s="5" t="s">
        <v>149</v>
      </c>
      <c r="D4099" s="5" t="s">
        <v>150</v>
      </c>
      <c r="E4099" s="5" t="s">
        <v>186</v>
      </c>
      <c r="F4099" s="5">
        <v>5363625</v>
      </c>
      <c r="G4099" s="5" t="s">
        <v>1715</v>
      </c>
      <c r="H4099" s="5" t="s">
        <v>30</v>
      </c>
      <c r="I4099" s="5" t="s">
        <v>22</v>
      </c>
      <c r="J4099" s="5" t="s">
        <v>156</v>
      </c>
      <c r="K4099" s="6">
        <v>0</v>
      </c>
      <c r="L4099" s="7">
        <v>0</v>
      </c>
      <c r="M4099" s="7">
        <v>0</v>
      </c>
      <c r="N4099" s="7">
        <v>0</v>
      </c>
      <c r="O4099" s="7">
        <v>0</v>
      </c>
      <c r="P4099" s="8">
        <v>0</v>
      </c>
      <c r="Q4099" s="8">
        <v>0</v>
      </c>
      <c r="R4099" s="8">
        <v>0</v>
      </c>
      <c r="S4099" s="8">
        <v>0</v>
      </c>
      <c r="T4099" s="5">
        <v>0</v>
      </c>
      <c r="U4099" s="5">
        <v>0</v>
      </c>
      <c r="V4099" s="5">
        <f>VLOOKUP(A4099,Planilha1!B:E,4,0)</f>
        <v>0.37177548115779385</v>
      </c>
    </row>
    <row r="4100" spans="1:22" x14ac:dyDescent="0.3">
      <c r="A4100" t="str">
        <f t="shared" si="128"/>
        <v>LPI 25KGITAMBÉ</v>
      </c>
      <c r="B4100" t="str">
        <f t="shared" si="129"/>
        <v>5206830LPI 25KGITAMBÉ</v>
      </c>
      <c r="C4100" s="5" t="s">
        <v>16</v>
      </c>
      <c r="D4100" s="5" t="s">
        <v>17</v>
      </c>
      <c r="E4100" s="5" t="s">
        <v>44</v>
      </c>
      <c r="F4100" s="5">
        <v>5206830</v>
      </c>
      <c r="G4100" s="5" t="s">
        <v>70</v>
      </c>
      <c r="H4100" s="5" t="s">
        <v>25</v>
      </c>
      <c r="I4100" s="5" t="s">
        <v>27</v>
      </c>
      <c r="J4100" s="5" t="s">
        <v>21</v>
      </c>
      <c r="K4100" s="6">
        <v>0</v>
      </c>
      <c r="L4100" s="7">
        <v>0</v>
      </c>
      <c r="M4100" s="7">
        <v>0</v>
      </c>
      <c r="N4100" s="7">
        <v>0</v>
      </c>
      <c r="O4100" s="7">
        <v>0</v>
      </c>
      <c r="P4100" s="8">
        <v>0</v>
      </c>
      <c r="Q4100" s="8">
        <v>0</v>
      </c>
      <c r="R4100" s="8">
        <v>0</v>
      </c>
      <c r="S4100" s="8">
        <v>0</v>
      </c>
      <c r="T4100" s="5">
        <v>0</v>
      </c>
      <c r="U4100" s="5">
        <v>0</v>
      </c>
      <c r="V4100" s="5">
        <f>VLOOKUP(A4100,Planilha1!B:E,4,0)</f>
        <v>-1.218192805504376</v>
      </c>
    </row>
    <row r="4101" spans="1:22" x14ac:dyDescent="0.3">
      <c r="A4101" t="str">
        <f t="shared" si="128"/>
        <v>MANTEIGA 5KGITAMBÉ</v>
      </c>
      <c r="B4101" t="str">
        <f t="shared" si="129"/>
        <v>5363590MANTEIGA 5KGITAMBÉ</v>
      </c>
      <c r="C4101" s="5" t="e">
        <v>#N/A</v>
      </c>
      <c r="D4101" s="5" t="e">
        <v>#N/A</v>
      </c>
      <c r="E4101" s="5" t="e">
        <v>#N/A</v>
      </c>
      <c r="F4101" s="5">
        <v>5363590</v>
      </c>
      <c r="G4101" s="5" t="s">
        <v>1542</v>
      </c>
      <c r="H4101" s="5" t="s">
        <v>1636</v>
      </c>
      <c r="I4101" s="5" t="s">
        <v>27</v>
      </c>
      <c r="J4101" s="5" t="s">
        <v>60</v>
      </c>
      <c r="K4101" s="6">
        <v>0</v>
      </c>
      <c r="L4101" s="7">
        <v>0</v>
      </c>
      <c r="M4101" s="7">
        <v>0</v>
      </c>
      <c r="N4101" s="7">
        <v>0</v>
      </c>
      <c r="O4101" s="7">
        <v>0</v>
      </c>
      <c r="P4101" s="8">
        <v>0</v>
      </c>
      <c r="Q4101" s="8">
        <v>0</v>
      </c>
      <c r="R4101" s="8">
        <v>0</v>
      </c>
      <c r="S4101" s="8">
        <v>0</v>
      </c>
      <c r="T4101" s="5">
        <v>0</v>
      </c>
      <c r="U4101" s="5">
        <v>0</v>
      </c>
      <c r="V4101" s="5">
        <f>VLOOKUP(A4101,Planilha1!B:E,4,0)</f>
        <v>5.819800475298738</v>
      </c>
    </row>
    <row r="4102" spans="1:22" x14ac:dyDescent="0.3">
      <c r="A4102" t="str">
        <f t="shared" si="128"/>
        <v>PARMESÃOLACTALIS</v>
      </c>
      <c r="B4102" t="str">
        <f t="shared" si="129"/>
        <v>5334345PARMESÃOLACTALIS</v>
      </c>
      <c r="C4102" s="5" t="s">
        <v>226</v>
      </c>
      <c r="D4102" s="5" t="s">
        <v>227</v>
      </c>
      <c r="E4102" s="5" t="s">
        <v>1722</v>
      </c>
      <c r="F4102" s="5">
        <v>5334345</v>
      </c>
      <c r="G4102" s="5" t="s">
        <v>1716</v>
      </c>
      <c r="H4102" s="5" t="s">
        <v>30</v>
      </c>
      <c r="I4102" s="5" t="s">
        <v>22</v>
      </c>
      <c r="J4102" s="5" t="s">
        <v>195</v>
      </c>
      <c r="K4102" s="6">
        <v>0</v>
      </c>
      <c r="L4102" s="7">
        <v>0</v>
      </c>
      <c r="M4102" s="7">
        <v>0</v>
      </c>
      <c r="N4102" s="7">
        <v>0</v>
      </c>
      <c r="O4102" s="7">
        <v>0</v>
      </c>
      <c r="P4102" s="8">
        <v>0</v>
      </c>
      <c r="Q4102" s="8">
        <v>14.79</v>
      </c>
      <c r="R4102" s="8">
        <v>0</v>
      </c>
      <c r="S4102" s="8">
        <v>14</v>
      </c>
      <c r="T4102" s="5">
        <v>14</v>
      </c>
      <c r="U4102" s="5">
        <v>14</v>
      </c>
      <c r="V4102" s="5">
        <f>VLOOKUP(A4102,Planilha1!B:E,4,0)</f>
        <v>6.310326960724681</v>
      </c>
    </row>
    <row r="4103" spans="1:22" x14ac:dyDescent="0.3">
      <c r="A4103" t="str">
        <f t="shared" si="128"/>
        <v>QUEIJOSLACTALIS</v>
      </c>
      <c r="B4103" t="str">
        <f t="shared" si="129"/>
        <v>5355684QUEIJOSLACTALIS</v>
      </c>
      <c r="C4103" s="5" t="s">
        <v>226</v>
      </c>
      <c r="D4103" s="5" t="s">
        <v>227</v>
      </c>
      <c r="E4103" s="5" t="s">
        <v>1722</v>
      </c>
      <c r="F4103" s="5">
        <v>5355684</v>
      </c>
      <c r="G4103" s="5" t="s">
        <v>1585</v>
      </c>
      <c r="H4103" s="5" t="s">
        <v>30</v>
      </c>
      <c r="I4103" s="5" t="s">
        <v>22</v>
      </c>
      <c r="J4103" s="5" t="s">
        <v>63</v>
      </c>
      <c r="K4103" s="6">
        <v>0</v>
      </c>
      <c r="L4103" s="7">
        <v>0</v>
      </c>
      <c r="M4103" s="7">
        <v>0</v>
      </c>
      <c r="N4103" s="7">
        <v>0</v>
      </c>
      <c r="O4103" s="7">
        <v>0</v>
      </c>
      <c r="P4103" s="8">
        <v>0</v>
      </c>
      <c r="Q4103" s="8">
        <v>0</v>
      </c>
      <c r="R4103" s="8">
        <v>0</v>
      </c>
      <c r="S4103" s="8">
        <v>0</v>
      </c>
      <c r="T4103" s="5">
        <v>0</v>
      </c>
      <c r="U4103" s="5">
        <v>12</v>
      </c>
      <c r="V4103" s="5">
        <f>VLOOKUP(A4103,Planilha1!B:E,4,0)</f>
        <v>-1.9171310037550682</v>
      </c>
    </row>
    <row r="4104" spans="1:22" x14ac:dyDescent="0.3">
      <c r="A4104" t="str">
        <f t="shared" si="128"/>
        <v>SPREADSLACTALIS</v>
      </c>
      <c r="B4104" t="str">
        <f t="shared" si="129"/>
        <v>5269528SPREADSLACTALIS</v>
      </c>
      <c r="C4104" s="5" t="s">
        <v>226</v>
      </c>
      <c r="D4104" s="5" t="s">
        <v>227</v>
      </c>
      <c r="E4104" s="5" t="s">
        <v>1722</v>
      </c>
      <c r="F4104" s="5">
        <v>5269528</v>
      </c>
      <c r="G4104" s="5" t="s">
        <v>439</v>
      </c>
      <c r="H4104" s="5" t="s">
        <v>30</v>
      </c>
      <c r="I4104" s="5" t="s">
        <v>22</v>
      </c>
      <c r="J4104" s="5" t="s">
        <v>945</v>
      </c>
      <c r="K4104" s="6">
        <v>0</v>
      </c>
      <c r="L4104" s="7">
        <v>0</v>
      </c>
      <c r="M4104" s="7">
        <v>0</v>
      </c>
      <c r="N4104" s="7">
        <v>0</v>
      </c>
      <c r="O4104" s="7">
        <v>0</v>
      </c>
      <c r="P4104" s="8">
        <v>0</v>
      </c>
      <c r="Q4104" s="8">
        <v>0</v>
      </c>
      <c r="R4104" s="8">
        <v>0</v>
      </c>
      <c r="S4104" s="8">
        <v>0</v>
      </c>
      <c r="T4104" s="5">
        <v>0</v>
      </c>
      <c r="U4104" s="5">
        <v>0</v>
      </c>
      <c r="V4104" s="5">
        <f>VLOOKUP(A4104,Planilha1!B:E,4,0)</f>
        <v>13.599044988219518</v>
      </c>
    </row>
    <row r="4105" spans="1:22" x14ac:dyDescent="0.3">
      <c r="A4105" t="str">
        <f t="shared" si="128"/>
        <v>SPREADSLACTALIS</v>
      </c>
      <c r="B4105" t="str">
        <f t="shared" si="129"/>
        <v>5355684SPREADSLACTALIS</v>
      </c>
      <c r="C4105" s="5" t="s">
        <v>226</v>
      </c>
      <c r="D4105" s="5" t="s">
        <v>227</v>
      </c>
      <c r="E4105" s="5" t="s">
        <v>1722</v>
      </c>
      <c r="F4105" s="5">
        <v>5355684</v>
      </c>
      <c r="G4105" s="5" t="s">
        <v>1585</v>
      </c>
      <c r="H4105" s="5" t="s">
        <v>30</v>
      </c>
      <c r="I4105" s="5" t="s">
        <v>22</v>
      </c>
      <c r="J4105" s="5" t="s">
        <v>945</v>
      </c>
      <c r="K4105" s="6">
        <v>0</v>
      </c>
      <c r="L4105" s="7">
        <v>0</v>
      </c>
      <c r="M4105" s="7">
        <v>0</v>
      </c>
      <c r="N4105" s="7">
        <v>0</v>
      </c>
      <c r="O4105" s="7">
        <v>0</v>
      </c>
      <c r="P4105" s="8">
        <v>0</v>
      </c>
      <c r="Q4105" s="8">
        <v>0</v>
      </c>
      <c r="R4105" s="8">
        <v>0</v>
      </c>
      <c r="S4105" s="8">
        <v>0</v>
      </c>
      <c r="T4105" s="5">
        <v>0</v>
      </c>
      <c r="U4105" s="5">
        <v>2</v>
      </c>
      <c r="V4105" s="5">
        <f>VLOOKUP(A4105,Planilha1!B:E,4,0)</f>
        <v>13.599044988219518</v>
      </c>
    </row>
  </sheetData>
  <autoFilter ref="A1:V4105" xr:uid="{CABF8CFD-65A7-4CF6-8394-02883A47B68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7B46-30B9-4BC4-AA33-DDDAAD11F87D}">
  <dimension ref="B2:E40"/>
  <sheetViews>
    <sheetView workbookViewId="0">
      <selection activeCell="H2" sqref="H2"/>
    </sheetView>
  </sheetViews>
  <sheetFormatPr defaultRowHeight="14.4" x14ac:dyDescent="0.3"/>
  <cols>
    <col min="2" max="2" width="25.6640625" bestFit="1" customWidth="1"/>
    <col min="3" max="3" width="8.5546875" bestFit="1" customWidth="1"/>
    <col min="4" max="4" width="17.88671875" bestFit="1" customWidth="1"/>
  </cols>
  <sheetData>
    <row r="2" spans="2:5" x14ac:dyDescent="0.3">
      <c r="B2" s="14" t="s">
        <v>1719</v>
      </c>
      <c r="C2" s="14"/>
      <c r="D2" s="14"/>
      <c r="E2" s="14"/>
    </row>
    <row r="3" spans="2:5" x14ac:dyDescent="0.3">
      <c r="B3" t="str">
        <f>D3&amp;C3</f>
        <v>BLISTERLACTALIS</v>
      </c>
      <c r="C3" t="s">
        <v>22</v>
      </c>
      <c r="D3" s="12" t="s">
        <v>199</v>
      </c>
      <c r="E3" s="13">
        <v>13.783871706210666</v>
      </c>
    </row>
    <row r="4" spans="2:5" x14ac:dyDescent="0.3">
      <c r="B4" t="str">
        <f t="shared" ref="B4:B40" si="0">D4&amp;C4</f>
        <v>COMPOSTOLACTALIS</v>
      </c>
      <c r="C4" t="s">
        <v>22</v>
      </c>
      <c r="D4" s="12" t="s">
        <v>26</v>
      </c>
      <c r="E4" s="13">
        <v>7.7134687735139194</v>
      </c>
    </row>
    <row r="5" spans="2:5" x14ac:dyDescent="0.3">
      <c r="B5" t="str">
        <f t="shared" si="0"/>
        <v>CREME 35%LACTALIS</v>
      </c>
      <c r="C5" t="s">
        <v>22</v>
      </c>
      <c r="D5" s="12" t="s">
        <v>89</v>
      </c>
      <c r="E5" s="13">
        <v>6.4420264254159507</v>
      </c>
    </row>
    <row r="6" spans="2:5" x14ac:dyDescent="0.3">
      <c r="B6" t="str">
        <f t="shared" si="0"/>
        <v>CREME UHTLACTALIS</v>
      </c>
      <c r="C6" t="s">
        <v>22</v>
      </c>
      <c r="D6" s="12" t="s">
        <v>34</v>
      </c>
      <c r="E6" s="13">
        <v>-1.4094522863012933</v>
      </c>
    </row>
    <row r="7" spans="2:5" x14ac:dyDescent="0.3">
      <c r="B7" t="str">
        <f t="shared" si="0"/>
        <v>DOCE DE LEITELACTALIS</v>
      </c>
      <c r="C7" t="s">
        <v>22</v>
      </c>
      <c r="D7" s="12" t="s">
        <v>46</v>
      </c>
      <c r="E7" s="13">
        <v>5.6473514327668077</v>
      </c>
    </row>
    <row r="8" spans="2:5" x14ac:dyDescent="0.3">
      <c r="B8" t="str">
        <f t="shared" si="0"/>
        <v>IOGURTESLACTALIS</v>
      </c>
      <c r="C8" t="s">
        <v>22</v>
      </c>
      <c r="D8" s="12" t="s">
        <v>153</v>
      </c>
      <c r="E8" s="13">
        <v>3.0503167986984403</v>
      </c>
    </row>
    <row r="9" spans="2:5" x14ac:dyDescent="0.3">
      <c r="B9" t="str">
        <f t="shared" si="0"/>
        <v>LEITE CONDENSADOLACTALIS</v>
      </c>
      <c r="C9" t="s">
        <v>22</v>
      </c>
      <c r="D9" s="12" t="s">
        <v>33</v>
      </c>
      <c r="E9" s="13">
        <v>1.8665071822970765</v>
      </c>
    </row>
    <row r="10" spans="2:5" x14ac:dyDescent="0.3">
      <c r="B10" t="str">
        <f t="shared" si="0"/>
        <v>LEITE EM PÓLACTALIS</v>
      </c>
      <c r="C10" t="s">
        <v>22</v>
      </c>
      <c r="D10" s="12" t="s">
        <v>84</v>
      </c>
      <c r="E10" s="13">
        <v>-2.8055507108797499</v>
      </c>
    </row>
    <row r="11" spans="2:5" x14ac:dyDescent="0.3">
      <c r="B11" t="str">
        <f t="shared" si="0"/>
        <v>LEITE UHTLACTALIS</v>
      </c>
      <c r="C11" t="s">
        <v>22</v>
      </c>
      <c r="D11" s="12" t="s">
        <v>156</v>
      </c>
      <c r="E11" s="13">
        <v>0.37177548115779385</v>
      </c>
    </row>
    <row r="12" spans="2:5" x14ac:dyDescent="0.3">
      <c r="B12" t="str">
        <f t="shared" si="0"/>
        <v>MERC + AROMLACTALIS</v>
      </c>
      <c r="C12" t="s">
        <v>22</v>
      </c>
      <c r="D12" s="12" t="s">
        <v>230</v>
      </c>
      <c r="E12" s="13">
        <v>0.86907188046232187</v>
      </c>
    </row>
    <row r="13" spans="2:5" x14ac:dyDescent="0.3">
      <c r="B13" t="str">
        <f t="shared" si="0"/>
        <v>PARMESÃOLACTALIS</v>
      </c>
      <c r="C13" t="s">
        <v>22</v>
      </c>
      <c r="D13" s="12" t="s">
        <v>195</v>
      </c>
      <c r="E13" s="13">
        <v>6.310326960724681</v>
      </c>
    </row>
    <row r="14" spans="2:5" x14ac:dyDescent="0.3">
      <c r="B14" t="str">
        <f t="shared" si="0"/>
        <v>QUEIJOSLACTALIS</v>
      </c>
      <c r="C14" t="s">
        <v>22</v>
      </c>
      <c r="D14" s="12" t="s">
        <v>63</v>
      </c>
      <c r="E14" s="13">
        <v>-1.9171310037550682</v>
      </c>
    </row>
    <row r="15" spans="2:5" x14ac:dyDescent="0.3">
      <c r="B15" t="str">
        <f t="shared" si="0"/>
        <v>SORVETESLACTALIS</v>
      </c>
      <c r="C15" t="s">
        <v>22</v>
      </c>
      <c r="D15" s="12" t="s">
        <v>1008</v>
      </c>
      <c r="E15" s="13">
        <v>0.96240440322290499</v>
      </c>
    </row>
    <row r="16" spans="2:5" x14ac:dyDescent="0.3">
      <c r="B16" t="str">
        <f t="shared" si="0"/>
        <v>SPREADSLACTALIS</v>
      </c>
      <c r="C16" t="s">
        <v>22</v>
      </c>
      <c r="D16" s="12" t="s">
        <v>945</v>
      </c>
      <c r="E16" s="13">
        <v>13.599044988219518</v>
      </c>
    </row>
    <row r="17" spans="2:5" x14ac:dyDescent="0.3">
      <c r="B17" t="str">
        <f t="shared" si="0"/>
        <v>LPI 25KGLACTALIS</v>
      </c>
      <c r="C17" t="s">
        <v>22</v>
      </c>
      <c r="D17" s="12" t="s">
        <v>21</v>
      </c>
      <c r="E17" s="13">
        <v>-4.3046759024811481</v>
      </c>
    </row>
    <row r="18" spans="2:5" x14ac:dyDescent="0.3">
      <c r="B18" t="str">
        <f t="shared" si="0"/>
        <v>LPD 25KGLACTALIS</v>
      </c>
      <c r="C18" t="s">
        <v>22</v>
      </c>
      <c r="D18" s="12" t="s">
        <v>43</v>
      </c>
      <c r="E18" s="13">
        <v>5.893629113453061</v>
      </c>
    </row>
    <row r="19" spans="2:5" x14ac:dyDescent="0.3">
      <c r="B19" t="str">
        <f t="shared" si="0"/>
        <v>MANTEIGA 5KGLACTALIS</v>
      </c>
      <c r="C19" t="s">
        <v>22</v>
      </c>
      <c r="D19" s="12" t="s">
        <v>60</v>
      </c>
      <c r="E19" s="13">
        <v>11.476197020267191</v>
      </c>
    </row>
    <row r="20" spans="2:5" x14ac:dyDescent="0.3">
      <c r="B20" t="str">
        <f t="shared" si="0"/>
        <v>MANTEIGA 25KGLACTALIS</v>
      </c>
      <c r="C20" t="s">
        <v>22</v>
      </c>
      <c r="D20" s="12" t="s">
        <v>92</v>
      </c>
      <c r="E20" s="13">
        <v>-1.2278576950723545</v>
      </c>
    </row>
    <row r="21" spans="2:5" x14ac:dyDescent="0.3">
      <c r="B21" t="str">
        <f t="shared" si="0"/>
        <v>Não atribuídoLACTALIS</v>
      </c>
      <c r="C21" t="s">
        <v>22</v>
      </c>
      <c r="D21" s="12" t="s">
        <v>1720</v>
      </c>
      <c r="E21" s="13">
        <v>0</v>
      </c>
    </row>
    <row r="22" spans="2:5" x14ac:dyDescent="0.3">
      <c r="B22" t="str">
        <f t="shared" si="0"/>
        <v>BLISTERITAMBÉ</v>
      </c>
      <c r="C22" t="s">
        <v>27</v>
      </c>
      <c r="D22" s="12" t="s">
        <v>199</v>
      </c>
      <c r="E22" s="13">
        <v>10.339882680976428</v>
      </c>
    </row>
    <row r="23" spans="2:5" x14ac:dyDescent="0.3">
      <c r="B23" t="str">
        <f t="shared" si="0"/>
        <v>COMPOSTOITAMBÉ</v>
      </c>
      <c r="C23" t="s">
        <v>27</v>
      </c>
      <c r="D23" s="12" t="s">
        <v>26</v>
      </c>
      <c r="E23" s="13">
        <v>0.15618217875936719</v>
      </c>
    </row>
    <row r="24" spans="2:5" x14ac:dyDescent="0.3">
      <c r="B24" t="str">
        <f t="shared" si="0"/>
        <v>CREME 35%ITAMBÉ</v>
      </c>
      <c r="C24" t="s">
        <v>27</v>
      </c>
      <c r="D24" s="12" t="s">
        <v>89</v>
      </c>
      <c r="E24" s="13">
        <v>0</v>
      </c>
    </row>
    <row r="25" spans="2:5" x14ac:dyDescent="0.3">
      <c r="B25" t="str">
        <f t="shared" si="0"/>
        <v>CREME UHTITAMBÉ</v>
      </c>
      <c r="C25" t="s">
        <v>27</v>
      </c>
      <c r="D25" s="12" t="s">
        <v>34</v>
      </c>
      <c r="E25" s="13">
        <v>1.2362540170747773</v>
      </c>
    </row>
    <row r="26" spans="2:5" x14ac:dyDescent="0.3">
      <c r="B26" t="str">
        <f t="shared" si="0"/>
        <v>DOCE DE LEITEITAMBÉ</v>
      </c>
      <c r="C26" t="s">
        <v>27</v>
      </c>
      <c r="D26" s="12" t="s">
        <v>46</v>
      </c>
      <c r="E26" s="13">
        <v>5.8210743907543439</v>
      </c>
    </row>
    <row r="27" spans="2:5" x14ac:dyDescent="0.3">
      <c r="B27" t="str">
        <f t="shared" si="0"/>
        <v>IOGURTESITAMBÉ</v>
      </c>
      <c r="C27" t="s">
        <v>27</v>
      </c>
      <c r="D27" s="12" t="s">
        <v>153</v>
      </c>
      <c r="E27" s="13">
        <v>3.2554443184120534</v>
      </c>
    </row>
    <row r="28" spans="2:5" x14ac:dyDescent="0.3">
      <c r="B28" t="str">
        <f t="shared" si="0"/>
        <v>LEITE CONDENSADOITAMBÉ</v>
      </c>
      <c r="C28" t="s">
        <v>27</v>
      </c>
      <c r="D28" s="12" t="s">
        <v>33</v>
      </c>
      <c r="E28" s="13">
        <v>1.4766792698630664</v>
      </c>
    </row>
    <row r="29" spans="2:5" x14ac:dyDescent="0.3">
      <c r="B29" t="str">
        <f t="shared" si="0"/>
        <v>LEITE EM PÓITAMBÉ</v>
      </c>
      <c r="C29" t="s">
        <v>27</v>
      </c>
      <c r="D29" s="12" t="s">
        <v>84</v>
      </c>
      <c r="E29" s="13">
        <v>4.5971522734997743</v>
      </c>
    </row>
    <row r="30" spans="2:5" x14ac:dyDescent="0.3">
      <c r="B30" t="str">
        <f t="shared" si="0"/>
        <v>LEITE UHTITAMBÉ</v>
      </c>
      <c r="C30" t="s">
        <v>27</v>
      </c>
      <c r="D30" s="12" t="s">
        <v>156</v>
      </c>
      <c r="E30" s="13">
        <v>-0.14425288609148015</v>
      </c>
    </row>
    <row r="31" spans="2:5" x14ac:dyDescent="0.3">
      <c r="B31" t="str">
        <f t="shared" si="0"/>
        <v>MERC + AROMITAMBÉ</v>
      </c>
      <c r="C31" t="s">
        <v>27</v>
      </c>
      <c r="D31" s="12" t="s">
        <v>230</v>
      </c>
      <c r="E31" s="13">
        <v>1.0384020099151063</v>
      </c>
    </row>
    <row r="32" spans="2:5" x14ac:dyDescent="0.3">
      <c r="B32" t="str">
        <f t="shared" si="0"/>
        <v>PARMESÃOITAMBÉ</v>
      </c>
      <c r="C32" t="s">
        <v>27</v>
      </c>
      <c r="D32" s="12" t="s">
        <v>195</v>
      </c>
      <c r="E32" s="13">
        <v>-7.8489906935815057</v>
      </c>
    </row>
    <row r="33" spans="2:5" x14ac:dyDescent="0.3">
      <c r="B33" t="str">
        <f t="shared" si="0"/>
        <v>QUEIJOSITAMBÉ</v>
      </c>
      <c r="C33" t="s">
        <v>27</v>
      </c>
      <c r="D33" s="12" t="s">
        <v>63</v>
      </c>
      <c r="E33" s="13">
        <v>12.008237327188938</v>
      </c>
    </row>
    <row r="34" spans="2:5" x14ac:dyDescent="0.3">
      <c r="B34" t="str">
        <f t="shared" si="0"/>
        <v>SORVETESITAMBÉ</v>
      </c>
      <c r="C34" t="s">
        <v>27</v>
      </c>
      <c r="D34" s="12" t="s">
        <v>1008</v>
      </c>
      <c r="E34" s="13">
        <v>0</v>
      </c>
    </row>
    <row r="35" spans="2:5" x14ac:dyDescent="0.3">
      <c r="B35" t="str">
        <f t="shared" si="0"/>
        <v>SPREADSITAMBÉ</v>
      </c>
      <c r="C35" t="s">
        <v>27</v>
      </c>
      <c r="D35" s="12" t="s">
        <v>945</v>
      </c>
      <c r="E35" s="13">
        <v>9.2962610783648607</v>
      </c>
    </row>
    <row r="36" spans="2:5" x14ac:dyDescent="0.3">
      <c r="B36" t="str">
        <f t="shared" si="0"/>
        <v>LPI 25KGITAMBÉ</v>
      </c>
      <c r="C36" t="s">
        <v>27</v>
      </c>
      <c r="D36" s="12" t="s">
        <v>21</v>
      </c>
      <c r="E36" s="13">
        <v>-1.218192805504376</v>
      </c>
    </row>
    <row r="37" spans="2:5" x14ac:dyDescent="0.3">
      <c r="B37" t="str">
        <f t="shared" si="0"/>
        <v>LPD 25KGITAMBÉ</v>
      </c>
      <c r="C37" t="s">
        <v>27</v>
      </c>
      <c r="D37" s="12" t="s">
        <v>43</v>
      </c>
      <c r="E37" s="13">
        <v>3.3372177319587628</v>
      </c>
    </row>
    <row r="38" spans="2:5" x14ac:dyDescent="0.3">
      <c r="B38" t="str">
        <f t="shared" si="0"/>
        <v>MANTEIGA 5KGITAMBÉ</v>
      </c>
      <c r="C38" t="s">
        <v>27</v>
      </c>
      <c r="D38" s="12" t="s">
        <v>60</v>
      </c>
      <c r="E38" s="13">
        <v>5.819800475298738</v>
      </c>
    </row>
    <row r="39" spans="2:5" x14ac:dyDescent="0.3">
      <c r="B39" t="str">
        <f t="shared" si="0"/>
        <v>MANTEIGA 25KGITAMBÉ</v>
      </c>
      <c r="C39" t="s">
        <v>27</v>
      </c>
      <c r="D39" s="12" t="s">
        <v>92</v>
      </c>
      <c r="E39" s="13">
        <v>-0.89302458333333634</v>
      </c>
    </row>
    <row r="40" spans="2:5" x14ac:dyDescent="0.3">
      <c r="B40" t="str">
        <f t="shared" si="0"/>
        <v>Não atribuídoITAMBÉ</v>
      </c>
      <c r="C40" t="s">
        <v>27</v>
      </c>
      <c r="D40" s="12" t="s">
        <v>1720</v>
      </c>
      <c r="E40" s="13">
        <v>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FORECAST APP</vt:lpstr>
      <vt:lpstr>Planilha1</vt:lpstr>
    </vt:vector>
  </TitlesOfParts>
  <Manager/>
  <Company>Lactalis do Brasil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MAGALHAES Thaina</dc:creator>
  <cp:keywords/>
  <dc:description/>
  <cp:lastModifiedBy>MAGALHAES Thaina</cp:lastModifiedBy>
  <cp:revision/>
  <dcterms:created xsi:type="dcterms:W3CDTF">2026-01-28T19:13:47Z</dcterms:created>
  <dcterms:modified xsi:type="dcterms:W3CDTF">2026-03-10T16:41:46Z</dcterms:modified>
  <cp:category/>
  <cp:contentStatus/>
</cp:coreProperties>
</file>